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6CFC1901-D291-4727-9032-4A8BDB582050}" xr6:coauthVersionLast="47" xr6:coauthVersionMax="47" xr10:uidLastSave="{00000000-0000-0000-0000-000000000000}"/>
  <bookViews>
    <workbookView xWindow="-28920" yWindow="2280" windowWidth="29040" windowHeight="15840" activeTab="10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Feuil3" sheetId="11" r:id="rId7"/>
    <sheet name="Feuil2" sheetId="7" r:id="rId8"/>
    <sheet name="non_associés_mesurés" sheetId="8" r:id="rId9"/>
    <sheet name="non_associés_references" sheetId="9" r:id="rId10"/>
    <sheet name="RE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10" i="10"/>
  <c r="Q29" i="11" l="1"/>
  <c r="P29" i="11"/>
  <c r="O29" i="11"/>
  <c r="Q28" i="11"/>
  <c r="P28" i="11"/>
  <c r="O28" i="11"/>
  <c r="Q27" i="11"/>
  <c r="P27" i="11"/>
  <c r="O27" i="11"/>
  <c r="O13" i="11"/>
  <c r="P13" i="11"/>
  <c r="Q13" i="11"/>
  <c r="N13" i="11"/>
  <c r="N11" i="11"/>
  <c r="P11" i="11"/>
  <c r="Q11" i="11"/>
  <c r="O11" i="11"/>
  <c r="H178" i="6"/>
  <c r="Q178" i="6" s="1"/>
  <c r="Q177" i="6"/>
  <c r="H177" i="6"/>
  <c r="H176" i="6"/>
  <c r="Q176" i="6" s="1"/>
  <c r="H175" i="6"/>
  <c r="Q175" i="6" s="1"/>
  <c r="H174" i="6"/>
  <c r="Q174" i="6" s="1"/>
  <c r="H173" i="6"/>
  <c r="Q173" i="6" s="1"/>
  <c r="Q172" i="6"/>
  <c r="H172" i="6"/>
  <c r="Q171" i="6"/>
  <c r="H171" i="6"/>
  <c r="Q170" i="6"/>
  <c r="H170" i="6"/>
  <c r="Q169" i="6"/>
  <c r="H169" i="6"/>
  <c r="H168" i="6"/>
  <c r="Q168" i="6" s="1"/>
  <c r="H167" i="6"/>
  <c r="Q167" i="6" s="1"/>
  <c r="Q166" i="6"/>
  <c r="H166" i="6"/>
  <c r="H165" i="6"/>
  <c r="Q165" i="6" s="1"/>
  <c r="Q164" i="6"/>
  <c r="H164" i="6"/>
  <c r="Q163" i="6"/>
  <c r="H163" i="6"/>
  <c r="Q162" i="6"/>
  <c r="H162" i="6"/>
  <c r="Q161" i="6"/>
  <c r="H161" i="6"/>
  <c r="H160" i="6"/>
  <c r="Q160" i="6" s="1"/>
  <c r="H159" i="6"/>
  <c r="Q159" i="6" s="1"/>
  <c r="Q158" i="6"/>
  <c r="H158" i="6"/>
  <c r="H157" i="6"/>
  <c r="Q157" i="6" s="1"/>
  <c r="Q156" i="6"/>
  <c r="H156" i="6"/>
  <c r="Q155" i="6"/>
  <c r="H155" i="6"/>
  <c r="Q154" i="6"/>
  <c r="H154" i="6"/>
  <c r="Q153" i="6"/>
  <c r="H153" i="6"/>
  <c r="H152" i="6"/>
  <c r="Q152" i="6" s="1"/>
  <c r="H151" i="6"/>
  <c r="Q151" i="6" s="1"/>
  <c r="Q150" i="6"/>
  <c r="H150" i="6"/>
  <c r="H149" i="6"/>
  <c r="Q149" i="6" s="1"/>
  <c r="Q148" i="6"/>
  <c r="H148" i="6"/>
  <c r="Q147" i="6"/>
  <c r="H147" i="6"/>
  <c r="Q146" i="6"/>
  <c r="H146" i="6"/>
  <c r="Q145" i="6"/>
  <c r="H145" i="6"/>
  <c r="H144" i="6"/>
  <c r="Q144" i="6" s="1"/>
  <c r="H143" i="6"/>
  <c r="Q143" i="6" s="1"/>
  <c r="Q142" i="6"/>
  <c r="H142" i="6"/>
  <c r="H141" i="6"/>
  <c r="Q141" i="6" s="1"/>
  <c r="Q140" i="6"/>
  <c r="H140" i="6"/>
  <c r="Q139" i="6"/>
  <c r="H139" i="6"/>
  <c r="Q138" i="6"/>
  <c r="H138" i="6"/>
  <c r="Q137" i="6"/>
  <c r="H137" i="6"/>
  <c r="H136" i="6"/>
  <c r="Q136" i="6" s="1"/>
  <c r="H135" i="6"/>
  <c r="Q135" i="6" s="1"/>
  <c r="Q134" i="6"/>
  <c r="H134" i="6"/>
  <c r="H133" i="6"/>
  <c r="Q133" i="6" s="1"/>
  <c r="Q132" i="6"/>
  <c r="H132" i="6"/>
  <c r="Q131" i="6"/>
  <c r="H131" i="6"/>
  <c r="Q130" i="6"/>
  <c r="H130" i="6"/>
  <c r="Q129" i="6"/>
  <c r="H129" i="6"/>
  <c r="H128" i="6"/>
  <c r="Q128" i="6" s="1"/>
  <c r="H127" i="6"/>
  <c r="Q127" i="6" s="1"/>
  <c r="Q126" i="6"/>
  <c r="H126" i="6"/>
  <c r="H125" i="6"/>
  <c r="Q125" i="6" s="1"/>
  <c r="Q124" i="6"/>
  <c r="H124" i="6"/>
  <c r="Q123" i="6"/>
  <c r="H123" i="6"/>
  <c r="Q122" i="6"/>
  <c r="H122" i="6"/>
  <c r="Q121" i="6"/>
  <c r="H121" i="6"/>
  <c r="H120" i="6"/>
  <c r="Q120" i="6" s="1"/>
  <c r="H119" i="6"/>
  <c r="Q119" i="6" s="1"/>
  <c r="Q118" i="6"/>
  <c r="H118" i="6"/>
  <c r="H117" i="6"/>
  <c r="Q117" i="6" s="1"/>
  <c r="Q116" i="6"/>
  <c r="H116" i="6"/>
  <c r="Q115" i="6"/>
  <c r="H115" i="6"/>
  <c r="Q114" i="6"/>
  <c r="H114" i="6"/>
  <c r="Q113" i="6"/>
  <c r="H113" i="6"/>
  <c r="H112" i="6"/>
  <c r="Q112" i="6" s="1"/>
  <c r="H111" i="6"/>
  <c r="Q111" i="6" s="1"/>
  <c r="Q110" i="6"/>
  <c r="H110" i="6"/>
  <c r="H109" i="6"/>
  <c r="Q109" i="6" s="1"/>
  <c r="Q108" i="6"/>
  <c r="H108" i="6"/>
  <c r="Q107" i="6"/>
  <c r="H107" i="6"/>
  <c r="Q106" i="6"/>
  <c r="H106" i="6"/>
  <c r="Q105" i="6"/>
  <c r="H105" i="6"/>
  <c r="H104" i="6"/>
  <c r="Q104" i="6" s="1"/>
  <c r="H103" i="6"/>
  <c r="Q103" i="6" s="1"/>
  <c r="Q102" i="6"/>
  <c r="H102" i="6"/>
  <c r="H101" i="6"/>
  <c r="Q101" i="6" s="1"/>
  <c r="Q100" i="6"/>
  <c r="H100" i="6"/>
  <c r="Q99" i="6"/>
  <c r="H99" i="6"/>
  <c r="Q98" i="6"/>
  <c r="H98" i="6"/>
  <c r="Q97" i="6"/>
  <c r="H97" i="6"/>
  <c r="H96" i="6"/>
  <c r="Q96" i="6" s="1"/>
  <c r="H95" i="6"/>
  <c r="Q95" i="6" s="1"/>
  <c r="Q94" i="6"/>
  <c r="H94" i="6"/>
  <c r="H93" i="6"/>
  <c r="Q93" i="6" s="1"/>
  <c r="Q92" i="6"/>
  <c r="H92" i="6"/>
  <c r="Q91" i="6"/>
  <c r="H91" i="6"/>
  <c r="H90" i="6"/>
  <c r="Q90" i="6" s="1"/>
  <c r="Q89" i="6"/>
  <c r="H89" i="6"/>
  <c r="H88" i="6"/>
  <c r="Q88" i="6" s="1"/>
  <c r="H87" i="6"/>
  <c r="Q87" i="6" s="1"/>
  <c r="Q86" i="6"/>
  <c r="H86" i="6"/>
  <c r="H85" i="6"/>
  <c r="Q85" i="6" s="1"/>
  <c r="Q84" i="6"/>
  <c r="H84" i="6"/>
  <c r="Q83" i="6"/>
  <c r="H83" i="6"/>
  <c r="H82" i="6"/>
  <c r="Q82" i="6" s="1"/>
  <c r="Q81" i="6"/>
  <c r="H81" i="6"/>
  <c r="H80" i="6"/>
  <c r="Q80" i="6" s="1"/>
  <c r="H79" i="6"/>
  <c r="Q79" i="6" s="1"/>
  <c r="Q78" i="6"/>
  <c r="H78" i="6"/>
  <c r="H77" i="6"/>
  <c r="Q77" i="6" s="1"/>
  <c r="Q76" i="6"/>
  <c r="H76" i="6"/>
  <c r="Q75" i="6"/>
  <c r="H75" i="6"/>
  <c r="H74" i="6"/>
  <c r="Q74" i="6" s="1"/>
  <c r="Q73" i="6"/>
  <c r="H73" i="6"/>
  <c r="H72" i="6"/>
  <c r="Q72" i="6" s="1"/>
  <c r="H71" i="6"/>
  <c r="Q71" i="6" s="1"/>
  <c r="Q70" i="6"/>
  <c r="H70" i="6"/>
  <c r="H69" i="6"/>
  <c r="Q69" i="6" s="1"/>
  <c r="Q68" i="6"/>
  <c r="H68" i="6"/>
  <c r="Q67" i="6"/>
  <c r="H67" i="6"/>
  <c r="H66" i="6"/>
  <c r="Q66" i="6" s="1"/>
  <c r="Q65" i="6"/>
  <c r="H65" i="6"/>
  <c r="H64" i="6"/>
  <c r="Q64" i="6" s="1"/>
  <c r="H63" i="6"/>
  <c r="Q63" i="6" s="1"/>
  <c r="Q62" i="6"/>
  <c r="H62" i="6"/>
  <c r="H61" i="6"/>
  <c r="Q61" i="6" s="1"/>
  <c r="Q60" i="6"/>
  <c r="H60" i="6"/>
  <c r="Q59" i="6"/>
  <c r="H59" i="6"/>
  <c r="H58" i="6"/>
  <c r="Q58" i="6" s="1"/>
  <c r="Q57" i="6"/>
  <c r="H57" i="6"/>
  <c r="H56" i="6"/>
  <c r="Q56" i="6" s="1"/>
  <c r="H55" i="6"/>
  <c r="Q55" i="6" s="1"/>
  <c r="Q54" i="6"/>
  <c r="H54" i="6"/>
  <c r="H53" i="6"/>
  <c r="Q53" i="6" s="1"/>
  <c r="Q52" i="6"/>
  <c r="H52" i="6"/>
  <c r="Q51" i="6"/>
  <c r="H51" i="6"/>
  <c r="H50" i="6"/>
  <c r="Q50" i="6" s="1"/>
  <c r="Q49" i="6"/>
  <c r="H49" i="6"/>
  <c r="H48" i="6"/>
  <c r="Q48" i="6" s="1"/>
  <c r="H47" i="6"/>
  <c r="Q47" i="6" s="1"/>
  <c r="Q46" i="6"/>
  <c r="H46" i="6"/>
  <c r="H45" i="6"/>
  <c r="Q45" i="6" s="1"/>
  <c r="Q44" i="6"/>
  <c r="H44" i="6"/>
  <c r="Q43" i="6"/>
  <c r="H43" i="6"/>
  <c r="H42" i="6"/>
  <c r="Q42" i="6" s="1"/>
  <c r="Q41" i="6"/>
  <c r="H41" i="6"/>
  <c r="H40" i="6"/>
  <c r="Q40" i="6" s="1"/>
  <c r="H39" i="6"/>
  <c r="Q39" i="6" s="1"/>
  <c r="Q38" i="6"/>
  <c r="H38" i="6"/>
  <c r="H37" i="6"/>
  <c r="Q37" i="6" s="1"/>
  <c r="Q36" i="6"/>
  <c r="H36" i="6"/>
  <c r="Q35" i="6"/>
  <c r="H35" i="6"/>
  <c r="H34" i="6"/>
  <c r="Q34" i="6" s="1"/>
  <c r="Q33" i="6"/>
  <c r="H33" i="6"/>
  <c r="H32" i="6"/>
  <c r="Q32" i="6" s="1"/>
  <c r="H31" i="6"/>
  <c r="Q31" i="6" s="1"/>
  <c r="Q30" i="6"/>
  <c r="H30" i="6"/>
  <c r="H29" i="6"/>
  <c r="Q29" i="6" s="1"/>
  <c r="Q28" i="6"/>
  <c r="H28" i="6"/>
  <c r="Q27" i="6"/>
  <c r="H27" i="6"/>
  <c r="H26" i="6"/>
  <c r="Q26" i="6" s="1"/>
  <c r="Q25" i="6"/>
  <c r="H25" i="6"/>
  <c r="H24" i="6"/>
  <c r="Q24" i="6" s="1"/>
  <c r="H23" i="6"/>
  <c r="Q23" i="6" s="1"/>
  <c r="Q22" i="6"/>
  <c r="H22" i="6"/>
  <c r="H21" i="6"/>
  <c r="Q21" i="6" s="1"/>
  <c r="Q20" i="6"/>
  <c r="H20" i="6"/>
  <c r="Q19" i="6"/>
  <c r="H19" i="6"/>
  <c r="H18" i="6"/>
  <c r="Q18" i="6" s="1"/>
  <c r="Q17" i="6"/>
  <c r="H17" i="6"/>
  <c r="H16" i="6"/>
  <c r="Q16" i="6" s="1"/>
  <c r="H15" i="6"/>
  <c r="Q15" i="6" s="1"/>
  <c r="Q14" i="6"/>
  <c r="H14" i="6"/>
  <c r="H13" i="6"/>
  <c r="Q13" i="6" s="1"/>
  <c r="Q12" i="6"/>
  <c r="H12" i="6"/>
  <c r="Q11" i="6"/>
  <c r="H11" i="6"/>
  <c r="H10" i="6"/>
  <c r="Q10" i="6" s="1"/>
  <c r="Q9" i="6"/>
  <c r="H9" i="6"/>
  <c r="H8" i="6"/>
  <c r="Q8" i="6" s="1"/>
  <c r="H7" i="6"/>
  <c r="Q7" i="6" s="1"/>
  <c r="Q6" i="6"/>
  <c r="H6" i="6"/>
  <c r="H5" i="6"/>
  <c r="Q5" i="6" s="1"/>
  <c r="Q4" i="6"/>
  <c r="H4" i="6"/>
  <c r="Q3" i="6"/>
  <c r="H3" i="6"/>
  <c r="H2" i="6"/>
  <c r="Q2" i="6" s="1"/>
  <c r="F8" i="4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<sst xmlns="http://schemas.openxmlformats.org/spreadsheetml/2006/main" count="1317" uniqueCount="413">
  <si>
    <t>Nom1</t>
  </si>
  <si>
    <t>X1</t>
  </si>
  <si>
    <t>Y1</t>
  </si>
  <si>
    <t>Z1</t>
  </si>
  <si>
    <t>Nom2</t>
  </si>
  <si>
    <t>X2</t>
  </si>
  <si>
    <t>Y2</t>
  </si>
  <si>
    <t>Z2</t>
  </si>
  <si>
    <t>C.531.GVA.2</t>
  </si>
  <si>
    <t>C.541.GV3.6</t>
  </si>
  <si>
    <t>C.532.GVA.3</t>
  </si>
  <si>
    <t>C.540.GV3.5</t>
  </si>
  <si>
    <t>C.511.GVA.1</t>
  </si>
  <si>
    <t>103GV3.10D</t>
  </si>
  <si>
    <t>ST.165.GVA</t>
  </si>
  <si>
    <t>105GV3.4D</t>
  </si>
  <si>
    <t>C.507.GV3.5</t>
  </si>
  <si>
    <t>105GV3.11G</t>
  </si>
  <si>
    <t>C.512.GV3.5</t>
  </si>
  <si>
    <t>C.707.GV3.4</t>
  </si>
  <si>
    <t>C.521GMA.3</t>
  </si>
  <si>
    <t>C.504.GV3.1</t>
  </si>
  <si>
    <t>93GV3.12G</t>
  </si>
  <si>
    <t>C.514.GV3.4G</t>
  </si>
  <si>
    <t>003.i.GHA.4G</t>
  </si>
  <si>
    <t>C.508.GV3.2</t>
  </si>
  <si>
    <t>003.i.GHA.3G</t>
  </si>
  <si>
    <t>003.i.GHA.5D</t>
  </si>
  <si>
    <t>093.GV3.3D</t>
  </si>
  <si>
    <t>003.i.GHA.4D</t>
  </si>
  <si>
    <t>C.506.GV3.7</t>
  </si>
  <si>
    <t>005i.GHA.2G</t>
  </si>
  <si>
    <t>96.GV3.7D</t>
  </si>
  <si>
    <t>009.i.GHA.4D</t>
  </si>
  <si>
    <t>C.518.GV3.4</t>
  </si>
  <si>
    <t>009.i.GHA.4G</t>
  </si>
  <si>
    <t>ST.GMA_01</t>
  </si>
  <si>
    <t>010.i.GHA.2G</t>
  </si>
  <si>
    <t>100.GV3.7D</t>
  </si>
  <si>
    <t>013.i.GHA.3D</t>
  </si>
  <si>
    <t>C.516.GV3.4</t>
  </si>
  <si>
    <t>017.i.GHA.3D</t>
  </si>
  <si>
    <t>C.505.GV3.9</t>
  </si>
  <si>
    <t>017.i.GHA.3G</t>
  </si>
  <si>
    <t>022.i.GHA.2D</t>
  </si>
  <si>
    <t>C.517.GV3.5</t>
  </si>
  <si>
    <t>027.i.GHA.2G.1</t>
  </si>
  <si>
    <t>027.i.GHA.2G.2</t>
  </si>
  <si>
    <t>C.509.GV3.5</t>
  </si>
  <si>
    <t>027.i.GHA.2G.3</t>
  </si>
  <si>
    <t>C.519.GV3.4</t>
  </si>
  <si>
    <t>027.i.GHA.2D</t>
  </si>
  <si>
    <t>ST.167.GVA</t>
  </si>
  <si>
    <t>032.i.GHA.1G</t>
  </si>
  <si>
    <t>52GV3.4G</t>
  </si>
  <si>
    <t>032i.GHA.1D</t>
  </si>
  <si>
    <t>52GV3.4D</t>
  </si>
  <si>
    <t>104GV3.1D</t>
  </si>
  <si>
    <t>54GV3.9D</t>
  </si>
  <si>
    <t>S1051</t>
  </si>
  <si>
    <t>54GV3.9G</t>
  </si>
  <si>
    <t>S1052</t>
  </si>
  <si>
    <t>S1053</t>
  </si>
  <si>
    <t>01GMA.11G</t>
  </si>
  <si>
    <t>S1054</t>
  </si>
  <si>
    <t>01GMA.13D</t>
  </si>
  <si>
    <t>S1055</t>
  </si>
  <si>
    <t>04GMA.2BD</t>
  </si>
  <si>
    <t>S0041</t>
  </si>
  <si>
    <t>04GMA.2BG</t>
  </si>
  <si>
    <t>S0411</t>
  </si>
  <si>
    <t>05GMA.11G</t>
  </si>
  <si>
    <t>S0042</t>
  </si>
  <si>
    <t>05GMA.8D</t>
  </si>
  <si>
    <t>S0412</t>
  </si>
  <si>
    <t>07GMA.3BD</t>
  </si>
  <si>
    <t>S0043</t>
  </si>
  <si>
    <t>07GMA.3BG</t>
  </si>
  <si>
    <t>S0044</t>
  </si>
  <si>
    <t>09GMA.4G</t>
  </si>
  <si>
    <t>S0415</t>
  </si>
  <si>
    <t>10GMA.2BG</t>
  </si>
  <si>
    <t>S0045</t>
  </si>
  <si>
    <t>10GMA.5BD</t>
  </si>
  <si>
    <t>S0046</t>
  </si>
  <si>
    <t>13GMA.9D</t>
  </si>
  <si>
    <t>S0416</t>
  </si>
  <si>
    <t>13GMA.9G</t>
  </si>
  <si>
    <t>S0151</t>
  </si>
  <si>
    <t>16GMA.8G</t>
  </si>
  <si>
    <t>S0152</t>
  </si>
  <si>
    <t>16GMA.9D</t>
  </si>
  <si>
    <t>S0153</t>
  </si>
  <si>
    <t>18GMA.3D</t>
  </si>
  <si>
    <t>S0154</t>
  </si>
  <si>
    <t>18GMA.2G</t>
  </si>
  <si>
    <t>S0155</t>
  </si>
  <si>
    <t>20GMA.6D</t>
  </si>
  <si>
    <t>S0156</t>
  </si>
  <si>
    <t>20GMA.8G</t>
  </si>
  <si>
    <t>S0157</t>
  </si>
  <si>
    <t>22GMA.3D</t>
  </si>
  <si>
    <t>S0281</t>
  </si>
  <si>
    <t>22GMA.7G</t>
  </si>
  <si>
    <t>S0282</t>
  </si>
  <si>
    <t>24GMA.6D</t>
  </si>
  <si>
    <t>S0283</t>
  </si>
  <si>
    <t>24GMA.5G</t>
  </si>
  <si>
    <t>S0284</t>
  </si>
  <si>
    <t>25GMA.3D</t>
  </si>
  <si>
    <t>S0285</t>
  </si>
  <si>
    <t>25GMA.3G</t>
  </si>
  <si>
    <t>S0286</t>
  </si>
  <si>
    <t>27GMA.7D</t>
  </si>
  <si>
    <t>S0287</t>
  </si>
  <si>
    <t>27GMA.7G</t>
  </si>
  <si>
    <t>30GMA.5D</t>
  </si>
  <si>
    <t>30GMA.5G</t>
  </si>
  <si>
    <t>31GMA.3D</t>
  </si>
  <si>
    <t>31GMA.2G</t>
  </si>
  <si>
    <t>33GMA.4D</t>
  </si>
  <si>
    <t>33GMA.4G</t>
  </si>
  <si>
    <t>36GMA.3D</t>
  </si>
  <si>
    <t>36GMA.3G</t>
  </si>
  <si>
    <t>37GMA.2G</t>
  </si>
  <si>
    <t>37GMA.3D</t>
  </si>
  <si>
    <t>42GMA.3D</t>
  </si>
  <si>
    <t>42GMA.3G</t>
  </si>
  <si>
    <t>44GMA.3G</t>
  </si>
  <si>
    <t>44GMA.3D</t>
  </si>
  <si>
    <t>C.600GMA.3D</t>
  </si>
  <si>
    <t>C.601GMA.1G</t>
  </si>
  <si>
    <t>FD1.GMA.2</t>
  </si>
  <si>
    <t>FD2.GMA.2</t>
  </si>
  <si>
    <t>FD3.GMA.2</t>
  </si>
  <si>
    <t>C.708.GV3.1</t>
  </si>
  <si>
    <t>59GV3.12D</t>
  </si>
  <si>
    <t>59GV3.12G</t>
  </si>
  <si>
    <t>65GV3.13G</t>
  </si>
  <si>
    <t>65.GV3.12D</t>
  </si>
  <si>
    <t>C.709.GV3</t>
  </si>
  <si>
    <t>69.GV3.4G</t>
  </si>
  <si>
    <t>70.GV3.1G</t>
  </si>
  <si>
    <t>70.GV3.2D</t>
  </si>
  <si>
    <t>72.GV3.10G</t>
  </si>
  <si>
    <t>C.710.GV3</t>
  </si>
  <si>
    <t>C.711.GV3</t>
  </si>
  <si>
    <t>75.GV3.2G</t>
  </si>
  <si>
    <t>77.GV3.10G</t>
  </si>
  <si>
    <t>77GV3.11D</t>
  </si>
  <si>
    <t>78.GV3.2D</t>
  </si>
  <si>
    <t>82.GV3.10D</t>
  </si>
  <si>
    <t>82.GV3.11G</t>
  </si>
  <si>
    <t>ST.84.GV3</t>
  </si>
  <si>
    <t>C.706.GV3.2</t>
  </si>
  <si>
    <t>87.GV3.8D</t>
  </si>
  <si>
    <t>87.GV3.10G</t>
  </si>
  <si>
    <t>92.GV3.3G</t>
  </si>
  <si>
    <t>92.GV3.2D</t>
  </si>
  <si>
    <t>100.GV3.2G</t>
  </si>
  <si>
    <t>102.GV3.5D</t>
  </si>
  <si>
    <t>102.GV3.4G</t>
  </si>
  <si>
    <t>001.S.GHA.11D</t>
  </si>
  <si>
    <t>001.S.GHA.7G</t>
  </si>
  <si>
    <t>002.S.GHA.3BD</t>
  </si>
  <si>
    <t>003.S.GHA.2BD</t>
  </si>
  <si>
    <t>003.S.GHA.3BG</t>
  </si>
  <si>
    <t>004.S.GHA.3BG</t>
  </si>
  <si>
    <t>004.S.GHA.8G</t>
  </si>
  <si>
    <t>004.S.GHA.9D</t>
  </si>
  <si>
    <t>005.i.GHA.1D</t>
  </si>
  <si>
    <t>006.I.GHA.1D</t>
  </si>
  <si>
    <t>009.S.GHA.13D</t>
  </si>
  <si>
    <t>009.S.GHA.13G</t>
  </si>
  <si>
    <t>010.i.GHA.2D</t>
  </si>
  <si>
    <t>013.S.GHA.11G</t>
  </si>
  <si>
    <t>013.S.GHA.8D</t>
  </si>
  <si>
    <t>013.i.GHA.2G</t>
  </si>
  <si>
    <t>015.S.GHA.10D</t>
  </si>
  <si>
    <t>015.S.GHA.5G</t>
  </si>
  <si>
    <t>018.S.GHA.10D</t>
  </si>
  <si>
    <t>018.S.GHA.9G</t>
  </si>
  <si>
    <t>021.S.GHA.10G</t>
  </si>
  <si>
    <t>021.S.GHA.8D</t>
  </si>
  <si>
    <t>022.i.GHA.2G</t>
  </si>
  <si>
    <t>024.S.GHA.8D</t>
  </si>
  <si>
    <t>024.S.GHA.9G</t>
  </si>
  <si>
    <t>027.i.GHA.2G</t>
  </si>
  <si>
    <t>027.S.GHA.8D</t>
  </si>
  <si>
    <t>027.S.GHA.9G</t>
  </si>
  <si>
    <t>032.S.GHA.6D</t>
  </si>
  <si>
    <t>032.S.GHA.6G</t>
  </si>
  <si>
    <t>037.S.GHA.3D</t>
  </si>
  <si>
    <t>037.S.GHA.3G</t>
  </si>
  <si>
    <t>107GV3.1G</t>
  </si>
  <si>
    <t>C1.FRONT.GHA.4</t>
  </si>
  <si>
    <t>C2.FRONT.GHA.3</t>
  </si>
  <si>
    <t>C3.FRONT.GHA.5</t>
  </si>
  <si>
    <t>C4.FRONT.GHA.2</t>
  </si>
  <si>
    <t>C5.FRONT.GHA.5</t>
  </si>
  <si>
    <t>R.1001</t>
  </si>
  <si>
    <t>REF_S105.1</t>
  </si>
  <si>
    <t>REF_S105.2</t>
  </si>
  <si>
    <t>REF_S105.3</t>
  </si>
  <si>
    <t>REF_S105.4</t>
  </si>
  <si>
    <t>REF_S105.5</t>
  </si>
  <si>
    <t>REF_S004.1</t>
  </si>
  <si>
    <t>REF_S004.2</t>
  </si>
  <si>
    <t>REF_S004.3</t>
  </si>
  <si>
    <t>REF_S004.4</t>
  </si>
  <si>
    <t>REF_S004.5</t>
  </si>
  <si>
    <t>REF_S004.6</t>
  </si>
  <si>
    <t>REF_S015.1</t>
  </si>
  <si>
    <t>REF_S015.2</t>
  </si>
  <si>
    <t>REF_S015.3</t>
  </si>
  <si>
    <t>REF_S015.4</t>
  </si>
  <si>
    <t>REF_S015.5</t>
  </si>
  <si>
    <t>REF_S015.6</t>
  </si>
  <si>
    <t>REF_S015.7</t>
  </si>
  <si>
    <t>REF_S028.1</t>
  </si>
  <si>
    <t>REF_S028.2</t>
  </si>
  <si>
    <t>REF_S028.3</t>
  </si>
  <si>
    <t>REF_S028.4</t>
  </si>
  <si>
    <t>REF_S028.5</t>
  </si>
  <si>
    <t>REF_S028.6</t>
  </si>
  <si>
    <t>REF_S028.7</t>
  </si>
  <si>
    <t>REF_S041.1</t>
  </si>
  <si>
    <t>REF_S041.2</t>
  </si>
  <si>
    <t>REF_S041.3</t>
  </si>
  <si>
    <t>X.4101.2.GHA</t>
  </si>
  <si>
    <t>X.4105.2.GHA</t>
  </si>
  <si>
    <t>X.4108.2.GHA</t>
  </si>
  <si>
    <t>X.4201.2.GHA</t>
  </si>
  <si>
    <t>X.4203.2.GHA</t>
  </si>
  <si>
    <t>X.4205.2.GHA</t>
  </si>
  <si>
    <t>X.4208.2.GHA</t>
  </si>
  <si>
    <t>X.4301.1.GHA</t>
  </si>
  <si>
    <t>X.4302.1.GHA</t>
  </si>
  <si>
    <t>X.4303.1.GHA</t>
  </si>
  <si>
    <t>X.4304.1.GHA</t>
  </si>
  <si>
    <t>X.4401.1.GHA</t>
  </si>
  <si>
    <t>X.4402.1.GHA</t>
  </si>
  <si>
    <t>X.4403.1.GHA</t>
  </si>
  <si>
    <t>X.4404.1.GHA</t>
  </si>
  <si>
    <t>Point</t>
  </si>
  <si>
    <t>X</t>
  </si>
  <si>
    <t>Y</t>
  </si>
  <si>
    <t>Z</t>
  </si>
  <si>
    <t>AXE GHA avec le Z pris sur la grande section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</si>
  <si>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</si>
  <si>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</si>
  <si>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</si>
  <si>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</si>
  <si>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</si>
  <si>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</si>
  <si>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</si>
  <si>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</si>
  <si>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</si>
  <si>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</si>
  <si>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</si>
  <si>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</si>
  <si>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</si>
  <si>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</si>
  <si>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</si>
  <si>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S2-C.541.GV3.6</t>
  </si>
  <si>
    <t>S4-C.541.GV3.6</t>
  </si>
  <si>
    <t>S4-C.540.GV3.5</t>
  </si>
  <si>
    <t>S3-103GV3.10D</t>
  </si>
  <si>
    <t>S4-103GV3.10D</t>
  </si>
  <si>
    <t>S1-105GV3.4D</t>
  </si>
  <si>
    <t>S1-105GV3.11G</t>
  </si>
  <si>
    <t>S4-C.707.GV3.4</t>
  </si>
  <si>
    <t>S2-C.521GMA.3</t>
  </si>
  <si>
    <t>S3-93GV3.12G</t>
  </si>
  <si>
    <t>S4-93GV3.12G</t>
  </si>
  <si>
    <t>S1-003.i.GHA.3G</t>
  </si>
  <si>
    <t>S1-003.i.GHA.4D</t>
  </si>
  <si>
    <t>S1-005i.GHA.2G</t>
  </si>
  <si>
    <t>S2-009.i.GHA.4D</t>
  </si>
  <si>
    <t>S1-009.i.GHA.4G</t>
  </si>
  <si>
    <t>S2-009.i.GHA.4G</t>
  </si>
  <si>
    <t>S3-009.i.GHA.4G</t>
  </si>
  <si>
    <t>S4-010.i.GHA.2G</t>
  </si>
  <si>
    <t>S1-013.i.GHA.3D</t>
  </si>
  <si>
    <t>S1-017.i.GHA.3D</t>
  </si>
  <si>
    <t>S1-017.i.GHA.3G</t>
  </si>
  <si>
    <t>S1-022.i.GHA.2D</t>
  </si>
  <si>
    <t>S3-022.i.GHA.2D</t>
  </si>
  <si>
    <t>S4-26</t>
  </si>
  <si>
    <t>S1-027.i.GHA.2G.1</t>
  </si>
  <si>
    <t>S2-027.i.GHA.2G.2</t>
  </si>
  <si>
    <t>S3-027.i.GHA.2G.3</t>
  </si>
  <si>
    <t>S1-027.i.GHA.2D</t>
  </si>
  <si>
    <t>S1-032.i.GHA.1G</t>
  </si>
  <si>
    <t>S1-032i.GHA.1D</t>
  </si>
  <si>
    <t>S2-104GV3.1D</t>
  </si>
  <si>
    <t>S3-104GV3.1D</t>
  </si>
  <si>
    <t>S4-S1051</t>
  </si>
  <si>
    <t>S4-REF_S105.1</t>
  </si>
  <si>
    <t>S4-S1052</t>
  </si>
  <si>
    <t>S4-REF_S105.2</t>
  </si>
  <si>
    <t>S4-S1053</t>
  </si>
  <si>
    <t>S4-REF_S105.3</t>
  </si>
  <si>
    <t>S4-S1054</t>
  </si>
  <si>
    <t>S4-REF_S105.4</t>
  </si>
  <si>
    <t>S4-S1055</t>
  </si>
  <si>
    <t>S4-REF_S105.5</t>
  </si>
  <si>
    <t>S2-S0041</t>
  </si>
  <si>
    <t>S2-REF_S004.1</t>
  </si>
  <si>
    <t>S3-S0411</t>
  </si>
  <si>
    <t>S3-REF_S004.1</t>
  </si>
  <si>
    <t>S2-S0042</t>
  </si>
  <si>
    <t>S2-REF_S004.2</t>
  </si>
  <si>
    <t>S3-S0412</t>
  </si>
  <si>
    <t>S3-REF_S004.2</t>
  </si>
  <si>
    <t>S2-S0043</t>
  </si>
  <si>
    <t>S2-REF_S004.3</t>
  </si>
  <si>
    <t>S2-S0044</t>
  </si>
  <si>
    <t>S2-REF_S004.4</t>
  </si>
  <si>
    <t>S3-S0415</t>
  </si>
  <si>
    <t>S3-REF_S004.5</t>
  </si>
  <si>
    <t>S2-S0046</t>
  </si>
  <si>
    <t>S2-REF_S004.6</t>
  </si>
  <si>
    <t>S3-S0416</t>
  </si>
  <si>
    <t>S3-REF_S004.6</t>
  </si>
  <si>
    <t>S2-S0151</t>
  </si>
  <si>
    <t>S2-REF_S015.1</t>
  </si>
  <si>
    <t>S151</t>
  </si>
  <si>
    <t>S3-S151</t>
  </si>
  <si>
    <t>S3-REF_S015.1</t>
  </si>
  <si>
    <t>S2-S0152</t>
  </si>
  <si>
    <t>S2-REF_S015.2</t>
  </si>
  <si>
    <t>S152</t>
  </si>
  <si>
    <t>S3-S152</t>
  </si>
  <si>
    <t>S3-REF_S015.2</t>
  </si>
  <si>
    <t>S2-S0153</t>
  </si>
  <si>
    <t>S2-REF_S015.3</t>
  </si>
  <si>
    <t>S153</t>
  </si>
  <si>
    <t>S3-S153</t>
  </si>
  <si>
    <t>S3-REF_S015.3</t>
  </si>
  <si>
    <t>S154</t>
  </si>
  <si>
    <t>S3-S154</t>
  </si>
  <si>
    <t>S3-REF_S015.4</t>
  </si>
  <si>
    <t>S2-S0155</t>
  </si>
  <si>
    <t>S2-REF_S015.5</t>
  </si>
  <si>
    <t>S155</t>
  </si>
  <si>
    <t>S3-S155</t>
  </si>
  <si>
    <t>S3-REF_S015.5</t>
  </si>
  <si>
    <t>S2-S0156</t>
  </si>
  <si>
    <t>S2-REF_S015.6</t>
  </si>
  <si>
    <t>S156</t>
  </si>
  <si>
    <t>S3-S156</t>
  </si>
  <si>
    <t>S3-REF_S015.6</t>
  </si>
  <si>
    <t>S2-S0157</t>
  </si>
  <si>
    <t>S2-REF_S015.7</t>
  </si>
  <si>
    <t>S157</t>
  </si>
  <si>
    <t>S3-S157</t>
  </si>
  <si>
    <t>S3-REF_S015.7</t>
  </si>
  <si>
    <t>S281</t>
  </si>
  <si>
    <t>S1-S281</t>
  </si>
  <si>
    <t>S1-REF_S028.1</t>
  </si>
  <si>
    <t>S2-S0281</t>
  </si>
  <si>
    <t>S2-REF_S028.1</t>
  </si>
  <si>
    <t>S3-S281</t>
  </si>
  <si>
    <t>S3-REF_S028.1</t>
  </si>
  <si>
    <t>S282</t>
  </si>
  <si>
    <t>S1-S282</t>
  </si>
  <si>
    <t>S1-REF_S028.2</t>
  </si>
  <si>
    <t>S2-S0282</t>
  </si>
  <si>
    <t>S2-REF_S028.2</t>
  </si>
  <si>
    <t>S3-S282</t>
  </si>
  <si>
    <t>S3-REF_S028.2</t>
  </si>
  <si>
    <t>S283</t>
  </si>
  <si>
    <t>S1-S283</t>
  </si>
  <si>
    <t>S1-REF_S028.3</t>
  </si>
  <si>
    <t>S2-S0283</t>
  </si>
  <si>
    <t>S2-REF_S028.3</t>
  </si>
  <si>
    <t>S3-S283</t>
  </si>
  <si>
    <t>S3-REF_S028.3</t>
  </si>
  <si>
    <t>S284</t>
  </si>
  <si>
    <t>S1-S284</t>
  </si>
  <si>
    <t>S1-REF_S028.4</t>
  </si>
  <si>
    <t>S2-S0284</t>
  </si>
  <si>
    <t>S2-REF_S028.4</t>
  </si>
  <si>
    <t>S3-S284</t>
  </si>
  <si>
    <t>S3-REF_S028.4</t>
  </si>
  <si>
    <t>S285</t>
  </si>
  <si>
    <t>S1-S285</t>
  </si>
  <si>
    <t>S1-REF_S028.5</t>
  </si>
  <si>
    <t>S2-S0285</t>
  </si>
  <si>
    <t>S2-REF_S028.5</t>
  </si>
  <si>
    <t>S3-S285</t>
  </si>
  <si>
    <t>S3-REF_S028.5</t>
  </si>
  <si>
    <t>S286</t>
  </si>
  <si>
    <t>S1-S286</t>
  </si>
  <si>
    <t>S1-REF_S028.6</t>
  </si>
  <si>
    <t>S2-S0286</t>
  </si>
  <si>
    <t>S2-REF_S028.6</t>
  </si>
  <si>
    <t>S3-S286</t>
  </si>
  <si>
    <t>S3-REF_S028.6</t>
  </si>
  <si>
    <t>S287</t>
  </si>
  <si>
    <t>S1-S287</t>
  </si>
  <si>
    <t>S1-REF_S028.7</t>
  </si>
  <si>
    <t>S2-S0287</t>
  </si>
  <si>
    <t>S2-REF_S028.7</t>
  </si>
  <si>
    <t>S3-S287</t>
  </si>
  <si>
    <t>S3-REF_S028.7</t>
  </si>
  <si>
    <t>027.i.GHA.3G</t>
  </si>
  <si>
    <t>027.i.GHA.3D</t>
  </si>
  <si>
    <t>032.i.GHA.2G</t>
  </si>
  <si>
    <t>032i.GHA.2D</t>
  </si>
  <si>
    <t>036.i.GHA.1G</t>
  </si>
  <si>
    <t>036.i.GHA.1D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</si>
</sst>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6" fillId="0" borderId="14" xfId="0" applyFont="1" applyBorder="1" applyAlignment="1">
      <alignment horizontal="center" vertical="top"/>
    </xf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5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03"/>
  <sheetViews>
    <sheetView topLeftCell="A41" workbookViewId="0">
      <selection activeCell="L56" sqref="L56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823166.58900000004</v>
      </c>
      <c r="C2" s="3">
        <v>1091482.4269999999</v>
      </c>
      <c r="D2" s="3">
        <v>-124.121</v>
      </c>
      <c r="E2" s="4" t="s">
        <v>9</v>
      </c>
      <c r="F2" s="4">
        <v>823251.28</v>
      </c>
      <c r="G2" s="4">
        <v>1091521.5663999999</v>
      </c>
      <c r="H2" s="4">
        <v>-123.6823</v>
      </c>
    </row>
    <row r="3" spans="1:8" x14ac:dyDescent="0.25">
      <c r="A3" s="3" t="s">
        <v>10</v>
      </c>
      <c r="B3" s="3">
        <v>823192.84</v>
      </c>
      <c r="C3" s="3">
        <v>1091489.3806</v>
      </c>
      <c r="D3" s="3">
        <v>-124.0842</v>
      </c>
      <c r="E3" s="4" t="s">
        <v>11</v>
      </c>
      <c r="F3" s="4">
        <v>823257.01</v>
      </c>
      <c r="G3" s="4">
        <v>1091518.9754000001</v>
      </c>
      <c r="H3" s="4">
        <v>-123.5299</v>
      </c>
    </row>
    <row r="4" spans="1:8" x14ac:dyDescent="0.25">
      <c r="A4" s="3" t="s">
        <v>12</v>
      </c>
      <c r="B4" s="3">
        <v>823208.5993</v>
      </c>
      <c r="C4" s="3">
        <v>1091501.6991999999</v>
      </c>
      <c r="D4" s="3">
        <v>-125.3415</v>
      </c>
      <c r="E4" s="4" t="s">
        <v>13</v>
      </c>
      <c r="F4" s="4">
        <v>823265.72109999997</v>
      </c>
      <c r="G4" s="4">
        <v>1091522.99545</v>
      </c>
      <c r="H4" s="4">
        <v>-123.5355</v>
      </c>
    </row>
    <row r="5" spans="1:8" x14ac:dyDescent="0.25">
      <c r="A5" s="3" t="s">
        <v>14</v>
      </c>
      <c r="B5" s="3">
        <v>823217.33799999999</v>
      </c>
      <c r="C5" s="3">
        <v>1091502.6070000001</v>
      </c>
      <c r="D5" s="3">
        <v>-124.072</v>
      </c>
      <c r="E5" s="4" t="s">
        <v>15</v>
      </c>
      <c r="F5" s="4">
        <v>823268.01560000004</v>
      </c>
      <c r="G5" s="4">
        <v>1091524.2714</v>
      </c>
      <c r="H5" s="4">
        <v>-123.447</v>
      </c>
    </row>
    <row r="6" spans="1:8" x14ac:dyDescent="0.25">
      <c r="A6" s="3" t="s">
        <v>16</v>
      </c>
      <c r="B6" s="3">
        <v>823259.70369999995</v>
      </c>
      <c r="C6" s="3">
        <v>1091520.2222</v>
      </c>
      <c r="D6" s="3">
        <v>-123.6126</v>
      </c>
      <c r="E6" s="4" t="s">
        <v>17</v>
      </c>
      <c r="F6" s="4">
        <v>823265.88800000004</v>
      </c>
      <c r="G6" s="4">
        <v>1091528.838</v>
      </c>
      <c r="H6" s="4">
        <v>-123.4423</v>
      </c>
    </row>
    <row r="7" spans="1:8" x14ac:dyDescent="0.25">
      <c r="A7" s="3" t="s">
        <v>18</v>
      </c>
      <c r="B7" s="3">
        <v>823249.78780000005</v>
      </c>
      <c r="C7" s="3">
        <v>1091515.5281</v>
      </c>
      <c r="D7" s="3">
        <v>-123.60299999999999</v>
      </c>
      <c r="E7" s="4" t="s">
        <v>19</v>
      </c>
      <c r="F7" s="4">
        <v>823224.73419999995</v>
      </c>
      <c r="G7" s="4">
        <v>1091509.0700999999</v>
      </c>
      <c r="H7" s="4">
        <v>-123.9748</v>
      </c>
    </row>
    <row r="8" spans="1:8" x14ac:dyDescent="0.25">
      <c r="A8" s="3" t="s">
        <v>9</v>
      </c>
      <c r="B8" s="3">
        <v>823251.28060000006</v>
      </c>
      <c r="C8" s="3">
        <v>1091521.5682999999</v>
      </c>
      <c r="D8" s="3">
        <v>-123.6816</v>
      </c>
      <c r="E8" s="4" t="s">
        <v>20</v>
      </c>
      <c r="F8" s="4">
        <v>823257.99419999996</v>
      </c>
      <c r="G8" s="4">
        <v>1091526.2734000001</v>
      </c>
      <c r="H8" s="4">
        <v>-123.2516</v>
      </c>
    </row>
    <row r="9" spans="1:8" x14ac:dyDescent="0.25">
      <c r="A9" s="3" t="s">
        <v>21</v>
      </c>
      <c r="B9" s="3">
        <v>823253.32090000005</v>
      </c>
      <c r="C9" s="3">
        <v>1091517.2276999999</v>
      </c>
      <c r="D9" s="3">
        <v>-123.5538</v>
      </c>
      <c r="E9" s="4" t="s">
        <v>22</v>
      </c>
      <c r="F9" s="4">
        <v>823256.60810000007</v>
      </c>
      <c r="G9" s="4">
        <v>1091524.4798999999</v>
      </c>
      <c r="H9" s="4">
        <v>-123.70845</v>
      </c>
    </row>
    <row r="10" spans="1:8" x14ac:dyDescent="0.25">
      <c r="A10" s="3" t="s">
        <v>23</v>
      </c>
      <c r="B10" s="3">
        <v>823251.15339999995</v>
      </c>
      <c r="C10" s="3">
        <v>1091522.1115999999</v>
      </c>
      <c r="D10" s="3">
        <v>-123.63930000000001</v>
      </c>
      <c r="E10" s="4" t="s">
        <v>24</v>
      </c>
      <c r="F10" s="4">
        <v>823268.98869999999</v>
      </c>
      <c r="G10" s="4">
        <v>1091530.5759000001</v>
      </c>
      <c r="H10" s="4">
        <v>-124.2641</v>
      </c>
    </row>
    <row r="11" spans="1:8" x14ac:dyDescent="0.25">
      <c r="A11" s="3" t="s">
        <v>25</v>
      </c>
      <c r="B11" s="3">
        <v>823255.20970000001</v>
      </c>
      <c r="C11" s="3">
        <v>1091518.1302</v>
      </c>
      <c r="D11" s="3">
        <v>-123.6383</v>
      </c>
      <c r="E11" s="4" t="s">
        <v>26</v>
      </c>
      <c r="F11" s="4">
        <v>823268.98869999999</v>
      </c>
      <c r="G11" s="4">
        <v>1091530.5759000001</v>
      </c>
      <c r="H11" s="4">
        <v>-124.2641</v>
      </c>
    </row>
    <row r="12" spans="1:8" x14ac:dyDescent="0.25">
      <c r="A12" s="3" t="s">
        <v>11</v>
      </c>
      <c r="B12" s="3">
        <v>823257.01199999999</v>
      </c>
      <c r="C12" s="3">
        <v>1091518.9757999999</v>
      </c>
      <c r="D12" s="3">
        <v>-123.5288</v>
      </c>
      <c r="E12" s="4" t="s">
        <v>27</v>
      </c>
      <c r="F12" s="4">
        <v>823271.31480000005</v>
      </c>
      <c r="G12" s="4">
        <v>1091525.4783000001</v>
      </c>
      <c r="H12" s="4">
        <v>-124.3087</v>
      </c>
    </row>
    <row r="13" spans="1:8" x14ac:dyDescent="0.25">
      <c r="A13" s="3" t="s">
        <v>28</v>
      </c>
      <c r="B13" s="3">
        <v>823258.26150000002</v>
      </c>
      <c r="C13" s="3">
        <v>1091519.9332000001</v>
      </c>
      <c r="D13" s="3">
        <v>-124.8558</v>
      </c>
      <c r="E13" s="4" t="s">
        <v>29</v>
      </c>
      <c r="F13" s="4">
        <v>823271.31480000005</v>
      </c>
      <c r="G13" s="4">
        <v>1091525.4783000001</v>
      </c>
      <c r="H13" s="4">
        <v>-124.3087</v>
      </c>
    </row>
    <row r="14" spans="1:8" x14ac:dyDescent="0.25">
      <c r="A14" s="3" t="s">
        <v>30</v>
      </c>
      <c r="B14" s="3">
        <v>823258.07960000006</v>
      </c>
      <c r="C14" s="3">
        <v>1091525.5318</v>
      </c>
      <c r="D14" s="3">
        <v>-123.6708</v>
      </c>
      <c r="E14" s="4" t="s">
        <v>31</v>
      </c>
      <c r="F14" s="4">
        <v>823269.9754</v>
      </c>
      <c r="G14" s="4">
        <v>1091531.8281</v>
      </c>
      <c r="H14" s="4">
        <v>-124.43429999999999</v>
      </c>
    </row>
    <row r="15" spans="1:8" x14ac:dyDescent="0.25">
      <c r="A15" s="3" t="s">
        <v>32</v>
      </c>
      <c r="B15" s="3">
        <v>823260.88089999999</v>
      </c>
      <c r="C15" s="3">
        <v>1091520.7357000001</v>
      </c>
      <c r="D15" s="3">
        <v>-123.6129</v>
      </c>
      <c r="E15" s="4" t="s">
        <v>33</v>
      </c>
      <c r="F15" s="4">
        <v>823276.08660000004</v>
      </c>
      <c r="G15" s="4">
        <v>1091526.3333000001</v>
      </c>
      <c r="H15" s="4">
        <v>-125.01049999999999</v>
      </c>
    </row>
    <row r="16" spans="1:8" x14ac:dyDescent="0.25">
      <c r="A16" s="3" t="s">
        <v>34</v>
      </c>
      <c r="B16" s="3">
        <v>823262.63390000002</v>
      </c>
      <c r="C16" s="3">
        <v>1091521.6285000001</v>
      </c>
      <c r="D16" s="3">
        <v>-123.71639999999999</v>
      </c>
      <c r="E16" s="4" t="s">
        <v>35</v>
      </c>
      <c r="F16" s="4">
        <v>823272.57853333338</v>
      </c>
      <c r="G16" s="4">
        <v>1091533.6698666669</v>
      </c>
      <c r="H16" s="4">
        <v>-124.94403333333329</v>
      </c>
    </row>
    <row r="17" spans="1:8" x14ac:dyDescent="0.25">
      <c r="A17" s="3" t="s">
        <v>36</v>
      </c>
      <c r="B17" s="3">
        <v>823262.48490000004</v>
      </c>
      <c r="C17" s="3">
        <v>1091524.2412</v>
      </c>
      <c r="D17" s="3">
        <v>-125.1139</v>
      </c>
      <c r="E17" s="4" t="s">
        <v>37</v>
      </c>
      <c r="F17" s="4">
        <v>823273.30119999999</v>
      </c>
      <c r="G17" s="4">
        <v>1091533.7515</v>
      </c>
      <c r="H17" s="4">
        <v>-125.319</v>
      </c>
    </row>
    <row r="18" spans="1:8" x14ac:dyDescent="0.25">
      <c r="A18" s="3" t="s">
        <v>38</v>
      </c>
      <c r="B18" s="3">
        <v>823263.54669999995</v>
      </c>
      <c r="C18" s="3">
        <v>1091521.9743999999</v>
      </c>
      <c r="D18" s="3">
        <v>-123.5279</v>
      </c>
      <c r="E18" s="4" t="s">
        <v>39</v>
      </c>
      <c r="F18" s="4">
        <v>823278.71189999999</v>
      </c>
      <c r="G18" s="4">
        <v>1091527.5963999999</v>
      </c>
      <c r="H18" s="4">
        <v>-125.11750000000001</v>
      </c>
    </row>
    <row r="19" spans="1:8" x14ac:dyDescent="0.25">
      <c r="A19" s="3" t="s">
        <v>40</v>
      </c>
      <c r="B19" s="3">
        <v>823264.6801</v>
      </c>
      <c r="C19" s="3">
        <v>1091522.5618</v>
      </c>
      <c r="D19" s="3">
        <v>-123.70569999999999</v>
      </c>
      <c r="E19" s="4" t="s">
        <v>41</v>
      </c>
      <c r="F19" s="4">
        <v>823281.80160000001</v>
      </c>
      <c r="G19" s="4">
        <v>1091529.1745</v>
      </c>
      <c r="H19" s="4">
        <v>-125.17749999999999</v>
      </c>
    </row>
    <row r="20" spans="1:8" x14ac:dyDescent="0.25">
      <c r="A20" s="3" t="s">
        <v>42</v>
      </c>
      <c r="B20" s="3">
        <v>823263.27320000005</v>
      </c>
      <c r="C20" s="3">
        <v>1091527.9987999999</v>
      </c>
      <c r="D20" s="3">
        <v>-123.74209999999999</v>
      </c>
      <c r="E20" s="4" t="s">
        <v>43</v>
      </c>
      <c r="F20" s="4">
        <v>823278.49439999997</v>
      </c>
      <c r="G20" s="4">
        <v>1091536.2307</v>
      </c>
      <c r="H20" s="4">
        <v>-125.1895</v>
      </c>
    </row>
    <row r="21" spans="1:8" x14ac:dyDescent="0.25">
      <c r="A21" s="3" t="s">
        <v>13</v>
      </c>
      <c r="B21" s="3">
        <v>823265.72169999999</v>
      </c>
      <c r="C21" s="3">
        <v>1091522.9946000001</v>
      </c>
      <c r="D21" s="3">
        <v>-123.5341</v>
      </c>
      <c r="E21" s="4" t="s">
        <v>44</v>
      </c>
      <c r="F21" s="4">
        <v>823285.58269999991</v>
      </c>
      <c r="G21" s="4">
        <v>1091530.9966</v>
      </c>
      <c r="H21" s="4">
        <v>-125.29640000000001</v>
      </c>
    </row>
    <row r="22" spans="1:8" x14ac:dyDescent="0.25">
      <c r="A22" s="3" t="s">
        <v>45</v>
      </c>
      <c r="B22" s="3">
        <v>823267.1568</v>
      </c>
      <c r="C22" s="3">
        <v>1091523.6514000001</v>
      </c>
      <c r="D22" s="3">
        <v>-123.4496</v>
      </c>
      <c r="E22" s="4">
        <v>26</v>
      </c>
      <c r="F22" s="4">
        <v>823285.58100000001</v>
      </c>
      <c r="G22" s="4">
        <v>1091530.9953999999</v>
      </c>
      <c r="H22" s="4">
        <v>-125.29519999999999</v>
      </c>
    </row>
    <row r="23" spans="1:8" x14ac:dyDescent="0.25">
      <c r="A23" s="3" t="s">
        <v>15</v>
      </c>
      <c r="B23" s="3">
        <v>823268.01500000001</v>
      </c>
      <c r="C23" s="3">
        <v>1091524.2712999999</v>
      </c>
      <c r="D23" s="3">
        <v>-123.4455</v>
      </c>
      <c r="E23" s="4" t="s">
        <v>46</v>
      </c>
      <c r="F23" s="4">
        <v>823285.76729999995</v>
      </c>
      <c r="G23" s="4">
        <v>1091539.4580000001</v>
      </c>
      <c r="H23" s="4">
        <v>-125.2642</v>
      </c>
    </row>
    <row r="24" spans="1:8" x14ac:dyDescent="0.25">
      <c r="A24" s="3" t="s">
        <v>17</v>
      </c>
      <c r="B24" s="3">
        <v>823265.88659999997</v>
      </c>
      <c r="C24" s="3">
        <v>1091528.8396999999</v>
      </c>
      <c r="D24" s="3">
        <v>-123.44</v>
      </c>
      <c r="E24" s="4" t="s">
        <v>47</v>
      </c>
      <c r="F24" s="4">
        <v>823285.76659999997</v>
      </c>
      <c r="G24" s="4">
        <v>1091539.4575</v>
      </c>
      <c r="H24" s="4">
        <v>-125.2649</v>
      </c>
    </row>
    <row r="25" spans="1:8" x14ac:dyDescent="0.25">
      <c r="A25" s="3" t="s">
        <v>48</v>
      </c>
      <c r="B25" s="3">
        <v>823269.87230000005</v>
      </c>
      <c r="C25" s="3">
        <v>1091524.9247000001</v>
      </c>
      <c r="D25" s="3">
        <v>-123.6073</v>
      </c>
      <c r="E25" s="4" t="s">
        <v>49</v>
      </c>
      <c r="F25" s="4">
        <v>823285.76630000002</v>
      </c>
      <c r="G25" s="4">
        <v>1091539.4569999999</v>
      </c>
      <c r="H25" s="4">
        <v>-125.265</v>
      </c>
    </row>
    <row r="26" spans="1:8" x14ac:dyDescent="0.25">
      <c r="A26" s="3" t="s">
        <v>50</v>
      </c>
      <c r="B26" s="3">
        <v>823267.59510000004</v>
      </c>
      <c r="C26" s="3">
        <v>1091529.818</v>
      </c>
      <c r="D26" s="3">
        <v>-123.4263</v>
      </c>
      <c r="E26" s="4" t="s">
        <v>51</v>
      </c>
      <c r="F26" s="4">
        <v>823288.87239999999</v>
      </c>
      <c r="G26" s="4">
        <v>1091532.6170000001</v>
      </c>
      <c r="H26" s="4">
        <v>-125.34529999999999</v>
      </c>
    </row>
    <row r="27" spans="1:8" x14ac:dyDescent="0.25">
      <c r="A27" s="3" t="s">
        <v>52</v>
      </c>
      <c r="B27" s="3">
        <v>823217.47479999997</v>
      </c>
      <c r="C27" s="3">
        <v>1091503.9295999999</v>
      </c>
      <c r="D27" s="3">
        <v>-125.6442</v>
      </c>
      <c r="E27" s="4" t="s">
        <v>53</v>
      </c>
      <c r="F27" s="4">
        <v>823289.33539999998</v>
      </c>
      <c r="G27" s="4">
        <v>1091541.1063999999</v>
      </c>
      <c r="H27" s="4">
        <v>-125.2529</v>
      </c>
    </row>
    <row r="28" spans="1:8" x14ac:dyDescent="0.25">
      <c r="A28" s="3" t="s">
        <v>54</v>
      </c>
      <c r="B28" s="3">
        <v>823220.69299999997</v>
      </c>
      <c r="C28" s="3">
        <v>1091507.9064</v>
      </c>
      <c r="D28" s="3">
        <v>-124.55200000000001</v>
      </c>
      <c r="E28" s="4" t="s">
        <v>55</v>
      </c>
      <c r="F28" s="4">
        <v>823292.41220000002</v>
      </c>
      <c r="G28" s="4">
        <v>1091534.3559999999</v>
      </c>
      <c r="H28" s="4">
        <v>-125.4661</v>
      </c>
    </row>
    <row r="29" spans="1:8" x14ac:dyDescent="0.25">
      <c r="A29" s="3" t="s">
        <v>56</v>
      </c>
      <c r="B29" s="3">
        <v>823222.98580000002</v>
      </c>
      <c r="C29" s="3">
        <v>1091503.1395</v>
      </c>
      <c r="D29" s="3">
        <v>-124.7071</v>
      </c>
      <c r="E29" s="4" t="s">
        <v>57</v>
      </c>
      <c r="F29" s="4">
        <v>823267.34434999991</v>
      </c>
      <c r="G29" s="4">
        <v>1091523.9787999999</v>
      </c>
      <c r="H29" s="4">
        <v>-124.48605000000001</v>
      </c>
    </row>
    <row r="30" spans="1:8" x14ac:dyDescent="0.25">
      <c r="A30" s="3" t="s">
        <v>58</v>
      </c>
      <c r="B30" s="3">
        <v>823224.91700000002</v>
      </c>
      <c r="C30" s="3">
        <v>1091504.175</v>
      </c>
      <c r="D30" s="3">
        <v>-123.6866</v>
      </c>
      <c r="E30" s="4" t="s">
        <v>59</v>
      </c>
      <c r="F30" s="4">
        <v>823266.44689999998</v>
      </c>
      <c r="G30" s="4">
        <v>1091528.835</v>
      </c>
      <c r="H30" s="4">
        <v>-124.6861</v>
      </c>
    </row>
    <row r="31" spans="1:8" x14ac:dyDescent="0.25">
      <c r="A31" s="3" t="s">
        <v>60</v>
      </c>
      <c r="B31" s="3">
        <v>823222.81610000005</v>
      </c>
      <c r="C31" s="3">
        <v>1091508.7026</v>
      </c>
      <c r="D31" s="3">
        <v>-123.6999</v>
      </c>
      <c r="E31" s="4" t="s">
        <v>61</v>
      </c>
      <c r="F31" s="4">
        <v>823266.33950000012</v>
      </c>
      <c r="G31" s="4">
        <v>1091529.037</v>
      </c>
      <c r="H31" s="4">
        <v>-123.096</v>
      </c>
    </row>
    <row r="32" spans="1:8" x14ac:dyDescent="0.25">
      <c r="A32" s="3" t="s">
        <v>19</v>
      </c>
      <c r="B32" s="3">
        <v>823224.73430000001</v>
      </c>
      <c r="C32" s="3">
        <v>1091509.0695</v>
      </c>
      <c r="D32" s="3">
        <v>-123.97669999999999</v>
      </c>
      <c r="E32" s="4" t="s">
        <v>62</v>
      </c>
      <c r="F32" s="4">
        <v>823267.44909999997</v>
      </c>
      <c r="G32" s="4">
        <v>1091526.5933999999</v>
      </c>
      <c r="H32" s="4">
        <v>-121.00709999999999</v>
      </c>
    </row>
    <row r="33" spans="1:8" x14ac:dyDescent="0.25">
      <c r="A33" s="3" t="s">
        <v>63</v>
      </c>
      <c r="B33" s="3">
        <v>823258.05489999999</v>
      </c>
      <c r="C33" s="3">
        <v>1091526.3359999999</v>
      </c>
      <c r="D33" s="3">
        <v>-123.4444</v>
      </c>
      <c r="E33" s="4" t="s">
        <v>64</v>
      </c>
      <c r="F33" s="4">
        <v>823268.60329999996</v>
      </c>
      <c r="G33" s="4">
        <v>1091524.5222</v>
      </c>
      <c r="H33" s="4">
        <v>-123.03740000000001</v>
      </c>
    </row>
    <row r="34" spans="1:8" x14ac:dyDescent="0.25">
      <c r="A34" s="3" t="s">
        <v>65</v>
      </c>
      <c r="B34" s="3">
        <v>823262.64289999998</v>
      </c>
      <c r="C34" s="3">
        <v>1091528.4848</v>
      </c>
      <c r="D34" s="3">
        <v>-123.447</v>
      </c>
      <c r="E34" s="4" t="s">
        <v>66</v>
      </c>
      <c r="F34" s="4">
        <v>823268.39080000005</v>
      </c>
      <c r="G34" s="4">
        <v>1091524.6169</v>
      </c>
      <c r="H34" s="4">
        <v>-124.76139999999999</v>
      </c>
    </row>
    <row r="35" spans="1:8" x14ac:dyDescent="0.25">
      <c r="A35" s="3" t="s">
        <v>67</v>
      </c>
      <c r="B35" s="3">
        <v>823262.22649999999</v>
      </c>
      <c r="C35" s="3">
        <v>1091529.8646</v>
      </c>
      <c r="D35" s="3">
        <v>-123.2349</v>
      </c>
      <c r="E35" s="4" t="s">
        <v>68</v>
      </c>
      <c r="F35" s="4">
        <v>823270.08224999998</v>
      </c>
      <c r="G35" s="4">
        <v>1091531.797175</v>
      </c>
      <c r="H35" s="4">
        <v>-124.85595000000001</v>
      </c>
    </row>
    <row r="36" spans="1:8" x14ac:dyDescent="0.25">
      <c r="A36" s="3" t="s">
        <v>69</v>
      </c>
      <c r="B36" s="3">
        <v>823257.43339999998</v>
      </c>
      <c r="C36" s="3">
        <v>1091527.5048</v>
      </c>
      <c r="D36" s="3">
        <v>-124.1901</v>
      </c>
      <c r="E36" s="4" t="s">
        <v>70</v>
      </c>
      <c r="F36" s="4">
        <v>823270.0821</v>
      </c>
      <c r="G36" s="4">
        <v>1091531.7962</v>
      </c>
      <c r="H36" s="4">
        <v>-124.8561</v>
      </c>
    </row>
    <row r="37" spans="1:8" x14ac:dyDescent="0.25">
      <c r="A37" s="3" t="s">
        <v>71</v>
      </c>
      <c r="B37" s="3">
        <v>823256.81359999999</v>
      </c>
      <c r="C37" s="3">
        <v>1091529.0878999999</v>
      </c>
      <c r="D37" s="3">
        <v>-123.5196</v>
      </c>
      <c r="E37" s="4" t="s">
        <v>72</v>
      </c>
      <c r="F37" s="4">
        <v>823270.17244999995</v>
      </c>
      <c r="G37" s="4">
        <v>1091532.3008000001</v>
      </c>
      <c r="H37" s="4">
        <v>-122.594275</v>
      </c>
    </row>
    <row r="38" spans="1:8" x14ac:dyDescent="0.25">
      <c r="A38" s="3" t="s">
        <v>73</v>
      </c>
      <c r="B38" s="3">
        <v>823261.36040000001</v>
      </c>
      <c r="C38" s="3">
        <v>1091531.179</v>
      </c>
      <c r="D38" s="3">
        <v>-123.4311</v>
      </c>
      <c r="E38" s="4" t="s">
        <v>74</v>
      </c>
      <c r="F38" s="4">
        <v>823270.17200000002</v>
      </c>
      <c r="G38" s="4">
        <v>1091532.2996</v>
      </c>
      <c r="H38" s="4">
        <v>-122.5945</v>
      </c>
    </row>
    <row r="39" spans="1:8" x14ac:dyDescent="0.25">
      <c r="A39" s="3" t="s">
        <v>75</v>
      </c>
      <c r="B39" s="3">
        <v>823260.7781</v>
      </c>
      <c r="C39" s="3">
        <v>1091532.6214999999</v>
      </c>
      <c r="D39" s="3">
        <v>-123.7998</v>
      </c>
      <c r="E39" s="4" t="s">
        <v>76</v>
      </c>
      <c r="F39" s="4">
        <v>823270.52379999997</v>
      </c>
      <c r="G39" s="4">
        <v>1091531.1721999999</v>
      </c>
      <c r="H39" s="4">
        <v>-120.53830000000001</v>
      </c>
    </row>
    <row r="40" spans="1:8" x14ac:dyDescent="0.25">
      <c r="A40" s="3" t="s">
        <v>77</v>
      </c>
      <c r="B40" s="3">
        <v>823256.16850000003</v>
      </c>
      <c r="C40" s="3">
        <v>1091530.3462</v>
      </c>
      <c r="D40" s="3">
        <v>-124.3432</v>
      </c>
      <c r="E40" s="4" t="s">
        <v>78</v>
      </c>
      <c r="F40" s="4">
        <v>823271.65009999985</v>
      </c>
      <c r="G40" s="4">
        <v>1091528.7235999999</v>
      </c>
      <c r="H40" s="4">
        <v>-119.4295</v>
      </c>
    </row>
    <row r="41" spans="1:8" x14ac:dyDescent="0.25">
      <c r="A41" s="3" t="s">
        <v>79</v>
      </c>
      <c r="B41" s="3">
        <v>823255.13199999998</v>
      </c>
      <c r="C41" s="3">
        <v>1091532.6932999999</v>
      </c>
      <c r="D41" s="3">
        <v>-123.3849</v>
      </c>
      <c r="E41" s="4" t="s">
        <v>80</v>
      </c>
      <c r="F41" s="4">
        <v>823272.91020000004</v>
      </c>
      <c r="G41" s="4">
        <v>1091526.2801999999</v>
      </c>
      <c r="H41" s="4">
        <v>-120.4074</v>
      </c>
    </row>
    <row r="42" spans="1:8" x14ac:dyDescent="0.25">
      <c r="A42" s="3" t="s">
        <v>81</v>
      </c>
      <c r="B42" s="3">
        <v>823254.66910000006</v>
      </c>
      <c r="C42" s="3">
        <v>1091533.1189999999</v>
      </c>
      <c r="D42" s="3">
        <v>-123.7453</v>
      </c>
      <c r="E42" s="4" t="s">
        <v>82</v>
      </c>
      <c r="F42" s="4">
        <v>823272.91020000004</v>
      </c>
      <c r="G42" s="4">
        <v>1091526.2801999999</v>
      </c>
      <c r="H42" s="4">
        <v>-120.4074</v>
      </c>
    </row>
    <row r="43" spans="1:8" x14ac:dyDescent="0.25">
      <c r="A43" s="3" t="s">
        <v>83</v>
      </c>
      <c r="B43" s="3">
        <v>823259.58010000002</v>
      </c>
      <c r="C43" s="3">
        <v>1091535.3969000001</v>
      </c>
      <c r="D43" s="3">
        <v>-124.1478</v>
      </c>
      <c r="E43" s="4" t="s">
        <v>84</v>
      </c>
      <c r="F43" s="4">
        <v>823273.30977500009</v>
      </c>
      <c r="G43" s="4">
        <v>1091525.2719749999</v>
      </c>
      <c r="H43" s="4">
        <v>-122.522475</v>
      </c>
    </row>
    <row r="44" spans="1:8" x14ac:dyDescent="0.25">
      <c r="A44" s="3" t="s">
        <v>85</v>
      </c>
      <c r="B44" s="3">
        <v>823258.35219999996</v>
      </c>
      <c r="C44" s="3">
        <v>1091537.1768</v>
      </c>
      <c r="D44" s="3">
        <v>-123.5</v>
      </c>
      <c r="E44" s="4" t="s">
        <v>86</v>
      </c>
      <c r="F44" s="4">
        <v>823273.30940000003</v>
      </c>
      <c r="G44" s="4">
        <v>1091525.2716000001</v>
      </c>
      <c r="H44" s="4">
        <v>-122.5227</v>
      </c>
    </row>
    <row r="45" spans="1:8" x14ac:dyDescent="0.25">
      <c r="A45" s="3" t="s">
        <v>87</v>
      </c>
      <c r="B45" s="3">
        <v>823254.08770000003</v>
      </c>
      <c r="C45" s="3">
        <v>1091535.3685000001</v>
      </c>
      <c r="D45" s="3">
        <v>-123.5765</v>
      </c>
      <c r="E45" s="4" t="s">
        <v>88</v>
      </c>
      <c r="F45" s="4">
        <v>823276.79940000002</v>
      </c>
      <c r="G45" s="4">
        <v>1091535.58445</v>
      </c>
      <c r="H45" s="4">
        <v>-124.8139</v>
      </c>
    </row>
    <row r="46" spans="1:8" x14ac:dyDescent="0.25">
      <c r="A46" s="3" t="s">
        <v>89</v>
      </c>
      <c r="B46" s="3">
        <v>823252.77469999995</v>
      </c>
      <c r="C46" s="3">
        <v>1091538.2753000001</v>
      </c>
      <c r="D46" s="3">
        <v>-123.6797</v>
      </c>
      <c r="E46" s="4" t="s">
        <v>90</v>
      </c>
      <c r="F46" s="4">
        <v>823276.83984999999</v>
      </c>
      <c r="G46" s="4">
        <v>1091536.2701000001</v>
      </c>
      <c r="H46" s="4">
        <v>-122.4346</v>
      </c>
    </row>
    <row r="47" spans="1:8" x14ac:dyDescent="0.25">
      <c r="A47" s="3" t="s">
        <v>91</v>
      </c>
      <c r="B47" s="3">
        <v>823256.70449999999</v>
      </c>
      <c r="C47" s="3">
        <v>1091540.6655999999</v>
      </c>
      <c r="D47" s="3">
        <v>-123.40989999999999</v>
      </c>
      <c r="E47" s="4" t="s">
        <v>92</v>
      </c>
      <c r="F47" s="4">
        <v>823277.29614999995</v>
      </c>
      <c r="G47" s="4">
        <v>1091534.9955</v>
      </c>
      <c r="H47" s="4">
        <v>-119.54805</v>
      </c>
    </row>
    <row r="48" spans="1:8" x14ac:dyDescent="0.25">
      <c r="A48" s="3" t="s">
        <v>93</v>
      </c>
      <c r="B48" s="3">
        <v>823255.72439999995</v>
      </c>
      <c r="C48" s="3">
        <v>1091542.4032000001</v>
      </c>
      <c r="D48" s="3">
        <v>-124.11360000000001</v>
      </c>
      <c r="E48" s="4" t="s">
        <v>94</v>
      </c>
      <c r="F48" s="4">
        <v>823278.79489999998</v>
      </c>
      <c r="G48" s="4">
        <v>1091532.0393999999</v>
      </c>
      <c r="H48" s="4">
        <v>-118.0802</v>
      </c>
    </row>
    <row r="49" spans="1:8" x14ac:dyDescent="0.25">
      <c r="A49" s="3" t="s">
        <v>95</v>
      </c>
      <c r="B49" s="3">
        <v>823251.91299999994</v>
      </c>
      <c r="C49" s="3">
        <v>1091540.4410000001</v>
      </c>
      <c r="D49" s="3">
        <v>-124.172</v>
      </c>
      <c r="E49" s="4" t="s">
        <v>96</v>
      </c>
      <c r="F49" s="4">
        <v>823280.14209999994</v>
      </c>
      <c r="G49" s="4">
        <v>1091529.0449999999</v>
      </c>
      <c r="H49" s="4">
        <v>-119.449</v>
      </c>
    </row>
    <row r="50" spans="1:8" x14ac:dyDescent="0.25">
      <c r="A50" s="3" t="s">
        <v>97</v>
      </c>
      <c r="B50" s="3">
        <v>823254.84600000002</v>
      </c>
      <c r="C50" s="3">
        <v>1091544.585</v>
      </c>
      <c r="D50" s="3">
        <v>-123.495</v>
      </c>
      <c r="E50" s="4" t="s">
        <v>98</v>
      </c>
      <c r="F50" s="4">
        <v>823280.65804999985</v>
      </c>
      <c r="G50" s="4">
        <v>1091527.9034</v>
      </c>
      <c r="H50" s="4">
        <v>-122.40295</v>
      </c>
    </row>
    <row r="51" spans="1:8" x14ac:dyDescent="0.25">
      <c r="A51" s="3" t="s">
        <v>99</v>
      </c>
      <c r="B51" s="3">
        <v>823250.77780000004</v>
      </c>
      <c r="C51" s="3">
        <v>1091542.5626999999</v>
      </c>
      <c r="D51" s="3">
        <v>-123.53189999999999</v>
      </c>
      <c r="E51" s="4" t="s">
        <v>100</v>
      </c>
      <c r="F51" s="4">
        <v>823280.12845000008</v>
      </c>
      <c r="G51" s="4">
        <v>1091528.25725</v>
      </c>
      <c r="H51" s="4">
        <v>-124.9059</v>
      </c>
    </row>
    <row r="52" spans="1:8" x14ac:dyDescent="0.25">
      <c r="A52" s="3" t="s">
        <v>101</v>
      </c>
      <c r="B52" s="3">
        <v>823253.51089999999</v>
      </c>
      <c r="C52" s="3">
        <v>1091547.4029000001</v>
      </c>
      <c r="D52" s="3">
        <v>-123.3075</v>
      </c>
      <c r="E52" s="4" t="s">
        <v>102</v>
      </c>
      <c r="F52" s="4">
        <v>823286.71013749996</v>
      </c>
      <c r="G52" s="4">
        <v>1091540.0598500001</v>
      </c>
      <c r="H52" s="4">
        <v>-124.7967625</v>
      </c>
    </row>
    <row r="53" spans="1:8" x14ac:dyDescent="0.25">
      <c r="A53" s="3" t="s">
        <v>103</v>
      </c>
      <c r="B53" s="3">
        <v>823249.36470000003</v>
      </c>
      <c r="C53" s="3">
        <v>1091545.5416000001</v>
      </c>
      <c r="D53" s="3">
        <v>-123.48699999999999</v>
      </c>
      <c r="E53" s="4" t="s">
        <v>104</v>
      </c>
      <c r="F53" s="4">
        <v>823286.34402500011</v>
      </c>
      <c r="G53" s="4">
        <v>1091540.729425</v>
      </c>
      <c r="H53" s="4">
        <v>-122.27645</v>
      </c>
    </row>
    <row r="54" spans="1:8" x14ac:dyDescent="0.25">
      <c r="A54" s="3" t="s">
        <v>105</v>
      </c>
      <c r="B54" s="3">
        <v>823252.55110000004</v>
      </c>
      <c r="C54" s="3">
        <v>1091549.5426</v>
      </c>
      <c r="D54" s="3">
        <v>-123.0638</v>
      </c>
      <c r="E54" s="4" t="s">
        <v>106</v>
      </c>
      <c r="F54" s="4">
        <v>823286.7854874999</v>
      </c>
      <c r="G54" s="4">
        <v>1091539.60745</v>
      </c>
      <c r="H54" s="4">
        <v>-119.31095000000001</v>
      </c>
    </row>
    <row r="55" spans="1:8" x14ac:dyDescent="0.25">
      <c r="A55" s="3" t="s">
        <v>107</v>
      </c>
      <c r="B55" s="3">
        <v>823248.4</v>
      </c>
      <c r="C55" s="3">
        <v>1091547.645</v>
      </c>
      <c r="D55" s="3">
        <v>-123.251</v>
      </c>
      <c r="E55" s="4" t="s">
        <v>108</v>
      </c>
      <c r="F55" s="4">
        <v>823288.16851250001</v>
      </c>
      <c r="G55" s="4">
        <v>1091536.1961000001</v>
      </c>
      <c r="H55" s="4">
        <v>-118.00971250000001</v>
      </c>
    </row>
    <row r="56" spans="1:8" x14ac:dyDescent="0.25">
      <c r="A56" s="3" t="s">
        <v>109</v>
      </c>
      <c r="B56" s="3">
        <v>823251.86690000002</v>
      </c>
      <c r="C56" s="3">
        <v>1091550.8589999999</v>
      </c>
      <c r="D56" s="3">
        <v>-124.0286</v>
      </c>
      <c r="E56" s="4" t="s">
        <v>110</v>
      </c>
      <c r="F56" s="4">
        <v>823289.46272499999</v>
      </c>
      <c r="G56" s="4">
        <v>1091533.5490999999</v>
      </c>
      <c r="H56" s="4">
        <v>-119.1386875</v>
      </c>
    </row>
    <row r="57" spans="1:8" x14ac:dyDescent="0.25">
      <c r="A57" s="3" t="s">
        <v>111</v>
      </c>
      <c r="B57" s="3">
        <v>823248.13009999995</v>
      </c>
      <c r="C57" s="3">
        <v>1091548.2671999999</v>
      </c>
      <c r="D57" s="3">
        <v>-124.0164</v>
      </c>
      <c r="E57" s="4" t="s">
        <v>112</v>
      </c>
      <c r="F57" s="4">
        <v>823290.257675</v>
      </c>
      <c r="G57" s="4">
        <v>1091532.2239375</v>
      </c>
      <c r="H57" s="4">
        <v>-122.31853750000001</v>
      </c>
    </row>
    <row r="58" spans="1:8" x14ac:dyDescent="0.25">
      <c r="A58" s="3" t="s">
        <v>113</v>
      </c>
      <c r="B58" s="3">
        <v>823251.29740000004</v>
      </c>
      <c r="C58" s="3">
        <v>1091552.3707999999</v>
      </c>
      <c r="D58" s="3">
        <v>-123.1199</v>
      </c>
      <c r="E58" s="4" t="s">
        <v>114</v>
      </c>
      <c r="F58" s="4">
        <v>823290.12271250004</v>
      </c>
      <c r="G58" s="4">
        <v>1091532.8273875001</v>
      </c>
      <c r="H58" s="4">
        <v>-124.7081125</v>
      </c>
    </row>
    <row r="59" spans="1:8" x14ac:dyDescent="0.25">
      <c r="A59" s="3" t="s">
        <v>115</v>
      </c>
      <c r="B59" s="3">
        <v>823247.17139999999</v>
      </c>
      <c r="C59" s="3">
        <v>1091550.1601</v>
      </c>
      <c r="D59" s="3">
        <v>-123.0346</v>
      </c>
    </row>
    <row r="60" spans="1:8" x14ac:dyDescent="0.25">
      <c r="A60" s="3" t="s">
        <v>116</v>
      </c>
      <c r="B60" s="3">
        <v>823250.13119999995</v>
      </c>
      <c r="C60" s="3">
        <v>1091554.9431</v>
      </c>
      <c r="D60" s="3">
        <v>-123.1636</v>
      </c>
    </row>
    <row r="61" spans="1:8" x14ac:dyDescent="0.25">
      <c r="A61" s="3" t="s">
        <v>117</v>
      </c>
      <c r="B61" s="3">
        <v>823245.80050000001</v>
      </c>
      <c r="C61" s="3">
        <v>1091553.0522</v>
      </c>
      <c r="D61" s="3">
        <v>-123.19540000000001</v>
      </c>
    </row>
    <row r="62" spans="1:8" x14ac:dyDescent="0.25">
      <c r="A62" s="3" t="s">
        <v>118</v>
      </c>
      <c r="B62" s="3">
        <v>823249.57739999995</v>
      </c>
      <c r="C62" s="3">
        <v>1091555.6207000001</v>
      </c>
      <c r="D62" s="3">
        <v>-124.1367</v>
      </c>
    </row>
    <row r="63" spans="1:8" x14ac:dyDescent="0.25">
      <c r="A63" s="3" t="s">
        <v>119</v>
      </c>
      <c r="B63" s="3">
        <v>823245.83299999998</v>
      </c>
      <c r="C63" s="3">
        <v>1091553.5109999999</v>
      </c>
      <c r="D63" s="3">
        <v>-124.121</v>
      </c>
    </row>
    <row r="64" spans="1:8" x14ac:dyDescent="0.25">
      <c r="A64" s="3" t="s">
        <v>120</v>
      </c>
      <c r="B64" s="3">
        <v>823248.88820000004</v>
      </c>
      <c r="C64" s="3">
        <v>1091557.5523999999</v>
      </c>
      <c r="D64" s="3">
        <v>-123.157</v>
      </c>
    </row>
    <row r="65" spans="1:4" x14ac:dyDescent="0.25">
      <c r="A65" s="3" t="s">
        <v>121</v>
      </c>
      <c r="B65" s="3">
        <v>823244.6753</v>
      </c>
      <c r="C65" s="3">
        <v>1091555.5511</v>
      </c>
      <c r="D65" s="3">
        <v>-123.2116</v>
      </c>
    </row>
    <row r="66" spans="1:4" x14ac:dyDescent="0.25">
      <c r="A66" s="3" t="s">
        <v>122</v>
      </c>
      <c r="B66" s="3">
        <v>823247.62670000002</v>
      </c>
      <c r="C66" s="3">
        <v>1091560.2509000001</v>
      </c>
      <c r="D66" s="3">
        <v>-123.2771</v>
      </c>
    </row>
    <row r="67" spans="1:4" x14ac:dyDescent="0.25">
      <c r="A67" s="3" t="s">
        <v>123</v>
      </c>
      <c r="B67" s="3">
        <v>823243.50989999995</v>
      </c>
      <c r="C67" s="3">
        <v>1091558.0674999999</v>
      </c>
      <c r="D67" s="3">
        <v>-123.2971</v>
      </c>
    </row>
    <row r="68" spans="1:4" x14ac:dyDescent="0.25">
      <c r="A68" s="3" t="s">
        <v>124</v>
      </c>
      <c r="B68" s="3">
        <v>823243.45200000005</v>
      </c>
      <c r="C68" s="3">
        <v>1091558.594</v>
      </c>
      <c r="D68" s="3">
        <v>-124.092</v>
      </c>
    </row>
    <row r="69" spans="1:4" x14ac:dyDescent="0.25">
      <c r="A69" s="3" t="s">
        <v>125</v>
      </c>
      <c r="B69" s="3">
        <v>823247.23950000003</v>
      </c>
      <c r="C69" s="3">
        <v>1091560.5567000001</v>
      </c>
      <c r="D69" s="3">
        <v>-124.0643</v>
      </c>
    </row>
    <row r="70" spans="1:4" x14ac:dyDescent="0.25">
      <c r="A70" s="3" t="s">
        <v>126</v>
      </c>
      <c r="B70" s="3">
        <v>823245.73750000005</v>
      </c>
      <c r="C70" s="3">
        <v>1091564.2788</v>
      </c>
      <c r="D70" s="3">
        <v>-123.1664</v>
      </c>
    </row>
    <row r="71" spans="1:4" x14ac:dyDescent="0.25">
      <c r="A71" s="3" t="s">
        <v>127</v>
      </c>
      <c r="B71" s="3">
        <v>823241.46510000003</v>
      </c>
      <c r="C71" s="3">
        <v>1091562.3700999999</v>
      </c>
      <c r="D71" s="3">
        <v>-123.15600000000001</v>
      </c>
    </row>
    <row r="72" spans="1:4" x14ac:dyDescent="0.25">
      <c r="A72" s="3" t="s">
        <v>128</v>
      </c>
      <c r="B72" s="3">
        <v>823240.50580000004</v>
      </c>
      <c r="C72" s="3">
        <v>1091564.6534</v>
      </c>
      <c r="D72" s="3">
        <v>-123.6302</v>
      </c>
    </row>
    <row r="73" spans="1:4" x14ac:dyDescent="0.25">
      <c r="A73" s="3" t="s">
        <v>129</v>
      </c>
      <c r="B73" s="3">
        <v>823244.66480000003</v>
      </c>
      <c r="C73" s="3">
        <v>1091566.4202000001</v>
      </c>
      <c r="D73" s="3">
        <v>-123.62690000000001</v>
      </c>
    </row>
    <row r="74" spans="1:4" x14ac:dyDescent="0.25">
      <c r="A74" s="3" t="s">
        <v>20</v>
      </c>
      <c r="B74" s="3">
        <v>823257.99349999998</v>
      </c>
      <c r="C74" s="3">
        <v>1091526.274</v>
      </c>
      <c r="D74" s="3">
        <v>-123.251</v>
      </c>
    </row>
    <row r="75" spans="1:4" x14ac:dyDescent="0.25">
      <c r="A75" s="3" t="s">
        <v>130</v>
      </c>
      <c r="B75" s="3">
        <v>823247.66579999996</v>
      </c>
      <c r="C75" s="3">
        <v>1091559.6457</v>
      </c>
      <c r="D75" s="3">
        <v>-124.2135</v>
      </c>
    </row>
    <row r="76" spans="1:4" x14ac:dyDescent="0.25">
      <c r="A76" s="3" t="s">
        <v>131</v>
      </c>
      <c r="B76" s="3">
        <v>823251.90339999995</v>
      </c>
      <c r="C76" s="3">
        <v>1091540.4772000001</v>
      </c>
      <c r="D76" s="3">
        <v>-124.3263</v>
      </c>
    </row>
    <row r="77" spans="1:4" x14ac:dyDescent="0.25">
      <c r="A77" s="3" t="s">
        <v>132</v>
      </c>
      <c r="B77" s="3">
        <v>823240.59420000005</v>
      </c>
      <c r="C77" s="3">
        <v>1091566.0915999999</v>
      </c>
      <c r="D77" s="3">
        <v>-123.501</v>
      </c>
    </row>
    <row r="78" spans="1:4" x14ac:dyDescent="0.25">
      <c r="A78" s="3" t="s">
        <v>133</v>
      </c>
      <c r="B78" s="3">
        <v>823241.94880000001</v>
      </c>
      <c r="C78" s="3">
        <v>1091566.99</v>
      </c>
      <c r="D78" s="3">
        <v>-123.7128</v>
      </c>
    </row>
    <row r="79" spans="1:4" x14ac:dyDescent="0.25">
      <c r="A79" s="3" t="s">
        <v>134</v>
      </c>
      <c r="B79" s="3">
        <v>823243.51839999994</v>
      </c>
      <c r="C79" s="3">
        <v>1091567.5963000001</v>
      </c>
      <c r="D79" s="3">
        <v>-123.729</v>
      </c>
    </row>
    <row r="80" spans="1:4" x14ac:dyDescent="0.25">
      <c r="A80" s="3" t="s">
        <v>135</v>
      </c>
      <c r="B80" s="3">
        <v>823228.5048</v>
      </c>
      <c r="C80" s="3">
        <v>1091506.0251</v>
      </c>
      <c r="D80" s="3">
        <v>-123.8347</v>
      </c>
    </row>
    <row r="81" spans="1:4" x14ac:dyDescent="0.25">
      <c r="A81" s="3" t="s">
        <v>136</v>
      </c>
      <c r="B81" s="3">
        <v>823229.48770000006</v>
      </c>
      <c r="C81" s="3">
        <v>1091506.2683000001</v>
      </c>
      <c r="D81" s="3">
        <v>-123.8212</v>
      </c>
    </row>
    <row r="82" spans="1:4" x14ac:dyDescent="0.25">
      <c r="A82" s="3" t="s">
        <v>137</v>
      </c>
      <c r="B82" s="3">
        <v>823227.39439999999</v>
      </c>
      <c r="C82" s="3">
        <v>1091510.8248999999</v>
      </c>
      <c r="D82" s="3">
        <v>-123.7901</v>
      </c>
    </row>
    <row r="83" spans="1:4" x14ac:dyDescent="0.25">
      <c r="A83" s="3" t="s">
        <v>138</v>
      </c>
      <c r="B83" s="3">
        <v>823232.82109999994</v>
      </c>
      <c r="C83" s="3">
        <v>1091513.3748000001</v>
      </c>
      <c r="D83" s="3">
        <v>-123.7572</v>
      </c>
    </row>
    <row r="84" spans="1:4" x14ac:dyDescent="0.25">
      <c r="A84" s="3" t="s">
        <v>139</v>
      </c>
      <c r="B84" s="3">
        <v>823234.9388</v>
      </c>
      <c r="C84" s="3">
        <v>1091508.8485999999</v>
      </c>
      <c r="D84" s="3">
        <v>-123.88030000000001</v>
      </c>
    </row>
    <row r="85" spans="1:4" x14ac:dyDescent="0.25">
      <c r="A85" s="3" t="s">
        <v>140</v>
      </c>
      <c r="B85" s="3">
        <v>823236.38119999995</v>
      </c>
      <c r="C85" s="3">
        <v>1091515.2212</v>
      </c>
      <c r="D85" s="3">
        <v>-123.962</v>
      </c>
    </row>
    <row r="86" spans="1:4" x14ac:dyDescent="0.25">
      <c r="A86" s="3" t="s">
        <v>141</v>
      </c>
      <c r="B86" s="3">
        <v>823236.69559999998</v>
      </c>
      <c r="C86" s="3">
        <v>1091515.1295</v>
      </c>
      <c r="D86" s="3">
        <v>-124.736</v>
      </c>
    </row>
    <row r="87" spans="1:4" x14ac:dyDescent="0.25">
      <c r="A87" s="3" t="s">
        <v>142</v>
      </c>
      <c r="B87" s="3">
        <v>823237.16610000003</v>
      </c>
      <c r="C87" s="3">
        <v>1091515.5562</v>
      </c>
      <c r="D87" s="3">
        <v>-123.788</v>
      </c>
    </row>
    <row r="88" spans="1:4" x14ac:dyDescent="0.25">
      <c r="A88" s="3" t="s">
        <v>143</v>
      </c>
      <c r="B88" s="3">
        <v>823239.85820000002</v>
      </c>
      <c r="C88" s="3">
        <v>1091510.1483</v>
      </c>
      <c r="D88" s="3">
        <v>-124.2364</v>
      </c>
    </row>
    <row r="89" spans="1:4" x14ac:dyDescent="0.25">
      <c r="A89" s="3" t="s">
        <v>144</v>
      </c>
      <c r="B89" s="3">
        <v>823238.45429999998</v>
      </c>
      <c r="C89" s="3">
        <v>1091516.0865</v>
      </c>
      <c r="D89" s="3">
        <v>-123.7846</v>
      </c>
    </row>
    <row r="90" spans="1:4" x14ac:dyDescent="0.25">
      <c r="A90" s="3" t="s">
        <v>145</v>
      </c>
      <c r="B90" s="3">
        <v>823238.76580000005</v>
      </c>
      <c r="C90" s="3">
        <v>1091516.3722999999</v>
      </c>
      <c r="D90" s="3">
        <v>-124.0386</v>
      </c>
    </row>
    <row r="91" spans="1:4" x14ac:dyDescent="0.25">
      <c r="A91" s="3" t="s">
        <v>146</v>
      </c>
      <c r="B91" s="3">
        <v>823239.11129999999</v>
      </c>
      <c r="C91" s="3">
        <v>1091516.4778</v>
      </c>
      <c r="D91" s="3">
        <v>-123.818</v>
      </c>
    </row>
    <row r="92" spans="1:4" x14ac:dyDescent="0.25">
      <c r="A92" s="3" t="s">
        <v>147</v>
      </c>
      <c r="B92" s="3">
        <v>823240.64690000005</v>
      </c>
      <c r="C92" s="3">
        <v>1091517.2690999999</v>
      </c>
      <c r="D92" s="3">
        <v>-123.80710000000001</v>
      </c>
    </row>
    <row r="93" spans="1:4" x14ac:dyDescent="0.25">
      <c r="A93" s="3" t="s">
        <v>148</v>
      </c>
      <c r="B93" s="3">
        <v>823242.11970000004</v>
      </c>
      <c r="C93" s="3">
        <v>1091517.7152</v>
      </c>
      <c r="D93" s="3">
        <v>-123.75660000000001</v>
      </c>
    </row>
    <row r="94" spans="1:4" x14ac:dyDescent="0.25">
      <c r="A94" s="3" t="s">
        <v>149</v>
      </c>
      <c r="B94" s="3">
        <v>823244.25730000006</v>
      </c>
      <c r="C94" s="3">
        <v>1091513.1414999999</v>
      </c>
      <c r="D94" s="3">
        <v>-123.81059999999999</v>
      </c>
    </row>
    <row r="95" spans="1:4" x14ac:dyDescent="0.25">
      <c r="A95" s="3" t="s">
        <v>150</v>
      </c>
      <c r="B95" s="3">
        <v>823244.94940000004</v>
      </c>
      <c r="C95" s="3">
        <v>1091513.5867000001</v>
      </c>
      <c r="D95" s="3">
        <v>-124.65860000000001</v>
      </c>
    </row>
    <row r="96" spans="1:4" x14ac:dyDescent="0.25">
      <c r="A96" s="3" t="s">
        <v>151</v>
      </c>
      <c r="B96" s="3">
        <v>823248.7452</v>
      </c>
      <c r="C96" s="3">
        <v>1091515.2827999999</v>
      </c>
      <c r="D96" s="3">
        <v>-123.788</v>
      </c>
    </row>
    <row r="97" spans="1:4" x14ac:dyDescent="0.25">
      <c r="A97" s="3" t="s">
        <v>152</v>
      </c>
      <c r="B97" s="3">
        <v>823246.64269999997</v>
      </c>
      <c r="C97" s="3">
        <v>1091519.8373</v>
      </c>
      <c r="D97" s="3">
        <v>-123.8032</v>
      </c>
    </row>
    <row r="98" spans="1:4" x14ac:dyDescent="0.25">
      <c r="A98" s="3" t="s">
        <v>153</v>
      </c>
      <c r="B98" s="3">
        <v>823249.40890000004</v>
      </c>
      <c r="C98" s="3">
        <v>1091518.2973</v>
      </c>
      <c r="D98" s="3">
        <v>-125.294</v>
      </c>
    </row>
    <row r="99" spans="1:4" x14ac:dyDescent="0.25">
      <c r="A99" s="3" t="s">
        <v>154</v>
      </c>
      <c r="B99" s="3">
        <v>823250.54590000003</v>
      </c>
      <c r="C99" s="3">
        <v>1091521.2537</v>
      </c>
      <c r="D99" s="3">
        <v>-123.6802</v>
      </c>
    </row>
    <row r="100" spans="1:4" x14ac:dyDescent="0.25">
      <c r="A100" s="3" t="s">
        <v>155</v>
      </c>
      <c r="B100" s="3">
        <v>823253.2868</v>
      </c>
      <c r="C100" s="3">
        <v>1091517.3877000001</v>
      </c>
      <c r="D100" s="3">
        <v>-123.7273</v>
      </c>
    </row>
    <row r="101" spans="1:4" x14ac:dyDescent="0.25">
      <c r="A101" s="3" t="s">
        <v>156</v>
      </c>
      <c r="B101" s="3">
        <v>823251.18449999997</v>
      </c>
      <c r="C101" s="3">
        <v>1091521.9361</v>
      </c>
      <c r="D101" s="3">
        <v>-123.6362</v>
      </c>
    </row>
    <row r="102" spans="1:4" x14ac:dyDescent="0.25">
      <c r="A102" s="3" t="s">
        <v>157</v>
      </c>
      <c r="B102" s="3">
        <v>823255.1152</v>
      </c>
      <c r="C102" s="3">
        <v>1091524.1176</v>
      </c>
      <c r="D102" s="3">
        <v>-123.8105</v>
      </c>
    </row>
    <row r="103" spans="1:4" x14ac:dyDescent="0.25">
      <c r="A103" s="3" t="s">
        <v>158</v>
      </c>
      <c r="B103" s="3">
        <v>823258.26500000001</v>
      </c>
      <c r="C103" s="3">
        <v>1091519.93</v>
      </c>
      <c r="D103" s="3">
        <v>-124.86</v>
      </c>
    </row>
    <row r="104" spans="1:4" x14ac:dyDescent="0.25">
      <c r="A104" s="3" t="s">
        <v>22</v>
      </c>
      <c r="B104" s="3">
        <v>823256.60849999997</v>
      </c>
      <c r="C104" s="3">
        <v>1091524.4813000001</v>
      </c>
      <c r="D104" s="3">
        <v>-123.70699999999999</v>
      </c>
    </row>
    <row r="105" spans="1:4" x14ac:dyDescent="0.25">
      <c r="A105" s="3" t="s">
        <v>159</v>
      </c>
      <c r="B105" s="3">
        <v>823261.11560000002</v>
      </c>
      <c r="C105" s="3">
        <v>1091527.9805000001</v>
      </c>
      <c r="D105" s="3">
        <v>-123.7342</v>
      </c>
    </row>
    <row r="106" spans="1:4" x14ac:dyDescent="0.25">
      <c r="A106" s="3" t="s">
        <v>160</v>
      </c>
      <c r="B106" s="3">
        <v>823264.79110000003</v>
      </c>
      <c r="C106" s="3">
        <v>1091523.0164000001</v>
      </c>
      <c r="D106" s="3">
        <v>-124.76730000000001</v>
      </c>
    </row>
    <row r="107" spans="1:4" x14ac:dyDescent="0.25">
      <c r="A107" s="3" t="s">
        <v>161</v>
      </c>
      <c r="B107" s="3">
        <v>823263.90700000001</v>
      </c>
      <c r="C107" s="3">
        <v>1091527.8467999999</v>
      </c>
      <c r="D107" s="3">
        <v>-124.7039</v>
      </c>
    </row>
    <row r="108" spans="1:4" x14ac:dyDescent="0.25">
      <c r="A108" s="3" t="s">
        <v>162</v>
      </c>
      <c r="B108" s="3">
        <v>823270.07369999995</v>
      </c>
      <c r="C108" s="3">
        <v>1091525.3204999999</v>
      </c>
      <c r="D108" s="3">
        <v>-122.68340000000001</v>
      </c>
    </row>
    <row r="109" spans="1:4" x14ac:dyDescent="0.25">
      <c r="A109" s="3" t="s">
        <v>163</v>
      </c>
      <c r="B109" s="3">
        <v>823268.02529999998</v>
      </c>
      <c r="C109" s="3">
        <v>1091529.7323</v>
      </c>
      <c r="D109" s="3">
        <v>-122.8124</v>
      </c>
    </row>
    <row r="110" spans="1:4" x14ac:dyDescent="0.25">
      <c r="A110" s="3" t="s">
        <v>164</v>
      </c>
      <c r="B110" s="3">
        <v>823270.41540000006</v>
      </c>
      <c r="C110" s="3">
        <v>1091525.196</v>
      </c>
      <c r="D110" s="3">
        <v>-123.1035</v>
      </c>
    </row>
    <row r="111" spans="1:4" x14ac:dyDescent="0.25">
      <c r="A111" s="3" t="s">
        <v>165</v>
      </c>
      <c r="B111" s="3">
        <v>823271.42480000004</v>
      </c>
      <c r="C111" s="3">
        <v>1091525.2109999999</v>
      </c>
      <c r="D111" s="3">
        <v>-122.71210000000001</v>
      </c>
    </row>
    <row r="112" spans="1:4" x14ac:dyDescent="0.25">
      <c r="A112" s="3" t="s">
        <v>166</v>
      </c>
      <c r="B112" s="3">
        <v>823268.8922</v>
      </c>
      <c r="C112" s="3">
        <v>1091530.7072999999</v>
      </c>
      <c r="D112" s="3">
        <v>-122.8296</v>
      </c>
    </row>
    <row r="113" spans="1:4" x14ac:dyDescent="0.25">
      <c r="A113" s="3" t="s">
        <v>26</v>
      </c>
      <c r="B113" s="3">
        <v>823268.98580000002</v>
      </c>
      <c r="C113" s="3">
        <v>1091530.5776</v>
      </c>
      <c r="D113" s="3">
        <v>-124.261</v>
      </c>
    </row>
    <row r="114" spans="1:4" x14ac:dyDescent="0.25">
      <c r="A114" s="3" t="s">
        <v>29</v>
      </c>
      <c r="B114" s="3">
        <v>823271.31629999995</v>
      </c>
      <c r="C114" s="3">
        <v>1091525.4778</v>
      </c>
      <c r="D114" s="3">
        <v>-124.31059999999999</v>
      </c>
    </row>
    <row r="115" spans="1:4" x14ac:dyDescent="0.25">
      <c r="A115" s="3" t="s">
        <v>167</v>
      </c>
      <c r="B115" s="3">
        <v>823269.4105</v>
      </c>
      <c r="C115" s="3">
        <v>1091531.3228</v>
      </c>
      <c r="D115" s="3">
        <v>-123.14830000000001</v>
      </c>
    </row>
    <row r="116" spans="1:4" x14ac:dyDescent="0.25">
      <c r="A116" s="3" t="s">
        <v>168</v>
      </c>
      <c r="B116" s="3">
        <v>823269.87730000005</v>
      </c>
      <c r="C116" s="3">
        <v>1091531.6348000001</v>
      </c>
      <c r="D116" s="3">
        <v>-122.10590000000001</v>
      </c>
    </row>
    <row r="117" spans="1:4" x14ac:dyDescent="0.25">
      <c r="A117" s="3" t="s">
        <v>169</v>
      </c>
      <c r="B117" s="3">
        <v>823272.64899999998</v>
      </c>
      <c r="C117" s="3">
        <v>1091525.4545</v>
      </c>
      <c r="D117" s="3">
        <v>-122.1447</v>
      </c>
    </row>
    <row r="118" spans="1:4" x14ac:dyDescent="0.25">
      <c r="A118" s="3" t="s">
        <v>170</v>
      </c>
      <c r="B118" s="3">
        <v>823273.41299999994</v>
      </c>
      <c r="C118" s="3">
        <v>1091525.3389999999</v>
      </c>
      <c r="D118" s="3">
        <v>-124.32599999999999</v>
      </c>
    </row>
    <row r="119" spans="1:4" x14ac:dyDescent="0.25">
      <c r="A119" s="3" t="s">
        <v>31</v>
      </c>
      <c r="B119" s="3">
        <v>823269.97510000004</v>
      </c>
      <c r="C119" s="3">
        <v>1091531.8297999999</v>
      </c>
      <c r="D119" s="3">
        <v>-124.4327</v>
      </c>
    </row>
    <row r="120" spans="1:4" x14ac:dyDescent="0.25">
      <c r="A120" s="3" t="s">
        <v>171</v>
      </c>
      <c r="B120" s="3">
        <v>823273.81519999995</v>
      </c>
      <c r="C120" s="3">
        <v>1091525.577</v>
      </c>
      <c r="D120" s="3">
        <v>-124.81570000000001</v>
      </c>
    </row>
    <row r="121" spans="1:4" x14ac:dyDescent="0.25">
      <c r="A121" s="3" t="s">
        <v>172</v>
      </c>
      <c r="B121" s="3">
        <v>823276.14069999999</v>
      </c>
      <c r="C121" s="3">
        <v>1091525.7509999999</v>
      </c>
      <c r="D121" s="3">
        <v>-122.0694</v>
      </c>
    </row>
    <row r="122" spans="1:4" x14ac:dyDescent="0.25">
      <c r="A122" s="3" t="s">
        <v>173</v>
      </c>
      <c r="B122" s="3">
        <v>823272.37309999997</v>
      </c>
      <c r="C122" s="3">
        <v>1091534.0859000001</v>
      </c>
      <c r="D122" s="3">
        <v>-121.9131</v>
      </c>
    </row>
    <row r="123" spans="1:4" x14ac:dyDescent="0.25">
      <c r="A123" s="3" t="s">
        <v>33</v>
      </c>
      <c r="B123" s="3">
        <v>823276.08810000005</v>
      </c>
      <c r="C123" s="3">
        <v>1091526.3326999999</v>
      </c>
      <c r="D123" s="3">
        <v>-125.01</v>
      </c>
    </row>
    <row r="124" spans="1:4" x14ac:dyDescent="0.25">
      <c r="A124" s="3" t="s">
        <v>35</v>
      </c>
      <c r="B124" s="3">
        <v>823272.57799999998</v>
      </c>
      <c r="C124" s="3">
        <v>1091533.6714999999</v>
      </c>
      <c r="D124" s="3">
        <v>-124.9434</v>
      </c>
    </row>
    <row r="125" spans="1:4" x14ac:dyDescent="0.25">
      <c r="A125" s="3" t="s">
        <v>174</v>
      </c>
      <c r="B125" s="3">
        <v>823276.80039999995</v>
      </c>
      <c r="C125" s="3">
        <v>1091526.8943</v>
      </c>
      <c r="D125" s="3">
        <v>-125.26730000000001</v>
      </c>
    </row>
    <row r="126" spans="1:4" x14ac:dyDescent="0.25">
      <c r="A126" s="3" t="s">
        <v>37</v>
      </c>
      <c r="B126" s="3">
        <v>823273.30189999996</v>
      </c>
      <c r="C126" s="3">
        <v>1091533.7533</v>
      </c>
      <c r="D126" s="3">
        <v>-125.3186</v>
      </c>
    </row>
    <row r="127" spans="1:4" x14ac:dyDescent="0.25">
      <c r="A127" s="3" t="s">
        <v>175</v>
      </c>
      <c r="B127" s="3">
        <v>823275.13500000001</v>
      </c>
      <c r="C127" s="3">
        <v>1091535.3862999999</v>
      </c>
      <c r="D127" s="3">
        <v>-121.9526</v>
      </c>
    </row>
    <row r="128" spans="1:4" x14ac:dyDescent="0.25">
      <c r="A128" s="3" t="s">
        <v>176</v>
      </c>
      <c r="B128" s="3">
        <v>823279.00809999998</v>
      </c>
      <c r="C128" s="3">
        <v>1091527.1003</v>
      </c>
      <c r="D128" s="3">
        <v>-121.8977</v>
      </c>
    </row>
    <row r="129" spans="1:4" x14ac:dyDescent="0.25">
      <c r="A129" s="3" t="s">
        <v>39</v>
      </c>
      <c r="B129" s="3">
        <v>823278.71230000001</v>
      </c>
      <c r="C129" s="3">
        <v>1091527.5962</v>
      </c>
      <c r="D129" s="3">
        <v>-125.1168</v>
      </c>
    </row>
    <row r="130" spans="1:4" x14ac:dyDescent="0.25">
      <c r="A130" s="3" t="s">
        <v>177</v>
      </c>
      <c r="B130" s="3">
        <v>823275.29110000003</v>
      </c>
      <c r="C130" s="3">
        <v>1091534.8810000001</v>
      </c>
      <c r="D130" s="3">
        <v>-125.04389999999999</v>
      </c>
    </row>
    <row r="131" spans="1:4" x14ac:dyDescent="0.25">
      <c r="A131" s="3" t="s">
        <v>178</v>
      </c>
      <c r="B131" s="3">
        <v>823280.86930000002</v>
      </c>
      <c r="C131" s="3">
        <v>1091527.9582</v>
      </c>
      <c r="D131" s="3">
        <v>-121.9478</v>
      </c>
    </row>
    <row r="132" spans="1:4" x14ac:dyDescent="0.25">
      <c r="A132" s="3" t="s">
        <v>179</v>
      </c>
      <c r="B132" s="3">
        <v>823277.13089999999</v>
      </c>
      <c r="C132" s="3">
        <v>1091536.3509</v>
      </c>
      <c r="D132" s="3">
        <v>-121.99290000000001</v>
      </c>
    </row>
    <row r="133" spans="1:4" x14ac:dyDescent="0.25">
      <c r="A133" s="3" t="s">
        <v>41</v>
      </c>
      <c r="B133" s="3">
        <v>823281.8027</v>
      </c>
      <c r="C133" s="3">
        <v>1091529.1734</v>
      </c>
      <c r="D133" s="3">
        <v>-125.1768</v>
      </c>
    </row>
    <row r="134" spans="1:4" x14ac:dyDescent="0.25">
      <c r="A134" s="3" t="s">
        <v>43</v>
      </c>
      <c r="B134" s="3">
        <v>823278.49329999997</v>
      </c>
      <c r="C134" s="3">
        <v>1091536.2312</v>
      </c>
      <c r="D134" s="3">
        <v>-125.1887</v>
      </c>
    </row>
    <row r="135" spans="1:4" x14ac:dyDescent="0.25">
      <c r="A135" s="3" t="s">
        <v>180</v>
      </c>
      <c r="B135" s="3">
        <v>823282.75</v>
      </c>
      <c r="C135" s="3">
        <v>1091528.8485000001</v>
      </c>
      <c r="D135" s="3">
        <v>-122.0916</v>
      </c>
    </row>
    <row r="136" spans="1:4" x14ac:dyDescent="0.25">
      <c r="A136" s="3" t="s">
        <v>181</v>
      </c>
      <c r="B136" s="3">
        <v>823278.89580000006</v>
      </c>
      <c r="C136" s="3">
        <v>1091537.1394</v>
      </c>
      <c r="D136" s="3">
        <v>-122.0128</v>
      </c>
    </row>
    <row r="137" spans="1:4" x14ac:dyDescent="0.25">
      <c r="A137" s="3" t="s">
        <v>182</v>
      </c>
      <c r="B137" s="3">
        <v>823281.22900000005</v>
      </c>
      <c r="C137" s="3">
        <v>1091538.1274999999</v>
      </c>
      <c r="D137" s="3">
        <v>-121.41459999999999</v>
      </c>
    </row>
    <row r="138" spans="1:4" x14ac:dyDescent="0.25">
      <c r="A138" s="3" t="s">
        <v>183</v>
      </c>
      <c r="B138" s="3">
        <v>823284.97360000003</v>
      </c>
      <c r="C138" s="3">
        <v>1091529.9638</v>
      </c>
      <c r="D138" s="3">
        <v>-121.4067</v>
      </c>
    </row>
    <row r="139" spans="1:4" x14ac:dyDescent="0.25">
      <c r="A139" s="3" t="s">
        <v>44</v>
      </c>
      <c r="B139" s="3">
        <v>823285.58299999998</v>
      </c>
      <c r="C139" s="3">
        <v>1091530.996</v>
      </c>
      <c r="D139" s="3">
        <v>-125.29600000000001</v>
      </c>
    </row>
    <row r="140" spans="1:4" x14ac:dyDescent="0.25">
      <c r="A140" s="3" t="s">
        <v>184</v>
      </c>
      <c r="B140" s="3">
        <v>823282.24899999995</v>
      </c>
      <c r="C140" s="3">
        <v>1091537.9080000001</v>
      </c>
      <c r="D140" s="3">
        <v>-125.21299999999999</v>
      </c>
    </row>
    <row r="141" spans="1:4" x14ac:dyDescent="0.25">
      <c r="A141" s="3" t="s">
        <v>185</v>
      </c>
      <c r="B141" s="3">
        <v>823287.25199999998</v>
      </c>
      <c r="C141" s="3">
        <v>1091531.0164999999</v>
      </c>
      <c r="D141" s="3">
        <v>-121.667</v>
      </c>
    </row>
    <row r="142" spans="1:4" x14ac:dyDescent="0.25">
      <c r="A142" s="3" t="s">
        <v>186</v>
      </c>
      <c r="B142" s="3">
        <v>823283.54850000003</v>
      </c>
      <c r="C142" s="3">
        <v>1091539.3325</v>
      </c>
      <c r="D142" s="3">
        <v>-121.8073</v>
      </c>
    </row>
    <row r="143" spans="1:4" x14ac:dyDescent="0.25">
      <c r="A143" s="3" t="s">
        <v>187</v>
      </c>
      <c r="B143" s="3">
        <v>823285.76450000005</v>
      </c>
      <c r="C143" s="3">
        <v>1091539.4601</v>
      </c>
      <c r="D143" s="3">
        <v>-125.26</v>
      </c>
    </row>
    <row r="144" spans="1:4" x14ac:dyDescent="0.25">
      <c r="A144" s="3" t="s">
        <v>51</v>
      </c>
      <c r="B144" s="3">
        <v>823288.87280000001</v>
      </c>
      <c r="C144" s="3">
        <v>1091532.6170000001</v>
      </c>
      <c r="D144" s="3">
        <v>-125.3449</v>
      </c>
    </row>
    <row r="145" spans="1:4" x14ac:dyDescent="0.25">
      <c r="A145" s="3" t="s">
        <v>188</v>
      </c>
      <c r="B145" s="3">
        <v>823289.28940000001</v>
      </c>
      <c r="C145" s="3">
        <v>1091531.925</v>
      </c>
      <c r="D145" s="3">
        <v>-121.5535</v>
      </c>
    </row>
    <row r="146" spans="1:4" x14ac:dyDescent="0.25">
      <c r="A146" s="3" t="s">
        <v>189</v>
      </c>
      <c r="B146" s="3">
        <v>823285.47889999999</v>
      </c>
      <c r="C146" s="3">
        <v>1091540.2290000001</v>
      </c>
      <c r="D146" s="3">
        <v>-121.58159999999999</v>
      </c>
    </row>
    <row r="147" spans="1:4" x14ac:dyDescent="0.25">
      <c r="A147" s="3" t="s">
        <v>190</v>
      </c>
      <c r="B147" s="3">
        <v>823292.95819999999</v>
      </c>
      <c r="C147" s="3">
        <v>1091533.6828999999</v>
      </c>
      <c r="D147" s="3">
        <v>-121.4644</v>
      </c>
    </row>
    <row r="148" spans="1:4" x14ac:dyDescent="0.25">
      <c r="A148" s="3" t="s">
        <v>191</v>
      </c>
      <c r="B148" s="3">
        <v>823289.03830000001</v>
      </c>
      <c r="C148" s="3">
        <v>1091541.8398</v>
      </c>
      <c r="D148" s="3">
        <v>-121.60290000000001</v>
      </c>
    </row>
    <row r="149" spans="1:4" x14ac:dyDescent="0.25">
      <c r="A149" s="3" t="s">
        <v>53</v>
      </c>
      <c r="B149" s="3">
        <v>823289.33409999998</v>
      </c>
      <c r="C149" s="3">
        <v>1091541.1074999999</v>
      </c>
      <c r="D149" s="3">
        <v>-125.2517</v>
      </c>
    </row>
    <row r="150" spans="1:4" x14ac:dyDescent="0.25">
      <c r="A150" s="3" t="s">
        <v>55</v>
      </c>
      <c r="B150" s="3">
        <v>823292.41299999994</v>
      </c>
      <c r="C150" s="3">
        <v>1091534.355</v>
      </c>
      <c r="D150" s="3">
        <v>-125.46599999999999</v>
      </c>
    </row>
    <row r="151" spans="1:4" x14ac:dyDescent="0.25">
      <c r="A151" s="3" t="s">
        <v>192</v>
      </c>
      <c r="B151" s="3">
        <v>823296.446</v>
      </c>
      <c r="C151" s="3">
        <v>1091535.3034000001</v>
      </c>
      <c r="D151" s="3">
        <v>-121.4079</v>
      </c>
    </row>
    <row r="152" spans="1:4" x14ac:dyDescent="0.25">
      <c r="A152" s="3" t="s">
        <v>193</v>
      </c>
      <c r="B152" s="3">
        <v>823292.73600000003</v>
      </c>
      <c r="C152" s="3">
        <v>1091543.4734</v>
      </c>
      <c r="D152" s="3">
        <v>-121.199</v>
      </c>
    </row>
    <row r="153" spans="1:4" x14ac:dyDescent="0.25">
      <c r="A153" s="3" t="s">
        <v>57</v>
      </c>
      <c r="B153" s="3">
        <v>823267.34519999998</v>
      </c>
      <c r="C153" s="3">
        <v>1091523.9790000001</v>
      </c>
      <c r="D153" s="3">
        <v>-124.48569999999999</v>
      </c>
    </row>
    <row r="154" spans="1:4" x14ac:dyDescent="0.25">
      <c r="A154" s="3" t="s">
        <v>194</v>
      </c>
      <c r="B154" s="3">
        <v>823267.30779999995</v>
      </c>
      <c r="C154" s="3">
        <v>1091529.3964</v>
      </c>
      <c r="D154" s="3">
        <v>-124.6129</v>
      </c>
    </row>
    <row r="155" spans="1:4" x14ac:dyDescent="0.25">
      <c r="A155" s="3" t="s">
        <v>195</v>
      </c>
      <c r="B155" s="3">
        <v>823301.71499999997</v>
      </c>
      <c r="C155" s="3">
        <v>1091546.1795000001</v>
      </c>
      <c r="D155" s="3">
        <v>-121.1031</v>
      </c>
    </row>
    <row r="156" spans="1:4" x14ac:dyDescent="0.25">
      <c r="A156" s="3" t="s">
        <v>196</v>
      </c>
      <c r="B156" s="3">
        <v>823302.24410000001</v>
      </c>
      <c r="C156" s="3">
        <v>1091545.4376000001</v>
      </c>
      <c r="D156" s="3">
        <v>-121.90349999999999</v>
      </c>
    </row>
    <row r="157" spans="1:4" x14ac:dyDescent="0.25">
      <c r="A157" s="3" t="s">
        <v>197</v>
      </c>
      <c r="B157" s="3">
        <v>823303.1459</v>
      </c>
      <c r="C157" s="3">
        <v>1091543.4620999999</v>
      </c>
      <c r="D157" s="3">
        <v>-120.9564</v>
      </c>
    </row>
    <row r="158" spans="1:4" x14ac:dyDescent="0.25">
      <c r="A158" s="3" t="s">
        <v>198</v>
      </c>
      <c r="B158" s="3">
        <v>823304.1078</v>
      </c>
      <c r="C158" s="3">
        <v>1091540.9294</v>
      </c>
      <c r="D158" s="3">
        <v>-121.57729999999999</v>
      </c>
    </row>
    <row r="159" spans="1:4" x14ac:dyDescent="0.25">
      <c r="A159" s="3" t="s">
        <v>199</v>
      </c>
      <c r="B159" s="3">
        <v>823304.21640000003</v>
      </c>
      <c r="C159" s="3">
        <v>1091540.2542000001</v>
      </c>
      <c r="D159" s="3">
        <v>-120.89400000000001</v>
      </c>
    </row>
    <row r="160" spans="1:4" x14ac:dyDescent="0.25">
      <c r="A160" s="3" t="s">
        <v>200</v>
      </c>
      <c r="B160" s="3">
        <v>823193.95200000005</v>
      </c>
      <c r="C160" s="3">
        <v>1091494.392</v>
      </c>
      <c r="D160" s="3">
        <v>-125.4319</v>
      </c>
    </row>
    <row r="161" spans="1:4" x14ac:dyDescent="0.25">
      <c r="A161" s="3" t="s">
        <v>201</v>
      </c>
      <c r="B161" s="3">
        <v>823266.44799999997</v>
      </c>
      <c r="C161" s="3">
        <v>1091528.8359999999</v>
      </c>
      <c r="D161" s="3">
        <v>-124.685</v>
      </c>
    </row>
    <row r="162" spans="1:4" x14ac:dyDescent="0.25">
      <c r="A162" s="3" t="s">
        <v>202</v>
      </c>
      <c r="B162" s="3">
        <v>823266.34100000001</v>
      </c>
      <c r="C162" s="3">
        <v>1091529.0379999999</v>
      </c>
      <c r="D162" s="3">
        <v>-123.095</v>
      </c>
    </row>
    <row r="163" spans="1:4" x14ac:dyDescent="0.25">
      <c r="A163" s="3" t="s">
        <v>203</v>
      </c>
      <c r="B163" s="3">
        <v>823267.451</v>
      </c>
      <c r="C163" s="3">
        <v>1091526.594</v>
      </c>
      <c r="D163" s="3">
        <v>-121.004</v>
      </c>
    </row>
    <row r="164" spans="1:4" x14ac:dyDescent="0.25">
      <c r="A164" s="3" t="s">
        <v>204</v>
      </c>
      <c r="B164" s="3">
        <v>823268.60400000005</v>
      </c>
      <c r="C164" s="3">
        <v>1091524.523</v>
      </c>
      <c r="D164" s="3">
        <v>-123.036</v>
      </c>
    </row>
    <row r="165" spans="1:4" x14ac:dyDescent="0.25">
      <c r="A165" s="3" t="s">
        <v>205</v>
      </c>
      <c r="B165" s="3">
        <v>823268.39300000004</v>
      </c>
      <c r="C165" s="3">
        <v>1091524.6170000001</v>
      </c>
      <c r="D165" s="3">
        <v>-124.761</v>
      </c>
    </row>
    <row r="166" spans="1:4" x14ac:dyDescent="0.25">
      <c r="A166" s="3" t="s">
        <v>206</v>
      </c>
      <c r="B166" s="3">
        <v>823270.08200000005</v>
      </c>
      <c r="C166" s="3">
        <v>1091531.798</v>
      </c>
      <c r="D166" s="3">
        <v>-124.855</v>
      </c>
    </row>
    <row r="167" spans="1:4" x14ac:dyDescent="0.25">
      <c r="A167" s="3" t="s">
        <v>207</v>
      </c>
      <c r="B167" s="3">
        <v>823270.17200000002</v>
      </c>
      <c r="C167" s="3">
        <v>1091532.301</v>
      </c>
      <c r="D167" s="3">
        <v>-122.593</v>
      </c>
    </row>
    <row r="168" spans="1:4" x14ac:dyDescent="0.25">
      <c r="A168" s="3" t="s">
        <v>208</v>
      </c>
      <c r="B168" s="3">
        <v>823270.522</v>
      </c>
      <c r="C168" s="3">
        <v>1091531.172</v>
      </c>
      <c r="D168" s="3">
        <v>-120.53700000000001</v>
      </c>
    </row>
    <row r="169" spans="1:4" x14ac:dyDescent="0.25">
      <c r="A169" s="3" t="s">
        <v>209</v>
      </c>
      <c r="B169" s="3">
        <v>823271.64800000004</v>
      </c>
      <c r="C169" s="3">
        <v>1091528.723</v>
      </c>
      <c r="D169" s="3">
        <v>-119.42700000000001</v>
      </c>
    </row>
    <row r="170" spans="1:4" x14ac:dyDescent="0.25">
      <c r="A170" s="3" t="s">
        <v>210</v>
      </c>
      <c r="B170" s="3">
        <v>823272.91</v>
      </c>
      <c r="C170" s="3">
        <v>1091526.281</v>
      </c>
      <c r="D170" s="3">
        <v>-120.405</v>
      </c>
    </row>
    <row r="171" spans="1:4" x14ac:dyDescent="0.25">
      <c r="A171" s="3" t="s">
        <v>211</v>
      </c>
      <c r="B171" s="3">
        <v>823273.30900000001</v>
      </c>
      <c r="C171" s="3">
        <v>1091525.2720000001</v>
      </c>
      <c r="D171" s="3">
        <v>-122.521</v>
      </c>
    </row>
    <row r="172" spans="1:4" x14ac:dyDescent="0.25">
      <c r="A172" s="3" t="s">
        <v>212</v>
      </c>
      <c r="B172" s="3">
        <v>823276.8</v>
      </c>
      <c r="C172" s="3">
        <v>1091535.5859999999</v>
      </c>
      <c r="D172" s="3">
        <v>-124.812</v>
      </c>
    </row>
    <row r="173" spans="1:4" x14ac:dyDescent="0.25">
      <c r="A173" s="3" t="s">
        <v>213</v>
      </c>
      <c r="B173" s="3">
        <v>823276.84</v>
      </c>
      <c r="C173" s="3">
        <v>1091536.2709999999</v>
      </c>
      <c r="D173" s="3">
        <v>-122.43300000000001</v>
      </c>
    </row>
    <row r="174" spans="1:4" x14ac:dyDescent="0.25">
      <c r="A174" s="3" t="s">
        <v>214</v>
      </c>
      <c r="B174" s="3">
        <v>823277.29599999997</v>
      </c>
      <c r="C174" s="3">
        <v>1091534.996</v>
      </c>
      <c r="D174" s="3">
        <v>-119.54600000000001</v>
      </c>
    </row>
    <row r="175" spans="1:4" x14ac:dyDescent="0.25">
      <c r="A175" s="3" t="s">
        <v>215</v>
      </c>
      <c r="B175" s="3">
        <v>823278.79500000004</v>
      </c>
      <c r="C175" s="3">
        <v>1091532.04</v>
      </c>
      <c r="D175" s="3">
        <v>-118.07599999999999</v>
      </c>
    </row>
    <row r="176" spans="1:4" x14ac:dyDescent="0.25">
      <c r="A176" s="3" t="s">
        <v>216</v>
      </c>
      <c r="B176" s="3">
        <v>823280.14300000004</v>
      </c>
      <c r="C176" s="3">
        <v>1091529.0449999999</v>
      </c>
      <c r="D176" s="3">
        <v>-119.447</v>
      </c>
    </row>
    <row r="177" spans="1:4" x14ac:dyDescent="0.25">
      <c r="A177" s="3" t="s">
        <v>217</v>
      </c>
      <c r="B177" s="3">
        <v>823280.65899999999</v>
      </c>
      <c r="C177" s="3">
        <v>1091527.9029999999</v>
      </c>
      <c r="D177" s="3">
        <v>-122.401</v>
      </c>
    </row>
    <row r="178" spans="1:4" x14ac:dyDescent="0.25">
      <c r="A178" s="3" t="s">
        <v>218</v>
      </c>
      <c r="B178" s="3">
        <v>823280.12899999996</v>
      </c>
      <c r="C178" s="3">
        <v>1091528.2579999999</v>
      </c>
      <c r="D178" s="3">
        <v>-124.904</v>
      </c>
    </row>
    <row r="179" spans="1:4" x14ac:dyDescent="0.25">
      <c r="A179" s="3" t="s">
        <v>219</v>
      </c>
      <c r="B179" s="3">
        <v>823286.71</v>
      </c>
      <c r="C179" s="3">
        <v>1091540.0619999999</v>
      </c>
      <c r="D179" s="3">
        <v>-124.79600000000001</v>
      </c>
    </row>
    <row r="180" spans="1:4" x14ac:dyDescent="0.25">
      <c r="A180" s="3" t="s">
        <v>220</v>
      </c>
      <c r="B180" s="3">
        <v>823286.34400000004</v>
      </c>
      <c r="C180" s="3">
        <v>1091540.73</v>
      </c>
      <c r="D180" s="3">
        <v>-122.27500000000001</v>
      </c>
    </row>
    <row r="181" spans="1:4" x14ac:dyDescent="0.25">
      <c r="A181" s="3" t="s">
        <v>221</v>
      </c>
      <c r="B181" s="3">
        <v>823286.78500000003</v>
      </c>
      <c r="C181" s="3">
        <v>1091539.6070000001</v>
      </c>
      <c r="D181" s="3">
        <v>-119.309</v>
      </c>
    </row>
    <row r="182" spans="1:4" x14ac:dyDescent="0.25">
      <c r="A182" s="3" t="s">
        <v>222</v>
      </c>
      <c r="B182" s="3">
        <v>823288.16799999995</v>
      </c>
      <c r="C182" s="3">
        <v>1091536.196</v>
      </c>
      <c r="D182" s="3">
        <v>-118.00700000000001</v>
      </c>
    </row>
    <row r="183" spans="1:4" x14ac:dyDescent="0.25">
      <c r="A183" s="3" t="s">
        <v>223</v>
      </c>
      <c r="B183" s="3">
        <v>823289.46299999999</v>
      </c>
      <c r="C183" s="3">
        <v>1091533.5490000001</v>
      </c>
      <c r="D183" s="3">
        <v>-119.136</v>
      </c>
    </row>
    <row r="184" spans="1:4" x14ac:dyDescent="0.25">
      <c r="A184" s="3" t="s">
        <v>224</v>
      </c>
      <c r="B184" s="3">
        <v>823290.25800000003</v>
      </c>
      <c r="C184" s="3">
        <v>1091532.223</v>
      </c>
      <c r="D184" s="3">
        <v>-122.31699999999999</v>
      </c>
    </row>
    <row r="185" spans="1:4" x14ac:dyDescent="0.25">
      <c r="A185" s="3" t="s">
        <v>225</v>
      </c>
      <c r="B185" s="3">
        <v>823290.12399999995</v>
      </c>
      <c r="C185" s="3">
        <v>1091532.827</v>
      </c>
      <c r="D185" s="3">
        <v>-124.70699999999999</v>
      </c>
    </row>
    <row r="186" spans="1:4" x14ac:dyDescent="0.25">
      <c r="A186" s="3" t="s">
        <v>226</v>
      </c>
      <c r="B186" s="3">
        <v>823296.24</v>
      </c>
      <c r="C186" s="3">
        <v>1091543.2479999999</v>
      </c>
      <c r="D186" s="3">
        <v>-118.724</v>
      </c>
    </row>
    <row r="187" spans="1:4" x14ac:dyDescent="0.25">
      <c r="A187" s="3" t="s">
        <v>227</v>
      </c>
      <c r="B187" s="3">
        <v>823297.41299999994</v>
      </c>
      <c r="C187" s="3">
        <v>1091540.7579999999</v>
      </c>
      <c r="D187" s="3">
        <v>-117.84699999999999</v>
      </c>
    </row>
    <row r="188" spans="1:4" x14ac:dyDescent="0.25">
      <c r="A188" s="3" t="s">
        <v>228</v>
      </c>
      <c r="B188" s="3">
        <v>823298.571</v>
      </c>
      <c r="C188" s="3">
        <v>1091538.2379999999</v>
      </c>
      <c r="D188" s="3">
        <v>-118.694</v>
      </c>
    </row>
    <row r="189" spans="1:4" x14ac:dyDescent="0.25">
      <c r="A189" s="3" t="s">
        <v>229</v>
      </c>
      <c r="B189" s="3">
        <v>823267.96299999999</v>
      </c>
      <c r="C189" s="3">
        <v>1091529.932</v>
      </c>
      <c r="D189" s="3">
        <v>-123.626</v>
      </c>
    </row>
    <row r="190" spans="1:4" x14ac:dyDescent="0.25">
      <c r="A190" s="3" t="s">
        <v>230</v>
      </c>
      <c r="B190" s="3">
        <v>823270.29599999997</v>
      </c>
      <c r="C190" s="3">
        <v>1091532.5120000001</v>
      </c>
      <c r="D190" s="3">
        <v>-122.259</v>
      </c>
    </row>
    <row r="191" spans="1:4" x14ac:dyDescent="0.25">
      <c r="A191" s="3" t="s">
        <v>231</v>
      </c>
      <c r="B191" s="3">
        <v>823271.696</v>
      </c>
      <c r="C191" s="3">
        <v>1091533.983</v>
      </c>
      <c r="D191" s="3">
        <v>-122.10899999999999</v>
      </c>
    </row>
    <row r="192" spans="1:4" x14ac:dyDescent="0.25">
      <c r="A192" s="3" t="s">
        <v>232</v>
      </c>
      <c r="B192" s="3">
        <v>823270.21600000001</v>
      </c>
      <c r="C192" s="3">
        <v>1091525.0900000001</v>
      </c>
      <c r="D192" s="3">
        <v>-123.53700000000001</v>
      </c>
    </row>
    <row r="193" spans="1:4" x14ac:dyDescent="0.25">
      <c r="A193" s="3" t="s">
        <v>233</v>
      </c>
      <c r="B193" s="3">
        <v>823271.84900000005</v>
      </c>
      <c r="C193" s="3">
        <v>1091525.2450000001</v>
      </c>
      <c r="D193" s="3">
        <v>-122.54300000000001</v>
      </c>
    </row>
    <row r="194" spans="1:4" x14ac:dyDescent="0.25">
      <c r="A194" s="3" t="s">
        <v>234</v>
      </c>
      <c r="B194" s="3">
        <v>823273.67200000002</v>
      </c>
      <c r="C194" s="3">
        <v>1091525.2109999999</v>
      </c>
      <c r="D194" s="3">
        <v>-122.354</v>
      </c>
    </row>
    <row r="195" spans="1:4" x14ac:dyDescent="0.25">
      <c r="A195" s="3" t="s">
        <v>235</v>
      </c>
      <c r="B195" s="3">
        <v>823275.65399999998</v>
      </c>
      <c r="C195" s="3">
        <v>1091525.246</v>
      </c>
      <c r="D195" s="3">
        <v>-122.16500000000001</v>
      </c>
    </row>
    <row r="196" spans="1:4" x14ac:dyDescent="0.25">
      <c r="A196" s="3" t="s">
        <v>236</v>
      </c>
      <c r="B196" s="3">
        <v>823266.77</v>
      </c>
      <c r="C196" s="3">
        <v>1091529.44</v>
      </c>
      <c r="D196" s="3">
        <v>-123.312</v>
      </c>
    </row>
    <row r="197" spans="1:4" x14ac:dyDescent="0.25">
      <c r="A197" s="3" t="s">
        <v>237</v>
      </c>
      <c r="B197" s="3">
        <v>823264.05799999996</v>
      </c>
      <c r="C197" s="3">
        <v>1091528.1629999999</v>
      </c>
      <c r="D197" s="3">
        <v>-123.505</v>
      </c>
    </row>
    <row r="198" spans="1:4" x14ac:dyDescent="0.25">
      <c r="A198" s="3" t="s">
        <v>238</v>
      </c>
      <c r="B198" s="3">
        <v>823269.21100000001</v>
      </c>
      <c r="C198" s="3">
        <v>1091531.0360000001</v>
      </c>
      <c r="D198" s="3">
        <v>-124.297</v>
      </c>
    </row>
    <row r="199" spans="1:4" x14ac:dyDescent="0.25">
      <c r="A199" s="3" t="s">
        <v>239</v>
      </c>
      <c r="B199" s="3">
        <v>823270.95400000003</v>
      </c>
      <c r="C199" s="3">
        <v>1091532.997</v>
      </c>
      <c r="D199" s="3">
        <v>-124.729</v>
      </c>
    </row>
    <row r="200" spans="1:4" x14ac:dyDescent="0.25">
      <c r="A200" s="3" t="s">
        <v>240</v>
      </c>
      <c r="B200" s="3">
        <v>823269.005</v>
      </c>
      <c r="C200" s="3">
        <v>1091524.611</v>
      </c>
      <c r="D200" s="3">
        <v>-123.967</v>
      </c>
    </row>
    <row r="201" spans="1:4" x14ac:dyDescent="0.25">
      <c r="A201" s="3" t="s">
        <v>241</v>
      </c>
      <c r="B201" s="3">
        <v>823265.41700000002</v>
      </c>
      <c r="C201" s="3">
        <v>1091522.8700000001</v>
      </c>
      <c r="D201" s="3">
        <v>-123.57599999999999</v>
      </c>
    </row>
    <row r="202" spans="1:4" x14ac:dyDescent="0.25">
      <c r="A202" s="3" t="s">
        <v>242</v>
      </c>
      <c r="B202" s="3">
        <v>823270.86899999995</v>
      </c>
      <c r="C202" s="3">
        <v>1091525.612</v>
      </c>
      <c r="D202" s="3">
        <v>-124.819</v>
      </c>
    </row>
    <row r="203" spans="1:4" x14ac:dyDescent="0.25">
      <c r="A203" s="3" t="s">
        <v>243</v>
      </c>
      <c r="B203" s="3">
        <v>823274.39020000002</v>
      </c>
      <c r="C203" s="3">
        <v>1091525.6136</v>
      </c>
      <c r="D203" s="3">
        <v>-125.17140000000001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P67"/>
  <sheetViews>
    <sheetView workbookViewId="0">
      <selection activeCell="K54" sqref="H30:K54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6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  <c r="P1" t="s">
        <v>4</v>
      </c>
    </row>
    <row r="2" spans="1:16" x14ac:dyDescent="0.25">
      <c r="A2" s="4" t="s">
        <v>59</v>
      </c>
      <c r="B2" s="4">
        <v>823266.44689999998</v>
      </c>
      <c r="C2" s="4">
        <v>1091528.835</v>
      </c>
      <c r="D2" s="4">
        <v>-124.6861</v>
      </c>
      <c r="H2" t="s">
        <v>9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  <c r="P2" t="s">
        <v>9</v>
      </c>
    </row>
    <row r="3" spans="1:16" x14ac:dyDescent="0.25">
      <c r="A3" s="4" t="s">
        <v>61</v>
      </c>
      <c r="B3" s="4">
        <v>823266.33950000012</v>
      </c>
      <c r="C3" s="4">
        <v>1091529.037</v>
      </c>
      <c r="D3" s="4">
        <v>-123.096</v>
      </c>
      <c r="H3" t="s">
        <v>11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  <c r="P3" t="s">
        <v>11</v>
      </c>
    </row>
    <row r="4" spans="1:16" x14ac:dyDescent="0.25">
      <c r="A4" s="4" t="s">
        <v>62</v>
      </c>
      <c r="B4" s="4">
        <v>823267.44909999997</v>
      </c>
      <c r="C4" s="4">
        <v>1091526.5933999999</v>
      </c>
      <c r="D4" s="4">
        <v>-121.00709999999999</v>
      </c>
      <c r="H4" t="s">
        <v>13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  <c r="P4" t="s">
        <v>13</v>
      </c>
    </row>
    <row r="5" spans="1:16" x14ac:dyDescent="0.25">
      <c r="A5" s="4" t="s">
        <v>64</v>
      </c>
      <c r="B5" s="4">
        <v>823268.60329999996</v>
      </c>
      <c r="C5" s="4">
        <v>1091524.5222</v>
      </c>
      <c r="D5" s="4">
        <v>-123.03740000000001</v>
      </c>
      <c r="H5" t="s">
        <v>15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  <c r="P5" t="s">
        <v>15</v>
      </c>
    </row>
    <row r="6" spans="1:16" x14ac:dyDescent="0.25">
      <c r="A6" s="4" t="s">
        <v>66</v>
      </c>
      <c r="B6" s="4">
        <v>823268.39080000005</v>
      </c>
      <c r="C6" s="4">
        <v>1091524.6169</v>
      </c>
      <c r="D6" s="4">
        <v>-124.76139999999999</v>
      </c>
      <c r="H6" t="s">
        <v>17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  <c r="P6" t="s">
        <v>17</v>
      </c>
    </row>
    <row r="7" spans="1:16" x14ac:dyDescent="0.25">
      <c r="A7" s="4" t="s">
        <v>68</v>
      </c>
      <c r="B7" s="4">
        <v>823270.08224999998</v>
      </c>
      <c r="C7" s="4">
        <v>1091531.797175</v>
      </c>
      <c r="D7" s="4">
        <v>-124.85595000000001</v>
      </c>
      <c r="H7" t="s">
        <v>19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  <c r="P7" t="s">
        <v>19</v>
      </c>
    </row>
    <row r="8" spans="1:16" x14ac:dyDescent="0.25">
      <c r="A8" s="4" t="s">
        <v>68</v>
      </c>
      <c r="B8" s="4">
        <v>823270.0821</v>
      </c>
      <c r="C8" s="4">
        <v>1091531.7962</v>
      </c>
      <c r="D8" s="4">
        <v>-124.8561</v>
      </c>
      <c r="H8" t="s">
        <v>20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  <c r="P8" t="s">
        <v>20</v>
      </c>
    </row>
    <row r="9" spans="1:16" x14ac:dyDescent="0.25">
      <c r="A9" s="4" t="s">
        <v>72</v>
      </c>
      <c r="B9" s="4">
        <v>823270.17244999995</v>
      </c>
      <c r="C9" s="4">
        <v>1091532.3008000001</v>
      </c>
      <c r="D9" s="4">
        <v>-122.594275</v>
      </c>
      <c r="H9" t="s">
        <v>22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  <c r="P9" t="s">
        <v>22</v>
      </c>
    </row>
    <row r="10" spans="1:16" x14ac:dyDescent="0.25">
      <c r="A10" s="4" t="s">
        <v>72</v>
      </c>
      <c r="B10" s="4">
        <v>823270.17200000002</v>
      </c>
      <c r="C10" s="4">
        <v>1091532.2996</v>
      </c>
      <c r="D10" s="4">
        <v>-122.5945</v>
      </c>
      <c r="H10" t="s">
        <v>24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  <c r="P10" t="s">
        <v>24</v>
      </c>
    </row>
    <row r="11" spans="1:16" x14ac:dyDescent="0.25">
      <c r="A11" s="4" t="s">
        <v>76</v>
      </c>
      <c r="B11" s="4">
        <v>823270.52379999997</v>
      </c>
      <c r="C11" s="4">
        <v>1091531.1721999999</v>
      </c>
      <c r="D11" s="4">
        <v>-120.53830000000001</v>
      </c>
      <c r="H11" t="s">
        <v>26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  <c r="P11" t="s">
        <v>26</v>
      </c>
    </row>
    <row r="12" spans="1:16" x14ac:dyDescent="0.25">
      <c r="A12" s="4" t="s">
        <v>78</v>
      </c>
      <c r="B12" s="4">
        <v>823271.65009999985</v>
      </c>
      <c r="C12" s="4">
        <v>1091528.7235999999</v>
      </c>
      <c r="D12" s="4">
        <v>-119.4295</v>
      </c>
      <c r="H12" t="s">
        <v>27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  <c r="P12" t="s">
        <v>27</v>
      </c>
    </row>
    <row r="13" spans="1:16" x14ac:dyDescent="0.25">
      <c r="A13" s="4" t="s">
        <v>82</v>
      </c>
      <c r="B13" s="4">
        <v>823272.91020000004</v>
      </c>
      <c r="C13" s="4">
        <v>1091526.2801999999</v>
      </c>
      <c r="D13" s="4">
        <v>-120.4074</v>
      </c>
      <c r="H13" t="s">
        <v>29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  <c r="P13" t="s">
        <v>29</v>
      </c>
    </row>
    <row r="14" spans="1:16" x14ac:dyDescent="0.25">
      <c r="A14" s="4" t="s">
        <v>82</v>
      </c>
      <c r="B14" s="4">
        <v>823272.91020000004</v>
      </c>
      <c r="C14" s="4">
        <v>1091526.2801999999</v>
      </c>
      <c r="D14" s="4">
        <v>-120.4074</v>
      </c>
      <c r="H14" t="s">
        <v>31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  <c r="P14" t="s">
        <v>31</v>
      </c>
    </row>
    <row r="15" spans="1:16" x14ac:dyDescent="0.25">
      <c r="A15" s="4" t="s">
        <v>84</v>
      </c>
      <c r="B15" s="4">
        <v>823273.30977500009</v>
      </c>
      <c r="C15" s="4">
        <v>1091525.2719749999</v>
      </c>
      <c r="D15" s="4">
        <v>-122.522475</v>
      </c>
      <c r="H15" t="s">
        <v>33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  <c r="P15" t="s">
        <v>33</v>
      </c>
    </row>
    <row r="16" spans="1:16" x14ac:dyDescent="0.25">
      <c r="A16" s="4" t="s">
        <v>84</v>
      </c>
      <c r="B16" s="4">
        <v>823273.30940000003</v>
      </c>
      <c r="C16" s="4">
        <v>1091525.2716000001</v>
      </c>
      <c r="D16" s="4">
        <v>-122.5227</v>
      </c>
      <c r="H16" t="s">
        <v>35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  <c r="P16" t="s">
        <v>35</v>
      </c>
    </row>
    <row r="17" spans="1:16" x14ac:dyDescent="0.25">
      <c r="A17" s="4" t="s">
        <v>88</v>
      </c>
      <c r="B17" s="4">
        <v>823276.79940000002</v>
      </c>
      <c r="C17" s="4">
        <v>1091535.58445</v>
      </c>
      <c r="D17" s="4">
        <v>-124.8139</v>
      </c>
      <c r="H17" t="s">
        <v>37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  <c r="P17" t="s">
        <v>37</v>
      </c>
    </row>
    <row r="18" spans="1:16" x14ac:dyDescent="0.25">
      <c r="A18" s="4" t="s">
        <v>90</v>
      </c>
      <c r="B18" s="4">
        <v>823276.83984999999</v>
      </c>
      <c r="C18" s="4">
        <v>1091536.2701000001</v>
      </c>
      <c r="D18" s="4">
        <v>-122.4346</v>
      </c>
      <c r="H18" t="s">
        <v>39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  <c r="P18" t="s">
        <v>39</v>
      </c>
    </row>
    <row r="19" spans="1:16" x14ac:dyDescent="0.25">
      <c r="A19" s="4" t="s">
        <v>92</v>
      </c>
      <c r="B19" s="4">
        <v>823277.29614999995</v>
      </c>
      <c r="C19" s="4">
        <v>1091534.9955</v>
      </c>
      <c r="D19" s="4">
        <v>-119.54805</v>
      </c>
      <c r="H19" t="s">
        <v>41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  <c r="P19" t="s">
        <v>41</v>
      </c>
    </row>
    <row r="20" spans="1:16" x14ac:dyDescent="0.25">
      <c r="A20" s="4" t="s">
        <v>94</v>
      </c>
      <c r="B20" s="4">
        <v>823278.79489999998</v>
      </c>
      <c r="C20" s="4">
        <v>1091532.0393999999</v>
      </c>
      <c r="D20" s="4">
        <v>-118.0802</v>
      </c>
      <c r="H20" t="s">
        <v>43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  <c r="P20" t="s">
        <v>43</v>
      </c>
    </row>
    <row r="21" spans="1:16" x14ac:dyDescent="0.25">
      <c r="A21" s="4" t="s">
        <v>96</v>
      </c>
      <c r="B21" s="4">
        <v>823280.14209999994</v>
      </c>
      <c r="C21" s="4">
        <v>1091529.0449999999</v>
      </c>
      <c r="D21" s="4">
        <v>-119.449</v>
      </c>
      <c r="H21" t="s">
        <v>44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  <c r="P21" t="s">
        <v>44</v>
      </c>
    </row>
    <row r="22" spans="1:16" x14ac:dyDescent="0.25">
      <c r="A22" s="4" t="s">
        <v>98</v>
      </c>
      <c r="B22" s="4">
        <v>823280.65804999985</v>
      </c>
      <c r="C22" s="4">
        <v>1091527.9034</v>
      </c>
      <c r="D22" s="4">
        <v>-122.40295</v>
      </c>
      <c r="H22">
        <v>26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  <c r="P22">
        <v>26</v>
      </c>
    </row>
    <row r="23" spans="1:16" x14ac:dyDescent="0.25">
      <c r="A23" s="4" t="s">
        <v>100</v>
      </c>
      <c r="B23" s="4">
        <v>823280.12845000008</v>
      </c>
      <c r="C23" s="4">
        <v>1091528.25725</v>
      </c>
      <c r="D23" s="4">
        <v>-124.9059</v>
      </c>
      <c r="H23" t="s">
        <v>46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  <c r="P23" t="s">
        <v>46</v>
      </c>
    </row>
    <row r="24" spans="1:16" x14ac:dyDescent="0.25">
      <c r="A24" s="4" t="s">
        <v>102</v>
      </c>
      <c r="B24" s="4">
        <v>823286.71013749996</v>
      </c>
      <c r="C24" s="4">
        <v>1091540.0598500001</v>
      </c>
      <c r="D24" s="4">
        <v>-124.7967625</v>
      </c>
      <c r="H24" t="s">
        <v>47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  <c r="P24" t="s">
        <v>47</v>
      </c>
    </row>
    <row r="25" spans="1:16" x14ac:dyDescent="0.25">
      <c r="A25" s="4" t="s">
        <v>104</v>
      </c>
      <c r="B25" s="4">
        <v>823286.34402500011</v>
      </c>
      <c r="C25" s="4">
        <v>1091540.729425</v>
      </c>
      <c r="D25" s="4">
        <v>-122.27645</v>
      </c>
      <c r="H25" t="s">
        <v>49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  <c r="P25" t="s">
        <v>49</v>
      </c>
    </row>
    <row r="26" spans="1:16" x14ac:dyDescent="0.25">
      <c r="A26" s="4" t="s">
        <v>106</v>
      </c>
      <c r="B26" s="4">
        <v>823286.7854874999</v>
      </c>
      <c r="C26" s="4">
        <v>1091539.60745</v>
      </c>
      <c r="D26" s="4">
        <v>-119.31095000000001</v>
      </c>
      <c r="H26" t="s">
        <v>51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  <c r="P26" t="s">
        <v>51</v>
      </c>
    </row>
    <row r="27" spans="1:16" x14ac:dyDescent="0.25">
      <c r="A27" s="4" t="s">
        <v>108</v>
      </c>
      <c r="B27" s="4">
        <v>823288.16851250001</v>
      </c>
      <c r="C27" s="4">
        <v>1091536.1961000001</v>
      </c>
      <c r="D27" s="4">
        <v>-118.00971250000001</v>
      </c>
      <c r="H27" t="s">
        <v>53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  <c r="P27" t="s">
        <v>53</v>
      </c>
    </row>
    <row r="28" spans="1:16" x14ac:dyDescent="0.25">
      <c r="A28" s="4" t="s">
        <v>110</v>
      </c>
      <c r="B28" s="4">
        <v>823289.46272499999</v>
      </c>
      <c r="C28" s="4">
        <v>1091533.5490999999</v>
      </c>
      <c r="D28" s="4">
        <v>-119.1386875</v>
      </c>
      <c r="H28" t="s">
        <v>55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  <c r="P28" t="s">
        <v>55</v>
      </c>
    </row>
    <row r="29" spans="1:16" x14ac:dyDescent="0.25">
      <c r="A29" s="4" t="s">
        <v>112</v>
      </c>
      <c r="B29" s="4">
        <v>823290.257675</v>
      </c>
      <c r="C29" s="4">
        <v>1091532.2239375</v>
      </c>
      <c r="D29" s="4">
        <v>-122.31853750000001</v>
      </c>
      <c r="H29" t="s">
        <v>57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  <c r="P29" t="s">
        <v>57</v>
      </c>
    </row>
    <row r="30" spans="1:16" x14ac:dyDescent="0.25">
      <c r="A30" s="4" t="s">
        <v>114</v>
      </c>
      <c r="B30" s="4">
        <v>823290.12271250004</v>
      </c>
      <c r="C30" s="4">
        <v>1091532.8273875001</v>
      </c>
      <c r="D30" s="4">
        <v>-124.7081125</v>
      </c>
      <c r="H30" t="s">
        <v>59</v>
      </c>
      <c r="I30" s="7">
        <f t="shared" ca="1" si="0"/>
        <v>823266.44689999998</v>
      </c>
      <c r="J30" s="7">
        <f t="shared" ca="1" si="1"/>
        <v>1091528.835</v>
      </c>
      <c r="K30" s="7">
        <f t="shared" ca="1" si="2"/>
        <v>-124.6861</v>
      </c>
      <c r="P30" t="s">
        <v>59</v>
      </c>
    </row>
    <row r="31" spans="1:16" x14ac:dyDescent="0.25">
      <c r="H31" t="s">
        <v>61</v>
      </c>
      <c r="I31" s="7">
        <f t="shared" ca="1" si="0"/>
        <v>823266.33950000012</v>
      </c>
      <c r="J31" s="7">
        <f t="shared" ca="1" si="1"/>
        <v>1091529.037</v>
      </c>
      <c r="K31" s="7">
        <f t="shared" ca="1" si="2"/>
        <v>-123.096</v>
      </c>
      <c r="P31" t="s">
        <v>61</v>
      </c>
    </row>
    <row r="32" spans="1:16" x14ac:dyDescent="0.25">
      <c r="H32" t="s">
        <v>62</v>
      </c>
      <c r="I32" s="7">
        <f t="shared" ca="1" si="0"/>
        <v>823267.44909999997</v>
      </c>
      <c r="J32" s="7">
        <f t="shared" ca="1" si="1"/>
        <v>1091526.5933999999</v>
      </c>
      <c r="K32" s="7">
        <f t="shared" ca="1" si="2"/>
        <v>-121.00709999999999</v>
      </c>
      <c r="P32" t="s">
        <v>62</v>
      </c>
    </row>
    <row r="33" spans="8:16" x14ac:dyDescent="0.25">
      <c r="H33" t="s">
        <v>64</v>
      </c>
      <c r="I33" s="7">
        <f t="shared" ca="1" si="0"/>
        <v>823268.60329999996</v>
      </c>
      <c r="J33" s="7">
        <f t="shared" ca="1" si="1"/>
        <v>1091524.5222</v>
      </c>
      <c r="K33" s="7">
        <f t="shared" ca="1" si="2"/>
        <v>-123.03740000000001</v>
      </c>
      <c r="P33" t="s">
        <v>64</v>
      </c>
    </row>
    <row r="34" spans="8:16" x14ac:dyDescent="0.25">
      <c r="H34" t="s">
        <v>66</v>
      </c>
      <c r="I34" s="7">
        <f t="shared" ref="I34:I67" ca="1" si="3">AVERAGEIF($A:$D,$H34,B:B)</f>
        <v>823268.39080000005</v>
      </c>
      <c r="J34" s="7">
        <f t="shared" ref="J34:J67" ca="1" si="4">AVERAGEIF($A:$D,$H34,C:C)</f>
        <v>1091524.6169</v>
      </c>
      <c r="K34" s="7">
        <f t="shared" ref="K34:K67" ca="1" si="5">AVERAGEIF($A:$D,$H34,D:D)</f>
        <v>-124.76139999999999</v>
      </c>
      <c r="P34" t="s">
        <v>66</v>
      </c>
    </row>
    <row r="35" spans="8:16" x14ac:dyDescent="0.25">
      <c r="H35" t="s">
        <v>68</v>
      </c>
      <c r="I35" s="7">
        <f t="shared" ca="1" si="3"/>
        <v>823270.08217499999</v>
      </c>
      <c r="J35" s="7">
        <f t="shared" ca="1" si="4"/>
        <v>1091531.7966875001</v>
      </c>
      <c r="K35" s="7">
        <f t="shared" ca="1" si="5"/>
        <v>-124.856025</v>
      </c>
      <c r="P35" t="s">
        <v>68</v>
      </c>
    </row>
    <row r="36" spans="8:16" x14ac:dyDescent="0.25">
      <c r="H36" t="s">
        <v>72</v>
      </c>
      <c r="I36" s="7">
        <f t="shared" ca="1" si="3"/>
        <v>823270.17222499999</v>
      </c>
      <c r="J36" s="7">
        <f t="shared" ca="1" si="4"/>
        <v>1091532.3001999999</v>
      </c>
      <c r="K36" s="7">
        <f t="shared" ca="1" si="5"/>
        <v>-122.5943875</v>
      </c>
      <c r="P36" t="s">
        <v>70</v>
      </c>
    </row>
    <row r="37" spans="8:16" x14ac:dyDescent="0.25">
      <c r="H37" t="s">
        <v>76</v>
      </c>
      <c r="I37" s="7">
        <f t="shared" ca="1" si="3"/>
        <v>823270.52379999997</v>
      </c>
      <c r="J37" s="7">
        <f t="shared" ca="1" si="4"/>
        <v>1091531.1721999999</v>
      </c>
      <c r="K37" s="7">
        <f t="shared" ca="1" si="5"/>
        <v>-120.53830000000001</v>
      </c>
      <c r="P37" t="s">
        <v>72</v>
      </c>
    </row>
    <row r="38" spans="8:16" x14ac:dyDescent="0.25">
      <c r="H38" t="s">
        <v>78</v>
      </c>
      <c r="I38" s="7">
        <f t="shared" ca="1" si="3"/>
        <v>823271.65009999985</v>
      </c>
      <c r="J38" s="7">
        <f t="shared" ca="1" si="4"/>
        <v>1091528.7235999999</v>
      </c>
      <c r="K38" s="7">
        <f t="shared" ca="1" si="5"/>
        <v>-119.4295</v>
      </c>
      <c r="P38" t="s">
        <v>74</v>
      </c>
    </row>
    <row r="39" spans="8:16" x14ac:dyDescent="0.25">
      <c r="H39" t="s">
        <v>82</v>
      </c>
      <c r="I39" s="7">
        <f t="shared" ca="1" si="3"/>
        <v>823272.91020000004</v>
      </c>
      <c r="J39" s="7">
        <f t="shared" ca="1" si="4"/>
        <v>1091526.2801999999</v>
      </c>
      <c r="K39" s="7">
        <f t="shared" ca="1" si="5"/>
        <v>-120.4074</v>
      </c>
      <c r="P39" t="s">
        <v>76</v>
      </c>
    </row>
    <row r="40" spans="8:16" x14ac:dyDescent="0.25">
      <c r="H40" t="s">
        <v>84</v>
      </c>
      <c r="I40" s="7">
        <f t="shared" ca="1" si="3"/>
        <v>823273.30958750006</v>
      </c>
      <c r="J40" s="7">
        <f t="shared" ca="1" si="4"/>
        <v>1091525.2717875</v>
      </c>
      <c r="K40" s="7">
        <f t="shared" ca="1" si="5"/>
        <v>-122.5225875</v>
      </c>
      <c r="P40" t="s">
        <v>78</v>
      </c>
    </row>
    <row r="41" spans="8:16" x14ac:dyDescent="0.25">
      <c r="H41" t="s">
        <v>88</v>
      </c>
      <c r="I41" s="7">
        <f t="shared" ca="1" si="3"/>
        <v>823276.79940000002</v>
      </c>
      <c r="J41" s="7">
        <f t="shared" ca="1" si="4"/>
        <v>1091535.58445</v>
      </c>
      <c r="K41" s="7">
        <f t="shared" ca="1" si="5"/>
        <v>-124.8139</v>
      </c>
      <c r="P41" t="s">
        <v>80</v>
      </c>
    </row>
    <row r="42" spans="8:16" x14ac:dyDescent="0.25">
      <c r="H42" t="s">
        <v>90</v>
      </c>
      <c r="I42" s="7">
        <f t="shared" ca="1" si="3"/>
        <v>823276.83984999999</v>
      </c>
      <c r="J42" s="7">
        <f t="shared" ca="1" si="4"/>
        <v>1091536.2701000001</v>
      </c>
      <c r="K42" s="7">
        <f t="shared" ca="1" si="5"/>
        <v>-122.4346</v>
      </c>
      <c r="P42" t="s">
        <v>82</v>
      </c>
    </row>
    <row r="43" spans="8:16" x14ac:dyDescent="0.25">
      <c r="H43" t="s">
        <v>92</v>
      </c>
      <c r="I43" s="7">
        <f t="shared" ca="1" si="3"/>
        <v>823277.29614999995</v>
      </c>
      <c r="J43" s="7">
        <f t="shared" ca="1" si="4"/>
        <v>1091534.9955</v>
      </c>
      <c r="K43" s="7">
        <f t="shared" ca="1" si="5"/>
        <v>-119.54805</v>
      </c>
      <c r="P43" t="s">
        <v>84</v>
      </c>
    </row>
    <row r="44" spans="8:16" x14ac:dyDescent="0.25">
      <c r="H44" t="s">
        <v>94</v>
      </c>
      <c r="I44" s="7">
        <f t="shared" ca="1" si="3"/>
        <v>823278.79489999998</v>
      </c>
      <c r="J44" s="7">
        <f t="shared" ca="1" si="4"/>
        <v>1091532.0393999999</v>
      </c>
      <c r="K44" s="7">
        <f t="shared" ca="1" si="5"/>
        <v>-118.0802</v>
      </c>
      <c r="P44" t="s">
        <v>86</v>
      </c>
    </row>
    <row r="45" spans="8:16" x14ac:dyDescent="0.25">
      <c r="H45" t="s">
        <v>96</v>
      </c>
      <c r="I45" s="7">
        <f t="shared" ca="1" si="3"/>
        <v>823280.14209999994</v>
      </c>
      <c r="J45" s="7">
        <f t="shared" ca="1" si="4"/>
        <v>1091529.0449999999</v>
      </c>
      <c r="K45" s="7">
        <f t="shared" ca="1" si="5"/>
        <v>-119.449</v>
      </c>
      <c r="P45" t="s">
        <v>88</v>
      </c>
    </row>
    <row r="46" spans="8:16" x14ac:dyDescent="0.25">
      <c r="H46" t="s">
        <v>98</v>
      </c>
      <c r="I46" s="7">
        <f t="shared" ca="1" si="3"/>
        <v>823280.65804999985</v>
      </c>
      <c r="J46" s="7">
        <f t="shared" ca="1" si="4"/>
        <v>1091527.9034</v>
      </c>
      <c r="K46" s="7">
        <f t="shared" ca="1" si="5"/>
        <v>-122.40295</v>
      </c>
      <c r="P46" t="s">
        <v>90</v>
      </c>
    </row>
    <row r="47" spans="8:16" x14ac:dyDescent="0.25">
      <c r="H47" t="s">
        <v>100</v>
      </c>
      <c r="I47" s="7">
        <f t="shared" ca="1" si="3"/>
        <v>823280.12845000008</v>
      </c>
      <c r="J47" s="7">
        <f t="shared" ca="1" si="4"/>
        <v>1091528.25725</v>
      </c>
      <c r="K47" s="7">
        <f t="shared" ca="1" si="5"/>
        <v>-124.9059</v>
      </c>
      <c r="P47" t="s">
        <v>92</v>
      </c>
    </row>
    <row r="48" spans="8:16" x14ac:dyDescent="0.25">
      <c r="H48" t="s">
        <v>102</v>
      </c>
      <c r="I48" s="7">
        <f t="shared" ca="1" si="3"/>
        <v>823286.71013749996</v>
      </c>
      <c r="J48" s="7">
        <f t="shared" ca="1" si="4"/>
        <v>1091540.0598500001</v>
      </c>
      <c r="K48" s="7">
        <f t="shared" ca="1" si="5"/>
        <v>-124.7967625</v>
      </c>
      <c r="P48" t="s">
        <v>94</v>
      </c>
    </row>
    <row r="49" spans="8:16" x14ac:dyDescent="0.25">
      <c r="H49" t="s">
        <v>104</v>
      </c>
      <c r="I49" s="7">
        <f t="shared" ca="1" si="3"/>
        <v>823286.34402500011</v>
      </c>
      <c r="J49" s="7">
        <f t="shared" ca="1" si="4"/>
        <v>1091540.729425</v>
      </c>
      <c r="K49" s="7">
        <f t="shared" ca="1" si="5"/>
        <v>-122.27645</v>
      </c>
      <c r="P49" t="s">
        <v>96</v>
      </c>
    </row>
    <row r="50" spans="8:16" x14ac:dyDescent="0.25">
      <c r="H50" t="s">
        <v>106</v>
      </c>
      <c r="I50" s="7">
        <f t="shared" ca="1" si="3"/>
        <v>823286.7854874999</v>
      </c>
      <c r="J50" s="7">
        <f t="shared" ca="1" si="4"/>
        <v>1091539.60745</v>
      </c>
      <c r="K50" s="7">
        <f t="shared" ca="1" si="5"/>
        <v>-119.31095000000001</v>
      </c>
      <c r="P50" t="s">
        <v>98</v>
      </c>
    </row>
    <row r="51" spans="8:16" x14ac:dyDescent="0.25">
      <c r="H51" t="s">
        <v>108</v>
      </c>
      <c r="I51" s="7">
        <f t="shared" ca="1" si="3"/>
        <v>823288.16851250001</v>
      </c>
      <c r="J51" s="7">
        <f t="shared" ca="1" si="4"/>
        <v>1091536.1961000001</v>
      </c>
      <c r="K51" s="7">
        <f t="shared" ca="1" si="5"/>
        <v>-118.00971250000001</v>
      </c>
      <c r="P51" t="s">
        <v>100</v>
      </c>
    </row>
    <row r="52" spans="8:16" x14ac:dyDescent="0.25">
      <c r="H52" t="s">
        <v>110</v>
      </c>
      <c r="I52" s="7">
        <f t="shared" ca="1" si="3"/>
        <v>823289.46272499999</v>
      </c>
      <c r="J52" s="7">
        <f t="shared" ca="1" si="4"/>
        <v>1091533.5490999999</v>
      </c>
      <c r="K52" s="7">
        <f t="shared" ca="1" si="5"/>
        <v>-119.1386875</v>
      </c>
      <c r="P52" t="s">
        <v>102</v>
      </c>
    </row>
    <row r="53" spans="8:16" x14ac:dyDescent="0.25">
      <c r="H53" t="s">
        <v>112</v>
      </c>
      <c r="I53" s="7">
        <f t="shared" ca="1" si="3"/>
        <v>823290.257675</v>
      </c>
      <c r="J53" s="7">
        <f t="shared" ca="1" si="4"/>
        <v>1091532.2239375</v>
      </c>
      <c r="K53" s="7">
        <f t="shared" ca="1" si="5"/>
        <v>-122.31853750000001</v>
      </c>
      <c r="P53" t="s">
        <v>104</v>
      </c>
    </row>
    <row r="54" spans="8:16" x14ac:dyDescent="0.25">
      <c r="H54" t="s">
        <v>114</v>
      </c>
      <c r="I54" s="7">
        <f t="shared" ca="1" si="3"/>
        <v>823290.12271250004</v>
      </c>
      <c r="J54" s="7">
        <f t="shared" ca="1" si="4"/>
        <v>1091532.8273875001</v>
      </c>
      <c r="K54" s="7">
        <f t="shared" ca="1" si="5"/>
        <v>-124.7081125</v>
      </c>
      <c r="P54" t="s">
        <v>106</v>
      </c>
    </row>
    <row r="55" spans="8:16" x14ac:dyDescent="0.25"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  <c r="P55" t="s">
        <v>108</v>
      </c>
    </row>
    <row r="56" spans="8:16" x14ac:dyDescent="0.25"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  <c r="P56" t="s">
        <v>110</v>
      </c>
    </row>
    <row r="57" spans="8:16" x14ac:dyDescent="0.25"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  <c r="P57" t="s">
        <v>112</v>
      </c>
    </row>
    <row r="58" spans="8:16" x14ac:dyDescent="0.25"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  <c r="P58" t="s">
        <v>114</v>
      </c>
    </row>
    <row r="59" spans="8:16" x14ac:dyDescent="0.25"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6" x14ac:dyDescent="0.25"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6" x14ac:dyDescent="0.25"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6" x14ac:dyDescent="0.25"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6" x14ac:dyDescent="0.25"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6" x14ac:dyDescent="0.25"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9:11" x14ac:dyDescent="0.25"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9:11" x14ac:dyDescent="0.25"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9:11" x14ac:dyDescent="0.25"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D31" sqref="D31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  <col min="8" max="8" width="8.7109375" customWidth="1"/>
  </cols>
  <sheetData>
    <row r="1" spans="1:8" ht="15.75" customHeight="1" thickBot="1" x14ac:dyDescent="0.3">
      <c r="A1" s="22" t="s">
        <v>244</v>
      </c>
      <c r="B1" s="19" t="s">
        <v>245</v>
      </c>
      <c r="C1" s="20" t="s">
        <v>246</v>
      </c>
      <c r="D1" s="21" t="s">
        <v>247</v>
      </c>
      <c r="H1" s="27" t="s">
        <v>248</v>
      </c>
    </row>
    <row r="2" spans="1:8" x14ac:dyDescent="0.25">
      <c r="A2" s="23" t="s">
        <v>249</v>
      </c>
      <c r="B2" s="14">
        <v>823269.05</v>
      </c>
      <c r="C2" s="15">
        <v>1091527.5120000001</v>
      </c>
      <c r="D2" s="18">
        <v>-122.76900000000001</v>
      </c>
      <c r="F2">
        <v>0</v>
      </c>
    </row>
    <row r="3" spans="1:8" x14ac:dyDescent="0.25">
      <c r="A3" s="24" t="s">
        <v>250</v>
      </c>
      <c r="B3" s="16">
        <v>823359.67942394002</v>
      </c>
      <c r="C3" s="17">
        <v>1091569.7767314001</v>
      </c>
      <c r="D3" s="18">
        <v>-121.76900000000001</v>
      </c>
      <c r="F3">
        <v>100</v>
      </c>
    </row>
    <row r="4" spans="1:8" ht="15.75" customHeight="1" thickBot="1" x14ac:dyDescent="0.3">
      <c r="A4" s="25" t="s">
        <v>251</v>
      </c>
      <c r="B4" s="13"/>
      <c r="C4" s="12"/>
      <c r="D4" s="26">
        <v>0</v>
      </c>
      <c r="F4" t="s">
        <v>252</v>
      </c>
    </row>
    <row r="8" spans="1:8" x14ac:dyDescent="0.25">
      <c r="E8" s="28" t="s">
        <v>253</v>
      </c>
      <c r="F8" s="29">
        <f>(D3-D2)/(F3)</f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9"/>
  <sheetViews>
    <sheetView topLeftCell="A13" zoomScale="70" zoomScaleNormal="70" workbookViewId="0">
      <selection activeCell="E31" sqref="E31:H59"/>
    </sheetView>
  </sheetViews>
  <sheetFormatPr baseColWidth="10" defaultColWidth="9.140625" defaultRowHeight="15" x14ac:dyDescent="0.25"/>
  <cols>
    <col min="1" max="18" width="15.140625" customWidth="1"/>
  </cols>
  <sheetData>
    <row r="1" spans="1:18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254</v>
      </c>
      <c r="J1" s="35" t="s">
        <v>255</v>
      </c>
      <c r="K1" s="35" t="s">
        <v>256</v>
      </c>
      <c r="L1" s="35" t="s">
        <v>257</v>
      </c>
      <c r="M1" s="35" t="s">
        <v>258</v>
      </c>
      <c r="N1" s="35" t="s">
        <v>259</v>
      </c>
      <c r="O1" s="35" t="s">
        <v>260</v>
      </c>
      <c r="P1" s="35" t="s">
        <v>261</v>
      </c>
      <c r="Q1" s="35" t="s">
        <v>262</v>
      </c>
      <c r="R1" s="35" t="s">
        <v>263</v>
      </c>
    </row>
    <row r="2" spans="1:18" x14ac:dyDescent="0.25">
      <c r="A2" s="9" t="s">
        <v>9</v>
      </c>
      <c r="B2" s="8">
        <v>823251.28060000006</v>
      </c>
      <c r="C2" s="8">
        <v>1091521.5682999999</v>
      </c>
      <c r="D2" s="8">
        <v>-123.6816</v>
      </c>
      <c r="E2" s="9" t="s">
        <v>9</v>
      </c>
      <c r="F2" s="8">
        <v>823251.28</v>
      </c>
      <c r="G2" s="8">
        <v>1091521.5663999999</v>
      </c>
      <c r="H2" s="8">
        <v>-123.6823</v>
      </c>
      <c r="I2" s="8">
        <v>-18.616393694150279</v>
      </c>
      <c r="J2" s="8">
        <v>2.1234481101344609</v>
      </c>
      <c r="K2" s="8">
        <v>-0.72643606309573272</v>
      </c>
      <c r="L2" s="8">
        <v>-18.617740500629608</v>
      </c>
      <c r="M2" s="8">
        <v>2.1219797394137978</v>
      </c>
      <c r="N2" s="8">
        <v>-0.72712259503093435</v>
      </c>
      <c r="O2" s="8">
        <v>-1.3468064793364929E-3</v>
      </c>
      <c r="P2" s="8">
        <v>-1.4683707206626371E-3</v>
      </c>
      <c r="Q2" s="8">
        <v>-6.8653193520162858E-4</v>
      </c>
      <c r="R2" s="8">
        <v>1.992485923649312E-3</v>
      </c>
    </row>
    <row r="3" spans="1:18" x14ac:dyDescent="0.25">
      <c r="A3" s="9" t="s">
        <v>11</v>
      </c>
      <c r="B3" s="8">
        <v>823257.01199999999</v>
      </c>
      <c r="C3" s="8">
        <v>1091518.9757999999</v>
      </c>
      <c r="D3" s="8">
        <v>-123.5288</v>
      </c>
      <c r="E3" s="9" t="s">
        <v>11</v>
      </c>
      <c r="F3" s="8">
        <v>823257.01</v>
      </c>
      <c r="G3" s="8">
        <v>1091518.9754000001</v>
      </c>
      <c r="H3" s="8">
        <v>-123.5299</v>
      </c>
      <c r="I3" s="8">
        <v>-14.517772052892211</v>
      </c>
      <c r="J3" s="8">
        <v>2.6484805201096391</v>
      </c>
      <c r="K3" s="8">
        <v>-0.61462227950012505</v>
      </c>
      <c r="L3" s="8">
        <v>-14.519753700186421</v>
      </c>
      <c r="M3" s="8">
        <v>2.6479977429992259</v>
      </c>
      <c r="N3" s="8">
        <v>-0.61570246302717635</v>
      </c>
      <c r="O3" s="8">
        <v>-1.9816472942135728E-3</v>
      </c>
      <c r="P3" s="8">
        <v>-4.8277711041322391E-4</v>
      </c>
      <c r="Q3" s="8">
        <v>-1.080183527051304E-3</v>
      </c>
      <c r="R3" s="8">
        <v>2.0396077424968359E-3</v>
      </c>
    </row>
    <row r="4" spans="1:18" x14ac:dyDescent="0.25">
      <c r="A4" s="9" t="s">
        <v>13</v>
      </c>
      <c r="B4" s="8">
        <v>823265.72169999999</v>
      </c>
      <c r="C4" s="8">
        <v>1091522.9946000001</v>
      </c>
      <c r="D4" s="8">
        <v>-123.5341</v>
      </c>
      <c r="E4" s="9" t="s">
        <v>13</v>
      </c>
      <c r="F4" s="8">
        <v>823265.72109999997</v>
      </c>
      <c r="G4" s="8">
        <v>1091522.99545</v>
      </c>
      <c r="H4" s="8">
        <v>-123.5355</v>
      </c>
      <c r="I4" s="8">
        <v>-4.9256860923219463</v>
      </c>
      <c r="J4" s="8">
        <v>2.687396541386617</v>
      </c>
      <c r="K4" s="8">
        <v>-0.71584313908662978</v>
      </c>
      <c r="L4" s="8">
        <v>-4.9258706186943169</v>
      </c>
      <c r="M4" s="8">
        <v>2.6863726028410482</v>
      </c>
      <c r="N4" s="8">
        <v>-0.7172412938229229</v>
      </c>
      <c r="O4" s="8">
        <v>-1.8452637237054151E-4</v>
      </c>
      <c r="P4" s="8">
        <v>-1.023938545569258E-3</v>
      </c>
      <c r="Q4" s="8">
        <v>-1.3981547362931219E-3</v>
      </c>
      <c r="R4" s="8">
        <v>1.0404325804214559E-3</v>
      </c>
    </row>
    <row r="5" spans="1:18" x14ac:dyDescent="0.25">
      <c r="A5" s="9" t="s">
        <v>15</v>
      </c>
      <c r="B5" s="8">
        <v>823268.01500000001</v>
      </c>
      <c r="C5" s="8">
        <v>1091524.2712999999</v>
      </c>
      <c r="D5" s="8">
        <v>-123.4455</v>
      </c>
      <c r="E5" s="9" t="s">
        <v>15</v>
      </c>
      <c r="F5" s="8">
        <v>823268.01560000004</v>
      </c>
      <c r="G5" s="8">
        <v>1091524.2714</v>
      </c>
      <c r="H5" s="8">
        <v>-123.447</v>
      </c>
      <c r="I5" s="8">
        <v>-2.3076876879086359</v>
      </c>
      <c r="J5" s="8">
        <v>2.4995877712603201</v>
      </c>
      <c r="K5" s="8">
        <v>-0.65342312312552053</v>
      </c>
      <c r="L5" s="8">
        <v>-2.3071016465812768</v>
      </c>
      <c r="M5" s="8">
        <v>2.4997507301513999</v>
      </c>
      <c r="N5" s="8">
        <v>-0.65492898353879525</v>
      </c>
      <c r="O5" s="8">
        <v>5.8604132735906589E-4</v>
      </c>
      <c r="P5" s="8">
        <v>1.6295889107986741E-4</v>
      </c>
      <c r="Q5" s="8">
        <v>-1.505860413274718E-3</v>
      </c>
      <c r="R5" s="8">
        <v>6.0827629149067691E-4</v>
      </c>
    </row>
    <row r="6" spans="1:18" x14ac:dyDescent="0.25">
      <c r="A6" s="9" t="s">
        <v>17</v>
      </c>
      <c r="B6" s="8">
        <v>823265.88659999997</v>
      </c>
      <c r="C6" s="8">
        <v>1091528.8396999999</v>
      </c>
      <c r="D6" s="8">
        <v>-123.44</v>
      </c>
      <c r="E6" s="9" t="s">
        <v>17</v>
      </c>
      <c r="F6" s="8">
        <v>823265.88800000004</v>
      </c>
      <c r="G6" s="8">
        <v>1091528.838</v>
      </c>
      <c r="H6" s="8">
        <v>-123.4423</v>
      </c>
      <c r="I6" s="8">
        <v>-2.3058223578175809</v>
      </c>
      <c r="J6" s="8">
        <v>2.5402893742028092</v>
      </c>
      <c r="K6" s="8">
        <v>-0.64794177642643547</v>
      </c>
      <c r="L6" s="8">
        <v>-2.305272046216388</v>
      </c>
      <c r="M6" s="8">
        <v>2.538156967722907</v>
      </c>
      <c r="N6" s="8">
        <v>-0.65024727954244099</v>
      </c>
      <c r="O6" s="8">
        <v>5.5031160119289879E-4</v>
      </c>
      <c r="P6" s="8">
        <v>-2.132406479901761E-3</v>
      </c>
      <c r="Q6" s="8">
        <v>-2.305503116005525E-3</v>
      </c>
      <c r="R6" s="8">
        <v>2.2022715243600532E-3</v>
      </c>
    </row>
    <row r="7" spans="1:18" x14ac:dyDescent="0.25">
      <c r="A7" s="9" t="s">
        <v>19</v>
      </c>
      <c r="B7" s="8">
        <v>823224.73430000001</v>
      </c>
      <c r="C7" s="8">
        <v>1091509.0695</v>
      </c>
      <c r="D7" s="8">
        <v>-123.97669999999999</v>
      </c>
      <c r="E7" s="9" t="s">
        <v>19</v>
      </c>
      <c r="F7" s="8">
        <v>823224.73419999995</v>
      </c>
      <c r="G7" s="8">
        <v>1091509.0700999999</v>
      </c>
      <c r="H7" s="8">
        <v>-123.9748</v>
      </c>
      <c r="I7" s="8">
        <v>-47.957736703891243</v>
      </c>
      <c r="J7" s="8">
        <v>2.0155800624048799</v>
      </c>
      <c r="K7" s="8">
        <v>-0.72812263305701208</v>
      </c>
      <c r="L7" s="8">
        <v>-47.95757374502103</v>
      </c>
      <c r="M7" s="8">
        <v>2.0161661036470768</v>
      </c>
      <c r="N7" s="8">
        <v>-0.72622426264572937</v>
      </c>
      <c r="O7" s="8">
        <v>1.6295887021300359E-4</v>
      </c>
      <c r="P7" s="8">
        <v>5.8604124219652221E-4</v>
      </c>
      <c r="Q7" s="8">
        <v>1.8983704112827131E-3</v>
      </c>
      <c r="R7" s="8">
        <v>6.0827617665931287E-4</v>
      </c>
    </row>
    <row r="8" spans="1:18" x14ac:dyDescent="0.25">
      <c r="A8" s="36" t="s">
        <v>63</v>
      </c>
      <c r="B8" s="37">
        <v>823258.05489999999</v>
      </c>
      <c r="C8" s="37">
        <v>1091526.3359999999</v>
      </c>
      <c r="D8" s="37">
        <v>-123.4444</v>
      </c>
      <c r="E8" s="36" t="s">
        <v>20</v>
      </c>
      <c r="F8" s="37">
        <v>823257.99419999996</v>
      </c>
      <c r="G8" s="37">
        <v>1091526.2734000001</v>
      </c>
      <c r="H8" s="37">
        <v>-123.2516</v>
      </c>
      <c r="I8" s="37">
        <v>-10.46182903093621</v>
      </c>
      <c r="J8" s="37">
        <v>3.5812474557520781</v>
      </c>
      <c r="K8" s="37">
        <v>-0.57078170971156794</v>
      </c>
      <c r="L8" s="37">
        <v>-10.543298813064069</v>
      </c>
      <c r="M8" s="37">
        <v>3.550168128558481</v>
      </c>
      <c r="N8" s="37">
        <v>-0.37716701189044949</v>
      </c>
      <c r="O8" s="37">
        <v>-8.1469782127857826E-2</v>
      </c>
      <c r="P8" s="37">
        <v>-3.1079327193597631E-2</v>
      </c>
      <c r="Q8" s="37">
        <v>0.1936146978211184</v>
      </c>
      <c r="R8" s="37">
        <v>8.7196616806419436E-2</v>
      </c>
    </row>
    <row r="9" spans="1:18" x14ac:dyDescent="0.25">
      <c r="A9" s="9" t="s">
        <v>20</v>
      </c>
      <c r="B9" s="8">
        <v>823257.99349999998</v>
      </c>
      <c r="C9" s="8">
        <v>1091526.274</v>
      </c>
      <c r="D9" s="8">
        <v>-123.251</v>
      </c>
      <c r="E9" s="9" t="s">
        <v>20</v>
      </c>
      <c r="F9" s="8">
        <v>823257.99419999996</v>
      </c>
      <c r="G9" s="8">
        <v>1091526.2734000001</v>
      </c>
      <c r="H9" s="8">
        <v>-123.2516</v>
      </c>
      <c r="I9" s="8">
        <v>-10.54367963065771</v>
      </c>
      <c r="J9" s="8">
        <v>3.5510077580161701</v>
      </c>
      <c r="K9" s="8">
        <v>-0.37656320371451102</v>
      </c>
      <c r="L9" s="8">
        <v>-10.543298813064069</v>
      </c>
      <c r="M9" s="8">
        <v>3.550168128558481</v>
      </c>
      <c r="N9" s="8">
        <v>-0.37716701189044949</v>
      </c>
      <c r="O9" s="8">
        <v>3.808175936406144E-4</v>
      </c>
      <c r="P9" s="8">
        <v>-8.3962945768911723E-4</v>
      </c>
      <c r="Q9" s="8">
        <v>-6.0380817593852498E-4</v>
      </c>
      <c r="R9" s="8">
        <v>9.2195436956313845E-4</v>
      </c>
    </row>
    <row r="10" spans="1:18" x14ac:dyDescent="0.25">
      <c r="A10" s="9" t="s">
        <v>22</v>
      </c>
      <c r="B10" s="8">
        <v>823256.60849999997</v>
      </c>
      <c r="C10" s="8">
        <v>1091524.4813000001</v>
      </c>
      <c r="D10" s="8">
        <v>-123.70699999999999</v>
      </c>
      <c r="E10" s="9" t="s">
        <v>22</v>
      </c>
      <c r="F10" s="8">
        <v>823256.60810000007</v>
      </c>
      <c r="G10" s="8">
        <v>1091524.4798999999</v>
      </c>
      <c r="H10" s="8">
        <v>-123.70845</v>
      </c>
      <c r="I10" s="8">
        <v>-12.55657699158589</v>
      </c>
      <c r="J10" s="8">
        <v>2.5116606052891899</v>
      </c>
      <c r="K10" s="8">
        <v>-0.81243423010924687</v>
      </c>
      <c r="L10" s="8">
        <v>-12.55753121541168</v>
      </c>
      <c r="M10" s="8">
        <v>2.5105608522730578</v>
      </c>
      <c r="N10" s="8">
        <v>-0.81387468787099237</v>
      </c>
      <c r="O10" s="8">
        <v>-9.5422382578291831E-4</v>
      </c>
      <c r="P10" s="8">
        <v>-1.099753016132077E-3</v>
      </c>
      <c r="Q10" s="8">
        <v>-1.4404577617455061E-3</v>
      </c>
      <c r="R10" s="8">
        <v>1.456021903095571E-3</v>
      </c>
    </row>
    <row r="11" spans="1:18" x14ac:dyDescent="0.25">
      <c r="A11" s="9" t="s">
        <v>26</v>
      </c>
      <c r="B11" s="8">
        <v>823268.98580000002</v>
      </c>
      <c r="C11" s="8">
        <v>1091530.5776</v>
      </c>
      <c r="D11" s="8">
        <v>-124.261</v>
      </c>
      <c r="E11" s="9" t="s">
        <v>24</v>
      </c>
      <c r="F11" s="8">
        <v>823268.98869999999</v>
      </c>
      <c r="G11" s="8">
        <v>1091530.5759000001</v>
      </c>
      <c r="H11" s="8">
        <v>-124.2641</v>
      </c>
      <c r="I11" s="8">
        <v>1.237483515298581</v>
      </c>
      <c r="J11" s="8">
        <v>2.8054695771862108</v>
      </c>
      <c r="K11" s="8">
        <v>-1.5043748351505</v>
      </c>
      <c r="L11" s="8">
        <v>1.239393268164912</v>
      </c>
      <c r="M11" s="8">
        <v>2.8027031998510581</v>
      </c>
      <c r="N11" s="8">
        <v>-1.5074939326791681</v>
      </c>
      <c r="O11" s="8">
        <v>1.9097528663305501E-3</v>
      </c>
      <c r="P11" s="8">
        <v>-2.766377335153614E-3</v>
      </c>
      <c r="Q11" s="8">
        <v>-3.1190975286676799E-3</v>
      </c>
      <c r="R11" s="8">
        <v>3.3615471835021101E-3</v>
      </c>
    </row>
    <row r="12" spans="1:18" x14ac:dyDescent="0.25">
      <c r="A12" s="9" t="s">
        <v>26</v>
      </c>
      <c r="B12" s="8">
        <v>823268.98580000002</v>
      </c>
      <c r="C12" s="8">
        <v>1091530.5776</v>
      </c>
      <c r="D12" s="8">
        <v>-124.261</v>
      </c>
      <c r="E12" s="9" t="s">
        <v>26</v>
      </c>
      <c r="F12" s="8">
        <v>823268.98869999999</v>
      </c>
      <c r="G12" s="8">
        <v>1091530.5759000001</v>
      </c>
      <c r="H12" s="8">
        <v>-124.2641</v>
      </c>
      <c r="I12" s="8">
        <v>1.237483515298581</v>
      </c>
      <c r="J12" s="8">
        <v>2.8054695771862108</v>
      </c>
      <c r="K12" s="8">
        <v>-1.5043748351505</v>
      </c>
      <c r="L12" s="8">
        <v>1.239393268164912</v>
      </c>
      <c r="M12" s="8">
        <v>2.8027031998510581</v>
      </c>
      <c r="N12" s="8">
        <v>-1.5074939326791681</v>
      </c>
      <c r="O12" s="8">
        <v>1.9097528663305501E-3</v>
      </c>
      <c r="P12" s="8">
        <v>-2.766377335153614E-3</v>
      </c>
      <c r="Q12" s="8">
        <v>-3.1190975286676799E-3</v>
      </c>
      <c r="R12" s="8">
        <v>3.3615471835021101E-3</v>
      </c>
    </row>
    <row r="13" spans="1:18" x14ac:dyDescent="0.25">
      <c r="A13" s="9" t="s">
        <v>29</v>
      </c>
      <c r="B13" s="8">
        <v>823271.31629999995</v>
      </c>
      <c r="C13" s="8">
        <v>1091525.4778</v>
      </c>
      <c r="D13" s="8">
        <v>-124.31059999999999</v>
      </c>
      <c r="E13" s="9" t="s">
        <v>27</v>
      </c>
      <c r="F13" s="8">
        <v>823271.31480000005</v>
      </c>
      <c r="G13" s="8">
        <v>1091525.4783000001</v>
      </c>
      <c r="H13" s="8">
        <v>-124.3087</v>
      </c>
      <c r="I13" s="8">
        <v>1.194185468238401</v>
      </c>
      <c r="J13" s="8">
        <v>2.8014293489232238</v>
      </c>
      <c r="K13" s="8">
        <v>-1.553541854679978</v>
      </c>
      <c r="L13" s="8">
        <v>1.1930373506648591</v>
      </c>
      <c r="M13" s="8">
        <v>2.8003422309746782</v>
      </c>
      <c r="N13" s="8">
        <v>-1.5516303735042529</v>
      </c>
      <c r="O13" s="8">
        <v>-1.1481175735414959E-3</v>
      </c>
      <c r="P13" s="8">
        <v>-1.087117948545657E-3</v>
      </c>
      <c r="Q13" s="8">
        <v>1.911481175724816E-3</v>
      </c>
      <c r="R13" s="8">
        <v>1.58113875792923E-3</v>
      </c>
    </row>
    <row r="14" spans="1:18" x14ac:dyDescent="0.25">
      <c r="A14" s="9" t="s">
        <v>29</v>
      </c>
      <c r="B14" s="8">
        <v>823271.31629999995</v>
      </c>
      <c r="C14" s="8">
        <v>1091525.4778</v>
      </c>
      <c r="D14" s="8">
        <v>-124.31059999999999</v>
      </c>
      <c r="E14" s="9" t="s">
        <v>29</v>
      </c>
      <c r="F14" s="8">
        <v>823271.31480000005</v>
      </c>
      <c r="G14" s="8">
        <v>1091525.4783000001</v>
      </c>
      <c r="H14" s="8">
        <v>-124.3087</v>
      </c>
      <c r="I14" s="8">
        <v>1.194185468238401</v>
      </c>
      <c r="J14" s="8">
        <v>2.8014293489232238</v>
      </c>
      <c r="K14" s="8">
        <v>-1.553541854679978</v>
      </c>
      <c r="L14" s="8">
        <v>1.1930373506648591</v>
      </c>
      <c r="M14" s="8">
        <v>2.8003422309746782</v>
      </c>
      <c r="N14" s="8">
        <v>-1.5516303735042529</v>
      </c>
      <c r="O14" s="8">
        <v>-1.1481175735414959E-3</v>
      </c>
      <c r="P14" s="8">
        <v>-1.087117948545657E-3</v>
      </c>
      <c r="Q14" s="8">
        <v>1.911481175724816E-3</v>
      </c>
      <c r="R14" s="8">
        <v>1.58113875792923E-3</v>
      </c>
    </row>
    <row r="15" spans="1:18" x14ac:dyDescent="0.25">
      <c r="A15" s="9" t="s">
        <v>31</v>
      </c>
      <c r="B15" s="8">
        <v>823269.97510000004</v>
      </c>
      <c r="C15" s="8">
        <v>1091531.8297999999</v>
      </c>
      <c r="D15" s="8">
        <v>-124.4327</v>
      </c>
      <c r="E15" s="9" t="s">
        <v>31</v>
      </c>
      <c r="F15" s="8">
        <v>823269.9754</v>
      </c>
      <c r="G15" s="8">
        <v>1091531.8281</v>
      </c>
      <c r="H15" s="8">
        <v>-124.43429999999999</v>
      </c>
      <c r="I15" s="8">
        <v>2.66331937265078</v>
      </c>
      <c r="J15" s="8">
        <v>3.5222062359530759</v>
      </c>
      <c r="K15" s="8">
        <v>-1.690333193721173</v>
      </c>
      <c r="L15" s="8">
        <v>2.6628727604887281</v>
      </c>
      <c r="M15" s="8">
        <v>3.5205387415509</v>
      </c>
      <c r="N15" s="8">
        <v>-1.69192872759956</v>
      </c>
      <c r="O15" s="8">
        <v>-4.466121620523289E-4</v>
      </c>
      <c r="P15" s="8">
        <v>-1.667494402176839E-3</v>
      </c>
      <c r="Q15" s="8">
        <v>-1.595533878386846E-3</v>
      </c>
      <c r="R15" s="8">
        <v>1.7262675500750409E-3</v>
      </c>
    </row>
    <row r="16" spans="1:18" x14ac:dyDescent="0.25">
      <c r="A16" s="9" t="s">
        <v>33</v>
      </c>
      <c r="B16" s="8">
        <v>823276.08810000005</v>
      </c>
      <c r="C16" s="8">
        <v>1091526.3326999999</v>
      </c>
      <c r="D16" s="8">
        <v>-125.01</v>
      </c>
      <c r="E16" s="9" t="s">
        <v>33</v>
      </c>
      <c r="F16" s="8">
        <v>823276.08660000004</v>
      </c>
      <c r="G16" s="8">
        <v>1091526.3333000001</v>
      </c>
      <c r="H16" s="8">
        <v>-125.01049999999999</v>
      </c>
      <c r="I16" s="8">
        <v>5.8801615076666156</v>
      </c>
      <c r="J16" s="8">
        <v>4.0434268565708864</v>
      </c>
      <c r="K16" s="8">
        <v>-2.2998016150649079</v>
      </c>
      <c r="L16" s="8">
        <v>5.879055654745569</v>
      </c>
      <c r="M16" s="8">
        <v>4.0422491088266979</v>
      </c>
      <c r="N16" s="8">
        <v>-2.3002905565357001</v>
      </c>
      <c r="O16" s="8">
        <v>-1.105852921047479E-3</v>
      </c>
      <c r="P16" s="8">
        <v>-1.1777477441876629E-3</v>
      </c>
      <c r="Q16" s="8">
        <v>-4.8894147079181494E-4</v>
      </c>
      <c r="R16" s="8">
        <v>1.6155495080659461E-3</v>
      </c>
    </row>
    <row r="17" spans="1:18" x14ac:dyDescent="0.25">
      <c r="A17" s="9" t="s">
        <v>35</v>
      </c>
      <c r="B17" s="8">
        <v>823272.57799999998</v>
      </c>
      <c r="C17" s="8">
        <v>1091533.6714999999</v>
      </c>
      <c r="D17" s="8">
        <v>-124.9434</v>
      </c>
      <c r="E17" s="9" t="s">
        <v>35</v>
      </c>
      <c r="F17" s="8">
        <v>823272.57853333338</v>
      </c>
      <c r="G17" s="8">
        <v>1091533.6698666669</v>
      </c>
      <c r="H17" s="8">
        <v>-124.94403333333329</v>
      </c>
      <c r="I17" s="8">
        <v>5.8007022058907536</v>
      </c>
      <c r="J17" s="8">
        <v>4.0912196427418381</v>
      </c>
      <c r="K17" s="8">
        <v>-2.232407022047298</v>
      </c>
      <c r="L17" s="8">
        <v>5.8004952389550173</v>
      </c>
      <c r="M17" s="8">
        <v>4.0895139502796134</v>
      </c>
      <c r="N17" s="8">
        <v>-2.2330382857112738</v>
      </c>
      <c r="O17" s="8">
        <v>-2.069669357362969E-4</v>
      </c>
      <c r="P17" s="8">
        <v>-1.7056924622247389E-3</v>
      </c>
      <c r="Q17" s="8">
        <v>-6.3126366397625588E-4</v>
      </c>
      <c r="R17" s="8">
        <v>1.7182031603942181E-3</v>
      </c>
    </row>
    <row r="18" spans="1:18" x14ac:dyDescent="0.25">
      <c r="A18" s="9" t="s">
        <v>37</v>
      </c>
      <c r="B18" s="8">
        <v>823273.30189999996</v>
      </c>
      <c r="C18" s="8">
        <v>1091533.7533</v>
      </c>
      <c r="D18" s="8">
        <v>-125.3186</v>
      </c>
      <c r="E18" s="9" t="s">
        <v>37</v>
      </c>
      <c r="F18" s="8">
        <v>823273.30119999999</v>
      </c>
      <c r="G18" s="8">
        <v>1091533.7515</v>
      </c>
      <c r="H18" s="8">
        <v>-125.319</v>
      </c>
      <c r="I18" s="8">
        <v>6.4913411559419316</v>
      </c>
      <c r="J18" s="8">
        <v>3.8594001210421029</v>
      </c>
      <c r="K18" s="8">
        <v>-2.6145134115464259</v>
      </c>
      <c r="L18" s="8">
        <v>6.4899459848451206</v>
      </c>
      <c r="M18" s="8">
        <v>3.858064644681356</v>
      </c>
      <c r="N18" s="8">
        <v>-2.61489945983547</v>
      </c>
      <c r="O18" s="8">
        <v>-1.3951710968109769E-3</v>
      </c>
      <c r="P18" s="8">
        <v>-1.335476360746934E-3</v>
      </c>
      <c r="Q18" s="8">
        <v>-3.8604828904453831E-4</v>
      </c>
      <c r="R18" s="8">
        <v>1.9313207537188389E-3</v>
      </c>
    </row>
    <row r="19" spans="1:18" x14ac:dyDescent="0.25">
      <c r="A19" s="9" t="s">
        <v>39</v>
      </c>
      <c r="B19" s="8">
        <v>823278.71230000001</v>
      </c>
      <c r="C19" s="8">
        <v>1091527.5962</v>
      </c>
      <c r="D19" s="8">
        <v>-125.1168</v>
      </c>
      <c r="E19" s="9" t="s">
        <v>39</v>
      </c>
      <c r="F19" s="8">
        <v>823278.71189999999</v>
      </c>
      <c r="G19" s="8">
        <v>1091527.5963999999</v>
      </c>
      <c r="H19" s="8">
        <v>-125.11750000000001</v>
      </c>
      <c r="I19" s="8">
        <v>8.7924737313702668</v>
      </c>
      <c r="J19" s="8">
        <v>4.0074351664534236</v>
      </c>
      <c r="K19" s="8">
        <v>-2.4357247372961131</v>
      </c>
      <c r="L19" s="8">
        <v>8.7921957430749558</v>
      </c>
      <c r="M19" s="8">
        <v>4.0070848487668558</v>
      </c>
      <c r="N19" s="8">
        <v>-2.43642195741316</v>
      </c>
      <c r="O19" s="8">
        <v>-2.7798829531100472E-4</v>
      </c>
      <c r="P19" s="8">
        <v>-3.503176865677915E-4</v>
      </c>
      <c r="Q19" s="8">
        <v>-6.9722011704698161E-4</v>
      </c>
      <c r="R19" s="8">
        <v>4.4721356467896138E-4</v>
      </c>
    </row>
    <row r="20" spans="1:18" x14ac:dyDescent="0.25">
      <c r="A20" s="9" t="s">
        <v>41</v>
      </c>
      <c r="B20" s="8">
        <v>823281.8027</v>
      </c>
      <c r="C20" s="8">
        <v>1091529.1734</v>
      </c>
      <c r="D20" s="8">
        <v>-125.1768</v>
      </c>
      <c r="E20" s="9" t="s">
        <v>41</v>
      </c>
      <c r="F20" s="8">
        <v>823281.80160000001</v>
      </c>
      <c r="G20" s="8">
        <v>1091529.1745</v>
      </c>
      <c r="H20" s="8">
        <v>-125.17749999999999</v>
      </c>
      <c r="I20" s="8">
        <v>12.259884791720459</v>
      </c>
      <c r="J20" s="8">
        <v>3.884177151182719</v>
      </c>
      <c r="K20" s="8">
        <v>-2.5303988478926698</v>
      </c>
      <c r="L20" s="8">
        <v>12.259352780105511</v>
      </c>
      <c r="M20" s="8">
        <v>3.8827153155939929</v>
      </c>
      <c r="N20" s="8">
        <v>-2.5310935277765338</v>
      </c>
      <c r="O20" s="8">
        <v>-5.3201161495053384E-4</v>
      </c>
      <c r="P20" s="8">
        <v>-1.461835588725702E-3</v>
      </c>
      <c r="Q20" s="8">
        <v>-6.9467988386406887E-4</v>
      </c>
      <c r="R20" s="8">
        <v>1.5556349101810351E-3</v>
      </c>
    </row>
    <row r="21" spans="1:18" x14ac:dyDescent="0.25">
      <c r="A21" s="9" t="s">
        <v>43</v>
      </c>
      <c r="B21" s="8">
        <v>823278.49329999997</v>
      </c>
      <c r="C21" s="8">
        <v>1091536.2312</v>
      </c>
      <c r="D21" s="8">
        <v>-125.1887</v>
      </c>
      <c r="E21" s="9" t="s">
        <v>43</v>
      </c>
      <c r="F21" s="8">
        <v>823278.49439999997</v>
      </c>
      <c r="G21" s="8">
        <v>1091536.2307</v>
      </c>
      <c r="H21" s="8">
        <v>-125.1895</v>
      </c>
      <c r="I21" s="8">
        <v>12.24355484860364</v>
      </c>
      <c r="J21" s="8">
        <v>3.9109753509710852</v>
      </c>
      <c r="K21" s="8">
        <v>-2.54213554846153</v>
      </c>
      <c r="L21" s="8">
        <v>12.24434044856978</v>
      </c>
      <c r="M21" s="8">
        <v>3.910057291800066</v>
      </c>
      <c r="N21" s="8">
        <v>-2.5429434044612118</v>
      </c>
      <c r="O21" s="8">
        <v>7.8559996614124827E-4</v>
      </c>
      <c r="P21" s="8">
        <v>-9.1805917101872581E-4</v>
      </c>
      <c r="Q21" s="8">
        <v>-8.0785599968180577E-4</v>
      </c>
      <c r="R21" s="8">
        <v>1.208304625847047E-3</v>
      </c>
    </row>
    <row r="22" spans="1:18" x14ac:dyDescent="0.25">
      <c r="A22" s="9" t="s">
        <v>44</v>
      </c>
      <c r="B22" s="8">
        <v>823285.58299999998</v>
      </c>
      <c r="C22" s="8">
        <v>1091530.996</v>
      </c>
      <c r="D22" s="8">
        <v>-125.29600000000001</v>
      </c>
      <c r="E22" s="9" t="s">
        <v>44</v>
      </c>
      <c r="F22" s="8">
        <v>823285.58269999991</v>
      </c>
      <c r="G22" s="8">
        <v>1091530.9966</v>
      </c>
      <c r="H22" s="8">
        <v>-125.29640000000001</v>
      </c>
      <c r="I22" s="8">
        <v>16.45626589859523</v>
      </c>
      <c r="J22" s="8">
        <v>3.830098911658582</v>
      </c>
      <c r="K22" s="8">
        <v>-2.6915626589530319</v>
      </c>
      <c r="L22" s="8">
        <v>16.456247598608989</v>
      </c>
      <c r="M22" s="8">
        <v>3.8294283407674059</v>
      </c>
      <c r="N22" s="8">
        <v>-2.6919624759531762</v>
      </c>
      <c r="O22" s="8">
        <v>-1.8299986241032681E-5</v>
      </c>
      <c r="P22" s="8">
        <v>-6.7057089117561475E-4</v>
      </c>
      <c r="Q22" s="8">
        <v>-3.998170001437984E-4</v>
      </c>
      <c r="R22" s="8">
        <v>6.7082034701843203E-4</v>
      </c>
    </row>
    <row r="23" spans="1:18" x14ac:dyDescent="0.25">
      <c r="A23" s="9" t="s">
        <v>44</v>
      </c>
      <c r="B23" s="8">
        <v>823285.58299999998</v>
      </c>
      <c r="C23" s="8">
        <v>1091530.996</v>
      </c>
      <c r="D23" s="8">
        <v>-125.29600000000001</v>
      </c>
      <c r="E23" s="8">
        <v>26</v>
      </c>
      <c r="F23" s="8">
        <v>823285.58100000001</v>
      </c>
      <c r="G23" s="8">
        <v>1091530.9953999999</v>
      </c>
      <c r="H23" s="8">
        <v>-125.29519999999999</v>
      </c>
      <c r="I23" s="8">
        <v>16.45626589859523</v>
      </c>
      <c r="J23" s="8">
        <v>3.830098911658582</v>
      </c>
      <c r="K23" s="8">
        <v>-2.6915626589530319</v>
      </c>
      <c r="L23" s="8">
        <v>16.45419972168661</v>
      </c>
      <c r="M23" s="8">
        <v>3.829797393668223</v>
      </c>
      <c r="N23" s="8">
        <v>-2.6907419971839488</v>
      </c>
      <c r="O23" s="8">
        <v>-2.0661769086203212E-3</v>
      </c>
      <c r="P23" s="8">
        <v>-3.0151799035849081E-4</v>
      </c>
      <c r="Q23" s="8">
        <v>8.2066176908313082E-4</v>
      </c>
      <c r="R23" s="8">
        <v>2.088061322905746E-3</v>
      </c>
    </row>
    <row r="24" spans="1:18" x14ac:dyDescent="0.25">
      <c r="A24" s="9" t="s">
        <v>187</v>
      </c>
      <c r="B24" s="8">
        <v>823285.76450000005</v>
      </c>
      <c r="C24" s="8">
        <v>1091539.4601</v>
      </c>
      <c r="D24" s="8">
        <v>-125.26</v>
      </c>
      <c r="E24" s="9" t="s">
        <v>46</v>
      </c>
      <c r="F24" s="8">
        <v>823285.76729999995</v>
      </c>
      <c r="G24" s="8">
        <v>1091539.4580000001</v>
      </c>
      <c r="H24" s="8">
        <v>-125.2642</v>
      </c>
      <c r="I24" s="8">
        <v>20.198087432771711</v>
      </c>
      <c r="J24" s="8">
        <v>3.7641556711773552</v>
      </c>
      <c r="K24" s="8">
        <v>-2.6929808742873149</v>
      </c>
      <c r="L24" s="8">
        <v>20.19973749722347</v>
      </c>
      <c r="M24" s="8">
        <v>3.7610690409470129</v>
      </c>
      <c r="N24" s="8">
        <v>-2.6971973749318181</v>
      </c>
      <c r="O24" s="8">
        <v>1.65006445175564E-3</v>
      </c>
      <c r="P24" s="8">
        <v>-3.0866302303418358E-3</v>
      </c>
      <c r="Q24" s="8">
        <v>-4.216500644503185E-3</v>
      </c>
      <c r="R24" s="8">
        <v>3.499999875202775E-3</v>
      </c>
    </row>
    <row r="25" spans="1:18" x14ac:dyDescent="0.25">
      <c r="A25" s="9" t="s">
        <v>187</v>
      </c>
      <c r="B25" s="8">
        <v>823285.76450000005</v>
      </c>
      <c r="C25" s="8">
        <v>1091539.4601</v>
      </c>
      <c r="D25" s="8">
        <v>-125.26</v>
      </c>
      <c r="E25" s="9" t="s">
        <v>47</v>
      </c>
      <c r="F25" s="8">
        <v>823285.76659999997</v>
      </c>
      <c r="G25" s="8">
        <v>1091539.4575</v>
      </c>
      <c r="H25" s="8">
        <v>-125.2649</v>
      </c>
      <c r="I25" s="8">
        <v>20.198087432771711</v>
      </c>
      <c r="J25" s="8">
        <v>3.7641556711773552</v>
      </c>
      <c r="K25" s="8">
        <v>-2.6929808742873149</v>
      </c>
      <c r="L25" s="8">
        <v>20.198891767587039</v>
      </c>
      <c r="M25" s="8">
        <v>3.7609117468444988</v>
      </c>
      <c r="N25" s="8">
        <v>-2.697888917635467</v>
      </c>
      <c r="O25" s="8">
        <v>8.0433481532793394E-4</v>
      </c>
      <c r="P25" s="8">
        <v>-3.2439243328563632E-3</v>
      </c>
      <c r="Q25" s="8">
        <v>-4.9080433481520913E-3</v>
      </c>
      <c r="R25" s="8">
        <v>3.342154951871153E-3</v>
      </c>
    </row>
    <row r="26" spans="1:18" x14ac:dyDescent="0.25">
      <c r="A26" s="9" t="s">
        <v>187</v>
      </c>
      <c r="B26" s="8">
        <v>823285.76450000005</v>
      </c>
      <c r="C26" s="8">
        <v>1091539.4601</v>
      </c>
      <c r="D26" s="8">
        <v>-125.26</v>
      </c>
      <c r="E26" s="9" t="s">
        <v>49</v>
      </c>
      <c r="F26" s="8">
        <v>823285.76630000002</v>
      </c>
      <c r="G26" s="8">
        <v>1091539.4569999999</v>
      </c>
      <c r="H26" s="8">
        <v>-125.265</v>
      </c>
      <c r="I26" s="8">
        <v>20.198087432771711</v>
      </c>
      <c r="J26" s="8">
        <v>3.7641556711773552</v>
      </c>
      <c r="K26" s="8">
        <v>-2.6929808742873149</v>
      </c>
      <c r="L26" s="8">
        <v>20.198408555663519</v>
      </c>
      <c r="M26" s="8">
        <v>3.7605853937042419</v>
      </c>
      <c r="N26" s="8">
        <v>-2.6979840855162252</v>
      </c>
      <c r="O26" s="8">
        <v>3.2112289180474818E-4</v>
      </c>
      <c r="P26" s="8">
        <v>-3.5702774731132259E-3</v>
      </c>
      <c r="Q26" s="8">
        <v>-5.0032112289102324E-3</v>
      </c>
      <c r="R26" s="8">
        <v>3.584689727256998E-3</v>
      </c>
    </row>
    <row r="27" spans="1:18" x14ac:dyDescent="0.25">
      <c r="A27" s="9" t="s">
        <v>51</v>
      </c>
      <c r="B27" s="8">
        <v>823288.87280000001</v>
      </c>
      <c r="C27" s="8">
        <v>1091532.6170000001</v>
      </c>
      <c r="D27" s="8">
        <v>-125.3449</v>
      </c>
      <c r="E27" s="9" t="s">
        <v>51</v>
      </c>
      <c r="F27" s="8">
        <v>823288.87239999999</v>
      </c>
      <c r="G27" s="8">
        <v>1091532.6170000001</v>
      </c>
      <c r="H27" s="8">
        <v>-125.34529999999999</v>
      </c>
      <c r="I27" s="8">
        <v>20.12290398267535</v>
      </c>
      <c r="J27" s="8">
        <v>3.7514210830400621</v>
      </c>
      <c r="K27" s="8">
        <v>-2.777129039786487</v>
      </c>
      <c r="L27" s="8">
        <v>20.122541464962438</v>
      </c>
      <c r="M27" s="8">
        <v>3.7512520242133331</v>
      </c>
      <c r="N27" s="8">
        <v>-2.777525414609372</v>
      </c>
      <c r="O27" s="8">
        <v>-3.6251771290451979E-4</v>
      </c>
      <c r="P27" s="8">
        <v>-1.6905882672935141E-4</v>
      </c>
      <c r="Q27" s="8">
        <v>-3.9637482288412679E-4</v>
      </c>
      <c r="R27" s="8">
        <v>4.0000001899898052E-4</v>
      </c>
    </row>
    <row r="28" spans="1:18" x14ac:dyDescent="0.25">
      <c r="A28" s="9" t="s">
        <v>53</v>
      </c>
      <c r="B28" s="8">
        <v>823289.33409999998</v>
      </c>
      <c r="C28" s="8">
        <v>1091541.1074999999</v>
      </c>
      <c r="D28" s="8">
        <v>-125.2517</v>
      </c>
      <c r="E28" s="9" t="s">
        <v>53</v>
      </c>
      <c r="F28" s="8">
        <v>823289.33539999998</v>
      </c>
      <c r="G28" s="8">
        <v>1091541.1063999999</v>
      </c>
      <c r="H28" s="8">
        <v>-125.2529</v>
      </c>
      <c r="I28" s="8">
        <v>24.129464533923251</v>
      </c>
      <c r="J28" s="8">
        <v>3.748502948947662</v>
      </c>
      <c r="K28" s="8">
        <v>-2.7239946452909578</v>
      </c>
      <c r="L28" s="8">
        <v>24.130177804394648</v>
      </c>
      <c r="M28" s="8">
        <v>3.7469565837099572</v>
      </c>
      <c r="N28" s="8">
        <v>-2.7252017779956792</v>
      </c>
      <c r="O28" s="8">
        <v>7.1327047140457012E-4</v>
      </c>
      <c r="P28" s="8">
        <v>-1.5463652377052379E-3</v>
      </c>
      <c r="Q28" s="8">
        <v>-1.2071327047209479E-3</v>
      </c>
      <c r="R28" s="8">
        <v>1.702938635444168E-3</v>
      </c>
    </row>
    <row r="29" spans="1:18" x14ac:dyDescent="0.25">
      <c r="A29" s="9" t="s">
        <v>55</v>
      </c>
      <c r="B29" s="8">
        <v>823292.41299999994</v>
      </c>
      <c r="C29" s="8">
        <v>1091534.355</v>
      </c>
      <c r="D29" s="8">
        <v>-125.46599999999999</v>
      </c>
      <c r="E29" s="9" t="s">
        <v>55</v>
      </c>
      <c r="F29" s="8">
        <v>823292.41220000002</v>
      </c>
      <c r="G29" s="8">
        <v>1091534.3559999999</v>
      </c>
      <c r="H29" s="8">
        <v>-125.4661</v>
      </c>
      <c r="I29" s="8">
        <v>24.065927879833321</v>
      </c>
      <c r="J29" s="8">
        <v>3.6725377160255661</v>
      </c>
      <c r="K29" s="8">
        <v>-2.937659278750175</v>
      </c>
      <c r="L29" s="8">
        <v>24.0656254917978</v>
      </c>
      <c r="M29" s="8">
        <v>3.6712933041855189</v>
      </c>
      <c r="N29" s="8">
        <v>-2.9377562548698388</v>
      </c>
      <c r="O29" s="8">
        <v>-3.0238803552151689E-4</v>
      </c>
      <c r="P29" s="8">
        <v>-1.2444118400471991E-3</v>
      </c>
      <c r="Q29" s="8">
        <v>-9.6976119664304861E-5</v>
      </c>
      <c r="R29" s="8">
        <v>1.280624744683817E-3</v>
      </c>
    </row>
    <row r="30" spans="1:18" x14ac:dyDescent="0.25">
      <c r="A30" s="9" t="s">
        <v>57</v>
      </c>
      <c r="B30" s="8">
        <v>823267.34519999998</v>
      </c>
      <c r="C30" s="8">
        <v>1091523.9790000001</v>
      </c>
      <c r="D30" s="8">
        <v>-124.48569999999999</v>
      </c>
      <c r="E30" s="9" t="s">
        <v>57</v>
      </c>
      <c r="F30" s="8">
        <v>823267.34434999991</v>
      </c>
      <c r="G30" s="8">
        <v>1091523.9787999999</v>
      </c>
      <c r="H30" s="8">
        <v>-124.48605000000001</v>
      </c>
      <c r="I30" s="8">
        <v>-3.0382633791627511</v>
      </c>
      <c r="J30" s="8">
        <v>2.48140840633598</v>
      </c>
      <c r="K30" s="8">
        <v>-1.6863173662144391</v>
      </c>
      <c r="L30" s="8">
        <v>-3.0391182588450532</v>
      </c>
      <c r="M30" s="8">
        <v>2.4812304152039202</v>
      </c>
      <c r="N30" s="8">
        <v>-1.6866588174176229</v>
      </c>
      <c r="O30" s="8">
        <v>-8.5487968230246736E-4</v>
      </c>
      <c r="P30" s="8">
        <v>-1.779911320602956E-4</v>
      </c>
      <c r="Q30" s="8">
        <v>-3.4145120318385119E-4</v>
      </c>
      <c r="R30" s="8">
        <v>8.7321255629787783E-4</v>
      </c>
    </row>
    <row r="31" spans="1:18" x14ac:dyDescent="0.25">
      <c r="A31" s="9" t="s">
        <v>201</v>
      </c>
      <c r="B31" s="8">
        <v>823266.44799999997</v>
      </c>
      <c r="C31" s="8">
        <v>1091528.8359999999</v>
      </c>
      <c r="D31" s="8">
        <v>-124.685</v>
      </c>
      <c r="E31" s="9" t="s">
        <v>59</v>
      </c>
      <c r="F31" s="8">
        <v>823266.44689999998</v>
      </c>
      <c r="G31" s="8">
        <v>1091528.835</v>
      </c>
      <c r="H31" s="8">
        <v>-124.6861</v>
      </c>
      <c r="I31" s="8">
        <v>-1.7985925669769149</v>
      </c>
      <c r="J31" s="8">
        <v>2.2996618833721159</v>
      </c>
      <c r="K31" s="8">
        <v>-1.8980140743338301</v>
      </c>
      <c r="L31" s="8">
        <v>-1.8000121379194409</v>
      </c>
      <c r="M31" s="8">
        <v>2.299220501164847</v>
      </c>
      <c r="N31" s="8">
        <v>-1.899099878624412</v>
      </c>
      <c r="O31" s="8">
        <v>-1.4195709425255389E-3</v>
      </c>
      <c r="P31" s="8">
        <v>-4.4138220726885891E-4</v>
      </c>
      <c r="Q31" s="8">
        <v>-1.0858042905823591E-3</v>
      </c>
      <c r="R31" s="8">
        <v>1.4866068239622881E-3</v>
      </c>
    </row>
    <row r="32" spans="1:18" x14ac:dyDescent="0.25">
      <c r="A32" s="9" t="s">
        <v>202</v>
      </c>
      <c r="B32" s="8">
        <v>823266.34100000001</v>
      </c>
      <c r="C32" s="8">
        <v>1091529.0379999999</v>
      </c>
      <c r="D32" s="8">
        <v>-123.095</v>
      </c>
      <c r="E32" s="9" t="s">
        <v>61</v>
      </c>
      <c r="F32" s="8">
        <v>823266.33950000012</v>
      </c>
      <c r="G32" s="8">
        <v>1091529.037</v>
      </c>
      <c r="H32" s="8">
        <v>-123.096</v>
      </c>
      <c r="I32" s="8">
        <v>-1.810191293105708</v>
      </c>
      <c r="J32" s="8">
        <v>2.527956582338907</v>
      </c>
      <c r="K32" s="8">
        <v>-0.30789808707255872</v>
      </c>
      <c r="L32" s="8">
        <v>-1.8119733816556329</v>
      </c>
      <c r="M32" s="8">
        <v>2.527684258958367</v>
      </c>
      <c r="N32" s="8">
        <v>-0.30888026618706022</v>
      </c>
      <c r="O32" s="8">
        <v>-1.78208854992512E-3</v>
      </c>
      <c r="P32" s="8">
        <v>-2.7232338053906352E-4</v>
      </c>
      <c r="Q32" s="8">
        <v>-9.8217911450149131E-4</v>
      </c>
      <c r="R32" s="8">
        <v>1.802775513488537E-3</v>
      </c>
    </row>
    <row r="33" spans="1:18" x14ac:dyDescent="0.25">
      <c r="A33" s="9" t="s">
        <v>203</v>
      </c>
      <c r="B33" s="8">
        <v>823267.451</v>
      </c>
      <c r="C33" s="8">
        <v>1091526.594</v>
      </c>
      <c r="D33" s="8">
        <v>-121.004</v>
      </c>
      <c r="E33" s="9" t="s">
        <v>62</v>
      </c>
      <c r="F33" s="8">
        <v>823267.44909999997</v>
      </c>
      <c r="G33" s="8">
        <v>1091526.5933999999</v>
      </c>
      <c r="H33" s="8">
        <v>-121.00709999999999</v>
      </c>
      <c r="I33" s="8">
        <v>-1.837154722752284</v>
      </c>
      <c r="J33" s="8">
        <v>0.1561650566161088</v>
      </c>
      <c r="K33" s="8">
        <v>1.7833715472238509</v>
      </c>
      <c r="L33" s="8">
        <v>-1.83913027028543</v>
      </c>
      <c r="M33" s="8">
        <v>0.1559058034502401</v>
      </c>
      <c r="N33" s="8">
        <v>1.7802913026991829</v>
      </c>
      <c r="O33" s="8">
        <v>-1.9755475331466599E-3</v>
      </c>
      <c r="P33" s="8">
        <v>-2.5925316586872249E-4</v>
      </c>
      <c r="Q33" s="8">
        <v>-3.080244524667819E-3</v>
      </c>
      <c r="R33" s="8">
        <v>1.9924859587056218E-3</v>
      </c>
    </row>
    <row r="34" spans="1:18" x14ac:dyDescent="0.25">
      <c r="A34" s="9" t="s">
        <v>204</v>
      </c>
      <c r="B34" s="8">
        <v>823268.60400000005</v>
      </c>
      <c r="C34" s="8">
        <v>1091524.523</v>
      </c>
      <c r="D34" s="8">
        <v>-123.036</v>
      </c>
      <c r="E34" s="9" t="s">
        <v>64</v>
      </c>
      <c r="F34" s="8">
        <v>823268.60329999996</v>
      </c>
      <c r="G34" s="8">
        <v>1091524.5222</v>
      </c>
      <c r="H34" s="8">
        <v>-123.03740000000001</v>
      </c>
      <c r="I34" s="8">
        <v>-1.667500052004953</v>
      </c>
      <c r="J34" s="8">
        <v>2.5204127791405879</v>
      </c>
      <c r="K34" s="8">
        <v>-0.2503249994832828</v>
      </c>
      <c r="L34" s="8">
        <v>-1.668472575922483</v>
      </c>
      <c r="M34" s="8">
        <v>2.5208419612655439</v>
      </c>
      <c r="N34" s="8">
        <v>-0.25171527424410561</v>
      </c>
      <c r="O34" s="8">
        <v>-9.7252391753044343E-4</v>
      </c>
      <c r="P34" s="8">
        <v>4.2918212495646202E-4</v>
      </c>
      <c r="Q34" s="8">
        <v>-1.390274760822763E-3</v>
      </c>
      <c r="R34" s="8">
        <v>1.063014670093962E-3</v>
      </c>
    </row>
    <row r="35" spans="1:18" x14ac:dyDescent="0.25">
      <c r="A35" s="9" t="s">
        <v>205</v>
      </c>
      <c r="B35" s="8">
        <v>823268.39300000004</v>
      </c>
      <c r="C35" s="8">
        <v>1091524.6170000001</v>
      </c>
      <c r="D35" s="8">
        <v>-124.761</v>
      </c>
      <c r="E35" s="9" t="s">
        <v>66</v>
      </c>
      <c r="F35" s="8">
        <v>823268.39080000005</v>
      </c>
      <c r="G35" s="8">
        <v>1091524.6169</v>
      </c>
      <c r="H35" s="8">
        <v>-124.76139999999999</v>
      </c>
      <c r="I35" s="8">
        <v>-1.818999288964001</v>
      </c>
      <c r="J35" s="8">
        <v>2.3460425372173299</v>
      </c>
      <c r="K35" s="8">
        <v>-1.973810007113983</v>
      </c>
      <c r="L35" s="8">
        <v>-1.8210354010374781</v>
      </c>
      <c r="M35" s="8">
        <v>2.345203342695712</v>
      </c>
      <c r="N35" s="8">
        <v>-1.9741896459932919</v>
      </c>
      <c r="O35" s="8">
        <v>-2.0361120734768701E-3</v>
      </c>
      <c r="P35" s="8">
        <v>-8.391945216179586E-4</v>
      </c>
      <c r="Q35" s="8">
        <v>-3.7963887930914098E-4</v>
      </c>
      <c r="R35" s="8">
        <v>2.202271545504641E-3</v>
      </c>
    </row>
    <row r="36" spans="1:18" x14ac:dyDescent="0.25">
      <c r="A36" s="9" t="s">
        <v>206</v>
      </c>
      <c r="B36" s="8">
        <v>823270.08200000005</v>
      </c>
      <c r="C36" s="8">
        <v>1091531.798</v>
      </c>
      <c r="D36" s="8">
        <v>-124.855</v>
      </c>
      <c r="E36" s="9" t="s">
        <v>68</v>
      </c>
      <c r="F36" s="8">
        <v>823270.08224999998</v>
      </c>
      <c r="G36" s="8">
        <v>1091531.797175</v>
      </c>
      <c r="H36" s="8">
        <v>-124.85595000000001</v>
      </c>
      <c r="I36" s="8">
        <v>2.746762042254149</v>
      </c>
      <c r="J36" s="8">
        <v>3.4482050811288718</v>
      </c>
      <c r="K36" s="8">
        <v>-2.1134676204170399</v>
      </c>
      <c r="L36" s="8">
        <v>2.746639931713494</v>
      </c>
      <c r="M36" s="8">
        <v>3.447351726629559</v>
      </c>
      <c r="N36" s="8">
        <v>-2.1144163993116361</v>
      </c>
      <c r="O36" s="8">
        <v>-1.2211054065458529E-4</v>
      </c>
      <c r="P36" s="8">
        <v>-8.5335449931278617E-4</v>
      </c>
      <c r="Q36" s="8">
        <v>-9.4877889459610287E-4</v>
      </c>
      <c r="R36" s="8">
        <v>8.6204695632277866E-4</v>
      </c>
    </row>
    <row r="37" spans="1:18" x14ac:dyDescent="0.25">
      <c r="A37" s="9" t="s">
        <v>206</v>
      </c>
      <c r="B37" s="8">
        <v>823270.08200000005</v>
      </c>
      <c r="C37" s="8">
        <v>1091531.798</v>
      </c>
      <c r="D37" s="8">
        <v>-124.855</v>
      </c>
      <c r="E37" s="9" t="s">
        <v>70</v>
      </c>
      <c r="F37" s="8">
        <v>823270.0821</v>
      </c>
      <c r="G37" s="8">
        <v>1091531.7962</v>
      </c>
      <c r="H37" s="8">
        <v>-124.8561</v>
      </c>
      <c r="I37" s="8">
        <v>2.746762042254149</v>
      </c>
      <c r="J37" s="8">
        <v>3.4482050811288718</v>
      </c>
      <c r="K37" s="8">
        <v>-2.1134676204170399</v>
      </c>
      <c r="L37" s="8">
        <v>2.746091906477643</v>
      </c>
      <c r="M37" s="8">
        <v>3.4465314867910459</v>
      </c>
      <c r="N37" s="8">
        <v>-2.1145609190592718</v>
      </c>
      <c r="O37" s="8">
        <v>-6.7013577650554268E-4</v>
      </c>
      <c r="P37" s="8">
        <v>-1.6735943378263229E-3</v>
      </c>
      <c r="Q37" s="8">
        <v>-1.093298642231844E-3</v>
      </c>
      <c r="R37" s="8">
        <v>1.80277560389438E-3</v>
      </c>
    </row>
    <row r="38" spans="1:18" x14ac:dyDescent="0.25">
      <c r="A38" s="9" t="s">
        <v>207</v>
      </c>
      <c r="B38" s="8">
        <v>823270.17200000002</v>
      </c>
      <c r="C38" s="8">
        <v>1091532.301</v>
      </c>
      <c r="D38" s="8">
        <v>-122.593</v>
      </c>
      <c r="E38" s="9" t="s">
        <v>72</v>
      </c>
      <c r="F38" s="8">
        <v>823270.17244999995</v>
      </c>
      <c r="G38" s="8">
        <v>1091532.3008000001</v>
      </c>
      <c r="H38" s="8">
        <v>-122.594275</v>
      </c>
      <c r="I38" s="8">
        <v>3.040920122664494</v>
      </c>
      <c r="J38" s="8">
        <v>3.8660328253476188</v>
      </c>
      <c r="K38" s="8">
        <v>0.14559079877943759</v>
      </c>
      <c r="L38" s="8">
        <v>3.0412434255947889</v>
      </c>
      <c r="M38" s="8">
        <v>3.8656613752734068</v>
      </c>
      <c r="N38" s="8">
        <v>0.14431256575012699</v>
      </c>
      <c r="O38" s="8">
        <v>3.2330293029447787E-4</v>
      </c>
      <c r="P38" s="8">
        <v>-3.7145007421202081E-4</v>
      </c>
      <c r="Q38" s="8">
        <v>-1.278233029310627E-3</v>
      </c>
      <c r="R38" s="8">
        <v>4.9244278641260317E-4</v>
      </c>
    </row>
    <row r="39" spans="1:18" x14ac:dyDescent="0.25">
      <c r="A39" s="9" t="s">
        <v>207</v>
      </c>
      <c r="B39" s="8">
        <v>823270.17200000002</v>
      </c>
      <c r="C39" s="8">
        <v>1091532.301</v>
      </c>
      <c r="D39" s="8">
        <v>-122.593</v>
      </c>
      <c r="E39" s="9" t="s">
        <v>74</v>
      </c>
      <c r="F39" s="8">
        <v>823270.17200000002</v>
      </c>
      <c r="G39" s="8">
        <v>1091532.2996</v>
      </c>
      <c r="H39" s="8">
        <v>-122.5945</v>
      </c>
      <c r="I39" s="8">
        <v>3.040920122664494</v>
      </c>
      <c r="J39" s="8">
        <v>3.8660328253476188</v>
      </c>
      <c r="K39" s="8">
        <v>0.14559079877943759</v>
      </c>
      <c r="L39" s="8">
        <v>3.040328416446112</v>
      </c>
      <c r="M39" s="8">
        <v>3.8647640133429468</v>
      </c>
      <c r="N39" s="8">
        <v>0.1440967158416129</v>
      </c>
      <c r="O39" s="8">
        <v>-5.9170621838244841E-4</v>
      </c>
      <c r="P39" s="8">
        <v>-1.268812004671549E-3</v>
      </c>
      <c r="Q39" s="8">
        <v>-1.494082937824714E-3</v>
      </c>
      <c r="R39" s="8">
        <v>1.39999995008111E-3</v>
      </c>
    </row>
    <row r="40" spans="1:18" x14ac:dyDescent="0.25">
      <c r="A40" s="9" t="s">
        <v>208</v>
      </c>
      <c r="B40" s="8">
        <v>823270.522</v>
      </c>
      <c r="C40" s="8">
        <v>1091531.172</v>
      </c>
      <c r="D40" s="8">
        <v>-120.53700000000001</v>
      </c>
      <c r="E40" s="9" t="s">
        <v>76</v>
      </c>
      <c r="F40" s="8">
        <v>823270.52379999997</v>
      </c>
      <c r="G40" s="8">
        <v>1091531.1721999999</v>
      </c>
      <c r="H40" s="8">
        <v>-120.53830000000001</v>
      </c>
      <c r="I40" s="8">
        <v>2.8809542889779931</v>
      </c>
      <c r="J40" s="8">
        <v>2.694900069447228</v>
      </c>
      <c r="K40" s="8">
        <v>2.2031904571159799</v>
      </c>
      <c r="L40" s="8">
        <v>2.8826701479981591</v>
      </c>
      <c r="M40" s="8">
        <v>2.6943205630767522</v>
      </c>
      <c r="N40" s="8">
        <v>2.2018732985257832</v>
      </c>
      <c r="O40" s="8">
        <v>1.715859020166022E-3</v>
      </c>
      <c r="P40" s="8">
        <v>-5.7950637047587961E-4</v>
      </c>
      <c r="Q40" s="8">
        <v>-1.3171585901972089E-3</v>
      </c>
      <c r="R40" s="8">
        <v>1.8110769850898129E-3</v>
      </c>
    </row>
    <row r="41" spans="1:18" x14ac:dyDescent="0.25">
      <c r="A41" s="9" t="s">
        <v>209</v>
      </c>
      <c r="B41" s="8">
        <v>823271.64800000004</v>
      </c>
      <c r="C41" s="8">
        <v>1091528.723</v>
      </c>
      <c r="D41" s="8">
        <v>-119.42700000000001</v>
      </c>
      <c r="E41" s="9" t="s">
        <v>78</v>
      </c>
      <c r="F41" s="8">
        <v>823271.65009999985</v>
      </c>
      <c r="G41" s="8">
        <v>1091528.7235999999</v>
      </c>
      <c r="H41" s="8">
        <v>-119.4295</v>
      </c>
      <c r="I41" s="8">
        <v>2.8663783305938741</v>
      </c>
      <c r="J41" s="8">
        <v>5.1539803298940822E-4</v>
      </c>
      <c r="K41" s="8">
        <v>3.3133362166997959</v>
      </c>
      <c r="L41" s="8">
        <v>2.8685351366740561</v>
      </c>
      <c r="M41" s="8">
        <v>8.5918084783722932E-4</v>
      </c>
      <c r="N41" s="8">
        <v>3.310814648638996</v>
      </c>
      <c r="O41" s="8">
        <v>2.1568060801815392E-3</v>
      </c>
      <c r="P41" s="8">
        <v>3.437828148478211E-4</v>
      </c>
      <c r="Q41" s="8">
        <v>-2.5215680607999498E-3</v>
      </c>
      <c r="R41" s="8">
        <v>2.1840327586981072E-3</v>
      </c>
    </row>
    <row r="42" spans="1:18" x14ac:dyDescent="0.25">
      <c r="A42" s="9" t="s">
        <v>210</v>
      </c>
      <c r="B42" s="8">
        <v>823272.91</v>
      </c>
      <c r="C42" s="8">
        <v>1091526.281</v>
      </c>
      <c r="D42" s="8">
        <v>-120.405</v>
      </c>
      <c r="E42" s="9" t="s">
        <v>80</v>
      </c>
      <c r="F42" s="8">
        <v>823272.91020000004</v>
      </c>
      <c r="G42" s="8">
        <v>1091526.2801999999</v>
      </c>
      <c r="H42" s="8">
        <v>-120.4074</v>
      </c>
      <c r="I42" s="8">
        <v>2.978016919879761</v>
      </c>
      <c r="J42" s="8">
        <v>2.747066840253197</v>
      </c>
      <c r="K42" s="8">
        <v>2.3342198308071569</v>
      </c>
      <c r="L42" s="8">
        <v>2.977860060869022</v>
      </c>
      <c r="M42" s="8">
        <v>2.747876405228924</v>
      </c>
      <c r="N42" s="8">
        <v>2.3318213993972559</v>
      </c>
      <c r="O42" s="8">
        <v>-1.5685901073858591E-4</v>
      </c>
      <c r="P42" s="8">
        <v>8.0956497572781672E-4</v>
      </c>
      <c r="Q42" s="8">
        <v>-2.3984314099010362E-3</v>
      </c>
      <c r="R42" s="8">
        <v>8.2462116429093382E-4</v>
      </c>
    </row>
    <row r="43" spans="1:18" x14ac:dyDescent="0.25">
      <c r="A43" s="9" t="s">
        <v>210</v>
      </c>
      <c r="B43" s="8">
        <v>823272.91</v>
      </c>
      <c r="C43" s="8">
        <v>1091526.281</v>
      </c>
      <c r="D43" s="8">
        <v>-120.405</v>
      </c>
      <c r="E43" s="9" t="s">
        <v>82</v>
      </c>
      <c r="F43" s="8">
        <v>823272.91020000004</v>
      </c>
      <c r="G43" s="8">
        <v>1091526.2801999999</v>
      </c>
      <c r="H43" s="8">
        <v>-120.4074</v>
      </c>
      <c r="I43" s="8">
        <v>2.978016919879761</v>
      </c>
      <c r="J43" s="8">
        <v>2.747066840253197</v>
      </c>
      <c r="K43" s="8">
        <v>2.3342198308071569</v>
      </c>
      <c r="L43" s="8">
        <v>2.977860060869022</v>
      </c>
      <c r="M43" s="8">
        <v>2.747876405228924</v>
      </c>
      <c r="N43" s="8">
        <v>2.3318213993972559</v>
      </c>
      <c r="O43" s="8">
        <v>-1.5685901073858591E-4</v>
      </c>
      <c r="P43" s="8">
        <v>8.0956497572781672E-4</v>
      </c>
      <c r="Q43" s="8">
        <v>-2.3984314099010362E-3</v>
      </c>
      <c r="R43" s="8">
        <v>8.2462116429093382E-4</v>
      </c>
    </row>
    <row r="44" spans="1:18" x14ac:dyDescent="0.25">
      <c r="A44" s="9" t="s">
        <v>211</v>
      </c>
      <c r="B44" s="8">
        <v>823273.30900000001</v>
      </c>
      <c r="C44" s="8">
        <v>1091525.2720000001</v>
      </c>
      <c r="D44" s="8">
        <v>-122.521</v>
      </c>
      <c r="E44" s="9" t="s">
        <v>84</v>
      </c>
      <c r="F44" s="8">
        <v>823273.30977500009</v>
      </c>
      <c r="G44" s="8">
        <v>1091525.2719749999</v>
      </c>
      <c r="H44" s="8">
        <v>-122.522475</v>
      </c>
      <c r="I44" s="8">
        <v>2.913177181631144</v>
      </c>
      <c r="J44" s="8">
        <v>3.8301540057643879</v>
      </c>
      <c r="K44" s="8">
        <v>0.21886822818952109</v>
      </c>
      <c r="L44" s="8">
        <v>2.9138689934761599</v>
      </c>
      <c r="M44" s="8">
        <v>3.8305042150176081</v>
      </c>
      <c r="N44" s="8">
        <v>0.21738631007107759</v>
      </c>
      <c r="O44" s="8">
        <v>6.9181184501632131E-4</v>
      </c>
      <c r="P44" s="8">
        <v>3.5020925321971319E-4</v>
      </c>
      <c r="Q44" s="8">
        <v>-1.481918118443559E-3</v>
      </c>
      <c r="R44" s="8">
        <v>7.7540320752552902E-4</v>
      </c>
    </row>
    <row r="45" spans="1:18" x14ac:dyDescent="0.25">
      <c r="A45" s="9" t="s">
        <v>211</v>
      </c>
      <c r="B45" s="8">
        <v>823273.30900000001</v>
      </c>
      <c r="C45" s="8">
        <v>1091525.2720000001</v>
      </c>
      <c r="D45" s="8">
        <v>-122.521</v>
      </c>
      <c r="E45" s="9" t="s">
        <v>86</v>
      </c>
      <c r="F45" s="8">
        <v>823273.30940000003</v>
      </c>
      <c r="G45" s="8">
        <v>1091525.2716000001</v>
      </c>
      <c r="H45" s="8">
        <v>-122.5227</v>
      </c>
      <c r="I45" s="8">
        <v>2.913177181631144</v>
      </c>
      <c r="J45" s="8">
        <v>3.8301540057643879</v>
      </c>
      <c r="K45" s="8">
        <v>0.21886822818952109</v>
      </c>
      <c r="L45" s="8">
        <v>2.913370640410454</v>
      </c>
      <c r="M45" s="8">
        <v>3.8306855823599988</v>
      </c>
      <c r="N45" s="8">
        <v>0.21716629360173559</v>
      </c>
      <c r="O45" s="8">
        <v>1.9345877930998509E-4</v>
      </c>
      <c r="P45" s="8">
        <v>5.3157659561042792E-4</v>
      </c>
      <c r="Q45" s="8">
        <v>-1.7019345877855589E-3</v>
      </c>
      <c r="R45" s="8">
        <v>5.6568545181785398E-4</v>
      </c>
    </row>
    <row r="46" spans="1:18" x14ac:dyDescent="0.25">
      <c r="A46" s="9" t="s">
        <v>212</v>
      </c>
      <c r="B46" s="8">
        <v>823276.8</v>
      </c>
      <c r="C46" s="8">
        <v>1091535.5859999999</v>
      </c>
      <c r="D46" s="8">
        <v>-124.812</v>
      </c>
      <c r="E46" s="9" t="s">
        <v>88</v>
      </c>
      <c r="F46" s="8">
        <v>823276.79940000002</v>
      </c>
      <c r="G46" s="8">
        <v>1091535.58445</v>
      </c>
      <c r="H46" s="8">
        <v>-124.8139</v>
      </c>
      <c r="I46" s="8">
        <v>10.436234766402929</v>
      </c>
      <c r="J46" s="8">
        <v>4.0419030043578168</v>
      </c>
      <c r="K46" s="8">
        <v>-2.147362347643138</v>
      </c>
      <c r="L46" s="8">
        <v>10.43503588642899</v>
      </c>
      <c r="M46" s="8">
        <v>4.040751836662924</v>
      </c>
      <c r="N46" s="8">
        <v>-2.1492503588434029</v>
      </c>
      <c r="O46" s="8">
        <v>-1.1988799739430791E-3</v>
      </c>
      <c r="P46" s="8">
        <v>-1.1511676948927629E-3</v>
      </c>
      <c r="Q46" s="8">
        <v>-1.8880112002648271E-3</v>
      </c>
      <c r="R46" s="8">
        <v>1.6620771742278E-3</v>
      </c>
    </row>
    <row r="47" spans="1:18" x14ac:dyDescent="0.25">
      <c r="A47" s="9" t="s">
        <v>213</v>
      </c>
      <c r="B47" s="8">
        <v>823276.84</v>
      </c>
      <c r="C47" s="8">
        <v>1091536.2709999999</v>
      </c>
      <c r="D47" s="8">
        <v>-122.43300000000001</v>
      </c>
      <c r="E47" s="9" t="s">
        <v>90</v>
      </c>
      <c r="F47" s="8">
        <v>823276.83984999999</v>
      </c>
      <c r="G47" s="8">
        <v>1091536.2701000001</v>
      </c>
      <c r="H47" s="8">
        <v>-122.4346</v>
      </c>
      <c r="I47" s="8">
        <v>10.761999945955271</v>
      </c>
      <c r="J47" s="8">
        <v>4.645808665790689</v>
      </c>
      <c r="K47" s="8">
        <v>0.22838000056196961</v>
      </c>
      <c r="L47" s="8">
        <v>10.761483619214109</v>
      </c>
      <c r="M47" s="8">
        <v>4.6450563980914454</v>
      </c>
      <c r="N47" s="8">
        <v>0.22678516382939051</v>
      </c>
      <c r="O47" s="8">
        <v>-5.1632674115431598E-4</v>
      </c>
      <c r="P47" s="8">
        <v>-7.5226769924441328E-4</v>
      </c>
      <c r="Q47" s="8">
        <v>-1.5948367325790971E-3</v>
      </c>
      <c r="R47" s="8">
        <v>9.1241447551313414E-4</v>
      </c>
    </row>
    <row r="48" spans="1:18" x14ac:dyDescent="0.25">
      <c r="A48" s="9" t="s">
        <v>214</v>
      </c>
      <c r="B48" s="8">
        <v>823277.29599999997</v>
      </c>
      <c r="C48" s="8">
        <v>1091534.996</v>
      </c>
      <c r="D48" s="8">
        <v>-119.54600000000001</v>
      </c>
      <c r="E48" s="9" t="s">
        <v>92</v>
      </c>
      <c r="F48" s="8">
        <v>823277.29614999995</v>
      </c>
      <c r="G48" s="8">
        <v>1091534.9955</v>
      </c>
      <c r="H48" s="8">
        <v>-119.54805</v>
      </c>
      <c r="I48" s="8">
        <v>10.63639479384176</v>
      </c>
      <c r="J48" s="8">
        <v>3.2975563356838471</v>
      </c>
      <c r="K48" s="8">
        <v>3.1166360520828529</v>
      </c>
      <c r="L48" s="8">
        <v>10.636319414266129</v>
      </c>
      <c r="M48" s="8">
        <v>3.29703979137842</v>
      </c>
      <c r="N48" s="8">
        <v>3.114586805878631</v>
      </c>
      <c r="O48" s="8">
        <v>-7.5379575632084084E-5</v>
      </c>
      <c r="P48" s="8">
        <v>-5.1654430542669161E-4</v>
      </c>
      <c r="Q48" s="8">
        <v>-2.049246204222754E-3</v>
      </c>
      <c r="R48" s="8">
        <v>5.2201539762983034E-4</v>
      </c>
    </row>
    <row r="49" spans="1:18" x14ac:dyDescent="0.25">
      <c r="A49" s="9" t="s">
        <v>215</v>
      </c>
      <c r="B49" s="8">
        <v>823278.79500000004</v>
      </c>
      <c r="C49" s="8">
        <v>1091532.04</v>
      </c>
      <c r="D49" s="8">
        <v>-118.07599999999999</v>
      </c>
      <c r="E49" s="9" t="s">
        <v>94</v>
      </c>
      <c r="F49" s="8">
        <v>823278.79489999998</v>
      </c>
      <c r="G49" s="8">
        <v>1091532.0393999999</v>
      </c>
      <c r="H49" s="8">
        <v>-118.0802</v>
      </c>
      <c r="I49" s="8">
        <v>10.745584398557741</v>
      </c>
      <c r="J49" s="8">
        <v>1.4997759082259121E-2</v>
      </c>
      <c r="K49" s="8">
        <v>4.5855441560359367</v>
      </c>
      <c r="L49" s="8">
        <v>10.745240180627169</v>
      </c>
      <c r="M49" s="8">
        <v>1.549927093569237E-2</v>
      </c>
      <c r="N49" s="8">
        <v>4.5813475982152312</v>
      </c>
      <c r="O49" s="8">
        <v>-3.4421793057504152E-4</v>
      </c>
      <c r="P49" s="8">
        <v>5.0151185343324731E-4</v>
      </c>
      <c r="Q49" s="8">
        <v>-4.1965578207054932E-3</v>
      </c>
      <c r="R49" s="8">
        <v>6.0827640632204149E-4</v>
      </c>
    </row>
    <row r="50" spans="1:18" x14ac:dyDescent="0.25">
      <c r="A50" s="9" t="s">
        <v>216</v>
      </c>
      <c r="B50" s="8">
        <v>823280.14300000004</v>
      </c>
      <c r="C50" s="8">
        <v>1091529.0449999999</v>
      </c>
      <c r="D50" s="8">
        <v>-119.447</v>
      </c>
      <c r="E50" s="9" t="s">
        <v>96</v>
      </c>
      <c r="F50" s="8">
        <v>823280.14209999994</v>
      </c>
      <c r="G50" s="8">
        <v>1091529.0449999999</v>
      </c>
      <c r="H50" s="8">
        <v>-119.449</v>
      </c>
      <c r="I50" s="8">
        <v>10.701440327800039</v>
      </c>
      <c r="J50" s="8">
        <v>3.2990775846874758</v>
      </c>
      <c r="K50" s="8">
        <v>3.214985596743404</v>
      </c>
      <c r="L50" s="8">
        <v>10.700624662893251</v>
      </c>
      <c r="M50" s="8">
        <v>3.298697202047717</v>
      </c>
      <c r="N50" s="8">
        <v>3.2129937533924822</v>
      </c>
      <c r="O50" s="8">
        <v>-8.1566490679207959E-4</v>
      </c>
      <c r="P50" s="8">
        <v>-3.8038263975925801E-4</v>
      </c>
      <c r="Q50" s="8">
        <v>-1.9918433509218398E-3</v>
      </c>
      <c r="R50" s="8">
        <v>9.0000010095536709E-4</v>
      </c>
    </row>
    <row r="51" spans="1:18" x14ac:dyDescent="0.25">
      <c r="A51" s="9" t="s">
        <v>217</v>
      </c>
      <c r="B51" s="8">
        <v>823280.65899999999</v>
      </c>
      <c r="C51" s="8">
        <v>1091527.9029999999</v>
      </c>
      <c r="D51" s="8">
        <v>-122.401</v>
      </c>
      <c r="E51" s="9" t="s">
        <v>98</v>
      </c>
      <c r="F51" s="8">
        <v>823280.65804999985</v>
      </c>
      <c r="G51" s="8">
        <v>1091527.9034</v>
      </c>
      <c r="H51" s="8">
        <v>-122.40295</v>
      </c>
      <c r="I51" s="8">
        <v>10.686424922699249</v>
      </c>
      <c r="J51" s="8">
        <v>4.5521516198218732</v>
      </c>
      <c r="K51" s="8">
        <v>0.26113575079439499</v>
      </c>
      <c r="L51" s="8">
        <v>10.685733001985559</v>
      </c>
      <c r="M51" s="8">
        <v>4.55138758702559</v>
      </c>
      <c r="N51" s="8">
        <v>0.25919267000153923</v>
      </c>
      <c r="O51" s="8">
        <v>-6.9192071368640029E-4</v>
      </c>
      <c r="P51" s="8">
        <v>-7.6403279628323162E-4</v>
      </c>
      <c r="Q51" s="8">
        <v>-1.943080792855767E-3</v>
      </c>
      <c r="R51" s="8">
        <v>1.030776535833027E-3</v>
      </c>
    </row>
    <row r="52" spans="1:18" x14ac:dyDescent="0.25">
      <c r="A52" s="9" t="s">
        <v>218</v>
      </c>
      <c r="B52" s="8">
        <v>823280.12899999996</v>
      </c>
      <c r="C52" s="8">
        <v>1091528.2579999999</v>
      </c>
      <c r="D52" s="8">
        <v>-124.904</v>
      </c>
      <c r="E52" s="9" t="s">
        <v>100</v>
      </c>
      <c r="F52" s="8">
        <v>823280.12845000008</v>
      </c>
      <c r="G52" s="8">
        <v>1091528.25725</v>
      </c>
      <c r="H52" s="8">
        <v>-124.9059</v>
      </c>
      <c r="I52" s="8">
        <v>10.356128772320091</v>
      </c>
      <c r="J52" s="8">
        <v>4.0064140885076416</v>
      </c>
      <c r="K52" s="8">
        <v>-2.2385612877024812</v>
      </c>
      <c r="L52" s="8">
        <v>10.35531332515774</v>
      </c>
      <c r="M52" s="8">
        <v>4.0068613530524164</v>
      </c>
      <c r="N52" s="8">
        <v>-2.2404531332308721</v>
      </c>
      <c r="O52" s="8">
        <v>-8.1544716235271153E-4</v>
      </c>
      <c r="P52" s="8">
        <v>4.4726454477483912E-4</v>
      </c>
      <c r="Q52" s="8">
        <v>-1.891845528390945E-3</v>
      </c>
      <c r="R52" s="8">
        <v>9.3005360265998715E-4</v>
      </c>
    </row>
    <row r="53" spans="1:18" x14ac:dyDescent="0.25">
      <c r="A53" s="9" t="s">
        <v>219</v>
      </c>
      <c r="B53" s="8">
        <v>823286.71</v>
      </c>
      <c r="C53" s="8">
        <v>1091540.0619999999</v>
      </c>
      <c r="D53" s="8">
        <v>-124.79600000000001</v>
      </c>
      <c r="E53" s="9" t="s">
        <v>102</v>
      </c>
      <c r="F53" s="8">
        <v>823286.71013749996</v>
      </c>
      <c r="G53" s="8">
        <v>1091540.0598500001</v>
      </c>
      <c r="H53" s="8">
        <v>-124.7967625</v>
      </c>
      <c r="I53" s="8">
        <v>21.309380054074971</v>
      </c>
      <c r="J53" s="8">
        <v>3.9100411382323541</v>
      </c>
      <c r="K53" s="8">
        <v>-2.2400938004981161</v>
      </c>
      <c r="L53" s="8">
        <v>21.30859597787482</v>
      </c>
      <c r="M53" s="8">
        <v>3.9080344918822441</v>
      </c>
      <c r="N53" s="8">
        <v>-2.240848459736128</v>
      </c>
      <c r="O53" s="8">
        <v>-7.8407620015497059E-4</v>
      </c>
      <c r="P53" s="8">
        <v>-2.0066463501096088E-3</v>
      </c>
      <c r="Q53" s="8">
        <v>-7.5465923801232293E-4</v>
      </c>
      <c r="R53" s="8">
        <v>2.1543921561755731E-3</v>
      </c>
    </row>
    <row r="54" spans="1:18" x14ac:dyDescent="0.25">
      <c r="A54" s="9" t="s">
        <v>220</v>
      </c>
      <c r="B54" s="8">
        <v>823286.34400000004</v>
      </c>
      <c r="C54" s="8">
        <v>1091540.73</v>
      </c>
      <c r="D54" s="8">
        <v>-122.27500000000001</v>
      </c>
      <c r="E54" s="9" t="s">
        <v>104</v>
      </c>
      <c r="F54" s="8">
        <v>823286.34402500011</v>
      </c>
      <c r="G54" s="8">
        <v>1091540.729425</v>
      </c>
      <c r="H54" s="8">
        <v>-122.27645</v>
      </c>
      <c r="I54" s="8">
        <v>21.26000476831387</v>
      </c>
      <c r="J54" s="8">
        <v>4.6701346069549263</v>
      </c>
      <c r="K54" s="8">
        <v>0.28139995235939352</v>
      </c>
      <c r="L54" s="8">
        <v>21.259784403550579</v>
      </c>
      <c r="M54" s="8">
        <v>4.6696029216657511</v>
      </c>
      <c r="N54" s="8">
        <v>0.27995215600701329</v>
      </c>
      <c r="O54" s="8">
        <v>-2.2036476329390101E-4</v>
      </c>
      <c r="P54" s="8">
        <v>-5.3168528917524327E-4</v>
      </c>
      <c r="Q54" s="8">
        <v>-1.4477963523802371E-3</v>
      </c>
      <c r="R54" s="8">
        <v>5.7554317946747948E-4</v>
      </c>
    </row>
    <row r="55" spans="1:18" x14ac:dyDescent="0.25">
      <c r="A55" s="9" t="s">
        <v>221</v>
      </c>
      <c r="B55" s="8">
        <v>823286.78500000003</v>
      </c>
      <c r="C55" s="8">
        <v>1091539.6070000001</v>
      </c>
      <c r="D55" s="8">
        <v>-119.309</v>
      </c>
      <c r="E55" s="9" t="s">
        <v>106</v>
      </c>
      <c r="F55" s="8">
        <v>823286.7854874999</v>
      </c>
      <c r="G55" s="8">
        <v>1091539.60745</v>
      </c>
      <c r="H55" s="8">
        <v>-119.31095000000001</v>
      </c>
      <c r="I55" s="8">
        <v>21.185047594315279</v>
      </c>
      <c r="J55" s="8">
        <v>3.4659787111409188</v>
      </c>
      <c r="K55" s="8">
        <v>3.2481495240992331</v>
      </c>
      <c r="L55" s="8">
        <v>21.185679603902798</v>
      </c>
      <c r="M55" s="8">
        <v>3.466180502818986</v>
      </c>
      <c r="N55" s="8">
        <v>3.2461932040033332</v>
      </c>
      <c r="O55" s="8">
        <v>6.320095875231857E-4</v>
      </c>
      <c r="P55" s="8">
        <v>2.017916780672202E-4</v>
      </c>
      <c r="Q55" s="8">
        <v>-1.956320095899855E-3</v>
      </c>
      <c r="R55" s="8">
        <v>6.6344258550159933E-4</v>
      </c>
    </row>
    <row r="56" spans="1:18" x14ac:dyDescent="0.25">
      <c r="A56" s="9" t="s">
        <v>222</v>
      </c>
      <c r="B56" s="8">
        <v>823288.16799999995</v>
      </c>
      <c r="C56" s="8">
        <v>1091536.196</v>
      </c>
      <c r="D56" s="8">
        <v>-118.00700000000001</v>
      </c>
      <c r="E56" s="9" t="s">
        <v>108</v>
      </c>
      <c r="F56" s="8">
        <v>823288.16851250001</v>
      </c>
      <c r="G56" s="8">
        <v>1091536.1961000001</v>
      </c>
      <c r="H56" s="8">
        <v>-118.00971250000001</v>
      </c>
      <c r="I56" s="8">
        <v>20.996802539279031</v>
      </c>
      <c r="J56" s="8">
        <v>0.2099121740701356</v>
      </c>
      <c r="K56" s="8">
        <v>4.5520319746492106</v>
      </c>
      <c r="L56" s="8">
        <v>20.99730927979126</v>
      </c>
      <c r="M56" s="8">
        <v>0.21003815158705821</v>
      </c>
      <c r="N56" s="8">
        <v>4.5493144072441112</v>
      </c>
      <c r="O56" s="8">
        <v>5.0674051222543426E-4</v>
      </c>
      <c r="P56" s="8">
        <v>1.2597751692264289E-4</v>
      </c>
      <c r="Q56" s="8">
        <v>-2.7175674050994299E-3</v>
      </c>
      <c r="R56" s="8">
        <v>5.2216499142098056E-4</v>
      </c>
    </row>
    <row r="57" spans="1:18" x14ac:dyDescent="0.25">
      <c r="A57" s="9" t="s">
        <v>223</v>
      </c>
      <c r="B57" s="8">
        <v>823289.46299999999</v>
      </c>
      <c r="C57" s="8">
        <v>1091533.5490000001</v>
      </c>
      <c r="D57" s="8">
        <v>-119.136</v>
      </c>
      <c r="E57" s="9" t="s">
        <v>110</v>
      </c>
      <c r="F57" s="8">
        <v>823289.46272499999</v>
      </c>
      <c r="G57" s="8">
        <v>1091533.5490999999</v>
      </c>
      <c r="H57" s="8">
        <v>-119.1386875</v>
      </c>
      <c r="I57" s="8">
        <v>21.051706139222429</v>
      </c>
      <c r="J57" s="8">
        <v>3.1562012967644</v>
      </c>
      <c r="K57" s="8">
        <v>3.4224829386498929</v>
      </c>
      <c r="L57" s="8">
        <v>21.051499172967599</v>
      </c>
      <c r="M57" s="8">
        <v>3.1559944394451569</v>
      </c>
      <c r="N57" s="8">
        <v>3.4197975083124419</v>
      </c>
      <c r="O57" s="8">
        <v>-2.069662548365159E-4</v>
      </c>
      <c r="P57" s="8">
        <v>-2.068573192430812E-4</v>
      </c>
      <c r="Q57" s="8">
        <v>-2.6854303374506121E-3</v>
      </c>
      <c r="R57" s="8">
        <v>2.9261743831463199E-4</v>
      </c>
    </row>
    <row r="58" spans="1:18" x14ac:dyDescent="0.25">
      <c r="A58" s="9" t="s">
        <v>224</v>
      </c>
      <c r="B58" s="8">
        <v>823290.25800000003</v>
      </c>
      <c r="C58" s="8">
        <v>1091532.223</v>
      </c>
      <c r="D58" s="8">
        <v>-122.31699999999999</v>
      </c>
      <c r="E58" s="9" t="s">
        <v>112</v>
      </c>
      <c r="F58" s="8">
        <v>823290.257675</v>
      </c>
      <c r="G58" s="8">
        <v>1091532.2239375</v>
      </c>
      <c r="H58" s="8">
        <v>-122.31853750000001</v>
      </c>
      <c r="I58" s="8">
        <v>21.211779721138271</v>
      </c>
      <c r="J58" s="8">
        <v>4.6939520725555068</v>
      </c>
      <c r="K58" s="8">
        <v>0.23988220283106901</v>
      </c>
      <c r="L58" s="8">
        <v>21.211881407355889</v>
      </c>
      <c r="M58" s="8">
        <v>4.6929650613784331</v>
      </c>
      <c r="N58" s="8">
        <v>0.23834368596887151</v>
      </c>
      <c r="O58" s="8">
        <v>1.016862176150823E-4</v>
      </c>
      <c r="P58" s="8">
        <v>-9.8701117707378216E-4</v>
      </c>
      <c r="Q58" s="8">
        <v>-1.5385168621975249E-3</v>
      </c>
      <c r="R58" s="8">
        <v>9.9223552614375633E-4</v>
      </c>
    </row>
    <row r="59" spans="1:18" x14ac:dyDescent="0.25">
      <c r="A59" s="9" t="s">
        <v>225</v>
      </c>
      <c r="B59" s="8">
        <v>823290.12399999995</v>
      </c>
      <c r="C59" s="8">
        <v>1091532.827</v>
      </c>
      <c r="D59" s="8">
        <v>-124.70699999999999</v>
      </c>
      <c r="E59" s="9" t="s">
        <v>114</v>
      </c>
      <c r="F59" s="8">
        <v>823290.12271250004</v>
      </c>
      <c r="G59" s="8">
        <v>1091532.8273875001</v>
      </c>
      <c r="H59" s="8">
        <v>-124.7081125</v>
      </c>
      <c r="I59" s="8">
        <v>21.345615270637971</v>
      </c>
      <c r="J59" s="8">
        <v>4.0899156120204774</v>
      </c>
      <c r="K59" s="8">
        <v>-2.1514561526636702</v>
      </c>
      <c r="L59" s="8">
        <v>21.344612192739181</v>
      </c>
      <c r="M59" s="8">
        <v>4.0890202644622908</v>
      </c>
      <c r="N59" s="8">
        <v>-2.1525586218846802</v>
      </c>
      <c r="O59" s="8">
        <v>-1.003077898793947E-3</v>
      </c>
      <c r="P59" s="8">
        <v>-8.9534755818654332E-4</v>
      </c>
      <c r="Q59" s="8">
        <v>-1.1024692210099829E-3</v>
      </c>
      <c r="R59" s="8">
        <v>1.3445491047939359E-3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U178"/>
  <sheetViews>
    <sheetView topLeftCell="A154" workbookViewId="0">
      <selection activeCell="E189" sqref="E189"/>
    </sheetView>
  </sheetViews>
  <sheetFormatPr baseColWidth="10" defaultColWidth="9.140625" defaultRowHeight="15" x14ac:dyDescent="0.25"/>
  <cols>
    <col min="1" max="1" width="12.42578125" bestFit="1" customWidth="1"/>
    <col min="2" max="2" width="10.5703125" bestFit="1" customWidth="1"/>
    <col min="3" max="3" width="11.5703125" bestFit="1" customWidth="1"/>
    <col min="5" max="5" width="16.85546875" bestFit="1" customWidth="1"/>
    <col min="6" max="6" width="10.5703125" bestFit="1" customWidth="1"/>
    <col min="7" max="7" width="11.5703125" bestFit="1" customWidth="1"/>
  </cols>
  <sheetData>
    <row r="1" spans="1:2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254</v>
      </c>
      <c r="J1" s="32" t="s">
        <v>255</v>
      </c>
      <c r="K1" s="32" t="s">
        <v>256</v>
      </c>
      <c r="L1" s="32" t="s">
        <v>257</v>
      </c>
      <c r="M1" s="32" t="s">
        <v>258</v>
      </c>
      <c r="N1" s="32" t="s">
        <v>259</v>
      </c>
      <c r="O1" s="32" t="s">
        <v>260</v>
      </c>
      <c r="P1" s="32" t="s">
        <v>261</v>
      </c>
      <c r="Q1" s="32" t="s">
        <v>262</v>
      </c>
      <c r="R1" s="32" t="s">
        <v>263</v>
      </c>
      <c r="U1" s="32" t="s">
        <v>7</v>
      </c>
    </row>
    <row r="2" spans="1:21" x14ac:dyDescent="0.25">
      <c r="A2" s="9" t="s">
        <v>9</v>
      </c>
      <c r="B2" s="8">
        <v>823251.28060000006</v>
      </c>
      <c r="C2" s="8">
        <v>1091521.5682999999</v>
      </c>
      <c r="D2" s="8">
        <v>-123.6816</v>
      </c>
      <c r="E2" s="9" t="s">
        <v>264</v>
      </c>
      <c r="F2" s="8">
        <v>823251.28060000006</v>
      </c>
      <c r="G2" s="8">
        <v>1091521.5662</v>
      </c>
      <c r="H2" s="8">
        <f t="shared" ref="H2:H33" si="0">U2-0.001</f>
        <v>-123.6824</v>
      </c>
      <c r="I2" s="8">
        <v>-18.616393694150279</v>
      </c>
      <c r="J2" s="8">
        <v>2.1234481101344609</v>
      </c>
      <c r="K2" s="8">
        <v>-0.72643606309573272</v>
      </c>
      <c r="L2" s="8">
        <v>-18.617281253477849</v>
      </c>
      <c r="M2" s="8">
        <v>2.1215448923384672</v>
      </c>
      <c r="N2" s="8">
        <v>-0.72622718750245951</v>
      </c>
      <c r="O2" s="8">
        <v>-8.8755932757322853E-4</v>
      </c>
      <c r="P2" s="8">
        <v>-1.903217795994117E-3</v>
      </c>
      <c r="Q2" s="8">
        <f t="shared" ref="Q2:Q33" si="1">H2-D2</f>
        <v>-7.9999999999813554E-4</v>
      </c>
      <c r="R2" s="8">
        <v>2.099999925121665E-3</v>
      </c>
      <c r="U2" s="8">
        <v>-123.6814</v>
      </c>
    </row>
    <row r="3" spans="1:21" x14ac:dyDescent="0.25">
      <c r="A3" s="9" t="s">
        <v>9</v>
      </c>
      <c r="B3" s="8">
        <v>823251.28060000006</v>
      </c>
      <c r="C3" s="8">
        <v>1091521.5682999999</v>
      </c>
      <c r="D3" s="8">
        <v>-123.6816</v>
      </c>
      <c r="E3" s="9" t="s">
        <v>265</v>
      </c>
      <c r="F3" s="8">
        <v>823251.2794</v>
      </c>
      <c r="G3" s="8">
        <v>1091521.5666</v>
      </c>
      <c r="H3" s="8">
        <f t="shared" si="0"/>
        <v>-123.68220000000001</v>
      </c>
      <c r="I3" s="8">
        <v>-18.616393694150279</v>
      </c>
      <c r="J3" s="8">
        <v>2.1234481101344609</v>
      </c>
      <c r="K3" s="8">
        <v>-0.72643606309573272</v>
      </c>
      <c r="L3" s="8">
        <v>-18.618199747682969</v>
      </c>
      <c r="M3" s="8">
        <v>2.122414586749346</v>
      </c>
      <c r="N3" s="8">
        <v>-0.7260180025604086</v>
      </c>
      <c r="O3" s="8">
        <v>-1.806053532696694E-3</v>
      </c>
      <c r="P3" s="8">
        <v>-1.0335233851148651E-3</v>
      </c>
      <c r="Q3" s="8">
        <f t="shared" si="1"/>
        <v>-6.0000000000570708E-4</v>
      </c>
      <c r="R3" s="8">
        <v>2.0808651608429118E-3</v>
      </c>
      <c r="U3" s="8">
        <v>-123.6812</v>
      </c>
    </row>
    <row r="4" spans="1:21" x14ac:dyDescent="0.25">
      <c r="A4" s="9" t="s">
        <v>11</v>
      </c>
      <c r="B4" s="8">
        <v>823257.01199999999</v>
      </c>
      <c r="C4" s="8">
        <v>1091518.9757999999</v>
      </c>
      <c r="D4" s="8">
        <v>-123.5288</v>
      </c>
      <c r="E4" s="9" t="s">
        <v>266</v>
      </c>
      <c r="F4" s="8">
        <v>823257.01</v>
      </c>
      <c r="G4" s="8">
        <v>1091518.9754000001</v>
      </c>
      <c r="H4" s="8">
        <f t="shared" si="0"/>
        <v>-123.5299</v>
      </c>
      <c r="I4" s="8">
        <v>-14.517772052892211</v>
      </c>
      <c r="J4" s="8">
        <v>2.6484805201096391</v>
      </c>
      <c r="K4" s="8">
        <v>-0.61462227950012505</v>
      </c>
      <c r="L4" s="8">
        <v>-14.519753700186421</v>
      </c>
      <c r="M4" s="8">
        <v>2.6479977429992259</v>
      </c>
      <c r="N4" s="8">
        <v>-0.61470246302717158</v>
      </c>
      <c r="O4" s="8">
        <v>-1.9816472942135728E-3</v>
      </c>
      <c r="P4" s="8">
        <v>-4.8277711041322391E-4</v>
      </c>
      <c r="Q4" s="8">
        <f t="shared" si="1"/>
        <v>-1.0999999999938836E-3</v>
      </c>
      <c r="R4" s="8">
        <v>2.0396077424968359E-3</v>
      </c>
      <c r="U4" s="8">
        <v>-123.52889999999999</v>
      </c>
    </row>
    <row r="5" spans="1:21" x14ac:dyDescent="0.25">
      <c r="A5" s="9" t="s">
        <v>13</v>
      </c>
      <c r="B5" s="8">
        <v>823265.72169999999</v>
      </c>
      <c r="C5" s="8">
        <v>1091522.9946000001</v>
      </c>
      <c r="D5" s="8">
        <v>-123.5341</v>
      </c>
      <c r="E5" s="9" t="s">
        <v>267</v>
      </c>
      <c r="F5" s="8">
        <v>823265.7219</v>
      </c>
      <c r="G5" s="8">
        <v>1091522.9952</v>
      </c>
      <c r="H5" s="8">
        <f t="shared" si="0"/>
        <v>-123.536</v>
      </c>
      <c r="I5" s="8">
        <v>-4.9256860923219463</v>
      </c>
      <c r="J5" s="8">
        <v>2.687396541386617</v>
      </c>
      <c r="K5" s="8">
        <v>-0.71584313908662978</v>
      </c>
      <c r="L5" s="8">
        <v>-4.9252512451143016</v>
      </c>
      <c r="M5" s="8">
        <v>2.6869372943576741</v>
      </c>
      <c r="N5" s="8">
        <v>-0.7167474875587061</v>
      </c>
      <c r="O5" s="8">
        <v>4.3484720764386248E-4</v>
      </c>
      <c r="P5" s="8">
        <v>-4.5924702894373231E-4</v>
      </c>
      <c r="Q5" s="8">
        <f t="shared" si="1"/>
        <v>-1.90000000000623E-3</v>
      </c>
      <c r="R5" s="8">
        <v>6.324554516324313E-4</v>
      </c>
      <c r="U5" s="8">
        <v>-123.535</v>
      </c>
    </row>
    <row r="6" spans="1:21" x14ac:dyDescent="0.25">
      <c r="A6" s="9" t="s">
        <v>13</v>
      </c>
      <c r="B6" s="8">
        <v>823265.72169999999</v>
      </c>
      <c r="C6" s="8">
        <v>1091522.9946000001</v>
      </c>
      <c r="D6" s="8">
        <v>-123.5341</v>
      </c>
      <c r="E6" s="9" t="s">
        <v>268</v>
      </c>
      <c r="F6" s="8">
        <v>823265.72030000004</v>
      </c>
      <c r="G6" s="8">
        <v>1091522.9957000001</v>
      </c>
      <c r="H6" s="8">
        <f t="shared" si="0"/>
        <v>-123.53500000000001</v>
      </c>
      <c r="I6" s="8">
        <v>-4.9256860923219463</v>
      </c>
      <c r="J6" s="8">
        <v>2.687396541386617</v>
      </c>
      <c r="K6" s="8">
        <v>-0.71584313908662978</v>
      </c>
      <c r="L6" s="8">
        <v>-4.9264899921688237</v>
      </c>
      <c r="M6" s="8">
        <v>2.685807911373626</v>
      </c>
      <c r="N6" s="8">
        <v>-0.71573510008816754</v>
      </c>
      <c r="O6" s="8">
        <v>-8.0389984687734284E-4</v>
      </c>
      <c r="P6" s="8">
        <v>-1.5886300129919211E-3</v>
      </c>
      <c r="Q6" s="8">
        <f t="shared" si="1"/>
        <v>-9.0000000001566605E-4</v>
      </c>
      <c r="R6" s="8">
        <v>1.780449338541844E-3</v>
      </c>
      <c r="U6" s="8">
        <v>-123.53400000000001</v>
      </c>
    </row>
    <row r="7" spans="1:21" x14ac:dyDescent="0.25">
      <c r="A7" s="9" t="s">
        <v>15</v>
      </c>
      <c r="B7" s="8">
        <v>823268.01500000001</v>
      </c>
      <c r="C7" s="8">
        <v>1091524.2712999999</v>
      </c>
      <c r="D7" s="8">
        <v>-123.4455</v>
      </c>
      <c r="E7" s="9" t="s">
        <v>269</v>
      </c>
      <c r="F7" s="8">
        <v>823268.01560000004</v>
      </c>
      <c r="G7" s="8">
        <v>1091524.2714</v>
      </c>
      <c r="H7" s="8">
        <f t="shared" si="0"/>
        <v>-123.447</v>
      </c>
      <c r="I7" s="8">
        <v>-2.3076876879086359</v>
      </c>
      <c r="J7" s="8">
        <v>2.4995877712603201</v>
      </c>
      <c r="K7" s="8">
        <v>-0.65342312312552053</v>
      </c>
      <c r="L7" s="8">
        <v>-2.3071016465812768</v>
      </c>
      <c r="M7" s="8">
        <v>2.4997507301513999</v>
      </c>
      <c r="N7" s="8">
        <v>-0.65392898353879048</v>
      </c>
      <c r="O7" s="8">
        <v>5.8604132735906589E-4</v>
      </c>
      <c r="P7" s="8">
        <v>1.6295889107986741E-4</v>
      </c>
      <c r="Q7" s="8">
        <f t="shared" si="1"/>
        <v>-1.5000000000071623E-3</v>
      </c>
      <c r="R7" s="8">
        <v>6.0827629149067691E-4</v>
      </c>
      <c r="U7" s="8">
        <v>-123.446</v>
      </c>
    </row>
    <row r="8" spans="1:21" x14ac:dyDescent="0.25">
      <c r="A8" s="9" t="s">
        <v>17</v>
      </c>
      <c r="B8" s="8">
        <v>823265.88659999997</v>
      </c>
      <c r="C8" s="8">
        <v>1091528.8396999999</v>
      </c>
      <c r="D8" s="8">
        <v>-123.44</v>
      </c>
      <c r="E8" s="9" t="s">
        <v>270</v>
      </c>
      <c r="F8" s="8">
        <v>823265.88800000004</v>
      </c>
      <c r="G8" s="8">
        <v>1091528.838</v>
      </c>
      <c r="H8" s="8">
        <f t="shared" si="0"/>
        <v>-123.4423</v>
      </c>
      <c r="I8" s="8">
        <v>-2.3058223578175809</v>
      </c>
      <c r="J8" s="8">
        <v>2.5402893742028092</v>
      </c>
      <c r="K8" s="8">
        <v>-0.64794177642643547</v>
      </c>
      <c r="L8" s="8">
        <v>-2.305272046216388</v>
      </c>
      <c r="M8" s="8">
        <v>2.538156967722907</v>
      </c>
      <c r="N8" s="8">
        <v>-0.64924727954243622</v>
      </c>
      <c r="O8" s="8">
        <v>5.5031160119289879E-4</v>
      </c>
      <c r="P8" s="8">
        <v>-2.132406479901761E-3</v>
      </c>
      <c r="Q8" s="8">
        <f t="shared" si="1"/>
        <v>-2.3000000000052978E-3</v>
      </c>
      <c r="R8" s="8">
        <v>2.2022715243600532E-3</v>
      </c>
      <c r="U8" s="8">
        <v>-123.4413</v>
      </c>
    </row>
    <row r="9" spans="1:21" x14ac:dyDescent="0.25">
      <c r="A9" s="9" t="s">
        <v>19</v>
      </c>
      <c r="B9" s="8">
        <v>823224.73430000001</v>
      </c>
      <c r="C9" s="8">
        <v>1091509.0695</v>
      </c>
      <c r="D9" s="8">
        <v>-123.97669999999999</v>
      </c>
      <c r="E9" s="9" t="s">
        <v>271</v>
      </c>
      <c r="F9" s="8">
        <v>823224.73419999995</v>
      </c>
      <c r="G9" s="8">
        <v>1091509.0700999999</v>
      </c>
      <c r="H9" s="8">
        <f t="shared" si="0"/>
        <v>-123.9748</v>
      </c>
      <c r="I9" s="8">
        <v>-47.957736703891243</v>
      </c>
      <c r="J9" s="8">
        <v>2.0155800624048799</v>
      </c>
      <c r="K9" s="8">
        <v>-0.72812263305701208</v>
      </c>
      <c r="L9" s="8">
        <v>-47.95757374502103</v>
      </c>
      <c r="M9" s="8">
        <v>2.0161661036470768</v>
      </c>
      <c r="N9" s="8">
        <v>-0.72522426264572459</v>
      </c>
      <c r="O9" s="8">
        <v>1.6295887021300359E-4</v>
      </c>
      <c r="P9" s="8">
        <v>5.8604124219652221E-4</v>
      </c>
      <c r="Q9" s="8">
        <f t="shared" si="1"/>
        <v>1.8999999999920192E-3</v>
      </c>
      <c r="R9" s="8">
        <v>6.0827617665931287E-4</v>
      </c>
      <c r="U9" s="8">
        <v>-123.9738</v>
      </c>
    </row>
    <row r="10" spans="1:21" x14ac:dyDescent="0.25">
      <c r="A10" s="33" t="s">
        <v>63</v>
      </c>
      <c r="B10" s="34">
        <v>823258.05489999999</v>
      </c>
      <c r="C10" s="34">
        <v>1091526.3359999999</v>
      </c>
      <c r="D10" s="34">
        <v>-123.4444</v>
      </c>
      <c r="E10" s="33" t="s">
        <v>272</v>
      </c>
      <c r="F10" s="34">
        <v>823257.99419999996</v>
      </c>
      <c r="G10" s="34">
        <v>1091526.2734000001</v>
      </c>
      <c r="H10" s="8">
        <f t="shared" si="0"/>
        <v>-123.25160000000001</v>
      </c>
      <c r="I10" s="34">
        <v>-10.46182903093621</v>
      </c>
      <c r="J10" s="34">
        <v>3.5812474557520781</v>
      </c>
      <c r="K10" s="34">
        <v>-0.57078170971156794</v>
      </c>
      <c r="L10" s="34">
        <v>-10.543298813064069</v>
      </c>
      <c r="M10" s="34">
        <v>3.550168128558481</v>
      </c>
      <c r="N10" s="34">
        <v>-0.37616701189044482</v>
      </c>
      <c r="O10" s="34">
        <v>-8.1469782127857826E-2</v>
      </c>
      <c r="P10" s="34">
        <v>-3.1079327193597631E-2</v>
      </c>
      <c r="Q10" s="8">
        <f t="shared" si="1"/>
        <v>0.1927999999999912</v>
      </c>
      <c r="R10" s="34">
        <v>8.7196616806419436E-2</v>
      </c>
      <c r="U10" s="34">
        <v>-123.25060000000001</v>
      </c>
    </row>
    <row r="11" spans="1:21" x14ac:dyDescent="0.25">
      <c r="A11" s="9" t="s">
        <v>20</v>
      </c>
      <c r="B11" s="8">
        <v>823257.99349999998</v>
      </c>
      <c r="C11" s="8">
        <v>1091526.274</v>
      </c>
      <c r="D11" s="8">
        <v>-123.251</v>
      </c>
      <c r="E11" s="9" t="s">
        <v>272</v>
      </c>
      <c r="F11" s="8">
        <v>823257.99419999996</v>
      </c>
      <c r="G11" s="8">
        <v>1091526.2734000001</v>
      </c>
      <c r="H11" s="8">
        <f t="shared" si="0"/>
        <v>-123.25160000000001</v>
      </c>
      <c r="I11" s="8">
        <v>-10.54367963065771</v>
      </c>
      <c r="J11" s="8">
        <v>3.5510077580161701</v>
      </c>
      <c r="K11" s="8">
        <v>-0.37656320371451102</v>
      </c>
      <c r="L11" s="8">
        <v>-10.543298813064069</v>
      </c>
      <c r="M11" s="8">
        <v>3.550168128558481</v>
      </c>
      <c r="N11" s="8">
        <v>-0.37616701189044482</v>
      </c>
      <c r="O11" s="8">
        <v>3.808175936406144E-4</v>
      </c>
      <c r="P11" s="8">
        <v>-8.3962945768911723E-4</v>
      </c>
      <c r="Q11" s="8">
        <f t="shared" si="1"/>
        <v>-6.0000000000570708E-4</v>
      </c>
      <c r="R11" s="8">
        <v>9.2195436956313845E-4</v>
      </c>
      <c r="U11" s="8">
        <v>-123.25060000000001</v>
      </c>
    </row>
    <row r="12" spans="1:21" x14ac:dyDescent="0.25">
      <c r="A12" s="9" t="s">
        <v>22</v>
      </c>
      <c r="B12" s="8">
        <v>823256.60849999997</v>
      </c>
      <c r="C12" s="8">
        <v>1091524.4813000001</v>
      </c>
      <c r="D12" s="8">
        <v>-123.70699999999999</v>
      </c>
      <c r="E12" s="9" t="s">
        <v>273</v>
      </c>
      <c r="F12" s="8">
        <v>823256.60889999999</v>
      </c>
      <c r="G12" s="8">
        <v>1091524.4793</v>
      </c>
      <c r="H12" s="8">
        <f t="shared" si="0"/>
        <v>-123.70880000000001</v>
      </c>
      <c r="I12" s="8">
        <v>-12.55657699158589</v>
      </c>
      <c r="J12" s="8">
        <v>2.5116606052891899</v>
      </c>
      <c r="K12" s="8">
        <v>-0.81243423010924687</v>
      </c>
      <c r="L12" s="8">
        <v>-12.55705976854097</v>
      </c>
      <c r="M12" s="8">
        <v>2.5096789577798662</v>
      </c>
      <c r="N12" s="8">
        <v>-0.81322940233971508</v>
      </c>
      <c r="O12" s="8">
        <v>-4.8277695507437102E-4</v>
      </c>
      <c r="P12" s="8">
        <v>-1.9816475093241688E-3</v>
      </c>
      <c r="Q12" s="8">
        <f t="shared" si="1"/>
        <v>-1.8000000000171212E-3</v>
      </c>
      <c r="R12" s="8">
        <v>2.0396079023132859E-3</v>
      </c>
      <c r="U12" s="8">
        <v>-123.70780000000001</v>
      </c>
    </row>
    <row r="13" spans="1:21" x14ac:dyDescent="0.25">
      <c r="A13" s="9" t="s">
        <v>22</v>
      </c>
      <c r="B13" s="8">
        <v>823256.60849999997</v>
      </c>
      <c r="C13" s="8">
        <v>1091524.4813000001</v>
      </c>
      <c r="D13" s="8">
        <v>-123.70699999999999</v>
      </c>
      <c r="E13" s="9" t="s">
        <v>274</v>
      </c>
      <c r="F13" s="8">
        <v>823256.60730000003</v>
      </c>
      <c r="G13" s="8">
        <v>1091524.4805000001</v>
      </c>
      <c r="H13" s="8">
        <f t="shared" si="0"/>
        <v>-123.7081</v>
      </c>
      <c r="I13" s="8">
        <v>-12.55657699158589</v>
      </c>
      <c r="J13" s="8">
        <v>2.5116606052891899</v>
      </c>
      <c r="K13" s="8">
        <v>-0.81243423010924687</v>
      </c>
      <c r="L13" s="8">
        <v>-12.558002662486301</v>
      </c>
      <c r="M13" s="8">
        <v>2.5114427465552369</v>
      </c>
      <c r="N13" s="8">
        <v>-0.81251997340025639</v>
      </c>
      <c r="O13" s="8">
        <v>-1.4256709004030199E-3</v>
      </c>
      <c r="P13" s="8">
        <v>-2.178587339529692E-4</v>
      </c>
      <c r="Q13" s="8">
        <f t="shared" si="1"/>
        <v>-1.1000000000080945E-3</v>
      </c>
      <c r="R13" s="8">
        <v>1.4422204818239929E-3</v>
      </c>
      <c r="U13" s="8">
        <v>-123.7071</v>
      </c>
    </row>
    <row r="14" spans="1:21" x14ac:dyDescent="0.25">
      <c r="A14" s="9" t="s">
        <v>26</v>
      </c>
      <c r="B14" s="8">
        <v>823268.98580000002</v>
      </c>
      <c r="C14" s="8">
        <v>1091530.5776</v>
      </c>
      <c r="D14" s="8">
        <v>-124.261</v>
      </c>
      <c r="E14" s="9" t="s">
        <v>24</v>
      </c>
      <c r="F14" s="8">
        <v>823268.98869999999</v>
      </c>
      <c r="G14" s="8">
        <v>1091530.5759000001</v>
      </c>
      <c r="H14" s="8">
        <f t="shared" si="0"/>
        <v>-124.2641</v>
      </c>
      <c r="I14" s="8">
        <v>1.237483515298581</v>
      </c>
      <c r="J14" s="8">
        <v>2.8054695771862108</v>
      </c>
      <c r="K14" s="8">
        <v>-1.5043748351505</v>
      </c>
      <c r="L14" s="8">
        <v>1.239393268164912</v>
      </c>
      <c r="M14" s="8">
        <v>2.8027031998510581</v>
      </c>
      <c r="N14" s="8">
        <v>-1.5064939326791631</v>
      </c>
      <c r="O14" s="8">
        <v>1.9097528663305501E-3</v>
      </c>
      <c r="P14" s="8">
        <v>-2.766377335153614E-3</v>
      </c>
      <c r="Q14" s="8">
        <f t="shared" si="1"/>
        <v>-3.1000000000034333E-3</v>
      </c>
      <c r="R14" s="8">
        <v>3.3615471835021101E-3</v>
      </c>
      <c r="U14" s="8">
        <v>-124.26309999999999</v>
      </c>
    </row>
    <row r="15" spans="1:21" x14ac:dyDescent="0.25">
      <c r="A15" s="9" t="s">
        <v>26</v>
      </c>
      <c r="B15" s="8">
        <v>823268.98580000002</v>
      </c>
      <c r="C15" s="8">
        <v>1091530.5776</v>
      </c>
      <c r="D15" s="8">
        <v>-124.261</v>
      </c>
      <c r="E15" s="9" t="s">
        <v>275</v>
      </c>
      <c r="F15" s="8">
        <v>823268.98869999999</v>
      </c>
      <c r="G15" s="8">
        <v>1091530.5759000001</v>
      </c>
      <c r="H15" s="8">
        <f t="shared" si="0"/>
        <v>-124.2641</v>
      </c>
      <c r="I15" s="8">
        <v>1.237483515298581</v>
      </c>
      <c r="J15" s="8">
        <v>2.8054695771862108</v>
      </c>
      <c r="K15" s="8">
        <v>-1.5043748351505</v>
      </c>
      <c r="L15" s="8">
        <v>1.239393268164912</v>
      </c>
      <c r="M15" s="8">
        <v>2.8027031998510581</v>
      </c>
      <c r="N15" s="8">
        <v>-1.5064939326791631</v>
      </c>
      <c r="O15" s="8">
        <v>1.9097528663305501E-3</v>
      </c>
      <c r="P15" s="8">
        <v>-2.766377335153614E-3</v>
      </c>
      <c r="Q15" s="8">
        <f t="shared" si="1"/>
        <v>-3.1000000000034333E-3</v>
      </c>
      <c r="R15" s="8">
        <v>3.3615471835021101E-3</v>
      </c>
      <c r="U15" s="8">
        <v>-124.26309999999999</v>
      </c>
    </row>
    <row r="16" spans="1:21" x14ac:dyDescent="0.25">
      <c r="A16" s="9" t="s">
        <v>29</v>
      </c>
      <c r="B16" s="8">
        <v>823271.31629999995</v>
      </c>
      <c r="C16" s="8">
        <v>1091525.4778</v>
      </c>
      <c r="D16" s="8">
        <v>-124.31059999999999</v>
      </c>
      <c r="E16" s="9" t="s">
        <v>27</v>
      </c>
      <c r="F16" s="8">
        <v>823271.31480000005</v>
      </c>
      <c r="G16" s="8">
        <v>1091525.4783000001</v>
      </c>
      <c r="H16" s="8">
        <f t="shared" si="0"/>
        <v>-124.3087</v>
      </c>
      <c r="I16" s="8">
        <v>1.194185468238401</v>
      </c>
      <c r="J16" s="8">
        <v>2.8014293489232238</v>
      </c>
      <c r="K16" s="8">
        <v>-1.553541854679978</v>
      </c>
      <c r="L16" s="8">
        <v>1.1930373506648591</v>
      </c>
      <c r="M16" s="8">
        <v>2.8003422309746782</v>
      </c>
      <c r="N16" s="8">
        <v>-1.5506303735042479</v>
      </c>
      <c r="O16" s="8">
        <v>-1.1481175735414959E-3</v>
      </c>
      <c r="P16" s="8">
        <v>-1.087117948545657E-3</v>
      </c>
      <c r="Q16" s="8">
        <f t="shared" si="1"/>
        <v>1.8999999999920192E-3</v>
      </c>
      <c r="R16" s="8">
        <v>1.58113875792923E-3</v>
      </c>
      <c r="U16" s="8">
        <v>-124.3077</v>
      </c>
    </row>
    <row r="17" spans="1:21" x14ac:dyDescent="0.25">
      <c r="A17" s="9" t="s">
        <v>29</v>
      </c>
      <c r="B17" s="8">
        <v>823271.31629999995</v>
      </c>
      <c r="C17" s="8">
        <v>1091525.4778</v>
      </c>
      <c r="D17" s="8">
        <v>-124.31059999999999</v>
      </c>
      <c r="E17" s="9" t="s">
        <v>276</v>
      </c>
      <c r="F17" s="8">
        <v>823271.31480000005</v>
      </c>
      <c r="G17" s="8">
        <v>1091525.4783000001</v>
      </c>
      <c r="H17" s="8">
        <f t="shared" si="0"/>
        <v>-124.3087</v>
      </c>
      <c r="I17" s="8">
        <v>1.194185468238401</v>
      </c>
      <c r="J17" s="8">
        <v>2.8014293489232238</v>
      </c>
      <c r="K17" s="8">
        <v>-1.553541854679978</v>
      </c>
      <c r="L17" s="8">
        <v>1.1930373506648591</v>
      </c>
      <c r="M17" s="8">
        <v>2.8003422309746782</v>
      </c>
      <c r="N17" s="8">
        <v>-1.5506303735042479</v>
      </c>
      <c r="O17" s="8">
        <v>-1.1481175735414959E-3</v>
      </c>
      <c r="P17" s="8">
        <v>-1.087117948545657E-3</v>
      </c>
      <c r="Q17" s="8">
        <f t="shared" si="1"/>
        <v>1.8999999999920192E-3</v>
      </c>
      <c r="R17" s="8">
        <v>1.58113875792923E-3</v>
      </c>
      <c r="U17" s="8">
        <v>-124.3077</v>
      </c>
    </row>
    <row r="18" spans="1:21" x14ac:dyDescent="0.25">
      <c r="A18" s="9" t="s">
        <v>31</v>
      </c>
      <c r="B18" s="8">
        <v>823269.97510000004</v>
      </c>
      <c r="C18" s="8">
        <v>1091531.8297999999</v>
      </c>
      <c r="D18" s="8">
        <v>-124.4327</v>
      </c>
      <c r="E18" s="9" t="s">
        <v>277</v>
      </c>
      <c r="F18" s="8">
        <v>823269.9754</v>
      </c>
      <c r="G18" s="8">
        <v>1091531.8281</v>
      </c>
      <c r="H18" s="8">
        <f t="shared" si="0"/>
        <v>-124.43430000000001</v>
      </c>
      <c r="I18" s="8">
        <v>2.66331937265078</v>
      </c>
      <c r="J18" s="8">
        <v>3.5222062359530759</v>
      </c>
      <c r="K18" s="8">
        <v>-1.690333193721173</v>
      </c>
      <c r="L18" s="8">
        <v>2.6628727604887281</v>
      </c>
      <c r="M18" s="8">
        <v>3.5205387415509</v>
      </c>
      <c r="N18" s="8">
        <v>-1.690928727599555</v>
      </c>
      <c r="O18" s="8">
        <v>-4.466121620523289E-4</v>
      </c>
      <c r="P18" s="8">
        <v>-1.667494402176839E-3</v>
      </c>
      <c r="Q18" s="8">
        <f t="shared" si="1"/>
        <v>-1.6000000000104819E-3</v>
      </c>
      <c r="R18" s="8">
        <v>1.7262675500750409E-3</v>
      </c>
      <c r="U18" s="8">
        <v>-124.4333</v>
      </c>
    </row>
    <row r="19" spans="1:21" x14ac:dyDescent="0.25">
      <c r="A19" s="9" t="s">
        <v>33</v>
      </c>
      <c r="B19" s="8">
        <v>823276.08810000005</v>
      </c>
      <c r="C19" s="8">
        <v>1091526.3326999999</v>
      </c>
      <c r="D19" s="8">
        <v>-125.01</v>
      </c>
      <c r="E19" s="9" t="s">
        <v>278</v>
      </c>
      <c r="F19" s="8">
        <v>823276.08660000004</v>
      </c>
      <c r="G19" s="8">
        <v>1091526.3333000001</v>
      </c>
      <c r="H19" s="8">
        <f t="shared" si="0"/>
        <v>-125.01050000000001</v>
      </c>
      <c r="I19" s="8">
        <v>5.8801615076666156</v>
      </c>
      <c r="J19" s="8">
        <v>4.0434268565708864</v>
      </c>
      <c r="K19" s="8">
        <v>-2.2998016150649079</v>
      </c>
      <c r="L19" s="8">
        <v>5.879055654745569</v>
      </c>
      <c r="M19" s="8">
        <v>4.0422491088266979</v>
      </c>
      <c r="N19" s="8">
        <v>-2.2992905565356949</v>
      </c>
      <c r="O19" s="8">
        <v>-1.105852921047479E-3</v>
      </c>
      <c r="P19" s="8">
        <v>-1.1777477441876629E-3</v>
      </c>
      <c r="Q19" s="8">
        <f t="shared" si="1"/>
        <v>-5.0000000000238742E-4</v>
      </c>
      <c r="R19" s="8">
        <v>1.6155495080659461E-3</v>
      </c>
      <c r="U19" s="8">
        <v>-125.0095</v>
      </c>
    </row>
    <row r="20" spans="1:21" x14ac:dyDescent="0.25">
      <c r="A20" s="9" t="s">
        <v>35</v>
      </c>
      <c r="B20" s="8">
        <v>823272.57799999998</v>
      </c>
      <c r="C20" s="8">
        <v>1091533.6714999999</v>
      </c>
      <c r="D20" s="8">
        <v>-124.9434</v>
      </c>
      <c r="E20" s="9" t="s">
        <v>279</v>
      </c>
      <c r="F20" s="8">
        <v>823272.57909999997</v>
      </c>
      <c r="G20" s="8">
        <v>1091533.6703000001</v>
      </c>
      <c r="H20" s="8">
        <f t="shared" si="0"/>
        <v>-124.944</v>
      </c>
      <c r="I20" s="8">
        <v>5.8007022058907536</v>
      </c>
      <c r="J20" s="8">
        <v>4.0912196427418381</v>
      </c>
      <c r="K20" s="8">
        <v>-2.232407022047298</v>
      </c>
      <c r="L20" s="8">
        <v>5.8011919528461098</v>
      </c>
      <c r="M20" s="8">
        <v>4.0896671778286997</v>
      </c>
      <c r="N20" s="8">
        <v>-2.2320119195168502</v>
      </c>
      <c r="O20" s="8">
        <v>4.8974695535619617E-4</v>
      </c>
      <c r="P20" s="8">
        <v>-1.5524649131384289E-3</v>
      </c>
      <c r="Q20" s="8">
        <f t="shared" si="1"/>
        <v>-6.0000000000570708E-4</v>
      </c>
      <c r="R20" s="8">
        <v>1.6278819259658011E-3</v>
      </c>
      <c r="U20" s="8">
        <v>-124.943</v>
      </c>
    </row>
    <row r="21" spans="1:21" x14ac:dyDescent="0.25">
      <c r="A21" s="9" t="s">
        <v>35</v>
      </c>
      <c r="B21" s="8">
        <v>823272.57799999998</v>
      </c>
      <c r="C21" s="8">
        <v>1091533.6714999999</v>
      </c>
      <c r="D21" s="8">
        <v>-124.9434</v>
      </c>
      <c r="E21" s="9" t="s">
        <v>280</v>
      </c>
      <c r="F21" s="8">
        <v>823272.57819999999</v>
      </c>
      <c r="G21" s="8">
        <v>1091533.6701</v>
      </c>
      <c r="H21" s="8">
        <f t="shared" si="0"/>
        <v>-124.944</v>
      </c>
      <c r="I21" s="8">
        <v>5.8007022058907536</v>
      </c>
      <c r="J21" s="8">
        <v>4.0912196427418381</v>
      </c>
      <c r="K21" s="8">
        <v>-2.232407022047298</v>
      </c>
      <c r="L21" s="8">
        <v>5.8002917585288243</v>
      </c>
      <c r="M21" s="8">
        <v>4.0898663015594163</v>
      </c>
      <c r="N21" s="8">
        <v>-2.2320029175736811</v>
      </c>
      <c r="O21" s="8">
        <v>-4.1044736192930031E-4</v>
      </c>
      <c r="P21" s="8">
        <v>-1.353341182421808E-3</v>
      </c>
      <c r="Q21" s="8">
        <f t="shared" si="1"/>
        <v>-6.0000000000570708E-4</v>
      </c>
      <c r="R21" s="8">
        <v>1.4142135142993461E-3</v>
      </c>
      <c r="U21" s="8">
        <v>-124.943</v>
      </c>
    </row>
    <row r="22" spans="1:21" x14ac:dyDescent="0.25">
      <c r="A22" s="9" t="s">
        <v>35</v>
      </c>
      <c r="B22" s="8">
        <v>823272.57799999998</v>
      </c>
      <c r="C22" s="8">
        <v>1091533.6714999999</v>
      </c>
      <c r="D22" s="8">
        <v>-124.9434</v>
      </c>
      <c r="E22" s="9" t="s">
        <v>281</v>
      </c>
      <c r="F22" s="8">
        <v>823272.57830000005</v>
      </c>
      <c r="G22" s="8">
        <v>1091533.6691999999</v>
      </c>
      <c r="H22" s="8">
        <f t="shared" si="0"/>
        <v>-124.94410000000001</v>
      </c>
      <c r="I22" s="8">
        <v>5.8007022058907536</v>
      </c>
      <c r="J22" s="8">
        <v>4.0912196427418381</v>
      </c>
      <c r="K22" s="8">
        <v>-2.232407022047298</v>
      </c>
      <c r="L22" s="8">
        <v>5.8000020053846111</v>
      </c>
      <c r="M22" s="8">
        <v>4.0890083718727519</v>
      </c>
      <c r="N22" s="8">
        <v>-2.232100020042239</v>
      </c>
      <c r="O22" s="8">
        <v>-7.0020050614250096E-4</v>
      </c>
      <c r="P22" s="8">
        <v>-2.2112708690862348E-3</v>
      </c>
      <c r="Q22" s="8">
        <f t="shared" si="1"/>
        <v>-7.0000000000902673E-4</v>
      </c>
      <c r="R22" s="8">
        <v>2.319482760927949E-3</v>
      </c>
      <c r="U22" s="8">
        <v>-124.9431</v>
      </c>
    </row>
    <row r="23" spans="1:21" x14ac:dyDescent="0.25">
      <c r="A23" s="9" t="s">
        <v>37</v>
      </c>
      <c r="B23" s="8">
        <v>823273.30189999996</v>
      </c>
      <c r="C23" s="8">
        <v>1091533.7533</v>
      </c>
      <c r="D23" s="8">
        <v>-125.3186</v>
      </c>
      <c r="E23" s="9" t="s">
        <v>282</v>
      </c>
      <c r="F23" s="8">
        <v>823273.30119999999</v>
      </c>
      <c r="G23" s="8">
        <v>1091533.7515</v>
      </c>
      <c r="H23" s="8">
        <f t="shared" si="0"/>
        <v>-125.319</v>
      </c>
      <c r="I23" s="8">
        <v>6.4913411559419316</v>
      </c>
      <c r="J23" s="8">
        <v>3.8594001210421029</v>
      </c>
      <c r="K23" s="8">
        <v>-2.6145134115464259</v>
      </c>
      <c r="L23" s="8">
        <v>6.4899459848451206</v>
      </c>
      <c r="M23" s="8">
        <v>3.858064644681356</v>
      </c>
      <c r="N23" s="8">
        <v>-2.6138994598354661</v>
      </c>
      <c r="O23" s="8">
        <v>-1.3951710968109769E-3</v>
      </c>
      <c r="P23" s="8">
        <v>-1.335476360746934E-3</v>
      </c>
      <c r="Q23" s="8">
        <f t="shared" si="1"/>
        <v>-3.9999999999906777E-4</v>
      </c>
      <c r="R23" s="8">
        <v>1.9313207537188389E-3</v>
      </c>
      <c r="U23" s="8">
        <v>-125.318</v>
      </c>
    </row>
    <row r="24" spans="1:21" x14ac:dyDescent="0.25">
      <c r="A24" s="9" t="s">
        <v>39</v>
      </c>
      <c r="B24" s="8">
        <v>823278.71230000001</v>
      </c>
      <c r="C24" s="8">
        <v>1091527.5962</v>
      </c>
      <c r="D24" s="8">
        <v>-125.1168</v>
      </c>
      <c r="E24" s="9" t="s">
        <v>283</v>
      </c>
      <c r="F24" s="8">
        <v>823278.71189999999</v>
      </c>
      <c r="G24" s="8">
        <v>1091527.5963999999</v>
      </c>
      <c r="H24" s="8">
        <f t="shared" si="0"/>
        <v>-125.11750000000001</v>
      </c>
      <c r="I24" s="8">
        <v>8.7924737313702668</v>
      </c>
      <c r="J24" s="8">
        <v>4.0074351664534236</v>
      </c>
      <c r="K24" s="8">
        <v>-2.4357247372961131</v>
      </c>
      <c r="L24" s="8">
        <v>8.7921957430749558</v>
      </c>
      <c r="M24" s="8">
        <v>4.0070848487668558</v>
      </c>
      <c r="N24" s="8">
        <v>-2.4354219574131548</v>
      </c>
      <c r="O24" s="8">
        <v>-2.7798829531100472E-4</v>
      </c>
      <c r="P24" s="8">
        <v>-3.503176865677915E-4</v>
      </c>
      <c r="Q24" s="8">
        <f t="shared" si="1"/>
        <v>-7.0000000000902673E-4</v>
      </c>
      <c r="R24" s="8">
        <v>4.4721356467896138E-4</v>
      </c>
      <c r="U24" s="8">
        <v>-125.1165</v>
      </c>
    </row>
    <row r="25" spans="1:21" x14ac:dyDescent="0.25">
      <c r="A25" s="9" t="s">
        <v>41</v>
      </c>
      <c r="B25" s="8">
        <v>823281.8027</v>
      </c>
      <c r="C25" s="8">
        <v>1091529.1734</v>
      </c>
      <c r="D25" s="8">
        <v>-125.1768</v>
      </c>
      <c r="E25" s="9" t="s">
        <v>284</v>
      </c>
      <c r="F25" s="8">
        <v>823281.80160000001</v>
      </c>
      <c r="G25" s="8">
        <v>1091529.1745</v>
      </c>
      <c r="H25" s="8">
        <f t="shared" si="0"/>
        <v>-125.17750000000001</v>
      </c>
      <c r="I25" s="8">
        <v>12.259884791720459</v>
      </c>
      <c r="J25" s="8">
        <v>3.884177151182719</v>
      </c>
      <c r="K25" s="8">
        <v>-2.5303988478926698</v>
      </c>
      <c r="L25" s="8">
        <v>12.259352780105511</v>
      </c>
      <c r="M25" s="8">
        <v>3.8827153155939929</v>
      </c>
      <c r="N25" s="8">
        <v>-2.5300935277765291</v>
      </c>
      <c r="O25" s="8">
        <v>-5.3201161495053384E-4</v>
      </c>
      <c r="P25" s="8">
        <v>-1.461835588725702E-3</v>
      </c>
      <c r="Q25" s="8">
        <f t="shared" si="1"/>
        <v>-7.0000000000902673E-4</v>
      </c>
      <c r="R25" s="8">
        <v>1.5556349101810351E-3</v>
      </c>
      <c r="U25" s="8">
        <v>-125.1765</v>
      </c>
    </row>
    <row r="26" spans="1:21" x14ac:dyDescent="0.25">
      <c r="A26" s="9" t="s">
        <v>43</v>
      </c>
      <c r="B26" s="8">
        <v>823278.49329999997</v>
      </c>
      <c r="C26" s="8">
        <v>1091536.2312</v>
      </c>
      <c r="D26" s="8">
        <v>-125.1887</v>
      </c>
      <c r="E26" s="9" t="s">
        <v>285</v>
      </c>
      <c r="F26" s="8">
        <v>823278.49439999997</v>
      </c>
      <c r="G26" s="8">
        <v>1091536.2307</v>
      </c>
      <c r="H26" s="8">
        <f t="shared" si="0"/>
        <v>-125.18950000000001</v>
      </c>
      <c r="I26" s="8">
        <v>12.24355484860364</v>
      </c>
      <c r="J26" s="8">
        <v>3.9109753509710852</v>
      </c>
      <c r="K26" s="8">
        <v>-2.54213554846153</v>
      </c>
      <c r="L26" s="8">
        <v>12.24434044856978</v>
      </c>
      <c r="M26" s="8">
        <v>3.910057291800066</v>
      </c>
      <c r="N26" s="8">
        <v>-2.541943404461207</v>
      </c>
      <c r="O26" s="8">
        <v>7.8559996614124827E-4</v>
      </c>
      <c r="P26" s="8">
        <v>-9.1805917101872581E-4</v>
      </c>
      <c r="Q26" s="8">
        <f t="shared" si="1"/>
        <v>-8.0000000001234639E-4</v>
      </c>
      <c r="R26" s="8">
        <v>1.208304625847047E-3</v>
      </c>
      <c r="U26" s="8">
        <v>-125.1885</v>
      </c>
    </row>
    <row r="27" spans="1:21" x14ac:dyDescent="0.25">
      <c r="A27" s="9" t="s">
        <v>44</v>
      </c>
      <c r="B27" s="8">
        <v>823285.58299999998</v>
      </c>
      <c r="C27" s="8">
        <v>1091530.996</v>
      </c>
      <c r="D27" s="8">
        <v>-125.29600000000001</v>
      </c>
      <c r="E27" s="9" t="s">
        <v>286</v>
      </c>
      <c r="F27" s="8">
        <v>823285.58319999999</v>
      </c>
      <c r="G27" s="8">
        <v>1091530.9966</v>
      </c>
      <c r="H27" s="8">
        <f t="shared" si="0"/>
        <v>-125.2968</v>
      </c>
      <c r="I27" s="8">
        <v>16.45626589859523</v>
      </c>
      <c r="J27" s="8">
        <v>3.830098911658582</v>
      </c>
      <c r="K27" s="8">
        <v>-2.6915626589530319</v>
      </c>
      <c r="L27" s="8">
        <v>16.45670074580287</v>
      </c>
      <c r="M27" s="8">
        <v>3.8296396646296378</v>
      </c>
      <c r="N27" s="8">
        <v>-2.6913670074251002</v>
      </c>
      <c r="O27" s="8">
        <v>4.3484720764652712E-4</v>
      </c>
      <c r="P27" s="8">
        <v>-4.5924702894373231E-4</v>
      </c>
      <c r="Q27" s="8">
        <f t="shared" si="1"/>
        <v>-7.9999999999813554E-4</v>
      </c>
      <c r="R27" s="8">
        <v>6.324554516324313E-4</v>
      </c>
      <c r="U27" s="8">
        <v>-125.2958</v>
      </c>
    </row>
    <row r="28" spans="1:21" x14ac:dyDescent="0.25">
      <c r="A28" s="9" t="s">
        <v>44</v>
      </c>
      <c r="B28" s="8">
        <v>823285.58299999998</v>
      </c>
      <c r="C28" s="8">
        <v>1091530.996</v>
      </c>
      <c r="D28" s="8">
        <v>-125.29600000000001</v>
      </c>
      <c r="E28" s="9" t="s">
        <v>287</v>
      </c>
      <c r="F28" s="8">
        <v>823285.58219999995</v>
      </c>
      <c r="G28" s="8">
        <v>1091530.9966</v>
      </c>
      <c r="H28" s="8">
        <f t="shared" si="0"/>
        <v>-125.29600000000001</v>
      </c>
      <c r="I28" s="8">
        <v>16.45626589859523</v>
      </c>
      <c r="J28" s="8">
        <v>3.830098911658582</v>
      </c>
      <c r="K28" s="8">
        <v>-2.6915626589530319</v>
      </c>
      <c r="L28" s="8">
        <v>16.45579445152061</v>
      </c>
      <c r="M28" s="8">
        <v>3.8292170171653899</v>
      </c>
      <c r="N28" s="8">
        <v>-2.6905579444822791</v>
      </c>
      <c r="O28" s="8">
        <v>-4.714470746201016E-4</v>
      </c>
      <c r="P28" s="8">
        <v>-8.8189449319209245E-4</v>
      </c>
      <c r="Q28" s="8">
        <f t="shared" si="1"/>
        <v>0</v>
      </c>
      <c r="R28" s="8">
        <v>9.9999997764826259E-4</v>
      </c>
      <c r="U28" s="8">
        <v>-125.295</v>
      </c>
    </row>
    <row r="29" spans="1:21" x14ac:dyDescent="0.25">
      <c r="A29" s="9" t="s">
        <v>44</v>
      </c>
      <c r="B29" s="8">
        <v>823285.58299999998</v>
      </c>
      <c r="C29" s="8">
        <v>1091530.996</v>
      </c>
      <c r="D29" s="8">
        <v>-125.29600000000001</v>
      </c>
      <c r="E29" s="8">
        <v>26</v>
      </c>
      <c r="F29" s="8">
        <v>823285.58100000001</v>
      </c>
      <c r="G29" s="8">
        <v>1091530.9953999999</v>
      </c>
      <c r="H29" s="8">
        <f t="shared" si="0"/>
        <v>-125.29520000000001</v>
      </c>
      <c r="I29" s="8">
        <v>16.45626589859523</v>
      </c>
      <c r="J29" s="8">
        <v>3.830098911658582</v>
      </c>
      <c r="K29" s="8">
        <v>-2.6915626589530319</v>
      </c>
      <c r="L29" s="8">
        <v>16.45419972168661</v>
      </c>
      <c r="M29" s="8">
        <v>3.829797393668223</v>
      </c>
      <c r="N29" s="8">
        <v>-2.689741997183944</v>
      </c>
      <c r="O29" s="8">
        <v>-2.0661769086203212E-3</v>
      </c>
      <c r="P29" s="8">
        <v>-3.0151799035849081E-4</v>
      </c>
      <c r="Q29" s="8">
        <f t="shared" si="1"/>
        <v>7.9999999999813554E-4</v>
      </c>
      <c r="R29" s="8">
        <v>2.088061322905746E-3</v>
      </c>
      <c r="U29" s="8">
        <v>-125.2942</v>
      </c>
    </row>
    <row r="30" spans="1:21" x14ac:dyDescent="0.25">
      <c r="A30" s="9" t="s">
        <v>44</v>
      </c>
      <c r="B30" s="8">
        <v>823285.58299999998</v>
      </c>
      <c r="C30" s="8">
        <v>1091530.996</v>
      </c>
      <c r="D30" s="8">
        <v>-125.29600000000001</v>
      </c>
      <c r="E30" s="9" t="s">
        <v>288</v>
      </c>
      <c r="F30" s="8">
        <v>823285.58100000001</v>
      </c>
      <c r="G30" s="8">
        <v>1091530.9953999999</v>
      </c>
      <c r="H30" s="8">
        <f t="shared" si="0"/>
        <v>-125.29520000000001</v>
      </c>
      <c r="I30" s="8">
        <v>16.45626589859523</v>
      </c>
      <c r="J30" s="8">
        <v>3.830098911658582</v>
      </c>
      <c r="K30" s="8">
        <v>-2.6915626589530319</v>
      </c>
      <c r="L30" s="8">
        <v>16.45419972168661</v>
      </c>
      <c r="M30" s="8">
        <v>3.829797393668223</v>
      </c>
      <c r="N30" s="8">
        <v>-2.689741997183944</v>
      </c>
      <c r="O30" s="8">
        <v>-2.0661769086203212E-3</v>
      </c>
      <c r="P30" s="8">
        <v>-3.0151799035849081E-4</v>
      </c>
      <c r="Q30" s="8">
        <f t="shared" si="1"/>
        <v>7.9999999999813554E-4</v>
      </c>
      <c r="R30" s="8">
        <v>2.088061322905746E-3</v>
      </c>
      <c r="U30" s="8">
        <v>-125.2942</v>
      </c>
    </row>
    <row r="31" spans="1:21" x14ac:dyDescent="0.25">
      <c r="A31" s="9" t="s">
        <v>187</v>
      </c>
      <c r="B31" s="8">
        <v>823285.76450000005</v>
      </c>
      <c r="C31" s="8">
        <v>1091539.4601</v>
      </c>
      <c r="D31" s="8">
        <v>-125.26</v>
      </c>
      <c r="E31" s="9" t="s">
        <v>46</v>
      </c>
      <c r="F31" s="8">
        <v>823285.76729999995</v>
      </c>
      <c r="G31" s="8">
        <v>1091539.4580000001</v>
      </c>
      <c r="H31" s="8">
        <f t="shared" si="0"/>
        <v>-125.2642</v>
      </c>
      <c r="I31" s="8">
        <v>20.198087432771711</v>
      </c>
      <c r="J31" s="8">
        <v>3.7641556711773552</v>
      </c>
      <c r="K31" s="8">
        <v>-2.6929808742873149</v>
      </c>
      <c r="L31" s="8">
        <v>20.19973749722347</v>
      </c>
      <c r="M31" s="8">
        <v>3.7610690409470129</v>
      </c>
      <c r="N31" s="8">
        <v>-2.6961973749318129</v>
      </c>
      <c r="O31" s="8">
        <v>1.65006445175564E-3</v>
      </c>
      <c r="P31" s="8">
        <v>-3.0866302303418358E-3</v>
      </c>
      <c r="Q31" s="8">
        <f t="shared" si="1"/>
        <v>-4.199999999997317E-3</v>
      </c>
      <c r="R31" s="8">
        <v>3.499999875202775E-3</v>
      </c>
      <c r="U31" s="8">
        <v>-125.2632</v>
      </c>
    </row>
    <row r="32" spans="1:21" x14ac:dyDescent="0.25">
      <c r="A32" s="9" t="s">
        <v>187</v>
      </c>
      <c r="B32" s="8">
        <v>823285.76450000005</v>
      </c>
      <c r="C32" s="8">
        <v>1091539.4601</v>
      </c>
      <c r="D32" s="8">
        <v>-125.26</v>
      </c>
      <c r="E32" s="9" t="s">
        <v>289</v>
      </c>
      <c r="F32" s="8">
        <v>823285.76729999995</v>
      </c>
      <c r="G32" s="8">
        <v>1091539.4580000001</v>
      </c>
      <c r="H32" s="8">
        <f t="shared" si="0"/>
        <v>-125.2642</v>
      </c>
      <c r="I32" s="8">
        <v>20.198087432771711</v>
      </c>
      <c r="J32" s="8">
        <v>3.7641556711773552</v>
      </c>
      <c r="K32" s="8">
        <v>-2.6929808742873149</v>
      </c>
      <c r="L32" s="8">
        <v>20.19973749722347</v>
      </c>
      <c r="M32" s="8">
        <v>3.7610690409470129</v>
      </c>
      <c r="N32" s="8">
        <v>-2.6961973749318129</v>
      </c>
      <c r="O32" s="8">
        <v>1.65006445175564E-3</v>
      </c>
      <c r="P32" s="8">
        <v>-3.0866302303418358E-3</v>
      </c>
      <c r="Q32" s="8">
        <f t="shared" si="1"/>
        <v>-4.199999999997317E-3</v>
      </c>
      <c r="R32" s="8">
        <v>3.499999875202775E-3</v>
      </c>
      <c r="U32" s="8">
        <v>-125.2632</v>
      </c>
    </row>
    <row r="33" spans="1:21" x14ac:dyDescent="0.25">
      <c r="A33" s="9" t="s">
        <v>187</v>
      </c>
      <c r="B33" s="8">
        <v>823285.76450000005</v>
      </c>
      <c r="C33" s="8">
        <v>1091539.4601</v>
      </c>
      <c r="D33" s="8">
        <v>-125.26</v>
      </c>
      <c r="E33" s="9" t="s">
        <v>47</v>
      </c>
      <c r="F33" s="8">
        <v>823285.76659999997</v>
      </c>
      <c r="G33" s="8">
        <v>1091539.4575</v>
      </c>
      <c r="H33" s="8">
        <f t="shared" si="0"/>
        <v>-125.26490000000001</v>
      </c>
      <c r="I33" s="8">
        <v>20.198087432771711</v>
      </c>
      <c r="J33" s="8">
        <v>3.7641556711773552</v>
      </c>
      <c r="K33" s="8">
        <v>-2.6929808742873149</v>
      </c>
      <c r="L33" s="8">
        <v>20.198891767587039</v>
      </c>
      <c r="M33" s="8">
        <v>3.7609117468444988</v>
      </c>
      <c r="N33" s="8">
        <v>-2.6968889176354618</v>
      </c>
      <c r="O33" s="8">
        <v>8.0433481532793394E-4</v>
      </c>
      <c r="P33" s="8">
        <v>-3.2439243328563632E-3</v>
      </c>
      <c r="Q33" s="8">
        <f t="shared" si="1"/>
        <v>-4.9000000000063437E-3</v>
      </c>
      <c r="R33" s="8">
        <v>3.342154951871153E-3</v>
      </c>
      <c r="U33" s="8">
        <v>-125.26390000000001</v>
      </c>
    </row>
    <row r="34" spans="1:21" x14ac:dyDescent="0.25">
      <c r="A34" s="9" t="s">
        <v>187</v>
      </c>
      <c r="B34" s="8">
        <v>823285.76450000005</v>
      </c>
      <c r="C34" s="8">
        <v>1091539.4601</v>
      </c>
      <c r="D34" s="8">
        <v>-125.26</v>
      </c>
      <c r="E34" s="9" t="s">
        <v>290</v>
      </c>
      <c r="F34" s="8">
        <v>823285.76659999997</v>
      </c>
      <c r="G34" s="8">
        <v>1091539.4575</v>
      </c>
      <c r="H34" s="8">
        <f t="shared" ref="H34:H65" si="2">U34-0.001</f>
        <v>-125.26490000000001</v>
      </c>
      <c r="I34" s="8">
        <v>20.198087432771711</v>
      </c>
      <c r="J34" s="8">
        <v>3.7641556711773552</v>
      </c>
      <c r="K34" s="8">
        <v>-2.6929808742873149</v>
      </c>
      <c r="L34" s="8">
        <v>20.198891767587039</v>
      </c>
      <c r="M34" s="8">
        <v>3.7609117468444988</v>
      </c>
      <c r="N34" s="8">
        <v>-2.6968889176354618</v>
      </c>
      <c r="O34" s="8">
        <v>8.0433481532793394E-4</v>
      </c>
      <c r="P34" s="8">
        <v>-3.2439243328563632E-3</v>
      </c>
      <c r="Q34" s="8">
        <f t="shared" ref="Q34:Q65" si="3">H34-D34</f>
        <v>-4.9000000000063437E-3</v>
      </c>
      <c r="R34" s="8">
        <v>3.342154951871153E-3</v>
      </c>
      <c r="U34" s="8">
        <v>-125.26390000000001</v>
      </c>
    </row>
    <row r="35" spans="1:21" x14ac:dyDescent="0.25">
      <c r="A35" s="9" t="s">
        <v>187</v>
      </c>
      <c r="B35" s="8">
        <v>823285.76450000005</v>
      </c>
      <c r="C35" s="8">
        <v>1091539.4601</v>
      </c>
      <c r="D35" s="8">
        <v>-125.26</v>
      </c>
      <c r="E35" s="9" t="s">
        <v>49</v>
      </c>
      <c r="F35" s="8">
        <v>823285.76630000002</v>
      </c>
      <c r="G35" s="8">
        <v>1091539.4569999999</v>
      </c>
      <c r="H35" s="8">
        <f t="shared" si="2"/>
        <v>-125.265</v>
      </c>
      <c r="I35" s="8">
        <v>20.198087432771711</v>
      </c>
      <c r="J35" s="8">
        <v>3.7641556711773552</v>
      </c>
      <c r="K35" s="8">
        <v>-2.6929808742873149</v>
      </c>
      <c r="L35" s="8">
        <v>20.198408555663519</v>
      </c>
      <c r="M35" s="8">
        <v>3.7605853937042419</v>
      </c>
      <c r="N35" s="8">
        <v>-2.6969840855162199</v>
      </c>
      <c r="O35" s="8">
        <v>3.2112289180474818E-4</v>
      </c>
      <c r="P35" s="8">
        <v>-3.5702774731132259E-3</v>
      </c>
      <c r="Q35" s="8">
        <f t="shared" si="3"/>
        <v>-4.9999999999954525E-3</v>
      </c>
      <c r="R35" s="8">
        <v>3.584689727256998E-3</v>
      </c>
      <c r="U35" s="8">
        <v>-125.264</v>
      </c>
    </row>
    <row r="36" spans="1:21" x14ac:dyDescent="0.25">
      <c r="A36" s="9" t="s">
        <v>187</v>
      </c>
      <c r="B36" s="8">
        <v>823285.76450000005</v>
      </c>
      <c r="C36" s="8">
        <v>1091539.4601</v>
      </c>
      <c r="D36" s="8">
        <v>-125.26</v>
      </c>
      <c r="E36" s="9" t="s">
        <v>291</v>
      </c>
      <c r="F36" s="8">
        <v>823285.76630000002</v>
      </c>
      <c r="G36" s="8">
        <v>1091539.4569999999</v>
      </c>
      <c r="H36" s="8">
        <f t="shared" si="2"/>
        <v>-125.265</v>
      </c>
      <c r="I36" s="8">
        <v>20.198087432771711</v>
      </c>
      <c r="J36" s="8">
        <v>3.7641556711773552</v>
      </c>
      <c r="K36" s="8">
        <v>-2.6929808742873149</v>
      </c>
      <c r="L36" s="8">
        <v>20.198408555663519</v>
      </c>
      <c r="M36" s="8">
        <v>3.7605853937042419</v>
      </c>
      <c r="N36" s="8">
        <v>-2.6969840855162199</v>
      </c>
      <c r="O36" s="8">
        <v>3.2112289180474818E-4</v>
      </c>
      <c r="P36" s="8">
        <v>-3.5702774731132259E-3</v>
      </c>
      <c r="Q36" s="8">
        <f t="shared" si="3"/>
        <v>-4.9999999999954525E-3</v>
      </c>
      <c r="R36" s="8">
        <v>3.584689727256998E-3</v>
      </c>
      <c r="U36" s="8">
        <v>-125.264</v>
      </c>
    </row>
    <row r="37" spans="1:21" x14ac:dyDescent="0.25">
      <c r="A37" s="9" t="s">
        <v>51</v>
      </c>
      <c r="B37" s="8">
        <v>823288.87280000001</v>
      </c>
      <c r="C37" s="8">
        <v>1091532.6170000001</v>
      </c>
      <c r="D37" s="8">
        <v>-125.3449</v>
      </c>
      <c r="E37" s="9" t="s">
        <v>292</v>
      </c>
      <c r="F37" s="8">
        <v>823288.87239999999</v>
      </c>
      <c r="G37" s="8">
        <v>1091532.6170000001</v>
      </c>
      <c r="H37" s="8">
        <f t="shared" si="2"/>
        <v>-125.34530000000001</v>
      </c>
      <c r="I37" s="8">
        <v>20.12290398267535</v>
      </c>
      <c r="J37" s="8">
        <v>3.7514210830400621</v>
      </c>
      <c r="K37" s="8">
        <v>-2.777129039786487</v>
      </c>
      <c r="L37" s="8">
        <v>20.122541464962438</v>
      </c>
      <c r="M37" s="8">
        <v>3.7512520242133331</v>
      </c>
      <c r="N37" s="8">
        <v>-2.7765254146093672</v>
      </c>
      <c r="O37" s="8">
        <v>-3.6251771290451979E-4</v>
      </c>
      <c r="P37" s="8">
        <v>-1.6905882672935141E-4</v>
      </c>
      <c r="Q37" s="8">
        <f t="shared" si="3"/>
        <v>-4.0000000001327862E-4</v>
      </c>
      <c r="R37" s="8">
        <v>4.0000001899898052E-4</v>
      </c>
      <c r="U37" s="8">
        <v>-125.3443</v>
      </c>
    </row>
    <row r="38" spans="1:21" x14ac:dyDescent="0.25">
      <c r="A38" s="9" t="s">
        <v>53</v>
      </c>
      <c r="B38" s="8">
        <v>823289.33409999998</v>
      </c>
      <c r="C38" s="8">
        <v>1091541.1074999999</v>
      </c>
      <c r="D38" s="8">
        <v>-125.2517</v>
      </c>
      <c r="E38" s="9" t="s">
        <v>293</v>
      </c>
      <c r="F38" s="8">
        <v>823289.33539999998</v>
      </c>
      <c r="G38" s="8">
        <v>1091541.1063999999</v>
      </c>
      <c r="H38" s="8">
        <f t="shared" si="2"/>
        <v>-125.25290000000001</v>
      </c>
      <c r="I38" s="8">
        <v>24.129464533923251</v>
      </c>
      <c r="J38" s="8">
        <v>3.748502948947662</v>
      </c>
      <c r="K38" s="8">
        <v>-2.7239946452909578</v>
      </c>
      <c r="L38" s="8">
        <v>24.130177804394648</v>
      </c>
      <c r="M38" s="8">
        <v>3.7469565837099572</v>
      </c>
      <c r="N38" s="8">
        <v>-2.724201777995674</v>
      </c>
      <c r="O38" s="8">
        <v>7.1327047140457012E-4</v>
      </c>
      <c r="P38" s="8">
        <v>-1.5463652377052379E-3</v>
      </c>
      <c r="Q38" s="8">
        <f t="shared" si="3"/>
        <v>-1.2000000000114142E-3</v>
      </c>
      <c r="R38" s="8">
        <v>1.702938635444168E-3</v>
      </c>
      <c r="U38" s="8">
        <v>-125.25190000000001</v>
      </c>
    </row>
    <row r="39" spans="1:21" x14ac:dyDescent="0.25">
      <c r="A39" s="9" t="s">
        <v>55</v>
      </c>
      <c r="B39" s="8">
        <v>823292.41299999994</v>
      </c>
      <c r="C39" s="8">
        <v>1091534.355</v>
      </c>
      <c r="D39" s="8">
        <v>-125.46599999999999</v>
      </c>
      <c r="E39" s="9" t="s">
        <v>294</v>
      </c>
      <c r="F39" s="8">
        <v>823292.41220000002</v>
      </c>
      <c r="G39" s="8">
        <v>1091534.3559999999</v>
      </c>
      <c r="H39" s="8">
        <f t="shared" si="2"/>
        <v>-125.46610000000001</v>
      </c>
      <c r="I39" s="8">
        <v>24.065927879833321</v>
      </c>
      <c r="J39" s="8">
        <v>3.6725377160255661</v>
      </c>
      <c r="K39" s="8">
        <v>-2.937659278750175</v>
      </c>
      <c r="L39" s="8">
        <v>24.0656254917978</v>
      </c>
      <c r="M39" s="8">
        <v>3.6712933041855189</v>
      </c>
      <c r="N39" s="8">
        <v>-2.936756254869834</v>
      </c>
      <c r="O39" s="8">
        <v>-3.0238803552151689E-4</v>
      </c>
      <c r="P39" s="8">
        <v>-1.2444118400471991E-3</v>
      </c>
      <c r="Q39" s="8">
        <f t="shared" si="3"/>
        <v>-1.0000000001753051E-4</v>
      </c>
      <c r="R39" s="8">
        <v>1.280624744683817E-3</v>
      </c>
      <c r="U39" s="8">
        <v>-125.46510000000001</v>
      </c>
    </row>
    <row r="40" spans="1:21" x14ac:dyDescent="0.25">
      <c r="A40" s="9" t="s">
        <v>57</v>
      </c>
      <c r="B40" s="8">
        <v>823267.34519999998</v>
      </c>
      <c r="C40" s="8">
        <v>1091523.9790000001</v>
      </c>
      <c r="D40" s="8">
        <v>-124.48569999999999</v>
      </c>
      <c r="E40" s="9" t="s">
        <v>295</v>
      </c>
      <c r="F40" s="8">
        <v>823267.3443</v>
      </c>
      <c r="G40" s="8">
        <v>1091523.9791999999</v>
      </c>
      <c r="H40" s="8">
        <f t="shared" si="2"/>
        <v>-124.486</v>
      </c>
      <c r="I40" s="8">
        <v>-3.0382633791627511</v>
      </c>
      <c r="J40" s="8">
        <v>2.48140840633598</v>
      </c>
      <c r="K40" s="8">
        <v>-1.6863173662144391</v>
      </c>
      <c r="L40" s="8">
        <v>-3.0389945145464412</v>
      </c>
      <c r="M40" s="8">
        <v>2.4808467650473949</v>
      </c>
      <c r="N40" s="8">
        <v>-1.6856100548606039</v>
      </c>
      <c r="O40" s="8">
        <v>-7.3113538369007358E-4</v>
      </c>
      <c r="P40" s="8">
        <v>-5.6164128858471329E-4</v>
      </c>
      <c r="Q40" s="8">
        <f t="shared" si="3"/>
        <v>-3.0000000000995897E-4</v>
      </c>
      <c r="R40" s="8">
        <v>9.2195440744418625E-4</v>
      </c>
      <c r="U40" s="8">
        <v>-124.485</v>
      </c>
    </row>
    <row r="41" spans="1:21" x14ac:dyDescent="0.25">
      <c r="A41" s="9" t="s">
        <v>57</v>
      </c>
      <c r="B41" s="8">
        <v>823267.34519999998</v>
      </c>
      <c r="C41" s="8">
        <v>1091523.9790000001</v>
      </c>
      <c r="D41" s="8">
        <v>-124.48569999999999</v>
      </c>
      <c r="E41" s="9" t="s">
        <v>296</v>
      </c>
      <c r="F41" s="8">
        <v>823267.34439999994</v>
      </c>
      <c r="G41" s="8">
        <v>1091523.9783999999</v>
      </c>
      <c r="H41" s="8">
        <f t="shared" si="2"/>
        <v>-124.48610000000001</v>
      </c>
      <c r="I41" s="8">
        <v>-3.0382633791627511</v>
      </c>
      <c r="J41" s="8">
        <v>2.48140840633598</v>
      </c>
      <c r="K41" s="8">
        <v>-1.6863173662144391</v>
      </c>
      <c r="L41" s="8">
        <v>-3.0392420030381588</v>
      </c>
      <c r="M41" s="8">
        <v>2.481614065198634</v>
      </c>
      <c r="N41" s="8">
        <v>-1.685707579975698</v>
      </c>
      <c r="O41" s="8">
        <v>-9.7862387540859075E-4</v>
      </c>
      <c r="P41" s="8">
        <v>2.056588626535572E-4</v>
      </c>
      <c r="Q41" s="8">
        <f t="shared" si="3"/>
        <v>-4.0000000001327862E-4</v>
      </c>
      <c r="R41" s="8">
        <v>1.0000001173466489E-3</v>
      </c>
      <c r="U41" s="8">
        <v>-124.4851</v>
      </c>
    </row>
    <row r="42" spans="1:21" x14ac:dyDescent="0.25">
      <c r="A42" s="9" t="s">
        <v>201</v>
      </c>
      <c r="B42" s="8">
        <v>823266.44799999997</v>
      </c>
      <c r="C42" s="8">
        <v>1091528.8359999999</v>
      </c>
      <c r="D42" s="8">
        <v>-124.685</v>
      </c>
      <c r="E42" s="9" t="s">
        <v>59</v>
      </c>
      <c r="F42" s="8">
        <v>823266.44689999998</v>
      </c>
      <c r="G42" s="8">
        <v>1091528.835</v>
      </c>
      <c r="H42" s="8">
        <f t="shared" si="2"/>
        <v>-124.68610000000001</v>
      </c>
      <c r="I42" s="8">
        <v>-1.7985925669769149</v>
      </c>
      <c r="J42" s="8">
        <v>2.2996618833721159</v>
      </c>
      <c r="K42" s="8">
        <v>-1.8980140743338301</v>
      </c>
      <c r="L42" s="8">
        <v>-1.8000121379194409</v>
      </c>
      <c r="M42" s="8">
        <v>2.299220501164847</v>
      </c>
      <c r="N42" s="8">
        <v>-1.898099878624407</v>
      </c>
      <c r="O42" s="8">
        <v>-1.4195709425255389E-3</v>
      </c>
      <c r="P42" s="8">
        <v>-4.4138220726885891E-4</v>
      </c>
      <c r="Q42" s="8">
        <f t="shared" si="3"/>
        <v>-1.1000000000080945E-3</v>
      </c>
      <c r="R42" s="8">
        <v>1.4866068239622881E-3</v>
      </c>
      <c r="U42" s="8">
        <v>-124.68510000000001</v>
      </c>
    </row>
    <row r="43" spans="1:21" x14ac:dyDescent="0.25">
      <c r="A43" s="9" t="s">
        <v>201</v>
      </c>
      <c r="B43" s="8">
        <v>823266.44799999997</v>
      </c>
      <c r="C43" s="8">
        <v>1091528.8359999999</v>
      </c>
      <c r="D43" s="8">
        <v>-124.685</v>
      </c>
      <c r="E43" s="9" t="s">
        <v>297</v>
      </c>
      <c r="F43" s="8">
        <v>823266.44689999998</v>
      </c>
      <c r="G43" s="8">
        <v>1091528.835</v>
      </c>
      <c r="H43" s="8">
        <f t="shared" si="2"/>
        <v>-124.68610000000001</v>
      </c>
      <c r="I43" s="8">
        <v>-1.7985925669769149</v>
      </c>
      <c r="J43" s="8">
        <v>2.2996618833721159</v>
      </c>
      <c r="K43" s="8">
        <v>-1.8980140743338301</v>
      </c>
      <c r="L43" s="8">
        <v>-1.8000121379194409</v>
      </c>
      <c r="M43" s="8">
        <v>2.299220501164847</v>
      </c>
      <c r="N43" s="8">
        <v>-1.898099878624407</v>
      </c>
      <c r="O43" s="8">
        <v>-1.4195709425255389E-3</v>
      </c>
      <c r="P43" s="8">
        <v>-4.4138220726885891E-4</v>
      </c>
      <c r="Q43" s="8">
        <f t="shared" si="3"/>
        <v>-1.1000000000080945E-3</v>
      </c>
      <c r="R43" s="8">
        <v>1.4866068239622881E-3</v>
      </c>
      <c r="U43" s="8">
        <v>-124.68510000000001</v>
      </c>
    </row>
    <row r="44" spans="1:21" x14ac:dyDescent="0.25">
      <c r="A44" s="9" t="s">
        <v>201</v>
      </c>
      <c r="B44" s="8">
        <v>823266.44799999997</v>
      </c>
      <c r="C44" s="8">
        <v>1091528.8359999999</v>
      </c>
      <c r="D44" s="8">
        <v>-124.685</v>
      </c>
      <c r="E44" s="9" t="s">
        <v>298</v>
      </c>
      <c r="F44" s="8">
        <v>823266.44689999998</v>
      </c>
      <c r="G44" s="8">
        <v>1091528.835</v>
      </c>
      <c r="H44" s="8">
        <f t="shared" si="2"/>
        <v>-124.68610000000001</v>
      </c>
      <c r="I44" s="8">
        <v>-1.7985925669769149</v>
      </c>
      <c r="J44" s="8">
        <v>2.2996618833721159</v>
      </c>
      <c r="K44" s="8">
        <v>-1.8980140743338301</v>
      </c>
      <c r="L44" s="8">
        <v>-1.8000121379194409</v>
      </c>
      <c r="M44" s="8">
        <v>2.299220501164847</v>
      </c>
      <c r="N44" s="8">
        <v>-1.898099878624407</v>
      </c>
      <c r="O44" s="8">
        <v>-1.4195709425255389E-3</v>
      </c>
      <c r="P44" s="8">
        <v>-4.4138220726885891E-4</v>
      </c>
      <c r="Q44" s="8">
        <f t="shared" si="3"/>
        <v>-1.1000000000080945E-3</v>
      </c>
      <c r="R44" s="8">
        <v>1.4866068239622881E-3</v>
      </c>
      <c r="U44" s="8">
        <v>-124.68510000000001</v>
      </c>
    </row>
    <row r="45" spans="1:21" x14ac:dyDescent="0.25">
      <c r="A45" s="9" t="s">
        <v>202</v>
      </c>
      <c r="B45" s="8">
        <v>823266.34100000001</v>
      </c>
      <c r="C45" s="8">
        <v>1091529.0379999999</v>
      </c>
      <c r="D45" s="8">
        <v>-123.095</v>
      </c>
      <c r="E45" s="9" t="s">
        <v>61</v>
      </c>
      <c r="F45" s="8">
        <v>823266.3395</v>
      </c>
      <c r="G45" s="8">
        <v>1091529.037</v>
      </c>
      <c r="H45" s="8">
        <f t="shared" si="2"/>
        <v>-123.096</v>
      </c>
      <c r="I45" s="8">
        <v>-1.810191293105708</v>
      </c>
      <c r="J45" s="8">
        <v>2.527956582338907</v>
      </c>
      <c r="K45" s="8">
        <v>-0.30789808707255872</v>
      </c>
      <c r="L45" s="8">
        <v>-1.811973381761139</v>
      </c>
      <c r="M45" s="8">
        <v>2.5276842592185829</v>
      </c>
      <c r="N45" s="8">
        <v>-0.30788026618600378</v>
      </c>
      <c r="O45" s="8">
        <v>-1.7820886554313911E-3</v>
      </c>
      <c r="P45" s="8">
        <v>-2.723231203232146E-4</v>
      </c>
      <c r="Q45" s="8">
        <f t="shared" si="3"/>
        <v>-1.0000000000047748E-3</v>
      </c>
      <c r="R45" s="8">
        <v>1.802775610351941E-3</v>
      </c>
      <c r="U45" s="8">
        <v>-123.095</v>
      </c>
    </row>
    <row r="46" spans="1:21" x14ac:dyDescent="0.25">
      <c r="A46" s="9" t="s">
        <v>202</v>
      </c>
      <c r="B46" s="8">
        <v>823266.34100000001</v>
      </c>
      <c r="C46" s="8">
        <v>1091529.0379999999</v>
      </c>
      <c r="D46" s="8">
        <v>-123.095</v>
      </c>
      <c r="E46" s="9" t="s">
        <v>299</v>
      </c>
      <c r="F46" s="8">
        <v>823266.3395</v>
      </c>
      <c r="G46" s="8">
        <v>1091529.037</v>
      </c>
      <c r="H46" s="8">
        <f t="shared" si="2"/>
        <v>-123.096</v>
      </c>
      <c r="I46" s="8">
        <v>-1.810191293105708</v>
      </c>
      <c r="J46" s="8">
        <v>2.527956582338907</v>
      </c>
      <c r="K46" s="8">
        <v>-0.30789808707255872</v>
      </c>
      <c r="L46" s="8">
        <v>-1.811973381761139</v>
      </c>
      <c r="M46" s="8">
        <v>2.5276842592185829</v>
      </c>
      <c r="N46" s="8">
        <v>-0.30788026618600378</v>
      </c>
      <c r="O46" s="8">
        <v>-1.7820886554313911E-3</v>
      </c>
      <c r="P46" s="8">
        <v>-2.723231203232146E-4</v>
      </c>
      <c r="Q46" s="8">
        <f t="shared" si="3"/>
        <v>-1.0000000000047748E-3</v>
      </c>
      <c r="R46" s="8">
        <v>1.802775610351941E-3</v>
      </c>
      <c r="U46" s="8">
        <v>-123.095</v>
      </c>
    </row>
    <row r="47" spans="1:21" x14ac:dyDescent="0.25">
      <c r="A47" s="9" t="s">
        <v>202</v>
      </c>
      <c r="B47" s="8">
        <v>823266.34100000001</v>
      </c>
      <c r="C47" s="8">
        <v>1091529.0379999999</v>
      </c>
      <c r="D47" s="8">
        <v>-123.095</v>
      </c>
      <c r="E47" s="9" t="s">
        <v>300</v>
      </c>
      <c r="F47" s="8">
        <v>823266.3395</v>
      </c>
      <c r="G47" s="8">
        <v>1091529.037</v>
      </c>
      <c r="H47" s="8">
        <f t="shared" si="2"/>
        <v>-123.096</v>
      </c>
      <c r="I47" s="8">
        <v>-1.810191293105708</v>
      </c>
      <c r="J47" s="8">
        <v>2.527956582338907</v>
      </c>
      <c r="K47" s="8">
        <v>-0.30789808707255872</v>
      </c>
      <c r="L47" s="8">
        <v>-1.811973381761139</v>
      </c>
      <c r="M47" s="8">
        <v>2.5276842592185829</v>
      </c>
      <c r="N47" s="8">
        <v>-0.30788026618600378</v>
      </c>
      <c r="O47" s="8">
        <v>-1.7820886554313911E-3</v>
      </c>
      <c r="P47" s="8">
        <v>-2.723231203232146E-4</v>
      </c>
      <c r="Q47" s="8">
        <f t="shared" si="3"/>
        <v>-1.0000000000047748E-3</v>
      </c>
      <c r="R47" s="8">
        <v>1.802775610351941E-3</v>
      </c>
      <c r="U47" s="8">
        <v>-123.095</v>
      </c>
    </row>
    <row r="48" spans="1:21" x14ac:dyDescent="0.25">
      <c r="A48" s="9" t="s">
        <v>203</v>
      </c>
      <c r="B48" s="8">
        <v>823267.451</v>
      </c>
      <c r="C48" s="8">
        <v>1091526.594</v>
      </c>
      <c r="D48" s="8">
        <v>-121.004</v>
      </c>
      <c r="E48" s="9" t="s">
        <v>62</v>
      </c>
      <c r="F48" s="8">
        <v>823267.44909999997</v>
      </c>
      <c r="G48" s="8">
        <v>1091526.5933999999</v>
      </c>
      <c r="H48" s="8">
        <f t="shared" si="2"/>
        <v>-121.00710000000001</v>
      </c>
      <c r="I48" s="8">
        <v>-1.837154722752284</v>
      </c>
      <c r="J48" s="8">
        <v>0.1561650566161088</v>
      </c>
      <c r="K48" s="8">
        <v>1.7833715472238509</v>
      </c>
      <c r="L48" s="8">
        <v>-1.83913027028543</v>
      </c>
      <c r="M48" s="8">
        <v>0.1559058034502401</v>
      </c>
      <c r="N48" s="8">
        <v>1.7812913026991739</v>
      </c>
      <c r="O48" s="8">
        <v>-1.9755475331466599E-3</v>
      </c>
      <c r="P48" s="8">
        <v>-2.5925316586872249E-4</v>
      </c>
      <c r="Q48" s="8">
        <f t="shared" si="3"/>
        <v>-3.1000000000034333E-3</v>
      </c>
      <c r="R48" s="8">
        <v>1.9924859587056218E-3</v>
      </c>
      <c r="U48" s="8">
        <v>-121.0061</v>
      </c>
    </row>
    <row r="49" spans="1:21" x14ac:dyDescent="0.25">
      <c r="A49" s="9" t="s">
        <v>203</v>
      </c>
      <c r="B49" s="8">
        <v>823267.451</v>
      </c>
      <c r="C49" s="8">
        <v>1091526.594</v>
      </c>
      <c r="D49" s="8">
        <v>-121.004</v>
      </c>
      <c r="E49" s="9" t="s">
        <v>301</v>
      </c>
      <c r="F49" s="8">
        <v>823267.44909999997</v>
      </c>
      <c r="G49" s="8">
        <v>1091526.5933999999</v>
      </c>
      <c r="H49" s="8">
        <f t="shared" si="2"/>
        <v>-121.00710000000001</v>
      </c>
      <c r="I49" s="8">
        <v>-1.837154722752284</v>
      </c>
      <c r="J49" s="8">
        <v>0.1561650566161088</v>
      </c>
      <c r="K49" s="8">
        <v>1.7833715472238509</v>
      </c>
      <c r="L49" s="8">
        <v>-1.83913027028543</v>
      </c>
      <c r="M49" s="8">
        <v>0.1559058034502401</v>
      </c>
      <c r="N49" s="8">
        <v>1.7812913026991739</v>
      </c>
      <c r="O49" s="8">
        <v>-1.9755475331466599E-3</v>
      </c>
      <c r="P49" s="8">
        <v>-2.5925316586872249E-4</v>
      </c>
      <c r="Q49" s="8">
        <f t="shared" si="3"/>
        <v>-3.1000000000034333E-3</v>
      </c>
      <c r="R49" s="8">
        <v>1.9924859587056218E-3</v>
      </c>
      <c r="U49" s="8">
        <v>-121.0061</v>
      </c>
    </row>
    <row r="50" spans="1:21" x14ac:dyDescent="0.25">
      <c r="A50" s="9" t="s">
        <v>203</v>
      </c>
      <c r="B50" s="8">
        <v>823267.451</v>
      </c>
      <c r="C50" s="8">
        <v>1091526.594</v>
      </c>
      <c r="D50" s="8">
        <v>-121.004</v>
      </c>
      <c r="E50" s="9" t="s">
        <v>302</v>
      </c>
      <c r="F50" s="8">
        <v>823267.44909999997</v>
      </c>
      <c r="G50" s="8">
        <v>1091526.5933999999</v>
      </c>
      <c r="H50" s="8">
        <f t="shared" si="2"/>
        <v>-121.00710000000001</v>
      </c>
      <c r="I50" s="8">
        <v>-1.837154722752284</v>
      </c>
      <c r="J50" s="8">
        <v>0.1561650566161088</v>
      </c>
      <c r="K50" s="8">
        <v>1.7833715472238509</v>
      </c>
      <c r="L50" s="8">
        <v>-1.83913027028543</v>
      </c>
      <c r="M50" s="8">
        <v>0.1559058034502401</v>
      </c>
      <c r="N50" s="8">
        <v>1.7812913026991739</v>
      </c>
      <c r="O50" s="8">
        <v>-1.9755475331466599E-3</v>
      </c>
      <c r="P50" s="8">
        <v>-2.5925316586872249E-4</v>
      </c>
      <c r="Q50" s="8">
        <f t="shared" si="3"/>
        <v>-3.1000000000034333E-3</v>
      </c>
      <c r="R50" s="8">
        <v>1.9924859587056218E-3</v>
      </c>
      <c r="U50" s="8">
        <v>-121.0061</v>
      </c>
    </row>
    <row r="51" spans="1:21" x14ac:dyDescent="0.25">
      <c r="A51" s="9" t="s">
        <v>204</v>
      </c>
      <c r="B51" s="8">
        <v>823268.60400000005</v>
      </c>
      <c r="C51" s="8">
        <v>1091524.523</v>
      </c>
      <c r="D51" s="8">
        <v>-123.036</v>
      </c>
      <c r="E51" s="9" t="s">
        <v>64</v>
      </c>
      <c r="F51" s="8">
        <v>823268.60329999996</v>
      </c>
      <c r="G51" s="8">
        <v>1091524.5222</v>
      </c>
      <c r="H51" s="8">
        <f t="shared" si="2"/>
        <v>-123.03740000000001</v>
      </c>
      <c r="I51" s="8">
        <v>-1.667500052004953</v>
      </c>
      <c r="J51" s="8">
        <v>2.5204127791405879</v>
      </c>
      <c r="K51" s="8">
        <v>-0.2503249994832828</v>
      </c>
      <c r="L51" s="8">
        <v>-1.668472575922483</v>
      </c>
      <c r="M51" s="8">
        <v>2.5208419612655439</v>
      </c>
      <c r="N51" s="8">
        <v>-0.25071527424410078</v>
      </c>
      <c r="O51" s="8">
        <v>-9.7252391753044343E-4</v>
      </c>
      <c r="P51" s="8">
        <v>4.2918212495646202E-4</v>
      </c>
      <c r="Q51" s="8">
        <f t="shared" si="3"/>
        <v>-1.4000000000038426E-3</v>
      </c>
      <c r="R51" s="8">
        <v>1.063014670093962E-3</v>
      </c>
      <c r="U51" s="8">
        <v>-123.0364</v>
      </c>
    </row>
    <row r="52" spans="1:21" x14ac:dyDescent="0.25">
      <c r="A52" s="9" t="s">
        <v>204</v>
      </c>
      <c r="B52" s="8">
        <v>823268.60400000005</v>
      </c>
      <c r="C52" s="8">
        <v>1091524.523</v>
      </c>
      <c r="D52" s="8">
        <v>-123.036</v>
      </c>
      <c r="E52" s="9" t="s">
        <v>303</v>
      </c>
      <c r="F52" s="8">
        <v>823268.60329999996</v>
      </c>
      <c r="G52" s="8">
        <v>1091524.5222</v>
      </c>
      <c r="H52" s="8">
        <f t="shared" si="2"/>
        <v>-123.03740000000001</v>
      </c>
      <c r="I52" s="8">
        <v>-1.667500052004953</v>
      </c>
      <c r="J52" s="8">
        <v>2.5204127791405879</v>
      </c>
      <c r="K52" s="8">
        <v>-0.2503249994832828</v>
      </c>
      <c r="L52" s="8">
        <v>-1.668472575922483</v>
      </c>
      <c r="M52" s="8">
        <v>2.5208419612655439</v>
      </c>
      <c r="N52" s="8">
        <v>-0.25071527424410078</v>
      </c>
      <c r="O52" s="8">
        <v>-9.7252391753044343E-4</v>
      </c>
      <c r="P52" s="8">
        <v>4.2918212495646202E-4</v>
      </c>
      <c r="Q52" s="8">
        <f t="shared" si="3"/>
        <v>-1.4000000000038426E-3</v>
      </c>
      <c r="R52" s="8">
        <v>1.063014670093962E-3</v>
      </c>
      <c r="U52" s="8">
        <v>-123.0364</v>
      </c>
    </row>
    <row r="53" spans="1:21" x14ac:dyDescent="0.25">
      <c r="A53" s="9" t="s">
        <v>204</v>
      </c>
      <c r="B53" s="8">
        <v>823268.60400000005</v>
      </c>
      <c r="C53" s="8">
        <v>1091524.523</v>
      </c>
      <c r="D53" s="8">
        <v>-123.036</v>
      </c>
      <c r="E53" s="9" t="s">
        <v>304</v>
      </c>
      <c r="F53" s="8">
        <v>823268.60329999996</v>
      </c>
      <c r="G53" s="8">
        <v>1091524.5222</v>
      </c>
      <c r="H53" s="8">
        <f t="shared" si="2"/>
        <v>-123.03740000000001</v>
      </c>
      <c r="I53" s="8">
        <v>-1.667500052004953</v>
      </c>
      <c r="J53" s="8">
        <v>2.5204127791405879</v>
      </c>
      <c r="K53" s="8">
        <v>-0.2503249994832828</v>
      </c>
      <c r="L53" s="8">
        <v>-1.668472575922483</v>
      </c>
      <c r="M53" s="8">
        <v>2.5208419612655439</v>
      </c>
      <c r="N53" s="8">
        <v>-0.25071527424410078</v>
      </c>
      <c r="O53" s="8">
        <v>-9.7252391753044343E-4</v>
      </c>
      <c r="P53" s="8">
        <v>4.2918212495646202E-4</v>
      </c>
      <c r="Q53" s="8">
        <f t="shared" si="3"/>
        <v>-1.4000000000038426E-3</v>
      </c>
      <c r="R53" s="8">
        <v>1.063014670093962E-3</v>
      </c>
      <c r="U53" s="8">
        <v>-123.0364</v>
      </c>
    </row>
    <row r="54" spans="1:21" x14ac:dyDescent="0.25">
      <c r="A54" s="9" t="s">
        <v>205</v>
      </c>
      <c r="B54" s="8">
        <v>823268.39300000004</v>
      </c>
      <c r="C54" s="8">
        <v>1091524.6170000001</v>
      </c>
      <c r="D54" s="8">
        <v>-124.761</v>
      </c>
      <c r="E54" s="9" t="s">
        <v>66</v>
      </c>
      <c r="F54" s="8">
        <v>823268.39080000005</v>
      </c>
      <c r="G54" s="8">
        <v>1091524.6169</v>
      </c>
      <c r="H54" s="8">
        <f t="shared" si="2"/>
        <v>-124.76140000000001</v>
      </c>
      <c r="I54" s="8">
        <v>-1.818999288964001</v>
      </c>
      <c r="J54" s="8">
        <v>2.3460425372173299</v>
      </c>
      <c r="K54" s="8">
        <v>-1.973810007113983</v>
      </c>
      <c r="L54" s="8">
        <v>-1.8210354010374781</v>
      </c>
      <c r="M54" s="8">
        <v>2.345203342695712</v>
      </c>
      <c r="N54" s="8">
        <v>-1.973189645993273</v>
      </c>
      <c r="O54" s="8">
        <v>-2.0361120734768701E-3</v>
      </c>
      <c r="P54" s="8">
        <v>-8.391945216179586E-4</v>
      </c>
      <c r="Q54" s="8">
        <f t="shared" si="3"/>
        <v>-4.0000000001327862E-4</v>
      </c>
      <c r="R54" s="8">
        <v>2.202271545504641E-3</v>
      </c>
      <c r="U54" s="8">
        <v>-124.7604</v>
      </c>
    </row>
    <row r="55" spans="1:21" x14ac:dyDescent="0.25">
      <c r="A55" s="9" t="s">
        <v>205</v>
      </c>
      <c r="B55" s="8">
        <v>823268.39300000004</v>
      </c>
      <c r="C55" s="8">
        <v>1091524.6170000001</v>
      </c>
      <c r="D55" s="8">
        <v>-124.761</v>
      </c>
      <c r="E55" s="9" t="s">
        <v>305</v>
      </c>
      <c r="F55" s="8">
        <v>823268.39080000005</v>
      </c>
      <c r="G55" s="8">
        <v>1091524.6169</v>
      </c>
      <c r="H55" s="8">
        <f t="shared" si="2"/>
        <v>-124.76140000000001</v>
      </c>
      <c r="I55" s="8">
        <v>-1.818999288964001</v>
      </c>
      <c r="J55" s="8">
        <v>2.3460425372173299</v>
      </c>
      <c r="K55" s="8">
        <v>-1.973810007113983</v>
      </c>
      <c r="L55" s="8">
        <v>-1.8210354010374781</v>
      </c>
      <c r="M55" s="8">
        <v>2.345203342695712</v>
      </c>
      <c r="N55" s="8">
        <v>-1.973189645993273</v>
      </c>
      <c r="O55" s="8">
        <v>-2.0361120734768701E-3</v>
      </c>
      <c r="P55" s="8">
        <v>-8.391945216179586E-4</v>
      </c>
      <c r="Q55" s="8">
        <f t="shared" si="3"/>
        <v>-4.0000000001327862E-4</v>
      </c>
      <c r="R55" s="8">
        <v>2.202271545504641E-3</v>
      </c>
      <c r="U55" s="8">
        <v>-124.7604</v>
      </c>
    </row>
    <row r="56" spans="1:21" x14ac:dyDescent="0.25">
      <c r="A56" s="9" t="s">
        <v>205</v>
      </c>
      <c r="B56" s="8">
        <v>823268.39300000004</v>
      </c>
      <c r="C56" s="8">
        <v>1091524.6170000001</v>
      </c>
      <c r="D56" s="8">
        <v>-124.761</v>
      </c>
      <c r="E56" s="9" t="s">
        <v>306</v>
      </c>
      <c r="F56" s="8">
        <v>823268.39080000005</v>
      </c>
      <c r="G56" s="8">
        <v>1091524.6169</v>
      </c>
      <c r="H56" s="8">
        <f t="shared" si="2"/>
        <v>-124.76140000000001</v>
      </c>
      <c r="I56" s="8">
        <v>-1.818999288964001</v>
      </c>
      <c r="J56" s="8">
        <v>2.3460425372173299</v>
      </c>
      <c r="K56" s="8">
        <v>-1.973810007113983</v>
      </c>
      <c r="L56" s="8">
        <v>-1.8210354010374781</v>
      </c>
      <c r="M56" s="8">
        <v>2.345203342695712</v>
      </c>
      <c r="N56" s="8">
        <v>-1.973189645993273</v>
      </c>
      <c r="O56" s="8">
        <v>-2.0361120734768701E-3</v>
      </c>
      <c r="P56" s="8">
        <v>-8.391945216179586E-4</v>
      </c>
      <c r="Q56" s="8">
        <f t="shared" si="3"/>
        <v>-4.0000000001327862E-4</v>
      </c>
      <c r="R56" s="8">
        <v>2.202271545504641E-3</v>
      </c>
      <c r="U56" s="8">
        <v>-124.7604</v>
      </c>
    </row>
    <row r="57" spans="1:21" x14ac:dyDescent="0.25">
      <c r="A57" s="9" t="s">
        <v>206</v>
      </c>
      <c r="B57" s="8">
        <v>823270.08200000005</v>
      </c>
      <c r="C57" s="8">
        <v>1091531.798</v>
      </c>
      <c r="D57" s="8">
        <v>-124.855</v>
      </c>
      <c r="E57" s="9" t="s">
        <v>68</v>
      </c>
      <c r="F57" s="8">
        <v>823270.08230000001</v>
      </c>
      <c r="G57" s="8">
        <v>1091531.7975000001</v>
      </c>
      <c r="H57" s="8">
        <f t="shared" si="2"/>
        <v>-124.85590000000001</v>
      </c>
      <c r="I57" s="8">
        <v>2.746762042254149</v>
      </c>
      <c r="J57" s="8">
        <v>3.4482050811288718</v>
      </c>
      <c r="K57" s="8">
        <v>-2.1134676204170399</v>
      </c>
      <c r="L57" s="8">
        <v>2.7468226068928838</v>
      </c>
      <c r="M57" s="8">
        <v>3.4476251400333391</v>
      </c>
      <c r="N57" s="8">
        <v>-2.1133682260634288</v>
      </c>
      <c r="O57" s="8">
        <v>6.0564638735272069E-5</v>
      </c>
      <c r="P57" s="8">
        <v>-5.7994109553360929E-4</v>
      </c>
      <c r="Q57" s="8">
        <f t="shared" si="3"/>
        <v>-9.0000000000145519E-4</v>
      </c>
      <c r="R57" s="8">
        <v>5.8309503749449996E-4</v>
      </c>
      <c r="U57" s="8">
        <v>-124.8549</v>
      </c>
    </row>
    <row r="58" spans="1:21" x14ac:dyDescent="0.25">
      <c r="A58" s="9" t="s">
        <v>206</v>
      </c>
      <c r="B58" s="8">
        <v>823270.08200000005</v>
      </c>
      <c r="C58" s="8">
        <v>1091531.798</v>
      </c>
      <c r="D58" s="8">
        <v>-124.855</v>
      </c>
      <c r="E58" s="9" t="s">
        <v>307</v>
      </c>
      <c r="F58" s="8">
        <v>823270.08230000001</v>
      </c>
      <c r="G58" s="8">
        <v>1091531.7975000001</v>
      </c>
      <c r="H58" s="8">
        <f t="shared" si="2"/>
        <v>-124.85590000000001</v>
      </c>
      <c r="I58" s="8">
        <v>2.746762042254149</v>
      </c>
      <c r="J58" s="8">
        <v>3.4482050811288718</v>
      </c>
      <c r="K58" s="8">
        <v>-2.1134676204170399</v>
      </c>
      <c r="L58" s="8">
        <v>2.7468226068928838</v>
      </c>
      <c r="M58" s="8">
        <v>3.4476251400333391</v>
      </c>
      <c r="N58" s="8">
        <v>-2.1133682260634288</v>
      </c>
      <c r="O58" s="8">
        <v>6.0564638735272069E-5</v>
      </c>
      <c r="P58" s="8">
        <v>-5.7994109553360929E-4</v>
      </c>
      <c r="Q58" s="8">
        <f t="shared" si="3"/>
        <v>-9.0000000000145519E-4</v>
      </c>
      <c r="R58" s="8">
        <v>5.8309503749449996E-4</v>
      </c>
      <c r="U58" s="8">
        <v>-124.8549</v>
      </c>
    </row>
    <row r="59" spans="1:21" x14ac:dyDescent="0.25">
      <c r="A59" s="9" t="s">
        <v>206</v>
      </c>
      <c r="B59" s="8">
        <v>823270.08200000005</v>
      </c>
      <c r="C59" s="8">
        <v>1091531.798</v>
      </c>
      <c r="D59" s="8">
        <v>-124.855</v>
      </c>
      <c r="E59" s="9" t="s">
        <v>308</v>
      </c>
      <c r="F59" s="8">
        <v>823270.08230000001</v>
      </c>
      <c r="G59" s="8">
        <v>1091531.7975000001</v>
      </c>
      <c r="H59" s="8">
        <f t="shared" si="2"/>
        <v>-124.85590000000001</v>
      </c>
      <c r="I59" s="8">
        <v>2.746762042254149</v>
      </c>
      <c r="J59" s="8">
        <v>3.4482050811288718</v>
      </c>
      <c r="K59" s="8">
        <v>-2.1134676204170399</v>
      </c>
      <c r="L59" s="8">
        <v>2.7468226068928838</v>
      </c>
      <c r="M59" s="8">
        <v>3.4476251400333391</v>
      </c>
      <c r="N59" s="8">
        <v>-2.1133682260634288</v>
      </c>
      <c r="O59" s="8">
        <v>6.0564638735272069E-5</v>
      </c>
      <c r="P59" s="8">
        <v>-5.7994109553360929E-4</v>
      </c>
      <c r="Q59" s="8">
        <f t="shared" si="3"/>
        <v>-9.0000000000145519E-4</v>
      </c>
      <c r="R59" s="8">
        <v>5.8309503749449996E-4</v>
      </c>
      <c r="U59" s="8">
        <v>-124.8549</v>
      </c>
    </row>
    <row r="60" spans="1:21" x14ac:dyDescent="0.25">
      <c r="A60" s="9" t="s">
        <v>206</v>
      </c>
      <c r="B60" s="8">
        <v>823270.08200000005</v>
      </c>
      <c r="C60" s="8">
        <v>1091531.798</v>
      </c>
      <c r="D60" s="8">
        <v>-124.855</v>
      </c>
      <c r="E60" s="9" t="s">
        <v>70</v>
      </c>
      <c r="F60" s="8">
        <v>823270.0821</v>
      </c>
      <c r="G60" s="8">
        <v>1091531.7962</v>
      </c>
      <c r="H60" s="8">
        <f t="shared" si="2"/>
        <v>-124.8561</v>
      </c>
      <c r="I60" s="8">
        <v>2.746762042254149</v>
      </c>
      <c r="J60" s="8">
        <v>3.4482050811288718</v>
      </c>
      <c r="K60" s="8">
        <v>-2.1134676204170399</v>
      </c>
      <c r="L60" s="8">
        <v>2.746091906477643</v>
      </c>
      <c r="M60" s="8">
        <v>3.4465314867910459</v>
      </c>
      <c r="N60" s="8">
        <v>-2.113560919059267</v>
      </c>
      <c r="O60" s="8">
        <v>-6.7013577650554268E-4</v>
      </c>
      <c r="P60" s="8">
        <v>-1.6735943378263229E-3</v>
      </c>
      <c r="Q60" s="8">
        <f t="shared" si="3"/>
        <v>-1.0999999999938836E-3</v>
      </c>
      <c r="R60" s="8">
        <v>1.80277560389438E-3</v>
      </c>
      <c r="U60" s="8">
        <v>-124.85509999999999</v>
      </c>
    </row>
    <row r="61" spans="1:21" x14ac:dyDescent="0.25">
      <c r="A61" s="9" t="s">
        <v>206</v>
      </c>
      <c r="B61" s="8">
        <v>823270.08200000005</v>
      </c>
      <c r="C61" s="8">
        <v>1091531.798</v>
      </c>
      <c r="D61" s="8">
        <v>-124.855</v>
      </c>
      <c r="E61" s="9" t="s">
        <v>309</v>
      </c>
      <c r="F61" s="8">
        <v>823270.0821</v>
      </c>
      <c r="G61" s="8">
        <v>1091531.7962</v>
      </c>
      <c r="H61" s="8">
        <f t="shared" si="2"/>
        <v>-124.8561</v>
      </c>
      <c r="I61" s="8">
        <v>2.746762042254149</v>
      </c>
      <c r="J61" s="8">
        <v>3.4482050811288718</v>
      </c>
      <c r="K61" s="8">
        <v>-2.1134676204170399</v>
      </c>
      <c r="L61" s="8">
        <v>2.746091906477643</v>
      </c>
      <c r="M61" s="8">
        <v>3.4465314867910459</v>
      </c>
      <c r="N61" s="8">
        <v>-2.113560919059267</v>
      </c>
      <c r="O61" s="8">
        <v>-6.7013577650554268E-4</v>
      </c>
      <c r="P61" s="8">
        <v>-1.6735943378263229E-3</v>
      </c>
      <c r="Q61" s="8">
        <f t="shared" si="3"/>
        <v>-1.0999999999938836E-3</v>
      </c>
      <c r="R61" s="8">
        <v>1.80277560389438E-3</v>
      </c>
      <c r="U61" s="8">
        <v>-124.85509999999999</v>
      </c>
    </row>
    <row r="62" spans="1:21" x14ac:dyDescent="0.25">
      <c r="A62" s="9" t="s">
        <v>206</v>
      </c>
      <c r="B62" s="8">
        <v>823270.08200000005</v>
      </c>
      <c r="C62" s="8">
        <v>1091531.798</v>
      </c>
      <c r="D62" s="8">
        <v>-124.855</v>
      </c>
      <c r="E62" s="9" t="s">
        <v>310</v>
      </c>
      <c r="F62" s="8">
        <v>823270.0821</v>
      </c>
      <c r="G62" s="8">
        <v>1091531.7962</v>
      </c>
      <c r="H62" s="8">
        <f t="shared" si="2"/>
        <v>-124.8561</v>
      </c>
      <c r="I62" s="8">
        <v>2.746762042254149</v>
      </c>
      <c r="J62" s="8">
        <v>3.4482050811288718</v>
      </c>
      <c r="K62" s="8">
        <v>-2.1134676204170399</v>
      </c>
      <c r="L62" s="8">
        <v>2.746091906477643</v>
      </c>
      <c r="M62" s="8">
        <v>3.4465314867910459</v>
      </c>
      <c r="N62" s="8">
        <v>-2.113560919059267</v>
      </c>
      <c r="O62" s="8">
        <v>-6.7013577650554268E-4</v>
      </c>
      <c r="P62" s="8">
        <v>-1.6735943378263229E-3</v>
      </c>
      <c r="Q62" s="8">
        <f t="shared" si="3"/>
        <v>-1.0999999999938836E-3</v>
      </c>
      <c r="R62" s="8">
        <v>1.80277560389438E-3</v>
      </c>
      <c r="U62" s="8">
        <v>-124.85509999999999</v>
      </c>
    </row>
    <row r="63" spans="1:21" x14ac:dyDescent="0.25">
      <c r="A63" s="9" t="s">
        <v>207</v>
      </c>
      <c r="B63" s="8">
        <v>823270.17200000002</v>
      </c>
      <c r="C63" s="8">
        <v>1091532.301</v>
      </c>
      <c r="D63" s="8">
        <v>-122.593</v>
      </c>
      <c r="E63" s="9" t="s">
        <v>72</v>
      </c>
      <c r="F63" s="8">
        <v>823270.17260000005</v>
      </c>
      <c r="G63" s="8">
        <v>1091532.3012000001</v>
      </c>
      <c r="H63" s="8">
        <f t="shared" si="2"/>
        <v>-122.5942</v>
      </c>
      <c r="I63" s="8">
        <v>3.040920122664494</v>
      </c>
      <c r="J63" s="8">
        <v>3.8660328253476188</v>
      </c>
      <c r="K63" s="8">
        <v>0.14559079877943759</v>
      </c>
      <c r="L63" s="8">
        <v>3.041548428749854</v>
      </c>
      <c r="M63" s="8">
        <v>3.865960495830155</v>
      </c>
      <c r="N63" s="8">
        <v>0.1453845157185896</v>
      </c>
      <c r="O63" s="8">
        <v>6.2830608536001975E-4</v>
      </c>
      <c r="P63" s="8">
        <v>-7.2329517464275739E-5</v>
      </c>
      <c r="Q63" s="8">
        <f t="shared" si="3"/>
        <v>-1.1999999999972033E-3</v>
      </c>
      <c r="R63" s="8">
        <v>6.3245559888746845E-4</v>
      </c>
      <c r="U63" s="8">
        <v>-122.5932</v>
      </c>
    </row>
    <row r="64" spans="1:21" x14ac:dyDescent="0.25">
      <c r="A64" s="9" t="s">
        <v>207</v>
      </c>
      <c r="B64" s="8">
        <v>823270.17200000002</v>
      </c>
      <c r="C64" s="8">
        <v>1091532.301</v>
      </c>
      <c r="D64" s="8">
        <v>-122.593</v>
      </c>
      <c r="E64" s="9" t="s">
        <v>311</v>
      </c>
      <c r="F64" s="8">
        <v>823270.17260000005</v>
      </c>
      <c r="G64" s="8">
        <v>1091532.3012000001</v>
      </c>
      <c r="H64" s="8">
        <f t="shared" si="2"/>
        <v>-122.5942</v>
      </c>
      <c r="I64" s="8">
        <v>3.040920122664494</v>
      </c>
      <c r="J64" s="8">
        <v>3.8660328253476188</v>
      </c>
      <c r="K64" s="8">
        <v>0.14559079877943759</v>
      </c>
      <c r="L64" s="8">
        <v>3.041548428749854</v>
      </c>
      <c r="M64" s="8">
        <v>3.865960495830155</v>
      </c>
      <c r="N64" s="8">
        <v>0.1453845157185896</v>
      </c>
      <c r="O64" s="8">
        <v>6.2830608536001975E-4</v>
      </c>
      <c r="P64" s="8">
        <v>-7.2329517464275739E-5</v>
      </c>
      <c r="Q64" s="8">
        <f t="shared" si="3"/>
        <v>-1.1999999999972033E-3</v>
      </c>
      <c r="R64" s="8">
        <v>6.3245559888746845E-4</v>
      </c>
      <c r="U64" s="8">
        <v>-122.5932</v>
      </c>
    </row>
    <row r="65" spans="1:21" x14ac:dyDescent="0.25">
      <c r="A65" s="9" t="s">
        <v>207</v>
      </c>
      <c r="B65" s="8">
        <v>823270.17200000002</v>
      </c>
      <c r="C65" s="8">
        <v>1091532.301</v>
      </c>
      <c r="D65" s="8">
        <v>-122.593</v>
      </c>
      <c r="E65" s="9" t="s">
        <v>312</v>
      </c>
      <c r="F65" s="8">
        <v>823270.17260000005</v>
      </c>
      <c r="G65" s="8">
        <v>1091532.3012000001</v>
      </c>
      <c r="H65" s="8">
        <f t="shared" si="2"/>
        <v>-122.5942</v>
      </c>
      <c r="I65" s="8">
        <v>3.040920122664494</v>
      </c>
      <c r="J65" s="8">
        <v>3.8660328253476188</v>
      </c>
      <c r="K65" s="8">
        <v>0.14559079877943759</v>
      </c>
      <c r="L65" s="8">
        <v>3.041548428749854</v>
      </c>
      <c r="M65" s="8">
        <v>3.865960495830155</v>
      </c>
      <c r="N65" s="8">
        <v>0.1453845157185896</v>
      </c>
      <c r="O65" s="8">
        <v>6.2830608536001975E-4</v>
      </c>
      <c r="P65" s="8">
        <v>-7.2329517464275739E-5</v>
      </c>
      <c r="Q65" s="8">
        <f t="shared" si="3"/>
        <v>-1.1999999999972033E-3</v>
      </c>
      <c r="R65" s="8">
        <v>6.3245559888746845E-4</v>
      </c>
      <c r="U65" s="8">
        <v>-122.5932</v>
      </c>
    </row>
    <row r="66" spans="1:21" x14ac:dyDescent="0.25">
      <c r="A66" s="9" t="s">
        <v>207</v>
      </c>
      <c r="B66" s="8">
        <v>823270.17200000002</v>
      </c>
      <c r="C66" s="8">
        <v>1091532.301</v>
      </c>
      <c r="D66" s="8">
        <v>-122.593</v>
      </c>
      <c r="E66" s="9" t="s">
        <v>74</v>
      </c>
      <c r="F66" s="8">
        <v>823270.17200000002</v>
      </c>
      <c r="G66" s="8">
        <v>1091532.2996</v>
      </c>
      <c r="H66" s="8">
        <f t="shared" ref="H66:H97" si="4">U66-0.001</f>
        <v>-122.59450000000001</v>
      </c>
      <c r="I66" s="8">
        <v>3.040920122664494</v>
      </c>
      <c r="J66" s="8">
        <v>3.8660328253476188</v>
      </c>
      <c r="K66" s="8">
        <v>0.14559079877943759</v>
      </c>
      <c r="L66" s="8">
        <v>3.040328416446112</v>
      </c>
      <c r="M66" s="8">
        <v>3.8647640133429468</v>
      </c>
      <c r="N66" s="8">
        <v>0.14509671584161771</v>
      </c>
      <c r="O66" s="8">
        <v>-5.9170621838244841E-4</v>
      </c>
      <c r="P66" s="8">
        <v>-1.268812004671549E-3</v>
      </c>
      <c r="Q66" s="8">
        <f t="shared" ref="Q66:Q97" si="5">H66-D66</f>
        <v>-1.5000000000071623E-3</v>
      </c>
      <c r="R66" s="8">
        <v>1.39999995008111E-3</v>
      </c>
      <c r="U66" s="8">
        <v>-122.59350000000001</v>
      </c>
    </row>
    <row r="67" spans="1:21" x14ac:dyDescent="0.25">
      <c r="A67" s="9" t="s">
        <v>207</v>
      </c>
      <c r="B67" s="8">
        <v>823270.17200000002</v>
      </c>
      <c r="C67" s="8">
        <v>1091532.301</v>
      </c>
      <c r="D67" s="8">
        <v>-122.593</v>
      </c>
      <c r="E67" s="9" t="s">
        <v>313</v>
      </c>
      <c r="F67" s="8">
        <v>823270.17200000002</v>
      </c>
      <c r="G67" s="8">
        <v>1091532.2996</v>
      </c>
      <c r="H67" s="8">
        <f t="shared" si="4"/>
        <v>-122.59450000000001</v>
      </c>
      <c r="I67" s="8">
        <v>3.040920122664494</v>
      </c>
      <c r="J67" s="8">
        <v>3.8660328253476188</v>
      </c>
      <c r="K67" s="8">
        <v>0.14559079877943759</v>
      </c>
      <c r="L67" s="8">
        <v>3.040328416446112</v>
      </c>
      <c r="M67" s="8">
        <v>3.8647640133429468</v>
      </c>
      <c r="N67" s="8">
        <v>0.14509671584161771</v>
      </c>
      <c r="O67" s="8">
        <v>-5.9170621838244841E-4</v>
      </c>
      <c r="P67" s="8">
        <v>-1.268812004671549E-3</v>
      </c>
      <c r="Q67" s="8">
        <f t="shared" si="5"/>
        <v>-1.5000000000071623E-3</v>
      </c>
      <c r="R67" s="8">
        <v>1.39999995008111E-3</v>
      </c>
      <c r="U67" s="8">
        <v>-122.59350000000001</v>
      </c>
    </row>
    <row r="68" spans="1:21" x14ac:dyDescent="0.25">
      <c r="A68" s="9" t="s">
        <v>207</v>
      </c>
      <c r="B68" s="8">
        <v>823270.17200000002</v>
      </c>
      <c r="C68" s="8">
        <v>1091532.301</v>
      </c>
      <c r="D68" s="8">
        <v>-122.593</v>
      </c>
      <c r="E68" s="9" t="s">
        <v>314</v>
      </c>
      <c r="F68" s="8">
        <v>823270.17200000002</v>
      </c>
      <c r="G68" s="8">
        <v>1091532.2996</v>
      </c>
      <c r="H68" s="8">
        <f t="shared" si="4"/>
        <v>-122.59450000000001</v>
      </c>
      <c r="I68" s="8">
        <v>3.040920122664494</v>
      </c>
      <c r="J68" s="8">
        <v>3.8660328253476188</v>
      </c>
      <c r="K68" s="8">
        <v>0.14559079877943759</v>
      </c>
      <c r="L68" s="8">
        <v>3.040328416446112</v>
      </c>
      <c r="M68" s="8">
        <v>3.8647640133429468</v>
      </c>
      <c r="N68" s="8">
        <v>0.14509671584161771</v>
      </c>
      <c r="O68" s="8">
        <v>-5.9170621838244841E-4</v>
      </c>
      <c r="P68" s="8">
        <v>-1.268812004671549E-3</v>
      </c>
      <c r="Q68" s="8">
        <f t="shared" si="5"/>
        <v>-1.5000000000071623E-3</v>
      </c>
      <c r="R68" s="8">
        <v>1.39999995008111E-3</v>
      </c>
      <c r="U68" s="8">
        <v>-122.59350000000001</v>
      </c>
    </row>
    <row r="69" spans="1:21" x14ac:dyDescent="0.25">
      <c r="A69" s="9" t="s">
        <v>208</v>
      </c>
      <c r="B69" s="8">
        <v>823270.522</v>
      </c>
      <c r="C69" s="8">
        <v>1091531.172</v>
      </c>
      <c r="D69" s="8">
        <v>-120.53700000000001</v>
      </c>
      <c r="E69" s="9" t="s">
        <v>76</v>
      </c>
      <c r="F69" s="8">
        <v>823270.52379999997</v>
      </c>
      <c r="G69" s="8">
        <v>1091531.1721999999</v>
      </c>
      <c r="H69" s="8">
        <f t="shared" si="4"/>
        <v>-120.53830000000001</v>
      </c>
      <c r="I69" s="8">
        <v>2.8809542889779931</v>
      </c>
      <c r="J69" s="8">
        <v>2.694900069447228</v>
      </c>
      <c r="K69" s="8">
        <v>2.2031904571159799</v>
      </c>
      <c r="L69" s="8">
        <v>2.8826701479981591</v>
      </c>
      <c r="M69" s="8">
        <v>2.6943205630767522</v>
      </c>
      <c r="N69" s="8">
        <v>2.2028732985257879</v>
      </c>
      <c r="O69" s="8">
        <v>1.715859020166022E-3</v>
      </c>
      <c r="P69" s="8">
        <v>-5.7950637047587961E-4</v>
      </c>
      <c r="Q69" s="8">
        <f t="shared" si="5"/>
        <v>-1.300000000000523E-3</v>
      </c>
      <c r="R69" s="8">
        <v>1.8110769850898129E-3</v>
      </c>
      <c r="U69" s="8">
        <v>-120.5373</v>
      </c>
    </row>
    <row r="70" spans="1:21" x14ac:dyDescent="0.25">
      <c r="A70" s="9" t="s">
        <v>208</v>
      </c>
      <c r="B70" s="8">
        <v>823270.522</v>
      </c>
      <c r="C70" s="8">
        <v>1091531.172</v>
      </c>
      <c r="D70" s="8">
        <v>-120.53700000000001</v>
      </c>
      <c r="E70" s="9" t="s">
        <v>315</v>
      </c>
      <c r="F70" s="8">
        <v>823270.52379999997</v>
      </c>
      <c r="G70" s="8">
        <v>1091531.1721999999</v>
      </c>
      <c r="H70" s="8">
        <f t="shared" si="4"/>
        <v>-120.53830000000001</v>
      </c>
      <c r="I70" s="8">
        <v>2.8809542889779931</v>
      </c>
      <c r="J70" s="8">
        <v>2.694900069447228</v>
      </c>
      <c r="K70" s="8">
        <v>2.2031904571159799</v>
      </c>
      <c r="L70" s="8">
        <v>2.8826701479981591</v>
      </c>
      <c r="M70" s="8">
        <v>2.6943205630767522</v>
      </c>
      <c r="N70" s="8">
        <v>2.2028732985257879</v>
      </c>
      <c r="O70" s="8">
        <v>1.715859020166022E-3</v>
      </c>
      <c r="P70" s="8">
        <v>-5.7950637047587961E-4</v>
      </c>
      <c r="Q70" s="8">
        <f t="shared" si="5"/>
        <v>-1.300000000000523E-3</v>
      </c>
      <c r="R70" s="8">
        <v>1.8110769850898129E-3</v>
      </c>
      <c r="U70" s="8">
        <v>-120.5373</v>
      </c>
    </row>
    <row r="71" spans="1:21" x14ac:dyDescent="0.25">
      <c r="A71" s="9" t="s">
        <v>208</v>
      </c>
      <c r="B71" s="8">
        <v>823270.522</v>
      </c>
      <c r="C71" s="8">
        <v>1091531.172</v>
      </c>
      <c r="D71" s="8">
        <v>-120.53700000000001</v>
      </c>
      <c r="E71" s="9" t="s">
        <v>316</v>
      </c>
      <c r="F71" s="8">
        <v>823270.52379999997</v>
      </c>
      <c r="G71" s="8">
        <v>1091531.1721999999</v>
      </c>
      <c r="H71" s="8">
        <f t="shared" si="4"/>
        <v>-120.53830000000001</v>
      </c>
      <c r="I71" s="8">
        <v>2.8809542889779931</v>
      </c>
      <c r="J71" s="8">
        <v>2.694900069447228</v>
      </c>
      <c r="K71" s="8">
        <v>2.2031904571159799</v>
      </c>
      <c r="L71" s="8">
        <v>2.8826701479981591</v>
      </c>
      <c r="M71" s="8">
        <v>2.6943205630767522</v>
      </c>
      <c r="N71" s="8">
        <v>2.2028732985257879</v>
      </c>
      <c r="O71" s="8">
        <v>1.715859020166022E-3</v>
      </c>
      <c r="P71" s="8">
        <v>-5.7950637047587961E-4</v>
      </c>
      <c r="Q71" s="8">
        <f t="shared" si="5"/>
        <v>-1.300000000000523E-3</v>
      </c>
      <c r="R71" s="8">
        <v>1.8110769850898129E-3</v>
      </c>
      <c r="U71" s="8">
        <v>-120.5373</v>
      </c>
    </row>
    <row r="72" spans="1:21" x14ac:dyDescent="0.25">
      <c r="A72" s="9" t="s">
        <v>209</v>
      </c>
      <c r="B72" s="8">
        <v>823271.64800000004</v>
      </c>
      <c r="C72" s="8">
        <v>1091528.723</v>
      </c>
      <c r="D72" s="8">
        <v>-119.42700000000001</v>
      </c>
      <c r="E72" s="9" t="s">
        <v>78</v>
      </c>
      <c r="F72" s="8">
        <v>823271.65009999997</v>
      </c>
      <c r="G72" s="8">
        <v>1091528.7235999999</v>
      </c>
      <c r="H72" s="8">
        <f t="shared" si="4"/>
        <v>-119.4295</v>
      </c>
      <c r="I72" s="8">
        <v>2.8663783305938741</v>
      </c>
      <c r="J72" s="8">
        <v>5.1539803298940822E-4</v>
      </c>
      <c r="K72" s="8">
        <v>3.3133362166997959</v>
      </c>
      <c r="L72" s="8">
        <v>2.868535136779562</v>
      </c>
      <c r="M72" s="8">
        <v>8.5918084783722932E-4</v>
      </c>
      <c r="N72" s="8">
        <v>3.3118146486379492</v>
      </c>
      <c r="O72" s="8">
        <v>2.1568061856882541E-3</v>
      </c>
      <c r="P72" s="8">
        <v>3.437828148478211E-4</v>
      </c>
      <c r="Q72" s="8">
        <f t="shared" si="5"/>
        <v>-2.4999999999977263E-3</v>
      </c>
      <c r="R72" s="8">
        <v>2.1840328706342282E-3</v>
      </c>
      <c r="U72" s="8">
        <v>-119.4285</v>
      </c>
    </row>
    <row r="73" spans="1:21" x14ac:dyDescent="0.25">
      <c r="A73" s="9" t="s">
        <v>209</v>
      </c>
      <c r="B73" s="8">
        <v>823271.64800000004</v>
      </c>
      <c r="C73" s="8">
        <v>1091528.723</v>
      </c>
      <c r="D73" s="8">
        <v>-119.42700000000001</v>
      </c>
      <c r="E73" s="9" t="s">
        <v>317</v>
      </c>
      <c r="F73" s="8">
        <v>823271.65009999997</v>
      </c>
      <c r="G73" s="8">
        <v>1091528.7235999999</v>
      </c>
      <c r="H73" s="8">
        <f t="shared" si="4"/>
        <v>-119.4295</v>
      </c>
      <c r="I73" s="8">
        <v>2.8663783305938741</v>
      </c>
      <c r="J73" s="8">
        <v>5.1539803298940822E-4</v>
      </c>
      <c r="K73" s="8">
        <v>3.3133362166997959</v>
      </c>
      <c r="L73" s="8">
        <v>2.868535136779562</v>
      </c>
      <c r="M73" s="8">
        <v>8.5918084783722932E-4</v>
      </c>
      <c r="N73" s="8">
        <v>3.3118146486379492</v>
      </c>
      <c r="O73" s="8">
        <v>2.1568061856882541E-3</v>
      </c>
      <c r="P73" s="8">
        <v>3.437828148478211E-4</v>
      </c>
      <c r="Q73" s="8">
        <f t="shared" si="5"/>
        <v>-2.4999999999977263E-3</v>
      </c>
      <c r="R73" s="8">
        <v>2.1840328706342282E-3</v>
      </c>
      <c r="U73" s="8">
        <v>-119.4285</v>
      </c>
    </row>
    <row r="74" spans="1:21" x14ac:dyDescent="0.25">
      <c r="A74" s="9" t="s">
        <v>209</v>
      </c>
      <c r="B74" s="8">
        <v>823271.64800000004</v>
      </c>
      <c r="C74" s="8">
        <v>1091528.723</v>
      </c>
      <c r="D74" s="8">
        <v>-119.42700000000001</v>
      </c>
      <c r="E74" s="9" t="s">
        <v>318</v>
      </c>
      <c r="F74" s="8">
        <v>823271.65009999997</v>
      </c>
      <c r="G74" s="8">
        <v>1091528.7235999999</v>
      </c>
      <c r="H74" s="8">
        <f t="shared" si="4"/>
        <v>-119.4295</v>
      </c>
      <c r="I74" s="8">
        <v>2.8663783305938741</v>
      </c>
      <c r="J74" s="8">
        <v>5.1539803298940822E-4</v>
      </c>
      <c r="K74" s="8">
        <v>3.3133362166997959</v>
      </c>
      <c r="L74" s="8">
        <v>2.868535136779562</v>
      </c>
      <c r="M74" s="8">
        <v>8.5918084783722932E-4</v>
      </c>
      <c r="N74" s="8">
        <v>3.3118146486379492</v>
      </c>
      <c r="O74" s="8">
        <v>2.1568061856882541E-3</v>
      </c>
      <c r="P74" s="8">
        <v>3.437828148478211E-4</v>
      </c>
      <c r="Q74" s="8">
        <f t="shared" si="5"/>
        <v>-2.4999999999977263E-3</v>
      </c>
      <c r="R74" s="8">
        <v>2.1840328706342282E-3</v>
      </c>
      <c r="U74" s="8">
        <v>-119.4285</v>
      </c>
    </row>
    <row r="75" spans="1:21" x14ac:dyDescent="0.25">
      <c r="A75" s="9" t="s">
        <v>210</v>
      </c>
      <c r="B75" s="8">
        <v>823272.91</v>
      </c>
      <c r="C75" s="8">
        <v>1091526.281</v>
      </c>
      <c r="D75" s="8">
        <v>-120.405</v>
      </c>
      <c r="E75" s="9" t="s">
        <v>80</v>
      </c>
      <c r="F75" s="8">
        <v>823272.91020000004</v>
      </c>
      <c r="G75" s="8">
        <v>1091526.2801999999</v>
      </c>
      <c r="H75" s="8">
        <f t="shared" si="4"/>
        <v>-120.40740000000001</v>
      </c>
      <c r="I75" s="8">
        <v>2.978016919879761</v>
      </c>
      <c r="J75" s="8">
        <v>2.747066840253197</v>
      </c>
      <c r="K75" s="8">
        <v>2.3342198308071569</v>
      </c>
      <c r="L75" s="8">
        <v>2.977860060869022</v>
      </c>
      <c r="M75" s="8">
        <v>2.747876405228924</v>
      </c>
      <c r="N75" s="8">
        <v>2.3328213993972611</v>
      </c>
      <c r="O75" s="8">
        <v>-1.5685901073858591E-4</v>
      </c>
      <c r="P75" s="8">
        <v>8.0956497572781672E-4</v>
      </c>
      <c r="Q75" s="8">
        <f t="shared" si="5"/>
        <v>-2.4000000000086175E-3</v>
      </c>
      <c r="R75" s="8">
        <v>8.2462116429093382E-4</v>
      </c>
      <c r="U75" s="8">
        <v>-120.4064</v>
      </c>
    </row>
    <row r="76" spans="1:21" x14ac:dyDescent="0.25">
      <c r="A76" s="9" t="s">
        <v>210</v>
      </c>
      <c r="B76" s="8">
        <v>823272.91</v>
      </c>
      <c r="C76" s="8">
        <v>1091526.281</v>
      </c>
      <c r="D76" s="8">
        <v>-120.405</v>
      </c>
      <c r="E76" s="9" t="s">
        <v>319</v>
      </c>
      <c r="F76" s="8">
        <v>823272.91020000004</v>
      </c>
      <c r="G76" s="8">
        <v>1091526.2801999999</v>
      </c>
      <c r="H76" s="8">
        <f t="shared" si="4"/>
        <v>-120.40740000000001</v>
      </c>
      <c r="I76" s="8">
        <v>2.978016919879761</v>
      </c>
      <c r="J76" s="8">
        <v>2.747066840253197</v>
      </c>
      <c r="K76" s="8">
        <v>2.3342198308071569</v>
      </c>
      <c r="L76" s="8">
        <v>2.977860060869022</v>
      </c>
      <c r="M76" s="8">
        <v>2.747876405228924</v>
      </c>
      <c r="N76" s="8">
        <v>2.3328213993972611</v>
      </c>
      <c r="O76" s="8">
        <v>-1.5685901073858591E-4</v>
      </c>
      <c r="P76" s="8">
        <v>8.0956497572781672E-4</v>
      </c>
      <c r="Q76" s="8">
        <f t="shared" si="5"/>
        <v>-2.4000000000086175E-3</v>
      </c>
      <c r="R76" s="8">
        <v>8.2462116429093382E-4</v>
      </c>
      <c r="U76" s="8">
        <v>-120.4064</v>
      </c>
    </row>
    <row r="77" spans="1:21" x14ac:dyDescent="0.25">
      <c r="A77" s="9" t="s">
        <v>210</v>
      </c>
      <c r="B77" s="8">
        <v>823272.91</v>
      </c>
      <c r="C77" s="8">
        <v>1091526.281</v>
      </c>
      <c r="D77" s="8">
        <v>-120.405</v>
      </c>
      <c r="E77" s="9" t="s">
        <v>320</v>
      </c>
      <c r="F77" s="8">
        <v>823272.91020000004</v>
      </c>
      <c r="G77" s="8">
        <v>1091526.2801999999</v>
      </c>
      <c r="H77" s="8">
        <f t="shared" si="4"/>
        <v>-120.40740000000001</v>
      </c>
      <c r="I77" s="8">
        <v>2.978016919879761</v>
      </c>
      <c r="J77" s="8">
        <v>2.747066840253197</v>
      </c>
      <c r="K77" s="8">
        <v>2.3342198308071569</v>
      </c>
      <c r="L77" s="8">
        <v>2.977860060869022</v>
      </c>
      <c r="M77" s="8">
        <v>2.747876405228924</v>
      </c>
      <c r="N77" s="8">
        <v>2.3328213993972611</v>
      </c>
      <c r="O77" s="8">
        <v>-1.5685901073858591E-4</v>
      </c>
      <c r="P77" s="8">
        <v>8.0956497572781672E-4</v>
      </c>
      <c r="Q77" s="8">
        <f t="shared" si="5"/>
        <v>-2.4000000000086175E-3</v>
      </c>
      <c r="R77" s="8">
        <v>8.2462116429093382E-4</v>
      </c>
      <c r="U77" s="8">
        <v>-120.4064</v>
      </c>
    </row>
    <row r="78" spans="1:21" x14ac:dyDescent="0.25">
      <c r="A78" s="9" t="s">
        <v>211</v>
      </c>
      <c r="B78" s="8">
        <v>823273.30900000001</v>
      </c>
      <c r="C78" s="8">
        <v>1091525.2720000001</v>
      </c>
      <c r="D78" s="8">
        <v>-122.521</v>
      </c>
      <c r="E78" s="9" t="s">
        <v>84</v>
      </c>
      <c r="F78" s="8">
        <v>823273.30989999999</v>
      </c>
      <c r="G78" s="8">
        <v>1091525.2720999999</v>
      </c>
      <c r="H78" s="8">
        <f t="shared" si="4"/>
        <v>-122.5224</v>
      </c>
      <c r="I78" s="8">
        <v>2.913177181631144</v>
      </c>
      <c r="J78" s="8">
        <v>3.8301540057643879</v>
      </c>
      <c r="K78" s="8">
        <v>0.21886822818952109</v>
      </c>
      <c r="L78" s="8">
        <v>2.9140351110920228</v>
      </c>
      <c r="M78" s="8">
        <v>3.830443759079734</v>
      </c>
      <c r="N78" s="8">
        <v>0.21845964889492109</v>
      </c>
      <c r="O78" s="8">
        <v>8.5792946087970279E-4</v>
      </c>
      <c r="P78" s="8">
        <v>2.8975331534608628E-4</v>
      </c>
      <c r="Q78" s="8">
        <f t="shared" si="5"/>
        <v>-1.4000000000038426E-3</v>
      </c>
      <c r="R78" s="8">
        <v>9.055384796889987E-4</v>
      </c>
      <c r="U78" s="8">
        <v>-122.5214</v>
      </c>
    </row>
    <row r="79" spans="1:21" x14ac:dyDescent="0.25">
      <c r="A79" s="9" t="s">
        <v>211</v>
      </c>
      <c r="B79" s="8">
        <v>823273.30900000001</v>
      </c>
      <c r="C79" s="8">
        <v>1091525.2720000001</v>
      </c>
      <c r="D79" s="8">
        <v>-122.521</v>
      </c>
      <c r="E79" s="9" t="s">
        <v>321</v>
      </c>
      <c r="F79" s="8">
        <v>823273.30989999999</v>
      </c>
      <c r="G79" s="8">
        <v>1091525.2720999999</v>
      </c>
      <c r="H79" s="8">
        <f t="shared" si="4"/>
        <v>-122.5224</v>
      </c>
      <c r="I79" s="8">
        <v>2.913177181631144</v>
      </c>
      <c r="J79" s="8">
        <v>3.8301540057643879</v>
      </c>
      <c r="K79" s="8">
        <v>0.21886822818952109</v>
      </c>
      <c r="L79" s="8">
        <v>2.9140351110920228</v>
      </c>
      <c r="M79" s="8">
        <v>3.830443759079734</v>
      </c>
      <c r="N79" s="8">
        <v>0.21845964889492109</v>
      </c>
      <c r="O79" s="8">
        <v>8.5792946087970279E-4</v>
      </c>
      <c r="P79" s="8">
        <v>2.8975331534608628E-4</v>
      </c>
      <c r="Q79" s="8">
        <f t="shared" si="5"/>
        <v>-1.4000000000038426E-3</v>
      </c>
      <c r="R79" s="8">
        <v>9.055384796889987E-4</v>
      </c>
      <c r="U79" s="8">
        <v>-122.5214</v>
      </c>
    </row>
    <row r="80" spans="1:21" x14ac:dyDescent="0.25">
      <c r="A80" s="9" t="s">
        <v>211</v>
      </c>
      <c r="B80" s="8">
        <v>823273.30900000001</v>
      </c>
      <c r="C80" s="8">
        <v>1091525.2720000001</v>
      </c>
      <c r="D80" s="8">
        <v>-122.521</v>
      </c>
      <c r="E80" s="9" t="s">
        <v>322</v>
      </c>
      <c r="F80" s="8">
        <v>823273.30989999999</v>
      </c>
      <c r="G80" s="8">
        <v>1091525.2720999999</v>
      </c>
      <c r="H80" s="8">
        <f t="shared" si="4"/>
        <v>-122.5224</v>
      </c>
      <c r="I80" s="8">
        <v>2.913177181631144</v>
      </c>
      <c r="J80" s="8">
        <v>3.8301540057643879</v>
      </c>
      <c r="K80" s="8">
        <v>0.21886822818952109</v>
      </c>
      <c r="L80" s="8">
        <v>2.9140351110920228</v>
      </c>
      <c r="M80" s="8">
        <v>3.830443759079734</v>
      </c>
      <c r="N80" s="8">
        <v>0.21845964889492109</v>
      </c>
      <c r="O80" s="8">
        <v>8.5792946087970279E-4</v>
      </c>
      <c r="P80" s="8">
        <v>2.8975331534608628E-4</v>
      </c>
      <c r="Q80" s="8">
        <f t="shared" si="5"/>
        <v>-1.4000000000038426E-3</v>
      </c>
      <c r="R80" s="8">
        <v>9.055384796889987E-4</v>
      </c>
      <c r="U80" s="8">
        <v>-122.5214</v>
      </c>
    </row>
    <row r="81" spans="1:21" x14ac:dyDescent="0.25">
      <c r="A81" s="9" t="s">
        <v>211</v>
      </c>
      <c r="B81" s="8">
        <v>823273.30900000001</v>
      </c>
      <c r="C81" s="8">
        <v>1091525.2720000001</v>
      </c>
      <c r="D81" s="8">
        <v>-122.521</v>
      </c>
      <c r="E81" s="9" t="s">
        <v>86</v>
      </c>
      <c r="F81" s="8">
        <v>823273.30940000003</v>
      </c>
      <c r="G81" s="8">
        <v>1091525.2716000001</v>
      </c>
      <c r="H81" s="8">
        <f t="shared" si="4"/>
        <v>-122.5227</v>
      </c>
      <c r="I81" s="8">
        <v>2.913177181631144</v>
      </c>
      <c r="J81" s="8">
        <v>3.8301540057643879</v>
      </c>
      <c r="K81" s="8">
        <v>0.21886822818952109</v>
      </c>
      <c r="L81" s="8">
        <v>2.913370640410454</v>
      </c>
      <c r="M81" s="8">
        <v>3.8306855823599988</v>
      </c>
      <c r="N81" s="8">
        <v>0.21816629360174031</v>
      </c>
      <c r="O81" s="8">
        <v>1.9345877930998509E-4</v>
      </c>
      <c r="P81" s="8">
        <v>5.3157659561042792E-4</v>
      </c>
      <c r="Q81" s="8">
        <f t="shared" si="5"/>
        <v>-1.6999999999995907E-3</v>
      </c>
      <c r="R81" s="8">
        <v>5.6568545181785398E-4</v>
      </c>
      <c r="U81" s="8">
        <v>-122.5217</v>
      </c>
    </row>
    <row r="82" spans="1:21" x14ac:dyDescent="0.25">
      <c r="A82" s="9" t="s">
        <v>211</v>
      </c>
      <c r="B82" s="8">
        <v>823273.30900000001</v>
      </c>
      <c r="C82" s="8">
        <v>1091525.2720000001</v>
      </c>
      <c r="D82" s="8">
        <v>-122.521</v>
      </c>
      <c r="E82" s="9" t="s">
        <v>323</v>
      </c>
      <c r="F82" s="8">
        <v>823273.30940000003</v>
      </c>
      <c r="G82" s="8">
        <v>1091525.2716000001</v>
      </c>
      <c r="H82" s="8">
        <f t="shared" si="4"/>
        <v>-122.5227</v>
      </c>
      <c r="I82" s="8">
        <v>2.913177181631144</v>
      </c>
      <c r="J82" s="8">
        <v>3.8301540057643879</v>
      </c>
      <c r="K82" s="8">
        <v>0.21886822818952109</v>
      </c>
      <c r="L82" s="8">
        <v>2.913370640410454</v>
      </c>
      <c r="M82" s="8">
        <v>3.8306855823599988</v>
      </c>
      <c r="N82" s="8">
        <v>0.21816629360174031</v>
      </c>
      <c r="O82" s="8">
        <v>1.9345877930998509E-4</v>
      </c>
      <c r="P82" s="8">
        <v>5.3157659561042792E-4</v>
      </c>
      <c r="Q82" s="8">
        <f t="shared" si="5"/>
        <v>-1.6999999999995907E-3</v>
      </c>
      <c r="R82" s="8">
        <v>5.6568545181785398E-4</v>
      </c>
      <c r="U82" s="8">
        <v>-122.5217</v>
      </c>
    </row>
    <row r="83" spans="1:21" x14ac:dyDescent="0.25">
      <c r="A83" s="9" t="s">
        <v>211</v>
      </c>
      <c r="B83" s="8">
        <v>823273.30900000001</v>
      </c>
      <c r="C83" s="8">
        <v>1091525.2720000001</v>
      </c>
      <c r="D83" s="8">
        <v>-122.521</v>
      </c>
      <c r="E83" s="9" t="s">
        <v>324</v>
      </c>
      <c r="F83" s="8">
        <v>823273.30940000003</v>
      </c>
      <c r="G83" s="8">
        <v>1091525.2716000001</v>
      </c>
      <c r="H83" s="8">
        <f t="shared" si="4"/>
        <v>-122.5227</v>
      </c>
      <c r="I83" s="8">
        <v>2.913177181631144</v>
      </c>
      <c r="J83" s="8">
        <v>3.8301540057643879</v>
      </c>
      <c r="K83" s="8">
        <v>0.21886822818952109</v>
      </c>
      <c r="L83" s="8">
        <v>2.913370640410454</v>
      </c>
      <c r="M83" s="8">
        <v>3.8306855823599988</v>
      </c>
      <c r="N83" s="8">
        <v>0.21816629360174031</v>
      </c>
      <c r="O83" s="8">
        <v>1.9345877930998509E-4</v>
      </c>
      <c r="P83" s="8">
        <v>5.3157659561042792E-4</v>
      </c>
      <c r="Q83" s="8">
        <f t="shared" si="5"/>
        <v>-1.6999999999995907E-3</v>
      </c>
      <c r="R83" s="8">
        <v>5.6568545181785398E-4</v>
      </c>
      <c r="U83" s="8">
        <v>-122.5217</v>
      </c>
    </row>
    <row r="84" spans="1:21" x14ac:dyDescent="0.25">
      <c r="A84" s="9" t="s">
        <v>212</v>
      </c>
      <c r="B84" s="8">
        <v>823276.8</v>
      </c>
      <c r="C84" s="8">
        <v>1091535.5859999999</v>
      </c>
      <c r="D84" s="8">
        <v>-124.812</v>
      </c>
      <c r="E84" s="9" t="s">
        <v>88</v>
      </c>
      <c r="F84" s="8">
        <v>823276.79949999996</v>
      </c>
      <c r="G84" s="8">
        <v>1091535.5848999999</v>
      </c>
      <c r="H84" s="8">
        <f t="shared" si="4"/>
        <v>-124.8138</v>
      </c>
      <c r="I84" s="8">
        <v>10.436234766402929</v>
      </c>
      <c r="J84" s="8">
        <v>4.0419030043578168</v>
      </c>
      <c r="K84" s="8">
        <v>-2.147362347643138</v>
      </c>
      <c r="L84" s="8">
        <v>10.43531670716626</v>
      </c>
      <c r="M84" s="8">
        <v>4.0411174043996301</v>
      </c>
      <c r="N84" s="8">
        <v>-2.1481531670507792</v>
      </c>
      <c r="O84" s="8">
        <v>-9.1805923667109823E-4</v>
      </c>
      <c r="P84" s="8">
        <v>-7.8559995818672235E-4</v>
      </c>
      <c r="Q84" s="8">
        <f t="shared" si="5"/>
        <v>-1.8000000000029104E-3</v>
      </c>
      <c r="R84" s="8">
        <v>1.208304625847047E-3</v>
      </c>
      <c r="U84" s="8">
        <v>-124.8128</v>
      </c>
    </row>
    <row r="85" spans="1:21" x14ac:dyDescent="0.25">
      <c r="A85" s="9" t="s">
        <v>212</v>
      </c>
      <c r="B85" s="8">
        <v>823276.8</v>
      </c>
      <c r="C85" s="8">
        <v>1091535.5859999999</v>
      </c>
      <c r="D85" s="8">
        <v>-124.812</v>
      </c>
      <c r="E85" s="9" t="s">
        <v>325</v>
      </c>
      <c r="F85" s="8">
        <v>823276.79949999996</v>
      </c>
      <c r="G85" s="8">
        <v>1091535.5848999999</v>
      </c>
      <c r="H85" s="8">
        <f t="shared" si="4"/>
        <v>-124.8138</v>
      </c>
      <c r="I85" s="8">
        <v>10.436234766402929</v>
      </c>
      <c r="J85" s="8">
        <v>4.0419030043578168</v>
      </c>
      <c r="K85" s="8">
        <v>-2.147362347643138</v>
      </c>
      <c r="L85" s="8">
        <v>10.43531670716626</v>
      </c>
      <c r="M85" s="8">
        <v>4.0411174043996301</v>
      </c>
      <c r="N85" s="8">
        <v>-2.1481531670507792</v>
      </c>
      <c r="O85" s="8">
        <v>-9.1805923667109823E-4</v>
      </c>
      <c r="P85" s="8">
        <v>-7.8559995818672235E-4</v>
      </c>
      <c r="Q85" s="8">
        <f t="shared" si="5"/>
        <v>-1.8000000000029104E-3</v>
      </c>
      <c r="R85" s="8">
        <v>1.208304625847047E-3</v>
      </c>
      <c r="U85" s="8">
        <v>-124.8128</v>
      </c>
    </row>
    <row r="86" spans="1:21" x14ac:dyDescent="0.25">
      <c r="A86" s="9" t="s">
        <v>212</v>
      </c>
      <c r="B86" s="8">
        <v>823276.8</v>
      </c>
      <c r="C86" s="8">
        <v>1091535.5859999999</v>
      </c>
      <c r="D86" s="8">
        <v>-124.812</v>
      </c>
      <c r="E86" s="9" t="s">
        <v>326</v>
      </c>
      <c r="F86" s="8">
        <v>823276.79949999996</v>
      </c>
      <c r="G86" s="8">
        <v>1091535.5848999999</v>
      </c>
      <c r="H86" s="8">
        <f t="shared" si="4"/>
        <v>-124.8138</v>
      </c>
      <c r="I86" s="8">
        <v>10.436234766402929</v>
      </c>
      <c r="J86" s="8">
        <v>4.0419030043578168</v>
      </c>
      <c r="K86" s="8">
        <v>-2.147362347643138</v>
      </c>
      <c r="L86" s="8">
        <v>10.43531670716626</v>
      </c>
      <c r="M86" s="8">
        <v>4.0411174043996301</v>
      </c>
      <c r="N86" s="8">
        <v>-2.1481531670507792</v>
      </c>
      <c r="O86" s="8">
        <v>-9.1805923667109823E-4</v>
      </c>
      <c r="P86" s="8">
        <v>-7.8559995818672235E-4</v>
      </c>
      <c r="Q86" s="8">
        <f t="shared" si="5"/>
        <v>-1.8000000000029104E-3</v>
      </c>
      <c r="R86" s="8">
        <v>1.208304625847047E-3</v>
      </c>
      <c r="U86" s="8">
        <v>-124.8128</v>
      </c>
    </row>
    <row r="87" spans="1:21" x14ac:dyDescent="0.25">
      <c r="A87" s="9" t="s">
        <v>212</v>
      </c>
      <c r="B87" s="8">
        <v>823276.8</v>
      </c>
      <c r="C87" s="8">
        <v>1091535.5859999999</v>
      </c>
      <c r="D87" s="8">
        <v>-124.812</v>
      </c>
      <c r="E87" s="9" t="s">
        <v>327</v>
      </c>
      <c r="F87" s="8">
        <v>823276.79929999996</v>
      </c>
      <c r="G87" s="8">
        <v>1091535.584</v>
      </c>
      <c r="H87" s="8">
        <f t="shared" si="4"/>
        <v>-124.81400000000001</v>
      </c>
      <c r="I87" s="8">
        <v>10.436234766402929</v>
      </c>
      <c r="J87" s="8">
        <v>4.0419030043578168</v>
      </c>
      <c r="K87" s="8">
        <v>-2.147362347643138</v>
      </c>
      <c r="L87" s="8">
        <v>10.434755065783021</v>
      </c>
      <c r="M87" s="8">
        <v>4.0403862691864338</v>
      </c>
      <c r="N87" s="8">
        <v>-2.1483475506369558</v>
      </c>
      <c r="O87" s="8">
        <v>-1.4797006199120939E-3</v>
      </c>
      <c r="P87" s="8">
        <v>-1.5167351713829551E-3</v>
      </c>
      <c r="Q87" s="8">
        <f t="shared" si="5"/>
        <v>-2.0000000000095497E-3</v>
      </c>
      <c r="R87" s="8">
        <v>2.1189619101567849E-3</v>
      </c>
      <c r="U87" s="8">
        <v>-124.813</v>
      </c>
    </row>
    <row r="88" spans="1:21" x14ac:dyDescent="0.25">
      <c r="A88" s="9" t="s">
        <v>212</v>
      </c>
      <c r="B88" s="8">
        <v>823276.8</v>
      </c>
      <c r="C88" s="8">
        <v>1091535.5859999999</v>
      </c>
      <c r="D88" s="8">
        <v>-124.812</v>
      </c>
      <c r="E88" s="9" t="s">
        <v>328</v>
      </c>
      <c r="F88" s="8">
        <v>823276.79929999996</v>
      </c>
      <c r="G88" s="8">
        <v>1091535.584</v>
      </c>
      <c r="H88" s="8">
        <f t="shared" si="4"/>
        <v>-124.81400000000001</v>
      </c>
      <c r="I88" s="8">
        <v>10.436234766402929</v>
      </c>
      <c r="J88" s="8">
        <v>4.0419030043578168</v>
      </c>
      <c r="K88" s="8">
        <v>-2.147362347643138</v>
      </c>
      <c r="L88" s="8">
        <v>10.434755065783021</v>
      </c>
      <c r="M88" s="8">
        <v>4.0403862691864338</v>
      </c>
      <c r="N88" s="8">
        <v>-2.1483475506369558</v>
      </c>
      <c r="O88" s="8">
        <v>-1.4797006199120939E-3</v>
      </c>
      <c r="P88" s="8">
        <v>-1.5167351713829551E-3</v>
      </c>
      <c r="Q88" s="8">
        <f t="shared" si="5"/>
        <v>-2.0000000000095497E-3</v>
      </c>
      <c r="R88" s="8">
        <v>2.1189619101567849E-3</v>
      </c>
      <c r="U88" s="8">
        <v>-124.813</v>
      </c>
    </row>
    <row r="89" spans="1:21" x14ac:dyDescent="0.25">
      <c r="A89" s="9" t="s">
        <v>212</v>
      </c>
      <c r="B89" s="8">
        <v>823276.8</v>
      </c>
      <c r="C89" s="8">
        <v>1091535.5859999999</v>
      </c>
      <c r="D89" s="8">
        <v>-124.812</v>
      </c>
      <c r="E89" s="9" t="s">
        <v>329</v>
      </c>
      <c r="F89" s="8">
        <v>823276.79929999996</v>
      </c>
      <c r="G89" s="8">
        <v>1091535.584</v>
      </c>
      <c r="H89" s="8">
        <f t="shared" si="4"/>
        <v>-124.81400000000001</v>
      </c>
      <c r="I89" s="8">
        <v>10.436234766402929</v>
      </c>
      <c r="J89" s="8">
        <v>4.0419030043578168</v>
      </c>
      <c r="K89" s="8">
        <v>-2.147362347643138</v>
      </c>
      <c r="L89" s="8">
        <v>10.434755065783021</v>
      </c>
      <c r="M89" s="8">
        <v>4.0403862691864338</v>
      </c>
      <c r="N89" s="8">
        <v>-2.1483475506369558</v>
      </c>
      <c r="O89" s="8">
        <v>-1.4797006199120939E-3</v>
      </c>
      <c r="P89" s="8">
        <v>-1.5167351713829551E-3</v>
      </c>
      <c r="Q89" s="8">
        <f t="shared" si="5"/>
        <v>-2.0000000000095497E-3</v>
      </c>
      <c r="R89" s="8">
        <v>2.1189619101567849E-3</v>
      </c>
      <c r="U89" s="8">
        <v>-124.813</v>
      </c>
    </row>
    <row r="90" spans="1:21" x14ac:dyDescent="0.25">
      <c r="A90" s="9" t="s">
        <v>213</v>
      </c>
      <c r="B90" s="8">
        <v>823276.84</v>
      </c>
      <c r="C90" s="8">
        <v>1091536.2709999999</v>
      </c>
      <c r="D90" s="8">
        <v>-122.43300000000001</v>
      </c>
      <c r="E90" s="9" t="s">
        <v>90</v>
      </c>
      <c r="F90" s="8">
        <v>823276.84</v>
      </c>
      <c r="G90" s="8">
        <v>1091536.2703</v>
      </c>
      <c r="H90" s="8">
        <f t="shared" si="4"/>
        <v>-122.4346</v>
      </c>
      <c r="I90" s="8">
        <v>10.761999945955271</v>
      </c>
      <c r="J90" s="8">
        <v>4.645808665790689</v>
      </c>
      <c r="K90" s="8">
        <v>0.22838000056196961</v>
      </c>
      <c r="L90" s="8">
        <v>10.761704092846079</v>
      </c>
      <c r="M90" s="8">
        <v>4.6451742597883534</v>
      </c>
      <c r="N90" s="8">
        <v>0.22778295909307639</v>
      </c>
      <c r="O90" s="8">
        <v>-2.958531091916683E-4</v>
      </c>
      <c r="P90" s="8">
        <v>-6.3440600233555244E-4</v>
      </c>
      <c r="Q90" s="8">
        <f t="shared" si="5"/>
        <v>-1.5999999999962711E-3</v>
      </c>
      <c r="R90" s="8">
        <v>6.99999975040555E-4</v>
      </c>
      <c r="U90" s="8">
        <v>-122.4336</v>
      </c>
    </row>
    <row r="91" spans="1:21" x14ac:dyDescent="0.25">
      <c r="A91" s="9" t="s">
        <v>213</v>
      </c>
      <c r="B91" s="8">
        <v>823276.84</v>
      </c>
      <c r="C91" s="8">
        <v>1091536.2709999999</v>
      </c>
      <c r="D91" s="8">
        <v>-122.43300000000001</v>
      </c>
      <c r="E91" s="9" t="s">
        <v>330</v>
      </c>
      <c r="F91" s="8">
        <v>823276.84</v>
      </c>
      <c r="G91" s="8">
        <v>1091536.2703</v>
      </c>
      <c r="H91" s="8">
        <f t="shared" si="4"/>
        <v>-122.4346</v>
      </c>
      <c r="I91" s="8">
        <v>10.761999945955271</v>
      </c>
      <c r="J91" s="8">
        <v>4.645808665790689</v>
      </c>
      <c r="K91" s="8">
        <v>0.22838000056196961</v>
      </c>
      <c r="L91" s="8">
        <v>10.761704092846079</v>
      </c>
      <c r="M91" s="8">
        <v>4.6451742597883534</v>
      </c>
      <c r="N91" s="8">
        <v>0.22778295909307639</v>
      </c>
      <c r="O91" s="8">
        <v>-2.958531091916683E-4</v>
      </c>
      <c r="P91" s="8">
        <v>-6.3440600233555244E-4</v>
      </c>
      <c r="Q91" s="8">
        <f t="shared" si="5"/>
        <v>-1.5999999999962711E-3</v>
      </c>
      <c r="R91" s="8">
        <v>6.99999975040555E-4</v>
      </c>
      <c r="U91" s="8">
        <v>-122.4336</v>
      </c>
    </row>
    <row r="92" spans="1:21" x14ac:dyDescent="0.25">
      <c r="A92" s="9" t="s">
        <v>213</v>
      </c>
      <c r="B92" s="8">
        <v>823276.84</v>
      </c>
      <c r="C92" s="8">
        <v>1091536.2709999999</v>
      </c>
      <c r="D92" s="8">
        <v>-122.43300000000001</v>
      </c>
      <c r="E92" s="9" t="s">
        <v>331</v>
      </c>
      <c r="F92" s="8">
        <v>823276.84</v>
      </c>
      <c r="G92" s="8">
        <v>1091536.2703</v>
      </c>
      <c r="H92" s="8">
        <f t="shared" si="4"/>
        <v>-122.4346</v>
      </c>
      <c r="I92" s="8">
        <v>10.761999945955271</v>
      </c>
      <c r="J92" s="8">
        <v>4.645808665790689</v>
      </c>
      <c r="K92" s="8">
        <v>0.22838000056196961</v>
      </c>
      <c r="L92" s="8">
        <v>10.761704092846079</v>
      </c>
      <c r="M92" s="8">
        <v>4.6451742597883534</v>
      </c>
      <c r="N92" s="8">
        <v>0.22778295909307639</v>
      </c>
      <c r="O92" s="8">
        <v>-2.958531091916683E-4</v>
      </c>
      <c r="P92" s="8">
        <v>-6.3440600233555244E-4</v>
      </c>
      <c r="Q92" s="8">
        <f t="shared" si="5"/>
        <v>-1.5999999999962711E-3</v>
      </c>
      <c r="R92" s="8">
        <v>6.99999975040555E-4</v>
      </c>
      <c r="U92" s="8">
        <v>-122.4336</v>
      </c>
    </row>
    <row r="93" spans="1:21" x14ac:dyDescent="0.25">
      <c r="A93" s="9" t="s">
        <v>213</v>
      </c>
      <c r="B93" s="8">
        <v>823276.84</v>
      </c>
      <c r="C93" s="8">
        <v>1091536.2709999999</v>
      </c>
      <c r="D93" s="8">
        <v>-122.43300000000001</v>
      </c>
      <c r="E93" s="9" t="s">
        <v>332</v>
      </c>
      <c r="F93" s="8">
        <v>823276.83970000001</v>
      </c>
      <c r="G93" s="8">
        <v>1091536.2699</v>
      </c>
      <c r="H93" s="8">
        <f t="shared" si="4"/>
        <v>-122.4346</v>
      </c>
      <c r="I93" s="8">
        <v>10.761999945955271</v>
      </c>
      <c r="J93" s="8">
        <v>4.645808665790689</v>
      </c>
      <c r="K93" s="8">
        <v>0.22838000056196961</v>
      </c>
      <c r="L93" s="8">
        <v>10.761263145680561</v>
      </c>
      <c r="M93" s="8">
        <v>4.6449385362327256</v>
      </c>
      <c r="N93" s="8">
        <v>0.22778736856473361</v>
      </c>
      <c r="O93" s="8">
        <v>-7.3680027471390019E-4</v>
      </c>
      <c r="P93" s="8">
        <v>-8.7012955796339497E-4</v>
      </c>
      <c r="Q93" s="8">
        <f t="shared" si="5"/>
        <v>-1.5999999999962711E-3</v>
      </c>
      <c r="R93" s="8">
        <v>1.140175407782471E-3</v>
      </c>
      <c r="U93" s="8">
        <v>-122.4336</v>
      </c>
    </row>
    <row r="94" spans="1:21" x14ac:dyDescent="0.25">
      <c r="A94" s="9" t="s">
        <v>213</v>
      </c>
      <c r="B94" s="8">
        <v>823276.84</v>
      </c>
      <c r="C94" s="8">
        <v>1091536.2709999999</v>
      </c>
      <c r="D94" s="8">
        <v>-122.43300000000001</v>
      </c>
      <c r="E94" s="9" t="s">
        <v>333</v>
      </c>
      <c r="F94" s="8">
        <v>823276.83970000001</v>
      </c>
      <c r="G94" s="8">
        <v>1091536.2699</v>
      </c>
      <c r="H94" s="8">
        <f t="shared" si="4"/>
        <v>-122.4346</v>
      </c>
      <c r="I94" s="8">
        <v>10.761999945955271</v>
      </c>
      <c r="J94" s="8">
        <v>4.645808665790689</v>
      </c>
      <c r="K94" s="8">
        <v>0.22838000056196961</v>
      </c>
      <c r="L94" s="8">
        <v>10.761263145680561</v>
      </c>
      <c r="M94" s="8">
        <v>4.6449385362327256</v>
      </c>
      <c r="N94" s="8">
        <v>0.22778736856473361</v>
      </c>
      <c r="O94" s="8">
        <v>-7.3680027471390019E-4</v>
      </c>
      <c r="P94" s="8">
        <v>-8.7012955796339497E-4</v>
      </c>
      <c r="Q94" s="8">
        <f t="shared" si="5"/>
        <v>-1.5999999999962711E-3</v>
      </c>
      <c r="R94" s="8">
        <v>1.140175407782471E-3</v>
      </c>
      <c r="U94" s="8">
        <v>-122.4336</v>
      </c>
    </row>
    <row r="95" spans="1:21" x14ac:dyDescent="0.25">
      <c r="A95" s="9" t="s">
        <v>213</v>
      </c>
      <c r="B95" s="8">
        <v>823276.84</v>
      </c>
      <c r="C95" s="8">
        <v>1091536.2709999999</v>
      </c>
      <c r="D95" s="8">
        <v>-122.43300000000001</v>
      </c>
      <c r="E95" s="9" t="s">
        <v>334</v>
      </c>
      <c r="F95" s="8">
        <v>823276.83970000001</v>
      </c>
      <c r="G95" s="8">
        <v>1091536.2699</v>
      </c>
      <c r="H95" s="8">
        <f t="shared" si="4"/>
        <v>-122.4346</v>
      </c>
      <c r="I95" s="8">
        <v>10.761999945955271</v>
      </c>
      <c r="J95" s="8">
        <v>4.645808665790689</v>
      </c>
      <c r="K95" s="8">
        <v>0.22838000056196961</v>
      </c>
      <c r="L95" s="8">
        <v>10.761263145680561</v>
      </c>
      <c r="M95" s="8">
        <v>4.6449385362327256</v>
      </c>
      <c r="N95" s="8">
        <v>0.22778736856473361</v>
      </c>
      <c r="O95" s="8">
        <v>-7.3680027471390019E-4</v>
      </c>
      <c r="P95" s="8">
        <v>-8.7012955796339497E-4</v>
      </c>
      <c r="Q95" s="8">
        <f t="shared" si="5"/>
        <v>-1.5999999999962711E-3</v>
      </c>
      <c r="R95" s="8">
        <v>1.140175407782471E-3</v>
      </c>
      <c r="U95" s="8">
        <v>-122.4336</v>
      </c>
    </row>
    <row r="96" spans="1:21" x14ac:dyDescent="0.25">
      <c r="A96" s="9" t="s">
        <v>214</v>
      </c>
      <c r="B96" s="8">
        <v>823277.29599999997</v>
      </c>
      <c r="C96" s="8">
        <v>1091534.996</v>
      </c>
      <c r="D96" s="8">
        <v>-119.54600000000001</v>
      </c>
      <c r="E96" s="9" t="s">
        <v>92</v>
      </c>
      <c r="F96" s="8">
        <v>823277.29630000005</v>
      </c>
      <c r="G96" s="8">
        <v>1091534.9959</v>
      </c>
      <c r="H96" s="8">
        <f t="shared" si="4"/>
        <v>-119.548</v>
      </c>
      <c r="I96" s="8">
        <v>10.63639479384176</v>
      </c>
      <c r="J96" s="8">
        <v>3.2975563356838471</v>
      </c>
      <c r="K96" s="8">
        <v>3.1166360520828529</v>
      </c>
      <c r="L96" s="8">
        <v>10.636624417421199</v>
      </c>
      <c r="M96" s="8">
        <v>3.2973389121461811</v>
      </c>
      <c r="N96" s="8">
        <v>3.115633755847071</v>
      </c>
      <c r="O96" s="8">
        <v>2.29623579434346E-4</v>
      </c>
      <c r="P96" s="8">
        <v>-2.174235376659617E-4</v>
      </c>
      <c r="Q96" s="8">
        <f t="shared" si="5"/>
        <v>-1.9999999999953388E-3</v>
      </c>
      <c r="R96" s="8">
        <v>3.1622785466436731E-4</v>
      </c>
      <c r="U96" s="8">
        <v>-119.547</v>
      </c>
    </row>
    <row r="97" spans="1:21" x14ac:dyDescent="0.25">
      <c r="A97" s="9" t="s">
        <v>214</v>
      </c>
      <c r="B97" s="8">
        <v>823277.29599999997</v>
      </c>
      <c r="C97" s="8">
        <v>1091534.996</v>
      </c>
      <c r="D97" s="8">
        <v>-119.54600000000001</v>
      </c>
      <c r="E97" s="9" t="s">
        <v>335</v>
      </c>
      <c r="F97" s="8">
        <v>823277.29630000005</v>
      </c>
      <c r="G97" s="8">
        <v>1091534.9959</v>
      </c>
      <c r="H97" s="8">
        <f t="shared" si="4"/>
        <v>-119.548</v>
      </c>
      <c r="I97" s="8">
        <v>10.63639479384176</v>
      </c>
      <c r="J97" s="8">
        <v>3.2975563356838471</v>
      </c>
      <c r="K97" s="8">
        <v>3.1166360520828529</v>
      </c>
      <c r="L97" s="8">
        <v>10.636624417421199</v>
      </c>
      <c r="M97" s="8">
        <v>3.2973389121461811</v>
      </c>
      <c r="N97" s="8">
        <v>3.115633755847071</v>
      </c>
      <c r="O97" s="8">
        <v>2.29623579434346E-4</v>
      </c>
      <c r="P97" s="8">
        <v>-2.174235376659617E-4</v>
      </c>
      <c r="Q97" s="8">
        <f t="shared" si="5"/>
        <v>-1.9999999999953388E-3</v>
      </c>
      <c r="R97" s="8">
        <v>3.1622785466436731E-4</v>
      </c>
      <c r="U97" s="8">
        <v>-119.547</v>
      </c>
    </row>
    <row r="98" spans="1:21" x14ac:dyDescent="0.25">
      <c r="A98" s="9" t="s">
        <v>214</v>
      </c>
      <c r="B98" s="8">
        <v>823277.29599999997</v>
      </c>
      <c r="C98" s="8">
        <v>1091534.996</v>
      </c>
      <c r="D98" s="8">
        <v>-119.54600000000001</v>
      </c>
      <c r="E98" s="9" t="s">
        <v>336</v>
      </c>
      <c r="F98" s="8">
        <v>823277.29630000005</v>
      </c>
      <c r="G98" s="8">
        <v>1091534.9959</v>
      </c>
      <c r="H98" s="8">
        <f t="shared" ref="H98:H129" si="6">U98-0.001</f>
        <v>-119.548</v>
      </c>
      <c r="I98" s="8">
        <v>10.63639479384176</v>
      </c>
      <c r="J98" s="8">
        <v>3.2975563356838471</v>
      </c>
      <c r="K98" s="8">
        <v>3.1166360520828529</v>
      </c>
      <c r="L98" s="8">
        <v>10.636624417421199</v>
      </c>
      <c r="M98" s="8">
        <v>3.2973389121461811</v>
      </c>
      <c r="N98" s="8">
        <v>3.115633755847071</v>
      </c>
      <c r="O98" s="8">
        <v>2.29623579434346E-4</v>
      </c>
      <c r="P98" s="8">
        <v>-2.174235376659617E-4</v>
      </c>
      <c r="Q98" s="8">
        <f t="shared" ref="Q98:Q129" si="7">H98-D98</f>
        <v>-1.9999999999953388E-3</v>
      </c>
      <c r="R98" s="8">
        <v>3.1622785466436731E-4</v>
      </c>
      <c r="U98" s="8">
        <v>-119.547</v>
      </c>
    </row>
    <row r="99" spans="1:21" x14ac:dyDescent="0.25">
      <c r="A99" s="9" t="s">
        <v>214</v>
      </c>
      <c r="B99" s="8">
        <v>823277.29599999997</v>
      </c>
      <c r="C99" s="8">
        <v>1091534.996</v>
      </c>
      <c r="D99" s="8">
        <v>-119.54600000000001</v>
      </c>
      <c r="E99" s="9" t="s">
        <v>337</v>
      </c>
      <c r="F99" s="8">
        <v>823277.29599999997</v>
      </c>
      <c r="G99" s="8">
        <v>1091534.9950999999</v>
      </c>
      <c r="H99" s="8">
        <f t="shared" si="6"/>
        <v>-119.54810000000001</v>
      </c>
      <c r="I99" s="8">
        <v>10.63639479384176</v>
      </c>
      <c r="J99" s="8">
        <v>3.2975563356838471</v>
      </c>
      <c r="K99" s="8">
        <v>3.1166360520828529</v>
      </c>
      <c r="L99" s="8">
        <v>10.63601441121657</v>
      </c>
      <c r="M99" s="8">
        <v>3.2967406707724689</v>
      </c>
      <c r="N99" s="8">
        <v>3.1155398559091201</v>
      </c>
      <c r="O99" s="8">
        <v>-3.8038262519179972E-4</v>
      </c>
      <c r="P99" s="8">
        <v>-8.1566491137774477E-4</v>
      </c>
      <c r="Q99" s="8">
        <f t="shared" si="7"/>
        <v>-2.0999999999986585E-3</v>
      </c>
      <c r="R99" s="8">
        <v>9.0000010095536709E-4</v>
      </c>
      <c r="U99" s="8">
        <v>-119.5471</v>
      </c>
    </row>
    <row r="100" spans="1:21" x14ac:dyDescent="0.25">
      <c r="A100" s="9" t="s">
        <v>214</v>
      </c>
      <c r="B100" s="8">
        <v>823277.29599999997</v>
      </c>
      <c r="C100" s="8">
        <v>1091534.996</v>
      </c>
      <c r="D100" s="8">
        <v>-119.54600000000001</v>
      </c>
      <c r="E100" s="9" t="s">
        <v>338</v>
      </c>
      <c r="F100" s="8">
        <v>823277.29599999997</v>
      </c>
      <c r="G100" s="8">
        <v>1091534.9950999999</v>
      </c>
      <c r="H100" s="8">
        <f t="shared" si="6"/>
        <v>-119.54810000000001</v>
      </c>
      <c r="I100" s="8">
        <v>10.63639479384176</v>
      </c>
      <c r="J100" s="8">
        <v>3.2975563356838471</v>
      </c>
      <c r="K100" s="8">
        <v>3.1166360520828529</v>
      </c>
      <c r="L100" s="8">
        <v>10.63601441121657</v>
      </c>
      <c r="M100" s="8">
        <v>3.2967406707724689</v>
      </c>
      <c r="N100" s="8">
        <v>3.1155398559091201</v>
      </c>
      <c r="O100" s="8">
        <v>-3.8038262519179972E-4</v>
      </c>
      <c r="P100" s="8">
        <v>-8.1566491137774477E-4</v>
      </c>
      <c r="Q100" s="8">
        <f t="shared" si="7"/>
        <v>-2.0999999999986585E-3</v>
      </c>
      <c r="R100" s="8">
        <v>9.0000010095536709E-4</v>
      </c>
      <c r="U100" s="8">
        <v>-119.5471</v>
      </c>
    </row>
    <row r="101" spans="1:21" x14ac:dyDescent="0.25">
      <c r="A101" s="9" t="s">
        <v>214</v>
      </c>
      <c r="B101" s="8">
        <v>823277.29599999997</v>
      </c>
      <c r="C101" s="8">
        <v>1091534.996</v>
      </c>
      <c r="D101" s="8">
        <v>-119.54600000000001</v>
      </c>
      <c r="E101" s="9" t="s">
        <v>339</v>
      </c>
      <c r="F101" s="8">
        <v>823277.29599999997</v>
      </c>
      <c r="G101" s="8">
        <v>1091534.9950999999</v>
      </c>
      <c r="H101" s="8">
        <f t="shared" si="6"/>
        <v>-119.54810000000001</v>
      </c>
      <c r="I101" s="8">
        <v>10.63639479384176</v>
      </c>
      <c r="J101" s="8">
        <v>3.2975563356838471</v>
      </c>
      <c r="K101" s="8">
        <v>3.1166360520828529</v>
      </c>
      <c r="L101" s="8">
        <v>10.63601441121657</v>
      </c>
      <c r="M101" s="8">
        <v>3.2967406707724689</v>
      </c>
      <c r="N101" s="8">
        <v>3.1155398559091201</v>
      </c>
      <c r="O101" s="8">
        <v>-3.8038262519179972E-4</v>
      </c>
      <c r="P101" s="8">
        <v>-8.1566491137774477E-4</v>
      </c>
      <c r="Q101" s="8">
        <f t="shared" si="7"/>
        <v>-2.0999999999986585E-3</v>
      </c>
      <c r="R101" s="8">
        <v>9.0000010095536709E-4</v>
      </c>
      <c r="U101" s="8">
        <v>-119.5471</v>
      </c>
    </row>
    <row r="102" spans="1:21" x14ac:dyDescent="0.25">
      <c r="A102" s="9" t="s">
        <v>215</v>
      </c>
      <c r="B102" s="8">
        <v>823278.79500000004</v>
      </c>
      <c r="C102" s="8">
        <v>1091532.04</v>
      </c>
      <c r="D102" s="8">
        <v>-118.07599999999999</v>
      </c>
      <c r="E102" s="9" t="s">
        <v>340</v>
      </c>
      <c r="F102" s="8">
        <v>823278.79489999998</v>
      </c>
      <c r="G102" s="8">
        <v>1091532.0393999999</v>
      </c>
      <c r="H102" s="8">
        <f t="shared" si="6"/>
        <v>-118.0802</v>
      </c>
      <c r="I102" s="8">
        <v>10.745584398557741</v>
      </c>
      <c r="J102" s="8">
        <v>1.4997759082259121E-2</v>
      </c>
      <c r="K102" s="8">
        <v>4.5855441560359367</v>
      </c>
      <c r="L102" s="8">
        <v>10.745240180627169</v>
      </c>
      <c r="M102" s="8">
        <v>1.549927093569237E-2</v>
      </c>
      <c r="N102" s="8">
        <v>4.582347598215236</v>
      </c>
      <c r="O102" s="8">
        <v>-3.4421793057504152E-4</v>
      </c>
      <c r="P102" s="8">
        <v>5.0151185343324731E-4</v>
      </c>
      <c r="Q102" s="8">
        <f t="shared" si="7"/>
        <v>-4.2000000000115278E-3</v>
      </c>
      <c r="R102" s="8">
        <v>6.0827640632204149E-4</v>
      </c>
      <c r="U102" s="8">
        <v>-118.0792</v>
      </c>
    </row>
    <row r="103" spans="1:21" x14ac:dyDescent="0.25">
      <c r="A103" s="9" t="s">
        <v>215</v>
      </c>
      <c r="B103" s="8">
        <v>823278.79500000004</v>
      </c>
      <c r="C103" s="8">
        <v>1091532.04</v>
      </c>
      <c r="D103" s="8">
        <v>-118.07599999999999</v>
      </c>
      <c r="E103" s="9" t="s">
        <v>341</v>
      </c>
      <c r="F103" s="8">
        <v>823278.79489999998</v>
      </c>
      <c r="G103" s="8">
        <v>1091532.0393999999</v>
      </c>
      <c r="H103" s="8">
        <f t="shared" si="6"/>
        <v>-118.0802</v>
      </c>
      <c r="I103" s="8">
        <v>10.745584398557741</v>
      </c>
      <c r="J103" s="8">
        <v>1.4997759082259121E-2</v>
      </c>
      <c r="K103" s="8">
        <v>4.5855441560359367</v>
      </c>
      <c r="L103" s="8">
        <v>10.745240180627169</v>
      </c>
      <c r="M103" s="8">
        <v>1.549927093569237E-2</v>
      </c>
      <c r="N103" s="8">
        <v>4.582347598215236</v>
      </c>
      <c r="O103" s="8">
        <v>-3.4421793057504152E-4</v>
      </c>
      <c r="P103" s="8">
        <v>5.0151185343324731E-4</v>
      </c>
      <c r="Q103" s="8">
        <f t="shared" si="7"/>
        <v>-4.2000000000115278E-3</v>
      </c>
      <c r="R103" s="8">
        <v>6.0827640632204149E-4</v>
      </c>
      <c r="U103" s="8">
        <v>-118.0792</v>
      </c>
    </row>
    <row r="104" spans="1:21" x14ac:dyDescent="0.25">
      <c r="A104" s="9" t="s">
        <v>215</v>
      </c>
      <c r="B104" s="8">
        <v>823278.79500000004</v>
      </c>
      <c r="C104" s="8">
        <v>1091532.04</v>
      </c>
      <c r="D104" s="8">
        <v>-118.07599999999999</v>
      </c>
      <c r="E104" s="9" t="s">
        <v>342</v>
      </c>
      <c r="F104" s="8">
        <v>823278.79489999998</v>
      </c>
      <c r="G104" s="8">
        <v>1091532.0393999999</v>
      </c>
      <c r="H104" s="8">
        <f t="shared" si="6"/>
        <v>-118.0802</v>
      </c>
      <c r="I104" s="8">
        <v>10.745584398557741</v>
      </c>
      <c r="J104" s="8">
        <v>1.4997759082259121E-2</v>
      </c>
      <c r="K104" s="8">
        <v>4.5855441560359367</v>
      </c>
      <c r="L104" s="8">
        <v>10.745240180627169</v>
      </c>
      <c r="M104" s="8">
        <v>1.549927093569237E-2</v>
      </c>
      <c r="N104" s="8">
        <v>4.582347598215236</v>
      </c>
      <c r="O104" s="8">
        <v>-3.4421793057504152E-4</v>
      </c>
      <c r="P104" s="8">
        <v>5.0151185343324731E-4</v>
      </c>
      <c r="Q104" s="8">
        <f t="shared" si="7"/>
        <v>-4.2000000000115278E-3</v>
      </c>
      <c r="R104" s="8">
        <v>6.0827640632204149E-4</v>
      </c>
      <c r="U104" s="8">
        <v>-118.0792</v>
      </c>
    </row>
    <row r="105" spans="1:21" x14ac:dyDescent="0.25">
      <c r="A105" s="9" t="s">
        <v>216</v>
      </c>
      <c r="B105" s="8">
        <v>823280.14300000004</v>
      </c>
      <c r="C105" s="8">
        <v>1091529.0449999999</v>
      </c>
      <c r="D105" s="8">
        <v>-119.447</v>
      </c>
      <c r="E105" s="9" t="s">
        <v>96</v>
      </c>
      <c r="F105" s="8">
        <v>823280.14229999995</v>
      </c>
      <c r="G105" s="8">
        <v>1091529.0455</v>
      </c>
      <c r="H105" s="8">
        <f t="shared" si="6"/>
        <v>-119.449</v>
      </c>
      <c r="I105" s="8">
        <v>10.701440327800039</v>
      </c>
      <c r="J105" s="8">
        <v>3.2990775846874758</v>
      </c>
      <c r="K105" s="8">
        <v>3.214985596743404</v>
      </c>
      <c r="L105" s="8">
        <v>10.7010172454413</v>
      </c>
      <c r="M105" s="8">
        <v>3.298328584343186</v>
      </c>
      <c r="N105" s="8">
        <v>3.2139898275670049</v>
      </c>
      <c r="O105" s="8">
        <v>-4.2308235874344291E-4</v>
      </c>
      <c r="P105" s="8">
        <v>-7.4900034428937445E-4</v>
      </c>
      <c r="Q105" s="8">
        <f t="shared" si="7"/>
        <v>-1.9999999999953388E-3</v>
      </c>
      <c r="R105" s="8">
        <v>8.6023264876115303E-4</v>
      </c>
      <c r="U105" s="8">
        <v>-119.44799999999999</v>
      </c>
    </row>
    <row r="106" spans="1:21" x14ac:dyDescent="0.25">
      <c r="A106" s="9" t="s">
        <v>216</v>
      </c>
      <c r="B106" s="8">
        <v>823280.14300000004</v>
      </c>
      <c r="C106" s="8">
        <v>1091529.0449999999</v>
      </c>
      <c r="D106" s="8">
        <v>-119.447</v>
      </c>
      <c r="E106" s="9" t="s">
        <v>343</v>
      </c>
      <c r="F106" s="8">
        <v>823280.14229999995</v>
      </c>
      <c r="G106" s="8">
        <v>1091529.0455</v>
      </c>
      <c r="H106" s="8">
        <f t="shared" si="6"/>
        <v>-119.449</v>
      </c>
      <c r="I106" s="8">
        <v>10.701440327800039</v>
      </c>
      <c r="J106" s="8">
        <v>3.2990775846874758</v>
      </c>
      <c r="K106" s="8">
        <v>3.214985596743404</v>
      </c>
      <c r="L106" s="8">
        <v>10.7010172454413</v>
      </c>
      <c r="M106" s="8">
        <v>3.298328584343186</v>
      </c>
      <c r="N106" s="8">
        <v>3.2139898275670049</v>
      </c>
      <c r="O106" s="8">
        <v>-4.2308235874344291E-4</v>
      </c>
      <c r="P106" s="8">
        <v>-7.4900034428937445E-4</v>
      </c>
      <c r="Q106" s="8">
        <f t="shared" si="7"/>
        <v>-1.9999999999953388E-3</v>
      </c>
      <c r="R106" s="8">
        <v>8.6023264876115303E-4</v>
      </c>
      <c r="U106" s="8">
        <v>-119.44799999999999</v>
      </c>
    </row>
    <row r="107" spans="1:21" x14ac:dyDescent="0.25">
      <c r="A107" s="9" t="s">
        <v>216</v>
      </c>
      <c r="B107" s="8">
        <v>823280.14300000004</v>
      </c>
      <c r="C107" s="8">
        <v>1091529.0449999999</v>
      </c>
      <c r="D107" s="8">
        <v>-119.447</v>
      </c>
      <c r="E107" s="9" t="s">
        <v>344</v>
      </c>
      <c r="F107" s="8">
        <v>823280.14229999995</v>
      </c>
      <c r="G107" s="8">
        <v>1091529.0455</v>
      </c>
      <c r="H107" s="8">
        <f t="shared" si="6"/>
        <v>-119.449</v>
      </c>
      <c r="I107" s="8">
        <v>10.701440327800039</v>
      </c>
      <c r="J107" s="8">
        <v>3.2990775846874758</v>
      </c>
      <c r="K107" s="8">
        <v>3.214985596743404</v>
      </c>
      <c r="L107" s="8">
        <v>10.7010172454413</v>
      </c>
      <c r="M107" s="8">
        <v>3.298328584343186</v>
      </c>
      <c r="N107" s="8">
        <v>3.2139898275670049</v>
      </c>
      <c r="O107" s="8">
        <v>-4.2308235874344291E-4</v>
      </c>
      <c r="P107" s="8">
        <v>-7.4900034428937445E-4</v>
      </c>
      <c r="Q107" s="8">
        <f t="shared" si="7"/>
        <v>-1.9999999999953388E-3</v>
      </c>
      <c r="R107" s="8">
        <v>8.6023264876115303E-4</v>
      </c>
      <c r="U107" s="8">
        <v>-119.44799999999999</v>
      </c>
    </row>
    <row r="108" spans="1:21" x14ac:dyDescent="0.25">
      <c r="A108" s="9" t="s">
        <v>216</v>
      </c>
      <c r="B108" s="8">
        <v>823280.14300000004</v>
      </c>
      <c r="C108" s="8">
        <v>1091529.0449999999</v>
      </c>
      <c r="D108" s="8">
        <v>-119.447</v>
      </c>
      <c r="E108" s="9" t="s">
        <v>345</v>
      </c>
      <c r="F108" s="8">
        <v>823280.14190000005</v>
      </c>
      <c r="G108" s="8">
        <v>1091529.0445000001</v>
      </c>
      <c r="H108" s="8">
        <f t="shared" si="6"/>
        <v>-119.449</v>
      </c>
      <c r="I108" s="8">
        <v>10.701440327800039</v>
      </c>
      <c r="J108" s="8">
        <v>3.2990775846874758</v>
      </c>
      <c r="K108" s="8">
        <v>3.214985596743404</v>
      </c>
      <c r="L108" s="8">
        <v>10.70023208054911</v>
      </c>
      <c r="M108" s="8">
        <v>3.299065819541235</v>
      </c>
      <c r="N108" s="8">
        <v>3.2139976792159222</v>
      </c>
      <c r="O108" s="8">
        <v>-1.2082472509309381E-3</v>
      </c>
      <c r="P108" s="8">
        <v>-1.1765146241238261E-5</v>
      </c>
      <c r="Q108" s="8">
        <f t="shared" si="7"/>
        <v>-1.9999999999953388E-3</v>
      </c>
      <c r="R108" s="8">
        <v>1.208304529501046E-3</v>
      </c>
      <c r="U108" s="8">
        <v>-119.44799999999999</v>
      </c>
    </row>
    <row r="109" spans="1:21" x14ac:dyDescent="0.25">
      <c r="A109" s="9" t="s">
        <v>216</v>
      </c>
      <c r="B109" s="8">
        <v>823280.14300000004</v>
      </c>
      <c r="C109" s="8">
        <v>1091529.0449999999</v>
      </c>
      <c r="D109" s="8">
        <v>-119.447</v>
      </c>
      <c r="E109" s="9" t="s">
        <v>346</v>
      </c>
      <c r="F109" s="8">
        <v>823280.14190000005</v>
      </c>
      <c r="G109" s="8">
        <v>1091529.0445000001</v>
      </c>
      <c r="H109" s="8">
        <f t="shared" si="6"/>
        <v>-119.449</v>
      </c>
      <c r="I109" s="8">
        <v>10.701440327800039</v>
      </c>
      <c r="J109" s="8">
        <v>3.2990775846874758</v>
      </c>
      <c r="K109" s="8">
        <v>3.214985596743404</v>
      </c>
      <c r="L109" s="8">
        <v>10.70023208054911</v>
      </c>
      <c r="M109" s="8">
        <v>3.299065819541235</v>
      </c>
      <c r="N109" s="8">
        <v>3.2139976792159222</v>
      </c>
      <c r="O109" s="8">
        <v>-1.2082472509309381E-3</v>
      </c>
      <c r="P109" s="8">
        <v>-1.1765146241238261E-5</v>
      </c>
      <c r="Q109" s="8">
        <f t="shared" si="7"/>
        <v>-1.9999999999953388E-3</v>
      </c>
      <c r="R109" s="8">
        <v>1.208304529501046E-3</v>
      </c>
      <c r="U109" s="8">
        <v>-119.44799999999999</v>
      </c>
    </row>
    <row r="110" spans="1:21" x14ac:dyDescent="0.25">
      <c r="A110" s="9" t="s">
        <v>216</v>
      </c>
      <c r="B110" s="8">
        <v>823280.14300000004</v>
      </c>
      <c r="C110" s="8">
        <v>1091529.0449999999</v>
      </c>
      <c r="D110" s="8">
        <v>-119.447</v>
      </c>
      <c r="E110" s="9" t="s">
        <v>347</v>
      </c>
      <c r="F110" s="8">
        <v>823280.14190000005</v>
      </c>
      <c r="G110" s="8">
        <v>1091529.0445000001</v>
      </c>
      <c r="H110" s="8">
        <f t="shared" si="6"/>
        <v>-119.449</v>
      </c>
      <c r="I110" s="8">
        <v>10.701440327800039</v>
      </c>
      <c r="J110" s="8">
        <v>3.2990775846874758</v>
      </c>
      <c r="K110" s="8">
        <v>3.214985596743404</v>
      </c>
      <c r="L110" s="8">
        <v>10.70023208054911</v>
      </c>
      <c r="M110" s="8">
        <v>3.299065819541235</v>
      </c>
      <c r="N110" s="8">
        <v>3.2139976792159222</v>
      </c>
      <c r="O110" s="8">
        <v>-1.2082472509309381E-3</v>
      </c>
      <c r="P110" s="8">
        <v>-1.1765146241238261E-5</v>
      </c>
      <c r="Q110" s="8">
        <f t="shared" si="7"/>
        <v>-1.9999999999953388E-3</v>
      </c>
      <c r="R110" s="8">
        <v>1.208304529501046E-3</v>
      </c>
      <c r="U110" s="8">
        <v>-119.44799999999999</v>
      </c>
    </row>
    <row r="111" spans="1:21" x14ac:dyDescent="0.25">
      <c r="A111" s="9" t="s">
        <v>217</v>
      </c>
      <c r="B111" s="8">
        <v>823280.65899999999</v>
      </c>
      <c r="C111" s="8">
        <v>1091527.9029999999</v>
      </c>
      <c r="D111" s="8">
        <v>-122.401</v>
      </c>
      <c r="E111" s="9" t="s">
        <v>98</v>
      </c>
      <c r="F111" s="8">
        <v>823280.6581</v>
      </c>
      <c r="G111" s="8">
        <v>1091527.9036999999</v>
      </c>
      <c r="H111" s="8">
        <f t="shared" si="6"/>
        <v>-122.4028</v>
      </c>
      <c r="I111" s="8">
        <v>10.686424922699249</v>
      </c>
      <c r="J111" s="8">
        <v>4.5521516198218732</v>
      </c>
      <c r="K111" s="8">
        <v>0.26113575079439499</v>
      </c>
      <c r="L111" s="8">
        <v>10.68590511100715</v>
      </c>
      <c r="M111" s="8">
        <v>4.5511368312289813</v>
      </c>
      <c r="N111" s="8">
        <v>0.26034094891132042</v>
      </c>
      <c r="O111" s="8">
        <v>-5.1981169209369682E-4</v>
      </c>
      <c r="P111" s="8">
        <v>-1.014788592891946E-3</v>
      </c>
      <c r="Q111" s="8">
        <f t="shared" si="7"/>
        <v>-1.8000000000029104E-3</v>
      </c>
      <c r="R111" s="8">
        <v>1.140175397572172E-3</v>
      </c>
      <c r="U111" s="8">
        <v>-122.40179999999999</v>
      </c>
    </row>
    <row r="112" spans="1:21" x14ac:dyDescent="0.25">
      <c r="A112" s="9" t="s">
        <v>217</v>
      </c>
      <c r="B112" s="8">
        <v>823280.65899999999</v>
      </c>
      <c r="C112" s="8">
        <v>1091527.9029999999</v>
      </c>
      <c r="D112" s="8">
        <v>-122.401</v>
      </c>
      <c r="E112" s="9" t="s">
        <v>348</v>
      </c>
      <c r="F112" s="8">
        <v>823280.6581</v>
      </c>
      <c r="G112" s="8">
        <v>1091527.9036999999</v>
      </c>
      <c r="H112" s="8">
        <f t="shared" si="6"/>
        <v>-122.4028</v>
      </c>
      <c r="I112" s="8">
        <v>10.686424922699249</v>
      </c>
      <c r="J112" s="8">
        <v>4.5521516198218732</v>
      </c>
      <c r="K112" s="8">
        <v>0.26113575079439499</v>
      </c>
      <c r="L112" s="8">
        <v>10.68590511100715</v>
      </c>
      <c r="M112" s="8">
        <v>4.5511368312289813</v>
      </c>
      <c r="N112" s="8">
        <v>0.26034094891132042</v>
      </c>
      <c r="O112" s="8">
        <v>-5.1981169209369682E-4</v>
      </c>
      <c r="P112" s="8">
        <v>-1.014788592891946E-3</v>
      </c>
      <c r="Q112" s="8">
        <f t="shared" si="7"/>
        <v>-1.8000000000029104E-3</v>
      </c>
      <c r="R112" s="8">
        <v>1.140175397572172E-3</v>
      </c>
      <c r="U112" s="8">
        <v>-122.40179999999999</v>
      </c>
    </row>
    <row r="113" spans="1:21" x14ac:dyDescent="0.25">
      <c r="A113" s="9" t="s">
        <v>217</v>
      </c>
      <c r="B113" s="8">
        <v>823280.65899999999</v>
      </c>
      <c r="C113" s="8">
        <v>1091527.9029999999</v>
      </c>
      <c r="D113" s="8">
        <v>-122.401</v>
      </c>
      <c r="E113" s="9" t="s">
        <v>349</v>
      </c>
      <c r="F113" s="8">
        <v>823280.6581</v>
      </c>
      <c r="G113" s="8">
        <v>1091527.9036999999</v>
      </c>
      <c r="H113" s="8">
        <f t="shared" si="6"/>
        <v>-122.4028</v>
      </c>
      <c r="I113" s="8">
        <v>10.686424922699249</v>
      </c>
      <c r="J113" s="8">
        <v>4.5521516198218732</v>
      </c>
      <c r="K113" s="8">
        <v>0.26113575079439499</v>
      </c>
      <c r="L113" s="8">
        <v>10.68590511100715</v>
      </c>
      <c r="M113" s="8">
        <v>4.5511368312289813</v>
      </c>
      <c r="N113" s="8">
        <v>0.26034094891132042</v>
      </c>
      <c r="O113" s="8">
        <v>-5.1981169209369682E-4</v>
      </c>
      <c r="P113" s="8">
        <v>-1.014788592891946E-3</v>
      </c>
      <c r="Q113" s="8">
        <f t="shared" si="7"/>
        <v>-1.8000000000029104E-3</v>
      </c>
      <c r="R113" s="8">
        <v>1.140175397572172E-3</v>
      </c>
      <c r="U113" s="8">
        <v>-122.40179999999999</v>
      </c>
    </row>
    <row r="114" spans="1:21" x14ac:dyDescent="0.25">
      <c r="A114" s="9" t="s">
        <v>217</v>
      </c>
      <c r="B114" s="8">
        <v>823280.65899999999</v>
      </c>
      <c r="C114" s="8">
        <v>1091527.9029999999</v>
      </c>
      <c r="D114" s="8">
        <v>-122.401</v>
      </c>
      <c r="E114" s="9" t="s">
        <v>350</v>
      </c>
      <c r="F114" s="8">
        <v>823280.65800000005</v>
      </c>
      <c r="G114" s="8">
        <v>1091527.9031</v>
      </c>
      <c r="H114" s="8">
        <f t="shared" si="6"/>
        <v>-122.40310000000001</v>
      </c>
      <c r="I114" s="8">
        <v>10.686424922699249</v>
      </c>
      <c r="J114" s="8">
        <v>4.5521516198218732</v>
      </c>
      <c r="K114" s="8">
        <v>0.26113575079439499</v>
      </c>
      <c r="L114" s="8">
        <v>10.68556089328049</v>
      </c>
      <c r="M114" s="8">
        <v>4.5516383430824154</v>
      </c>
      <c r="N114" s="8">
        <v>0.26004439108857008</v>
      </c>
      <c r="O114" s="8">
        <v>-8.6402941875896033E-4</v>
      </c>
      <c r="P114" s="8">
        <v>-5.1327673945866792E-4</v>
      </c>
      <c r="Q114" s="8">
        <f t="shared" si="7"/>
        <v>-2.1000000000128694E-3</v>
      </c>
      <c r="R114" s="8">
        <v>1.004987499800743E-3</v>
      </c>
      <c r="U114" s="8">
        <v>-122.4021</v>
      </c>
    </row>
    <row r="115" spans="1:21" x14ac:dyDescent="0.25">
      <c r="A115" s="9" t="s">
        <v>217</v>
      </c>
      <c r="B115" s="8">
        <v>823280.65899999999</v>
      </c>
      <c r="C115" s="8">
        <v>1091527.9029999999</v>
      </c>
      <c r="D115" s="8">
        <v>-122.401</v>
      </c>
      <c r="E115" s="9" t="s">
        <v>351</v>
      </c>
      <c r="F115" s="8">
        <v>823280.65800000005</v>
      </c>
      <c r="G115" s="8">
        <v>1091527.9031</v>
      </c>
      <c r="H115" s="8">
        <f t="shared" si="6"/>
        <v>-122.40310000000001</v>
      </c>
      <c r="I115" s="8">
        <v>10.686424922699249</v>
      </c>
      <c r="J115" s="8">
        <v>4.5521516198218732</v>
      </c>
      <c r="K115" s="8">
        <v>0.26113575079439499</v>
      </c>
      <c r="L115" s="8">
        <v>10.68556089328049</v>
      </c>
      <c r="M115" s="8">
        <v>4.5516383430824154</v>
      </c>
      <c r="N115" s="8">
        <v>0.26004439108857008</v>
      </c>
      <c r="O115" s="8">
        <v>-8.6402941875896033E-4</v>
      </c>
      <c r="P115" s="8">
        <v>-5.1327673945866792E-4</v>
      </c>
      <c r="Q115" s="8">
        <f t="shared" si="7"/>
        <v>-2.1000000000128694E-3</v>
      </c>
      <c r="R115" s="8">
        <v>1.004987499800743E-3</v>
      </c>
      <c r="U115" s="8">
        <v>-122.4021</v>
      </c>
    </row>
    <row r="116" spans="1:21" x14ac:dyDescent="0.25">
      <c r="A116" s="9" t="s">
        <v>217</v>
      </c>
      <c r="B116" s="8">
        <v>823280.65899999999</v>
      </c>
      <c r="C116" s="8">
        <v>1091527.9029999999</v>
      </c>
      <c r="D116" s="8">
        <v>-122.401</v>
      </c>
      <c r="E116" s="9" t="s">
        <v>352</v>
      </c>
      <c r="F116" s="8">
        <v>823280.65800000005</v>
      </c>
      <c r="G116" s="8">
        <v>1091527.9031</v>
      </c>
      <c r="H116" s="8">
        <f t="shared" si="6"/>
        <v>-122.40310000000001</v>
      </c>
      <c r="I116" s="8">
        <v>10.686424922699249</v>
      </c>
      <c r="J116" s="8">
        <v>4.5521516198218732</v>
      </c>
      <c r="K116" s="8">
        <v>0.26113575079439499</v>
      </c>
      <c r="L116" s="8">
        <v>10.68556089328049</v>
      </c>
      <c r="M116" s="8">
        <v>4.5516383430824154</v>
      </c>
      <c r="N116" s="8">
        <v>0.26004439108857008</v>
      </c>
      <c r="O116" s="8">
        <v>-8.6402941875896033E-4</v>
      </c>
      <c r="P116" s="8">
        <v>-5.1327673945866792E-4</v>
      </c>
      <c r="Q116" s="8">
        <f t="shared" si="7"/>
        <v>-2.1000000000128694E-3</v>
      </c>
      <c r="R116" s="8">
        <v>1.004987499800743E-3</v>
      </c>
      <c r="U116" s="8">
        <v>-122.4021</v>
      </c>
    </row>
    <row r="117" spans="1:21" x14ac:dyDescent="0.25">
      <c r="A117" s="9" t="s">
        <v>218</v>
      </c>
      <c r="B117" s="8">
        <v>823280.12899999996</v>
      </c>
      <c r="C117" s="8">
        <v>1091528.2579999999</v>
      </c>
      <c r="D117" s="8">
        <v>-124.904</v>
      </c>
      <c r="E117" s="9" t="s">
        <v>100</v>
      </c>
      <c r="F117" s="8">
        <v>823280.12829999998</v>
      </c>
      <c r="G117" s="8">
        <v>1091528.2575000001</v>
      </c>
      <c r="H117" s="8">
        <f t="shared" si="6"/>
        <v>-124.90600000000001</v>
      </c>
      <c r="I117" s="8">
        <v>10.356128772320091</v>
      </c>
      <c r="J117" s="8">
        <v>4.0064140885076416</v>
      </c>
      <c r="K117" s="8">
        <v>-2.2385612877024812</v>
      </c>
      <c r="L117" s="8">
        <v>10.355283042782069</v>
      </c>
      <c r="M117" s="8">
        <v>4.0065713823991427</v>
      </c>
      <c r="N117" s="8">
        <v>-2.239552830407106</v>
      </c>
      <c r="O117" s="8">
        <v>-8.4572953802286577E-4</v>
      </c>
      <c r="P117" s="8">
        <v>1.5729389150109799E-4</v>
      </c>
      <c r="Q117" s="8">
        <f t="shared" si="7"/>
        <v>-2.0000000000095497E-3</v>
      </c>
      <c r="R117" s="8">
        <v>8.6023241870005298E-4</v>
      </c>
      <c r="U117" s="8">
        <v>-124.905</v>
      </c>
    </row>
    <row r="118" spans="1:21" x14ac:dyDescent="0.25">
      <c r="A118" s="9" t="s">
        <v>218</v>
      </c>
      <c r="B118" s="8">
        <v>823280.12899999996</v>
      </c>
      <c r="C118" s="8">
        <v>1091528.2579999999</v>
      </c>
      <c r="D118" s="8">
        <v>-124.904</v>
      </c>
      <c r="E118" s="9" t="s">
        <v>353</v>
      </c>
      <c r="F118" s="8">
        <v>823280.12829999998</v>
      </c>
      <c r="G118" s="8">
        <v>1091528.2575000001</v>
      </c>
      <c r="H118" s="8">
        <f t="shared" si="6"/>
        <v>-124.90600000000001</v>
      </c>
      <c r="I118" s="8">
        <v>10.356128772320091</v>
      </c>
      <c r="J118" s="8">
        <v>4.0064140885076416</v>
      </c>
      <c r="K118" s="8">
        <v>-2.2385612877024812</v>
      </c>
      <c r="L118" s="8">
        <v>10.355283042782069</v>
      </c>
      <c r="M118" s="8">
        <v>4.0065713823991427</v>
      </c>
      <c r="N118" s="8">
        <v>-2.239552830407106</v>
      </c>
      <c r="O118" s="8">
        <v>-8.4572953802286577E-4</v>
      </c>
      <c r="P118" s="8">
        <v>1.5729389150109799E-4</v>
      </c>
      <c r="Q118" s="8">
        <f t="shared" si="7"/>
        <v>-2.0000000000095497E-3</v>
      </c>
      <c r="R118" s="8">
        <v>8.6023241870005298E-4</v>
      </c>
      <c r="U118" s="8">
        <v>-124.905</v>
      </c>
    </row>
    <row r="119" spans="1:21" x14ac:dyDescent="0.25">
      <c r="A119" s="9" t="s">
        <v>218</v>
      </c>
      <c r="B119" s="8">
        <v>823280.12899999996</v>
      </c>
      <c r="C119" s="8">
        <v>1091528.2579999999</v>
      </c>
      <c r="D119" s="8">
        <v>-124.904</v>
      </c>
      <c r="E119" s="9" t="s">
        <v>354</v>
      </c>
      <c r="F119" s="8">
        <v>823280.12829999998</v>
      </c>
      <c r="G119" s="8">
        <v>1091528.2575000001</v>
      </c>
      <c r="H119" s="8">
        <f t="shared" si="6"/>
        <v>-124.90600000000001</v>
      </c>
      <c r="I119" s="8">
        <v>10.356128772320091</v>
      </c>
      <c r="J119" s="8">
        <v>4.0064140885076416</v>
      </c>
      <c r="K119" s="8">
        <v>-2.2385612877024812</v>
      </c>
      <c r="L119" s="8">
        <v>10.355283042782069</v>
      </c>
      <c r="M119" s="8">
        <v>4.0065713823991427</v>
      </c>
      <c r="N119" s="8">
        <v>-2.239552830407106</v>
      </c>
      <c r="O119" s="8">
        <v>-8.4572953802286577E-4</v>
      </c>
      <c r="P119" s="8">
        <v>1.5729389150109799E-4</v>
      </c>
      <c r="Q119" s="8">
        <f t="shared" si="7"/>
        <v>-2.0000000000095497E-3</v>
      </c>
      <c r="R119" s="8">
        <v>8.6023241870005298E-4</v>
      </c>
      <c r="U119" s="8">
        <v>-124.905</v>
      </c>
    </row>
    <row r="120" spans="1:21" x14ac:dyDescent="0.25">
      <c r="A120" s="9" t="s">
        <v>218</v>
      </c>
      <c r="B120" s="8">
        <v>823280.12899999996</v>
      </c>
      <c r="C120" s="8">
        <v>1091528.2579999999</v>
      </c>
      <c r="D120" s="8">
        <v>-124.904</v>
      </c>
      <c r="E120" s="9" t="s">
        <v>355</v>
      </c>
      <c r="F120" s="8">
        <v>823280.12860000005</v>
      </c>
      <c r="G120" s="8">
        <v>1091528.257</v>
      </c>
      <c r="H120" s="8">
        <f t="shared" si="6"/>
        <v>-124.9058</v>
      </c>
      <c r="I120" s="8">
        <v>10.356128772320091</v>
      </c>
      <c r="J120" s="8">
        <v>4.0064140885076416</v>
      </c>
      <c r="K120" s="8">
        <v>-2.2385612877024812</v>
      </c>
      <c r="L120" s="8">
        <v>10.355343607427899</v>
      </c>
      <c r="M120" s="8">
        <v>4.0071513237548926</v>
      </c>
      <c r="N120" s="8">
        <v>-2.2393534360535479</v>
      </c>
      <c r="O120" s="8">
        <v>-7.8516489218571905E-4</v>
      </c>
      <c r="P120" s="8">
        <v>7.372352472510002E-4</v>
      </c>
      <c r="Q120" s="8">
        <f t="shared" si="7"/>
        <v>-1.8000000000029104E-3</v>
      </c>
      <c r="R120" s="8">
        <v>1.077032861258745E-3</v>
      </c>
      <c r="U120" s="8">
        <v>-124.90479999999999</v>
      </c>
    </row>
    <row r="121" spans="1:21" x14ac:dyDescent="0.25">
      <c r="A121" s="9" t="s">
        <v>218</v>
      </c>
      <c r="B121" s="8">
        <v>823280.12899999996</v>
      </c>
      <c r="C121" s="8">
        <v>1091528.2579999999</v>
      </c>
      <c r="D121" s="8">
        <v>-124.904</v>
      </c>
      <c r="E121" s="9" t="s">
        <v>356</v>
      </c>
      <c r="F121" s="8">
        <v>823280.12860000005</v>
      </c>
      <c r="G121" s="8">
        <v>1091528.257</v>
      </c>
      <c r="H121" s="8">
        <f t="shared" si="6"/>
        <v>-124.9058</v>
      </c>
      <c r="I121" s="8">
        <v>10.356128772320091</v>
      </c>
      <c r="J121" s="8">
        <v>4.0064140885076416</v>
      </c>
      <c r="K121" s="8">
        <v>-2.2385612877024812</v>
      </c>
      <c r="L121" s="8">
        <v>10.355343607427899</v>
      </c>
      <c r="M121" s="8">
        <v>4.0071513237548926</v>
      </c>
      <c r="N121" s="8">
        <v>-2.2393534360535479</v>
      </c>
      <c r="O121" s="8">
        <v>-7.8516489218571905E-4</v>
      </c>
      <c r="P121" s="8">
        <v>7.372352472510002E-4</v>
      </c>
      <c r="Q121" s="8">
        <f t="shared" si="7"/>
        <v>-1.8000000000029104E-3</v>
      </c>
      <c r="R121" s="8">
        <v>1.077032861258745E-3</v>
      </c>
      <c r="U121" s="8">
        <v>-124.90479999999999</v>
      </c>
    </row>
    <row r="122" spans="1:21" x14ac:dyDescent="0.25">
      <c r="A122" s="9" t="s">
        <v>218</v>
      </c>
      <c r="B122" s="8">
        <v>823280.12899999996</v>
      </c>
      <c r="C122" s="8">
        <v>1091528.2579999999</v>
      </c>
      <c r="D122" s="8">
        <v>-124.904</v>
      </c>
      <c r="E122" s="9" t="s">
        <v>357</v>
      </c>
      <c r="F122" s="8">
        <v>823280.12860000005</v>
      </c>
      <c r="G122" s="8">
        <v>1091528.257</v>
      </c>
      <c r="H122" s="8">
        <f t="shared" si="6"/>
        <v>-124.9058</v>
      </c>
      <c r="I122" s="8">
        <v>10.356128772320091</v>
      </c>
      <c r="J122" s="8">
        <v>4.0064140885076416</v>
      </c>
      <c r="K122" s="8">
        <v>-2.2385612877024812</v>
      </c>
      <c r="L122" s="8">
        <v>10.355343607427899</v>
      </c>
      <c r="M122" s="8">
        <v>4.0071513237548926</v>
      </c>
      <c r="N122" s="8">
        <v>-2.2393534360535479</v>
      </c>
      <c r="O122" s="8">
        <v>-7.8516489218571905E-4</v>
      </c>
      <c r="P122" s="8">
        <v>7.372352472510002E-4</v>
      </c>
      <c r="Q122" s="8">
        <f t="shared" si="7"/>
        <v>-1.8000000000029104E-3</v>
      </c>
      <c r="R122" s="8">
        <v>1.077032861258745E-3</v>
      </c>
      <c r="U122" s="8">
        <v>-124.90479999999999</v>
      </c>
    </row>
    <row r="123" spans="1:21" x14ac:dyDescent="0.25">
      <c r="A123" s="9" t="s">
        <v>219</v>
      </c>
      <c r="B123" s="8">
        <v>823286.71</v>
      </c>
      <c r="C123" s="8">
        <v>1091540.0619999999</v>
      </c>
      <c r="D123" s="8">
        <v>-124.79600000000001</v>
      </c>
      <c r="E123" s="9" t="s">
        <v>358</v>
      </c>
      <c r="F123" s="8">
        <v>823286.71059999999</v>
      </c>
      <c r="G123" s="8">
        <v>1091540.06</v>
      </c>
      <c r="H123" s="8">
        <f t="shared" si="6"/>
        <v>-124.79700000000001</v>
      </c>
      <c r="I123" s="8">
        <v>21.309380054074971</v>
      </c>
      <c r="J123" s="8">
        <v>3.9100411382323541</v>
      </c>
      <c r="K123" s="8">
        <v>-2.2400938004981161</v>
      </c>
      <c r="L123" s="8">
        <v>21.309078536074761</v>
      </c>
      <c r="M123" s="8">
        <v>3.907974961594483</v>
      </c>
      <c r="N123" s="8">
        <v>-2.2400907853181171</v>
      </c>
      <c r="O123" s="8">
        <v>-3.0151800021371861E-4</v>
      </c>
      <c r="P123" s="8">
        <v>-2.066176637871564E-3</v>
      </c>
      <c r="Q123" s="8">
        <f t="shared" si="7"/>
        <v>-1.0000000000047748E-3</v>
      </c>
      <c r="R123" s="8">
        <v>2.0880611779483908E-3</v>
      </c>
      <c r="U123" s="8">
        <v>-124.79600000000001</v>
      </c>
    </row>
    <row r="124" spans="1:21" x14ac:dyDescent="0.25">
      <c r="A124" s="9" t="s">
        <v>219</v>
      </c>
      <c r="B124" s="8">
        <v>823286.71</v>
      </c>
      <c r="C124" s="8">
        <v>1091540.0619999999</v>
      </c>
      <c r="D124" s="8">
        <v>-124.79600000000001</v>
      </c>
      <c r="E124" s="9" t="s">
        <v>359</v>
      </c>
      <c r="F124" s="8">
        <v>823286.71089999995</v>
      </c>
      <c r="G124" s="8">
        <v>1091540.06</v>
      </c>
      <c r="H124" s="8">
        <f t="shared" si="6"/>
        <v>-124.7971</v>
      </c>
      <c r="I124" s="8">
        <v>21.309380054074971</v>
      </c>
      <c r="J124" s="8">
        <v>3.9100411382323541</v>
      </c>
      <c r="K124" s="8">
        <v>-2.2400938004981161</v>
      </c>
      <c r="L124" s="8">
        <v>21.309350424306679</v>
      </c>
      <c r="M124" s="8">
        <v>3.9078481673812302</v>
      </c>
      <c r="N124" s="8">
        <v>-2.2401935042004339</v>
      </c>
      <c r="O124" s="8">
        <v>-2.9629768288685909E-5</v>
      </c>
      <c r="P124" s="8">
        <v>-2.192970851124354E-3</v>
      </c>
      <c r="Q124" s="8">
        <f t="shared" si="7"/>
        <v>-1.0999999999938836E-3</v>
      </c>
      <c r="R124" s="8">
        <v>2.1931710879065361E-3</v>
      </c>
      <c r="U124" s="8">
        <v>-124.7961</v>
      </c>
    </row>
    <row r="125" spans="1:21" x14ac:dyDescent="0.25">
      <c r="A125" s="9" t="s">
        <v>219</v>
      </c>
      <c r="B125" s="8">
        <v>823286.71</v>
      </c>
      <c r="C125" s="8">
        <v>1091540.0619999999</v>
      </c>
      <c r="D125" s="8">
        <v>-124.79600000000001</v>
      </c>
      <c r="E125" s="9" t="s">
        <v>360</v>
      </c>
      <c r="F125" s="8">
        <v>823286.71089999995</v>
      </c>
      <c r="G125" s="8">
        <v>1091540.06</v>
      </c>
      <c r="H125" s="8">
        <f t="shared" si="6"/>
        <v>-124.7971</v>
      </c>
      <c r="I125" s="8">
        <v>21.309380054074971</v>
      </c>
      <c r="J125" s="8">
        <v>3.9100411382323541</v>
      </c>
      <c r="K125" s="8">
        <v>-2.2400938004981161</v>
      </c>
      <c r="L125" s="8">
        <v>21.309350424306679</v>
      </c>
      <c r="M125" s="8">
        <v>3.9078481673812302</v>
      </c>
      <c r="N125" s="8">
        <v>-2.2401935042004339</v>
      </c>
      <c r="O125" s="8">
        <v>-2.9629768288685909E-5</v>
      </c>
      <c r="P125" s="8">
        <v>-2.192970851124354E-3</v>
      </c>
      <c r="Q125" s="8">
        <f t="shared" si="7"/>
        <v>-1.0999999999938836E-3</v>
      </c>
      <c r="R125" s="8">
        <v>2.1931710879065361E-3</v>
      </c>
      <c r="U125" s="8">
        <v>-124.7961</v>
      </c>
    </row>
    <row r="126" spans="1:21" x14ac:dyDescent="0.25">
      <c r="A126" s="9" t="s">
        <v>219</v>
      </c>
      <c r="B126" s="8">
        <v>823286.71</v>
      </c>
      <c r="C126" s="8">
        <v>1091540.0619999999</v>
      </c>
      <c r="D126" s="8">
        <v>-124.79600000000001</v>
      </c>
      <c r="E126" s="9" t="s">
        <v>102</v>
      </c>
      <c r="F126" s="8">
        <v>823286.71030000004</v>
      </c>
      <c r="G126" s="8">
        <v>1091540.0601999999</v>
      </c>
      <c r="H126" s="8">
        <f t="shared" si="6"/>
        <v>-124.79650000000001</v>
      </c>
      <c r="I126" s="8">
        <v>21.309380054074971</v>
      </c>
      <c r="J126" s="8">
        <v>3.9100411382323541</v>
      </c>
      <c r="K126" s="8">
        <v>-2.2400938004981161</v>
      </c>
      <c r="L126" s="8">
        <v>21.308891177260431</v>
      </c>
      <c r="M126" s="8">
        <v>3.9082830144565621</v>
      </c>
      <c r="N126" s="8">
        <v>-2.2395889117299821</v>
      </c>
      <c r="O126" s="8">
        <v>-4.8887681454345966E-4</v>
      </c>
      <c r="P126" s="8">
        <v>-1.7581237757924311E-3</v>
      </c>
      <c r="Q126" s="8">
        <f t="shared" si="7"/>
        <v>-5.0000000000238742E-4</v>
      </c>
      <c r="R126" s="8">
        <v>1.8248287405020971E-3</v>
      </c>
      <c r="U126" s="8">
        <v>-124.7955</v>
      </c>
    </row>
    <row r="127" spans="1:21" x14ac:dyDescent="0.25">
      <c r="A127" s="9" t="s">
        <v>219</v>
      </c>
      <c r="B127" s="8">
        <v>823286.71</v>
      </c>
      <c r="C127" s="8">
        <v>1091540.0619999999</v>
      </c>
      <c r="D127" s="8">
        <v>-124.79600000000001</v>
      </c>
      <c r="E127" s="9" t="s">
        <v>361</v>
      </c>
      <c r="F127" s="8">
        <v>823286.71030000004</v>
      </c>
      <c r="G127" s="8">
        <v>1091540.0601999999</v>
      </c>
      <c r="H127" s="8">
        <f t="shared" si="6"/>
        <v>-124.79650000000001</v>
      </c>
      <c r="I127" s="8">
        <v>21.309380054074971</v>
      </c>
      <c r="J127" s="8">
        <v>3.9100411382323541</v>
      </c>
      <c r="K127" s="8">
        <v>-2.2400938004981161</v>
      </c>
      <c r="L127" s="8">
        <v>21.308891177260431</v>
      </c>
      <c r="M127" s="8">
        <v>3.9082830144565621</v>
      </c>
      <c r="N127" s="8">
        <v>-2.2395889117299821</v>
      </c>
      <c r="O127" s="8">
        <v>-4.8887681454345966E-4</v>
      </c>
      <c r="P127" s="8">
        <v>-1.7581237757924311E-3</v>
      </c>
      <c r="Q127" s="8">
        <f t="shared" si="7"/>
        <v>-5.0000000000238742E-4</v>
      </c>
      <c r="R127" s="8">
        <v>1.8248287405020971E-3</v>
      </c>
      <c r="U127" s="8">
        <v>-124.7955</v>
      </c>
    </row>
    <row r="128" spans="1:21" x14ac:dyDescent="0.25">
      <c r="A128" s="9" t="s">
        <v>219</v>
      </c>
      <c r="B128" s="8">
        <v>823286.71</v>
      </c>
      <c r="C128" s="8">
        <v>1091540.0619999999</v>
      </c>
      <c r="D128" s="8">
        <v>-124.79600000000001</v>
      </c>
      <c r="E128" s="9" t="s">
        <v>362</v>
      </c>
      <c r="F128" s="8">
        <v>823286.71030000004</v>
      </c>
      <c r="G128" s="8">
        <v>1091540.0601999999</v>
      </c>
      <c r="H128" s="8">
        <f t="shared" si="6"/>
        <v>-124.79650000000001</v>
      </c>
      <c r="I128" s="8">
        <v>21.309380054074971</v>
      </c>
      <c r="J128" s="8">
        <v>3.9100411382323541</v>
      </c>
      <c r="K128" s="8">
        <v>-2.2400938004981161</v>
      </c>
      <c r="L128" s="8">
        <v>21.308891177260431</v>
      </c>
      <c r="M128" s="8">
        <v>3.9082830144565621</v>
      </c>
      <c r="N128" s="8">
        <v>-2.2395889117299821</v>
      </c>
      <c r="O128" s="8">
        <v>-4.8887681454345966E-4</v>
      </c>
      <c r="P128" s="8">
        <v>-1.7581237757924311E-3</v>
      </c>
      <c r="Q128" s="8">
        <f t="shared" si="7"/>
        <v>-5.0000000000238742E-4</v>
      </c>
      <c r="R128" s="8">
        <v>1.8248287405020971E-3</v>
      </c>
      <c r="U128" s="8">
        <v>-124.7955</v>
      </c>
    </row>
    <row r="129" spans="1:21" x14ac:dyDescent="0.25">
      <c r="A129" s="9" t="s">
        <v>219</v>
      </c>
      <c r="B129" s="8">
        <v>823286.71</v>
      </c>
      <c r="C129" s="8">
        <v>1091540.0619999999</v>
      </c>
      <c r="D129" s="8">
        <v>-124.79600000000001</v>
      </c>
      <c r="E129" s="9" t="s">
        <v>363</v>
      </c>
      <c r="F129" s="8">
        <v>823286.70889999997</v>
      </c>
      <c r="G129" s="8">
        <v>1091540.0591</v>
      </c>
      <c r="H129" s="8">
        <f t="shared" si="6"/>
        <v>-124.7967</v>
      </c>
      <c r="I129" s="8">
        <v>21.309380054074971</v>
      </c>
      <c r="J129" s="8">
        <v>3.9100411382323541</v>
      </c>
      <c r="K129" s="8">
        <v>-2.2400938004981161</v>
      </c>
      <c r="L129" s="8">
        <v>21.307157453222469</v>
      </c>
      <c r="M129" s="8">
        <v>3.9078777971381329</v>
      </c>
      <c r="N129" s="8">
        <v>-2.2397715744895952</v>
      </c>
      <c r="O129" s="8">
        <v>-2.2226008525016989E-3</v>
      </c>
      <c r="P129" s="8">
        <v>-2.1633410942212268E-3</v>
      </c>
      <c r="Q129" s="8">
        <f t="shared" si="7"/>
        <v>-6.9999999999481588E-4</v>
      </c>
      <c r="R129" s="8">
        <v>3.1016124472572019E-3</v>
      </c>
      <c r="U129" s="8">
        <v>-124.7957</v>
      </c>
    </row>
    <row r="130" spans="1:21" x14ac:dyDescent="0.25">
      <c r="A130" s="9" t="s">
        <v>219</v>
      </c>
      <c r="B130" s="8">
        <v>823286.71</v>
      </c>
      <c r="C130" s="8">
        <v>1091540.0619999999</v>
      </c>
      <c r="D130" s="8">
        <v>-124.79600000000001</v>
      </c>
      <c r="E130" s="9" t="s">
        <v>364</v>
      </c>
      <c r="F130" s="8">
        <v>823286.70889999997</v>
      </c>
      <c r="G130" s="8">
        <v>1091540.0591</v>
      </c>
      <c r="H130" s="8">
        <f t="shared" ref="H130:H161" si="8">U130-0.001</f>
        <v>-124.7967</v>
      </c>
      <c r="I130" s="8">
        <v>21.309380054074971</v>
      </c>
      <c r="J130" s="8">
        <v>3.9100411382323541</v>
      </c>
      <c r="K130" s="8">
        <v>-2.2400938004981161</v>
      </c>
      <c r="L130" s="8">
        <v>21.307157453222469</v>
      </c>
      <c r="M130" s="8">
        <v>3.9078777971381329</v>
      </c>
      <c r="N130" s="8">
        <v>-2.2397715744895952</v>
      </c>
      <c r="O130" s="8">
        <v>-2.2226008525016989E-3</v>
      </c>
      <c r="P130" s="8">
        <v>-2.1633410942212268E-3</v>
      </c>
      <c r="Q130" s="8">
        <f t="shared" ref="Q130:Q161" si="9">H130-D130</f>
        <v>-6.9999999999481588E-4</v>
      </c>
      <c r="R130" s="8">
        <v>3.1016124472572019E-3</v>
      </c>
      <c r="U130" s="8">
        <v>-124.7957</v>
      </c>
    </row>
    <row r="131" spans="1:21" x14ac:dyDescent="0.25">
      <c r="A131" s="9" t="s">
        <v>220</v>
      </c>
      <c r="B131" s="8">
        <v>823286.34400000004</v>
      </c>
      <c r="C131" s="8">
        <v>1091540.73</v>
      </c>
      <c r="D131" s="8">
        <v>-122.27500000000001</v>
      </c>
      <c r="E131" s="9" t="s">
        <v>365</v>
      </c>
      <c r="F131" s="8">
        <v>823286.34499999997</v>
      </c>
      <c r="G131" s="8">
        <v>1091540.73</v>
      </c>
      <c r="H131" s="8">
        <f t="shared" si="8"/>
        <v>-122.2766</v>
      </c>
      <c r="I131" s="8">
        <v>21.26000476831387</v>
      </c>
      <c r="J131" s="8">
        <v>4.6701346069549263</v>
      </c>
      <c r="K131" s="8">
        <v>0.28139995235939352</v>
      </c>
      <c r="L131" s="8">
        <v>21.260911062490631</v>
      </c>
      <c r="M131" s="8">
        <v>4.669711959701691</v>
      </c>
      <c r="N131" s="8">
        <v>0.28079088941763081</v>
      </c>
      <c r="O131" s="8">
        <v>9.0629417675813784E-4</v>
      </c>
      <c r="P131" s="8">
        <v>-4.2264725323537528E-4</v>
      </c>
      <c r="Q131" s="8">
        <f t="shared" si="9"/>
        <v>-1.5999999999962711E-3</v>
      </c>
      <c r="R131" s="8">
        <v>9.9999993108212948E-4</v>
      </c>
      <c r="U131" s="8">
        <v>-122.2756</v>
      </c>
    </row>
    <row r="132" spans="1:21" x14ac:dyDescent="0.25">
      <c r="A132" s="9" t="s">
        <v>220</v>
      </c>
      <c r="B132" s="8">
        <v>823286.34400000004</v>
      </c>
      <c r="C132" s="8">
        <v>1091540.73</v>
      </c>
      <c r="D132" s="8">
        <v>-122.27500000000001</v>
      </c>
      <c r="E132" s="9" t="s">
        <v>366</v>
      </c>
      <c r="F132" s="8">
        <v>823286.34519999998</v>
      </c>
      <c r="G132" s="8">
        <v>1091540.7298000001</v>
      </c>
      <c r="H132" s="8">
        <f t="shared" si="8"/>
        <v>-122.27680000000001</v>
      </c>
      <c r="I132" s="8">
        <v>21.26000476831387</v>
      </c>
      <c r="J132" s="8">
        <v>4.6701346069549263</v>
      </c>
      <c r="K132" s="8">
        <v>0.28139995235939352</v>
      </c>
      <c r="L132" s="8">
        <v>21.26100779192949</v>
      </c>
      <c r="M132" s="8">
        <v>4.6694461714530888</v>
      </c>
      <c r="N132" s="8">
        <v>0.28058992212324091</v>
      </c>
      <c r="O132" s="8">
        <v>1.003023615616883E-3</v>
      </c>
      <c r="P132" s="8">
        <v>-6.8843550183750324E-4</v>
      </c>
      <c r="Q132" s="8">
        <f t="shared" si="9"/>
        <v>-1.8000000000029104E-3</v>
      </c>
      <c r="R132" s="8">
        <v>1.216552429872864E-3</v>
      </c>
      <c r="U132" s="8">
        <v>-122.2758</v>
      </c>
    </row>
    <row r="133" spans="1:21" x14ac:dyDescent="0.25">
      <c r="A133" s="9" t="s">
        <v>220</v>
      </c>
      <c r="B133" s="8">
        <v>823286.34400000004</v>
      </c>
      <c r="C133" s="8">
        <v>1091540.73</v>
      </c>
      <c r="D133" s="8">
        <v>-122.27500000000001</v>
      </c>
      <c r="E133" s="9" t="s">
        <v>367</v>
      </c>
      <c r="F133" s="8">
        <v>823286.34519999998</v>
      </c>
      <c r="G133" s="8">
        <v>1091540.7298000001</v>
      </c>
      <c r="H133" s="8">
        <f t="shared" si="8"/>
        <v>-122.27680000000001</v>
      </c>
      <c r="I133" s="8">
        <v>21.26000476831387</v>
      </c>
      <c r="J133" s="8">
        <v>4.6701346069549263</v>
      </c>
      <c r="K133" s="8">
        <v>0.28139995235939352</v>
      </c>
      <c r="L133" s="8">
        <v>21.26100779192949</v>
      </c>
      <c r="M133" s="8">
        <v>4.6694461714530888</v>
      </c>
      <c r="N133" s="8">
        <v>0.28058992212324091</v>
      </c>
      <c r="O133" s="8">
        <v>1.003023615616883E-3</v>
      </c>
      <c r="P133" s="8">
        <v>-6.8843550183750324E-4</v>
      </c>
      <c r="Q133" s="8">
        <f t="shared" si="9"/>
        <v>-1.8000000000029104E-3</v>
      </c>
      <c r="R133" s="8">
        <v>1.216552429872864E-3</v>
      </c>
      <c r="U133" s="8">
        <v>-122.2758</v>
      </c>
    </row>
    <row r="134" spans="1:21" x14ac:dyDescent="0.25">
      <c r="A134" s="9" t="s">
        <v>220</v>
      </c>
      <c r="B134" s="8">
        <v>823286.34400000004</v>
      </c>
      <c r="C134" s="8">
        <v>1091540.73</v>
      </c>
      <c r="D134" s="8">
        <v>-122.27500000000001</v>
      </c>
      <c r="E134" s="9" t="s">
        <v>104</v>
      </c>
      <c r="F134" s="8">
        <v>823286.34360000002</v>
      </c>
      <c r="G134" s="8">
        <v>1091540.7291999999</v>
      </c>
      <c r="H134" s="8">
        <f t="shared" si="8"/>
        <v>-122.2766</v>
      </c>
      <c r="I134" s="8">
        <v>21.26000476831387</v>
      </c>
      <c r="J134" s="8">
        <v>4.6701346069549263</v>
      </c>
      <c r="K134" s="8">
        <v>0.28139995235939352</v>
      </c>
      <c r="L134" s="8">
        <v>21.259304132733771</v>
      </c>
      <c r="M134" s="8">
        <v>4.6695786306167184</v>
      </c>
      <c r="N134" s="8">
        <v>0.28080695871520328</v>
      </c>
      <c r="O134" s="8">
        <v>-7.0063558009891835E-4</v>
      </c>
      <c r="P134" s="8">
        <v>-5.5597633820880787E-4</v>
      </c>
      <c r="Q134" s="8">
        <f t="shared" si="9"/>
        <v>-1.5999999999962711E-3</v>
      </c>
      <c r="R134" s="8">
        <v>8.9442723348292781E-4</v>
      </c>
      <c r="U134" s="8">
        <v>-122.2756</v>
      </c>
    </row>
    <row r="135" spans="1:21" x14ac:dyDescent="0.25">
      <c r="A135" s="9" t="s">
        <v>220</v>
      </c>
      <c r="B135" s="8">
        <v>823286.34400000004</v>
      </c>
      <c r="C135" s="8">
        <v>1091540.73</v>
      </c>
      <c r="D135" s="8">
        <v>-122.27500000000001</v>
      </c>
      <c r="E135" s="9" t="s">
        <v>368</v>
      </c>
      <c r="F135" s="8">
        <v>823286.34360000002</v>
      </c>
      <c r="G135" s="8">
        <v>1091540.7291999999</v>
      </c>
      <c r="H135" s="8">
        <f t="shared" si="8"/>
        <v>-122.2766</v>
      </c>
      <c r="I135" s="8">
        <v>21.26000476831387</v>
      </c>
      <c r="J135" s="8">
        <v>4.6701346069549263</v>
      </c>
      <c r="K135" s="8">
        <v>0.28139995235939352</v>
      </c>
      <c r="L135" s="8">
        <v>21.259304132733771</v>
      </c>
      <c r="M135" s="8">
        <v>4.6695786306167184</v>
      </c>
      <c r="N135" s="8">
        <v>0.28080695871520328</v>
      </c>
      <c r="O135" s="8">
        <v>-7.0063558009891835E-4</v>
      </c>
      <c r="P135" s="8">
        <v>-5.5597633820880787E-4</v>
      </c>
      <c r="Q135" s="8">
        <f t="shared" si="9"/>
        <v>-1.5999999999962711E-3</v>
      </c>
      <c r="R135" s="8">
        <v>8.9442723348292781E-4</v>
      </c>
      <c r="U135" s="8">
        <v>-122.2756</v>
      </c>
    </row>
    <row r="136" spans="1:21" x14ac:dyDescent="0.25">
      <c r="A136" s="9" t="s">
        <v>220</v>
      </c>
      <c r="B136" s="8">
        <v>823286.34400000004</v>
      </c>
      <c r="C136" s="8">
        <v>1091540.73</v>
      </c>
      <c r="D136" s="8">
        <v>-122.27500000000001</v>
      </c>
      <c r="E136" s="9" t="s">
        <v>369</v>
      </c>
      <c r="F136" s="8">
        <v>823286.34360000002</v>
      </c>
      <c r="G136" s="8">
        <v>1091540.7291999999</v>
      </c>
      <c r="H136" s="8">
        <f t="shared" si="8"/>
        <v>-122.2766</v>
      </c>
      <c r="I136" s="8">
        <v>21.26000476831387</v>
      </c>
      <c r="J136" s="8">
        <v>4.6701346069549263</v>
      </c>
      <c r="K136" s="8">
        <v>0.28139995235939352</v>
      </c>
      <c r="L136" s="8">
        <v>21.259304132733771</v>
      </c>
      <c r="M136" s="8">
        <v>4.6695786306167184</v>
      </c>
      <c r="N136" s="8">
        <v>0.28080695871520328</v>
      </c>
      <c r="O136" s="8">
        <v>-7.0063558009891835E-4</v>
      </c>
      <c r="P136" s="8">
        <v>-5.5597633820880787E-4</v>
      </c>
      <c r="Q136" s="8">
        <f t="shared" si="9"/>
        <v>-1.5999999999962711E-3</v>
      </c>
      <c r="R136" s="8">
        <v>8.9442723348292781E-4</v>
      </c>
      <c r="U136" s="8">
        <v>-122.2756</v>
      </c>
    </row>
    <row r="137" spans="1:21" x14ac:dyDescent="0.25">
      <c r="A137" s="9" t="s">
        <v>220</v>
      </c>
      <c r="B137" s="8">
        <v>823286.34400000004</v>
      </c>
      <c r="C137" s="8">
        <v>1091540.73</v>
      </c>
      <c r="D137" s="8">
        <v>-122.27500000000001</v>
      </c>
      <c r="E137" s="9" t="s">
        <v>370</v>
      </c>
      <c r="F137" s="8">
        <v>823286.34299999999</v>
      </c>
      <c r="G137" s="8">
        <v>1091540.7291000001</v>
      </c>
      <c r="H137" s="8">
        <f t="shared" si="8"/>
        <v>-122.2758</v>
      </c>
      <c r="I137" s="8">
        <v>21.26000476831387</v>
      </c>
      <c r="J137" s="8">
        <v>4.6701346069549263</v>
      </c>
      <c r="K137" s="8">
        <v>0.28139995235939352</v>
      </c>
      <c r="L137" s="8">
        <v>21.258718091504822</v>
      </c>
      <c r="M137" s="8">
        <v>4.6697415897188099</v>
      </c>
      <c r="N137" s="8">
        <v>0.28161281912748848</v>
      </c>
      <c r="O137" s="8">
        <v>-1.2866768090518119E-3</v>
      </c>
      <c r="P137" s="8">
        <v>-3.9301723611639972E-4</v>
      </c>
      <c r="Q137" s="8">
        <f t="shared" si="9"/>
        <v>-7.9999999999813554E-4</v>
      </c>
      <c r="R137" s="8">
        <v>1.3453623517920459E-3</v>
      </c>
      <c r="U137" s="8">
        <v>-122.2748</v>
      </c>
    </row>
    <row r="138" spans="1:21" x14ac:dyDescent="0.25">
      <c r="A138" s="9" t="s">
        <v>220</v>
      </c>
      <c r="B138" s="8">
        <v>823286.34400000004</v>
      </c>
      <c r="C138" s="8">
        <v>1091540.73</v>
      </c>
      <c r="D138" s="8">
        <v>-122.27500000000001</v>
      </c>
      <c r="E138" s="9" t="s">
        <v>371</v>
      </c>
      <c r="F138" s="8">
        <v>823286.34299999999</v>
      </c>
      <c r="G138" s="8">
        <v>1091540.7291000001</v>
      </c>
      <c r="H138" s="8">
        <f t="shared" si="8"/>
        <v>-122.2758</v>
      </c>
      <c r="I138" s="8">
        <v>21.26000476831387</v>
      </c>
      <c r="J138" s="8">
        <v>4.6701346069549263</v>
      </c>
      <c r="K138" s="8">
        <v>0.28139995235939352</v>
      </c>
      <c r="L138" s="8">
        <v>21.258718091504822</v>
      </c>
      <c r="M138" s="8">
        <v>4.6697415897188099</v>
      </c>
      <c r="N138" s="8">
        <v>0.28161281912748848</v>
      </c>
      <c r="O138" s="8">
        <v>-1.2866768090518119E-3</v>
      </c>
      <c r="P138" s="8">
        <v>-3.9301723611639972E-4</v>
      </c>
      <c r="Q138" s="8">
        <f t="shared" si="9"/>
        <v>-7.9999999999813554E-4</v>
      </c>
      <c r="R138" s="8">
        <v>1.3453623517920459E-3</v>
      </c>
      <c r="U138" s="8">
        <v>-122.2748</v>
      </c>
    </row>
    <row r="139" spans="1:21" x14ac:dyDescent="0.25">
      <c r="A139" s="9" t="s">
        <v>221</v>
      </c>
      <c r="B139" s="8">
        <v>823286.78500000003</v>
      </c>
      <c r="C139" s="8">
        <v>1091539.6070000001</v>
      </c>
      <c r="D139" s="8">
        <v>-119.309</v>
      </c>
      <c r="E139" s="9" t="s">
        <v>372</v>
      </c>
      <c r="F139" s="8">
        <v>823286.78599999996</v>
      </c>
      <c r="G139" s="8">
        <v>1091539.6077000001</v>
      </c>
      <c r="H139" s="8">
        <f t="shared" si="8"/>
        <v>-119.31100000000001</v>
      </c>
      <c r="I139" s="8">
        <v>21.185047594315279</v>
      </c>
      <c r="J139" s="8">
        <v>3.4659787111409188</v>
      </c>
      <c r="K139" s="8">
        <v>3.2481495240992331</v>
      </c>
      <c r="L139" s="8">
        <v>21.18624974160123</v>
      </c>
      <c r="M139" s="8">
        <v>3.4661904696790069</v>
      </c>
      <c r="N139" s="8">
        <v>3.2471375026263729</v>
      </c>
      <c r="O139" s="8">
        <v>1.2021472859515821E-3</v>
      </c>
      <c r="P139" s="8">
        <v>2.1175853808763631E-4</v>
      </c>
      <c r="Q139" s="8">
        <f t="shared" si="9"/>
        <v>-2.0000000000095497E-3</v>
      </c>
      <c r="R139" s="8">
        <v>1.2206554908003491E-3</v>
      </c>
      <c r="U139" s="8">
        <v>-119.31</v>
      </c>
    </row>
    <row r="140" spans="1:21" x14ac:dyDescent="0.25">
      <c r="A140" s="9" t="s">
        <v>221</v>
      </c>
      <c r="B140" s="8">
        <v>823286.78500000003</v>
      </c>
      <c r="C140" s="8">
        <v>1091539.6070000001</v>
      </c>
      <c r="D140" s="8">
        <v>-119.309</v>
      </c>
      <c r="E140" s="9" t="s">
        <v>373</v>
      </c>
      <c r="F140" s="8">
        <v>823286.78630000004</v>
      </c>
      <c r="G140" s="8">
        <v>1091539.6078999999</v>
      </c>
      <c r="H140" s="8">
        <f t="shared" si="8"/>
        <v>-119.3109</v>
      </c>
      <c r="I140" s="8">
        <v>21.185047594315279</v>
      </c>
      <c r="J140" s="8">
        <v>3.4659787111409188</v>
      </c>
      <c r="K140" s="8">
        <v>3.2481495240992331</v>
      </c>
      <c r="L140" s="8">
        <v>21.186606159356259</v>
      </c>
      <c r="M140" s="8">
        <v>3.46624493411458</v>
      </c>
      <c r="N140" s="8">
        <v>3.2472339384488289</v>
      </c>
      <c r="O140" s="8">
        <v>1.5585650409803971E-3</v>
      </c>
      <c r="P140" s="8">
        <v>2.6622297366074582E-4</v>
      </c>
      <c r="Q140" s="8">
        <f t="shared" si="9"/>
        <v>-1.90000000000623E-3</v>
      </c>
      <c r="R140" s="8">
        <v>1.58113875792923E-3</v>
      </c>
      <c r="U140" s="8">
        <v>-119.3099</v>
      </c>
    </row>
    <row r="141" spans="1:21" x14ac:dyDescent="0.25">
      <c r="A141" s="9" t="s">
        <v>221</v>
      </c>
      <c r="B141" s="8">
        <v>823286.78500000003</v>
      </c>
      <c r="C141" s="8">
        <v>1091539.6070000001</v>
      </c>
      <c r="D141" s="8">
        <v>-119.309</v>
      </c>
      <c r="E141" s="9" t="s">
        <v>374</v>
      </c>
      <c r="F141" s="8">
        <v>823286.78630000004</v>
      </c>
      <c r="G141" s="8">
        <v>1091539.6078999999</v>
      </c>
      <c r="H141" s="8">
        <f t="shared" si="8"/>
        <v>-119.3109</v>
      </c>
      <c r="I141" s="8">
        <v>21.185047594315279</v>
      </c>
      <c r="J141" s="8">
        <v>3.4659787111409188</v>
      </c>
      <c r="K141" s="8">
        <v>3.2481495240992331</v>
      </c>
      <c r="L141" s="8">
        <v>21.186606159356259</v>
      </c>
      <c r="M141" s="8">
        <v>3.46624493411458</v>
      </c>
      <c r="N141" s="8">
        <v>3.2472339384488289</v>
      </c>
      <c r="O141" s="8">
        <v>1.5585650409803971E-3</v>
      </c>
      <c r="P141" s="8">
        <v>2.6622297366074582E-4</v>
      </c>
      <c r="Q141" s="8">
        <f t="shared" si="9"/>
        <v>-1.90000000000623E-3</v>
      </c>
      <c r="R141" s="8">
        <v>1.58113875792923E-3</v>
      </c>
      <c r="U141" s="8">
        <v>-119.3099</v>
      </c>
    </row>
    <row r="142" spans="1:21" x14ac:dyDescent="0.25">
      <c r="A142" s="9" t="s">
        <v>221</v>
      </c>
      <c r="B142" s="8">
        <v>823286.78500000003</v>
      </c>
      <c r="C142" s="8">
        <v>1091539.6070000001</v>
      </c>
      <c r="D142" s="8">
        <v>-119.309</v>
      </c>
      <c r="E142" s="9" t="s">
        <v>106</v>
      </c>
      <c r="F142" s="8">
        <v>823286.78489999997</v>
      </c>
      <c r="G142" s="8">
        <v>1091539.6073</v>
      </c>
      <c r="H142" s="8">
        <f t="shared" si="8"/>
        <v>-119.31100000000001</v>
      </c>
      <c r="I142" s="8">
        <v>21.185047594315279</v>
      </c>
      <c r="J142" s="8">
        <v>3.4659787111409188</v>
      </c>
      <c r="K142" s="8">
        <v>3.2481495240992331</v>
      </c>
      <c r="L142" s="8">
        <v>21.185083759009899</v>
      </c>
      <c r="M142" s="8">
        <v>3.4662928639386479</v>
      </c>
      <c r="N142" s="8">
        <v>3.2471491624522879</v>
      </c>
      <c r="O142" s="8">
        <v>3.6164694616758197E-5</v>
      </c>
      <c r="P142" s="8">
        <v>3.1415279772861743E-4</v>
      </c>
      <c r="Q142" s="8">
        <f t="shared" si="9"/>
        <v>-2.0000000000095497E-3</v>
      </c>
      <c r="R142" s="8">
        <v>3.1622774422310229E-4</v>
      </c>
      <c r="U142" s="8">
        <v>-119.31</v>
      </c>
    </row>
    <row r="143" spans="1:21" x14ac:dyDescent="0.25">
      <c r="A143" s="9" t="s">
        <v>221</v>
      </c>
      <c r="B143" s="8">
        <v>823286.78500000003</v>
      </c>
      <c r="C143" s="8">
        <v>1091539.6070000001</v>
      </c>
      <c r="D143" s="8">
        <v>-119.309</v>
      </c>
      <c r="E143" s="9" t="s">
        <v>375</v>
      </c>
      <c r="F143" s="8">
        <v>823286.78489999997</v>
      </c>
      <c r="G143" s="8">
        <v>1091539.6073</v>
      </c>
      <c r="H143" s="8">
        <f t="shared" si="8"/>
        <v>-119.31100000000001</v>
      </c>
      <c r="I143" s="8">
        <v>21.185047594315279</v>
      </c>
      <c r="J143" s="8">
        <v>3.4659787111409188</v>
      </c>
      <c r="K143" s="8">
        <v>3.2481495240992331</v>
      </c>
      <c r="L143" s="8">
        <v>21.185083759009899</v>
      </c>
      <c r="M143" s="8">
        <v>3.4662928639386479</v>
      </c>
      <c r="N143" s="8">
        <v>3.2471491624522879</v>
      </c>
      <c r="O143" s="8">
        <v>3.6164694616758197E-5</v>
      </c>
      <c r="P143" s="8">
        <v>3.1415279772861743E-4</v>
      </c>
      <c r="Q143" s="8">
        <f t="shared" si="9"/>
        <v>-2.0000000000095497E-3</v>
      </c>
      <c r="R143" s="8">
        <v>3.1622774422310229E-4</v>
      </c>
      <c r="U143" s="8">
        <v>-119.31</v>
      </c>
    </row>
    <row r="144" spans="1:21" x14ac:dyDescent="0.25">
      <c r="A144" s="9" t="s">
        <v>221</v>
      </c>
      <c r="B144" s="8">
        <v>823286.78500000003</v>
      </c>
      <c r="C144" s="8">
        <v>1091539.6070000001</v>
      </c>
      <c r="D144" s="8">
        <v>-119.309</v>
      </c>
      <c r="E144" s="9" t="s">
        <v>376</v>
      </c>
      <c r="F144" s="8">
        <v>823286.78489999997</v>
      </c>
      <c r="G144" s="8">
        <v>1091539.6073</v>
      </c>
      <c r="H144" s="8">
        <f t="shared" si="8"/>
        <v>-119.31100000000001</v>
      </c>
      <c r="I144" s="8">
        <v>21.185047594315279</v>
      </c>
      <c r="J144" s="8">
        <v>3.4659787111409188</v>
      </c>
      <c r="K144" s="8">
        <v>3.2481495240992331</v>
      </c>
      <c r="L144" s="8">
        <v>21.185083759009899</v>
      </c>
      <c r="M144" s="8">
        <v>3.4662928639386479</v>
      </c>
      <c r="N144" s="8">
        <v>3.2471491624522879</v>
      </c>
      <c r="O144" s="8">
        <v>3.6164694616758197E-5</v>
      </c>
      <c r="P144" s="8">
        <v>3.1415279772861743E-4</v>
      </c>
      <c r="Q144" s="8">
        <f t="shared" si="9"/>
        <v>-2.0000000000095497E-3</v>
      </c>
      <c r="R144" s="8">
        <v>3.1622774422310229E-4</v>
      </c>
      <c r="U144" s="8">
        <v>-119.31</v>
      </c>
    </row>
    <row r="145" spans="1:21" x14ac:dyDescent="0.25">
      <c r="A145" s="9" t="s">
        <v>221</v>
      </c>
      <c r="B145" s="8">
        <v>823286.78500000003</v>
      </c>
      <c r="C145" s="8">
        <v>1091539.6070000001</v>
      </c>
      <c r="D145" s="8">
        <v>-119.309</v>
      </c>
      <c r="E145" s="9" t="s">
        <v>377</v>
      </c>
      <c r="F145" s="8">
        <v>823286.78529999999</v>
      </c>
      <c r="G145" s="8">
        <v>1091539.6070999999</v>
      </c>
      <c r="H145" s="8">
        <f t="shared" si="8"/>
        <v>-119.3109</v>
      </c>
      <c r="I145" s="8">
        <v>21.185047594315279</v>
      </c>
      <c r="J145" s="8">
        <v>3.4659787111409188</v>
      </c>
      <c r="K145" s="8">
        <v>3.2481495240992331</v>
      </c>
      <c r="L145" s="8">
        <v>21.185361747206802</v>
      </c>
      <c r="M145" s="8">
        <v>3.4659425462028768</v>
      </c>
      <c r="N145" s="8">
        <v>3.2472463825703239</v>
      </c>
      <c r="O145" s="8">
        <v>3.1415289152292297E-4</v>
      </c>
      <c r="P145" s="8">
        <v>-3.616493804248222E-5</v>
      </c>
      <c r="Q145" s="8">
        <f t="shared" si="9"/>
        <v>-1.90000000000623E-3</v>
      </c>
      <c r="R145" s="8">
        <v>3.1622767059561369E-4</v>
      </c>
      <c r="U145" s="8">
        <v>-119.3099</v>
      </c>
    </row>
    <row r="146" spans="1:21" x14ac:dyDescent="0.25">
      <c r="A146" s="9" t="s">
        <v>221</v>
      </c>
      <c r="B146" s="8">
        <v>823286.78500000003</v>
      </c>
      <c r="C146" s="8">
        <v>1091539.6070000001</v>
      </c>
      <c r="D146" s="8">
        <v>-119.309</v>
      </c>
      <c r="E146" s="9" t="s">
        <v>378</v>
      </c>
      <c r="F146" s="8">
        <v>823286.78529999999</v>
      </c>
      <c r="G146" s="8">
        <v>1091539.6070999999</v>
      </c>
      <c r="H146" s="8">
        <f t="shared" si="8"/>
        <v>-119.3109</v>
      </c>
      <c r="I146" s="8">
        <v>21.185047594315279</v>
      </c>
      <c r="J146" s="8">
        <v>3.4659787111409188</v>
      </c>
      <c r="K146" s="8">
        <v>3.2481495240992331</v>
      </c>
      <c r="L146" s="8">
        <v>21.185361747206802</v>
      </c>
      <c r="M146" s="8">
        <v>3.4659425462028768</v>
      </c>
      <c r="N146" s="8">
        <v>3.2472463825703239</v>
      </c>
      <c r="O146" s="8">
        <v>3.1415289152292297E-4</v>
      </c>
      <c r="P146" s="8">
        <v>-3.616493804248222E-5</v>
      </c>
      <c r="Q146" s="8">
        <f t="shared" si="9"/>
        <v>-1.90000000000623E-3</v>
      </c>
      <c r="R146" s="8">
        <v>3.1622767059561369E-4</v>
      </c>
      <c r="U146" s="8">
        <v>-119.3099</v>
      </c>
    </row>
    <row r="147" spans="1:21" x14ac:dyDescent="0.25">
      <c r="A147" s="9" t="s">
        <v>222</v>
      </c>
      <c r="B147" s="8">
        <v>823288.16799999995</v>
      </c>
      <c r="C147" s="8">
        <v>1091536.196</v>
      </c>
      <c r="D147" s="8">
        <v>-118.00700000000001</v>
      </c>
      <c r="E147" s="9" t="s">
        <v>379</v>
      </c>
      <c r="F147" s="8">
        <v>823288.16870000004</v>
      </c>
      <c r="G147" s="8">
        <v>1091536.196</v>
      </c>
      <c r="H147" s="8">
        <f t="shared" si="8"/>
        <v>-118.01010000000001</v>
      </c>
      <c r="I147" s="8">
        <v>20.996802539279031</v>
      </c>
      <c r="J147" s="8">
        <v>0.2099121740701356</v>
      </c>
      <c r="K147" s="8">
        <v>4.5520319746492106</v>
      </c>
      <c r="L147" s="8">
        <v>20.997436945329369</v>
      </c>
      <c r="M147" s="8">
        <v>0.210208027321131</v>
      </c>
      <c r="N147" s="8">
        <v>4.5499256305887172</v>
      </c>
      <c r="O147" s="8">
        <v>6.3440605033804331E-4</v>
      </c>
      <c r="P147" s="8">
        <v>2.9585325099543153E-4</v>
      </c>
      <c r="Q147" s="8">
        <f t="shared" si="9"/>
        <v>-3.1000000000034333E-3</v>
      </c>
      <c r="R147" s="8">
        <v>7.0000009145587683E-4</v>
      </c>
      <c r="U147" s="8">
        <v>-118.0091</v>
      </c>
    </row>
    <row r="148" spans="1:21" x14ac:dyDescent="0.25">
      <c r="A148" s="9" t="s">
        <v>222</v>
      </c>
      <c r="B148" s="8">
        <v>823288.16799999995</v>
      </c>
      <c r="C148" s="8">
        <v>1091536.196</v>
      </c>
      <c r="D148" s="8">
        <v>-118.00700000000001</v>
      </c>
      <c r="E148" s="9" t="s">
        <v>380</v>
      </c>
      <c r="F148" s="8">
        <v>823288.16960000002</v>
      </c>
      <c r="G148" s="8">
        <v>1091536.1963</v>
      </c>
      <c r="H148" s="8">
        <f t="shared" si="8"/>
        <v>-118.0094</v>
      </c>
      <c r="I148" s="8">
        <v>20.996802539279031</v>
      </c>
      <c r="J148" s="8">
        <v>0.2099121740701356</v>
      </c>
      <c r="K148" s="8">
        <v>4.5520319746492106</v>
      </c>
      <c r="L148" s="8">
        <v>20.998379404306249</v>
      </c>
      <c r="M148" s="8">
        <v>0.21031652151642191</v>
      </c>
      <c r="N148" s="8">
        <v>4.5506162059989492</v>
      </c>
      <c r="O148" s="8">
        <v>1.576865027217877E-3</v>
      </c>
      <c r="P148" s="8">
        <v>4.0434744628634062E-4</v>
      </c>
      <c r="Q148" s="8">
        <f t="shared" si="9"/>
        <v>-2.3999999999944066E-3</v>
      </c>
      <c r="R148" s="8">
        <v>1.627882126203216E-3</v>
      </c>
      <c r="U148" s="8">
        <v>-118.00839999999999</v>
      </c>
    </row>
    <row r="149" spans="1:21" x14ac:dyDescent="0.25">
      <c r="A149" s="9" t="s">
        <v>222</v>
      </c>
      <c r="B149" s="8">
        <v>823288.16799999995</v>
      </c>
      <c r="C149" s="8">
        <v>1091536.196</v>
      </c>
      <c r="D149" s="8">
        <v>-118.00700000000001</v>
      </c>
      <c r="E149" s="9" t="s">
        <v>381</v>
      </c>
      <c r="F149" s="8">
        <v>823288.16960000002</v>
      </c>
      <c r="G149" s="8">
        <v>1091536.1963</v>
      </c>
      <c r="H149" s="8">
        <f t="shared" si="8"/>
        <v>-118.0094</v>
      </c>
      <c r="I149" s="8">
        <v>20.996802539279031</v>
      </c>
      <c r="J149" s="8">
        <v>0.2099121740701356</v>
      </c>
      <c r="K149" s="8">
        <v>4.5520319746492106</v>
      </c>
      <c r="L149" s="8">
        <v>20.998379404306249</v>
      </c>
      <c r="M149" s="8">
        <v>0.21031652151642191</v>
      </c>
      <c r="N149" s="8">
        <v>4.5506162059989492</v>
      </c>
      <c r="O149" s="8">
        <v>1.576865027217877E-3</v>
      </c>
      <c r="P149" s="8">
        <v>4.0434744628634062E-4</v>
      </c>
      <c r="Q149" s="8">
        <f t="shared" si="9"/>
        <v>-2.3999999999944066E-3</v>
      </c>
      <c r="R149" s="8">
        <v>1.627882126203216E-3</v>
      </c>
      <c r="U149" s="8">
        <v>-118.00839999999999</v>
      </c>
    </row>
    <row r="150" spans="1:21" x14ac:dyDescent="0.25">
      <c r="A150" s="9" t="s">
        <v>222</v>
      </c>
      <c r="B150" s="8">
        <v>823288.16799999995</v>
      </c>
      <c r="C150" s="8">
        <v>1091536.196</v>
      </c>
      <c r="D150" s="8">
        <v>-118.00700000000001</v>
      </c>
      <c r="E150" s="9" t="s">
        <v>108</v>
      </c>
      <c r="F150" s="8">
        <v>823288.16819999996</v>
      </c>
      <c r="G150" s="8">
        <v>1091536.1964</v>
      </c>
      <c r="H150" s="8">
        <f t="shared" si="8"/>
        <v>-118.00960000000001</v>
      </c>
      <c r="I150" s="8">
        <v>20.996802539279031</v>
      </c>
      <c r="J150" s="8">
        <v>0.2099121740701356</v>
      </c>
      <c r="K150" s="8">
        <v>4.5520319746492106</v>
      </c>
      <c r="L150" s="8">
        <v>20.997152857069079</v>
      </c>
      <c r="M150" s="8">
        <v>0.209634185901031</v>
      </c>
      <c r="N150" s="8">
        <v>4.5504284714713208</v>
      </c>
      <c r="O150" s="8">
        <v>3.5031779004768282E-4</v>
      </c>
      <c r="P150" s="8">
        <v>-2.7798816910454272E-4</v>
      </c>
      <c r="Q150" s="8">
        <f t="shared" si="9"/>
        <v>-2.6000000000010459E-3</v>
      </c>
      <c r="R150" s="8">
        <v>4.472136167414639E-4</v>
      </c>
      <c r="U150" s="8">
        <v>-118.0086</v>
      </c>
    </row>
    <row r="151" spans="1:21" x14ac:dyDescent="0.25">
      <c r="A151" s="9" t="s">
        <v>222</v>
      </c>
      <c r="B151" s="8">
        <v>823288.16799999995</v>
      </c>
      <c r="C151" s="8">
        <v>1091536.196</v>
      </c>
      <c r="D151" s="8">
        <v>-118.00700000000001</v>
      </c>
      <c r="E151" s="9" t="s">
        <v>382</v>
      </c>
      <c r="F151" s="8">
        <v>823288.16819999996</v>
      </c>
      <c r="G151" s="8">
        <v>1091536.1964</v>
      </c>
      <c r="H151" s="8">
        <f t="shared" si="8"/>
        <v>-118.00960000000001</v>
      </c>
      <c r="I151" s="8">
        <v>20.996802539279031</v>
      </c>
      <c r="J151" s="8">
        <v>0.2099121740701356</v>
      </c>
      <c r="K151" s="8">
        <v>4.5520319746492106</v>
      </c>
      <c r="L151" s="8">
        <v>20.997152857069079</v>
      </c>
      <c r="M151" s="8">
        <v>0.209634185901031</v>
      </c>
      <c r="N151" s="8">
        <v>4.5504284714713208</v>
      </c>
      <c r="O151" s="8">
        <v>3.5031779004768282E-4</v>
      </c>
      <c r="P151" s="8">
        <v>-2.7798816910454272E-4</v>
      </c>
      <c r="Q151" s="8">
        <f t="shared" si="9"/>
        <v>-2.6000000000010459E-3</v>
      </c>
      <c r="R151" s="8">
        <v>4.472136167414639E-4</v>
      </c>
      <c r="U151" s="8">
        <v>-118.0086</v>
      </c>
    </row>
    <row r="152" spans="1:21" x14ac:dyDescent="0.25">
      <c r="A152" s="9" t="s">
        <v>222</v>
      </c>
      <c r="B152" s="8">
        <v>823288.16799999995</v>
      </c>
      <c r="C152" s="8">
        <v>1091536.196</v>
      </c>
      <c r="D152" s="8">
        <v>-118.00700000000001</v>
      </c>
      <c r="E152" s="9" t="s">
        <v>383</v>
      </c>
      <c r="F152" s="8">
        <v>823288.16819999996</v>
      </c>
      <c r="G152" s="8">
        <v>1091536.1964</v>
      </c>
      <c r="H152" s="8">
        <f t="shared" si="8"/>
        <v>-118.00960000000001</v>
      </c>
      <c r="I152" s="8">
        <v>20.996802539279031</v>
      </c>
      <c r="J152" s="8">
        <v>0.2099121740701356</v>
      </c>
      <c r="K152" s="8">
        <v>4.5520319746492106</v>
      </c>
      <c r="L152" s="8">
        <v>20.997152857069079</v>
      </c>
      <c r="M152" s="8">
        <v>0.209634185901031</v>
      </c>
      <c r="N152" s="8">
        <v>4.5504284714713208</v>
      </c>
      <c r="O152" s="8">
        <v>3.5031779004768282E-4</v>
      </c>
      <c r="P152" s="8">
        <v>-2.7798816910454272E-4</v>
      </c>
      <c r="Q152" s="8">
        <f t="shared" si="9"/>
        <v>-2.6000000000010459E-3</v>
      </c>
      <c r="R152" s="8">
        <v>4.472136167414639E-4</v>
      </c>
      <c r="U152" s="8">
        <v>-118.0086</v>
      </c>
    </row>
    <row r="153" spans="1:21" x14ac:dyDescent="0.25">
      <c r="A153" s="9" t="s">
        <v>222</v>
      </c>
      <c r="B153" s="8">
        <v>823288.16799999995</v>
      </c>
      <c r="C153" s="8">
        <v>1091536.196</v>
      </c>
      <c r="D153" s="8">
        <v>-118.00700000000001</v>
      </c>
      <c r="E153" s="9" t="s">
        <v>384</v>
      </c>
      <c r="F153" s="8">
        <v>823288.16780000005</v>
      </c>
      <c r="G153" s="8">
        <v>1091536.1954999999</v>
      </c>
      <c r="H153" s="8">
        <f t="shared" si="8"/>
        <v>-118.01</v>
      </c>
      <c r="I153" s="8">
        <v>20.996802539279031</v>
      </c>
      <c r="J153" s="8">
        <v>0.2099121740701356</v>
      </c>
      <c r="K153" s="8">
        <v>4.5520319746492106</v>
      </c>
      <c r="L153" s="8">
        <v>20.996409956836491</v>
      </c>
      <c r="M153" s="8">
        <v>0.2102807918238688</v>
      </c>
      <c r="N153" s="8">
        <v>4.5500359004736453</v>
      </c>
      <c r="O153" s="8">
        <v>-3.9258244254369862E-4</v>
      </c>
      <c r="P153" s="8">
        <v>3.68617753733258E-4</v>
      </c>
      <c r="Q153" s="8">
        <f t="shared" si="9"/>
        <v>-3.0000000000001137E-3</v>
      </c>
      <c r="R153" s="8">
        <v>5.3851651710051763E-4</v>
      </c>
      <c r="U153" s="8">
        <v>-118.009</v>
      </c>
    </row>
    <row r="154" spans="1:21" x14ac:dyDescent="0.25">
      <c r="A154" s="9" t="s">
        <v>222</v>
      </c>
      <c r="B154" s="8">
        <v>823288.16799999995</v>
      </c>
      <c r="C154" s="8">
        <v>1091536.196</v>
      </c>
      <c r="D154" s="8">
        <v>-118.00700000000001</v>
      </c>
      <c r="E154" s="9" t="s">
        <v>385</v>
      </c>
      <c r="F154" s="8">
        <v>823288.16780000005</v>
      </c>
      <c r="G154" s="8">
        <v>1091536.1954999999</v>
      </c>
      <c r="H154" s="8">
        <f t="shared" si="8"/>
        <v>-118.01</v>
      </c>
      <c r="I154" s="8">
        <v>20.996802539279031</v>
      </c>
      <c r="J154" s="8">
        <v>0.2099121740701356</v>
      </c>
      <c r="K154" s="8">
        <v>4.5520319746492106</v>
      </c>
      <c r="L154" s="8">
        <v>20.996409956836491</v>
      </c>
      <c r="M154" s="8">
        <v>0.2102807918238688</v>
      </c>
      <c r="N154" s="8">
        <v>4.5500359004736453</v>
      </c>
      <c r="O154" s="8">
        <v>-3.9258244254369862E-4</v>
      </c>
      <c r="P154" s="8">
        <v>3.68617753733258E-4</v>
      </c>
      <c r="Q154" s="8">
        <f t="shared" si="9"/>
        <v>-3.0000000000001137E-3</v>
      </c>
      <c r="R154" s="8">
        <v>5.3851651710051763E-4</v>
      </c>
      <c r="U154" s="8">
        <v>-118.009</v>
      </c>
    </row>
    <row r="155" spans="1:21" x14ac:dyDescent="0.25">
      <c r="A155" s="9" t="s">
        <v>223</v>
      </c>
      <c r="B155" s="8">
        <v>823289.46299999999</v>
      </c>
      <c r="C155" s="8">
        <v>1091533.5490000001</v>
      </c>
      <c r="D155" s="8">
        <v>-119.136</v>
      </c>
      <c r="E155" s="9" t="s">
        <v>386</v>
      </c>
      <c r="F155" s="8">
        <v>823289.46270000003</v>
      </c>
      <c r="G155" s="8">
        <v>1091533.5490000001</v>
      </c>
      <c r="H155" s="8">
        <f t="shared" si="8"/>
        <v>-119.1391</v>
      </c>
      <c r="I155" s="8">
        <v>21.051706139222429</v>
      </c>
      <c r="J155" s="8">
        <v>3.1562012967644</v>
      </c>
      <c r="K155" s="8">
        <v>3.4224829386498929</v>
      </c>
      <c r="L155" s="8">
        <v>21.051434250990511</v>
      </c>
      <c r="M155" s="8">
        <v>3.1560745026003492</v>
      </c>
      <c r="N155" s="8">
        <v>3.420385657532222</v>
      </c>
      <c r="O155" s="8">
        <v>-2.7188823192147987E-4</v>
      </c>
      <c r="P155" s="8">
        <v>-1.2679416405081409E-4</v>
      </c>
      <c r="Q155" s="8">
        <f t="shared" si="9"/>
        <v>-3.1000000000034333E-3</v>
      </c>
      <c r="R155" s="8">
        <v>2.9999995604157448E-4</v>
      </c>
      <c r="U155" s="8">
        <v>-119.13809999999999</v>
      </c>
    </row>
    <row r="156" spans="1:21" x14ac:dyDescent="0.25">
      <c r="A156" s="9" t="s">
        <v>223</v>
      </c>
      <c r="B156" s="8">
        <v>823289.46299999999</v>
      </c>
      <c r="C156" s="8">
        <v>1091533.5490000001</v>
      </c>
      <c r="D156" s="8">
        <v>-119.136</v>
      </c>
      <c r="E156" s="9" t="s">
        <v>387</v>
      </c>
      <c r="F156" s="8">
        <v>823289.46459999995</v>
      </c>
      <c r="G156" s="8">
        <v>1091533.5490000001</v>
      </c>
      <c r="H156" s="8">
        <f t="shared" si="8"/>
        <v>-119.13800000000001</v>
      </c>
      <c r="I156" s="8">
        <v>21.051706139222429</v>
      </c>
      <c r="J156" s="8">
        <v>3.1562012967644</v>
      </c>
      <c r="K156" s="8">
        <v>3.4224829386498929</v>
      </c>
      <c r="L156" s="8">
        <v>21.053156209968559</v>
      </c>
      <c r="M156" s="8">
        <v>3.1568775324441409</v>
      </c>
      <c r="N156" s="8">
        <v>3.4214684379424369</v>
      </c>
      <c r="O156" s="8">
        <v>1.4500707461237989E-3</v>
      </c>
      <c r="P156" s="8">
        <v>6.7623567974095522E-4</v>
      </c>
      <c r="Q156" s="8">
        <f t="shared" si="9"/>
        <v>-2.0000000000095497E-3</v>
      </c>
      <c r="R156" s="8">
        <v>1.5999999595806E-3</v>
      </c>
      <c r="U156" s="8">
        <v>-119.137</v>
      </c>
    </row>
    <row r="157" spans="1:21" x14ac:dyDescent="0.25">
      <c r="A157" s="9" t="s">
        <v>223</v>
      </c>
      <c r="B157" s="8">
        <v>823289.46299999999</v>
      </c>
      <c r="C157" s="8">
        <v>1091533.5490000001</v>
      </c>
      <c r="D157" s="8">
        <v>-119.136</v>
      </c>
      <c r="E157" s="9" t="s">
        <v>388</v>
      </c>
      <c r="F157" s="8">
        <v>823289.46459999995</v>
      </c>
      <c r="G157" s="8">
        <v>1091533.5490000001</v>
      </c>
      <c r="H157" s="8">
        <f t="shared" si="8"/>
        <v>-119.13800000000001</v>
      </c>
      <c r="I157" s="8">
        <v>21.051706139222429</v>
      </c>
      <c r="J157" s="8">
        <v>3.1562012967644</v>
      </c>
      <c r="K157" s="8">
        <v>3.4224829386498929</v>
      </c>
      <c r="L157" s="8">
        <v>21.053156209968559</v>
      </c>
      <c r="M157" s="8">
        <v>3.1568775324441409</v>
      </c>
      <c r="N157" s="8">
        <v>3.4214684379424369</v>
      </c>
      <c r="O157" s="8">
        <v>1.4500707461237989E-3</v>
      </c>
      <c r="P157" s="8">
        <v>6.7623567974095522E-4</v>
      </c>
      <c r="Q157" s="8">
        <f t="shared" si="9"/>
        <v>-2.0000000000095497E-3</v>
      </c>
      <c r="R157" s="8">
        <v>1.5999999595806E-3</v>
      </c>
      <c r="U157" s="8">
        <v>-119.137</v>
      </c>
    </row>
    <row r="158" spans="1:21" x14ac:dyDescent="0.25">
      <c r="A158" s="9" t="s">
        <v>223</v>
      </c>
      <c r="B158" s="8">
        <v>823289.46299999999</v>
      </c>
      <c r="C158" s="8">
        <v>1091533.5490000001</v>
      </c>
      <c r="D158" s="8">
        <v>-119.136</v>
      </c>
      <c r="E158" s="9" t="s">
        <v>110</v>
      </c>
      <c r="F158" s="8">
        <v>823289.4621</v>
      </c>
      <c r="G158" s="8">
        <v>1091533.5493999999</v>
      </c>
      <c r="H158" s="8">
        <f t="shared" si="8"/>
        <v>-119.13900000000001</v>
      </c>
      <c r="I158" s="8">
        <v>21.051706139222429</v>
      </c>
      <c r="J158" s="8">
        <v>3.1562012967644</v>
      </c>
      <c r="K158" s="8">
        <v>3.4224829386498929</v>
      </c>
      <c r="L158" s="8">
        <v>21.051059533256339</v>
      </c>
      <c r="M158" s="8">
        <v>3.155458396615975</v>
      </c>
      <c r="N158" s="8">
        <v>3.4204894047095422</v>
      </c>
      <c r="O158" s="8">
        <v>-6.4660596608945298E-4</v>
      </c>
      <c r="P158" s="8">
        <v>-7.4290014842448571E-4</v>
      </c>
      <c r="Q158" s="8">
        <f t="shared" si="9"/>
        <v>-3.0000000000143245E-3</v>
      </c>
      <c r="R158" s="8">
        <v>9.8488567920687977E-4</v>
      </c>
      <c r="U158" s="8">
        <v>-119.13800000000001</v>
      </c>
    </row>
    <row r="159" spans="1:21" x14ac:dyDescent="0.25">
      <c r="A159" s="9" t="s">
        <v>223</v>
      </c>
      <c r="B159" s="8">
        <v>823289.46299999999</v>
      </c>
      <c r="C159" s="8">
        <v>1091533.5490000001</v>
      </c>
      <c r="D159" s="8">
        <v>-119.136</v>
      </c>
      <c r="E159" s="9" t="s">
        <v>389</v>
      </c>
      <c r="F159" s="8">
        <v>823289.4621</v>
      </c>
      <c r="G159" s="8">
        <v>1091533.5493999999</v>
      </c>
      <c r="H159" s="8">
        <f t="shared" si="8"/>
        <v>-119.13900000000001</v>
      </c>
      <c r="I159" s="8">
        <v>21.051706139222429</v>
      </c>
      <c r="J159" s="8">
        <v>3.1562012967644</v>
      </c>
      <c r="K159" s="8">
        <v>3.4224829386498929</v>
      </c>
      <c r="L159" s="8">
        <v>21.051059533256339</v>
      </c>
      <c r="M159" s="8">
        <v>3.155458396615975</v>
      </c>
      <c r="N159" s="8">
        <v>3.4204894047095422</v>
      </c>
      <c r="O159" s="8">
        <v>-6.4660596608945298E-4</v>
      </c>
      <c r="P159" s="8">
        <v>-7.4290014842448571E-4</v>
      </c>
      <c r="Q159" s="8">
        <f t="shared" si="9"/>
        <v>-3.0000000000143245E-3</v>
      </c>
      <c r="R159" s="8">
        <v>9.8488567920687977E-4</v>
      </c>
      <c r="U159" s="8">
        <v>-119.13800000000001</v>
      </c>
    </row>
    <row r="160" spans="1:21" x14ac:dyDescent="0.25">
      <c r="A160" s="9" t="s">
        <v>223</v>
      </c>
      <c r="B160" s="8">
        <v>823289.46299999999</v>
      </c>
      <c r="C160" s="8">
        <v>1091533.5490000001</v>
      </c>
      <c r="D160" s="8">
        <v>-119.136</v>
      </c>
      <c r="E160" s="9" t="s">
        <v>390</v>
      </c>
      <c r="F160" s="8">
        <v>823289.4621</v>
      </c>
      <c r="G160" s="8">
        <v>1091533.5493999999</v>
      </c>
      <c r="H160" s="8">
        <f t="shared" si="8"/>
        <v>-119.13900000000001</v>
      </c>
      <c r="I160" s="8">
        <v>21.051706139222429</v>
      </c>
      <c r="J160" s="8">
        <v>3.1562012967644</v>
      </c>
      <c r="K160" s="8">
        <v>3.4224829386498929</v>
      </c>
      <c r="L160" s="8">
        <v>21.051059533256339</v>
      </c>
      <c r="M160" s="8">
        <v>3.155458396615975</v>
      </c>
      <c r="N160" s="8">
        <v>3.4204894047095422</v>
      </c>
      <c r="O160" s="8">
        <v>-6.4660596608945298E-4</v>
      </c>
      <c r="P160" s="8">
        <v>-7.4290014842448571E-4</v>
      </c>
      <c r="Q160" s="8">
        <f t="shared" si="9"/>
        <v>-3.0000000000143245E-3</v>
      </c>
      <c r="R160" s="8">
        <v>9.8488567920687977E-4</v>
      </c>
      <c r="U160" s="8">
        <v>-119.13800000000001</v>
      </c>
    </row>
    <row r="161" spans="1:21" x14ac:dyDescent="0.25">
      <c r="A161" s="9" t="s">
        <v>223</v>
      </c>
      <c r="B161" s="8">
        <v>823289.46299999999</v>
      </c>
      <c r="C161" s="8">
        <v>1091533.5490000001</v>
      </c>
      <c r="D161" s="8">
        <v>-119.136</v>
      </c>
      <c r="E161" s="9" t="s">
        <v>391</v>
      </c>
      <c r="F161" s="8">
        <v>823289.46180000005</v>
      </c>
      <c r="G161" s="8">
        <v>1091533.5488</v>
      </c>
      <c r="H161" s="8">
        <f t="shared" si="8"/>
        <v>-119.1387</v>
      </c>
      <c r="I161" s="8">
        <v>21.051706139222429</v>
      </c>
      <c r="J161" s="8">
        <v>3.1562012967644</v>
      </c>
      <c r="K161" s="8">
        <v>3.4224829386498929</v>
      </c>
      <c r="L161" s="8">
        <v>21.050534056673222</v>
      </c>
      <c r="M161" s="8">
        <v>3.155875378869633</v>
      </c>
      <c r="N161" s="8">
        <v>3.4207946594753911</v>
      </c>
      <c r="O161" s="8">
        <v>-1.1720825492105289E-3</v>
      </c>
      <c r="P161" s="8">
        <v>-3.2591789476743571E-4</v>
      </c>
      <c r="Q161" s="8">
        <f t="shared" si="9"/>
        <v>-2.7000000000043656E-3</v>
      </c>
      <c r="R161" s="8">
        <v>1.21655246814999E-3</v>
      </c>
      <c r="U161" s="8">
        <v>-119.1377</v>
      </c>
    </row>
    <row r="162" spans="1:21" x14ac:dyDescent="0.25">
      <c r="A162" s="9" t="s">
        <v>223</v>
      </c>
      <c r="B162" s="8">
        <v>823289.46299999999</v>
      </c>
      <c r="C162" s="8">
        <v>1091533.5490000001</v>
      </c>
      <c r="D162" s="8">
        <v>-119.136</v>
      </c>
      <c r="E162" s="9" t="s">
        <v>392</v>
      </c>
      <c r="F162" s="8">
        <v>823289.46180000005</v>
      </c>
      <c r="G162" s="8">
        <v>1091533.5488</v>
      </c>
      <c r="H162" s="8">
        <f t="shared" ref="H162:H178" si="10">U162-0.001</f>
        <v>-119.1387</v>
      </c>
      <c r="I162" s="8">
        <v>21.051706139222429</v>
      </c>
      <c r="J162" s="8">
        <v>3.1562012967644</v>
      </c>
      <c r="K162" s="8">
        <v>3.4224829386498929</v>
      </c>
      <c r="L162" s="8">
        <v>21.050534056673222</v>
      </c>
      <c r="M162" s="8">
        <v>3.155875378869633</v>
      </c>
      <c r="N162" s="8">
        <v>3.4207946594753911</v>
      </c>
      <c r="O162" s="8">
        <v>-1.1720825492105289E-3</v>
      </c>
      <c r="P162" s="8">
        <v>-3.2591789476743571E-4</v>
      </c>
      <c r="Q162" s="8">
        <f t="shared" ref="Q162:Q178" si="11">H162-D162</f>
        <v>-2.7000000000043656E-3</v>
      </c>
      <c r="R162" s="8">
        <v>1.21655246814999E-3</v>
      </c>
      <c r="U162" s="8">
        <v>-119.1377</v>
      </c>
    </row>
    <row r="163" spans="1:21" x14ac:dyDescent="0.25">
      <c r="A163" s="9" t="s">
        <v>224</v>
      </c>
      <c r="B163" s="8">
        <v>823290.25800000003</v>
      </c>
      <c r="C163" s="8">
        <v>1091532.223</v>
      </c>
      <c r="D163" s="8">
        <v>-122.31699999999999</v>
      </c>
      <c r="E163" s="9" t="s">
        <v>393</v>
      </c>
      <c r="F163" s="8">
        <v>823290.25760000001</v>
      </c>
      <c r="G163" s="8">
        <v>1091532.2239000001</v>
      </c>
      <c r="H163" s="8">
        <f t="shared" si="10"/>
        <v>-122.319</v>
      </c>
      <c r="I163" s="8">
        <v>21.211779721138271</v>
      </c>
      <c r="J163" s="8">
        <v>4.6939520725555068</v>
      </c>
      <c r="K163" s="8">
        <v>0.23988220283106901</v>
      </c>
      <c r="L163" s="8">
        <v>21.211797586050551</v>
      </c>
      <c r="M163" s="8">
        <v>4.6929673488174002</v>
      </c>
      <c r="N163" s="8">
        <v>0.23888202418193319</v>
      </c>
      <c r="O163" s="8">
        <v>1.7864912283727111E-5</v>
      </c>
      <c r="P163" s="8">
        <v>-9.8472373810665204E-4</v>
      </c>
      <c r="Q163" s="8">
        <f t="shared" si="11"/>
        <v>-2.0000000000095497E-3</v>
      </c>
      <c r="R163" s="8">
        <v>9.8488588015000779E-4</v>
      </c>
      <c r="U163" s="8">
        <v>-122.318</v>
      </c>
    </row>
    <row r="164" spans="1:21" x14ac:dyDescent="0.25">
      <c r="A164" s="9" t="s">
        <v>224</v>
      </c>
      <c r="B164" s="8">
        <v>823290.25800000003</v>
      </c>
      <c r="C164" s="8">
        <v>1091532.223</v>
      </c>
      <c r="D164" s="8">
        <v>-122.31699999999999</v>
      </c>
      <c r="E164" s="9" t="s">
        <v>394</v>
      </c>
      <c r="F164" s="8">
        <v>823290.25919999997</v>
      </c>
      <c r="G164" s="8">
        <v>1091532.2235999999</v>
      </c>
      <c r="H164" s="8">
        <f t="shared" si="10"/>
        <v>-122.31870000000001</v>
      </c>
      <c r="I164" s="8">
        <v>21.211779721138271</v>
      </c>
      <c r="J164" s="8">
        <v>4.6939520725555068</v>
      </c>
      <c r="K164" s="8">
        <v>0.23988220283106901</v>
      </c>
      <c r="L164" s="8">
        <v>21.213120862522668</v>
      </c>
      <c r="M164" s="8">
        <v>4.693915472941609</v>
      </c>
      <c r="N164" s="8">
        <v>0.23916879141721381</v>
      </c>
      <c r="O164" s="8">
        <v>1.341141384401112E-3</v>
      </c>
      <c r="P164" s="8">
        <v>-3.6599613897791983E-5</v>
      </c>
      <c r="Q164" s="8">
        <f t="shared" si="11"/>
        <v>-1.7000000000138016E-3</v>
      </c>
      <c r="R164" s="8">
        <v>1.3416406940368491E-3</v>
      </c>
      <c r="U164" s="8">
        <v>-122.3177</v>
      </c>
    </row>
    <row r="165" spans="1:21" x14ac:dyDescent="0.25">
      <c r="A165" s="9" t="s">
        <v>224</v>
      </c>
      <c r="B165" s="8">
        <v>823290.25800000003</v>
      </c>
      <c r="C165" s="8">
        <v>1091532.223</v>
      </c>
      <c r="D165" s="8">
        <v>-122.31699999999999</v>
      </c>
      <c r="E165" s="9" t="s">
        <v>395</v>
      </c>
      <c r="F165" s="8">
        <v>823290.25919999997</v>
      </c>
      <c r="G165" s="8">
        <v>1091532.2235999999</v>
      </c>
      <c r="H165" s="8">
        <f t="shared" si="10"/>
        <v>-122.31870000000001</v>
      </c>
      <c r="I165" s="8">
        <v>21.211779721138271</v>
      </c>
      <c r="J165" s="8">
        <v>4.6939520725555068</v>
      </c>
      <c r="K165" s="8">
        <v>0.23988220283106901</v>
      </c>
      <c r="L165" s="8">
        <v>21.213120862522668</v>
      </c>
      <c r="M165" s="8">
        <v>4.693915472941609</v>
      </c>
      <c r="N165" s="8">
        <v>0.23916879141721381</v>
      </c>
      <c r="O165" s="8">
        <v>1.341141384401112E-3</v>
      </c>
      <c r="P165" s="8">
        <v>-3.6599613897791983E-5</v>
      </c>
      <c r="Q165" s="8">
        <f t="shared" si="11"/>
        <v>-1.7000000000138016E-3</v>
      </c>
      <c r="R165" s="8">
        <v>1.3416406940368491E-3</v>
      </c>
      <c r="U165" s="8">
        <v>-122.3177</v>
      </c>
    </row>
    <row r="166" spans="1:21" x14ac:dyDescent="0.25">
      <c r="A166" s="9" t="s">
        <v>224</v>
      </c>
      <c r="B166" s="8">
        <v>823290.25800000003</v>
      </c>
      <c r="C166" s="8">
        <v>1091532.223</v>
      </c>
      <c r="D166" s="8">
        <v>-122.31699999999999</v>
      </c>
      <c r="E166" s="9" t="s">
        <v>112</v>
      </c>
      <c r="F166" s="8">
        <v>823290.25699999998</v>
      </c>
      <c r="G166" s="8">
        <v>1091532.2242000001</v>
      </c>
      <c r="H166" s="8">
        <f t="shared" si="10"/>
        <v>-122.31830000000001</v>
      </c>
      <c r="I166" s="8">
        <v>21.211779721138271</v>
      </c>
      <c r="J166" s="8">
        <v>4.6939520725555068</v>
      </c>
      <c r="K166" s="8">
        <v>0.23988220283106901</v>
      </c>
      <c r="L166" s="8">
        <v>21.211380603656789</v>
      </c>
      <c r="M166" s="8">
        <v>4.6924418722066417</v>
      </c>
      <c r="N166" s="8">
        <v>0.23958619400586659</v>
      </c>
      <c r="O166" s="8">
        <v>-3.9911748147858361E-4</v>
      </c>
      <c r="P166" s="8">
        <v>-1.5102003488651761E-3</v>
      </c>
      <c r="Q166" s="8">
        <f t="shared" si="11"/>
        <v>-1.3000000000147338E-3</v>
      </c>
      <c r="R166" s="8">
        <v>1.5620500093747221E-3</v>
      </c>
      <c r="U166" s="8">
        <v>-122.3173</v>
      </c>
    </row>
    <row r="167" spans="1:21" x14ac:dyDescent="0.25">
      <c r="A167" s="9" t="s">
        <v>224</v>
      </c>
      <c r="B167" s="8">
        <v>823290.25800000003</v>
      </c>
      <c r="C167" s="8">
        <v>1091532.223</v>
      </c>
      <c r="D167" s="8">
        <v>-122.31699999999999</v>
      </c>
      <c r="E167" s="9" t="s">
        <v>396</v>
      </c>
      <c r="F167" s="8">
        <v>823290.25699999998</v>
      </c>
      <c r="G167" s="8">
        <v>1091532.2242000001</v>
      </c>
      <c r="H167" s="8">
        <f t="shared" si="10"/>
        <v>-122.31830000000001</v>
      </c>
      <c r="I167" s="8">
        <v>21.211779721138271</v>
      </c>
      <c r="J167" s="8">
        <v>4.6939520725555068</v>
      </c>
      <c r="K167" s="8">
        <v>0.23988220283106901</v>
      </c>
      <c r="L167" s="8">
        <v>21.211380603656789</v>
      </c>
      <c r="M167" s="8">
        <v>4.6924418722066417</v>
      </c>
      <c r="N167" s="8">
        <v>0.23958619400586659</v>
      </c>
      <c r="O167" s="8">
        <v>-3.9911748147858361E-4</v>
      </c>
      <c r="P167" s="8">
        <v>-1.5102003488651761E-3</v>
      </c>
      <c r="Q167" s="8">
        <f t="shared" si="11"/>
        <v>-1.3000000000147338E-3</v>
      </c>
      <c r="R167" s="8">
        <v>1.5620500093747221E-3</v>
      </c>
      <c r="U167" s="8">
        <v>-122.3173</v>
      </c>
    </row>
    <row r="168" spans="1:21" x14ac:dyDescent="0.25">
      <c r="A168" s="9" t="s">
        <v>224</v>
      </c>
      <c r="B168" s="8">
        <v>823290.25800000003</v>
      </c>
      <c r="C168" s="8">
        <v>1091532.223</v>
      </c>
      <c r="D168" s="8">
        <v>-122.31699999999999</v>
      </c>
      <c r="E168" s="9" t="s">
        <v>397</v>
      </c>
      <c r="F168" s="8">
        <v>823290.25699999998</v>
      </c>
      <c r="G168" s="8">
        <v>1091532.2242000001</v>
      </c>
      <c r="H168" s="8">
        <f t="shared" si="10"/>
        <v>-122.31830000000001</v>
      </c>
      <c r="I168" s="8">
        <v>21.211779721138271</v>
      </c>
      <c r="J168" s="8">
        <v>4.6939520725555068</v>
      </c>
      <c r="K168" s="8">
        <v>0.23988220283106901</v>
      </c>
      <c r="L168" s="8">
        <v>21.211380603656789</v>
      </c>
      <c r="M168" s="8">
        <v>4.6924418722066417</v>
      </c>
      <c r="N168" s="8">
        <v>0.23958619400586659</v>
      </c>
      <c r="O168" s="8">
        <v>-3.9911748147858361E-4</v>
      </c>
      <c r="P168" s="8">
        <v>-1.5102003488651761E-3</v>
      </c>
      <c r="Q168" s="8">
        <f t="shared" si="11"/>
        <v>-1.3000000000147338E-3</v>
      </c>
      <c r="R168" s="8">
        <v>1.5620500093747221E-3</v>
      </c>
      <c r="U168" s="8">
        <v>-122.3173</v>
      </c>
    </row>
    <row r="169" spans="1:21" x14ac:dyDescent="0.25">
      <c r="A169" s="9" t="s">
        <v>224</v>
      </c>
      <c r="B169" s="8">
        <v>823290.25800000003</v>
      </c>
      <c r="C169" s="8">
        <v>1091532.223</v>
      </c>
      <c r="D169" s="8">
        <v>-122.31699999999999</v>
      </c>
      <c r="E169" s="9" t="s">
        <v>398</v>
      </c>
      <c r="F169" s="8">
        <v>823290.25719999999</v>
      </c>
      <c r="G169" s="8">
        <v>1091532.2239000001</v>
      </c>
      <c r="H169" s="8">
        <f t="shared" si="10"/>
        <v>-122.3185</v>
      </c>
      <c r="I169" s="8">
        <v>21.211779721138271</v>
      </c>
      <c r="J169" s="8">
        <v>4.6939520725555068</v>
      </c>
      <c r="K169" s="8">
        <v>0.23988220283106901</v>
      </c>
      <c r="L169" s="8">
        <v>21.21143506833765</v>
      </c>
      <c r="M169" s="8">
        <v>4.6927982898288603</v>
      </c>
      <c r="N169" s="8">
        <v>0.2393856493590647</v>
      </c>
      <c r="O169" s="8">
        <v>-3.4465280062079268E-4</v>
      </c>
      <c r="P169" s="8">
        <v>-1.1537827266465679E-3</v>
      </c>
      <c r="Q169" s="8">
        <f t="shared" si="11"/>
        <v>-1.5000000000071623E-3</v>
      </c>
      <c r="R169" s="8">
        <v>1.204159558578684E-3</v>
      </c>
      <c r="U169" s="8">
        <v>-122.3175</v>
      </c>
    </row>
    <row r="170" spans="1:21" x14ac:dyDescent="0.25">
      <c r="A170" s="9" t="s">
        <v>224</v>
      </c>
      <c r="B170" s="8">
        <v>823290.25800000003</v>
      </c>
      <c r="C170" s="8">
        <v>1091532.223</v>
      </c>
      <c r="D170" s="8">
        <v>-122.31699999999999</v>
      </c>
      <c r="E170" s="9" t="s">
        <v>399</v>
      </c>
      <c r="F170" s="8">
        <v>823290.25719999999</v>
      </c>
      <c r="G170" s="8">
        <v>1091532.2239000001</v>
      </c>
      <c r="H170" s="8">
        <f t="shared" si="10"/>
        <v>-122.3185</v>
      </c>
      <c r="I170" s="8">
        <v>21.211779721138271</v>
      </c>
      <c r="J170" s="8">
        <v>4.6939520725555068</v>
      </c>
      <c r="K170" s="8">
        <v>0.23988220283106901</v>
      </c>
      <c r="L170" s="8">
        <v>21.21143506833765</v>
      </c>
      <c r="M170" s="8">
        <v>4.6927982898288603</v>
      </c>
      <c r="N170" s="8">
        <v>0.2393856493590647</v>
      </c>
      <c r="O170" s="8">
        <v>-3.4465280062079268E-4</v>
      </c>
      <c r="P170" s="8">
        <v>-1.1537827266465679E-3</v>
      </c>
      <c r="Q170" s="8">
        <f t="shared" si="11"/>
        <v>-1.5000000000071623E-3</v>
      </c>
      <c r="R170" s="8">
        <v>1.204159558578684E-3</v>
      </c>
      <c r="U170" s="8">
        <v>-122.3175</v>
      </c>
    </row>
    <row r="171" spans="1:21" x14ac:dyDescent="0.25">
      <c r="A171" s="9" t="s">
        <v>225</v>
      </c>
      <c r="B171" s="8">
        <v>823290.12399999995</v>
      </c>
      <c r="C171" s="8">
        <v>1091532.827</v>
      </c>
      <c r="D171" s="8">
        <v>-124.70699999999999</v>
      </c>
      <c r="E171" s="9" t="s">
        <v>400</v>
      </c>
      <c r="F171" s="8">
        <v>823290.12280000001</v>
      </c>
      <c r="G171" s="8">
        <v>1091532.8274999999</v>
      </c>
      <c r="H171" s="8">
        <f t="shared" si="10"/>
        <v>-124.70830000000001</v>
      </c>
      <c r="I171" s="8">
        <v>21.345615270637971</v>
      </c>
      <c r="J171" s="8">
        <v>4.0899156120204774</v>
      </c>
      <c r="K171" s="8">
        <v>-2.1514561526636702</v>
      </c>
      <c r="L171" s="8">
        <v>21.344739041197951</v>
      </c>
      <c r="M171" s="8">
        <v>4.0889552882851854</v>
      </c>
      <c r="N171" s="8">
        <v>-2.1517473903692799</v>
      </c>
      <c r="O171" s="8">
        <v>-8.762294400241899E-4</v>
      </c>
      <c r="P171" s="8">
        <v>-9.6032373529197912E-4</v>
      </c>
      <c r="Q171" s="8">
        <f t="shared" si="11"/>
        <v>-1.3000000000147338E-3</v>
      </c>
      <c r="R171" s="8">
        <v>1.2999998871237089E-3</v>
      </c>
      <c r="U171" s="8">
        <v>-124.7073</v>
      </c>
    </row>
    <row r="172" spans="1:21" x14ac:dyDescent="0.25">
      <c r="A172" s="9" t="s">
        <v>225</v>
      </c>
      <c r="B172" s="8">
        <v>823290.12399999995</v>
      </c>
      <c r="C172" s="8">
        <v>1091532.827</v>
      </c>
      <c r="D172" s="8">
        <v>-124.70699999999999</v>
      </c>
      <c r="E172" s="9" t="s">
        <v>401</v>
      </c>
      <c r="F172" s="8">
        <v>823290.12490000005</v>
      </c>
      <c r="G172" s="8">
        <v>1091532.8273</v>
      </c>
      <c r="H172" s="8">
        <f t="shared" si="10"/>
        <v>-124.70840000000001</v>
      </c>
      <c r="I172" s="8">
        <v>21.345615270637971</v>
      </c>
      <c r="J172" s="8">
        <v>4.0899156120204774</v>
      </c>
      <c r="K172" s="8">
        <v>-2.1514561526636702</v>
      </c>
      <c r="L172" s="8">
        <v>21.346557729720359</v>
      </c>
      <c r="M172" s="8">
        <v>4.0900241064267817</v>
      </c>
      <c r="N172" s="8">
        <v>-2.151865577254497</v>
      </c>
      <c r="O172" s="8">
        <v>9.4245908238477227E-4</v>
      </c>
      <c r="P172" s="8">
        <v>1.08494406304338E-4</v>
      </c>
      <c r="Q172" s="8">
        <f t="shared" si="11"/>
        <v>-1.4000000000180535E-3</v>
      </c>
      <c r="R172" s="8">
        <v>9.4868337992431257E-4</v>
      </c>
      <c r="U172" s="8">
        <v>-124.70740000000001</v>
      </c>
    </row>
    <row r="173" spans="1:21" x14ac:dyDescent="0.25">
      <c r="A173" s="9" t="s">
        <v>225</v>
      </c>
      <c r="B173" s="8">
        <v>823290.12399999995</v>
      </c>
      <c r="C173" s="8">
        <v>1091532.827</v>
      </c>
      <c r="D173" s="8">
        <v>-124.70699999999999</v>
      </c>
      <c r="E173" s="9" t="s">
        <v>402</v>
      </c>
      <c r="F173" s="8">
        <v>823290.12490000005</v>
      </c>
      <c r="G173" s="8">
        <v>1091532.8273</v>
      </c>
      <c r="H173" s="8">
        <f t="shared" si="10"/>
        <v>-124.70840000000001</v>
      </c>
      <c r="I173" s="8">
        <v>21.345615270637971</v>
      </c>
      <c r="J173" s="8">
        <v>4.0899156120204774</v>
      </c>
      <c r="K173" s="8">
        <v>-2.1514561526636702</v>
      </c>
      <c r="L173" s="8">
        <v>21.346557729720359</v>
      </c>
      <c r="M173" s="8">
        <v>4.0900241064267817</v>
      </c>
      <c r="N173" s="8">
        <v>-2.151865577254497</v>
      </c>
      <c r="O173" s="8">
        <v>9.4245908238477227E-4</v>
      </c>
      <c r="P173" s="8">
        <v>1.08494406304338E-4</v>
      </c>
      <c r="Q173" s="8">
        <f t="shared" si="11"/>
        <v>-1.4000000000180535E-3</v>
      </c>
      <c r="R173" s="8">
        <v>9.4868337992431257E-4</v>
      </c>
      <c r="U173" s="8">
        <v>-124.70740000000001</v>
      </c>
    </row>
    <row r="174" spans="1:21" x14ac:dyDescent="0.25">
      <c r="A174" s="9" t="s">
        <v>225</v>
      </c>
      <c r="B174" s="8">
        <v>823290.12399999995</v>
      </c>
      <c r="C174" s="8">
        <v>1091532.827</v>
      </c>
      <c r="D174" s="8">
        <v>-124.70699999999999</v>
      </c>
      <c r="E174" s="9" t="s">
        <v>114</v>
      </c>
      <c r="F174" s="8">
        <v>823290.12210000004</v>
      </c>
      <c r="G174" s="8">
        <v>1091532.8276</v>
      </c>
      <c r="H174" s="8">
        <f t="shared" si="10"/>
        <v>-124.708</v>
      </c>
      <c r="I174" s="8">
        <v>21.345615270637971</v>
      </c>
      <c r="J174" s="8">
        <v>4.0899156120204774</v>
      </c>
      <c r="K174" s="8">
        <v>-2.1514561526636702</v>
      </c>
      <c r="L174" s="8">
        <v>21.344146900011118</v>
      </c>
      <c r="M174" s="8">
        <v>4.0885688057097767</v>
      </c>
      <c r="N174" s="8">
        <v>-2.1514414689574011</v>
      </c>
      <c r="O174" s="8">
        <v>-1.468370626856341E-3</v>
      </c>
      <c r="P174" s="8">
        <v>-1.3468063107007211E-3</v>
      </c>
      <c r="Q174" s="8">
        <f t="shared" si="11"/>
        <v>-1.0000000000047748E-3</v>
      </c>
      <c r="R174" s="8">
        <v>1.9924857775813752E-3</v>
      </c>
      <c r="U174" s="8">
        <v>-124.70699999999999</v>
      </c>
    </row>
    <row r="175" spans="1:21" x14ac:dyDescent="0.25">
      <c r="A175" s="9" t="s">
        <v>225</v>
      </c>
      <c r="B175" s="8">
        <v>823290.12399999995</v>
      </c>
      <c r="C175" s="8">
        <v>1091532.827</v>
      </c>
      <c r="D175" s="8">
        <v>-124.70699999999999</v>
      </c>
      <c r="E175" s="9" t="s">
        <v>403</v>
      </c>
      <c r="F175" s="8">
        <v>823290.12210000004</v>
      </c>
      <c r="G175" s="8">
        <v>1091532.8276</v>
      </c>
      <c r="H175" s="8">
        <f t="shared" si="10"/>
        <v>-124.708</v>
      </c>
      <c r="I175" s="8">
        <v>21.345615270637971</v>
      </c>
      <c r="J175" s="8">
        <v>4.0899156120204774</v>
      </c>
      <c r="K175" s="8">
        <v>-2.1514561526636702</v>
      </c>
      <c r="L175" s="8">
        <v>21.344146900011118</v>
      </c>
      <c r="M175" s="8">
        <v>4.0885688057097767</v>
      </c>
      <c r="N175" s="8">
        <v>-2.1514414689574011</v>
      </c>
      <c r="O175" s="8">
        <v>-1.468370626856341E-3</v>
      </c>
      <c r="P175" s="8">
        <v>-1.3468063107007211E-3</v>
      </c>
      <c r="Q175" s="8">
        <f t="shared" si="11"/>
        <v>-1.0000000000047748E-3</v>
      </c>
      <c r="R175" s="8">
        <v>1.9924857775813752E-3</v>
      </c>
      <c r="U175" s="8">
        <v>-124.70699999999999</v>
      </c>
    </row>
    <row r="176" spans="1:21" x14ac:dyDescent="0.25">
      <c r="A176" s="9" t="s">
        <v>225</v>
      </c>
      <c r="B176" s="8">
        <v>823290.12399999995</v>
      </c>
      <c r="C176" s="8">
        <v>1091532.827</v>
      </c>
      <c r="D176" s="8">
        <v>-124.70699999999999</v>
      </c>
      <c r="E176" s="9" t="s">
        <v>404</v>
      </c>
      <c r="F176" s="8">
        <v>823290.12210000004</v>
      </c>
      <c r="G176" s="8">
        <v>1091532.8276</v>
      </c>
      <c r="H176" s="8">
        <f t="shared" si="10"/>
        <v>-124.708</v>
      </c>
      <c r="I176" s="8">
        <v>21.345615270637971</v>
      </c>
      <c r="J176" s="8">
        <v>4.0899156120204774</v>
      </c>
      <c r="K176" s="8">
        <v>-2.1514561526636702</v>
      </c>
      <c r="L176" s="8">
        <v>21.344146900011118</v>
      </c>
      <c r="M176" s="8">
        <v>4.0885688057097767</v>
      </c>
      <c r="N176" s="8">
        <v>-2.1514414689574011</v>
      </c>
      <c r="O176" s="8">
        <v>-1.468370626856341E-3</v>
      </c>
      <c r="P176" s="8">
        <v>-1.3468063107007211E-3</v>
      </c>
      <c r="Q176" s="8">
        <f t="shared" si="11"/>
        <v>-1.0000000000047748E-3</v>
      </c>
      <c r="R176" s="8">
        <v>1.9924857775813752E-3</v>
      </c>
      <c r="U176" s="8">
        <v>-124.70699999999999</v>
      </c>
    </row>
    <row r="177" spans="1:21" x14ac:dyDescent="0.25">
      <c r="A177" s="9" t="s">
        <v>225</v>
      </c>
      <c r="B177" s="8">
        <v>823290.12399999995</v>
      </c>
      <c r="C177" s="8">
        <v>1091532.827</v>
      </c>
      <c r="D177" s="8">
        <v>-124.70699999999999</v>
      </c>
      <c r="E177" s="9" t="s">
        <v>405</v>
      </c>
      <c r="F177" s="8">
        <v>823290.12139999995</v>
      </c>
      <c r="G177" s="8">
        <v>1091532.8271000001</v>
      </c>
      <c r="H177" s="8">
        <f t="shared" si="10"/>
        <v>-124.70790000000001</v>
      </c>
      <c r="I177" s="8">
        <v>21.345615270637971</v>
      </c>
      <c r="J177" s="8">
        <v>4.0899156120204774</v>
      </c>
      <c r="K177" s="8">
        <v>-2.1514561526636702</v>
      </c>
      <c r="L177" s="8">
        <v>21.343301170367589</v>
      </c>
      <c r="M177" s="8">
        <v>4.0887260995520753</v>
      </c>
      <c r="N177" s="8">
        <v>-2.1513330116609808</v>
      </c>
      <c r="O177" s="8">
        <v>-2.314100270385921E-3</v>
      </c>
      <c r="P177" s="8">
        <v>-1.1895124684020431E-3</v>
      </c>
      <c r="Q177" s="8">
        <f t="shared" si="11"/>
        <v>-9.0000000001566605E-4</v>
      </c>
      <c r="R177" s="8">
        <v>2.6019223757440101E-3</v>
      </c>
      <c r="U177" s="8">
        <v>-124.7069</v>
      </c>
    </row>
    <row r="178" spans="1:21" x14ac:dyDescent="0.25">
      <c r="A178" s="9" t="s">
        <v>225</v>
      </c>
      <c r="B178" s="8">
        <v>823290.12399999995</v>
      </c>
      <c r="C178" s="8">
        <v>1091532.827</v>
      </c>
      <c r="D178" s="8">
        <v>-124.70699999999999</v>
      </c>
      <c r="E178" s="9" t="s">
        <v>406</v>
      </c>
      <c r="F178" s="8">
        <v>823290.12139999995</v>
      </c>
      <c r="G178" s="8">
        <v>1091532.8271000001</v>
      </c>
      <c r="H178" s="8">
        <f t="shared" si="10"/>
        <v>-124.70790000000001</v>
      </c>
      <c r="I178" s="8">
        <v>21.345615270637971</v>
      </c>
      <c r="J178" s="8">
        <v>4.0899156120204774</v>
      </c>
      <c r="K178" s="8">
        <v>-2.1514561526636702</v>
      </c>
      <c r="L178" s="8">
        <v>21.343301170367589</v>
      </c>
      <c r="M178" s="8">
        <v>4.0887260995520753</v>
      </c>
      <c r="N178" s="8">
        <v>-2.1513330116609808</v>
      </c>
      <c r="O178" s="8">
        <v>-2.314100270385921E-3</v>
      </c>
      <c r="P178" s="8">
        <v>-1.1895124684020431E-3</v>
      </c>
      <c r="Q178" s="8">
        <f t="shared" si="11"/>
        <v>-9.0000000001566605E-4</v>
      </c>
      <c r="R178" s="8">
        <v>2.6019223757440101E-3</v>
      </c>
      <c r="U178" s="8">
        <v>-124.7069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D7D7-4B02-4BC9-BCD7-70130CB7E6D1}">
  <dimension ref="A1:R59"/>
  <sheetViews>
    <sheetView zoomScale="85" zoomScaleNormal="85" workbookViewId="0">
      <selection activeCell="N11" sqref="N11:Q29"/>
    </sheetView>
  </sheetViews>
  <sheetFormatPr baseColWidth="10" defaultColWidth="9.140625" defaultRowHeight="15" x14ac:dyDescent="0.25"/>
  <cols>
    <col min="1" max="12" width="15.140625" customWidth="1"/>
    <col min="14" max="14" width="12.5703125" bestFit="1" customWidth="1"/>
    <col min="15" max="15" width="11.7109375" style="38" bestFit="1" customWidth="1"/>
    <col min="16" max="16" width="12.7109375" style="38" bestFit="1" customWidth="1"/>
    <col min="17" max="17" width="9.42578125" style="38" bestFit="1" customWidth="1"/>
    <col min="18" max="18" width="9.140625" style="38"/>
  </cols>
  <sheetData>
    <row r="1" spans="1:17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260</v>
      </c>
      <c r="J1" s="35" t="s">
        <v>261</v>
      </c>
      <c r="K1" s="35" t="s">
        <v>262</v>
      </c>
      <c r="L1" s="35" t="s">
        <v>263</v>
      </c>
    </row>
    <row r="2" spans="1:17" x14ac:dyDescent="0.25">
      <c r="A2" s="9" t="s">
        <v>9</v>
      </c>
      <c r="B2" s="8">
        <v>823251.28060000006</v>
      </c>
      <c r="C2" s="8">
        <v>1091521.5682999999</v>
      </c>
      <c r="D2" s="8">
        <v>-123.6816</v>
      </c>
      <c r="E2" s="9" t="s">
        <v>9</v>
      </c>
      <c r="F2" s="8">
        <v>823251.28</v>
      </c>
      <c r="G2" s="8">
        <v>1091521.5663999999</v>
      </c>
      <c r="H2" s="8">
        <v>-123.6823</v>
      </c>
      <c r="I2" s="8">
        <v>-1.3468064793364929E-3</v>
      </c>
      <c r="J2" s="8">
        <v>-1.4683707206626371E-3</v>
      </c>
      <c r="K2" s="8">
        <v>-6.8653193520162858E-4</v>
      </c>
      <c r="L2" s="8">
        <v>1.992485923649312E-3</v>
      </c>
    </row>
    <row r="3" spans="1:17" x14ac:dyDescent="0.25">
      <c r="A3" s="9" t="s">
        <v>11</v>
      </c>
      <c r="B3" s="8">
        <v>823257.01199999999</v>
      </c>
      <c r="C3" s="8">
        <v>1091518.9757999999</v>
      </c>
      <c r="D3" s="8">
        <v>-123.5288</v>
      </c>
      <c r="E3" s="9" t="s">
        <v>11</v>
      </c>
      <c r="F3" s="8">
        <v>823257.01</v>
      </c>
      <c r="G3" s="8">
        <v>1091518.9754000001</v>
      </c>
      <c r="H3" s="8">
        <v>-123.5299</v>
      </c>
      <c r="I3" s="8">
        <v>-1.9816472942135728E-3</v>
      </c>
      <c r="J3" s="8">
        <v>-4.8277711041322391E-4</v>
      </c>
      <c r="K3" s="8">
        <v>-1.080183527051304E-3</v>
      </c>
      <c r="L3" s="8">
        <v>2.0396077424968359E-3</v>
      </c>
    </row>
    <row r="4" spans="1:17" x14ac:dyDescent="0.25">
      <c r="A4" s="9" t="s">
        <v>13</v>
      </c>
      <c r="B4" s="8">
        <v>823265.72169999999</v>
      </c>
      <c r="C4" s="8">
        <v>1091522.9946000001</v>
      </c>
      <c r="D4" s="8">
        <v>-123.5341</v>
      </c>
      <c r="E4" s="9" t="s">
        <v>13</v>
      </c>
      <c r="F4" s="8">
        <v>823265.72109999997</v>
      </c>
      <c r="G4" s="8">
        <v>1091522.99545</v>
      </c>
      <c r="H4" s="8">
        <v>-123.5355</v>
      </c>
      <c r="I4" s="8">
        <v>-1.8452637237054151E-4</v>
      </c>
      <c r="J4" s="8">
        <v>-1.023938545569258E-3</v>
      </c>
      <c r="K4" s="8">
        <v>-1.3981547362931219E-3</v>
      </c>
      <c r="L4" s="8">
        <v>1.0404325804214559E-3</v>
      </c>
    </row>
    <row r="5" spans="1:17" x14ac:dyDescent="0.25">
      <c r="A5" s="9" t="s">
        <v>15</v>
      </c>
      <c r="B5" s="8">
        <v>823268.01500000001</v>
      </c>
      <c r="C5" s="8">
        <v>1091524.2712999999</v>
      </c>
      <c r="D5" s="8">
        <v>-123.4455</v>
      </c>
      <c r="E5" s="9" t="s">
        <v>15</v>
      </c>
      <c r="F5" s="8">
        <v>823268.01560000004</v>
      </c>
      <c r="G5" s="8">
        <v>1091524.2714</v>
      </c>
      <c r="H5" s="8">
        <v>-123.447</v>
      </c>
      <c r="I5" s="8">
        <v>5.8604132735906589E-4</v>
      </c>
      <c r="J5" s="8">
        <v>1.6295889107986741E-4</v>
      </c>
      <c r="K5" s="8">
        <v>-1.505860413274718E-3</v>
      </c>
      <c r="L5" s="8">
        <v>6.0827629149067691E-4</v>
      </c>
    </row>
    <row r="6" spans="1:17" x14ac:dyDescent="0.25">
      <c r="A6" s="9" t="s">
        <v>17</v>
      </c>
      <c r="B6" s="8">
        <v>823265.88659999997</v>
      </c>
      <c r="C6" s="8">
        <v>1091528.8396999999</v>
      </c>
      <c r="D6" s="8">
        <v>-123.44</v>
      </c>
      <c r="E6" s="9" t="s">
        <v>17</v>
      </c>
      <c r="F6" s="8">
        <v>823265.88800000004</v>
      </c>
      <c r="G6" s="8">
        <v>1091528.838</v>
      </c>
      <c r="H6" s="8">
        <v>-123.4423</v>
      </c>
      <c r="I6" s="8">
        <v>5.5031160119289879E-4</v>
      </c>
      <c r="J6" s="8">
        <v>-2.132406479901761E-3</v>
      </c>
      <c r="K6" s="8">
        <v>-2.305503116005525E-3</v>
      </c>
      <c r="L6" s="8">
        <v>2.2022715243600532E-3</v>
      </c>
    </row>
    <row r="7" spans="1:17" x14ac:dyDescent="0.25">
      <c r="A7" s="9" t="s">
        <v>19</v>
      </c>
      <c r="B7" s="8">
        <v>823224.73430000001</v>
      </c>
      <c r="C7" s="8">
        <v>1091509.0695</v>
      </c>
      <c r="D7" s="8">
        <v>-123.97669999999999</v>
      </c>
      <c r="E7" s="9" t="s">
        <v>19</v>
      </c>
      <c r="F7" s="8">
        <v>823224.73419999995</v>
      </c>
      <c r="G7" s="8">
        <v>1091509.0700999999</v>
      </c>
      <c r="H7" s="8">
        <v>-123.9748</v>
      </c>
      <c r="I7" s="8">
        <v>1.6295887021300359E-4</v>
      </c>
      <c r="J7" s="8">
        <v>5.8604124219652221E-4</v>
      </c>
      <c r="K7" s="8">
        <v>1.8983704112827131E-3</v>
      </c>
      <c r="L7" s="8">
        <v>6.0827617665931287E-4</v>
      </c>
    </row>
    <row r="8" spans="1:17" x14ac:dyDescent="0.25">
      <c r="A8" s="36" t="s">
        <v>63</v>
      </c>
      <c r="B8" s="37">
        <v>823258.05489999999</v>
      </c>
      <c r="C8" s="37">
        <v>1091526.3359999999</v>
      </c>
      <c r="D8" s="37">
        <v>-123.4444</v>
      </c>
      <c r="E8" s="36" t="s">
        <v>20</v>
      </c>
      <c r="F8" s="37">
        <v>823257.99419999996</v>
      </c>
      <c r="G8" s="37">
        <v>1091526.2734000001</v>
      </c>
      <c r="H8" s="37">
        <v>-123.2516</v>
      </c>
      <c r="I8" s="37">
        <v>-8.1469782127857826E-2</v>
      </c>
      <c r="J8" s="37">
        <v>-3.1079327193597631E-2</v>
      </c>
      <c r="K8" s="37">
        <v>0.1936146978211184</v>
      </c>
      <c r="L8" s="37">
        <v>8.7196616806419436E-2</v>
      </c>
    </row>
    <row r="9" spans="1:17" x14ac:dyDescent="0.25">
      <c r="A9" s="9" t="s">
        <v>20</v>
      </c>
      <c r="B9" s="8">
        <v>823257.99349999998</v>
      </c>
      <c r="C9" s="8">
        <v>1091526.274</v>
      </c>
      <c r="D9" s="8">
        <v>-123.251</v>
      </c>
      <c r="E9" s="9" t="s">
        <v>20</v>
      </c>
      <c r="F9" s="8">
        <v>823257.99419999996</v>
      </c>
      <c r="G9" s="8">
        <v>1091526.2734000001</v>
      </c>
      <c r="H9" s="8">
        <v>-123.2516</v>
      </c>
      <c r="I9" s="8">
        <v>3.808175936406144E-4</v>
      </c>
      <c r="J9" s="8">
        <v>-8.3962945768911723E-4</v>
      </c>
      <c r="K9" s="8">
        <v>-6.0380817593852498E-4</v>
      </c>
      <c r="L9" s="8">
        <v>9.2195436956313845E-4</v>
      </c>
    </row>
    <row r="10" spans="1:17" x14ac:dyDescent="0.25">
      <c r="A10" s="9" t="s">
        <v>22</v>
      </c>
      <c r="B10" s="8">
        <v>823256.60849999997</v>
      </c>
      <c r="C10" s="8">
        <v>1091524.4813000001</v>
      </c>
      <c r="D10" s="8">
        <v>-123.70699999999999</v>
      </c>
      <c r="E10" s="9" t="s">
        <v>22</v>
      </c>
      <c r="F10" s="8">
        <v>823256.60810000007</v>
      </c>
      <c r="G10" s="8">
        <v>1091524.4798999999</v>
      </c>
      <c r="H10" s="8">
        <v>-123.70845</v>
      </c>
      <c r="I10" s="8">
        <v>-9.5422382578291831E-4</v>
      </c>
      <c r="J10" s="8">
        <v>-1.099753016132077E-3</v>
      </c>
      <c r="K10" s="8">
        <v>-1.4404577617455061E-3</v>
      </c>
      <c r="L10" s="8">
        <v>1.456021903095571E-3</v>
      </c>
    </row>
    <row r="11" spans="1:17" x14ac:dyDescent="0.25">
      <c r="A11" s="9" t="s">
        <v>26</v>
      </c>
      <c r="B11" s="8">
        <v>823268.98580000002</v>
      </c>
      <c r="C11" s="8">
        <v>1091530.5776</v>
      </c>
      <c r="D11" s="8">
        <v>-124.261</v>
      </c>
      <c r="E11" s="9" t="s">
        <v>24</v>
      </c>
      <c r="F11" s="8">
        <v>823268.98869999999</v>
      </c>
      <c r="G11" s="8">
        <v>1091530.5759000001</v>
      </c>
      <c r="H11" s="8">
        <v>-124.2641</v>
      </c>
      <c r="I11" s="8">
        <v>1.9097528663305501E-3</v>
      </c>
      <c r="J11" s="8">
        <v>-2.766377335153614E-3</v>
      </c>
      <c r="K11" s="8">
        <v>-3.1190975286676799E-3</v>
      </c>
      <c r="L11" s="8">
        <v>3.3615471835021101E-3</v>
      </c>
      <c r="N11" s="9" t="str">
        <f>E11</f>
        <v>003.i.GHA.4G</v>
      </c>
      <c r="O11" s="38">
        <f>F11</f>
        <v>823268.98869999999</v>
      </c>
      <c r="P11" s="38">
        <f t="shared" ref="P11:Q11" si="0">G11</f>
        <v>1091530.5759000001</v>
      </c>
      <c r="Q11" s="38">
        <f t="shared" si="0"/>
        <v>-124.2641</v>
      </c>
    </row>
    <row r="12" spans="1:17" x14ac:dyDescent="0.25">
      <c r="A12" s="9" t="s">
        <v>26</v>
      </c>
      <c r="B12" s="8">
        <v>823268.98580000002</v>
      </c>
      <c r="C12" s="8">
        <v>1091530.5776</v>
      </c>
      <c r="D12" s="8">
        <v>-124.261</v>
      </c>
      <c r="E12" s="9" t="s">
        <v>26</v>
      </c>
      <c r="F12" s="8">
        <v>823268.98869999999</v>
      </c>
      <c r="G12" s="8">
        <v>1091530.5759000001</v>
      </c>
      <c r="H12" s="8">
        <v>-124.2641</v>
      </c>
      <c r="I12" s="8">
        <v>1.9097528663305501E-3</v>
      </c>
      <c r="J12" s="8">
        <v>-2.766377335153614E-3</v>
      </c>
      <c r="K12" s="8">
        <v>-3.1190975286676799E-3</v>
      </c>
      <c r="L12" s="8">
        <v>3.3615471835021101E-3</v>
      </c>
    </row>
    <row r="13" spans="1:17" x14ac:dyDescent="0.25">
      <c r="A13" s="9" t="s">
        <v>29</v>
      </c>
      <c r="B13" s="8">
        <v>823271.31629999995</v>
      </c>
      <c r="C13" s="8">
        <v>1091525.4778</v>
      </c>
      <c r="D13" s="8">
        <v>-124.31059999999999</v>
      </c>
      <c r="E13" s="9" t="s">
        <v>27</v>
      </c>
      <c r="F13" s="8">
        <v>823271.31480000005</v>
      </c>
      <c r="G13" s="8">
        <v>1091525.4783000001</v>
      </c>
      <c r="H13" s="8">
        <v>-124.3087</v>
      </c>
      <c r="I13" s="8">
        <v>-1.1481175735414959E-3</v>
      </c>
      <c r="J13" s="8">
        <v>-1.087117948545657E-3</v>
      </c>
      <c r="K13" s="8">
        <v>1.911481175724816E-3</v>
      </c>
      <c r="L13" s="8">
        <v>1.58113875792923E-3</v>
      </c>
      <c r="N13" t="str">
        <f>E13</f>
        <v>003.i.GHA.5D</v>
      </c>
      <c r="O13" s="38">
        <f t="shared" ref="O13:Q13" si="1">F13</f>
        <v>823271.31480000005</v>
      </c>
      <c r="P13" s="38">
        <f t="shared" si="1"/>
        <v>1091525.4783000001</v>
      </c>
      <c r="Q13" s="38">
        <f t="shared" si="1"/>
        <v>-124.3087</v>
      </c>
    </row>
    <row r="14" spans="1:17" x14ac:dyDescent="0.25">
      <c r="A14" s="9" t="s">
        <v>29</v>
      </c>
      <c r="B14" s="8">
        <v>823271.31629999995</v>
      </c>
      <c r="C14" s="8">
        <v>1091525.4778</v>
      </c>
      <c r="D14" s="8">
        <v>-124.31059999999999</v>
      </c>
      <c r="E14" s="9" t="s">
        <v>29</v>
      </c>
      <c r="F14" s="8">
        <v>823271.31480000005</v>
      </c>
      <c r="G14" s="8">
        <v>1091525.4783000001</v>
      </c>
      <c r="H14" s="8">
        <v>-124.3087</v>
      </c>
      <c r="I14" s="8">
        <v>-1.1481175735414959E-3</v>
      </c>
      <c r="J14" s="8">
        <v>-1.087117948545657E-3</v>
      </c>
      <c r="K14" s="8">
        <v>1.911481175724816E-3</v>
      </c>
      <c r="L14" s="8">
        <v>1.58113875792923E-3</v>
      </c>
    </row>
    <row r="15" spans="1:17" x14ac:dyDescent="0.25">
      <c r="A15" s="9" t="s">
        <v>31</v>
      </c>
      <c r="B15" s="8">
        <v>823269.97510000004</v>
      </c>
      <c r="C15" s="8">
        <v>1091531.8297999999</v>
      </c>
      <c r="D15" s="8">
        <v>-124.4327</v>
      </c>
      <c r="E15" s="9" t="s">
        <v>31</v>
      </c>
      <c r="F15" s="8">
        <v>823269.9754</v>
      </c>
      <c r="G15" s="8">
        <v>1091531.8281</v>
      </c>
      <c r="H15" s="8">
        <v>-124.43429999999999</v>
      </c>
      <c r="I15" s="8">
        <v>-4.466121620523289E-4</v>
      </c>
      <c r="J15" s="8">
        <v>-1.667494402176839E-3</v>
      </c>
      <c r="K15" s="8">
        <v>-1.595533878386846E-3</v>
      </c>
      <c r="L15" s="8">
        <v>1.7262675500750409E-3</v>
      </c>
    </row>
    <row r="16" spans="1:17" x14ac:dyDescent="0.25">
      <c r="A16" s="9" t="s">
        <v>33</v>
      </c>
      <c r="B16" s="8">
        <v>823276.08810000005</v>
      </c>
      <c r="C16" s="8">
        <v>1091526.3326999999</v>
      </c>
      <c r="D16" s="8">
        <v>-125.01</v>
      </c>
      <c r="E16" s="9" t="s">
        <v>33</v>
      </c>
      <c r="F16" s="8">
        <v>823276.08660000004</v>
      </c>
      <c r="G16" s="8">
        <v>1091526.3333000001</v>
      </c>
      <c r="H16" s="8">
        <v>-125.01049999999999</v>
      </c>
      <c r="I16" s="8">
        <v>-1.105852921047479E-3</v>
      </c>
      <c r="J16" s="8">
        <v>-1.1777477441876629E-3</v>
      </c>
      <c r="K16" s="8">
        <v>-4.8894147079181494E-4</v>
      </c>
      <c r="L16" s="8">
        <v>1.6155495080659461E-3</v>
      </c>
    </row>
    <row r="17" spans="1:17" x14ac:dyDescent="0.25">
      <c r="A17" s="9" t="s">
        <v>35</v>
      </c>
      <c r="B17" s="8">
        <v>823272.57799999998</v>
      </c>
      <c r="C17" s="8">
        <v>1091533.6714999999</v>
      </c>
      <c r="D17" s="8">
        <v>-124.9434</v>
      </c>
      <c r="E17" s="9" t="s">
        <v>35</v>
      </c>
      <c r="F17" s="8">
        <v>823272.57853333338</v>
      </c>
      <c r="G17" s="8">
        <v>1091533.6698666669</v>
      </c>
      <c r="H17" s="8">
        <v>-124.94403333333329</v>
      </c>
      <c r="I17" s="8">
        <v>-2.069669357362969E-4</v>
      </c>
      <c r="J17" s="8">
        <v>-1.7056924622247389E-3</v>
      </c>
      <c r="K17" s="8">
        <v>-6.3126366397625588E-4</v>
      </c>
      <c r="L17" s="8">
        <v>1.7182031603942181E-3</v>
      </c>
    </row>
    <row r="18" spans="1:17" x14ac:dyDescent="0.25">
      <c r="A18" s="9" t="s">
        <v>37</v>
      </c>
      <c r="B18" s="8">
        <v>823273.30189999996</v>
      </c>
      <c r="C18" s="8">
        <v>1091533.7533</v>
      </c>
      <c r="D18" s="8">
        <v>-125.3186</v>
      </c>
      <c r="E18" s="9" t="s">
        <v>37</v>
      </c>
      <c r="F18" s="8">
        <v>823273.30119999999</v>
      </c>
      <c r="G18" s="8">
        <v>1091533.7515</v>
      </c>
      <c r="H18" s="8">
        <v>-125.319</v>
      </c>
      <c r="I18" s="8">
        <v>-1.3951710968109769E-3</v>
      </c>
      <c r="J18" s="8">
        <v>-1.335476360746934E-3</v>
      </c>
      <c r="K18" s="8">
        <v>-3.8604828904453831E-4</v>
      </c>
      <c r="L18" s="8">
        <v>1.9313207537188389E-3</v>
      </c>
    </row>
    <row r="19" spans="1:17" x14ac:dyDescent="0.25">
      <c r="A19" s="9" t="s">
        <v>39</v>
      </c>
      <c r="B19" s="8">
        <v>823278.71230000001</v>
      </c>
      <c r="C19" s="8">
        <v>1091527.5962</v>
      </c>
      <c r="D19" s="8">
        <v>-125.1168</v>
      </c>
      <c r="E19" s="9" t="s">
        <v>39</v>
      </c>
      <c r="F19" s="8">
        <v>823278.71189999999</v>
      </c>
      <c r="G19" s="8">
        <v>1091527.5963999999</v>
      </c>
      <c r="H19" s="8">
        <v>-125.11750000000001</v>
      </c>
      <c r="I19" s="8">
        <v>-2.7798829531100472E-4</v>
      </c>
      <c r="J19" s="8">
        <v>-3.503176865677915E-4</v>
      </c>
      <c r="K19" s="8">
        <v>-6.9722011704698161E-4</v>
      </c>
      <c r="L19" s="8">
        <v>4.4721356467896138E-4</v>
      </c>
    </row>
    <row r="20" spans="1:17" x14ac:dyDescent="0.25">
      <c r="A20" s="9" t="s">
        <v>41</v>
      </c>
      <c r="B20" s="8">
        <v>823281.8027</v>
      </c>
      <c r="C20" s="8">
        <v>1091529.1734</v>
      </c>
      <c r="D20" s="8">
        <v>-125.1768</v>
      </c>
      <c r="E20" s="9" t="s">
        <v>41</v>
      </c>
      <c r="F20" s="8">
        <v>823281.80160000001</v>
      </c>
      <c r="G20" s="8">
        <v>1091529.1745</v>
      </c>
      <c r="H20" s="8">
        <v>-125.17749999999999</v>
      </c>
      <c r="I20" s="8">
        <v>-5.3201161495053384E-4</v>
      </c>
      <c r="J20" s="8">
        <v>-1.461835588725702E-3</v>
      </c>
      <c r="K20" s="8">
        <v>-6.9467988386406887E-4</v>
      </c>
      <c r="L20" s="8">
        <v>1.5556349101810351E-3</v>
      </c>
    </row>
    <row r="21" spans="1:17" x14ac:dyDescent="0.25">
      <c r="A21" s="9" t="s">
        <v>43</v>
      </c>
      <c r="B21" s="8">
        <v>823278.49329999997</v>
      </c>
      <c r="C21" s="8">
        <v>1091536.2312</v>
      </c>
      <c r="D21" s="8">
        <v>-125.1887</v>
      </c>
      <c r="E21" s="9" t="s">
        <v>43</v>
      </c>
      <c r="F21" s="8">
        <v>823278.49439999997</v>
      </c>
      <c r="G21" s="8">
        <v>1091536.2307</v>
      </c>
      <c r="H21" s="8">
        <v>-125.1895</v>
      </c>
      <c r="I21" s="8">
        <v>7.8559996614124827E-4</v>
      </c>
      <c r="J21" s="8">
        <v>-9.1805917101872581E-4</v>
      </c>
      <c r="K21" s="8">
        <v>-8.0785599968180577E-4</v>
      </c>
      <c r="L21" s="8">
        <v>1.208304625847047E-3</v>
      </c>
    </row>
    <row r="22" spans="1:17" x14ac:dyDescent="0.25">
      <c r="A22" s="9" t="s">
        <v>44</v>
      </c>
      <c r="B22" s="8">
        <v>823285.58299999998</v>
      </c>
      <c r="C22" s="8">
        <v>1091530.996</v>
      </c>
      <c r="D22" s="8">
        <v>-125.29600000000001</v>
      </c>
      <c r="E22" s="9" t="s">
        <v>44</v>
      </c>
      <c r="F22" s="8">
        <v>823285.58269999991</v>
      </c>
      <c r="G22" s="8">
        <v>1091530.9966</v>
      </c>
      <c r="H22" s="8">
        <v>-125.29640000000001</v>
      </c>
      <c r="I22" s="8">
        <v>-1.8299986241032681E-5</v>
      </c>
      <c r="J22" s="8">
        <v>-6.7057089117561475E-4</v>
      </c>
      <c r="K22" s="8">
        <v>-3.998170001437984E-4</v>
      </c>
      <c r="L22" s="8">
        <v>6.7082034701843203E-4</v>
      </c>
    </row>
    <row r="23" spans="1:17" x14ac:dyDescent="0.25">
      <c r="A23" s="9" t="s">
        <v>44</v>
      </c>
      <c r="B23" s="8">
        <v>823285.58299999998</v>
      </c>
      <c r="C23" s="8">
        <v>1091530.996</v>
      </c>
      <c r="D23" s="8">
        <v>-125.29600000000001</v>
      </c>
      <c r="E23" s="8">
        <v>26</v>
      </c>
      <c r="F23" s="8">
        <v>823285.58100000001</v>
      </c>
      <c r="G23" s="8">
        <v>1091530.9953999999</v>
      </c>
      <c r="H23" s="8">
        <v>-125.29519999999999</v>
      </c>
      <c r="I23" s="8">
        <v>-2.0661769086203212E-3</v>
      </c>
      <c r="J23" s="8">
        <v>-3.0151799035849081E-4</v>
      </c>
      <c r="K23" s="8">
        <v>8.2066176908313082E-4</v>
      </c>
      <c r="L23" s="8">
        <v>2.088061322905746E-3</v>
      </c>
    </row>
    <row r="24" spans="1:17" x14ac:dyDescent="0.25">
      <c r="A24" s="9" t="s">
        <v>187</v>
      </c>
      <c r="B24" s="8">
        <v>823285.76450000005</v>
      </c>
      <c r="C24" s="8">
        <v>1091539.4601</v>
      </c>
      <c r="D24" s="8">
        <v>-125.26</v>
      </c>
      <c r="E24" s="9" t="s">
        <v>46</v>
      </c>
      <c r="F24" s="8">
        <v>823285.76729999995</v>
      </c>
      <c r="G24" s="8">
        <v>1091539.4580000001</v>
      </c>
      <c r="H24" s="8">
        <v>-125.2642</v>
      </c>
      <c r="I24" s="8">
        <v>1.65006445175564E-3</v>
      </c>
      <c r="J24" s="8">
        <v>-3.0866302303418358E-3</v>
      </c>
      <c r="K24" s="8">
        <v>-4.216500644503185E-3</v>
      </c>
      <c r="L24" s="8">
        <v>3.499999875202775E-3</v>
      </c>
      <c r="N24" s="9" t="s">
        <v>407</v>
      </c>
      <c r="O24" s="38">
        <v>823285.7659</v>
      </c>
      <c r="P24" s="38">
        <v>1091539.4590500002</v>
      </c>
      <c r="Q24" s="38">
        <v>-125.2621</v>
      </c>
    </row>
    <row r="25" spans="1:17" x14ac:dyDescent="0.25">
      <c r="A25" s="9" t="s">
        <v>187</v>
      </c>
      <c r="B25" s="8">
        <v>823285.76450000005</v>
      </c>
      <c r="C25" s="8">
        <v>1091539.4601</v>
      </c>
      <c r="D25" s="8">
        <v>-125.26</v>
      </c>
      <c r="E25" s="9" t="s">
        <v>47</v>
      </c>
      <c r="F25" s="8">
        <v>823285.76659999997</v>
      </c>
      <c r="G25" s="8">
        <v>1091539.4575</v>
      </c>
      <c r="H25" s="8">
        <v>-125.2649</v>
      </c>
      <c r="I25" s="8">
        <v>8.0433481532793394E-4</v>
      </c>
      <c r="J25" s="8">
        <v>-3.2439243328563632E-3</v>
      </c>
      <c r="K25" s="8">
        <v>-4.9080433481520913E-3</v>
      </c>
      <c r="L25" s="8">
        <v>3.342154951871153E-3</v>
      </c>
    </row>
    <row r="26" spans="1:17" x14ac:dyDescent="0.25">
      <c r="A26" s="9" t="s">
        <v>187</v>
      </c>
      <c r="B26" s="8">
        <v>823285.76450000005</v>
      </c>
      <c r="C26" s="8">
        <v>1091539.4601</v>
      </c>
      <c r="D26" s="8">
        <v>-125.26</v>
      </c>
      <c r="E26" s="9" t="s">
        <v>49</v>
      </c>
      <c r="F26" s="8">
        <v>823285.76630000002</v>
      </c>
      <c r="G26" s="8">
        <v>1091539.4569999999</v>
      </c>
      <c r="H26" s="8">
        <v>-125.265</v>
      </c>
      <c r="I26" s="8">
        <v>3.2112289180474818E-4</v>
      </c>
      <c r="J26" s="8">
        <v>-3.5702774731132259E-3</v>
      </c>
      <c r="K26" s="8">
        <v>-5.0032112289102324E-3</v>
      </c>
      <c r="L26" s="8">
        <v>3.584689727256998E-3</v>
      </c>
    </row>
    <row r="27" spans="1:17" x14ac:dyDescent="0.25">
      <c r="A27" s="9" t="s">
        <v>51</v>
      </c>
      <c r="B27" s="8">
        <v>823288.87280000001</v>
      </c>
      <c r="C27" s="8">
        <v>1091532.6170000001</v>
      </c>
      <c r="D27" s="8">
        <v>-125.3449</v>
      </c>
      <c r="E27" s="9" t="s">
        <v>51</v>
      </c>
      <c r="F27" s="8">
        <v>823288.87239999999</v>
      </c>
      <c r="G27" s="8">
        <v>1091532.6170000001</v>
      </c>
      <c r="H27" s="8">
        <v>-125.34529999999999</v>
      </c>
      <c r="I27" s="8">
        <v>-3.6251771290451979E-4</v>
      </c>
      <c r="J27" s="8">
        <v>-1.6905882672935141E-4</v>
      </c>
      <c r="K27" s="8">
        <v>-3.9637482288412679E-4</v>
      </c>
      <c r="L27" s="8">
        <v>4.0000001899898052E-4</v>
      </c>
      <c r="N27" s="9" t="s">
        <v>408</v>
      </c>
      <c r="O27" s="38">
        <f t="shared" ref="O27" si="2">F27</f>
        <v>823288.87239999999</v>
      </c>
      <c r="P27" s="38">
        <f t="shared" ref="P27" si="3">G27</f>
        <v>1091532.6170000001</v>
      </c>
      <c r="Q27" s="38">
        <f t="shared" ref="Q27" si="4">H27</f>
        <v>-125.34529999999999</v>
      </c>
    </row>
    <row r="28" spans="1:17" x14ac:dyDescent="0.25">
      <c r="A28" s="9" t="s">
        <v>53</v>
      </c>
      <c r="B28" s="8">
        <v>823289.33409999998</v>
      </c>
      <c r="C28" s="8">
        <v>1091541.1074999999</v>
      </c>
      <c r="D28" s="8">
        <v>-125.2517</v>
      </c>
      <c r="E28" s="9" t="s">
        <v>53</v>
      </c>
      <c r="F28" s="8">
        <v>823289.33539999998</v>
      </c>
      <c r="G28" s="8">
        <v>1091541.1063999999</v>
      </c>
      <c r="H28" s="8">
        <v>-125.2529</v>
      </c>
      <c r="I28" s="8">
        <v>7.1327047140457012E-4</v>
      </c>
      <c r="J28" s="8">
        <v>-1.5463652377052379E-3</v>
      </c>
      <c r="K28" s="8">
        <v>-1.2071327047209479E-3</v>
      </c>
      <c r="L28" s="8">
        <v>1.702938635444168E-3</v>
      </c>
      <c r="N28" t="s">
        <v>409</v>
      </c>
      <c r="O28" s="38">
        <f t="shared" ref="O28:O29" si="5">F28</f>
        <v>823289.33539999998</v>
      </c>
      <c r="P28" s="38">
        <f t="shared" ref="P28:P29" si="6">G28</f>
        <v>1091541.1063999999</v>
      </c>
      <c r="Q28" s="38">
        <f t="shared" ref="Q28:Q29" si="7">H28</f>
        <v>-125.2529</v>
      </c>
    </row>
    <row r="29" spans="1:17" x14ac:dyDescent="0.25">
      <c r="A29" s="9" t="s">
        <v>55</v>
      </c>
      <c r="B29" s="8">
        <v>823292.41299999994</v>
      </c>
      <c r="C29" s="8">
        <v>1091534.355</v>
      </c>
      <c r="D29" s="8">
        <v>-125.46599999999999</v>
      </c>
      <c r="E29" s="9" t="s">
        <v>55</v>
      </c>
      <c r="F29" s="8">
        <v>823292.41220000002</v>
      </c>
      <c r="G29" s="8">
        <v>1091534.3559999999</v>
      </c>
      <c r="H29" s="8">
        <v>-125.4661</v>
      </c>
      <c r="I29" s="8">
        <v>-3.0238803552151689E-4</v>
      </c>
      <c r="J29" s="8">
        <v>-1.2444118400471991E-3</v>
      </c>
      <c r="K29" s="8">
        <v>-9.6976119664304861E-5</v>
      </c>
      <c r="L29" s="8">
        <v>1.280624744683817E-3</v>
      </c>
      <c r="N29" t="s">
        <v>410</v>
      </c>
      <c r="O29" s="38">
        <f t="shared" si="5"/>
        <v>823292.41220000002</v>
      </c>
      <c r="P29" s="38">
        <f t="shared" si="6"/>
        <v>1091534.3559999999</v>
      </c>
      <c r="Q29" s="38">
        <f t="shared" si="7"/>
        <v>-125.4661</v>
      </c>
    </row>
    <row r="30" spans="1:17" x14ac:dyDescent="0.25">
      <c r="A30" s="9" t="s">
        <v>57</v>
      </c>
      <c r="B30" s="8">
        <v>823267.34519999998</v>
      </c>
      <c r="C30" s="8">
        <v>1091523.9790000001</v>
      </c>
      <c r="D30" s="8">
        <v>-124.48569999999999</v>
      </c>
      <c r="E30" s="9" t="s">
        <v>57</v>
      </c>
      <c r="F30" s="8">
        <v>823267.34434999991</v>
      </c>
      <c r="G30" s="8">
        <v>1091523.9787999999</v>
      </c>
      <c r="H30" s="8">
        <v>-124.48605000000001</v>
      </c>
      <c r="I30" s="8">
        <v>-8.5487968230246736E-4</v>
      </c>
      <c r="J30" s="8">
        <v>-1.779911320602956E-4</v>
      </c>
      <c r="K30" s="8">
        <v>-3.4145120318385119E-4</v>
      </c>
      <c r="L30" s="8">
        <v>8.7321255629787783E-4</v>
      </c>
    </row>
    <row r="31" spans="1:17" x14ac:dyDescent="0.25">
      <c r="A31" s="9" t="s">
        <v>201</v>
      </c>
      <c r="B31" s="8">
        <v>823266.44799999997</v>
      </c>
      <c r="C31" s="8">
        <v>1091528.8359999999</v>
      </c>
      <c r="D31" s="8">
        <v>-124.685</v>
      </c>
      <c r="E31" s="9" t="s">
        <v>59</v>
      </c>
      <c r="F31" s="8">
        <v>823266.44689999998</v>
      </c>
      <c r="G31" s="8">
        <v>1091528.835</v>
      </c>
      <c r="H31" s="8">
        <v>-124.6861</v>
      </c>
      <c r="I31" s="8">
        <v>-1.4195709425255389E-3</v>
      </c>
      <c r="J31" s="8">
        <v>-4.4138220726885891E-4</v>
      </c>
      <c r="K31" s="8">
        <v>-1.0858042905823591E-3</v>
      </c>
      <c r="L31" s="8">
        <v>1.4866068239622881E-3</v>
      </c>
    </row>
    <row r="32" spans="1:17" x14ac:dyDescent="0.25">
      <c r="A32" s="9" t="s">
        <v>202</v>
      </c>
      <c r="B32" s="8">
        <v>823266.34100000001</v>
      </c>
      <c r="C32" s="8">
        <v>1091529.0379999999</v>
      </c>
      <c r="D32" s="8">
        <v>-123.095</v>
      </c>
      <c r="E32" s="9" t="s">
        <v>61</v>
      </c>
      <c r="F32" s="8">
        <v>823266.33950000012</v>
      </c>
      <c r="G32" s="8">
        <v>1091529.037</v>
      </c>
      <c r="H32" s="8">
        <v>-123.096</v>
      </c>
      <c r="I32" s="8">
        <v>-1.78208854992512E-3</v>
      </c>
      <c r="J32" s="8">
        <v>-2.7232338053906352E-4</v>
      </c>
      <c r="K32" s="8">
        <v>-9.8217911450149131E-4</v>
      </c>
      <c r="L32" s="8">
        <v>1.802775513488537E-3</v>
      </c>
    </row>
    <row r="33" spans="1:12" x14ac:dyDescent="0.25">
      <c r="A33" s="9" t="s">
        <v>203</v>
      </c>
      <c r="B33" s="8">
        <v>823267.451</v>
      </c>
      <c r="C33" s="8">
        <v>1091526.594</v>
      </c>
      <c r="D33" s="8">
        <v>-121.004</v>
      </c>
      <c r="E33" s="9" t="s">
        <v>62</v>
      </c>
      <c r="F33" s="8">
        <v>823267.44909999997</v>
      </c>
      <c r="G33" s="8">
        <v>1091526.5933999999</v>
      </c>
      <c r="H33" s="8">
        <v>-121.00709999999999</v>
      </c>
      <c r="I33" s="8">
        <v>-1.9755475331466599E-3</v>
      </c>
      <c r="J33" s="8">
        <v>-2.5925316586872249E-4</v>
      </c>
      <c r="K33" s="8">
        <v>-3.080244524667819E-3</v>
      </c>
      <c r="L33" s="8">
        <v>1.9924859587056218E-3</v>
      </c>
    </row>
    <row r="34" spans="1:12" x14ac:dyDescent="0.25">
      <c r="A34" s="9" t="s">
        <v>204</v>
      </c>
      <c r="B34" s="8">
        <v>823268.60400000005</v>
      </c>
      <c r="C34" s="8">
        <v>1091524.523</v>
      </c>
      <c r="D34" s="8">
        <v>-123.036</v>
      </c>
      <c r="E34" s="9" t="s">
        <v>64</v>
      </c>
      <c r="F34" s="8">
        <v>823268.60329999996</v>
      </c>
      <c r="G34" s="8">
        <v>1091524.5222</v>
      </c>
      <c r="H34" s="8">
        <v>-123.03740000000001</v>
      </c>
      <c r="I34" s="8">
        <v>-9.7252391753044343E-4</v>
      </c>
      <c r="J34" s="8">
        <v>4.2918212495646202E-4</v>
      </c>
      <c r="K34" s="8">
        <v>-1.390274760822763E-3</v>
      </c>
      <c r="L34" s="8">
        <v>1.063014670093962E-3</v>
      </c>
    </row>
    <row r="35" spans="1:12" x14ac:dyDescent="0.25">
      <c r="A35" s="9" t="s">
        <v>205</v>
      </c>
      <c r="B35" s="8">
        <v>823268.39300000004</v>
      </c>
      <c r="C35" s="8">
        <v>1091524.6170000001</v>
      </c>
      <c r="D35" s="8">
        <v>-124.761</v>
      </c>
      <c r="E35" s="9" t="s">
        <v>66</v>
      </c>
      <c r="F35" s="8">
        <v>823268.39080000005</v>
      </c>
      <c r="G35" s="8">
        <v>1091524.6169</v>
      </c>
      <c r="H35" s="8">
        <v>-124.76139999999999</v>
      </c>
      <c r="I35" s="8">
        <v>-2.0361120734768701E-3</v>
      </c>
      <c r="J35" s="8">
        <v>-8.391945216179586E-4</v>
      </c>
      <c r="K35" s="8">
        <v>-3.7963887930914098E-4</v>
      </c>
      <c r="L35" s="8">
        <v>2.202271545504641E-3</v>
      </c>
    </row>
    <row r="36" spans="1:12" x14ac:dyDescent="0.25">
      <c r="A36" s="9" t="s">
        <v>206</v>
      </c>
      <c r="B36" s="8">
        <v>823270.08200000005</v>
      </c>
      <c r="C36" s="8">
        <v>1091531.798</v>
      </c>
      <c r="D36" s="8">
        <v>-124.855</v>
      </c>
      <c r="E36" s="9" t="s">
        <v>68</v>
      </c>
      <c r="F36" s="8">
        <v>823270.08224999998</v>
      </c>
      <c r="G36" s="8">
        <v>1091531.797175</v>
      </c>
      <c r="H36" s="8">
        <v>-124.85595000000001</v>
      </c>
      <c r="I36" s="8">
        <v>-1.2211054065458529E-4</v>
      </c>
      <c r="J36" s="8">
        <v>-8.5335449931278617E-4</v>
      </c>
      <c r="K36" s="8">
        <v>-9.4877889459610287E-4</v>
      </c>
      <c r="L36" s="8">
        <v>8.6204695632277866E-4</v>
      </c>
    </row>
    <row r="37" spans="1:12" x14ac:dyDescent="0.25">
      <c r="A37" s="9" t="s">
        <v>206</v>
      </c>
      <c r="B37" s="8">
        <v>823270.08200000005</v>
      </c>
      <c r="C37" s="8">
        <v>1091531.798</v>
      </c>
      <c r="D37" s="8">
        <v>-124.855</v>
      </c>
      <c r="E37" s="9" t="s">
        <v>70</v>
      </c>
      <c r="F37" s="8">
        <v>823270.0821</v>
      </c>
      <c r="G37" s="8">
        <v>1091531.7962</v>
      </c>
      <c r="H37" s="8">
        <v>-124.8561</v>
      </c>
      <c r="I37" s="8">
        <v>-6.7013577650554268E-4</v>
      </c>
      <c r="J37" s="8">
        <v>-1.6735943378263229E-3</v>
      </c>
      <c r="K37" s="8">
        <v>-1.093298642231844E-3</v>
      </c>
      <c r="L37" s="8">
        <v>1.80277560389438E-3</v>
      </c>
    </row>
    <row r="38" spans="1:12" x14ac:dyDescent="0.25">
      <c r="A38" s="9" t="s">
        <v>207</v>
      </c>
      <c r="B38" s="8">
        <v>823270.17200000002</v>
      </c>
      <c r="C38" s="8">
        <v>1091532.301</v>
      </c>
      <c r="D38" s="8">
        <v>-122.593</v>
      </c>
      <c r="E38" s="9" t="s">
        <v>72</v>
      </c>
      <c r="F38" s="8">
        <v>823270.17244999995</v>
      </c>
      <c r="G38" s="8">
        <v>1091532.3008000001</v>
      </c>
      <c r="H38" s="8">
        <v>-122.594275</v>
      </c>
      <c r="I38" s="8">
        <v>3.2330293029447787E-4</v>
      </c>
      <c r="J38" s="8">
        <v>-3.7145007421202081E-4</v>
      </c>
      <c r="K38" s="8">
        <v>-1.278233029310627E-3</v>
      </c>
      <c r="L38" s="8">
        <v>4.9244278641260317E-4</v>
      </c>
    </row>
    <row r="39" spans="1:12" x14ac:dyDescent="0.25">
      <c r="A39" s="9" t="s">
        <v>207</v>
      </c>
      <c r="B39" s="8">
        <v>823270.17200000002</v>
      </c>
      <c r="C39" s="8">
        <v>1091532.301</v>
      </c>
      <c r="D39" s="8">
        <v>-122.593</v>
      </c>
      <c r="E39" s="9" t="s">
        <v>74</v>
      </c>
      <c r="F39" s="8">
        <v>823270.17200000002</v>
      </c>
      <c r="G39" s="8">
        <v>1091532.2996</v>
      </c>
      <c r="H39" s="8">
        <v>-122.5945</v>
      </c>
      <c r="I39" s="8">
        <v>-5.9170621838244841E-4</v>
      </c>
      <c r="J39" s="8">
        <v>-1.268812004671549E-3</v>
      </c>
      <c r="K39" s="8">
        <v>-1.494082937824714E-3</v>
      </c>
      <c r="L39" s="8">
        <v>1.39999995008111E-3</v>
      </c>
    </row>
    <row r="40" spans="1:12" x14ac:dyDescent="0.25">
      <c r="A40" s="9" t="s">
        <v>208</v>
      </c>
      <c r="B40" s="8">
        <v>823270.522</v>
      </c>
      <c r="C40" s="8">
        <v>1091531.172</v>
      </c>
      <c r="D40" s="8">
        <v>-120.53700000000001</v>
      </c>
      <c r="E40" s="9" t="s">
        <v>76</v>
      </c>
      <c r="F40" s="8">
        <v>823270.52379999997</v>
      </c>
      <c r="G40" s="8">
        <v>1091531.1721999999</v>
      </c>
      <c r="H40" s="8">
        <v>-120.53830000000001</v>
      </c>
      <c r="I40" s="8">
        <v>1.715859020166022E-3</v>
      </c>
      <c r="J40" s="8">
        <v>-5.7950637047587961E-4</v>
      </c>
      <c r="K40" s="8">
        <v>-1.3171585901972089E-3</v>
      </c>
      <c r="L40" s="8">
        <v>1.8110769850898129E-3</v>
      </c>
    </row>
    <row r="41" spans="1:12" x14ac:dyDescent="0.25">
      <c r="A41" s="9" t="s">
        <v>209</v>
      </c>
      <c r="B41" s="8">
        <v>823271.64800000004</v>
      </c>
      <c r="C41" s="8">
        <v>1091528.723</v>
      </c>
      <c r="D41" s="8">
        <v>-119.42700000000001</v>
      </c>
      <c r="E41" s="9" t="s">
        <v>78</v>
      </c>
      <c r="F41" s="8">
        <v>823271.65009999985</v>
      </c>
      <c r="G41" s="8">
        <v>1091528.7235999999</v>
      </c>
      <c r="H41" s="8">
        <v>-119.4295</v>
      </c>
      <c r="I41" s="8">
        <v>2.1568060801815392E-3</v>
      </c>
      <c r="J41" s="8">
        <v>3.437828148478211E-4</v>
      </c>
      <c r="K41" s="8">
        <v>-2.5215680607999498E-3</v>
      </c>
      <c r="L41" s="8">
        <v>2.1840327586981072E-3</v>
      </c>
    </row>
    <row r="42" spans="1:12" x14ac:dyDescent="0.25">
      <c r="A42" s="9" t="s">
        <v>210</v>
      </c>
      <c r="B42" s="8">
        <v>823272.91</v>
      </c>
      <c r="C42" s="8">
        <v>1091526.281</v>
      </c>
      <c r="D42" s="8">
        <v>-120.405</v>
      </c>
      <c r="E42" s="9" t="s">
        <v>80</v>
      </c>
      <c r="F42" s="8">
        <v>823272.91020000004</v>
      </c>
      <c r="G42" s="8">
        <v>1091526.2801999999</v>
      </c>
      <c r="H42" s="8">
        <v>-120.4074</v>
      </c>
      <c r="I42" s="8">
        <v>-1.5685901073858591E-4</v>
      </c>
      <c r="J42" s="8">
        <v>8.0956497572781672E-4</v>
      </c>
      <c r="K42" s="8">
        <v>-2.3984314099010362E-3</v>
      </c>
      <c r="L42" s="8">
        <v>8.2462116429093382E-4</v>
      </c>
    </row>
    <row r="43" spans="1:12" x14ac:dyDescent="0.25">
      <c r="A43" s="9" t="s">
        <v>210</v>
      </c>
      <c r="B43" s="8">
        <v>823272.91</v>
      </c>
      <c r="C43" s="8">
        <v>1091526.281</v>
      </c>
      <c r="D43" s="8">
        <v>-120.405</v>
      </c>
      <c r="E43" s="9" t="s">
        <v>82</v>
      </c>
      <c r="F43" s="8">
        <v>823272.91020000004</v>
      </c>
      <c r="G43" s="8">
        <v>1091526.2801999999</v>
      </c>
      <c r="H43" s="8">
        <v>-120.4074</v>
      </c>
      <c r="I43" s="8">
        <v>-1.5685901073858591E-4</v>
      </c>
      <c r="J43" s="8">
        <v>8.0956497572781672E-4</v>
      </c>
      <c r="K43" s="8">
        <v>-2.3984314099010362E-3</v>
      </c>
      <c r="L43" s="8">
        <v>8.2462116429093382E-4</v>
      </c>
    </row>
    <row r="44" spans="1:12" x14ac:dyDescent="0.25">
      <c r="A44" s="9" t="s">
        <v>211</v>
      </c>
      <c r="B44" s="8">
        <v>823273.30900000001</v>
      </c>
      <c r="C44" s="8">
        <v>1091525.2720000001</v>
      </c>
      <c r="D44" s="8">
        <v>-122.521</v>
      </c>
      <c r="E44" s="9" t="s">
        <v>84</v>
      </c>
      <c r="F44" s="8">
        <v>823273.30977500009</v>
      </c>
      <c r="G44" s="8">
        <v>1091525.2719749999</v>
      </c>
      <c r="H44" s="8">
        <v>-122.522475</v>
      </c>
      <c r="I44" s="8">
        <v>6.9181184501632131E-4</v>
      </c>
      <c r="J44" s="8">
        <v>3.5020925321971319E-4</v>
      </c>
      <c r="K44" s="8">
        <v>-1.481918118443559E-3</v>
      </c>
      <c r="L44" s="8">
        <v>7.7540320752552902E-4</v>
      </c>
    </row>
    <row r="45" spans="1:12" x14ac:dyDescent="0.25">
      <c r="A45" s="9" t="s">
        <v>211</v>
      </c>
      <c r="B45" s="8">
        <v>823273.30900000001</v>
      </c>
      <c r="C45" s="8">
        <v>1091525.2720000001</v>
      </c>
      <c r="D45" s="8">
        <v>-122.521</v>
      </c>
      <c r="E45" s="9" t="s">
        <v>86</v>
      </c>
      <c r="F45" s="8">
        <v>823273.30940000003</v>
      </c>
      <c r="G45" s="8">
        <v>1091525.2716000001</v>
      </c>
      <c r="H45" s="8">
        <v>-122.5227</v>
      </c>
      <c r="I45" s="8">
        <v>1.9345877930998509E-4</v>
      </c>
      <c r="J45" s="8">
        <v>5.3157659561042792E-4</v>
      </c>
      <c r="K45" s="8">
        <v>-1.7019345877855589E-3</v>
      </c>
      <c r="L45" s="8">
        <v>5.6568545181785398E-4</v>
      </c>
    </row>
    <row r="46" spans="1:12" x14ac:dyDescent="0.25">
      <c r="A46" s="9" t="s">
        <v>212</v>
      </c>
      <c r="B46" s="8">
        <v>823276.8</v>
      </c>
      <c r="C46" s="8">
        <v>1091535.5859999999</v>
      </c>
      <c r="D46" s="8">
        <v>-124.812</v>
      </c>
      <c r="E46" s="9" t="s">
        <v>88</v>
      </c>
      <c r="F46" s="8">
        <v>823276.79940000002</v>
      </c>
      <c r="G46" s="8">
        <v>1091535.58445</v>
      </c>
      <c r="H46" s="8">
        <v>-124.8139</v>
      </c>
      <c r="I46" s="8">
        <v>-1.1988799739430791E-3</v>
      </c>
      <c r="J46" s="8">
        <v>-1.1511676948927629E-3</v>
      </c>
      <c r="K46" s="8">
        <v>-1.8880112002648271E-3</v>
      </c>
      <c r="L46" s="8">
        <v>1.6620771742278E-3</v>
      </c>
    </row>
    <row r="47" spans="1:12" x14ac:dyDescent="0.25">
      <c r="A47" s="9" t="s">
        <v>213</v>
      </c>
      <c r="B47" s="8">
        <v>823276.84</v>
      </c>
      <c r="C47" s="8">
        <v>1091536.2709999999</v>
      </c>
      <c r="D47" s="8">
        <v>-122.43300000000001</v>
      </c>
      <c r="E47" s="9" t="s">
        <v>90</v>
      </c>
      <c r="F47" s="8">
        <v>823276.83984999999</v>
      </c>
      <c r="G47" s="8">
        <v>1091536.2701000001</v>
      </c>
      <c r="H47" s="8">
        <v>-122.4346</v>
      </c>
      <c r="I47" s="8">
        <v>-5.1632674115431598E-4</v>
      </c>
      <c r="J47" s="8">
        <v>-7.5226769924441328E-4</v>
      </c>
      <c r="K47" s="8">
        <v>-1.5948367325790971E-3</v>
      </c>
      <c r="L47" s="8">
        <v>9.1241447551313414E-4</v>
      </c>
    </row>
    <row r="48" spans="1:12" x14ac:dyDescent="0.25">
      <c r="A48" s="9" t="s">
        <v>214</v>
      </c>
      <c r="B48" s="8">
        <v>823277.29599999997</v>
      </c>
      <c r="C48" s="8">
        <v>1091534.996</v>
      </c>
      <c r="D48" s="8">
        <v>-119.54600000000001</v>
      </c>
      <c r="E48" s="9" t="s">
        <v>92</v>
      </c>
      <c r="F48" s="8">
        <v>823277.29614999995</v>
      </c>
      <c r="G48" s="8">
        <v>1091534.9955</v>
      </c>
      <c r="H48" s="8">
        <v>-119.54805</v>
      </c>
      <c r="I48" s="8">
        <v>-7.5379575632084084E-5</v>
      </c>
      <c r="J48" s="8">
        <v>-5.1654430542669161E-4</v>
      </c>
      <c r="K48" s="8">
        <v>-2.049246204222754E-3</v>
      </c>
      <c r="L48" s="8">
        <v>5.2201539762983034E-4</v>
      </c>
    </row>
    <row r="49" spans="1:12" x14ac:dyDescent="0.25">
      <c r="A49" s="9" t="s">
        <v>215</v>
      </c>
      <c r="B49" s="8">
        <v>823278.79500000004</v>
      </c>
      <c r="C49" s="8">
        <v>1091532.04</v>
      </c>
      <c r="D49" s="8">
        <v>-118.07599999999999</v>
      </c>
      <c r="E49" s="9" t="s">
        <v>94</v>
      </c>
      <c r="F49" s="8">
        <v>823278.79489999998</v>
      </c>
      <c r="G49" s="8">
        <v>1091532.0393999999</v>
      </c>
      <c r="H49" s="8">
        <v>-118.0802</v>
      </c>
      <c r="I49" s="8">
        <v>-3.4421793057504152E-4</v>
      </c>
      <c r="J49" s="8">
        <v>5.0151185343324731E-4</v>
      </c>
      <c r="K49" s="8">
        <v>-4.1965578207054932E-3</v>
      </c>
      <c r="L49" s="8">
        <v>6.0827640632204149E-4</v>
      </c>
    </row>
    <row r="50" spans="1:12" x14ac:dyDescent="0.25">
      <c r="A50" s="9" t="s">
        <v>216</v>
      </c>
      <c r="B50" s="8">
        <v>823280.14300000004</v>
      </c>
      <c r="C50" s="8">
        <v>1091529.0449999999</v>
      </c>
      <c r="D50" s="8">
        <v>-119.447</v>
      </c>
      <c r="E50" s="9" t="s">
        <v>96</v>
      </c>
      <c r="F50" s="8">
        <v>823280.14209999994</v>
      </c>
      <c r="G50" s="8">
        <v>1091529.0449999999</v>
      </c>
      <c r="H50" s="8">
        <v>-119.449</v>
      </c>
      <c r="I50" s="8">
        <v>-8.1566490679207959E-4</v>
      </c>
      <c r="J50" s="8">
        <v>-3.8038263975925801E-4</v>
      </c>
      <c r="K50" s="8">
        <v>-1.9918433509218398E-3</v>
      </c>
      <c r="L50" s="8">
        <v>9.0000010095536709E-4</v>
      </c>
    </row>
    <row r="51" spans="1:12" x14ac:dyDescent="0.25">
      <c r="A51" s="9" t="s">
        <v>217</v>
      </c>
      <c r="B51" s="8">
        <v>823280.65899999999</v>
      </c>
      <c r="C51" s="8">
        <v>1091527.9029999999</v>
      </c>
      <c r="D51" s="8">
        <v>-122.401</v>
      </c>
      <c r="E51" s="9" t="s">
        <v>98</v>
      </c>
      <c r="F51" s="8">
        <v>823280.65804999985</v>
      </c>
      <c r="G51" s="8">
        <v>1091527.9034</v>
      </c>
      <c r="H51" s="8">
        <v>-122.40295</v>
      </c>
      <c r="I51" s="8">
        <v>-6.9192071368640029E-4</v>
      </c>
      <c r="J51" s="8">
        <v>-7.6403279628323162E-4</v>
      </c>
      <c r="K51" s="8">
        <v>-1.943080792855767E-3</v>
      </c>
      <c r="L51" s="8">
        <v>1.030776535833027E-3</v>
      </c>
    </row>
    <row r="52" spans="1:12" x14ac:dyDescent="0.25">
      <c r="A52" s="9" t="s">
        <v>218</v>
      </c>
      <c r="B52" s="8">
        <v>823280.12899999996</v>
      </c>
      <c r="C52" s="8">
        <v>1091528.2579999999</v>
      </c>
      <c r="D52" s="8">
        <v>-124.904</v>
      </c>
      <c r="E52" s="9" t="s">
        <v>100</v>
      </c>
      <c r="F52" s="8">
        <v>823280.12845000008</v>
      </c>
      <c r="G52" s="8">
        <v>1091528.25725</v>
      </c>
      <c r="H52" s="8">
        <v>-124.9059</v>
      </c>
      <c r="I52" s="8">
        <v>-8.1544716235271153E-4</v>
      </c>
      <c r="J52" s="8">
        <v>4.4726454477483912E-4</v>
      </c>
      <c r="K52" s="8">
        <v>-1.891845528390945E-3</v>
      </c>
      <c r="L52" s="8">
        <v>9.3005360265998715E-4</v>
      </c>
    </row>
    <row r="53" spans="1:12" x14ac:dyDescent="0.25">
      <c r="A53" s="9" t="s">
        <v>219</v>
      </c>
      <c r="B53" s="8">
        <v>823286.71</v>
      </c>
      <c r="C53" s="8">
        <v>1091540.0619999999</v>
      </c>
      <c r="D53" s="8">
        <v>-124.79600000000001</v>
      </c>
      <c r="E53" s="9" t="s">
        <v>102</v>
      </c>
      <c r="F53" s="8">
        <v>823286.71013749996</v>
      </c>
      <c r="G53" s="8">
        <v>1091540.0598500001</v>
      </c>
      <c r="H53" s="8">
        <v>-124.7967625</v>
      </c>
      <c r="I53" s="8">
        <v>-7.8407620015497059E-4</v>
      </c>
      <c r="J53" s="8">
        <v>-2.0066463501096088E-3</v>
      </c>
      <c r="K53" s="8">
        <v>-7.5465923801232293E-4</v>
      </c>
      <c r="L53" s="8">
        <v>2.1543921561755731E-3</v>
      </c>
    </row>
    <row r="54" spans="1:12" x14ac:dyDescent="0.25">
      <c r="A54" s="9" t="s">
        <v>220</v>
      </c>
      <c r="B54" s="8">
        <v>823286.34400000004</v>
      </c>
      <c r="C54" s="8">
        <v>1091540.73</v>
      </c>
      <c r="D54" s="8">
        <v>-122.27500000000001</v>
      </c>
      <c r="E54" s="9" t="s">
        <v>104</v>
      </c>
      <c r="F54" s="8">
        <v>823286.34402500011</v>
      </c>
      <c r="G54" s="8">
        <v>1091540.729425</v>
      </c>
      <c r="H54" s="8">
        <v>-122.27645</v>
      </c>
      <c r="I54" s="8">
        <v>-2.2036476329390101E-4</v>
      </c>
      <c r="J54" s="8">
        <v>-5.3168528917524327E-4</v>
      </c>
      <c r="K54" s="8">
        <v>-1.4477963523802371E-3</v>
      </c>
      <c r="L54" s="8">
        <v>5.7554317946747948E-4</v>
      </c>
    </row>
    <row r="55" spans="1:12" x14ac:dyDescent="0.25">
      <c r="A55" s="9" t="s">
        <v>221</v>
      </c>
      <c r="B55" s="8">
        <v>823286.78500000003</v>
      </c>
      <c r="C55" s="8">
        <v>1091539.6070000001</v>
      </c>
      <c r="D55" s="8">
        <v>-119.309</v>
      </c>
      <c r="E55" s="9" t="s">
        <v>106</v>
      </c>
      <c r="F55" s="8">
        <v>823286.7854874999</v>
      </c>
      <c r="G55" s="8">
        <v>1091539.60745</v>
      </c>
      <c r="H55" s="8">
        <v>-119.31095000000001</v>
      </c>
      <c r="I55" s="8">
        <v>6.320095875231857E-4</v>
      </c>
      <c r="J55" s="8">
        <v>2.017916780672202E-4</v>
      </c>
      <c r="K55" s="8">
        <v>-1.956320095899855E-3</v>
      </c>
      <c r="L55" s="8">
        <v>6.6344258550159933E-4</v>
      </c>
    </row>
    <row r="56" spans="1:12" x14ac:dyDescent="0.25">
      <c r="A56" s="9" t="s">
        <v>222</v>
      </c>
      <c r="B56" s="8">
        <v>823288.16799999995</v>
      </c>
      <c r="C56" s="8">
        <v>1091536.196</v>
      </c>
      <c r="D56" s="8">
        <v>-118.00700000000001</v>
      </c>
      <c r="E56" s="9" t="s">
        <v>108</v>
      </c>
      <c r="F56" s="8">
        <v>823288.16851250001</v>
      </c>
      <c r="G56" s="8">
        <v>1091536.1961000001</v>
      </c>
      <c r="H56" s="8">
        <v>-118.00971250000001</v>
      </c>
      <c r="I56" s="8">
        <v>5.0674051222543426E-4</v>
      </c>
      <c r="J56" s="8">
        <v>1.2597751692264289E-4</v>
      </c>
      <c r="K56" s="8">
        <v>-2.7175674050994299E-3</v>
      </c>
      <c r="L56" s="8">
        <v>5.2216499142098056E-4</v>
      </c>
    </row>
    <row r="57" spans="1:12" x14ac:dyDescent="0.25">
      <c r="A57" s="9" t="s">
        <v>223</v>
      </c>
      <c r="B57" s="8">
        <v>823289.46299999999</v>
      </c>
      <c r="C57" s="8">
        <v>1091533.5490000001</v>
      </c>
      <c r="D57" s="8">
        <v>-119.136</v>
      </c>
      <c r="E57" s="9" t="s">
        <v>110</v>
      </c>
      <c r="F57" s="8">
        <v>823289.46272499999</v>
      </c>
      <c r="G57" s="8">
        <v>1091533.5490999999</v>
      </c>
      <c r="H57" s="8">
        <v>-119.1386875</v>
      </c>
      <c r="I57" s="8">
        <v>-2.069662548365159E-4</v>
      </c>
      <c r="J57" s="8">
        <v>-2.068573192430812E-4</v>
      </c>
      <c r="K57" s="8">
        <v>-2.6854303374506121E-3</v>
      </c>
      <c r="L57" s="8">
        <v>2.9261743831463199E-4</v>
      </c>
    </row>
    <row r="58" spans="1:12" x14ac:dyDescent="0.25">
      <c r="A58" s="9" t="s">
        <v>224</v>
      </c>
      <c r="B58" s="8">
        <v>823290.25800000003</v>
      </c>
      <c r="C58" s="8">
        <v>1091532.223</v>
      </c>
      <c r="D58" s="8">
        <v>-122.31699999999999</v>
      </c>
      <c r="E58" s="9" t="s">
        <v>112</v>
      </c>
      <c r="F58" s="8">
        <v>823290.257675</v>
      </c>
      <c r="G58" s="8">
        <v>1091532.2239375</v>
      </c>
      <c r="H58" s="8">
        <v>-122.31853750000001</v>
      </c>
      <c r="I58" s="8">
        <v>1.016862176150823E-4</v>
      </c>
      <c r="J58" s="8">
        <v>-9.8701117707378216E-4</v>
      </c>
      <c r="K58" s="8">
        <v>-1.5385168621975249E-3</v>
      </c>
      <c r="L58" s="8">
        <v>9.9223552614375633E-4</v>
      </c>
    </row>
    <row r="59" spans="1:12" x14ac:dyDescent="0.25">
      <c r="A59" s="9" t="s">
        <v>225</v>
      </c>
      <c r="B59" s="8">
        <v>823290.12399999995</v>
      </c>
      <c r="C59" s="8">
        <v>1091532.827</v>
      </c>
      <c r="D59" s="8">
        <v>-124.70699999999999</v>
      </c>
      <c r="E59" s="9" t="s">
        <v>114</v>
      </c>
      <c r="F59" s="8">
        <v>823290.12271250004</v>
      </c>
      <c r="G59" s="8">
        <v>1091532.8273875001</v>
      </c>
      <c r="H59" s="8">
        <v>-124.7081125</v>
      </c>
      <c r="I59" s="8">
        <v>-1.003077898793947E-3</v>
      </c>
      <c r="J59" s="8">
        <v>-8.9534755818654332E-4</v>
      </c>
      <c r="K59" s="8">
        <v>-1.1024692210099829E-3</v>
      </c>
      <c r="L59" s="8">
        <v>1.3445491047939359E-3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workbookViewId="0">
      <selection activeCell="F31" sqref="F31"/>
    </sheetView>
  </sheetViews>
  <sheetFormatPr baseColWidth="10" defaultRowHeight="15" x14ac:dyDescent="0.25"/>
  <cols>
    <col min="1" max="4" width="14.85546875" style="5" customWidth="1"/>
    <col min="5" max="7" width="11.42578125" style="5" customWidth="1"/>
    <col min="8" max="16384" width="11.42578125" style="5"/>
  </cols>
  <sheetData>
    <row r="1" spans="1:4" x14ac:dyDescent="0.25">
      <c r="A1" t="s">
        <v>9</v>
      </c>
      <c r="B1" s="7">
        <v>823251.28</v>
      </c>
      <c r="C1" s="7">
        <v>1091521.5663999999</v>
      </c>
      <c r="D1" s="7">
        <v>-123.6823</v>
      </c>
    </row>
    <row r="2" spans="1:4" x14ac:dyDescent="0.25">
      <c r="A2" t="s">
        <v>11</v>
      </c>
      <c r="B2" s="7">
        <v>823257.01</v>
      </c>
      <c r="C2" s="7">
        <v>1091518.9754000001</v>
      </c>
      <c r="D2" s="7">
        <v>-123.5299</v>
      </c>
    </row>
    <row r="3" spans="1:4" x14ac:dyDescent="0.25">
      <c r="A3" t="s">
        <v>13</v>
      </c>
      <c r="B3" s="7">
        <v>823265.72109999997</v>
      </c>
      <c r="C3" s="7">
        <v>1091522.99545</v>
      </c>
      <c r="D3" s="7">
        <v>-123.5355</v>
      </c>
    </row>
    <row r="4" spans="1:4" x14ac:dyDescent="0.25">
      <c r="A4" t="s">
        <v>15</v>
      </c>
      <c r="B4" s="7">
        <v>823268.01560000004</v>
      </c>
      <c r="C4" s="7">
        <v>1091524.2714</v>
      </c>
      <c r="D4" s="7">
        <v>-123.447</v>
      </c>
    </row>
    <row r="5" spans="1:4" x14ac:dyDescent="0.25">
      <c r="A5" t="s">
        <v>17</v>
      </c>
      <c r="B5" s="7">
        <v>823265.88800000004</v>
      </c>
      <c r="C5" s="7">
        <v>1091528.838</v>
      </c>
      <c r="D5" s="7">
        <v>-123.4423</v>
      </c>
    </row>
    <row r="6" spans="1:4" x14ac:dyDescent="0.25">
      <c r="A6" t="s">
        <v>19</v>
      </c>
      <c r="B6" s="7">
        <v>823224.73419999995</v>
      </c>
      <c r="C6" s="7">
        <v>1091509.0700999999</v>
      </c>
      <c r="D6" s="7">
        <v>-123.9748</v>
      </c>
    </row>
    <row r="7" spans="1:4" x14ac:dyDescent="0.25">
      <c r="A7" t="s">
        <v>20</v>
      </c>
      <c r="B7" s="7">
        <v>823257.99419999996</v>
      </c>
      <c r="C7" s="7">
        <v>1091526.2734000001</v>
      </c>
      <c r="D7" s="7">
        <v>-123.2516</v>
      </c>
    </row>
    <row r="8" spans="1:4" x14ac:dyDescent="0.25">
      <c r="A8" t="s">
        <v>22</v>
      </c>
      <c r="B8" s="7">
        <v>823256.60810000007</v>
      </c>
      <c r="C8" s="7">
        <v>1091524.4798999999</v>
      </c>
      <c r="D8" s="7">
        <v>-123.70845</v>
      </c>
    </row>
    <row r="9" spans="1:4" x14ac:dyDescent="0.25">
      <c r="A9" t="s">
        <v>24</v>
      </c>
      <c r="B9" s="7">
        <v>823268.98869999999</v>
      </c>
      <c r="C9" s="7">
        <v>1091530.5759000001</v>
      </c>
      <c r="D9" s="7">
        <v>-124.2641</v>
      </c>
    </row>
    <row r="10" spans="1:4" x14ac:dyDescent="0.25">
      <c r="A10" t="s">
        <v>26</v>
      </c>
      <c r="B10" s="7">
        <v>823268.98869999999</v>
      </c>
      <c r="C10" s="7">
        <v>1091530.5759000001</v>
      </c>
      <c r="D10" s="7">
        <v>-124.2641</v>
      </c>
    </row>
    <row r="11" spans="1:4" x14ac:dyDescent="0.25">
      <c r="A11" t="s">
        <v>27</v>
      </c>
      <c r="B11" s="7">
        <v>823271.31480000005</v>
      </c>
      <c r="C11" s="7">
        <v>1091525.4783000001</v>
      </c>
      <c r="D11" s="7">
        <v>-124.3087</v>
      </c>
    </row>
    <row r="12" spans="1:4" x14ac:dyDescent="0.25">
      <c r="A12" t="s">
        <v>29</v>
      </c>
      <c r="B12" s="7">
        <v>823271.31480000005</v>
      </c>
      <c r="C12" s="7">
        <v>1091525.4783000001</v>
      </c>
      <c r="D12" s="7">
        <v>-124.3087</v>
      </c>
    </row>
    <row r="13" spans="1:4" x14ac:dyDescent="0.25">
      <c r="A13" t="s">
        <v>31</v>
      </c>
      <c r="B13" s="7">
        <v>823269.9754</v>
      </c>
      <c r="C13" s="7">
        <v>1091531.8281</v>
      </c>
      <c r="D13" s="7">
        <v>-124.43429999999999</v>
      </c>
    </row>
    <row r="14" spans="1:4" x14ac:dyDescent="0.25">
      <c r="A14" t="s">
        <v>33</v>
      </c>
      <c r="B14" s="7">
        <v>823276.08660000004</v>
      </c>
      <c r="C14" s="7">
        <v>1091526.3333000001</v>
      </c>
      <c r="D14" s="7">
        <v>-125.01049999999999</v>
      </c>
    </row>
    <row r="15" spans="1:4" x14ac:dyDescent="0.25">
      <c r="A15" t="s">
        <v>35</v>
      </c>
      <c r="B15" s="7">
        <v>823272.57853333338</v>
      </c>
      <c r="C15" s="7">
        <v>1091533.6698666669</v>
      </c>
      <c r="D15" s="7">
        <v>-124.94403333333329</v>
      </c>
    </row>
    <row r="16" spans="1:4" x14ac:dyDescent="0.25">
      <c r="A16" t="s">
        <v>37</v>
      </c>
      <c r="B16" s="7">
        <v>823273.30119999999</v>
      </c>
      <c r="C16" s="7">
        <v>1091533.7515</v>
      </c>
      <c r="D16" s="7">
        <v>-125.319</v>
      </c>
    </row>
    <row r="17" spans="1:4" x14ac:dyDescent="0.25">
      <c r="A17" t="s">
        <v>39</v>
      </c>
      <c r="B17" s="7">
        <v>823278.71189999999</v>
      </c>
      <c r="C17" s="7">
        <v>1091527.5963999999</v>
      </c>
      <c r="D17" s="7">
        <v>-125.11750000000001</v>
      </c>
    </row>
    <row r="18" spans="1:4" x14ac:dyDescent="0.25">
      <c r="A18" t="s">
        <v>41</v>
      </c>
      <c r="B18" s="7">
        <v>823281.80160000001</v>
      </c>
      <c r="C18" s="7">
        <v>1091529.1745</v>
      </c>
      <c r="D18" s="7">
        <v>-125.17749999999999</v>
      </c>
    </row>
    <row r="19" spans="1:4" x14ac:dyDescent="0.25">
      <c r="A19" t="s">
        <v>43</v>
      </c>
      <c r="B19" s="7">
        <v>823278.49439999997</v>
      </c>
      <c r="C19" s="7">
        <v>1091536.2307</v>
      </c>
      <c r="D19" s="7">
        <v>-125.1895</v>
      </c>
    </row>
    <row r="20" spans="1:4" x14ac:dyDescent="0.25">
      <c r="A20" t="s">
        <v>44</v>
      </c>
      <c r="B20" s="7">
        <v>823285.58269999991</v>
      </c>
      <c r="C20" s="7">
        <v>1091530.9966</v>
      </c>
      <c r="D20" s="7">
        <v>-125.29640000000001</v>
      </c>
    </row>
    <row r="21" spans="1:4" x14ac:dyDescent="0.25">
      <c r="A21">
        <v>26</v>
      </c>
      <c r="B21" s="7">
        <v>823285.58100000001</v>
      </c>
      <c r="C21" s="7">
        <v>1091530.9953999999</v>
      </c>
      <c r="D21" s="7">
        <v>-125.29519999999999</v>
      </c>
    </row>
    <row r="22" spans="1:4" x14ac:dyDescent="0.25">
      <c r="A22" t="s">
        <v>46</v>
      </c>
      <c r="B22" s="7">
        <v>823285.76729999995</v>
      </c>
      <c r="C22" s="7">
        <v>1091539.4580000001</v>
      </c>
      <c r="D22" s="7">
        <v>-125.2642</v>
      </c>
    </row>
    <row r="23" spans="1:4" x14ac:dyDescent="0.25">
      <c r="A23" t="s">
        <v>47</v>
      </c>
      <c r="B23" s="7">
        <v>823285.76659999997</v>
      </c>
      <c r="C23" s="7">
        <v>1091539.4575</v>
      </c>
      <c r="D23" s="7">
        <v>-125.2649</v>
      </c>
    </row>
    <row r="24" spans="1:4" x14ac:dyDescent="0.25">
      <c r="A24" t="s">
        <v>49</v>
      </c>
      <c r="B24" s="7">
        <v>823285.76630000002</v>
      </c>
      <c r="C24" s="7">
        <v>1091539.4569999999</v>
      </c>
      <c r="D24" s="7">
        <v>-125.265</v>
      </c>
    </row>
    <row r="25" spans="1:4" x14ac:dyDescent="0.25">
      <c r="A25" t="s">
        <v>51</v>
      </c>
      <c r="B25" s="7">
        <v>823288.87239999999</v>
      </c>
      <c r="C25" s="7">
        <v>1091532.6170000001</v>
      </c>
      <c r="D25" s="7">
        <v>-125.34529999999999</v>
      </c>
    </row>
    <row r="26" spans="1:4" x14ac:dyDescent="0.25">
      <c r="A26" t="s">
        <v>53</v>
      </c>
      <c r="B26" s="7">
        <v>823289.33539999998</v>
      </c>
      <c r="C26" s="7">
        <v>1091541.1063999999</v>
      </c>
      <c r="D26" s="7">
        <v>-125.2529</v>
      </c>
    </row>
    <row r="27" spans="1:4" x14ac:dyDescent="0.25">
      <c r="A27" t="s">
        <v>55</v>
      </c>
      <c r="B27" s="7">
        <v>823292.41220000002</v>
      </c>
      <c r="C27" s="7">
        <v>1091534.3559999999</v>
      </c>
      <c r="D27" s="7">
        <v>-125.4661</v>
      </c>
    </row>
    <row r="28" spans="1:4" x14ac:dyDescent="0.25">
      <c r="A28" t="s">
        <v>57</v>
      </c>
      <c r="B28" s="7">
        <v>823267.34434999991</v>
      </c>
      <c r="C28" s="7">
        <v>1091523.9787999999</v>
      </c>
      <c r="D28" s="7">
        <v>-124.48605000000001</v>
      </c>
    </row>
    <row r="29" spans="1:4" x14ac:dyDescent="0.25">
      <c r="A29" t="s">
        <v>59</v>
      </c>
      <c r="B29" s="7">
        <v>823266.44689999998</v>
      </c>
      <c r="C29" s="7">
        <v>1091528.835</v>
      </c>
      <c r="D29" s="7">
        <v>-124.6861</v>
      </c>
    </row>
    <row r="30" spans="1:4" x14ac:dyDescent="0.25">
      <c r="A30" t="s">
        <v>61</v>
      </c>
      <c r="B30" s="7">
        <v>823266.33950000012</v>
      </c>
      <c r="C30" s="7">
        <v>1091529.037</v>
      </c>
      <c r="D30" s="7">
        <v>-123.096</v>
      </c>
    </row>
    <row r="31" spans="1:4" x14ac:dyDescent="0.25">
      <c r="A31" t="s">
        <v>62</v>
      </c>
      <c r="B31" s="7">
        <v>823267.44909999997</v>
      </c>
      <c r="C31" s="7">
        <v>1091526.5933999999</v>
      </c>
      <c r="D31" s="7">
        <v>-121.00709999999999</v>
      </c>
    </row>
    <row r="32" spans="1:4" x14ac:dyDescent="0.25">
      <c r="A32" t="s">
        <v>64</v>
      </c>
      <c r="B32" s="7">
        <v>823268.60329999996</v>
      </c>
      <c r="C32" s="7">
        <v>1091524.5222</v>
      </c>
      <c r="D32" s="7">
        <v>-123.03740000000001</v>
      </c>
    </row>
    <row r="33" spans="1:4" x14ac:dyDescent="0.25">
      <c r="A33" t="s">
        <v>66</v>
      </c>
      <c r="B33" s="7">
        <v>823268.39080000005</v>
      </c>
      <c r="C33" s="7">
        <v>1091524.6169</v>
      </c>
      <c r="D33" s="7">
        <v>-124.76139999999999</v>
      </c>
    </row>
    <row r="34" spans="1:4" x14ac:dyDescent="0.25">
      <c r="A34" t="s">
        <v>68</v>
      </c>
      <c r="B34" s="7">
        <v>823270.08224999998</v>
      </c>
      <c r="C34" s="7">
        <v>1091531.797175</v>
      </c>
      <c r="D34" s="7">
        <v>-124.85595000000001</v>
      </c>
    </row>
    <row r="35" spans="1:4" x14ac:dyDescent="0.25">
      <c r="A35" t="s">
        <v>70</v>
      </c>
      <c r="B35" s="7">
        <v>823270.0821</v>
      </c>
      <c r="C35" s="7">
        <v>1091531.7962</v>
      </c>
      <c r="D35" s="7">
        <v>-124.8561</v>
      </c>
    </row>
    <row r="36" spans="1:4" x14ac:dyDescent="0.25">
      <c r="A36" t="s">
        <v>72</v>
      </c>
      <c r="B36" s="7">
        <v>823270.17244999995</v>
      </c>
      <c r="C36" s="7">
        <v>1091532.3008000001</v>
      </c>
      <c r="D36" s="7">
        <v>-122.594275</v>
      </c>
    </row>
    <row r="37" spans="1:4" x14ac:dyDescent="0.25">
      <c r="A37" t="s">
        <v>74</v>
      </c>
      <c r="B37" s="7">
        <v>823270.17200000002</v>
      </c>
      <c r="C37" s="7">
        <v>1091532.2996</v>
      </c>
      <c r="D37" s="7">
        <v>-122.5945</v>
      </c>
    </row>
    <row r="38" spans="1:4" x14ac:dyDescent="0.25">
      <c r="A38" t="s">
        <v>76</v>
      </c>
      <c r="B38" s="7">
        <v>823270.52379999997</v>
      </c>
      <c r="C38" s="7">
        <v>1091531.1721999999</v>
      </c>
      <c r="D38" s="7">
        <v>-120.53830000000001</v>
      </c>
    </row>
    <row r="39" spans="1:4" x14ac:dyDescent="0.25">
      <c r="A39" t="s">
        <v>78</v>
      </c>
      <c r="B39" s="7">
        <v>823271.65009999985</v>
      </c>
      <c r="C39" s="7">
        <v>1091528.7235999999</v>
      </c>
      <c r="D39" s="7">
        <v>-119.4295</v>
      </c>
    </row>
    <row r="40" spans="1:4" x14ac:dyDescent="0.25">
      <c r="A40" t="s">
        <v>80</v>
      </c>
      <c r="B40" s="7">
        <v>823272.91020000004</v>
      </c>
      <c r="C40" s="7">
        <v>1091526.2801999999</v>
      </c>
      <c r="D40" s="7">
        <v>-120.4074</v>
      </c>
    </row>
    <row r="41" spans="1:4" x14ac:dyDescent="0.25">
      <c r="A41" t="s">
        <v>82</v>
      </c>
      <c r="B41" s="7">
        <v>823272.91020000004</v>
      </c>
      <c r="C41" s="7">
        <v>1091526.2801999999</v>
      </c>
      <c r="D41" s="7">
        <v>-120.4074</v>
      </c>
    </row>
    <row r="42" spans="1:4" x14ac:dyDescent="0.25">
      <c r="A42" t="s">
        <v>84</v>
      </c>
      <c r="B42" s="7">
        <v>823273.30977500009</v>
      </c>
      <c r="C42" s="7">
        <v>1091525.2719749999</v>
      </c>
      <c r="D42" s="7">
        <v>-122.522475</v>
      </c>
    </row>
    <row r="43" spans="1:4" x14ac:dyDescent="0.25">
      <c r="A43" t="s">
        <v>86</v>
      </c>
      <c r="B43" s="7">
        <v>823273.30940000003</v>
      </c>
      <c r="C43" s="7">
        <v>1091525.2716000001</v>
      </c>
      <c r="D43" s="7">
        <v>-122.5227</v>
      </c>
    </row>
    <row r="44" spans="1:4" x14ac:dyDescent="0.25">
      <c r="A44" t="s">
        <v>88</v>
      </c>
      <c r="B44" s="7">
        <v>823276.79940000002</v>
      </c>
      <c r="C44" s="7">
        <v>1091535.58445</v>
      </c>
      <c r="D44" s="7">
        <v>-124.8139</v>
      </c>
    </row>
    <row r="45" spans="1:4" x14ac:dyDescent="0.25">
      <c r="A45" t="s">
        <v>90</v>
      </c>
      <c r="B45" s="7">
        <v>823276.83984999999</v>
      </c>
      <c r="C45" s="7">
        <v>1091536.2701000001</v>
      </c>
      <c r="D45" s="7">
        <v>-122.4346</v>
      </c>
    </row>
    <row r="46" spans="1:4" x14ac:dyDescent="0.25">
      <c r="A46" t="s">
        <v>92</v>
      </c>
      <c r="B46" s="7">
        <v>823277.29614999995</v>
      </c>
      <c r="C46" s="7">
        <v>1091534.9955</v>
      </c>
      <c r="D46" s="7">
        <v>-119.54805</v>
      </c>
    </row>
    <row r="47" spans="1:4" x14ac:dyDescent="0.25">
      <c r="A47" t="s">
        <v>94</v>
      </c>
      <c r="B47" s="7">
        <v>823278.79489999998</v>
      </c>
      <c r="C47" s="7">
        <v>1091532.0393999999</v>
      </c>
      <c r="D47" s="7">
        <v>-118.0802</v>
      </c>
    </row>
    <row r="48" spans="1:4" x14ac:dyDescent="0.25">
      <c r="A48" t="s">
        <v>96</v>
      </c>
      <c r="B48" s="7">
        <v>823280.14209999994</v>
      </c>
      <c r="C48" s="7">
        <v>1091529.0449999999</v>
      </c>
      <c r="D48" s="7">
        <v>-119.449</v>
      </c>
    </row>
    <row r="49" spans="1:4" x14ac:dyDescent="0.25">
      <c r="A49" t="s">
        <v>98</v>
      </c>
      <c r="B49" s="7">
        <v>823280.65804999985</v>
      </c>
      <c r="C49" s="7">
        <v>1091527.9034</v>
      </c>
      <c r="D49" s="7">
        <v>-122.40295</v>
      </c>
    </row>
    <row r="50" spans="1:4" x14ac:dyDescent="0.25">
      <c r="A50" t="s">
        <v>100</v>
      </c>
      <c r="B50" s="7">
        <v>823280.12845000008</v>
      </c>
      <c r="C50" s="7">
        <v>1091528.25725</v>
      </c>
      <c r="D50" s="7">
        <v>-124.9059</v>
      </c>
    </row>
    <row r="51" spans="1:4" x14ac:dyDescent="0.25">
      <c r="A51" t="s">
        <v>102</v>
      </c>
      <c r="B51" s="7">
        <v>823286.71013749996</v>
      </c>
      <c r="C51" s="7">
        <v>1091540.0598500001</v>
      </c>
      <c r="D51" s="7">
        <v>-124.7967625</v>
      </c>
    </row>
    <row r="52" spans="1:4" x14ac:dyDescent="0.25">
      <c r="A52" t="s">
        <v>104</v>
      </c>
      <c r="B52" s="7">
        <v>823286.34402500011</v>
      </c>
      <c r="C52" s="7">
        <v>1091540.729425</v>
      </c>
      <c r="D52" s="7">
        <v>-122.27645</v>
      </c>
    </row>
    <row r="53" spans="1:4" x14ac:dyDescent="0.25">
      <c r="A53" t="s">
        <v>106</v>
      </c>
      <c r="B53" s="7">
        <v>823286.7854874999</v>
      </c>
      <c r="C53" s="7">
        <v>1091539.60745</v>
      </c>
      <c r="D53" s="7">
        <v>-119.31095000000001</v>
      </c>
    </row>
    <row r="54" spans="1:4" x14ac:dyDescent="0.25">
      <c r="A54" t="s">
        <v>108</v>
      </c>
      <c r="B54" s="7">
        <v>823288.16851250001</v>
      </c>
      <c r="C54" s="7">
        <v>1091536.1961000001</v>
      </c>
      <c r="D54" s="7">
        <v>-118.00971250000001</v>
      </c>
    </row>
    <row r="55" spans="1:4" x14ac:dyDescent="0.25">
      <c r="A55" t="s">
        <v>110</v>
      </c>
      <c r="B55" s="7">
        <v>823289.46272499999</v>
      </c>
      <c r="C55" s="7">
        <v>1091533.5490999999</v>
      </c>
      <c r="D55" s="7">
        <v>-119.1386875</v>
      </c>
    </row>
    <row r="56" spans="1:4" x14ac:dyDescent="0.25">
      <c r="A56" t="s">
        <v>112</v>
      </c>
      <c r="B56" s="7">
        <v>823290.257675</v>
      </c>
      <c r="C56" s="7">
        <v>1091532.2239375</v>
      </c>
      <c r="D56" s="7">
        <v>-122.31853750000001</v>
      </c>
    </row>
    <row r="57" spans="1:4" x14ac:dyDescent="0.25">
      <c r="A57" t="s">
        <v>114</v>
      </c>
      <c r="B57" s="7">
        <v>823290.12271250004</v>
      </c>
      <c r="C57" s="7">
        <v>1091532.8273875001</v>
      </c>
      <c r="D57" s="7">
        <v>-124.7081125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>
      <selection activeCell="I28" sqref="I28"/>
    </sheetView>
  </sheetViews>
  <sheetFormatPr baseColWidth="10" defaultColWidth="9.140625" defaultRowHeight="15" x14ac:dyDescent="0.25"/>
  <sheetData>
    <row r="1" spans="1:4" x14ac:dyDescent="0.25">
      <c r="A1" s="35" t="s">
        <v>4</v>
      </c>
      <c r="B1" s="35" t="s">
        <v>5</v>
      </c>
      <c r="C1" s="35" t="s">
        <v>6</v>
      </c>
      <c r="D1" s="35" t="s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4"/>
  <sheetViews>
    <sheetView topLeftCell="A103" workbookViewId="0">
      <selection activeCell="G13" sqref="G13"/>
    </sheetView>
  </sheetViews>
  <sheetFormatPr baseColWidth="10" defaultColWidth="9.140625" defaultRowHeight="15" x14ac:dyDescent="0.25"/>
  <cols>
    <col min="1" max="4" width="20.7109375" customWidth="1"/>
  </cols>
  <sheetData>
    <row r="1" spans="1:4" x14ac:dyDescent="0.25">
      <c r="A1" s="35" t="s">
        <v>0</v>
      </c>
      <c r="B1" s="35" t="s">
        <v>1</v>
      </c>
      <c r="C1" s="35" t="s">
        <v>2</v>
      </c>
      <c r="D1" s="35" t="s">
        <v>3</v>
      </c>
    </row>
    <row r="2" spans="1:4" x14ac:dyDescent="0.25">
      <c r="A2" s="9" t="s">
        <v>8</v>
      </c>
      <c r="B2" s="8">
        <v>823166.58900000004</v>
      </c>
      <c r="C2" s="8">
        <v>1091482.4269999999</v>
      </c>
      <c r="D2" s="8">
        <v>-124.121</v>
      </c>
    </row>
    <row r="3" spans="1:4" x14ac:dyDescent="0.25">
      <c r="A3" s="9" t="s">
        <v>10</v>
      </c>
      <c r="B3" s="8">
        <v>823192.84</v>
      </c>
      <c r="C3" s="8">
        <v>1091489.3806</v>
      </c>
      <c r="D3" s="8">
        <v>-124.0842</v>
      </c>
    </row>
    <row r="4" spans="1:4" x14ac:dyDescent="0.25">
      <c r="A4" s="9" t="s">
        <v>12</v>
      </c>
      <c r="B4" s="8">
        <v>823208.5993</v>
      </c>
      <c r="C4" s="8">
        <v>1091501.6991999999</v>
      </c>
      <c r="D4" s="8">
        <v>-125.3415</v>
      </c>
    </row>
    <row r="5" spans="1:4" x14ac:dyDescent="0.25">
      <c r="A5" s="9" t="s">
        <v>14</v>
      </c>
      <c r="B5" s="8">
        <v>823217.33799999999</v>
      </c>
      <c r="C5" s="8">
        <v>1091502.6070000001</v>
      </c>
      <c r="D5" s="8">
        <v>-124.072</v>
      </c>
    </row>
    <row r="6" spans="1:4" x14ac:dyDescent="0.25">
      <c r="A6" s="9" t="s">
        <v>16</v>
      </c>
      <c r="B6" s="8">
        <v>823259.70369999995</v>
      </c>
      <c r="C6" s="8">
        <v>1091520.2222</v>
      </c>
      <c r="D6" s="8">
        <v>-123.6126</v>
      </c>
    </row>
    <row r="7" spans="1:4" x14ac:dyDescent="0.25">
      <c r="A7" s="9" t="s">
        <v>18</v>
      </c>
      <c r="B7" s="8">
        <v>823249.78780000005</v>
      </c>
      <c r="C7" s="8">
        <v>1091515.5281</v>
      </c>
      <c r="D7" s="8">
        <v>-123.60299999999999</v>
      </c>
    </row>
    <row r="8" spans="1:4" x14ac:dyDescent="0.25">
      <c r="A8" s="9" t="s">
        <v>21</v>
      </c>
      <c r="B8" s="8">
        <v>823253.32090000005</v>
      </c>
      <c r="C8" s="8">
        <v>1091517.2276999999</v>
      </c>
      <c r="D8" s="8">
        <v>-123.5538</v>
      </c>
    </row>
    <row r="9" spans="1:4" x14ac:dyDescent="0.25">
      <c r="A9" s="9" t="s">
        <v>23</v>
      </c>
      <c r="B9" s="8">
        <v>823251.15339999995</v>
      </c>
      <c r="C9" s="8">
        <v>1091522.1115999999</v>
      </c>
      <c r="D9" s="8">
        <v>-123.63930000000001</v>
      </c>
    </row>
    <row r="10" spans="1:4" x14ac:dyDescent="0.25">
      <c r="A10" s="9" t="s">
        <v>25</v>
      </c>
      <c r="B10" s="8">
        <v>823255.20970000001</v>
      </c>
      <c r="C10" s="8">
        <v>1091518.1302</v>
      </c>
      <c r="D10" s="8">
        <v>-123.6383</v>
      </c>
    </row>
    <row r="11" spans="1:4" x14ac:dyDescent="0.25">
      <c r="A11" s="9" t="s">
        <v>28</v>
      </c>
      <c r="B11" s="8">
        <v>823258.26150000002</v>
      </c>
      <c r="C11" s="8">
        <v>1091519.9332000001</v>
      </c>
      <c r="D11" s="8">
        <v>-124.8558</v>
      </c>
    </row>
    <row r="12" spans="1:4" x14ac:dyDescent="0.25">
      <c r="A12" s="9" t="s">
        <v>30</v>
      </c>
      <c r="B12" s="8">
        <v>823258.07960000006</v>
      </c>
      <c r="C12" s="8">
        <v>1091525.5318</v>
      </c>
      <c r="D12" s="8">
        <v>-123.6708</v>
      </c>
    </row>
    <row r="13" spans="1:4" x14ac:dyDescent="0.25">
      <c r="A13" s="9" t="s">
        <v>32</v>
      </c>
      <c r="B13" s="8">
        <v>823260.88089999999</v>
      </c>
      <c r="C13" s="8">
        <v>1091520.7357000001</v>
      </c>
      <c r="D13" s="8">
        <v>-123.6129</v>
      </c>
    </row>
    <row r="14" spans="1:4" x14ac:dyDescent="0.25">
      <c r="A14" s="9" t="s">
        <v>34</v>
      </c>
      <c r="B14" s="8">
        <v>823262.63390000002</v>
      </c>
      <c r="C14" s="8">
        <v>1091521.6285000001</v>
      </c>
      <c r="D14" s="8">
        <v>-123.71639999999999</v>
      </c>
    </row>
    <row r="15" spans="1:4" x14ac:dyDescent="0.25">
      <c r="A15" s="9" t="s">
        <v>36</v>
      </c>
      <c r="B15" s="8">
        <v>823262.48490000004</v>
      </c>
      <c r="C15" s="8">
        <v>1091524.2412</v>
      </c>
      <c r="D15" s="8">
        <v>-125.1139</v>
      </c>
    </row>
    <row r="16" spans="1:4" x14ac:dyDescent="0.25">
      <c r="A16" s="9" t="s">
        <v>38</v>
      </c>
      <c r="B16" s="8">
        <v>823263.54669999995</v>
      </c>
      <c r="C16" s="8">
        <v>1091521.9743999999</v>
      </c>
      <c r="D16" s="8">
        <v>-123.5279</v>
      </c>
    </row>
    <row r="17" spans="1:4" x14ac:dyDescent="0.25">
      <c r="A17" s="9" t="s">
        <v>40</v>
      </c>
      <c r="B17" s="8">
        <v>823264.6801</v>
      </c>
      <c r="C17" s="8">
        <v>1091522.5618</v>
      </c>
      <c r="D17" s="8">
        <v>-123.70569999999999</v>
      </c>
    </row>
    <row r="18" spans="1:4" x14ac:dyDescent="0.25">
      <c r="A18" s="9" t="s">
        <v>42</v>
      </c>
      <c r="B18" s="8">
        <v>823263.27320000005</v>
      </c>
      <c r="C18" s="8">
        <v>1091527.9987999999</v>
      </c>
      <c r="D18" s="8">
        <v>-123.74209999999999</v>
      </c>
    </row>
    <row r="19" spans="1:4" x14ac:dyDescent="0.25">
      <c r="A19" s="9" t="s">
        <v>45</v>
      </c>
      <c r="B19" s="8">
        <v>823267.1568</v>
      </c>
      <c r="C19" s="8">
        <v>1091523.6514000001</v>
      </c>
      <c r="D19" s="8">
        <v>-123.4496</v>
      </c>
    </row>
    <row r="20" spans="1:4" x14ac:dyDescent="0.25">
      <c r="A20" s="9" t="s">
        <v>48</v>
      </c>
      <c r="B20" s="8">
        <v>823269.87230000005</v>
      </c>
      <c r="C20" s="8">
        <v>1091524.9247000001</v>
      </c>
      <c r="D20" s="8">
        <v>-123.6073</v>
      </c>
    </row>
    <row r="21" spans="1:4" x14ac:dyDescent="0.25">
      <c r="A21" s="9" t="s">
        <v>50</v>
      </c>
      <c r="B21" s="8">
        <v>823267.59510000004</v>
      </c>
      <c r="C21" s="8">
        <v>1091529.818</v>
      </c>
      <c r="D21" s="8">
        <v>-123.4263</v>
      </c>
    </row>
    <row r="22" spans="1:4" x14ac:dyDescent="0.25">
      <c r="A22" s="9" t="s">
        <v>52</v>
      </c>
      <c r="B22" s="8">
        <v>823217.47479999997</v>
      </c>
      <c r="C22" s="8">
        <v>1091503.9295999999</v>
      </c>
      <c r="D22" s="8">
        <v>-125.6442</v>
      </c>
    </row>
    <row r="23" spans="1:4" x14ac:dyDescent="0.25">
      <c r="A23" s="9" t="s">
        <v>54</v>
      </c>
      <c r="B23" s="8">
        <v>823220.69299999997</v>
      </c>
      <c r="C23" s="8">
        <v>1091507.9064</v>
      </c>
      <c r="D23" s="8">
        <v>-124.55200000000001</v>
      </c>
    </row>
    <row r="24" spans="1:4" x14ac:dyDescent="0.25">
      <c r="A24" s="9" t="s">
        <v>56</v>
      </c>
      <c r="B24" s="8">
        <v>823222.98580000002</v>
      </c>
      <c r="C24" s="8">
        <v>1091503.1395</v>
      </c>
      <c r="D24" s="8">
        <v>-124.7071</v>
      </c>
    </row>
    <row r="25" spans="1:4" x14ac:dyDescent="0.25">
      <c r="A25" s="9" t="s">
        <v>58</v>
      </c>
      <c r="B25" s="8">
        <v>823224.91700000002</v>
      </c>
      <c r="C25" s="8">
        <v>1091504.175</v>
      </c>
      <c r="D25" s="8">
        <v>-123.6866</v>
      </c>
    </row>
    <row r="26" spans="1:4" x14ac:dyDescent="0.25">
      <c r="A26" s="9" t="s">
        <v>60</v>
      </c>
      <c r="B26" s="8">
        <v>823222.81610000005</v>
      </c>
      <c r="C26" s="8">
        <v>1091508.7026</v>
      </c>
      <c r="D26" s="8">
        <v>-123.6999</v>
      </c>
    </row>
    <row r="27" spans="1:4" x14ac:dyDescent="0.25">
      <c r="A27" s="9" t="s">
        <v>65</v>
      </c>
      <c r="B27" s="8">
        <v>823262.64289999998</v>
      </c>
      <c r="C27" s="8">
        <v>1091528.4848</v>
      </c>
      <c r="D27" s="8">
        <v>-123.447</v>
      </c>
    </row>
    <row r="28" spans="1:4" x14ac:dyDescent="0.25">
      <c r="A28" s="9" t="s">
        <v>67</v>
      </c>
      <c r="B28" s="8">
        <v>823262.22649999999</v>
      </c>
      <c r="C28" s="8">
        <v>1091529.8646</v>
      </c>
      <c r="D28" s="8">
        <v>-123.2349</v>
      </c>
    </row>
    <row r="29" spans="1:4" x14ac:dyDescent="0.25">
      <c r="A29" s="9" t="s">
        <v>69</v>
      </c>
      <c r="B29" s="8">
        <v>823257.43339999998</v>
      </c>
      <c r="C29" s="8">
        <v>1091527.5048</v>
      </c>
      <c r="D29" s="8">
        <v>-124.1901</v>
      </c>
    </row>
    <row r="30" spans="1:4" x14ac:dyDescent="0.25">
      <c r="A30" s="9" t="s">
        <v>71</v>
      </c>
      <c r="B30" s="8">
        <v>823256.81359999999</v>
      </c>
      <c r="C30" s="8">
        <v>1091529.0878999999</v>
      </c>
      <c r="D30" s="8">
        <v>-123.5196</v>
      </c>
    </row>
    <row r="31" spans="1:4" x14ac:dyDescent="0.25">
      <c r="A31" s="9" t="s">
        <v>73</v>
      </c>
      <c r="B31" s="8">
        <v>823261.36040000001</v>
      </c>
      <c r="C31" s="8">
        <v>1091531.179</v>
      </c>
      <c r="D31" s="8">
        <v>-123.4311</v>
      </c>
    </row>
    <row r="32" spans="1:4" x14ac:dyDescent="0.25">
      <c r="A32" s="9" t="s">
        <v>75</v>
      </c>
      <c r="B32" s="8">
        <v>823260.7781</v>
      </c>
      <c r="C32" s="8">
        <v>1091532.6214999999</v>
      </c>
      <c r="D32" s="8">
        <v>-123.7998</v>
      </c>
    </row>
    <row r="33" spans="1:4" x14ac:dyDescent="0.25">
      <c r="A33" s="9" t="s">
        <v>77</v>
      </c>
      <c r="B33" s="8">
        <v>823256.16850000003</v>
      </c>
      <c r="C33" s="8">
        <v>1091530.3462</v>
      </c>
      <c r="D33" s="8">
        <v>-124.3432</v>
      </c>
    </row>
    <row r="34" spans="1:4" x14ac:dyDescent="0.25">
      <c r="A34" s="9" t="s">
        <v>79</v>
      </c>
      <c r="B34" s="8">
        <v>823255.13199999998</v>
      </c>
      <c r="C34" s="8">
        <v>1091532.6932999999</v>
      </c>
      <c r="D34" s="8">
        <v>-123.3849</v>
      </c>
    </row>
    <row r="35" spans="1:4" x14ac:dyDescent="0.25">
      <c r="A35" s="9" t="s">
        <v>81</v>
      </c>
      <c r="B35" s="8">
        <v>823254.66910000006</v>
      </c>
      <c r="C35" s="8">
        <v>1091533.1189999999</v>
      </c>
      <c r="D35" s="8">
        <v>-123.7453</v>
      </c>
    </row>
    <row r="36" spans="1:4" x14ac:dyDescent="0.25">
      <c r="A36" s="9" t="s">
        <v>83</v>
      </c>
      <c r="B36" s="8">
        <v>823259.58010000002</v>
      </c>
      <c r="C36" s="8">
        <v>1091535.3969000001</v>
      </c>
      <c r="D36" s="8">
        <v>-124.1478</v>
      </c>
    </row>
    <row r="37" spans="1:4" x14ac:dyDescent="0.25">
      <c r="A37" s="9" t="s">
        <v>85</v>
      </c>
      <c r="B37" s="8">
        <v>823258.35219999996</v>
      </c>
      <c r="C37" s="8">
        <v>1091537.1768</v>
      </c>
      <c r="D37" s="8">
        <v>-123.5</v>
      </c>
    </row>
    <row r="38" spans="1:4" x14ac:dyDescent="0.25">
      <c r="A38" s="9" t="s">
        <v>87</v>
      </c>
      <c r="B38" s="8">
        <v>823254.08770000003</v>
      </c>
      <c r="C38" s="8">
        <v>1091535.3685000001</v>
      </c>
      <c r="D38" s="8">
        <v>-123.5765</v>
      </c>
    </row>
    <row r="39" spans="1:4" x14ac:dyDescent="0.25">
      <c r="A39" s="9" t="s">
        <v>89</v>
      </c>
      <c r="B39" s="8">
        <v>823252.77469999995</v>
      </c>
      <c r="C39" s="8">
        <v>1091538.2753000001</v>
      </c>
      <c r="D39" s="8">
        <v>-123.6797</v>
      </c>
    </row>
    <row r="40" spans="1:4" x14ac:dyDescent="0.25">
      <c r="A40" s="9" t="s">
        <v>91</v>
      </c>
      <c r="B40" s="8">
        <v>823256.70449999999</v>
      </c>
      <c r="C40" s="8">
        <v>1091540.6655999999</v>
      </c>
      <c r="D40" s="8">
        <v>-123.40989999999999</v>
      </c>
    </row>
    <row r="41" spans="1:4" x14ac:dyDescent="0.25">
      <c r="A41" s="9" t="s">
        <v>93</v>
      </c>
      <c r="B41" s="8">
        <v>823255.72439999995</v>
      </c>
      <c r="C41" s="8">
        <v>1091542.4032000001</v>
      </c>
      <c r="D41" s="8">
        <v>-124.11360000000001</v>
      </c>
    </row>
    <row r="42" spans="1:4" x14ac:dyDescent="0.25">
      <c r="A42" s="9" t="s">
        <v>95</v>
      </c>
      <c r="B42" s="8">
        <v>823251.91299999994</v>
      </c>
      <c r="C42" s="8">
        <v>1091540.4410000001</v>
      </c>
      <c r="D42" s="8">
        <v>-124.172</v>
      </c>
    </row>
    <row r="43" spans="1:4" x14ac:dyDescent="0.25">
      <c r="A43" s="9" t="s">
        <v>97</v>
      </c>
      <c r="B43" s="8">
        <v>823254.84600000002</v>
      </c>
      <c r="C43" s="8">
        <v>1091544.585</v>
      </c>
      <c r="D43" s="8">
        <v>-123.495</v>
      </c>
    </row>
    <row r="44" spans="1:4" x14ac:dyDescent="0.25">
      <c r="A44" s="9" t="s">
        <v>99</v>
      </c>
      <c r="B44" s="8">
        <v>823250.77780000004</v>
      </c>
      <c r="C44" s="8">
        <v>1091542.5626999999</v>
      </c>
      <c r="D44" s="8">
        <v>-123.53189999999999</v>
      </c>
    </row>
    <row r="45" spans="1:4" x14ac:dyDescent="0.25">
      <c r="A45" s="9" t="s">
        <v>101</v>
      </c>
      <c r="B45" s="8">
        <v>823253.51089999999</v>
      </c>
      <c r="C45" s="8">
        <v>1091547.4029000001</v>
      </c>
      <c r="D45" s="8">
        <v>-123.3075</v>
      </c>
    </row>
    <row r="46" spans="1:4" x14ac:dyDescent="0.25">
      <c r="A46" s="9" t="s">
        <v>103</v>
      </c>
      <c r="B46" s="8">
        <v>823249.36470000003</v>
      </c>
      <c r="C46" s="8">
        <v>1091545.5416000001</v>
      </c>
      <c r="D46" s="8">
        <v>-123.48699999999999</v>
      </c>
    </row>
    <row r="47" spans="1:4" x14ac:dyDescent="0.25">
      <c r="A47" s="9" t="s">
        <v>105</v>
      </c>
      <c r="B47" s="8">
        <v>823252.55110000004</v>
      </c>
      <c r="C47" s="8">
        <v>1091549.5426</v>
      </c>
      <c r="D47" s="8">
        <v>-123.0638</v>
      </c>
    </row>
    <row r="48" spans="1:4" x14ac:dyDescent="0.25">
      <c r="A48" s="9" t="s">
        <v>107</v>
      </c>
      <c r="B48" s="8">
        <v>823248.4</v>
      </c>
      <c r="C48" s="8">
        <v>1091547.645</v>
      </c>
      <c r="D48" s="8">
        <v>-123.251</v>
      </c>
    </row>
    <row r="49" spans="1:4" x14ac:dyDescent="0.25">
      <c r="A49" s="9" t="s">
        <v>109</v>
      </c>
      <c r="B49" s="8">
        <v>823251.86690000002</v>
      </c>
      <c r="C49" s="8">
        <v>1091550.8589999999</v>
      </c>
      <c r="D49" s="8">
        <v>-124.0286</v>
      </c>
    </row>
    <row r="50" spans="1:4" x14ac:dyDescent="0.25">
      <c r="A50" s="9" t="s">
        <v>111</v>
      </c>
      <c r="B50" s="8">
        <v>823248.13009999995</v>
      </c>
      <c r="C50" s="8">
        <v>1091548.2671999999</v>
      </c>
      <c r="D50" s="8">
        <v>-124.0164</v>
      </c>
    </row>
    <row r="51" spans="1:4" x14ac:dyDescent="0.25">
      <c r="A51" s="9" t="s">
        <v>113</v>
      </c>
      <c r="B51" s="8">
        <v>823251.29740000004</v>
      </c>
      <c r="C51" s="8">
        <v>1091552.3707999999</v>
      </c>
      <c r="D51" s="8">
        <v>-123.1199</v>
      </c>
    </row>
    <row r="52" spans="1:4" x14ac:dyDescent="0.25">
      <c r="A52" s="9" t="s">
        <v>115</v>
      </c>
      <c r="B52" s="8">
        <v>823247.17139999999</v>
      </c>
      <c r="C52" s="8">
        <v>1091550.1601</v>
      </c>
      <c r="D52" s="8">
        <v>-123.0346</v>
      </c>
    </row>
    <row r="53" spans="1:4" x14ac:dyDescent="0.25">
      <c r="A53" s="9" t="s">
        <v>116</v>
      </c>
      <c r="B53" s="8">
        <v>823250.13119999995</v>
      </c>
      <c r="C53" s="8">
        <v>1091554.9431</v>
      </c>
      <c r="D53" s="8">
        <v>-123.1636</v>
      </c>
    </row>
    <row r="54" spans="1:4" x14ac:dyDescent="0.25">
      <c r="A54" s="9" t="s">
        <v>117</v>
      </c>
      <c r="B54" s="8">
        <v>823245.80050000001</v>
      </c>
      <c r="C54" s="8">
        <v>1091553.0522</v>
      </c>
      <c r="D54" s="8">
        <v>-123.19540000000001</v>
      </c>
    </row>
    <row r="55" spans="1:4" x14ac:dyDescent="0.25">
      <c r="A55" s="9" t="s">
        <v>118</v>
      </c>
      <c r="B55" s="8">
        <v>823249.57739999995</v>
      </c>
      <c r="C55" s="8">
        <v>1091555.6207000001</v>
      </c>
      <c r="D55" s="8">
        <v>-124.1367</v>
      </c>
    </row>
    <row r="56" spans="1:4" x14ac:dyDescent="0.25">
      <c r="A56" s="9" t="s">
        <v>119</v>
      </c>
      <c r="B56" s="8">
        <v>823245.83299999998</v>
      </c>
      <c r="C56" s="8">
        <v>1091553.5109999999</v>
      </c>
      <c r="D56" s="8">
        <v>-124.121</v>
      </c>
    </row>
    <row r="57" spans="1:4" x14ac:dyDescent="0.25">
      <c r="A57" s="9" t="s">
        <v>120</v>
      </c>
      <c r="B57" s="8">
        <v>823248.88820000004</v>
      </c>
      <c r="C57" s="8">
        <v>1091557.5523999999</v>
      </c>
      <c r="D57" s="8">
        <v>-123.157</v>
      </c>
    </row>
    <row r="58" spans="1:4" x14ac:dyDescent="0.25">
      <c r="A58" s="9" t="s">
        <v>121</v>
      </c>
      <c r="B58" s="8">
        <v>823244.6753</v>
      </c>
      <c r="C58" s="8">
        <v>1091555.5511</v>
      </c>
      <c r="D58" s="8">
        <v>-123.2116</v>
      </c>
    </row>
    <row r="59" spans="1:4" x14ac:dyDescent="0.25">
      <c r="A59" s="9" t="s">
        <v>122</v>
      </c>
      <c r="B59" s="8">
        <v>823247.62670000002</v>
      </c>
      <c r="C59" s="8">
        <v>1091560.2509000001</v>
      </c>
      <c r="D59" s="8">
        <v>-123.2771</v>
      </c>
    </row>
    <row r="60" spans="1:4" x14ac:dyDescent="0.25">
      <c r="A60" s="9" t="s">
        <v>123</v>
      </c>
      <c r="B60" s="8">
        <v>823243.50989999995</v>
      </c>
      <c r="C60" s="8">
        <v>1091558.0674999999</v>
      </c>
      <c r="D60" s="8">
        <v>-123.2971</v>
      </c>
    </row>
    <row r="61" spans="1:4" x14ac:dyDescent="0.25">
      <c r="A61" s="9" t="s">
        <v>124</v>
      </c>
      <c r="B61" s="8">
        <v>823243.45200000005</v>
      </c>
      <c r="C61" s="8">
        <v>1091558.594</v>
      </c>
      <c r="D61" s="8">
        <v>-124.092</v>
      </c>
    </row>
    <row r="62" spans="1:4" x14ac:dyDescent="0.25">
      <c r="A62" s="9" t="s">
        <v>125</v>
      </c>
      <c r="B62" s="8">
        <v>823247.23950000003</v>
      </c>
      <c r="C62" s="8">
        <v>1091560.5567000001</v>
      </c>
      <c r="D62" s="8">
        <v>-124.0643</v>
      </c>
    </row>
    <row r="63" spans="1:4" x14ac:dyDescent="0.25">
      <c r="A63" s="9" t="s">
        <v>126</v>
      </c>
      <c r="B63" s="8">
        <v>823245.73750000005</v>
      </c>
      <c r="C63" s="8">
        <v>1091564.2788</v>
      </c>
      <c r="D63" s="8">
        <v>-123.1664</v>
      </c>
    </row>
    <row r="64" spans="1:4" x14ac:dyDescent="0.25">
      <c r="A64" s="9" t="s">
        <v>127</v>
      </c>
      <c r="B64" s="8">
        <v>823241.46510000003</v>
      </c>
      <c r="C64" s="8">
        <v>1091562.3700999999</v>
      </c>
      <c r="D64" s="8">
        <v>-123.15600000000001</v>
      </c>
    </row>
    <row r="65" spans="1:4" x14ac:dyDescent="0.25">
      <c r="A65" s="9" t="s">
        <v>128</v>
      </c>
      <c r="B65" s="8">
        <v>823240.50580000004</v>
      </c>
      <c r="C65" s="8">
        <v>1091564.6534</v>
      </c>
      <c r="D65" s="8">
        <v>-123.6302</v>
      </c>
    </row>
    <row r="66" spans="1:4" x14ac:dyDescent="0.25">
      <c r="A66" s="9" t="s">
        <v>129</v>
      </c>
      <c r="B66" s="8">
        <v>823244.66480000003</v>
      </c>
      <c r="C66" s="8">
        <v>1091566.4202000001</v>
      </c>
      <c r="D66" s="8">
        <v>-123.62690000000001</v>
      </c>
    </row>
    <row r="67" spans="1:4" x14ac:dyDescent="0.25">
      <c r="A67" s="9" t="s">
        <v>130</v>
      </c>
      <c r="B67" s="8">
        <v>823247.66579999996</v>
      </c>
      <c r="C67" s="8">
        <v>1091559.6457</v>
      </c>
      <c r="D67" s="8">
        <v>-124.2135</v>
      </c>
    </row>
    <row r="68" spans="1:4" x14ac:dyDescent="0.25">
      <c r="A68" s="9" t="s">
        <v>131</v>
      </c>
      <c r="B68" s="8">
        <v>823251.90339999995</v>
      </c>
      <c r="C68" s="8">
        <v>1091540.4772000001</v>
      </c>
      <c r="D68" s="8">
        <v>-124.3263</v>
      </c>
    </row>
    <row r="69" spans="1:4" x14ac:dyDescent="0.25">
      <c r="A69" s="9" t="s">
        <v>132</v>
      </c>
      <c r="B69" s="8">
        <v>823240.59420000005</v>
      </c>
      <c r="C69" s="8">
        <v>1091566.0915999999</v>
      </c>
      <c r="D69" s="8">
        <v>-123.501</v>
      </c>
    </row>
    <row r="70" spans="1:4" x14ac:dyDescent="0.25">
      <c r="A70" s="9" t="s">
        <v>133</v>
      </c>
      <c r="B70" s="8">
        <v>823241.94880000001</v>
      </c>
      <c r="C70" s="8">
        <v>1091566.99</v>
      </c>
      <c r="D70" s="8">
        <v>-123.7128</v>
      </c>
    </row>
    <row r="71" spans="1:4" x14ac:dyDescent="0.25">
      <c r="A71" s="9" t="s">
        <v>134</v>
      </c>
      <c r="B71" s="8">
        <v>823243.51839999994</v>
      </c>
      <c r="C71" s="8">
        <v>1091567.5963000001</v>
      </c>
      <c r="D71" s="8">
        <v>-123.729</v>
      </c>
    </row>
    <row r="72" spans="1:4" x14ac:dyDescent="0.25">
      <c r="A72" s="9" t="s">
        <v>135</v>
      </c>
      <c r="B72" s="8">
        <v>823228.5048</v>
      </c>
      <c r="C72" s="8">
        <v>1091506.0251</v>
      </c>
      <c r="D72" s="8">
        <v>-123.8347</v>
      </c>
    </row>
    <row r="73" spans="1:4" x14ac:dyDescent="0.25">
      <c r="A73" s="9" t="s">
        <v>136</v>
      </c>
      <c r="B73" s="8">
        <v>823229.48770000006</v>
      </c>
      <c r="C73" s="8">
        <v>1091506.2683000001</v>
      </c>
      <c r="D73" s="8">
        <v>-123.8212</v>
      </c>
    </row>
    <row r="74" spans="1:4" x14ac:dyDescent="0.25">
      <c r="A74" s="9" t="s">
        <v>137</v>
      </c>
      <c r="B74" s="8">
        <v>823227.39439999999</v>
      </c>
      <c r="C74" s="8">
        <v>1091510.8248999999</v>
      </c>
      <c r="D74" s="8">
        <v>-123.7901</v>
      </c>
    </row>
    <row r="75" spans="1:4" x14ac:dyDescent="0.25">
      <c r="A75" s="9" t="s">
        <v>138</v>
      </c>
      <c r="B75" s="8">
        <v>823232.82109999994</v>
      </c>
      <c r="C75" s="8">
        <v>1091513.3748000001</v>
      </c>
      <c r="D75" s="8">
        <v>-123.7572</v>
      </c>
    </row>
    <row r="76" spans="1:4" x14ac:dyDescent="0.25">
      <c r="A76" s="9" t="s">
        <v>139</v>
      </c>
      <c r="B76" s="8">
        <v>823234.9388</v>
      </c>
      <c r="C76" s="8">
        <v>1091508.8485999999</v>
      </c>
      <c r="D76" s="8">
        <v>-123.88030000000001</v>
      </c>
    </row>
    <row r="77" spans="1:4" x14ac:dyDescent="0.25">
      <c r="A77" s="9" t="s">
        <v>140</v>
      </c>
      <c r="B77" s="8">
        <v>823236.38119999995</v>
      </c>
      <c r="C77" s="8">
        <v>1091515.2212</v>
      </c>
      <c r="D77" s="8">
        <v>-123.962</v>
      </c>
    </row>
    <row r="78" spans="1:4" x14ac:dyDescent="0.25">
      <c r="A78" s="9" t="s">
        <v>141</v>
      </c>
      <c r="B78" s="8">
        <v>823236.69559999998</v>
      </c>
      <c r="C78" s="8">
        <v>1091515.1295</v>
      </c>
      <c r="D78" s="8">
        <v>-124.736</v>
      </c>
    </row>
    <row r="79" spans="1:4" x14ac:dyDescent="0.25">
      <c r="A79" s="9" t="s">
        <v>142</v>
      </c>
      <c r="B79" s="8">
        <v>823237.16610000003</v>
      </c>
      <c r="C79" s="8">
        <v>1091515.5562</v>
      </c>
      <c r="D79" s="8">
        <v>-123.788</v>
      </c>
    </row>
    <row r="80" spans="1:4" x14ac:dyDescent="0.25">
      <c r="A80" s="9" t="s">
        <v>143</v>
      </c>
      <c r="B80" s="8">
        <v>823239.85820000002</v>
      </c>
      <c r="C80" s="8">
        <v>1091510.1483</v>
      </c>
      <c r="D80" s="8">
        <v>-124.2364</v>
      </c>
    </row>
    <row r="81" spans="1:4" x14ac:dyDescent="0.25">
      <c r="A81" s="9" t="s">
        <v>144</v>
      </c>
      <c r="B81" s="8">
        <v>823238.45429999998</v>
      </c>
      <c r="C81" s="8">
        <v>1091516.0865</v>
      </c>
      <c r="D81" s="8">
        <v>-123.7846</v>
      </c>
    </row>
    <row r="82" spans="1:4" x14ac:dyDescent="0.25">
      <c r="A82" s="9" t="s">
        <v>145</v>
      </c>
      <c r="B82" s="8">
        <v>823238.76580000005</v>
      </c>
      <c r="C82" s="8">
        <v>1091516.3722999999</v>
      </c>
      <c r="D82" s="8">
        <v>-124.0386</v>
      </c>
    </row>
    <row r="83" spans="1:4" x14ac:dyDescent="0.25">
      <c r="A83" s="9" t="s">
        <v>146</v>
      </c>
      <c r="B83" s="8">
        <v>823239.11129999999</v>
      </c>
      <c r="C83" s="8">
        <v>1091516.4778</v>
      </c>
      <c r="D83" s="8">
        <v>-123.818</v>
      </c>
    </row>
    <row r="84" spans="1:4" x14ac:dyDescent="0.25">
      <c r="A84" s="9" t="s">
        <v>147</v>
      </c>
      <c r="B84" s="8">
        <v>823240.64690000005</v>
      </c>
      <c r="C84" s="8">
        <v>1091517.2690999999</v>
      </c>
      <c r="D84" s="8">
        <v>-123.80710000000001</v>
      </c>
    </row>
    <row r="85" spans="1:4" x14ac:dyDescent="0.25">
      <c r="A85" s="9" t="s">
        <v>148</v>
      </c>
      <c r="B85" s="8">
        <v>823242.11970000004</v>
      </c>
      <c r="C85" s="8">
        <v>1091517.7152</v>
      </c>
      <c r="D85" s="8">
        <v>-123.75660000000001</v>
      </c>
    </row>
    <row r="86" spans="1:4" x14ac:dyDescent="0.25">
      <c r="A86" s="9" t="s">
        <v>149</v>
      </c>
      <c r="B86" s="8">
        <v>823244.25730000006</v>
      </c>
      <c r="C86" s="8">
        <v>1091513.1414999999</v>
      </c>
      <c r="D86" s="8">
        <v>-123.81059999999999</v>
      </c>
    </row>
    <row r="87" spans="1:4" x14ac:dyDescent="0.25">
      <c r="A87" s="9" t="s">
        <v>150</v>
      </c>
      <c r="B87" s="8">
        <v>823244.94940000004</v>
      </c>
      <c r="C87" s="8">
        <v>1091513.5867000001</v>
      </c>
      <c r="D87" s="8">
        <v>-124.65860000000001</v>
      </c>
    </row>
    <row r="88" spans="1:4" x14ac:dyDescent="0.25">
      <c r="A88" s="9" t="s">
        <v>151</v>
      </c>
      <c r="B88" s="8">
        <v>823248.7452</v>
      </c>
      <c r="C88" s="8">
        <v>1091515.2827999999</v>
      </c>
      <c r="D88" s="8">
        <v>-123.788</v>
      </c>
    </row>
    <row r="89" spans="1:4" x14ac:dyDescent="0.25">
      <c r="A89" s="9" t="s">
        <v>152</v>
      </c>
      <c r="B89" s="8">
        <v>823246.64269999997</v>
      </c>
      <c r="C89" s="8">
        <v>1091519.8373</v>
      </c>
      <c r="D89" s="8">
        <v>-123.8032</v>
      </c>
    </row>
    <row r="90" spans="1:4" x14ac:dyDescent="0.25">
      <c r="A90" s="9" t="s">
        <v>153</v>
      </c>
      <c r="B90" s="8">
        <v>823249.40890000004</v>
      </c>
      <c r="C90" s="8">
        <v>1091518.2973</v>
      </c>
      <c r="D90" s="8">
        <v>-125.294</v>
      </c>
    </row>
    <row r="91" spans="1:4" x14ac:dyDescent="0.25">
      <c r="A91" s="9" t="s">
        <v>154</v>
      </c>
      <c r="B91" s="8">
        <v>823250.54590000003</v>
      </c>
      <c r="C91" s="8">
        <v>1091521.2537</v>
      </c>
      <c r="D91" s="8">
        <v>-123.6802</v>
      </c>
    </row>
    <row r="92" spans="1:4" x14ac:dyDescent="0.25">
      <c r="A92" s="9" t="s">
        <v>155</v>
      </c>
      <c r="B92" s="8">
        <v>823253.2868</v>
      </c>
      <c r="C92" s="8">
        <v>1091517.3877000001</v>
      </c>
      <c r="D92" s="8">
        <v>-123.7273</v>
      </c>
    </row>
    <row r="93" spans="1:4" x14ac:dyDescent="0.25">
      <c r="A93" s="9" t="s">
        <v>156</v>
      </c>
      <c r="B93" s="8">
        <v>823251.18449999997</v>
      </c>
      <c r="C93" s="8">
        <v>1091521.9361</v>
      </c>
      <c r="D93" s="8">
        <v>-123.6362</v>
      </c>
    </row>
    <row r="94" spans="1:4" x14ac:dyDescent="0.25">
      <c r="A94" s="9" t="s">
        <v>157</v>
      </c>
      <c r="B94" s="8">
        <v>823255.1152</v>
      </c>
      <c r="C94" s="8">
        <v>1091524.1176</v>
      </c>
      <c r="D94" s="8">
        <v>-123.8105</v>
      </c>
    </row>
    <row r="95" spans="1:4" x14ac:dyDescent="0.25">
      <c r="A95" s="9" t="s">
        <v>158</v>
      </c>
      <c r="B95" s="8">
        <v>823258.26500000001</v>
      </c>
      <c r="C95" s="8">
        <v>1091519.93</v>
      </c>
      <c r="D95" s="8">
        <v>-124.86</v>
      </c>
    </row>
    <row r="96" spans="1:4" x14ac:dyDescent="0.25">
      <c r="A96" s="9" t="s">
        <v>159</v>
      </c>
      <c r="B96" s="8">
        <v>823261.11560000002</v>
      </c>
      <c r="C96" s="8">
        <v>1091527.9805000001</v>
      </c>
      <c r="D96" s="8">
        <v>-123.7342</v>
      </c>
    </row>
    <row r="97" spans="1:4" x14ac:dyDescent="0.25">
      <c r="A97" s="9" t="s">
        <v>160</v>
      </c>
      <c r="B97" s="8">
        <v>823264.79110000003</v>
      </c>
      <c r="C97" s="8">
        <v>1091523.0164000001</v>
      </c>
      <c r="D97" s="8">
        <v>-124.76730000000001</v>
      </c>
    </row>
    <row r="98" spans="1:4" x14ac:dyDescent="0.25">
      <c r="A98" s="9" t="s">
        <v>161</v>
      </c>
      <c r="B98" s="8">
        <v>823263.90700000001</v>
      </c>
      <c r="C98" s="8">
        <v>1091527.8467999999</v>
      </c>
      <c r="D98" s="8">
        <v>-124.7039</v>
      </c>
    </row>
    <row r="99" spans="1:4" x14ac:dyDescent="0.25">
      <c r="A99" s="9" t="s">
        <v>162</v>
      </c>
      <c r="B99" s="8">
        <v>823270.07369999995</v>
      </c>
      <c r="C99" s="8">
        <v>1091525.3204999999</v>
      </c>
      <c r="D99" s="8">
        <v>-122.68340000000001</v>
      </c>
    </row>
    <row r="100" spans="1:4" x14ac:dyDescent="0.25">
      <c r="A100" s="9" t="s">
        <v>163</v>
      </c>
      <c r="B100" s="8">
        <v>823268.02529999998</v>
      </c>
      <c r="C100" s="8">
        <v>1091529.7323</v>
      </c>
      <c r="D100" s="8">
        <v>-122.8124</v>
      </c>
    </row>
    <row r="101" spans="1:4" x14ac:dyDescent="0.25">
      <c r="A101" s="9" t="s">
        <v>164</v>
      </c>
      <c r="B101" s="8">
        <v>823270.41540000006</v>
      </c>
      <c r="C101" s="8">
        <v>1091525.196</v>
      </c>
      <c r="D101" s="8">
        <v>-123.1035</v>
      </c>
    </row>
    <row r="102" spans="1:4" x14ac:dyDescent="0.25">
      <c r="A102" s="9" t="s">
        <v>165</v>
      </c>
      <c r="B102" s="8">
        <v>823271.42480000004</v>
      </c>
      <c r="C102" s="8">
        <v>1091525.2109999999</v>
      </c>
      <c r="D102" s="8">
        <v>-122.71210000000001</v>
      </c>
    </row>
    <row r="103" spans="1:4" x14ac:dyDescent="0.25">
      <c r="A103" s="9" t="s">
        <v>166</v>
      </c>
      <c r="B103" s="8">
        <v>823268.8922</v>
      </c>
      <c r="C103" s="8">
        <v>1091530.7072999999</v>
      </c>
      <c r="D103" s="8">
        <v>-122.8296</v>
      </c>
    </row>
    <row r="104" spans="1:4" x14ac:dyDescent="0.25">
      <c r="A104" s="9" t="s">
        <v>167</v>
      </c>
      <c r="B104" s="8">
        <v>823269.4105</v>
      </c>
      <c r="C104" s="8">
        <v>1091531.3228</v>
      </c>
      <c r="D104" s="8">
        <v>-123.14830000000001</v>
      </c>
    </row>
    <row r="105" spans="1:4" x14ac:dyDescent="0.25">
      <c r="A105" s="9" t="s">
        <v>168</v>
      </c>
      <c r="B105" s="8">
        <v>823269.87730000005</v>
      </c>
      <c r="C105" s="8">
        <v>1091531.6348000001</v>
      </c>
      <c r="D105" s="8">
        <v>-122.10590000000001</v>
      </c>
    </row>
    <row r="106" spans="1:4" x14ac:dyDescent="0.25">
      <c r="A106" s="9" t="s">
        <v>169</v>
      </c>
      <c r="B106" s="8">
        <v>823272.64899999998</v>
      </c>
      <c r="C106" s="8">
        <v>1091525.4545</v>
      </c>
      <c r="D106" s="8">
        <v>-122.1447</v>
      </c>
    </row>
    <row r="107" spans="1:4" x14ac:dyDescent="0.25">
      <c r="A107" s="9" t="s">
        <v>170</v>
      </c>
      <c r="B107" s="8">
        <v>823273.41299999994</v>
      </c>
      <c r="C107" s="8">
        <v>1091525.3389999999</v>
      </c>
      <c r="D107" s="8">
        <v>-124.32599999999999</v>
      </c>
    </row>
    <row r="108" spans="1:4" x14ac:dyDescent="0.25">
      <c r="A108" s="9" t="s">
        <v>171</v>
      </c>
      <c r="B108" s="8">
        <v>823273.81519999995</v>
      </c>
      <c r="C108" s="8">
        <v>1091525.577</v>
      </c>
      <c r="D108" s="8">
        <v>-124.81570000000001</v>
      </c>
    </row>
    <row r="109" spans="1:4" x14ac:dyDescent="0.25">
      <c r="A109" s="9" t="s">
        <v>172</v>
      </c>
      <c r="B109" s="8">
        <v>823276.14069999999</v>
      </c>
      <c r="C109" s="8">
        <v>1091525.7509999999</v>
      </c>
      <c r="D109" s="8">
        <v>-122.0694</v>
      </c>
    </row>
    <row r="110" spans="1:4" x14ac:dyDescent="0.25">
      <c r="A110" s="9" t="s">
        <v>173</v>
      </c>
      <c r="B110" s="8">
        <v>823272.37309999997</v>
      </c>
      <c r="C110" s="8">
        <v>1091534.0859000001</v>
      </c>
      <c r="D110" s="8">
        <v>-121.9131</v>
      </c>
    </row>
    <row r="111" spans="1:4" x14ac:dyDescent="0.25">
      <c r="A111" s="9" t="s">
        <v>174</v>
      </c>
      <c r="B111" s="8">
        <v>823276.80039999995</v>
      </c>
      <c r="C111" s="8">
        <v>1091526.8943</v>
      </c>
      <c r="D111" s="8">
        <v>-125.26730000000001</v>
      </c>
    </row>
    <row r="112" spans="1:4" x14ac:dyDescent="0.25">
      <c r="A112" s="9" t="s">
        <v>175</v>
      </c>
      <c r="B112" s="8">
        <v>823275.13500000001</v>
      </c>
      <c r="C112" s="8">
        <v>1091535.3862999999</v>
      </c>
      <c r="D112" s="8">
        <v>-121.9526</v>
      </c>
    </row>
    <row r="113" spans="1:4" x14ac:dyDescent="0.25">
      <c r="A113" s="9" t="s">
        <v>176</v>
      </c>
      <c r="B113" s="8">
        <v>823279.00809999998</v>
      </c>
      <c r="C113" s="8">
        <v>1091527.1003</v>
      </c>
      <c r="D113" s="8">
        <v>-121.8977</v>
      </c>
    </row>
    <row r="114" spans="1:4" x14ac:dyDescent="0.25">
      <c r="A114" s="9" t="s">
        <v>177</v>
      </c>
      <c r="B114" s="8">
        <v>823275.29110000003</v>
      </c>
      <c r="C114" s="8">
        <v>1091534.8810000001</v>
      </c>
      <c r="D114" s="8">
        <v>-125.04389999999999</v>
      </c>
    </row>
    <row r="115" spans="1:4" x14ac:dyDescent="0.25">
      <c r="A115" s="9" t="s">
        <v>178</v>
      </c>
      <c r="B115" s="8">
        <v>823280.86930000002</v>
      </c>
      <c r="C115" s="8">
        <v>1091527.9582</v>
      </c>
      <c r="D115" s="8">
        <v>-121.9478</v>
      </c>
    </row>
    <row r="116" spans="1:4" x14ac:dyDescent="0.25">
      <c r="A116" s="9" t="s">
        <v>179</v>
      </c>
      <c r="B116" s="8">
        <v>823277.13089999999</v>
      </c>
      <c r="C116" s="8">
        <v>1091536.3509</v>
      </c>
      <c r="D116" s="8">
        <v>-121.99290000000001</v>
      </c>
    </row>
    <row r="117" spans="1:4" x14ac:dyDescent="0.25">
      <c r="A117" s="9" t="s">
        <v>180</v>
      </c>
      <c r="B117" s="8">
        <v>823282.75</v>
      </c>
      <c r="C117" s="8">
        <v>1091528.8485000001</v>
      </c>
      <c r="D117" s="8">
        <v>-122.0916</v>
      </c>
    </row>
    <row r="118" spans="1:4" x14ac:dyDescent="0.25">
      <c r="A118" s="9" t="s">
        <v>181</v>
      </c>
      <c r="B118" s="8">
        <v>823278.89580000006</v>
      </c>
      <c r="C118" s="8">
        <v>1091537.1394</v>
      </c>
      <c r="D118" s="8">
        <v>-122.0128</v>
      </c>
    </row>
    <row r="119" spans="1:4" x14ac:dyDescent="0.25">
      <c r="A119" s="9" t="s">
        <v>182</v>
      </c>
      <c r="B119" s="8">
        <v>823281.22900000005</v>
      </c>
      <c r="C119" s="8">
        <v>1091538.1274999999</v>
      </c>
      <c r="D119" s="8">
        <v>-121.41459999999999</v>
      </c>
    </row>
    <row r="120" spans="1:4" x14ac:dyDescent="0.25">
      <c r="A120" s="9" t="s">
        <v>183</v>
      </c>
      <c r="B120" s="8">
        <v>823284.97360000003</v>
      </c>
      <c r="C120" s="8">
        <v>1091529.9638</v>
      </c>
      <c r="D120" s="8">
        <v>-121.4067</v>
      </c>
    </row>
    <row r="121" spans="1:4" x14ac:dyDescent="0.25">
      <c r="A121" s="9" t="s">
        <v>184</v>
      </c>
      <c r="B121" s="8">
        <v>823282.24899999995</v>
      </c>
      <c r="C121" s="8">
        <v>1091537.9080000001</v>
      </c>
      <c r="D121" s="8">
        <v>-125.21299999999999</v>
      </c>
    </row>
    <row r="122" spans="1:4" x14ac:dyDescent="0.25">
      <c r="A122" s="9" t="s">
        <v>185</v>
      </c>
      <c r="B122" s="8">
        <v>823287.25199999998</v>
      </c>
      <c r="C122" s="8">
        <v>1091531.0164999999</v>
      </c>
      <c r="D122" s="8">
        <v>-121.667</v>
      </c>
    </row>
    <row r="123" spans="1:4" x14ac:dyDescent="0.25">
      <c r="A123" s="9" t="s">
        <v>186</v>
      </c>
      <c r="B123" s="8">
        <v>823283.54850000003</v>
      </c>
      <c r="C123" s="8">
        <v>1091539.3325</v>
      </c>
      <c r="D123" s="8">
        <v>-121.8073</v>
      </c>
    </row>
    <row r="124" spans="1:4" x14ac:dyDescent="0.25">
      <c r="A124" s="9" t="s">
        <v>188</v>
      </c>
      <c r="B124" s="8">
        <v>823289.28940000001</v>
      </c>
      <c r="C124" s="8">
        <v>1091531.925</v>
      </c>
      <c r="D124" s="8">
        <v>-121.5535</v>
      </c>
    </row>
    <row r="125" spans="1:4" x14ac:dyDescent="0.25">
      <c r="A125" s="9" t="s">
        <v>189</v>
      </c>
      <c r="B125" s="8">
        <v>823285.47889999999</v>
      </c>
      <c r="C125" s="8">
        <v>1091540.2290000001</v>
      </c>
      <c r="D125" s="8">
        <v>-121.58159999999999</v>
      </c>
    </row>
    <row r="126" spans="1:4" x14ac:dyDescent="0.25">
      <c r="A126" s="9" t="s">
        <v>190</v>
      </c>
      <c r="B126" s="8">
        <v>823292.95819999999</v>
      </c>
      <c r="C126" s="8">
        <v>1091533.6828999999</v>
      </c>
      <c r="D126" s="8">
        <v>-121.4644</v>
      </c>
    </row>
    <row r="127" spans="1:4" x14ac:dyDescent="0.25">
      <c r="A127" s="9" t="s">
        <v>191</v>
      </c>
      <c r="B127" s="8">
        <v>823289.03830000001</v>
      </c>
      <c r="C127" s="8">
        <v>1091541.8398</v>
      </c>
      <c r="D127" s="8">
        <v>-121.60290000000001</v>
      </c>
    </row>
    <row r="128" spans="1:4" x14ac:dyDescent="0.25">
      <c r="A128" s="9" t="s">
        <v>192</v>
      </c>
      <c r="B128" s="8">
        <v>823296.446</v>
      </c>
      <c r="C128" s="8">
        <v>1091535.3034000001</v>
      </c>
      <c r="D128" s="8">
        <v>-121.4079</v>
      </c>
    </row>
    <row r="129" spans="1:4" x14ac:dyDescent="0.25">
      <c r="A129" s="9" t="s">
        <v>193</v>
      </c>
      <c r="B129" s="8">
        <v>823292.73600000003</v>
      </c>
      <c r="C129" s="8">
        <v>1091543.4734</v>
      </c>
      <c r="D129" s="8">
        <v>-121.199</v>
      </c>
    </row>
    <row r="130" spans="1:4" x14ac:dyDescent="0.25">
      <c r="A130" s="9" t="s">
        <v>194</v>
      </c>
      <c r="B130" s="8">
        <v>823267.30779999995</v>
      </c>
      <c r="C130" s="8">
        <v>1091529.3964</v>
      </c>
      <c r="D130" s="8">
        <v>-124.6129</v>
      </c>
    </row>
    <row r="131" spans="1:4" x14ac:dyDescent="0.25">
      <c r="A131" s="9" t="s">
        <v>195</v>
      </c>
      <c r="B131" s="8">
        <v>823301.71499999997</v>
      </c>
      <c r="C131" s="8">
        <v>1091546.1795000001</v>
      </c>
      <c r="D131" s="8">
        <v>-121.1031</v>
      </c>
    </row>
    <row r="132" spans="1:4" x14ac:dyDescent="0.25">
      <c r="A132" s="9" t="s">
        <v>196</v>
      </c>
      <c r="B132" s="8">
        <v>823302.24410000001</v>
      </c>
      <c r="C132" s="8">
        <v>1091545.4376000001</v>
      </c>
      <c r="D132" s="8">
        <v>-121.90349999999999</v>
      </c>
    </row>
    <row r="133" spans="1:4" x14ac:dyDescent="0.25">
      <c r="A133" s="9" t="s">
        <v>197</v>
      </c>
      <c r="B133" s="8">
        <v>823303.1459</v>
      </c>
      <c r="C133" s="8">
        <v>1091543.4620999999</v>
      </c>
      <c r="D133" s="8">
        <v>-120.9564</v>
      </c>
    </row>
    <row r="134" spans="1:4" x14ac:dyDescent="0.25">
      <c r="A134" s="9" t="s">
        <v>198</v>
      </c>
      <c r="B134" s="8">
        <v>823304.1078</v>
      </c>
      <c r="C134" s="8">
        <v>1091540.9294</v>
      </c>
      <c r="D134" s="8">
        <v>-121.57729999999999</v>
      </c>
    </row>
    <row r="135" spans="1:4" x14ac:dyDescent="0.25">
      <c r="A135" s="9" t="s">
        <v>199</v>
      </c>
      <c r="B135" s="8">
        <v>823304.21640000003</v>
      </c>
      <c r="C135" s="8">
        <v>1091540.2542000001</v>
      </c>
      <c r="D135" s="8">
        <v>-120.89400000000001</v>
      </c>
    </row>
    <row r="136" spans="1:4" x14ac:dyDescent="0.25">
      <c r="A136" s="9" t="s">
        <v>200</v>
      </c>
      <c r="B136" s="8">
        <v>823193.95200000005</v>
      </c>
      <c r="C136" s="8">
        <v>1091494.392</v>
      </c>
      <c r="D136" s="8">
        <v>-125.4319</v>
      </c>
    </row>
    <row r="137" spans="1:4" x14ac:dyDescent="0.25">
      <c r="A137" s="9" t="s">
        <v>226</v>
      </c>
      <c r="B137" s="8">
        <v>823296.24</v>
      </c>
      <c r="C137" s="8">
        <v>1091543.2479999999</v>
      </c>
      <c r="D137" s="8">
        <v>-118.724</v>
      </c>
    </row>
    <row r="138" spans="1:4" x14ac:dyDescent="0.25">
      <c r="A138" s="9" t="s">
        <v>227</v>
      </c>
      <c r="B138" s="8">
        <v>823297.41299999994</v>
      </c>
      <c r="C138" s="8">
        <v>1091540.7579999999</v>
      </c>
      <c r="D138" s="8">
        <v>-117.84699999999999</v>
      </c>
    </row>
    <row r="139" spans="1:4" x14ac:dyDescent="0.25">
      <c r="A139" s="9" t="s">
        <v>228</v>
      </c>
      <c r="B139" s="8">
        <v>823298.571</v>
      </c>
      <c r="C139" s="8">
        <v>1091538.2379999999</v>
      </c>
      <c r="D139" s="8">
        <v>-118.694</v>
      </c>
    </row>
    <row r="140" spans="1:4" x14ac:dyDescent="0.25">
      <c r="A140" s="9" t="s">
        <v>229</v>
      </c>
      <c r="B140" s="8">
        <v>823267.96299999999</v>
      </c>
      <c r="C140" s="8">
        <v>1091529.932</v>
      </c>
      <c r="D140" s="8">
        <v>-123.626</v>
      </c>
    </row>
    <row r="141" spans="1:4" x14ac:dyDescent="0.25">
      <c r="A141" s="9" t="s">
        <v>230</v>
      </c>
      <c r="B141" s="8">
        <v>823270.29599999997</v>
      </c>
      <c r="C141" s="8">
        <v>1091532.5120000001</v>
      </c>
      <c r="D141" s="8">
        <v>-122.259</v>
      </c>
    </row>
    <row r="142" spans="1:4" x14ac:dyDescent="0.25">
      <c r="A142" s="9" t="s">
        <v>231</v>
      </c>
      <c r="B142" s="8">
        <v>823271.696</v>
      </c>
      <c r="C142" s="8">
        <v>1091533.983</v>
      </c>
      <c r="D142" s="8">
        <v>-122.10899999999999</v>
      </c>
    </row>
    <row r="143" spans="1:4" x14ac:dyDescent="0.25">
      <c r="A143" s="9" t="s">
        <v>232</v>
      </c>
      <c r="B143" s="8">
        <v>823270.21600000001</v>
      </c>
      <c r="C143" s="8">
        <v>1091525.0900000001</v>
      </c>
      <c r="D143" s="8">
        <v>-123.53700000000001</v>
      </c>
    </row>
    <row r="144" spans="1:4" x14ac:dyDescent="0.25">
      <c r="A144" s="9" t="s">
        <v>233</v>
      </c>
      <c r="B144" s="8">
        <v>823271.84900000005</v>
      </c>
      <c r="C144" s="8">
        <v>1091525.2450000001</v>
      </c>
      <c r="D144" s="8">
        <v>-122.54300000000001</v>
      </c>
    </row>
    <row r="145" spans="1:4" x14ac:dyDescent="0.25">
      <c r="A145" s="9" t="s">
        <v>234</v>
      </c>
      <c r="B145" s="8">
        <v>823273.67200000002</v>
      </c>
      <c r="C145" s="8">
        <v>1091525.2109999999</v>
      </c>
      <c r="D145" s="8">
        <v>-122.354</v>
      </c>
    </row>
    <row r="146" spans="1:4" x14ac:dyDescent="0.25">
      <c r="A146" s="9" t="s">
        <v>235</v>
      </c>
      <c r="B146" s="8">
        <v>823275.65399999998</v>
      </c>
      <c r="C146" s="8">
        <v>1091525.246</v>
      </c>
      <c r="D146" s="8">
        <v>-122.16500000000001</v>
      </c>
    </row>
    <row r="147" spans="1:4" x14ac:dyDescent="0.25">
      <c r="A147" s="9" t="s">
        <v>236</v>
      </c>
      <c r="B147" s="8">
        <v>823266.77</v>
      </c>
      <c r="C147" s="8">
        <v>1091529.44</v>
      </c>
      <c r="D147" s="8">
        <v>-123.312</v>
      </c>
    </row>
    <row r="148" spans="1:4" x14ac:dyDescent="0.25">
      <c r="A148" s="9" t="s">
        <v>237</v>
      </c>
      <c r="B148" s="8">
        <v>823264.05799999996</v>
      </c>
      <c r="C148" s="8">
        <v>1091528.1629999999</v>
      </c>
      <c r="D148" s="8">
        <v>-123.505</v>
      </c>
    </row>
    <row r="149" spans="1:4" x14ac:dyDescent="0.25">
      <c r="A149" s="9" t="s">
        <v>238</v>
      </c>
      <c r="B149" s="8">
        <v>823269.21100000001</v>
      </c>
      <c r="C149" s="8">
        <v>1091531.0360000001</v>
      </c>
      <c r="D149" s="8">
        <v>-124.297</v>
      </c>
    </row>
    <row r="150" spans="1:4" x14ac:dyDescent="0.25">
      <c r="A150" s="9" t="s">
        <v>239</v>
      </c>
      <c r="B150" s="8">
        <v>823270.95400000003</v>
      </c>
      <c r="C150" s="8">
        <v>1091532.997</v>
      </c>
      <c r="D150" s="8">
        <v>-124.729</v>
      </c>
    </row>
    <row r="151" spans="1:4" x14ac:dyDescent="0.25">
      <c r="A151" s="9" t="s">
        <v>240</v>
      </c>
      <c r="B151" s="8">
        <v>823269.005</v>
      </c>
      <c r="C151" s="8">
        <v>1091524.611</v>
      </c>
      <c r="D151" s="8">
        <v>-123.967</v>
      </c>
    </row>
    <row r="152" spans="1:4" x14ac:dyDescent="0.25">
      <c r="A152" s="9" t="s">
        <v>241</v>
      </c>
      <c r="B152" s="8">
        <v>823265.41700000002</v>
      </c>
      <c r="C152" s="8">
        <v>1091522.8700000001</v>
      </c>
      <c r="D152" s="8">
        <v>-123.57599999999999</v>
      </c>
    </row>
    <row r="153" spans="1:4" x14ac:dyDescent="0.25">
      <c r="A153" s="9" t="s">
        <v>242</v>
      </c>
      <c r="B153" s="8">
        <v>823270.86899999995</v>
      </c>
      <c r="C153" s="8">
        <v>1091525.612</v>
      </c>
      <c r="D153" s="8">
        <v>-124.819</v>
      </c>
    </row>
    <row r="154" spans="1:4" x14ac:dyDescent="0.25">
      <c r="A154" s="9" t="s">
        <v>243</v>
      </c>
      <c r="B154" s="8">
        <v>823274.39020000002</v>
      </c>
      <c r="C154" s="8">
        <v>1091525.6136</v>
      </c>
      <c r="D154" s="8">
        <v>-125.17140000000001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O105"/>
  <sheetViews>
    <sheetView tabSelected="1" workbookViewId="0">
      <selection activeCell="K7" sqref="K7"/>
    </sheetView>
  </sheetViews>
  <sheetFormatPr baseColWidth="10" defaultRowHeight="15" x14ac:dyDescent="0.25"/>
  <cols>
    <col min="1" max="4" width="19" customWidth="1"/>
    <col min="12" max="12" width="11.42578125" style="5" customWidth="1"/>
    <col min="13" max="15" width="15.140625" style="5" customWidth="1"/>
  </cols>
  <sheetData>
    <row r="1" spans="1:15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15" x14ac:dyDescent="0.25">
      <c r="A2" s="30" t="s">
        <v>24</v>
      </c>
      <c r="B2" s="31">
        <v>823268.98869999999</v>
      </c>
      <c r="C2" s="31">
        <v>1091530.5759000001</v>
      </c>
      <c r="D2" s="31">
        <v>-124.2641</v>
      </c>
    </row>
    <row r="3" spans="1:15" x14ac:dyDescent="0.25">
      <c r="A3" s="30" t="s">
        <v>27</v>
      </c>
      <c r="B3" s="31">
        <v>823271.31480000005</v>
      </c>
      <c r="C3" s="31">
        <v>1091525.4783000001</v>
      </c>
      <c r="D3" s="31">
        <v>-124.3087</v>
      </c>
      <c r="M3" s="6"/>
      <c r="N3" s="6"/>
      <c r="O3" s="6"/>
    </row>
    <row r="4" spans="1:15" x14ac:dyDescent="0.25">
      <c r="A4" s="30" t="s">
        <v>408</v>
      </c>
      <c r="B4" s="31">
        <v>823288.87239999999</v>
      </c>
      <c r="C4" s="31">
        <v>1091532.6170000001</v>
      </c>
      <c r="D4" s="31">
        <v>-125.34529999999999</v>
      </c>
      <c r="M4" s="6"/>
      <c r="N4" s="6"/>
      <c r="O4" s="6"/>
    </row>
    <row r="5" spans="1:15" x14ac:dyDescent="0.25">
      <c r="A5" s="30" t="s">
        <v>407</v>
      </c>
      <c r="B5" s="31">
        <v>823285.7659</v>
      </c>
      <c r="C5" s="31">
        <v>1091539.4590500002</v>
      </c>
      <c r="D5" s="31">
        <v>-125.2621</v>
      </c>
      <c r="M5" s="6"/>
      <c r="N5" s="6"/>
      <c r="O5" s="6"/>
    </row>
    <row r="6" spans="1:15" x14ac:dyDescent="0.25">
      <c r="A6" s="30" t="s">
        <v>409</v>
      </c>
      <c r="B6" s="31">
        <v>823289.33539999998</v>
      </c>
      <c r="C6" s="31">
        <v>1091541.1063999999</v>
      </c>
      <c r="D6" s="31">
        <v>-125.2529</v>
      </c>
      <c r="M6" s="6"/>
      <c r="N6" s="6"/>
      <c r="O6" s="6"/>
    </row>
    <row r="7" spans="1:15" x14ac:dyDescent="0.25">
      <c r="A7" s="30" t="s">
        <v>410</v>
      </c>
      <c r="B7" s="31">
        <v>823292.41220000002</v>
      </c>
      <c r="C7" s="31">
        <v>1091534.3559999999</v>
      </c>
      <c r="D7" s="31">
        <v>-125.4661</v>
      </c>
      <c r="M7" s="6"/>
      <c r="N7" s="6"/>
      <c r="O7" s="6"/>
    </row>
    <row r="8" spans="1:15" x14ac:dyDescent="0.25">
      <c r="A8" s="30" t="s">
        <v>412</v>
      </c>
      <c r="B8" s="31">
        <v>823295.27390000003</v>
      </c>
      <c r="C8" s="31">
        <v>1091535.7505999999</v>
      </c>
      <c r="D8" s="31">
        <v>-125.3968</v>
      </c>
      <c r="M8" s="6"/>
      <c r="N8" s="6"/>
      <c r="O8" s="6"/>
    </row>
    <row r="9" spans="1:15" x14ac:dyDescent="0.25">
      <c r="A9" s="30" t="s">
        <v>411</v>
      </c>
      <c r="B9" s="31">
        <v>823292.32550000004</v>
      </c>
      <c r="C9" s="31">
        <v>1091542.4053</v>
      </c>
      <c r="D9" s="31">
        <v>-125.3531</v>
      </c>
      <c r="M9" s="6"/>
      <c r="N9" s="6"/>
      <c r="O9" s="6"/>
    </row>
    <row r="10" spans="1:15" x14ac:dyDescent="0.25">
      <c r="A10" s="30" t="s">
        <v>59</v>
      </c>
      <c r="B10" s="31">
        <v>823266.44689999998</v>
      </c>
      <c r="C10" s="31">
        <v>1091528.835</v>
      </c>
      <c r="D10" s="31">
        <v>-124.6861</v>
      </c>
      <c r="F10" t="str">
        <f>A10&amp;".4"</f>
        <v>S1051.4</v>
      </c>
      <c r="M10" s="6"/>
      <c r="N10" s="6"/>
      <c r="O10" s="6"/>
    </row>
    <row r="11" spans="1:15" x14ac:dyDescent="0.25">
      <c r="A11" s="30" t="s">
        <v>61</v>
      </c>
      <c r="B11" s="31">
        <v>823266.33950000012</v>
      </c>
      <c r="C11" s="31">
        <v>1091529.037</v>
      </c>
      <c r="D11" s="31">
        <v>-123.096</v>
      </c>
      <c r="F11" t="str">
        <f t="shared" ref="F11:F34" si="0">A11&amp;".4"</f>
        <v>S1052.4</v>
      </c>
    </row>
    <row r="12" spans="1:15" x14ac:dyDescent="0.25">
      <c r="A12" s="30" t="s">
        <v>62</v>
      </c>
      <c r="B12" s="31">
        <v>823267.44909999997</v>
      </c>
      <c r="C12" s="31">
        <v>1091526.5933999999</v>
      </c>
      <c r="D12" s="31">
        <v>-121.00709999999999</v>
      </c>
      <c r="F12" t="str">
        <f t="shared" si="0"/>
        <v>S1053.4</v>
      </c>
    </row>
    <row r="13" spans="1:15" x14ac:dyDescent="0.25">
      <c r="A13" s="30" t="s">
        <v>64</v>
      </c>
      <c r="B13" s="31">
        <v>823268.60329999996</v>
      </c>
      <c r="C13" s="31">
        <v>1091524.5222</v>
      </c>
      <c r="D13" s="31">
        <v>-123.03740000000001</v>
      </c>
      <c r="F13" t="str">
        <f t="shared" si="0"/>
        <v>S1054.4</v>
      </c>
    </row>
    <row r="14" spans="1:15" x14ac:dyDescent="0.25">
      <c r="A14" s="30" t="s">
        <v>66</v>
      </c>
      <c r="B14" s="31">
        <v>823268.39080000005</v>
      </c>
      <c r="C14" s="31">
        <v>1091524.6169</v>
      </c>
      <c r="D14" s="31">
        <v>-124.76139999999999</v>
      </c>
      <c r="F14" t="str">
        <f t="shared" si="0"/>
        <v>S1055.4</v>
      </c>
    </row>
    <row r="15" spans="1:15" x14ac:dyDescent="0.25">
      <c r="A15" s="30" t="s">
        <v>68</v>
      </c>
      <c r="B15" s="31">
        <v>823270.08217499999</v>
      </c>
      <c r="C15" s="31">
        <v>1091531.7966875001</v>
      </c>
      <c r="D15" s="31">
        <v>-124.856025</v>
      </c>
      <c r="F15" t="str">
        <f t="shared" si="0"/>
        <v>S0041.4</v>
      </c>
    </row>
    <row r="16" spans="1:15" x14ac:dyDescent="0.25">
      <c r="A16" s="30" t="s">
        <v>72</v>
      </c>
      <c r="B16" s="31">
        <v>823270.17222499999</v>
      </c>
      <c r="C16" s="31">
        <v>1091532.3001999999</v>
      </c>
      <c r="D16" s="31">
        <v>-122.5943875</v>
      </c>
      <c r="F16" t="str">
        <f t="shared" si="0"/>
        <v>S0042.4</v>
      </c>
    </row>
    <row r="17" spans="1:6" x14ac:dyDescent="0.25">
      <c r="A17" s="30" t="s">
        <v>76</v>
      </c>
      <c r="B17" s="31">
        <v>823270.52379999997</v>
      </c>
      <c r="C17" s="31">
        <v>1091531.1721999999</v>
      </c>
      <c r="D17" s="31">
        <v>-120.53830000000001</v>
      </c>
      <c r="F17" t="str">
        <f t="shared" si="0"/>
        <v>S0043.4</v>
      </c>
    </row>
    <row r="18" spans="1:6" x14ac:dyDescent="0.25">
      <c r="A18" s="30" t="s">
        <v>78</v>
      </c>
      <c r="B18" s="31">
        <v>823271.65009999985</v>
      </c>
      <c r="C18" s="31">
        <v>1091528.7235999999</v>
      </c>
      <c r="D18" s="31">
        <v>-119.4295</v>
      </c>
      <c r="F18" t="str">
        <f t="shared" si="0"/>
        <v>S0044.4</v>
      </c>
    </row>
    <row r="19" spans="1:6" x14ac:dyDescent="0.25">
      <c r="A19" s="30" t="s">
        <v>82</v>
      </c>
      <c r="B19" s="31">
        <v>823272.91020000004</v>
      </c>
      <c r="C19" s="31">
        <v>1091526.2801999999</v>
      </c>
      <c r="D19" s="31">
        <v>-120.4074</v>
      </c>
      <c r="F19" t="str">
        <f t="shared" si="0"/>
        <v>S0045.4</v>
      </c>
    </row>
    <row r="20" spans="1:6" x14ac:dyDescent="0.25">
      <c r="A20" s="30" t="s">
        <v>84</v>
      </c>
      <c r="B20" s="31">
        <v>823273.30958750006</v>
      </c>
      <c r="C20" s="31">
        <v>1091525.2717875</v>
      </c>
      <c r="D20" s="31">
        <v>-122.5225875</v>
      </c>
      <c r="F20" t="str">
        <f t="shared" si="0"/>
        <v>S0046.4</v>
      </c>
    </row>
    <row r="21" spans="1:6" x14ac:dyDescent="0.25">
      <c r="A21" s="30" t="s">
        <v>88</v>
      </c>
      <c r="B21" s="31">
        <v>823276.79940000002</v>
      </c>
      <c r="C21" s="31">
        <v>1091535.58445</v>
      </c>
      <c r="D21" s="31">
        <v>-124.8139</v>
      </c>
      <c r="F21" t="str">
        <f t="shared" si="0"/>
        <v>S0151.4</v>
      </c>
    </row>
    <row r="22" spans="1:6" x14ac:dyDescent="0.25">
      <c r="A22" s="30" t="s">
        <v>90</v>
      </c>
      <c r="B22" s="31">
        <v>823276.83984999999</v>
      </c>
      <c r="C22" s="31">
        <v>1091536.2701000001</v>
      </c>
      <c r="D22" s="31">
        <v>-122.4346</v>
      </c>
      <c r="F22" t="str">
        <f t="shared" si="0"/>
        <v>S0152.4</v>
      </c>
    </row>
    <row r="23" spans="1:6" x14ac:dyDescent="0.25">
      <c r="A23" s="30" t="s">
        <v>92</v>
      </c>
      <c r="B23" s="31">
        <v>823277.29614999995</v>
      </c>
      <c r="C23" s="31">
        <v>1091534.9955</v>
      </c>
      <c r="D23" s="31">
        <v>-119.54805</v>
      </c>
      <c r="F23" t="str">
        <f t="shared" si="0"/>
        <v>S0153.4</v>
      </c>
    </row>
    <row r="24" spans="1:6" x14ac:dyDescent="0.25">
      <c r="A24" s="30" t="s">
        <v>94</v>
      </c>
      <c r="B24" s="31">
        <v>823278.79489999998</v>
      </c>
      <c r="C24" s="31">
        <v>1091532.0393999999</v>
      </c>
      <c r="D24" s="31">
        <v>-118.0802</v>
      </c>
      <c r="F24" t="str">
        <f t="shared" si="0"/>
        <v>S0154.4</v>
      </c>
    </row>
    <row r="25" spans="1:6" x14ac:dyDescent="0.25">
      <c r="A25" s="30" t="s">
        <v>96</v>
      </c>
      <c r="B25" s="31">
        <v>823280.14209999994</v>
      </c>
      <c r="C25" s="31">
        <v>1091529.0449999999</v>
      </c>
      <c r="D25" s="31">
        <v>-119.449</v>
      </c>
      <c r="F25" t="str">
        <f t="shared" si="0"/>
        <v>S0155.4</v>
      </c>
    </row>
    <row r="26" spans="1:6" x14ac:dyDescent="0.25">
      <c r="A26" s="30" t="s">
        <v>98</v>
      </c>
      <c r="B26" s="31">
        <v>823280.65804999985</v>
      </c>
      <c r="C26" s="31">
        <v>1091527.9034</v>
      </c>
      <c r="D26" s="31">
        <v>-122.40295</v>
      </c>
      <c r="F26" t="str">
        <f t="shared" si="0"/>
        <v>S0156.4</v>
      </c>
    </row>
    <row r="27" spans="1:6" x14ac:dyDescent="0.25">
      <c r="A27" s="30" t="s">
        <v>100</v>
      </c>
      <c r="B27" s="31">
        <v>823280.12845000008</v>
      </c>
      <c r="C27" s="31">
        <v>1091528.25725</v>
      </c>
      <c r="D27" s="31">
        <v>-124.9059</v>
      </c>
      <c r="F27" t="str">
        <f t="shared" si="0"/>
        <v>S0157.4</v>
      </c>
    </row>
    <row r="28" spans="1:6" x14ac:dyDescent="0.25">
      <c r="A28" s="30" t="s">
        <v>102</v>
      </c>
      <c r="B28" s="31">
        <v>823286.71013749996</v>
      </c>
      <c r="C28" s="31">
        <v>1091540.0598500001</v>
      </c>
      <c r="D28" s="31">
        <v>-124.7967625</v>
      </c>
      <c r="F28" t="str">
        <f t="shared" si="0"/>
        <v>S0281.4</v>
      </c>
    </row>
    <row r="29" spans="1:6" x14ac:dyDescent="0.25">
      <c r="A29" s="30" t="s">
        <v>104</v>
      </c>
      <c r="B29" s="31">
        <v>823286.34402500011</v>
      </c>
      <c r="C29" s="31">
        <v>1091540.729425</v>
      </c>
      <c r="D29" s="31">
        <v>-122.27645</v>
      </c>
      <c r="F29" t="str">
        <f t="shared" si="0"/>
        <v>S0282.4</v>
      </c>
    </row>
    <row r="30" spans="1:6" x14ac:dyDescent="0.25">
      <c r="A30" s="30" t="s">
        <v>106</v>
      </c>
      <c r="B30" s="31">
        <v>823286.7854874999</v>
      </c>
      <c r="C30" s="31">
        <v>1091539.60745</v>
      </c>
      <c r="D30" s="31">
        <v>-119.31095000000001</v>
      </c>
      <c r="F30" t="str">
        <f t="shared" si="0"/>
        <v>S0283.4</v>
      </c>
    </row>
    <row r="31" spans="1:6" x14ac:dyDescent="0.25">
      <c r="A31" s="30" t="s">
        <v>108</v>
      </c>
      <c r="B31" s="31">
        <v>823288.16851250001</v>
      </c>
      <c r="C31" s="31">
        <v>1091536.1961000001</v>
      </c>
      <c r="D31" s="31">
        <v>-118.00971250000001</v>
      </c>
      <c r="F31" t="str">
        <f t="shared" si="0"/>
        <v>S0284.4</v>
      </c>
    </row>
    <row r="32" spans="1:6" x14ac:dyDescent="0.25">
      <c r="A32" s="30" t="s">
        <v>110</v>
      </c>
      <c r="B32" s="31">
        <v>823289.46272499999</v>
      </c>
      <c r="C32" s="31">
        <v>1091533.5490999999</v>
      </c>
      <c r="D32" s="31">
        <v>-119.1386875</v>
      </c>
      <c r="F32" t="str">
        <f t="shared" si="0"/>
        <v>S0285.4</v>
      </c>
    </row>
    <row r="33" spans="1:6" x14ac:dyDescent="0.25">
      <c r="A33" s="30" t="s">
        <v>112</v>
      </c>
      <c r="B33" s="31">
        <v>823290.257675</v>
      </c>
      <c r="C33" s="31">
        <v>1091532.2239375</v>
      </c>
      <c r="D33" s="31">
        <v>-122.31853750000001</v>
      </c>
      <c r="F33" t="str">
        <f t="shared" si="0"/>
        <v>S0286.4</v>
      </c>
    </row>
    <row r="34" spans="1:6" x14ac:dyDescent="0.25">
      <c r="A34" s="30" t="s">
        <v>114</v>
      </c>
      <c r="B34" s="31">
        <v>823290.12271250004</v>
      </c>
      <c r="C34" s="31">
        <v>1091532.8273875001</v>
      </c>
      <c r="D34" s="31">
        <v>-124.7081125</v>
      </c>
      <c r="F34" t="str">
        <f t="shared" si="0"/>
        <v>S0287.4</v>
      </c>
    </row>
    <row r="35" spans="1:6" x14ac:dyDescent="0.25">
      <c r="A35" s="30"/>
      <c r="B35" s="31"/>
      <c r="C35" s="31"/>
      <c r="D35" s="31"/>
    </row>
    <row r="36" spans="1:6" x14ac:dyDescent="0.25">
      <c r="A36" s="30"/>
      <c r="B36" s="31"/>
      <c r="C36" s="31"/>
      <c r="D36" s="31"/>
    </row>
    <row r="37" spans="1:6" x14ac:dyDescent="0.25">
      <c r="A37" s="30"/>
      <c r="B37" s="31"/>
      <c r="C37" s="31"/>
      <c r="D37" s="31"/>
    </row>
    <row r="38" spans="1:6" x14ac:dyDescent="0.25">
      <c r="A38" s="30"/>
      <c r="B38" s="31"/>
      <c r="C38" s="31"/>
      <c r="D38" s="31"/>
    </row>
    <row r="39" spans="1:6" x14ac:dyDescent="0.25">
      <c r="A39" s="11"/>
      <c r="B39" s="12"/>
      <c r="C39" s="12"/>
      <c r="D39" s="12"/>
    </row>
    <row r="40" spans="1:6" x14ac:dyDescent="0.25">
      <c r="A40" s="11"/>
      <c r="B40" s="12"/>
      <c r="C40" s="12"/>
      <c r="D40" s="12"/>
    </row>
    <row r="41" spans="1:6" x14ac:dyDescent="0.25">
      <c r="A41" s="11"/>
      <c r="B41" s="12"/>
      <c r="C41" s="12"/>
      <c r="D41" s="12"/>
    </row>
    <row r="42" spans="1:6" x14ac:dyDescent="0.25">
      <c r="A42" s="11"/>
      <c r="B42" s="12"/>
      <c r="C42" s="12"/>
      <c r="D42" s="12"/>
    </row>
    <row r="43" spans="1:6" x14ac:dyDescent="0.25">
      <c r="A43" s="11"/>
      <c r="B43" s="12"/>
      <c r="C43" s="12"/>
      <c r="D43" s="12"/>
    </row>
    <row r="44" spans="1:6" x14ac:dyDescent="0.25">
      <c r="A44" s="11"/>
      <c r="B44" s="12"/>
      <c r="C44" s="12"/>
      <c r="D44" s="12"/>
    </row>
    <row r="45" spans="1:6" x14ac:dyDescent="0.25">
      <c r="A45" s="11"/>
      <c r="B45" s="12"/>
      <c r="C45" s="12"/>
      <c r="D45" s="12"/>
    </row>
    <row r="46" spans="1:6" x14ac:dyDescent="0.25">
      <c r="A46" s="11"/>
      <c r="B46" s="12"/>
      <c r="C46" s="12"/>
      <c r="D46" s="12"/>
    </row>
    <row r="47" spans="1:6" x14ac:dyDescent="0.25">
      <c r="A47" s="11"/>
      <c r="B47" s="12"/>
      <c r="C47" s="12"/>
      <c r="D47" s="12"/>
    </row>
    <row r="48" spans="1:6" x14ac:dyDescent="0.25">
      <c r="A48" s="11"/>
      <c r="B48" s="12"/>
      <c r="C48" s="12"/>
      <c r="D48" s="12"/>
    </row>
    <row r="49" spans="1:4" x14ac:dyDescent="0.25">
      <c r="A49" s="11"/>
      <c r="B49" s="12"/>
      <c r="C49" s="12"/>
      <c r="D49" s="12"/>
    </row>
    <row r="50" spans="1:4" x14ac:dyDescent="0.25">
      <c r="A50" s="11"/>
      <c r="B50" s="12"/>
      <c r="C50" s="12"/>
      <c r="D50" s="12"/>
    </row>
    <row r="51" spans="1:4" x14ac:dyDescent="0.25">
      <c r="A51" s="11"/>
      <c r="B51" s="12"/>
      <c r="C51" s="12"/>
      <c r="D51" s="12"/>
    </row>
    <row r="52" spans="1:4" x14ac:dyDescent="0.25">
      <c r="A52" s="11"/>
      <c r="B52" s="12"/>
      <c r="C52" s="12"/>
      <c r="D52" s="12"/>
    </row>
    <row r="53" spans="1:4" x14ac:dyDescent="0.25">
      <c r="A53" s="11"/>
      <c r="B53" s="12"/>
      <c r="C53" s="12"/>
      <c r="D53" s="12"/>
    </row>
    <row r="54" spans="1:4" x14ac:dyDescent="0.25">
      <c r="A54" s="11"/>
      <c r="B54" s="12"/>
      <c r="C54" s="12"/>
      <c r="D54" s="12"/>
    </row>
    <row r="55" spans="1:4" x14ac:dyDescent="0.25">
      <c r="A55" s="11"/>
      <c r="B55" s="12"/>
      <c r="C55" s="12"/>
      <c r="D55" s="12"/>
    </row>
    <row r="56" spans="1:4" x14ac:dyDescent="0.25">
      <c r="A56" s="11"/>
      <c r="B56" s="12"/>
      <c r="C56" s="12"/>
      <c r="D56" s="12"/>
    </row>
    <row r="57" spans="1:4" x14ac:dyDescent="0.25">
      <c r="A57" s="11"/>
      <c r="B57" s="12"/>
      <c r="C57" s="12"/>
      <c r="D57" s="12"/>
    </row>
    <row r="58" spans="1:4" x14ac:dyDescent="0.25">
      <c r="A58" s="11"/>
      <c r="B58" s="12"/>
      <c r="C58" s="12"/>
      <c r="D58" s="12"/>
    </row>
    <row r="59" spans="1:4" x14ac:dyDescent="0.25">
      <c r="A59" s="11"/>
      <c r="B59" s="12"/>
      <c r="C59" s="12"/>
      <c r="D59" s="12"/>
    </row>
    <row r="60" spans="1:4" x14ac:dyDescent="0.25">
      <c r="A60" s="11"/>
      <c r="B60" s="12"/>
      <c r="C60" s="12"/>
      <c r="D60" s="12"/>
    </row>
    <row r="61" spans="1:4" x14ac:dyDescent="0.25">
      <c r="A61" s="11"/>
      <c r="B61" s="12"/>
      <c r="C61" s="12"/>
      <c r="D61" s="12"/>
    </row>
    <row r="62" spans="1:4" x14ac:dyDescent="0.25">
      <c r="A62" s="11"/>
      <c r="B62" s="12"/>
      <c r="C62" s="12"/>
      <c r="D62" s="12"/>
    </row>
    <row r="63" spans="1:4" x14ac:dyDescent="0.25">
      <c r="A63" s="11"/>
      <c r="B63" s="12"/>
      <c r="C63" s="12"/>
      <c r="D63" s="12"/>
    </row>
    <row r="64" spans="1:4" x14ac:dyDescent="0.25">
      <c r="A64" s="11"/>
      <c r="B64" s="12"/>
      <c r="C64" s="12"/>
      <c r="D64" s="12"/>
    </row>
    <row r="65" spans="1:4" x14ac:dyDescent="0.25">
      <c r="A65" s="11"/>
      <c r="B65" s="12"/>
      <c r="C65" s="12"/>
      <c r="D65" s="12"/>
    </row>
    <row r="66" spans="1:4" x14ac:dyDescent="0.25">
      <c r="A66" s="11"/>
      <c r="B66" s="12"/>
      <c r="C66" s="12"/>
      <c r="D66" s="12"/>
    </row>
    <row r="67" spans="1:4" x14ac:dyDescent="0.25">
      <c r="A67" s="11"/>
      <c r="B67" s="12"/>
      <c r="C67" s="12"/>
      <c r="D67" s="12"/>
    </row>
    <row r="68" spans="1:4" x14ac:dyDescent="0.25">
      <c r="A68" s="11"/>
      <c r="B68" s="12"/>
      <c r="C68" s="12"/>
      <c r="D68" s="12"/>
    </row>
    <row r="69" spans="1:4" x14ac:dyDescent="0.25">
      <c r="A69" s="11"/>
      <c r="B69" s="12"/>
      <c r="C69" s="12"/>
      <c r="D69" s="12"/>
    </row>
    <row r="70" spans="1:4" x14ac:dyDescent="0.25">
      <c r="A70" s="11"/>
      <c r="B70" s="12"/>
      <c r="C70" s="12"/>
      <c r="D70" s="12"/>
    </row>
    <row r="71" spans="1:4" x14ac:dyDescent="0.25">
      <c r="A71" s="11"/>
      <c r="B71" s="12"/>
      <c r="C71" s="12"/>
      <c r="D71" s="12"/>
    </row>
    <row r="72" spans="1:4" x14ac:dyDescent="0.25">
      <c r="A72" s="11"/>
      <c r="B72" s="12"/>
      <c r="C72" s="12"/>
      <c r="D72" s="12"/>
    </row>
    <row r="73" spans="1:4" x14ac:dyDescent="0.25">
      <c r="A73" s="11"/>
      <c r="B73" s="12"/>
      <c r="C73" s="12"/>
      <c r="D73" s="12"/>
    </row>
    <row r="74" spans="1:4" x14ac:dyDescent="0.25">
      <c r="A74" s="11"/>
      <c r="B74" s="12"/>
      <c r="C74" s="12"/>
      <c r="D74" s="12"/>
    </row>
    <row r="75" spans="1:4" x14ac:dyDescent="0.25">
      <c r="A75" s="11"/>
      <c r="B75" s="12"/>
      <c r="C75" s="12"/>
      <c r="D75" s="12"/>
    </row>
    <row r="76" spans="1:4" x14ac:dyDescent="0.25">
      <c r="A76" s="11"/>
      <c r="B76" s="12"/>
      <c r="C76" s="12"/>
      <c r="D76" s="12"/>
    </row>
    <row r="77" spans="1:4" x14ac:dyDescent="0.25">
      <c r="A77" s="11"/>
      <c r="B77" s="12"/>
      <c r="C77" s="12"/>
      <c r="D77" s="12"/>
    </row>
    <row r="78" spans="1:4" x14ac:dyDescent="0.25">
      <c r="A78" s="11"/>
      <c r="B78" s="12"/>
      <c r="C78" s="12"/>
      <c r="D78" s="12"/>
    </row>
    <row r="79" spans="1:4" x14ac:dyDescent="0.25">
      <c r="A79" s="11"/>
      <c r="B79" s="12"/>
      <c r="C79" s="12"/>
      <c r="D79" s="12"/>
    </row>
    <row r="80" spans="1:4" x14ac:dyDescent="0.25">
      <c r="A80" s="11"/>
      <c r="B80" s="12"/>
      <c r="C80" s="12"/>
      <c r="D80" s="12"/>
    </row>
    <row r="81" spans="1:4" x14ac:dyDescent="0.25">
      <c r="A81" s="11"/>
      <c r="B81" s="12"/>
      <c r="C81" s="12"/>
      <c r="D81" s="12"/>
    </row>
    <row r="82" spans="1:4" x14ac:dyDescent="0.25">
      <c r="A82" s="11"/>
      <c r="B82" s="12"/>
      <c r="C82" s="12"/>
      <c r="D82" s="12"/>
    </row>
    <row r="83" spans="1:4" x14ac:dyDescent="0.25">
      <c r="A83" s="11"/>
      <c r="B83" s="12"/>
      <c r="C83" s="12"/>
      <c r="D83" s="12"/>
    </row>
    <row r="84" spans="1:4" x14ac:dyDescent="0.25">
      <c r="A84" s="11"/>
      <c r="B84" s="12"/>
      <c r="C84" s="12"/>
      <c r="D84" s="12"/>
    </row>
    <row r="85" spans="1:4" x14ac:dyDescent="0.25">
      <c r="A85" s="11"/>
      <c r="B85" s="12"/>
      <c r="C85" s="12"/>
      <c r="D85" s="12"/>
    </row>
    <row r="86" spans="1:4" x14ac:dyDescent="0.25">
      <c r="A86" s="11"/>
      <c r="B86" s="12"/>
      <c r="C86" s="12"/>
      <c r="D86" s="12"/>
    </row>
    <row r="87" spans="1:4" x14ac:dyDescent="0.25">
      <c r="A87" s="11"/>
      <c r="B87" s="12"/>
      <c r="C87" s="12"/>
      <c r="D87" s="12"/>
    </row>
    <row r="88" spans="1:4" x14ac:dyDescent="0.25">
      <c r="A88" s="11"/>
      <c r="B88" s="12"/>
      <c r="C88" s="12"/>
      <c r="D88" s="12"/>
    </row>
    <row r="89" spans="1:4" x14ac:dyDescent="0.25">
      <c r="A89" s="11"/>
      <c r="B89" s="12"/>
      <c r="C89" s="12"/>
      <c r="D89" s="12"/>
    </row>
    <row r="90" spans="1:4" x14ac:dyDescent="0.25">
      <c r="A90" s="11"/>
      <c r="B90" s="12"/>
      <c r="C90" s="12"/>
      <c r="D90" s="12"/>
    </row>
    <row r="91" spans="1:4" x14ac:dyDescent="0.25">
      <c r="A91" s="11"/>
      <c r="B91" s="12"/>
      <c r="C91" s="12"/>
      <c r="D91" s="12"/>
    </row>
    <row r="92" spans="1:4" x14ac:dyDescent="0.25">
      <c r="A92" s="11"/>
      <c r="B92" s="12"/>
      <c r="C92" s="12"/>
      <c r="D92" s="12"/>
    </row>
    <row r="93" spans="1:4" x14ac:dyDescent="0.25">
      <c r="A93" s="11"/>
      <c r="B93" s="12"/>
      <c r="C93" s="12"/>
      <c r="D93" s="12"/>
    </row>
    <row r="94" spans="1:4" x14ac:dyDescent="0.25">
      <c r="A94" s="11"/>
      <c r="B94" s="12"/>
      <c r="C94" s="12"/>
      <c r="D94" s="12"/>
    </row>
    <row r="95" spans="1:4" x14ac:dyDescent="0.25">
      <c r="A95" s="11"/>
      <c r="B95" s="12"/>
      <c r="C95" s="12"/>
      <c r="D95" s="12"/>
    </row>
    <row r="96" spans="1:4" x14ac:dyDescent="0.25">
      <c r="A96" s="11"/>
      <c r="B96" s="12"/>
      <c r="C96" s="12"/>
      <c r="D96" s="12"/>
    </row>
    <row r="97" spans="1:4" x14ac:dyDescent="0.25">
      <c r="A97" s="11"/>
      <c r="B97" s="12"/>
      <c r="C97" s="12"/>
      <c r="D97" s="12"/>
    </row>
    <row r="98" spans="1:4" x14ac:dyDescent="0.25">
      <c r="A98" s="11"/>
      <c r="B98" s="12"/>
      <c r="C98" s="12"/>
      <c r="D98" s="12"/>
    </row>
    <row r="99" spans="1:4" x14ac:dyDescent="0.25">
      <c r="A99" s="11"/>
      <c r="B99" s="12"/>
      <c r="C99" s="12"/>
      <c r="D99" s="12"/>
    </row>
    <row r="100" spans="1:4" x14ac:dyDescent="0.25">
      <c r="A100" s="11"/>
      <c r="B100" s="12"/>
      <c r="C100" s="12"/>
      <c r="D100" s="12"/>
    </row>
    <row r="101" spans="1:4" x14ac:dyDescent="0.25">
      <c r="A101" s="11"/>
      <c r="B101" s="12"/>
      <c r="C101" s="12"/>
      <c r="D101" s="12"/>
    </row>
    <row r="102" spans="1:4" x14ac:dyDescent="0.25">
      <c r="A102" s="11"/>
      <c r="B102" s="12"/>
      <c r="C102" s="12"/>
      <c r="D102" s="12"/>
    </row>
    <row r="103" spans="1:4" x14ac:dyDescent="0.25">
      <c r="A103" s="11"/>
      <c r="B103" s="12"/>
      <c r="C103" s="12"/>
      <c r="D103" s="12"/>
    </row>
    <row r="104" spans="1:4" x14ac:dyDescent="0.25">
      <c r="A104" s="11"/>
      <c r="B104" s="12"/>
      <c r="C104" s="12"/>
      <c r="D104" s="12"/>
    </row>
    <row r="105" spans="1:4" x14ac:dyDescent="0.25">
      <c r="A105" s="11"/>
      <c r="B105" s="12"/>
      <c r="C105" s="12"/>
      <c r="D105" s="12"/>
    </row>
  </sheetData>
  <sortState xmlns:xlrd2="http://schemas.microsoft.com/office/spreadsheetml/2017/richdata2" ref="A2:D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données</vt:lpstr>
      <vt:lpstr>dat</vt:lpstr>
      <vt:lpstr>moy</vt:lpstr>
      <vt:lpstr>axe</vt:lpstr>
      <vt:lpstr>résultat</vt:lpstr>
      <vt:lpstr>Feuil1</vt:lpstr>
      <vt:lpstr>Feuil3</vt:lpstr>
      <vt:lpstr>Feuil2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2025-11-02T20:03:49Z</dcterms:modified>
</cp:coreProperties>
</file>