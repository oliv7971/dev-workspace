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data\20-DEVELOPPEMENT\FREJUS\01-modeles de fichiers à automatiser\"/>
    </mc:Choice>
  </mc:AlternateContent>
  <xr:revisionPtr revIDLastSave="0" documentId="8_{8D89750A-8A32-4889-A552-0541E82478F7}" xr6:coauthVersionLast="47" xr6:coauthVersionMax="47" xr10:uidLastSave="{00000000-0000-0000-0000-000000000000}"/>
  <bookViews>
    <workbookView xWindow="57480" yWindow="-120" windowWidth="25440" windowHeight="15390" tabRatio="626" xr2:uid="{A15A0771-4338-488F-8F80-48EFAA8D51B5}"/>
  </bookViews>
  <sheets>
    <sheet name="tableau" sheetId="1" r:id="rId1"/>
    <sheet name="recap graphique" sheetId="2" r:id="rId2"/>
    <sheet name="graph84mois 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8" i="2" l="1"/>
  <c r="U52" i="1"/>
  <c r="G18" i="2" s="1"/>
  <c r="R52" i="1"/>
  <c r="F18" i="2" s="1"/>
  <c r="O52" i="1"/>
  <c r="E18" i="2" s="1"/>
  <c r="L52" i="1"/>
  <c r="D18" i="2" s="1"/>
  <c r="I52" i="1"/>
  <c r="C18" i="2" s="1"/>
  <c r="F52" i="1"/>
  <c r="B18" i="2" s="1"/>
  <c r="D52" i="1"/>
  <c r="B52" i="1"/>
  <c r="A17" i="2"/>
  <c r="U51" i="1"/>
  <c r="G17" i="2" s="1"/>
  <c r="R51" i="1"/>
  <c r="F17" i="2" s="1"/>
  <c r="O51" i="1"/>
  <c r="E17" i="2" s="1"/>
  <c r="L51" i="1"/>
  <c r="D17" i="2" s="1"/>
  <c r="I51" i="1"/>
  <c r="C17" i="2"/>
  <c r="F51" i="1"/>
  <c r="B17" i="2" s="1"/>
  <c r="D51" i="1"/>
  <c r="B51" i="1"/>
  <c r="A16" i="2"/>
  <c r="C16" i="2"/>
  <c r="U50" i="1"/>
  <c r="G16" i="2" s="1"/>
  <c r="R50" i="1"/>
  <c r="F16" i="2" s="1"/>
  <c r="O50" i="1"/>
  <c r="E16" i="2" s="1"/>
  <c r="L50" i="1"/>
  <c r="D16" i="2"/>
  <c r="I50" i="1"/>
  <c r="F50" i="1"/>
  <c r="B16" i="2"/>
  <c r="B50" i="1"/>
  <c r="D50" i="1"/>
  <c r="A15" i="2"/>
  <c r="F49" i="1"/>
  <c r="B15" i="2" s="1"/>
  <c r="I49" i="1"/>
  <c r="C15" i="2" s="1"/>
  <c r="L49" i="1"/>
  <c r="D15" i="2" s="1"/>
  <c r="O49" i="1"/>
  <c r="E15" i="2" s="1"/>
  <c r="R49" i="1"/>
  <c r="F15" i="2"/>
  <c r="U49" i="1"/>
  <c r="G15" i="2"/>
  <c r="D49" i="1"/>
  <c r="B49" i="1"/>
  <c r="A14" i="2"/>
  <c r="U48" i="1"/>
  <c r="G14" i="2"/>
  <c r="R48" i="1"/>
  <c r="F14" i="2" s="1"/>
  <c r="O48" i="1"/>
  <c r="E14" i="2"/>
  <c r="L48" i="1"/>
  <c r="D14" i="2"/>
  <c r="I48" i="1"/>
  <c r="C14" i="2"/>
  <c r="F48" i="1"/>
  <c r="B14" i="2"/>
  <c r="D48" i="1"/>
  <c r="B48" i="1"/>
  <c r="A13" i="2"/>
  <c r="U47" i="1"/>
  <c r="G13" i="2"/>
  <c r="R47" i="1"/>
  <c r="F13" i="2" s="1"/>
  <c r="O47" i="1"/>
  <c r="E13" i="2" s="1"/>
  <c r="L47" i="1"/>
  <c r="D13" i="2"/>
  <c r="I47" i="1"/>
  <c r="C13" i="2" s="1"/>
  <c r="F47" i="1"/>
  <c r="B13" i="2" s="1"/>
  <c r="D47" i="1"/>
  <c r="B47" i="1"/>
  <c r="A12" i="2"/>
  <c r="A11" i="2"/>
  <c r="U46" i="1"/>
  <c r="G12" i="2"/>
  <c r="R46" i="1"/>
  <c r="F12" i="2" s="1"/>
  <c r="O46" i="1"/>
  <c r="E12" i="2" s="1"/>
  <c r="L46" i="1"/>
  <c r="D12" i="2"/>
  <c r="I46" i="1"/>
  <c r="C12" i="2" s="1"/>
  <c r="F46" i="1"/>
  <c r="B12" i="2" s="1"/>
  <c r="D46" i="1"/>
  <c r="B46" i="1"/>
  <c r="U45" i="1"/>
  <c r="G11" i="2" s="1"/>
  <c r="R45" i="1"/>
  <c r="F11" i="2"/>
  <c r="O45" i="1"/>
  <c r="E11" i="2" s="1"/>
  <c r="L45" i="1"/>
  <c r="D11" i="2" s="1"/>
  <c r="I45" i="1"/>
  <c r="C11" i="2"/>
  <c r="F45" i="1"/>
  <c r="B11" i="2" s="1"/>
  <c r="B45" i="1"/>
  <c r="D45" i="1"/>
  <c r="A10" i="2"/>
  <c r="U44" i="1"/>
  <c r="G10" i="2"/>
  <c r="R44" i="1"/>
  <c r="F10" i="2"/>
  <c r="O44" i="1"/>
  <c r="E10" i="2"/>
  <c r="L44" i="1"/>
  <c r="D10" i="2" s="1"/>
  <c r="I44" i="1"/>
  <c r="C10" i="2"/>
  <c r="F44" i="1"/>
  <c r="B10" i="2"/>
  <c r="D44" i="1"/>
  <c r="B44" i="1"/>
  <c r="A9" i="2"/>
  <c r="U43" i="1"/>
  <c r="G9" i="2" s="1"/>
  <c r="R43" i="1"/>
  <c r="F9" i="2" s="1"/>
  <c r="O43" i="1"/>
  <c r="E9" i="2"/>
  <c r="L43" i="1"/>
  <c r="D9" i="2" s="1"/>
  <c r="I43" i="1"/>
  <c r="C9" i="2"/>
  <c r="F43" i="1"/>
  <c r="B9" i="2" s="1"/>
  <c r="D43" i="1"/>
  <c r="B43" i="1"/>
  <c r="A8" i="2"/>
  <c r="U42" i="1"/>
  <c r="G8" i="2"/>
  <c r="R42" i="1"/>
  <c r="F8" i="2"/>
  <c r="O42" i="1"/>
  <c r="E8" i="2"/>
  <c r="L42" i="1"/>
  <c r="D8" i="2"/>
  <c r="I42" i="1"/>
  <c r="C8" i="2" s="1"/>
  <c r="F42" i="1"/>
  <c r="B8" i="2" s="1"/>
  <c r="B42" i="1"/>
  <c r="D42" i="1"/>
  <c r="A7" i="2"/>
  <c r="U41" i="1"/>
  <c r="G7" i="2" s="1"/>
  <c r="R41" i="1"/>
  <c r="F7" i="2"/>
  <c r="O41" i="1"/>
  <c r="E7" i="2" s="1"/>
  <c r="L41" i="1"/>
  <c r="D7" i="2"/>
  <c r="I41" i="1"/>
  <c r="C7" i="2" s="1"/>
  <c r="F41" i="1"/>
  <c r="B7" i="2"/>
  <c r="B41" i="1"/>
  <c r="D41" i="1"/>
  <c r="A6" i="2"/>
  <c r="U40" i="1"/>
  <c r="G6" i="2"/>
  <c r="R40" i="1"/>
  <c r="F6" i="2"/>
  <c r="O40" i="1"/>
  <c r="E6" i="2"/>
  <c r="L40" i="1"/>
  <c r="D6" i="2"/>
  <c r="I40" i="1"/>
  <c r="C6" i="2"/>
  <c r="F40" i="1"/>
  <c r="B6" i="2" s="1"/>
  <c r="B40" i="1"/>
  <c r="D40" i="1"/>
  <c r="A5" i="2"/>
  <c r="U39" i="1"/>
  <c r="G5" i="2"/>
  <c r="R39" i="1"/>
  <c r="F5" i="2" s="1"/>
  <c r="O39" i="1"/>
  <c r="E5" i="2"/>
  <c r="L39" i="1"/>
  <c r="D5" i="2" s="1"/>
  <c r="I39" i="1"/>
  <c r="C5" i="2"/>
  <c r="F39" i="1"/>
  <c r="B5" i="2" s="1"/>
  <c r="D39" i="1"/>
  <c r="B39" i="1"/>
  <c r="A3" i="2"/>
  <c r="A4" i="2"/>
  <c r="A2" i="2"/>
  <c r="U38" i="1"/>
  <c r="G4" i="2" s="1"/>
  <c r="R38" i="1"/>
  <c r="F4" i="2"/>
  <c r="O38" i="1"/>
  <c r="E4" i="2"/>
  <c r="L38" i="1"/>
  <c r="D4" i="2"/>
  <c r="I38" i="1"/>
  <c r="C4" i="2"/>
  <c r="F38" i="1"/>
  <c r="B4" i="2"/>
  <c r="B38" i="1"/>
  <c r="D38" i="1"/>
  <c r="U37" i="1"/>
  <c r="G3" i="2"/>
  <c r="R37" i="1"/>
  <c r="F3" i="2" s="1"/>
  <c r="O37" i="1"/>
  <c r="E3" i="2"/>
  <c r="L37" i="1"/>
  <c r="D3" i="2"/>
  <c r="I37" i="1"/>
  <c r="C3" i="2"/>
  <c r="F37" i="1"/>
  <c r="B3" i="2"/>
  <c r="D37" i="1"/>
  <c r="B37" i="1"/>
  <c r="U36" i="1"/>
  <c r="G2" i="2" s="1"/>
  <c r="R36" i="1"/>
  <c r="F2" i="2"/>
  <c r="O36" i="1"/>
  <c r="E2" i="2" s="1"/>
  <c r="L36" i="1"/>
  <c r="D2" i="2"/>
  <c r="I36" i="1"/>
  <c r="C2" i="2"/>
  <c r="F36" i="1"/>
  <c r="B2" i="2"/>
  <c r="M13" i="1"/>
  <c r="D36" i="1"/>
  <c r="B36" i="1"/>
</calcChain>
</file>

<file path=xl/sharedStrings.xml><?xml version="1.0" encoding="utf-8"?>
<sst xmlns="http://schemas.openxmlformats.org/spreadsheetml/2006/main" count="83" uniqueCount="24">
  <si>
    <t>CONVERGENCES</t>
  </si>
  <si>
    <t>base 1-2</t>
  </si>
  <si>
    <t>base 1-3</t>
  </si>
  <si>
    <t>base 2-3</t>
  </si>
  <si>
    <t>base 1-4</t>
  </si>
  <si>
    <t>base 2-4</t>
  </si>
  <si>
    <t>Remarques</t>
  </si>
  <si>
    <t>mesures</t>
  </si>
  <si>
    <t>vit</t>
  </si>
  <si>
    <t>Date</t>
  </si>
  <si>
    <t>Jour</t>
  </si>
  <si>
    <t>Heure</t>
  </si>
  <si>
    <t>j/mes</t>
  </si>
  <si>
    <t>LONG</t>
  </si>
  <si>
    <t>CONV</t>
  </si>
  <si>
    <t>MM/J</t>
  </si>
  <si>
    <t>base 3-4</t>
  </si>
  <si>
    <t>nbr. Jours</t>
  </si>
  <si>
    <t>point 0   G.G.C.</t>
  </si>
  <si>
    <t>Anneau du PM  France</t>
  </si>
  <si>
    <t>Anneau du PM  Italie</t>
  </si>
  <si>
    <t>23h</t>
  </si>
  <si>
    <t>Pm nouveau 2011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</si>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</sst>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4" formatCode="ddd"/>
    <numFmt numFmtId="175" formatCode="0.0"/>
    <numFmt numFmtId="184" formatCode="[$-40C]d\-mmm\-yy;@"/>
  </numFmts>
  <fonts count="7" x14ac:knownFonts="1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175" fontId="0" fillId="0" borderId="0" xfId="0" applyNumberFormat="1"/>
    <xf numFmtId="0" fontId="0" fillId="0" borderId="0" xfId="0" applyBorder="1"/>
    <xf numFmtId="0" fontId="0" fillId="0" borderId="0" xfId="0" applyBorder="1" applyAlignment="1">
      <alignment horizontal="center"/>
    </xf>
    <xf numFmtId="175" fontId="0" fillId="0" borderId="0" xfId="0" applyNumberFormat="1" applyBorder="1" applyAlignment="1">
      <alignment horizontal="centerContinuous"/>
    </xf>
    <xf numFmtId="175" fontId="0" fillId="0" borderId="0" xfId="0" applyNumberFormat="1" applyBorder="1" applyAlignment="1">
      <alignment horizontal="center"/>
    </xf>
    <xf numFmtId="175" fontId="0" fillId="0" borderId="1" xfId="0" applyNumberFormat="1" applyBorder="1" applyAlignment="1">
      <alignment horizontal="center"/>
    </xf>
    <xf numFmtId="175" fontId="0" fillId="0" borderId="2" xfId="0" applyNumberFormat="1" applyBorder="1" applyAlignment="1">
      <alignment horizontal="centerContinuous"/>
    </xf>
    <xf numFmtId="175" fontId="0" fillId="0" borderId="3" xfId="0" applyNumberFormat="1" applyBorder="1" applyAlignment="1">
      <alignment horizontal="center"/>
    </xf>
    <xf numFmtId="175" fontId="0" fillId="0" borderId="4" xfId="0" quotePrefix="1" applyNumberFormat="1" applyBorder="1" applyAlignment="1">
      <alignment horizontal="center"/>
    </xf>
    <xf numFmtId="175" fontId="0" fillId="0" borderId="5" xfId="0" quotePrefix="1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175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Continuous"/>
    </xf>
    <xf numFmtId="0" fontId="2" fillId="0" borderId="9" xfId="0" applyFont="1" applyBorder="1" applyAlignment="1">
      <alignment horizontal="centerContinuous"/>
    </xf>
    <xf numFmtId="0" fontId="0" fillId="0" borderId="10" xfId="0" applyBorder="1" applyAlignment="1">
      <alignment horizontal="centerContinuous"/>
    </xf>
    <xf numFmtId="0" fontId="1" fillId="0" borderId="10" xfId="0" applyFont="1" applyBorder="1" applyAlignment="1">
      <alignment horizontal="centerContinuous"/>
    </xf>
    <xf numFmtId="175" fontId="1" fillId="0" borderId="10" xfId="0" applyNumberFormat="1" applyFont="1" applyBorder="1" applyAlignment="1">
      <alignment horizontal="centerContinuous"/>
    </xf>
    <xf numFmtId="175" fontId="0" fillId="0" borderId="10" xfId="0" applyNumberFormat="1" applyBorder="1" applyAlignment="1">
      <alignment horizontal="centerContinuous"/>
    </xf>
    <xf numFmtId="175" fontId="0" fillId="0" borderId="11" xfId="0" applyNumberFormat="1" applyBorder="1" applyAlignment="1">
      <alignment horizontal="centerContinuous"/>
    </xf>
    <xf numFmtId="0" fontId="4" fillId="0" borderId="12" xfId="0" applyFont="1" applyBorder="1" applyAlignment="1">
      <alignment horizontal="centerContinuous"/>
    </xf>
    <xf numFmtId="0" fontId="0" fillId="0" borderId="2" xfId="0" applyBorder="1"/>
    <xf numFmtId="0" fontId="0" fillId="0" borderId="3" xfId="0" applyBorder="1" applyAlignment="1">
      <alignment horizontal="center"/>
    </xf>
    <xf numFmtId="175" fontId="1" fillId="0" borderId="13" xfId="0" applyNumberFormat="1" applyFont="1" applyBorder="1" applyAlignment="1">
      <alignment horizontal="centerContinuous"/>
    </xf>
    <xf numFmtId="175" fontId="0" fillId="0" borderId="14" xfId="0" applyNumberFormat="1" applyBorder="1" applyAlignment="1">
      <alignment horizontal="centerContinuous"/>
    </xf>
    <xf numFmtId="175" fontId="0" fillId="0" borderId="15" xfId="0" applyNumberFormat="1" applyBorder="1" applyAlignment="1">
      <alignment horizontal="center"/>
    </xf>
    <xf numFmtId="175" fontId="1" fillId="0" borderId="13" xfId="0" quotePrefix="1" applyNumberFormat="1" applyFont="1" applyBorder="1" applyAlignment="1">
      <alignment horizontal="centerContinuous"/>
    </xf>
    <xf numFmtId="15" fontId="0" fillId="0" borderId="16" xfId="0" applyNumberFormat="1" applyBorder="1" applyAlignment="1">
      <alignment horizontal="center"/>
    </xf>
    <xf numFmtId="174" fontId="0" fillId="0" borderId="17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175" fontId="0" fillId="0" borderId="19" xfId="0" applyNumberFormat="1" applyBorder="1" applyAlignment="1">
      <alignment horizontal="center"/>
    </xf>
    <xf numFmtId="175" fontId="0" fillId="0" borderId="17" xfId="0" applyNumberFormat="1" applyBorder="1" applyAlignment="1">
      <alignment horizontal="center"/>
    </xf>
    <xf numFmtId="175" fontId="0" fillId="0" borderId="18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175" fontId="1" fillId="0" borderId="9" xfId="0" applyNumberFormat="1" applyFont="1" applyBorder="1" applyAlignment="1">
      <alignment horizontal="centerContinuous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5" fontId="0" fillId="0" borderId="0" xfId="0" applyNumberFormat="1" applyAlignment="1">
      <alignment horizontal="center"/>
    </xf>
    <xf numFmtId="175" fontId="0" fillId="0" borderId="21" xfId="0" applyNumberFormat="1" applyBorder="1" applyAlignment="1">
      <alignment horizontal="center"/>
    </xf>
    <xf numFmtId="175" fontId="0" fillId="0" borderId="22" xfId="0" applyNumberFormat="1" applyBorder="1" applyAlignment="1">
      <alignment horizontal="center"/>
    </xf>
    <xf numFmtId="175" fontId="5" fillId="0" borderId="0" xfId="0" applyNumberFormat="1" applyFont="1"/>
    <xf numFmtId="175" fontId="2" fillId="0" borderId="0" xfId="0" applyNumberFormat="1" applyFont="1"/>
    <xf numFmtId="1" fontId="5" fillId="0" borderId="23" xfId="0" applyNumberFormat="1" applyFont="1" applyBorder="1" applyAlignment="1">
      <alignment horizontal="center"/>
    </xf>
    <xf numFmtId="184" fontId="0" fillId="0" borderId="0" xfId="0" applyNumberFormat="1" applyAlignment="1">
      <alignment horizontal="center"/>
    </xf>
    <xf numFmtId="15" fontId="0" fillId="0" borderId="24" xfId="0" applyNumberFormat="1" applyBorder="1" applyAlignment="1">
      <alignment horizontal="center"/>
    </xf>
    <xf numFmtId="174" fontId="0" fillId="0" borderId="25" xfId="0" applyNumberForma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0" fillId="0" borderId="26" xfId="0" applyBorder="1" applyAlignment="1">
      <alignment horizontal="center"/>
    </xf>
    <xf numFmtId="175" fontId="0" fillId="0" borderId="27" xfId="0" applyNumberFormat="1" applyBorder="1" applyAlignment="1">
      <alignment horizontal="center"/>
    </xf>
    <xf numFmtId="175" fontId="0" fillId="0" borderId="25" xfId="0" applyNumberFormat="1" applyBorder="1" applyAlignment="1">
      <alignment horizontal="center"/>
    </xf>
    <xf numFmtId="175" fontId="0" fillId="0" borderId="26" xfId="0" applyNumberFormat="1" applyBorder="1" applyAlignment="1">
      <alignment horizontal="center"/>
    </xf>
    <xf numFmtId="175" fontId="0" fillId="0" borderId="28" xfId="0" applyNumberFormat="1" applyBorder="1" applyAlignment="1">
      <alignment horizontal="center"/>
    </xf>
    <xf numFmtId="175" fontId="0" fillId="0" borderId="29" xfId="0" applyNumberFormat="1" applyBorder="1" applyAlignment="1">
      <alignment horizontal="center"/>
    </xf>
    <xf numFmtId="0" fontId="0" fillId="0" borderId="30" xfId="0" applyBorder="1" applyAlignment="1">
      <alignment horizontal="center"/>
    </xf>
    <xf numFmtId="15" fontId="0" fillId="0" borderId="31" xfId="0" applyNumberFormat="1" applyBorder="1" applyAlignment="1">
      <alignment horizontal="center"/>
    </xf>
    <xf numFmtId="0" fontId="0" fillId="0" borderId="32" xfId="0" applyBorder="1" applyAlignment="1">
      <alignment horizontal="center"/>
    </xf>
    <xf numFmtId="175" fontId="0" fillId="0" borderId="33" xfId="0" applyNumberFormat="1" applyBorder="1" applyAlignment="1">
      <alignment horizontal="center"/>
    </xf>
    <xf numFmtId="175" fontId="0" fillId="0" borderId="32" xfId="0" applyNumberFormat="1" applyBorder="1" applyAlignment="1">
      <alignment horizontal="center"/>
    </xf>
    <xf numFmtId="175" fontId="0" fillId="0" borderId="34" xfId="0" applyNumberFormat="1" applyBorder="1" applyAlignment="1">
      <alignment horizontal="center"/>
    </xf>
    <xf numFmtId="175" fontId="0" fillId="0" borderId="35" xfId="0" applyNumberFormat="1" applyBorder="1" applyAlignment="1">
      <alignment horizontal="center"/>
    </xf>
    <xf numFmtId="175" fontId="0" fillId="0" borderId="36" xfId="0" applyNumberFormat="1" applyBorder="1" applyAlignment="1">
      <alignment horizontal="center"/>
    </xf>
    <xf numFmtId="0" fontId="0" fillId="0" borderId="37" xfId="0" applyBorder="1" applyAlignment="1">
      <alignment horizontal="center"/>
    </xf>
    <xf numFmtId="175" fontId="5" fillId="0" borderId="23" xfId="0" applyNumberFormat="1" applyFont="1" applyBorder="1" applyAlignment="1">
      <alignment horizontal="center"/>
    </xf>
    <xf numFmtId="0" fontId="0" fillId="0" borderId="2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3451202263083446E-2"/>
          <c:y val="5.1111222029561698E-2"/>
          <c:w val="0.86987270155586982"/>
          <c:h val="0.81333509838346008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'recap graphique'!$B$1</c:f>
              <c:strCache>
                <c:ptCount val="1"/>
                <c:pt idx="0">
                  <c:v>base 1-2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'recap graphique'!$A$2:$A$22</c:f>
              <c:numCache>
                <c:formatCode>[$-40C]d\-mmm\-yy;@</c:formatCode>
                <c:ptCount val="21"/>
                <c:pt idx="0">
                  <c:v>40677</c:v>
                </c:pt>
                <c:pt idx="1">
                  <c:v>41300</c:v>
                </c:pt>
                <c:pt idx="2">
                  <c:v>41957</c:v>
                </c:pt>
                <c:pt idx="3">
                  <c:v>42438</c:v>
                </c:pt>
                <c:pt idx="4">
                  <c:v>42817</c:v>
                </c:pt>
                <c:pt idx="5">
                  <c:v>43117</c:v>
                </c:pt>
                <c:pt idx="6">
                  <c:v>43523</c:v>
                </c:pt>
                <c:pt idx="7">
                  <c:v>43880</c:v>
                </c:pt>
                <c:pt idx="8">
                  <c:v>44160</c:v>
                </c:pt>
                <c:pt idx="9">
                  <c:v>44252</c:v>
                </c:pt>
                <c:pt idx="10">
                  <c:v>44471</c:v>
                </c:pt>
                <c:pt idx="11">
                  <c:v>44636</c:v>
                </c:pt>
                <c:pt idx="12">
                  <c:v>44822</c:v>
                </c:pt>
                <c:pt idx="13">
                  <c:v>45031</c:v>
                </c:pt>
                <c:pt idx="14">
                  <c:v>45350</c:v>
                </c:pt>
                <c:pt idx="15">
                  <c:v>45532</c:v>
                </c:pt>
                <c:pt idx="16">
                  <c:v>45761</c:v>
                </c:pt>
              </c:numCache>
            </c:numRef>
          </c:xVal>
          <c:yVal>
            <c:numRef>
              <c:f>'recap graphique'!$B$2:$B$22</c:f>
              <c:numCache>
                <c:formatCode>0.0</c:formatCode>
                <c:ptCount val="21"/>
                <c:pt idx="0">
                  <c:v>0</c:v>
                </c:pt>
                <c:pt idx="1">
                  <c:v>9.9999999999909051E-2</c:v>
                </c:pt>
                <c:pt idx="2">
                  <c:v>0.31118189455628453</c:v>
                </c:pt>
                <c:pt idx="3">
                  <c:v>0.20000000000027285</c:v>
                </c:pt>
                <c:pt idx="4">
                  <c:v>9.7996341696216405E-2</c:v>
                </c:pt>
                <c:pt idx="5">
                  <c:v>0.70311081564386768</c:v>
                </c:pt>
                <c:pt idx="6">
                  <c:v>0.19452713213104289</c:v>
                </c:pt>
                <c:pt idx="7">
                  <c:v>0.3000000000001819</c:v>
                </c:pt>
                <c:pt idx="8">
                  <c:v>0.5</c:v>
                </c:pt>
                <c:pt idx="9">
                  <c:v>0.39072837543699279</c:v>
                </c:pt>
                <c:pt idx="10">
                  <c:v>0.5</c:v>
                </c:pt>
                <c:pt idx="11">
                  <c:v>0.60599972484533282</c:v>
                </c:pt>
                <c:pt idx="12">
                  <c:v>0.59999999999990905</c:v>
                </c:pt>
                <c:pt idx="13">
                  <c:v>0.70000000000027285</c:v>
                </c:pt>
                <c:pt idx="14">
                  <c:v>0.4766266487890789</c:v>
                </c:pt>
                <c:pt idx="15">
                  <c:v>0.59999999999990905</c:v>
                </c:pt>
                <c:pt idx="16">
                  <c:v>0.59999999999990905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DB-4EB0-8D53-48152EF2441C}"/>
            </c:ext>
          </c:extLst>
        </c:ser>
        <c:ser>
          <c:idx val="1"/>
          <c:order val="1"/>
          <c:tx>
            <c:strRef>
              <c:f>'recap graphique'!$C$1</c:f>
              <c:strCache>
                <c:ptCount val="1"/>
                <c:pt idx="0">
                  <c:v>base 1-3</c:v>
                </c:pt>
              </c:strCache>
            </c:strRef>
          </c:tx>
          <c:spPr>
            <a:ln w="12700">
              <a:solidFill>
                <a:srgbClr val="FF00FF"/>
              </a:solidFill>
              <a:prstDash val="lgDash"/>
            </a:ln>
          </c:spPr>
          <c:marker>
            <c:symbol val="none"/>
          </c:marker>
          <c:xVal>
            <c:numRef>
              <c:f>'recap graphique'!$A$2:$A$22</c:f>
              <c:numCache>
                <c:formatCode>[$-40C]d\-mmm\-yy;@</c:formatCode>
                <c:ptCount val="21"/>
                <c:pt idx="0">
                  <c:v>40677</c:v>
                </c:pt>
                <c:pt idx="1">
                  <c:v>41300</c:v>
                </c:pt>
                <c:pt idx="2">
                  <c:v>41957</c:v>
                </c:pt>
                <c:pt idx="3">
                  <c:v>42438</c:v>
                </c:pt>
                <c:pt idx="4">
                  <c:v>42817</c:v>
                </c:pt>
                <c:pt idx="5">
                  <c:v>43117</c:v>
                </c:pt>
                <c:pt idx="6">
                  <c:v>43523</c:v>
                </c:pt>
                <c:pt idx="7">
                  <c:v>43880</c:v>
                </c:pt>
                <c:pt idx="8">
                  <c:v>44160</c:v>
                </c:pt>
                <c:pt idx="9">
                  <c:v>44252</c:v>
                </c:pt>
                <c:pt idx="10">
                  <c:v>44471</c:v>
                </c:pt>
                <c:pt idx="11">
                  <c:v>44636</c:v>
                </c:pt>
                <c:pt idx="12">
                  <c:v>44822</c:v>
                </c:pt>
                <c:pt idx="13">
                  <c:v>45031</c:v>
                </c:pt>
                <c:pt idx="14">
                  <c:v>45350</c:v>
                </c:pt>
                <c:pt idx="15">
                  <c:v>45532</c:v>
                </c:pt>
                <c:pt idx="16">
                  <c:v>45761</c:v>
                </c:pt>
              </c:numCache>
            </c:numRef>
          </c:xVal>
          <c:yVal>
            <c:numRef>
              <c:f>'recap graphique'!$C$2:$C$22</c:f>
              <c:numCache>
                <c:formatCode>0.0</c:formatCode>
                <c:ptCount val="21"/>
                <c:pt idx="0">
                  <c:v>0</c:v>
                </c:pt>
                <c:pt idx="1">
                  <c:v>-0.2000000000007276</c:v>
                </c:pt>
                <c:pt idx="2">
                  <c:v>1.7554340029946616</c:v>
                </c:pt>
                <c:pt idx="3">
                  <c:v>2.1000000000003638</c:v>
                </c:pt>
                <c:pt idx="4">
                  <c:v>2.3868066074937815</c:v>
                </c:pt>
                <c:pt idx="5">
                  <c:v>2.9056836244290025</c:v>
                </c:pt>
                <c:pt idx="6">
                  <c:v>3.5810407436219975</c:v>
                </c:pt>
                <c:pt idx="7">
                  <c:v>3.5</c:v>
                </c:pt>
                <c:pt idx="8">
                  <c:v>3.3999999999996362</c:v>
                </c:pt>
                <c:pt idx="9">
                  <c:v>3.6346246063967556</c:v>
                </c:pt>
                <c:pt idx="10">
                  <c:v>4</c:v>
                </c:pt>
                <c:pt idx="11">
                  <c:v>3.1999999999989086</c:v>
                </c:pt>
                <c:pt idx="12">
                  <c:v>4</c:v>
                </c:pt>
                <c:pt idx="13">
                  <c:v>4.2999999999992724</c:v>
                </c:pt>
                <c:pt idx="14">
                  <c:v>4.8666829536869045</c:v>
                </c:pt>
                <c:pt idx="15">
                  <c:v>4.6999999999989086</c:v>
                </c:pt>
                <c:pt idx="16">
                  <c:v>4.6999999999989086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DB-4EB0-8D53-48152EF2441C}"/>
            </c:ext>
          </c:extLst>
        </c:ser>
        <c:ser>
          <c:idx val="2"/>
          <c:order val="2"/>
          <c:tx>
            <c:strRef>
              <c:f>'recap graphique'!$D$1</c:f>
              <c:strCache>
                <c:ptCount val="1"/>
                <c:pt idx="0">
                  <c:v>base 1-4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'recap graphique'!$A$2:$A$22</c:f>
              <c:numCache>
                <c:formatCode>[$-40C]d\-mmm\-yy;@</c:formatCode>
                <c:ptCount val="21"/>
                <c:pt idx="0">
                  <c:v>40677</c:v>
                </c:pt>
                <c:pt idx="1">
                  <c:v>41300</c:v>
                </c:pt>
                <c:pt idx="2">
                  <c:v>41957</c:v>
                </c:pt>
                <c:pt idx="3">
                  <c:v>42438</c:v>
                </c:pt>
                <c:pt idx="4">
                  <c:v>42817</c:v>
                </c:pt>
                <c:pt idx="5">
                  <c:v>43117</c:v>
                </c:pt>
                <c:pt idx="6">
                  <c:v>43523</c:v>
                </c:pt>
                <c:pt idx="7">
                  <c:v>43880</c:v>
                </c:pt>
                <c:pt idx="8">
                  <c:v>44160</c:v>
                </c:pt>
                <c:pt idx="9">
                  <c:v>44252</c:v>
                </c:pt>
                <c:pt idx="10">
                  <c:v>44471</c:v>
                </c:pt>
                <c:pt idx="11">
                  <c:v>44636</c:v>
                </c:pt>
                <c:pt idx="12">
                  <c:v>44822</c:v>
                </c:pt>
                <c:pt idx="13">
                  <c:v>45031</c:v>
                </c:pt>
                <c:pt idx="14">
                  <c:v>45350</c:v>
                </c:pt>
                <c:pt idx="15">
                  <c:v>45532</c:v>
                </c:pt>
                <c:pt idx="16">
                  <c:v>45761</c:v>
                </c:pt>
              </c:numCache>
            </c:numRef>
          </c:xVal>
          <c:yVal>
            <c:numRef>
              <c:f>'recap graphique'!$D$2:$D$22</c:f>
              <c:numCache>
                <c:formatCode>0.0</c:formatCode>
                <c:ptCount val="21"/>
                <c:pt idx="0">
                  <c:v>0</c:v>
                </c:pt>
                <c:pt idx="1">
                  <c:v>0.30000000000109139</c:v>
                </c:pt>
                <c:pt idx="2">
                  <c:v>2.5294754544611351</c:v>
                </c:pt>
                <c:pt idx="3">
                  <c:v>2.6000000000003638</c:v>
                </c:pt>
                <c:pt idx="4">
                  <c:v>3.1162845346352697</c:v>
                </c:pt>
                <c:pt idx="5">
                  <c:v>3.4504664775377023</c:v>
                </c:pt>
                <c:pt idx="6">
                  <c:v>4.1969628164315509</c:v>
                </c:pt>
                <c:pt idx="7">
                  <c:v>4.3000000000010914</c:v>
                </c:pt>
                <c:pt idx="8">
                  <c:v>4.1000000000003638</c:v>
                </c:pt>
                <c:pt idx="9">
                  <c:v>4.4339641012429638</c:v>
                </c:pt>
                <c:pt idx="10">
                  <c:v>4.6000000000003638</c:v>
                </c:pt>
                <c:pt idx="11">
                  <c:v>4.2530491167799482</c:v>
                </c:pt>
                <c:pt idx="12">
                  <c:v>5</c:v>
                </c:pt>
                <c:pt idx="13">
                  <c:v>5.5</c:v>
                </c:pt>
                <c:pt idx="14">
                  <c:v>6.5208138555626647</c:v>
                </c:pt>
                <c:pt idx="15">
                  <c:v>5.8000000000010914</c:v>
                </c:pt>
                <c:pt idx="16">
                  <c:v>5.8000000000010914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CDB-4EB0-8D53-48152EF2441C}"/>
            </c:ext>
          </c:extLst>
        </c:ser>
        <c:ser>
          <c:idx val="4"/>
          <c:order val="3"/>
          <c:tx>
            <c:strRef>
              <c:f>'recap graphique'!$E$1</c:f>
              <c:strCache>
                <c:ptCount val="1"/>
                <c:pt idx="0">
                  <c:v>base 2-3</c:v>
                </c:pt>
              </c:strCache>
            </c:strRef>
          </c:tx>
          <c:spPr>
            <a:ln w="12700">
              <a:solidFill>
                <a:srgbClr val="800080"/>
              </a:solidFill>
              <a:prstDash val="lgDashDotDot"/>
            </a:ln>
          </c:spPr>
          <c:marker>
            <c:symbol val="none"/>
          </c:marker>
          <c:xVal>
            <c:numRef>
              <c:f>'recap graphique'!$A$2:$A$22</c:f>
              <c:numCache>
                <c:formatCode>[$-40C]d\-mmm\-yy;@</c:formatCode>
                <c:ptCount val="21"/>
                <c:pt idx="0">
                  <c:v>40677</c:v>
                </c:pt>
                <c:pt idx="1">
                  <c:v>41300</c:v>
                </c:pt>
                <c:pt idx="2">
                  <c:v>41957</c:v>
                </c:pt>
                <c:pt idx="3">
                  <c:v>42438</c:v>
                </c:pt>
                <c:pt idx="4">
                  <c:v>42817</c:v>
                </c:pt>
                <c:pt idx="5">
                  <c:v>43117</c:v>
                </c:pt>
                <c:pt idx="6">
                  <c:v>43523</c:v>
                </c:pt>
                <c:pt idx="7">
                  <c:v>43880</c:v>
                </c:pt>
                <c:pt idx="8">
                  <c:v>44160</c:v>
                </c:pt>
                <c:pt idx="9">
                  <c:v>44252</c:v>
                </c:pt>
                <c:pt idx="10">
                  <c:v>44471</c:v>
                </c:pt>
                <c:pt idx="11">
                  <c:v>44636</c:v>
                </c:pt>
                <c:pt idx="12">
                  <c:v>44822</c:v>
                </c:pt>
                <c:pt idx="13">
                  <c:v>45031</c:v>
                </c:pt>
                <c:pt idx="14">
                  <c:v>45350</c:v>
                </c:pt>
                <c:pt idx="15">
                  <c:v>45532</c:v>
                </c:pt>
                <c:pt idx="16">
                  <c:v>45761</c:v>
                </c:pt>
              </c:numCache>
            </c:numRef>
          </c:xVal>
          <c:yVal>
            <c:numRef>
              <c:f>'recap graphique'!$E$2:$E$22</c:f>
              <c:numCache>
                <c:formatCode>0.0</c:formatCode>
                <c:ptCount val="21"/>
                <c:pt idx="0">
                  <c:v>0</c:v>
                </c:pt>
                <c:pt idx="1">
                  <c:v>0.2000000000007276</c:v>
                </c:pt>
                <c:pt idx="2">
                  <c:v>1.6635686086992791</c:v>
                </c:pt>
                <c:pt idx="3">
                  <c:v>1.8999999999996362</c:v>
                </c:pt>
                <c:pt idx="4">
                  <c:v>1.6594204197226645</c:v>
                </c:pt>
                <c:pt idx="5">
                  <c:v>2.2765843088418478</c:v>
                </c:pt>
                <c:pt idx="6">
                  <c:v>2.8487736089591635</c:v>
                </c:pt>
                <c:pt idx="7">
                  <c:v>3.1000000000003638</c:v>
                </c:pt>
                <c:pt idx="8">
                  <c:v>3.2000000000007276</c:v>
                </c:pt>
                <c:pt idx="9">
                  <c:v>2.6612689219728054</c:v>
                </c:pt>
                <c:pt idx="10">
                  <c:v>2.8999999999996362</c:v>
                </c:pt>
                <c:pt idx="11">
                  <c:v>2.8999999999996362</c:v>
                </c:pt>
                <c:pt idx="12">
                  <c:v>3.2000000000007276</c:v>
                </c:pt>
                <c:pt idx="13">
                  <c:v>3.6000000000003638</c:v>
                </c:pt>
                <c:pt idx="14">
                  <c:v>3.3725917364736233</c:v>
                </c:pt>
                <c:pt idx="15">
                  <c:v>4.1000000000003638</c:v>
                </c:pt>
                <c:pt idx="16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CDB-4EB0-8D53-48152EF2441C}"/>
            </c:ext>
          </c:extLst>
        </c:ser>
        <c:ser>
          <c:idx val="5"/>
          <c:order val="4"/>
          <c:tx>
            <c:strRef>
              <c:f>'recap graphique'!$F$1</c:f>
              <c:strCache>
                <c:ptCount val="1"/>
                <c:pt idx="0">
                  <c:v>base 2-4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'recap graphique'!$A$2:$A$22</c:f>
              <c:numCache>
                <c:formatCode>[$-40C]d\-mmm\-yy;@</c:formatCode>
                <c:ptCount val="21"/>
                <c:pt idx="0">
                  <c:v>40677</c:v>
                </c:pt>
                <c:pt idx="1">
                  <c:v>41300</c:v>
                </c:pt>
                <c:pt idx="2">
                  <c:v>41957</c:v>
                </c:pt>
                <c:pt idx="3">
                  <c:v>42438</c:v>
                </c:pt>
                <c:pt idx="4">
                  <c:v>42817</c:v>
                </c:pt>
                <c:pt idx="5">
                  <c:v>43117</c:v>
                </c:pt>
                <c:pt idx="6">
                  <c:v>43523</c:v>
                </c:pt>
                <c:pt idx="7">
                  <c:v>43880</c:v>
                </c:pt>
                <c:pt idx="8">
                  <c:v>44160</c:v>
                </c:pt>
                <c:pt idx="9">
                  <c:v>44252</c:v>
                </c:pt>
                <c:pt idx="10">
                  <c:v>44471</c:v>
                </c:pt>
                <c:pt idx="11">
                  <c:v>44636</c:v>
                </c:pt>
                <c:pt idx="12">
                  <c:v>44822</c:v>
                </c:pt>
                <c:pt idx="13">
                  <c:v>45031</c:v>
                </c:pt>
                <c:pt idx="14">
                  <c:v>45350</c:v>
                </c:pt>
                <c:pt idx="15">
                  <c:v>45532</c:v>
                </c:pt>
                <c:pt idx="16">
                  <c:v>45761</c:v>
                </c:pt>
              </c:numCache>
            </c:numRef>
          </c:xVal>
          <c:yVal>
            <c:numRef>
              <c:f>'recap graphique'!$F$2:$F$22</c:f>
              <c:numCache>
                <c:formatCode>0.0</c:formatCode>
                <c:ptCount val="21"/>
                <c:pt idx="0">
                  <c:v>0</c:v>
                </c:pt>
                <c:pt idx="1">
                  <c:v>0.6000000000003638</c:v>
                </c:pt>
                <c:pt idx="2">
                  <c:v>2.2407128020186065</c:v>
                </c:pt>
                <c:pt idx="3">
                  <c:v>2.2000000000007276</c:v>
                </c:pt>
                <c:pt idx="4">
                  <c:v>2.1977050459681777</c:v>
                </c:pt>
                <c:pt idx="5">
                  <c:v>2.8074850659140793</c:v>
                </c:pt>
                <c:pt idx="6">
                  <c:v>3.2448539472334232</c:v>
                </c:pt>
                <c:pt idx="7">
                  <c:v>3.8999999999996362</c:v>
                </c:pt>
                <c:pt idx="8">
                  <c:v>3.7999999999992724</c:v>
                </c:pt>
                <c:pt idx="9">
                  <c:v>3.4554186150271562</c:v>
                </c:pt>
                <c:pt idx="10">
                  <c:v>3.7000000000007276</c:v>
                </c:pt>
                <c:pt idx="11">
                  <c:v>4.0448933296374889</c:v>
                </c:pt>
                <c:pt idx="12">
                  <c:v>4.2000000000007276</c:v>
                </c:pt>
                <c:pt idx="13">
                  <c:v>4.7999999999992724</c:v>
                </c:pt>
                <c:pt idx="14">
                  <c:v>4.8672611215461075</c:v>
                </c:pt>
                <c:pt idx="15">
                  <c:v>5</c:v>
                </c:pt>
                <c:pt idx="16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CDB-4EB0-8D53-48152EF2441C}"/>
            </c:ext>
          </c:extLst>
        </c:ser>
        <c:ser>
          <c:idx val="7"/>
          <c:order val="5"/>
          <c:tx>
            <c:strRef>
              <c:f>'recap graphique'!$G$1</c:f>
              <c:strCache>
                <c:ptCount val="1"/>
                <c:pt idx="0">
                  <c:v>base 3-4</c:v>
                </c:pt>
              </c:strCache>
            </c:strRef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'recap graphique'!$A$2:$A$22</c:f>
              <c:numCache>
                <c:formatCode>[$-40C]d\-mmm\-yy;@</c:formatCode>
                <c:ptCount val="21"/>
                <c:pt idx="0">
                  <c:v>40677</c:v>
                </c:pt>
                <c:pt idx="1">
                  <c:v>41300</c:v>
                </c:pt>
                <c:pt idx="2">
                  <c:v>41957</c:v>
                </c:pt>
                <c:pt idx="3">
                  <c:v>42438</c:v>
                </c:pt>
                <c:pt idx="4">
                  <c:v>42817</c:v>
                </c:pt>
                <c:pt idx="5">
                  <c:v>43117</c:v>
                </c:pt>
                <c:pt idx="6">
                  <c:v>43523</c:v>
                </c:pt>
                <c:pt idx="7">
                  <c:v>43880</c:v>
                </c:pt>
                <c:pt idx="8">
                  <c:v>44160</c:v>
                </c:pt>
                <c:pt idx="9">
                  <c:v>44252</c:v>
                </c:pt>
                <c:pt idx="10">
                  <c:v>44471</c:v>
                </c:pt>
                <c:pt idx="11">
                  <c:v>44636</c:v>
                </c:pt>
                <c:pt idx="12">
                  <c:v>44822</c:v>
                </c:pt>
                <c:pt idx="13">
                  <c:v>45031</c:v>
                </c:pt>
                <c:pt idx="14">
                  <c:v>45350</c:v>
                </c:pt>
                <c:pt idx="15">
                  <c:v>45532</c:v>
                </c:pt>
                <c:pt idx="16">
                  <c:v>45761</c:v>
                </c:pt>
              </c:numCache>
            </c:numRef>
          </c:xVal>
          <c:yVal>
            <c:numRef>
              <c:f>'recap graphique'!$G$2:$G$22</c:f>
              <c:numCache>
                <c:formatCode>0.0</c:formatCode>
                <c:ptCount val="21"/>
                <c:pt idx="0">
                  <c:v>0</c:v>
                </c:pt>
                <c:pt idx="1">
                  <c:v>-0.59999999999990905</c:v>
                </c:pt>
                <c:pt idx="2">
                  <c:v>-0.37944873463720796</c:v>
                </c:pt>
                <c:pt idx="3">
                  <c:v>-0.1999999999998181</c:v>
                </c:pt>
                <c:pt idx="4">
                  <c:v>-8.040475452753526E-2</c:v>
                </c:pt>
                <c:pt idx="5">
                  <c:v>0.1192933695128886</c:v>
                </c:pt>
                <c:pt idx="6">
                  <c:v>1.9744892843846173E-2</c:v>
                </c:pt>
                <c:pt idx="7">
                  <c:v>0.1000000000003638</c:v>
                </c:pt>
                <c:pt idx="8">
                  <c:v>0</c:v>
                </c:pt>
                <c:pt idx="9">
                  <c:v>0.62075608113264025</c:v>
                </c:pt>
                <c:pt idx="10">
                  <c:v>0.40000000000009095</c:v>
                </c:pt>
                <c:pt idx="11">
                  <c:v>0.12600507434717656</c:v>
                </c:pt>
                <c:pt idx="12">
                  <c:v>0.40000000000009095</c:v>
                </c:pt>
                <c:pt idx="13">
                  <c:v>0.40000000000009095</c:v>
                </c:pt>
                <c:pt idx="14">
                  <c:v>0.33066599790709006</c:v>
                </c:pt>
                <c:pt idx="15">
                  <c:v>0.20000000000027285</c:v>
                </c:pt>
                <c:pt idx="16">
                  <c:v>0.1000000000003638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CDB-4EB0-8D53-48152EF24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9420751"/>
        <c:axId val="1"/>
      </c:scatterChart>
      <c:valAx>
        <c:axId val="709420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Temps(jours)</a:t>
                </a:r>
              </a:p>
            </c:rich>
          </c:tx>
          <c:layout>
            <c:manualLayout>
              <c:xMode val="edge"/>
              <c:yMode val="edge"/>
              <c:x val="0.86280056577086284"/>
              <c:y val="0.78222385535141437"/>
            </c:manualLayout>
          </c:layout>
          <c:overlay val="0"/>
          <c:spPr>
            <a:noFill/>
            <a:ln w="25400">
              <a:noFill/>
            </a:ln>
          </c:spPr>
        </c:title>
        <c:numFmt formatCode="[$-40C]d\-mmm\-yy;@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528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"/>
        <c:crossesAt val="-1"/>
        <c:crossBetween val="midCat"/>
        <c:majorUnit val="90"/>
        <c:minorUnit val="90"/>
      </c:valAx>
      <c:valAx>
        <c:axId val="1"/>
        <c:scaling>
          <c:orientation val="minMax"/>
          <c:max val="16"/>
          <c:min val="-1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Convergence mm</a:t>
                </a:r>
              </a:p>
            </c:rich>
          </c:tx>
          <c:layout>
            <c:manualLayout>
              <c:xMode val="edge"/>
              <c:yMode val="edge"/>
              <c:x val="1.8387553041018388E-2"/>
              <c:y val="0.3622229221347331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709420751"/>
        <c:crossesAt val="-1"/>
        <c:crossBetween val="midCat"/>
        <c:majorUnit val="1"/>
        <c:minorUnit val="0.5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8104667609618105"/>
          <c:y val="0.04"/>
          <c:w val="0.77934936350777928"/>
          <c:h val="7.111134441528141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4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&amp;C&amp;"Arial,Gras"&amp;16TUNNEL DU FREJUS
&amp;14Convergences optiques sur anneau pm France 7863 / nv7893</c:oddHeader>
    </c:headerFooter>
    <c:pageMargins b="0.98425196850393704" l="0.19685039370078741" r="0.19685039370078741" t="1.299212598425197" header="0.51181102362204722" footer="0.51181102362204722"/>
    <c:pageSetup paperSize="9" orientation="landscape" horizontalDpi="360" verticalDpi="36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1</xdr:row>
      <xdr:rowOff>66675</xdr:rowOff>
    </xdr:from>
    <xdr:to>
      <xdr:col>5</xdr:col>
      <xdr:colOff>400050</xdr:colOff>
      <xdr:row>12</xdr:row>
      <xdr:rowOff>66675</xdr:rowOff>
    </xdr:to>
    <xdr:pic>
      <xdr:nvPicPr>
        <xdr:cNvPr id="5581" name="Picture 13" descr="Logo Infra Env 1">
          <a:extLst>
            <a:ext uri="{FF2B5EF4-FFF2-40B4-BE49-F238E27FC236}">
              <a16:creationId xmlns:a16="http://schemas.microsoft.com/office/drawing/2014/main" id="{EBD1C661-C473-9184-AFFD-8DEE212A3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228600"/>
          <a:ext cx="3028950" cy="19335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114300</xdr:colOff>
      <xdr:row>14</xdr:row>
      <xdr:rowOff>57150</xdr:rowOff>
    </xdr:from>
    <xdr:to>
      <xdr:col>22</xdr:col>
      <xdr:colOff>981075</xdr:colOff>
      <xdr:row>30</xdr:row>
      <xdr:rowOff>104775</xdr:rowOff>
    </xdr:to>
    <xdr:pic>
      <xdr:nvPicPr>
        <xdr:cNvPr id="5582" name="Picture 16">
          <a:extLst>
            <a:ext uri="{FF2B5EF4-FFF2-40B4-BE49-F238E27FC236}">
              <a16:creationId xmlns:a16="http://schemas.microsoft.com/office/drawing/2014/main" id="{8FA76FDA-33D2-240B-7ECA-4F6CCD602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6850" y="2609850"/>
          <a:ext cx="4581525" cy="2771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15</xdr:col>
      <xdr:colOff>47625</xdr:colOff>
      <xdr:row>4</xdr:row>
      <xdr:rowOff>9525</xdr:rowOff>
    </xdr:from>
    <xdr:to>
      <xdr:col>22</xdr:col>
      <xdr:colOff>971550</xdr:colOff>
      <xdr:row>13</xdr:row>
      <xdr:rowOff>114300</xdr:rowOff>
    </xdr:to>
    <xdr:pic>
      <xdr:nvPicPr>
        <xdr:cNvPr id="5583" name="Image 1">
          <a:extLst>
            <a:ext uri="{FF2B5EF4-FFF2-40B4-BE49-F238E27FC236}">
              <a16:creationId xmlns:a16="http://schemas.microsoft.com/office/drawing/2014/main" id="{CAB642DC-FB34-A55F-8A72-7244347AC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0175" y="657225"/>
          <a:ext cx="4638675" cy="1847850"/>
        </a:xfrm>
        <a:prstGeom prst="rect">
          <a:avLst/>
        </a:prstGeom>
        <a:noFill/>
        <a:ln w="9525">
          <a:solidFill>
            <a:srgbClr val="000000">
              <a:alpha val="98822"/>
            </a:srgbClr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0</xdr:rowOff>
    </xdr:from>
    <xdr:to>
      <xdr:col>8</xdr:col>
      <xdr:colOff>647700</xdr:colOff>
      <xdr:row>26</xdr:row>
      <xdr:rowOff>76200</xdr:rowOff>
    </xdr:to>
    <xdr:graphicFrame macro="">
      <xdr:nvGraphicFramePr>
        <xdr:cNvPr id="7319" name="Graphique 1">
          <a:extLst>
            <a:ext uri="{FF2B5EF4-FFF2-40B4-BE49-F238E27FC236}">
              <a16:creationId xmlns:a16="http://schemas.microsoft.com/office/drawing/2014/main" id="{5BFF5692-B9D5-1CC0-A1FE-49A91EEE27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E2209-91D1-446B-9DAF-7B7EC70C1E0D}">
  <sheetPr codeName="Feuil1">
    <pageSetUpPr fitToPage="1"/>
  </sheetPr>
  <dimension ref="A8:W55"/>
  <sheetViews>
    <sheetView tabSelected="1" topLeftCell="A17" zoomScale="75" zoomScaleNormal="75" workbookViewId="0">
      <selection activeCell="K28" sqref="K28"/>
    </sheetView>
  </sheetViews>
  <sheetFormatPr baseColWidth="10" defaultRowHeight="12.75" outlineLevelRow="1" x14ac:dyDescent="0.2"/>
  <cols>
    <col min="1" max="1" width="11.7109375" bestFit="1" customWidth="1"/>
    <col min="2" max="2" width="6.5703125" bestFit="1" customWidth="1"/>
    <col min="3" max="4" width="7.5703125" bestFit="1" customWidth="1"/>
    <col min="5" max="5" width="8.7109375" style="1" customWidth="1"/>
    <col min="6" max="7" width="7.7109375" style="1" customWidth="1"/>
    <col min="8" max="8" width="9.5703125" style="1" customWidth="1"/>
    <col min="9" max="10" width="7.7109375" style="1" customWidth="1"/>
    <col min="11" max="11" width="10.42578125" style="1" customWidth="1"/>
    <col min="12" max="12" width="11.5703125" style="1" customWidth="1"/>
    <col min="13" max="13" width="14" style="1" bestFit="1" customWidth="1"/>
    <col min="14" max="14" width="8.28515625" style="1" bestFit="1" customWidth="1"/>
    <col min="15" max="16" width="7.7109375" style="1" customWidth="1"/>
    <col min="17" max="17" width="9.42578125" style="1" customWidth="1"/>
    <col min="18" max="22" width="7.7109375" style="1" customWidth="1"/>
    <col min="23" max="23" width="20.7109375" style="1" customWidth="1"/>
  </cols>
  <sheetData>
    <row r="8" spans="7:15" ht="11.25" customHeight="1" x14ac:dyDescent="0.35">
      <c r="J8" s="43"/>
      <c r="K8" s="43"/>
    </row>
    <row r="10" spans="7:15" ht="23.25" x14ac:dyDescent="0.35">
      <c r="G10" s="65" t="s">
        <v>19</v>
      </c>
      <c r="H10" s="66"/>
      <c r="I10" s="66"/>
      <c r="J10" s="66"/>
      <c r="K10" s="66"/>
      <c r="L10" s="66"/>
      <c r="M10" s="45">
        <v>7863</v>
      </c>
      <c r="N10" s="43"/>
      <c r="O10" s="43"/>
    </row>
    <row r="12" spans="7:15" ht="15.75" x14ac:dyDescent="0.25">
      <c r="I12" s="44"/>
      <c r="J12" s="44"/>
      <c r="K12" s="44"/>
      <c r="L12" s="44"/>
      <c r="M12" s="44"/>
    </row>
    <row r="13" spans="7:15" ht="23.25" x14ac:dyDescent="0.35">
      <c r="G13" s="65" t="s">
        <v>20</v>
      </c>
      <c r="H13" s="66"/>
      <c r="I13" s="66"/>
      <c r="J13" s="66"/>
      <c r="K13" s="66"/>
      <c r="L13" s="66"/>
      <c r="M13" s="45">
        <f>12868-M10</f>
        <v>5005</v>
      </c>
    </row>
    <row r="16" spans="7:15" ht="23.25" x14ac:dyDescent="0.35">
      <c r="G16" s="65" t="s">
        <v>22</v>
      </c>
      <c r="H16" s="66"/>
      <c r="I16" s="66"/>
      <c r="J16" s="66"/>
      <c r="K16" s="66"/>
      <c r="L16" s="66"/>
      <c r="M16" s="45">
        <v>7893</v>
      </c>
    </row>
    <row r="32" spans="23:23" ht="13.5" thickBot="1" x14ac:dyDescent="0.25">
      <c r="W32" s="2"/>
    </row>
    <row r="33" spans="1:23" s="2" customFormat="1" ht="18.75" thickBot="1" x14ac:dyDescent="0.3">
      <c r="A33" s="16" t="s">
        <v>0</v>
      </c>
      <c r="B33" s="17"/>
      <c r="C33" s="17"/>
      <c r="D33" s="18"/>
      <c r="E33" s="25" t="s">
        <v>1</v>
      </c>
      <c r="F33" s="19"/>
      <c r="G33" s="20"/>
      <c r="H33" s="28" t="s">
        <v>2</v>
      </c>
      <c r="I33" s="19"/>
      <c r="J33" s="20"/>
      <c r="K33" s="25" t="s">
        <v>4</v>
      </c>
      <c r="L33" s="19"/>
      <c r="M33" s="20"/>
      <c r="N33" s="28" t="s">
        <v>3</v>
      </c>
      <c r="O33" s="19"/>
      <c r="P33" s="20"/>
      <c r="Q33" s="28" t="s">
        <v>5</v>
      </c>
      <c r="R33" s="19"/>
      <c r="S33" s="21"/>
      <c r="T33" s="37" t="s">
        <v>16</v>
      </c>
      <c r="U33" s="19"/>
      <c r="V33" s="21"/>
      <c r="W33" s="22" t="s">
        <v>6</v>
      </c>
    </row>
    <row r="34" spans="1:23" s="2" customFormat="1" ht="13.5" thickTop="1" x14ac:dyDescent="0.2">
      <c r="A34" s="23"/>
      <c r="E34" s="26" t="s">
        <v>7</v>
      </c>
      <c r="F34" s="4"/>
      <c r="G34" s="5" t="s">
        <v>8</v>
      </c>
      <c r="H34" s="26" t="s">
        <v>7</v>
      </c>
      <c r="I34" s="4"/>
      <c r="J34" s="5" t="s">
        <v>8</v>
      </c>
      <c r="K34" s="26" t="s">
        <v>7</v>
      </c>
      <c r="L34" s="4"/>
      <c r="M34" s="5" t="s">
        <v>8</v>
      </c>
      <c r="N34" s="26" t="s">
        <v>7</v>
      </c>
      <c r="O34" s="4"/>
      <c r="P34" s="5" t="s">
        <v>8</v>
      </c>
      <c r="Q34" s="26" t="s">
        <v>7</v>
      </c>
      <c r="R34" s="4"/>
      <c r="S34" s="6" t="s">
        <v>8</v>
      </c>
      <c r="T34" s="7" t="s">
        <v>7</v>
      </c>
      <c r="U34" s="4"/>
      <c r="V34" s="6" t="s">
        <v>8</v>
      </c>
      <c r="W34" s="15"/>
    </row>
    <row r="35" spans="1:23" s="3" customFormat="1" ht="13.5" thickBot="1" x14ac:dyDescent="0.25">
      <c r="A35" s="24" t="s">
        <v>9</v>
      </c>
      <c r="B35" s="12" t="s">
        <v>10</v>
      </c>
      <c r="C35" s="12" t="s">
        <v>11</v>
      </c>
      <c r="D35" s="11" t="s">
        <v>12</v>
      </c>
      <c r="E35" s="27" t="s">
        <v>13</v>
      </c>
      <c r="F35" s="13" t="s">
        <v>14</v>
      </c>
      <c r="G35" s="9" t="s">
        <v>15</v>
      </c>
      <c r="H35" s="27" t="s">
        <v>13</v>
      </c>
      <c r="I35" s="13" t="s">
        <v>14</v>
      </c>
      <c r="J35" s="9" t="s">
        <v>15</v>
      </c>
      <c r="K35" s="27" t="s">
        <v>13</v>
      </c>
      <c r="L35" s="13" t="s">
        <v>14</v>
      </c>
      <c r="M35" s="9" t="s">
        <v>15</v>
      </c>
      <c r="N35" s="27" t="s">
        <v>13</v>
      </c>
      <c r="O35" s="13" t="s">
        <v>14</v>
      </c>
      <c r="P35" s="9" t="s">
        <v>15</v>
      </c>
      <c r="Q35" s="27" t="s">
        <v>13</v>
      </c>
      <c r="R35" s="13" t="s">
        <v>14</v>
      </c>
      <c r="S35" s="10" t="s">
        <v>15</v>
      </c>
      <c r="T35" s="8" t="s">
        <v>13</v>
      </c>
      <c r="U35" s="13" t="s">
        <v>14</v>
      </c>
      <c r="V35" s="10" t="s">
        <v>15</v>
      </c>
      <c r="W35" s="14"/>
    </row>
    <row r="36" spans="1:23" s="2" customFormat="1" ht="13.5" thickTop="1" x14ac:dyDescent="0.2">
      <c r="A36" s="47">
        <v>40677</v>
      </c>
      <c r="B36" s="48">
        <f t="shared" ref="B36:B42" si="0">A36</f>
        <v>40677</v>
      </c>
      <c r="C36" s="49" t="s">
        <v>21</v>
      </c>
      <c r="D36" s="50">
        <f t="shared" ref="D36:D42" si="1">A36-A$36</f>
        <v>0</v>
      </c>
      <c r="E36" s="51">
        <v>2842.4</v>
      </c>
      <c r="F36" s="52">
        <f>E36-$E$36</f>
        <v>0</v>
      </c>
      <c r="G36" s="53"/>
      <c r="H36" s="51">
        <v>10578.9</v>
      </c>
      <c r="I36" s="52">
        <f>H36-$H$36</f>
        <v>0</v>
      </c>
      <c r="J36" s="53"/>
      <c r="K36" s="51">
        <v>10178.1</v>
      </c>
      <c r="L36" s="52">
        <f>K36-$K$36</f>
        <v>0</v>
      </c>
      <c r="M36" s="53"/>
      <c r="N36" s="51">
        <v>10202.5</v>
      </c>
      <c r="O36" s="52">
        <f>N36-$N$36</f>
        <v>0</v>
      </c>
      <c r="P36" s="53"/>
      <c r="Q36" s="51">
        <v>10564.5</v>
      </c>
      <c r="R36" s="52">
        <f>Q36-$Q$36</f>
        <v>0</v>
      </c>
      <c r="S36" s="53"/>
      <c r="T36" s="54">
        <v>2786.3</v>
      </c>
      <c r="U36" s="52">
        <f>T36-$T$36</f>
        <v>0</v>
      </c>
      <c r="V36" s="55"/>
      <c r="W36" s="56" t="s">
        <v>18</v>
      </c>
    </row>
    <row r="37" spans="1:23" outlineLevel="1" x14ac:dyDescent="0.2">
      <c r="A37" s="29">
        <v>41300</v>
      </c>
      <c r="B37" s="30">
        <f t="shared" si="0"/>
        <v>41300</v>
      </c>
      <c r="C37" s="31" t="s">
        <v>21</v>
      </c>
      <c r="D37" s="32">
        <f t="shared" si="1"/>
        <v>623</v>
      </c>
      <c r="E37" s="33">
        <v>2842.3</v>
      </c>
      <c r="F37" s="34">
        <f t="shared" ref="F37:F43" si="2">-E37+E$36</f>
        <v>9.9999999999909051E-2</v>
      </c>
      <c r="G37" s="35"/>
      <c r="H37" s="33">
        <v>10579.1</v>
      </c>
      <c r="I37" s="34">
        <f t="shared" ref="I37:I43" si="3">-H37+H$36</f>
        <v>-0.2000000000007276</v>
      </c>
      <c r="J37" s="35"/>
      <c r="K37" s="33">
        <v>10177.799999999999</v>
      </c>
      <c r="L37" s="34">
        <f t="shared" ref="L37:L43" si="4">-K37+K$36</f>
        <v>0.30000000000109139</v>
      </c>
      <c r="M37" s="35"/>
      <c r="N37" s="33">
        <v>10202.299999999999</v>
      </c>
      <c r="O37" s="34">
        <f t="shared" ref="O37:O43" si="5">-N37+N$36</f>
        <v>0.2000000000007276</v>
      </c>
      <c r="P37" s="35"/>
      <c r="Q37" s="33">
        <v>10563.9</v>
      </c>
      <c r="R37" s="34">
        <f t="shared" ref="R37:R43" si="6">-Q37+Q$36</f>
        <v>0.6000000000003638</v>
      </c>
      <c r="S37" s="35"/>
      <c r="T37" s="41">
        <v>2786.9</v>
      </c>
      <c r="U37" s="34">
        <f t="shared" ref="U37:U43" si="7">-T37+T$36</f>
        <v>-0.59999999999990905</v>
      </c>
      <c r="V37" s="42"/>
      <c r="W37" s="36"/>
    </row>
    <row r="38" spans="1:23" x14ac:dyDescent="0.2">
      <c r="A38" s="29">
        <v>41957</v>
      </c>
      <c r="B38" s="30">
        <f t="shared" si="0"/>
        <v>41957</v>
      </c>
      <c r="C38" s="31" t="s">
        <v>21</v>
      </c>
      <c r="D38" s="32">
        <f t="shared" si="1"/>
        <v>1280</v>
      </c>
      <c r="E38" s="33">
        <v>2842.0888181054438</v>
      </c>
      <c r="F38" s="34">
        <f t="shared" si="2"/>
        <v>0.31118189455628453</v>
      </c>
      <c r="G38" s="35" t="s">
        <v>23</v>
      </c>
      <c r="H38" s="33">
        <v>10577.144565997005</v>
      </c>
      <c r="I38" s="34">
        <f t="shared" si="3"/>
        <v>1.7554340029946616</v>
      </c>
      <c r="J38" s="35" t="s">
        <v>23</v>
      </c>
      <c r="K38" s="33">
        <v>10175.570524545539</v>
      </c>
      <c r="L38" s="34">
        <f t="shared" si="4"/>
        <v>2.5294754544611351</v>
      </c>
      <c r="M38" s="35" t="s">
        <v>23</v>
      </c>
      <c r="N38" s="33">
        <v>10200.836431391301</v>
      </c>
      <c r="O38" s="34">
        <f t="shared" si="5"/>
        <v>1.6635686086992791</v>
      </c>
      <c r="P38" s="35" t="s">
        <v>23</v>
      </c>
      <c r="Q38" s="33">
        <v>10562.259287197981</v>
      </c>
      <c r="R38" s="34">
        <f t="shared" si="6"/>
        <v>2.2407128020186065</v>
      </c>
      <c r="S38" s="35" t="s">
        <v>23</v>
      </c>
      <c r="T38" s="41">
        <v>2786.6794487346374</v>
      </c>
      <c r="U38" s="34">
        <f t="shared" si="7"/>
        <v>-0.37944873463720796</v>
      </c>
      <c r="V38" s="42" t="s">
        <v>23</v>
      </c>
      <c r="W38" s="36"/>
    </row>
    <row r="39" spans="1:23" x14ac:dyDescent="0.2">
      <c r="A39" s="29">
        <v>42438</v>
      </c>
      <c r="B39" s="30">
        <f t="shared" si="0"/>
        <v>42438</v>
      </c>
      <c r="C39" s="31" t="s">
        <v>21</v>
      </c>
      <c r="D39" s="32">
        <f t="shared" si="1"/>
        <v>1761</v>
      </c>
      <c r="E39" s="33">
        <v>2842.2</v>
      </c>
      <c r="F39" s="34">
        <f t="shared" si="2"/>
        <v>0.20000000000027285</v>
      </c>
      <c r="G39" s="35" t="s">
        <v>23</v>
      </c>
      <c r="H39" s="33">
        <v>10576.8</v>
      </c>
      <c r="I39" s="34">
        <f t="shared" si="3"/>
        <v>2.1000000000003638</v>
      </c>
      <c r="J39" s="35" t="s">
        <v>23</v>
      </c>
      <c r="K39" s="33">
        <v>10175.5</v>
      </c>
      <c r="L39" s="34">
        <f t="shared" si="4"/>
        <v>2.6000000000003638</v>
      </c>
      <c r="M39" s="35" t="s">
        <v>23</v>
      </c>
      <c r="N39" s="33">
        <v>10200.6</v>
      </c>
      <c r="O39" s="34">
        <f t="shared" si="5"/>
        <v>1.8999999999996362</v>
      </c>
      <c r="P39" s="35" t="s">
        <v>23</v>
      </c>
      <c r="Q39" s="33">
        <v>10562.3</v>
      </c>
      <c r="R39" s="34">
        <f t="shared" si="6"/>
        <v>2.2000000000007276</v>
      </c>
      <c r="S39" s="35" t="s">
        <v>23</v>
      </c>
      <c r="T39" s="41">
        <v>2786.5</v>
      </c>
      <c r="U39" s="34">
        <f t="shared" si="7"/>
        <v>-0.1999999999998181</v>
      </c>
      <c r="V39" s="42"/>
      <c r="W39" s="36"/>
    </row>
    <row r="40" spans="1:23" x14ac:dyDescent="0.2">
      <c r="A40" s="29">
        <v>42817</v>
      </c>
      <c r="B40" s="30">
        <f t="shared" si="0"/>
        <v>42817</v>
      </c>
      <c r="C40" s="31" t="s">
        <v>21</v>
      </c>
      <c r="D40" s="32">
        <f t="shared" si="1"/>
        <v>2140</v>
      </c>
      <c r="E40" s="33">
        <v>2842.3020036583039</v>
      </c>
      <c r="F40" s="34">
        <f t="shared" si="2"/>
        <v>9.7996341696216405E-2</v>
      </c>
      <c r="G40" s="35" t="s">
        <v>23</v>
      </c>
      <c r="H40" s="33">
        <v>10576.513193392506</v>
      </c>
      <c r="I40" s="34">
        <f t="shared" si="3"/>
        <v>2.3868066074937815</v>
      </c>
      <c r="J40" s="35" t="s">
        <v>23</v>
      </c>
      <c r="K40" s="33">
        <v>10174.983715465365</v>
      </c>
      <c r="L40" s="34">
        <f t="shared" si="4"/>
        <v>3.1162845346352697</v>
      </c>
      <c r="M40" s="35" t="s">
        <v>23</v>
      </c>
      <c r="N40" s="33">
        <v>10200.840579580277</v>
      </c>
      <c r="O40" s="34">
        <f t="shared" si="5"/>
        <v>1.6594204197226645</v>
      </c>
      <c r="P40" s="35" t="s">
        <v>23</v>
      </c>
      <c r="Q40" s="33">
        <v>10562.302294954032</v>
      </c>
      <c r="R40" s="34">
        <f t="shared" si="6"/>
        <v>2.1977050459681777</v>
      </c>
      <c r="S40" s="35" t="s">
        <v>23</v>
      </c>
      <c r="T40" s="41">
        <v>2786.3804047545277</v>
      </c>
      <c r="U40" s="34">
        <f t="shared" si="7"/>
        <v>-8.040475452753526E-2</v>
      </c>
      <c r="V40" s="42"/>
      <c r="W40" s="36"/>
    </row>
    <row r="41" spans="1:23" x14ac:dyDescent="0.2">
      <c r="A41" s="29">
        <v>43117</v>
      </c>
      <c r="B41" s="30">
        <f t="shared" si="0"/>
        <v>43117</v>
      </c>
      <c r="C41" s="31" t="s">
        <v>21</v>
      </c>
      <c r="D41" s="32">
        <f t="shared" si="1"/>
        <v>2440</v>
      </c>
      <c r="E41" s="33">
        <v>2841.6968891843562</v>
      </c>
      <c r="F41" s="34">
        <f t="shared" si="2"/>
        <v>0.70311081564386768</v>
      </c>
      <c r="G41" s="35"/>
      <c r="H41" s="33">
        <v>10575.994316375571</v>
      </c>
      <c r="I41" s="34">
        <f t="shared" si="3"/>
        <v>2.9056836244290025</v>
      </c>
      <c r="J41" s="35"/>
      <c r="K41" s="33">
        <v>10174.649533522463</v>
      </c>
      <c r="L41" s="34">
        <f t="shared" si="4"/>
        <v>3.4504664775377023</v>
      </c>
      <c r="M41" s="35"/>
      <c r="N41" s="33">
        <v>10200.223415691158</v>
      </c>
      <c r="O41" s="34">
        <f t="shared" si="5"/>
        <v>2.2765843088418478</v>
      </c>
      <c r="P41" s="35"/>
      <c r="Q41" s="33">
        <v>10561.692514934086</v>
      </c>
      <c r="R41" s="34">
        <f t="shared" si="6"/>
        <v>2.8074850659140793</v>
      </c>
      <c r="S41" s="35"/>
      <c r="T41" s="41">
        <v>2786.1807066304873</v>
      </c>
      <c r="U41" s="34">
        <f t="shared" si="7"/>
        <v>0.1192933695128886</v>
      </c>
      <c r="V41" s="42"/>
      <c r="W41" s="36"/>
    </row>
    <row r="42" spans="1:23" x14ac:dyDescent="0.2">
      <c r="A42" s="29">
        <v>43523</v>
      </c>
      <c r="B42" s="30">
        <f t="shared" si="0"/>
        <v>43523</v>
      </c>
      <c r="C42" s="31" t="s">
        <v>21</v>
      </c>
      <c r="D42" s="32">
        <f t="shared" si="1"/>
        <v>2846</v>
      </c>
      <c r="E42" s="33">
        <v>2842.205472867869</v>
      </c>
      <c r="F42" s="34">
        <f t="shared" si="2"/>
        <v>0.19452713213104289</v>
      </c>
      <c r="G42" s="35"/>
      <c r="H42" s="33">
        <v>10575.318959256378</v>
      </c>
      <c r="I42" s="34">
        <f t="shared" si="3"/>
        <v>3.5810407436219975</v>
      </c>
      <c r="J42" s="35"/>
      <c r="K42" s="33">
        <v>10173.903037183569</v>
      </c>
      <c r="L42" s="34">
        <f t="shared" si="4"/>
        <v>4.1969628164315509</v>
      </c>
      <c r="M42" s="35"/>
      <c r="N42" s="33">
        <v>10199.651226391041</v>
      </c>
      <c r="O42" s="34">
        <f t="shared" si="5"/>
        <v>2.8487736089591635</v>
      </c>
      <c r="P42" s="35"/>
      <c r="Q42" s="33">
        <v>10561.255146052767</v>
      </c>
      <c r="R42" s="34">
        <f t="shared" si="6"/>
        <v>3.2448539472334232</v>
      </c>
      <c r="S42" s="35"/>
      <c r="T42" s="41">
        <v>2786.2802551071563</v>
      </c>
      <c r="U42" s="34">
        <f t="shared" si="7"/>
        <v>1.9744892843846173E-2</v>
      </c>
      <c r="V42" s="42"/>
      <c r="W42" s="36"/>
    </row>
    <row r="43" spans="1:23" x14ac:dyDescent="0.2">
      <c r="A43" s="29">
        <v>43880</v>
      </c>
      <c r="B43" s="30">
        <f t="shared" ref="B43:B50" si="8">A43</f>
        <v>43880</v>
      </c>
      <c r="C43" s="31" t="s">
        <v>21</v>
      </c>
      <c r="D43" s="32">
        <f t="shared" ref="D43:D48" si="9">A43-A$36</f>
        <v>3203</v>
      </c>
      <c r="E43" s="33">
        <v>2842.1</v>
      </c>
      <c r="F43" s="34">
        <f t="shared" si="2"/>
        <v>0.3000000000001819</v>
      </c>
      <c r="G43" s="35"/>
      <c r="H43" s="33">
        <v>10575.4</v>
      </c>
      <c r="I43" s="34">
        <f t="shared" si="3"/>
        <v>3.5</v>
      </c>
      <c r="J43" s="35"/>
      <c r="K43" s="33">
        <v>10173.799999999999</v>
      </c>
      <c r="L43" s="34">
        <f t="shared" si="4"/>
        <v>4.3000000000010914</v>
      </c>
      <c r="M43" s="35"/>
      <c r="N43" s="33">
        <v>10199.4</v>
      </c>
      <c r="O43" s="34">
        <f t="shared" si="5"/>
        <v>3.1000000000003638</v>
      </c>
      <c r="P43" s="35"/>
      <c r="Q43" s="33">
        <v>10560.6</v>
      </c>
      <c r="R43" s="34">
        <f t="shared" si="6"/>
        <v>3.8999999999996362</v>
      </c>
      <c r="S43" s="35"/>
      <c r="T43" s="41">
        <v>2786.2</v>
      </c>
      <c r="U43" s="34">
        <f t="shared" si="7"/>
        <v>0.1000000000003638</v>
      </c>
      <c r="V43" s="42"/>
      <c r="W43" s="36"/>
    </row>
    <row r="44" spans="1:23" x14ac:dyDescent="0.2">
      <c r="A44" s="29">
        <v>44160</v>
      </c>
      <c r="B44" s="30">
        <f t="shared" si="8"/>
        <v>44160</v>
      </c>
      <c r="C44" s="31" t="s">
        <v>21</v>
      </c>
      <c r="D44" s="32">
        <f t="shared" si="9"/>
        <v>3483</v>
      </c>
      <c r="E44" s="33">
        <v>2841.9</v>
      </c>
      <c r="F44" s="34">
        <f t="shared" ref="F44:F50" si="10">-E44+E$36</f>
        <v>0.5</v>
      </c>
      <c r="G44" s="35"/>
      <c r="H44" s="33">
        <v>10575.5</v>
      </c>
      <c r="I44" s="34">
        <f t="shared" ref="I44:I50" si="11">-H44+H$36</f>
        <v>3.3999999999996362</v>
      </c>
      <c r="J44" s="35"/>
      <c r="K44" s="33">
        <v>10174</v>
      </c>
      <c r="L44" s="34">
        <f t="shared" ref="L44:L50" si="12">-K44+K$36</f>
        <v>4.1000000000003638</v>
      </c>
      <c r="M44" s="35"/>
      <c r="N44" s="33">
        <v>10199.299999999999</v>
      </c>
      <c r="O44" s="34">
        <f t="shared" ref="O44:O50" si="13">-N44+N$36</f>
        <v>3.2000000000007276</v>
      </c>
      <c r="P44" s="35"/>
      <c r="Q44" s="33">
        <v>10560.7</v>
      </c>
      <c r="R44" s="34">
        <f t="shared" ref="R44:R50" si="14">-Q44+Q$36</f>
        <v>3.7999999999992724</v>
      </c>
      <c r="S44" s="35"/>
      <c r="T44" s="41">
        <v>2786.3</v>
      </c>
      <c r="U44" s="34">
        <f t="shared" ref="U44:U50" si="15">-T44+T$36</f>
        <v>0</v>
      </c>
      <c r="V44" s="42"/>
      <c r="W44" s="36"/>
    </row>
    <row r="45" spans="1:23" x14ac:dyDescent="0.2">
      <c r="A45" s="29">
        <v>44252</v>
      </c>
      <c r="B45" s="30">
        <f t="shared" si="8"/>
        <v>44252</v>
      </c>
      <c r="C45" s="31" t="s">
        <v>21</v>
      </c>
      <c r="D45" s="32">
        <f t="shared" si="9"/>
        <v>3575</v>
      </c>
      <c r="E45" s="33">
        <v>2842.0092716245631</v>
      </c>
      <c r="F45" s="34">
        <f t="shared" si="10"/>
        <v>0.39072837543699279</v>
      </c>
      <c r="G45" s="35"/>
      <c r="H45" s="33">
        <v>10575.265375393603</v>
      </c>
      <c r="I45" s="34">
        <f t="shared" si="11"/>
        <v>3.6346246063967556</v>
      </c>
      <c r="J45" s="35"/>
      <c r="K45" s="33">
        <v>10173.666035898757</v>
      </c>
      <c r="L45" s="34">
        <f t="shared" si="12"/>
        <v>4.4339641012429638</v>
      </c>
      <c r="M45" s="35"/>
      <c r="N45" s="33">
        <v>10199.838731078027</v>
      </c>
      <c r="O45" s="34">
        <f t="shared" si="13"/>
        <v>2.6612689219728054</v>
      </c>
      <c r="P45" s="35"/>
      <c r="Q45" s="33">
        <v>10561.044581384973</v>
      </c>
      <c r="R45" s="34">
        <f t="shared" si="14"/>
        <v>3.4554186150271562</v>
      </c>
      <c r="S45" s="35"/>
      <c r="T45" s="41">
        <v>2785.6792439188675</v>
      </c>
      <c r="U45" s="34">
        <f t="shared" si="15"/>
        <v>0.62075608113264025</v>
      </c>
      <c r="V45" s="42"/>
      <c r="W45" s="36"/>
    </row>
    <row r="46" spans="1:23" x14ac:dyDescent="0.2">
      <c r="A46" s="29">
        <v>44471</v>
      </c>
      <c r="B46" s="30">
        <f t="shared" si="8"/>
        <v>44471</v>
      </c>
      <c r="C46" s="31" t="s">
        <v>21</v>
      </c>
      <c r="D46" s="32">
        <f t="shared" si="9"/>
        <v>3794</v>
      </c>
      <c r="E46" s="33">
        <v>2841.9</v>
      </c>
      <c r="F46" s="34">
        <f t="shared" si="10"/>
        <v>0.5</v>
      </c>
      <c r="G46" s="35"/>
      <c r="H46" s="33">
        <v>10574.9</v>
      </c>
      <c r="I46" s="34">
        <f t="shared" si="11"/>
        <v>4</v>
      </c>
      <c r="J46" s="35"/>
      <c r="K46" s="33">
        <v>10173.5</v>
      </c>
      <c r="L46" s="34">
        <f t="shared" si="12"/>
        <v>4.6000000000003638</v>
      </c>
      <c r="M46" s="35"/>
      <c r="N46" s="33">
        <v>10199.6</v>
      </c>
      <c r="O46" s="34">
        <f t="shared" si="13"/>
        <v>2.8999999999996362</v>
      </c>
      <c r="P46" s="35"/>
      <c r="Q46" s="33">
        <v>10560.8</v>
      </c>
      <c r="R46" s="34">
        <f t="shared" si="14"/>
        <v>3.7000000000007276</v>
      </c>
      <c r="S46" s="35"/>
      <c r="T46" s="41">
        <v>2785.9</v>
      </c>
      <c r="U46" s="34">
        <f t="shared" si="15"/>
        <v>0.40000000000009095</v>
      </c>
      <c r="V46" s="42"/>
      <c r="W46" s="36"/>
    </row>
    <row r="47" spans="1:23" x14ac:dyDescent="0.2">
      <c r="A47" s="29">
        <v>44636</v>
      </c>
      <c r="B47" s="30">
        <f t="shared" si="8"/>
        <v>44636</v>
      </c>
      <c r="C47" s="31" t="s">
        <v>21</v>
      </c>
      <c r="D47" s="32">
        <f t="shared" si="9"/>
        <v>3959</v>
      </c>
      <c r="E47" s="33">
        <v>2841.7940002751548</v>
      </c>
      <c r="F47" s="34">
        <f t="shared" si="10"/>
        <v>0.60599972484533282</v>
      </c>
      <c r="G47" s="35"/>
      <c r="H47" s="33">
        <v>10575.7</v>
      </c>
      <c r="I47" s="34">
        <f t="shared" si="11"/>
        <v>3.1999999999989086</v>
      </c>
      <c r="J47" s="35"/>
      <c r="K47" s="33">
        <v>10173.84695088322</v>
      </c>
      <c r="L47" s="34">
        <f t="shared" si="12"/>
        <v>4.2530491167799482</v>
      </c>
      <c r="M47" s="35"/>
      <c r="N47" s="33">
        <v>10199.6</v>
      </c>
      <c r="O47" s="34">
        <f t="shared" si="13"/>
        <v>2.8999999999996362</v>
      </c>
      <c r="P47" s="35"/>
      <c r="Q47" s="33">
        <v>10560.455106670363</v>
      </c>
      <c r="R47" s="34">
        <f t="shared" si="14"/>
        <v>4.0448933296374889</v>
      </c>
      <c r="S47" s="35"/>
      <c r="T47" s="41">
        <v>2786.173994925653</v>
      </c>
      <c r="U47" s="34">
        <f t="shared" si="15"/>
        <v>0.12600507434717656</v>
      </c>
      <c r="V47" s="42"/>
      <c r="W47" s="36"/>
    </row>
    <row r="48" spans="1:23" x14ac:dyDescent="0.2">
      <c r="A48" s="29">
        <v>44822</v>
      </c>
      <c r="B48" s="30">
        <f t="shared" si="8"/>
        <v>44822</v>
      </c>
      <c r="C48" s="31" t="s">
        <v>21</v>
      </c>
      <c r="D48" s="32">
        <f t="shared" si="9"/>
        <v>4145</v>
      </c>
      <c r="E48" s="33">
        <v>2841.8</v>
      </c>
      <c r="F48" s="34">
        <f t="shared" si="10"/>
        <v>0.59999999999990905</v>
      </c>
      <c r="G48" s="35"/>
      <c r="H48" s="33">
        <v>10574.9</v>
      </c>
      <c r="I48" s="34">
        <f t="shared" si="11"/>
        <v>4</v>
      </c>
      <c r="J48" s="35"/>
      <c r="K48" s="33">
        <v>10173.1</v>
      </c>
      <c r="L48" s="34">
        <f t="shared" si="12"/>
        <v>5</v>
      </c>
      <c r="M48" s="35"/>
      <c r="N48" s="33">
        <v>10199.299999999999</v>
      </c>
      <c r="O48" s="34">
        <f t="shared" si="13"/>
        <v>3.2000000000007276</v>
      </c>
      <c r="P48" s="35"/>
      <c r="Q48" s="33">
        <v>10560.3</v>
      </c>
      <c r="R48" s="34">
        <f t="shared" si="14"/>
        <v>4.2000000000007276</v>
      </c>
      <c r="S48" s="35"/>
      <c r="T48" s="41">
        <v>2785.9</v>
      </c>
      <c r="U48" s="34">
        <f t="shared" si="15"/>
        <v>0.40000000000009095</v>
      </c>
      <c r="V48" s="42"/>
      <c r="W48" s="36"/>
    </row>
    <row r="49" spans="1:23" x14ac:dyDescent="0.2">
      <c r="A49" s="29">
        <v>45031</v>
      </c>
      <c r="B49" s="30">
        <f t="shared" si="8"/>
        <v>45031</v>
      </c>
      <c r="C49" s="31" t="s">
        <v>21</v>
      </c>
      <c r="D49" s="32">
        <f>A49-A$36</f>
        <v>4354</v>
      </c>
      <c r="E49" s="33">
        <v>2841.7</v>
      </c>
      <c r="F49" s="34">
        <f t="shared" si="10"/>
        <v>0.70000000000027285</v>
      </c>
      <c r="G49" s="35"/>
      <c r="H49" s="33">
        <v>10574.6</v>
      </c>
      <c r="I49" s="34">
        <f t="shared" si="11"/>
        <v>4.2999999999992724</v>
      </c>
      <c r="J49" s="35"/>
      <c r="K49" s="33">
        <v>10172.6</v>
      </c>
      <c r="L49" s="34">
        <f t="shared" si="12"/>
        <v>5.5</v>
      </c>
      <c r="M49" s="35"/>
      <c r="N49" s="33">
        <v>10198.9</v>
      </c>
      <c r="O49" s="34">
        <f t="shared" si="13"/>
        <v>3.6000000000003638</v>
      </c>
      <c r="P49" s="35"/>
      <c r="Q49" s="33">
        <v>10559.7</v>
      </c>
      <c r="R49" s="34">
        <f t="shared" si="14"/>
        <v>4.7999999999992724</v>
      </c>
      <c r="S49" s="35"/>
      <c r="T49" s="41">
        <v>2785.9</v>
      </c>
      <c r="U49" s="34">
        <f t="shared" si="15"/>
        <v>0.40000000000009095</v>
      </c>
      <c r="V49" s="42"/>
      <c r="W49" s="36"/>
    </row>
    <row r="50" spans="1:23" x14ac:dyDescent="0.2">
      <c r="A50" s="29">
        <v>45350</v>
      </c>
      <c r="B50" s="30">
        <f t="shared" si="8"/>
        <v>45350</v>
      </c>
      <c r="C50" s="31"/>
      <c r="D50" s="32">
        <f>A50-A$36</f>
        <v>4673</v>
      </c>
      <c r="E50" s="33">
        <v>2841.923373351211</v>
      </c>
      <c r="F50" s="34">
        <f t="shared" si="10"/>
        <v>0.4766266487890789</v>
      </c>
      <c r="G50" s="35"/>
      <c r="H50" s="33">
        <v>10574.033317046313</v>
      </c>
      <c r="I50" s="34">
        <f t="shared" si="11"/>
        <v>4.8666829536869045</v>
      </c>
      <c r="J50" s="35"/>
      <c r="K50" s="33">
        <v>10171.579186144438</v>
      </c>
      <c r="L50" s="34">
        <f t="shared" si="12"/>
        <v>6.5208138555626647</v>
      </c>
      <c r="M50" s="35"/>
      <c r="N50" s="33">
        <v>10199.127408263526</v>
      </c>
      <c r="O50" s="34">
        <f t="shared" si="13"/>
        <v>3.3725917364736233</v>
      </c>
      <c r="P50" s="35"/>
      <c r="Q50" s="33">
        <v>10559.632738878454</v>
      </c>
      <c r="R50" s="34">
        <f t="shared" si="14"/>
        <v>4.8672611215461075</v>
      </c>
      <c r="S50" s="35"/>
      <c r="T50" s="41">
        <v>2785.9693340020931</v>
      </c>
      <c r="U50" s="34">
        <f t="shared" si="15"/>
        <v>0.33066599790709006</v>
      </c>
      <c r="V50" s="42"/>
      <c r="W50" s="36"/>
    </row>
    <row r="51" spans="1:23" x14ac:dyDescent="0.2">
      <c r="A51" s="29">
        <v>45532</v>
      </c>
      <c r="B51" s="30">
        <f>A51</f>
        <v>45532</v>
      </c>
      <c r="C51" s="31"/>
      <c r="D51" s="32">
        <f>A51-A$36</f>
        <v>4855</v>
      </c>
      <c r="E51" s="33">
        <v>2841.8</v>
      </c>
      <c r="F51" s="34">
        <f>-E51+E$36</f>
        <v>0.59999999999990905</v>
      </c>
      <c r="G51" s="35"/>
      <c r="H51" s="33">
        <v>10574.2</v>
      </c>
      <c r="I51" s="34">
        <f>-H51+H$36</f>
        <v>4.6999999999989086</v>
      </c>
      <c r="J51" s="35"/>
      <c r="K51" s="33">
        <v>10172.299999999999</v>
      </c>
      <c r="L51" s="34">
        <f>-K51+K$36</f>
        <v>5.8000000000010914</v>
      </c>
      <c r="M51" s="35"/>
      <c r="N51" s="33">
        <v>10198.4</v>
      </c>
      <c r="O51" s="34">
        <f>-N51+N$36</f>
        <v>4.1000000000003638</v>
      </c>
      <c r="P51" s="35"/>
      <c r="Q51" s="33">
        <v>10559.5</v>
      </c>
      <c r="R51" s="34">
        <f>-Q51+Q$36</f>
        <v>5</v>
      </c>
      <c r="S51" s="35"/>
      <c r="T51" s="41">
        <v>2786.1</v>
      </c>
      <c r="U51" s="34">
        <f>-T51+T$36</f>
        <v>0.20000000000027285</v>
      </c>
      <c r="V51" s="42"/>
      <c r="W51" s="36"/>
    </row>
    <row r="52" spans="1:23" x14ac:dyDescent="0.2">
      <c r="A52" s="29">
        <v>45761</v>
      </c>
      <c r="B52" s="30">
        <f>A52</f>
        <v>45761</v>
      </c>
      <c r="C52" s="31"/>
      <c r="D52" s="32">
        <f>A52-A$36</f>
        <v>5084</v>
      </c>
      <c r="E52" s="33">
        <v>2841.8</v>
      </c>
      <c r="F52" s="34">
        <f>-E52+E$36</f>
        <v>0.59999999999990905</v>
      </c>
      <c r="G52" s="35"/>
      <c r="H52" s="33">
        <v>10574.2</v>
      </c>
      <c r="I52" s="34">
        <f>-H52+H$36</f>
        <v>4.6999999999989086</v>
      </c>
      <c r="J52" s="35"/>
      <c r="K52" s="33">
        <v>10172.299999999999</v>
      </c>
      <c r="L52" s="34">
        <f>-K52+K$36</f>
        <v>5.8000000000010914</v>
      </c>
      <c r="M52" s="35"/>
      <c r="N52" s="33">
        <v>10198.5</v>
      </c>
      <c r="O52" s="34">
        <f>-N52+N$36</f>
        <v>4</v>
      </c>
      <c r="P52" s="35"/>
      <c r="Q52" s="33">
        <v>10559.5</v>
      </c>
      <c r="R52" s="34">
        <f>-Q52+Q$36</f>
        <v>5</v>
      </c>
      <c r="S52" s="35"/>
      <c r="T52" s="41">
        <v>2786.2</v>
      </c>
      <c r="U52" s="34">
        <f>-T52+T$36</f>
        <v>0.1000000000003638</v>
      </c>
      <c r="V52" s="42"/>
      <c r="W52" s="36"/>
    </row>
    <row r="53" spans="1:23" ht="13.5" thickBot="1" x14ac:dyDescent="0.25">
      <c r="A53" s="57"/>
      <c r="B53" s="58"/>
      <c r="C53" s="58"/>
      <c r="D53" s="58"/>
      <c r="E53" s="59"/>
      <c r="F53" s="60"/>
      <c r="G53" s="61"/>
      <c r="H53" s="59"/>
      <c r="I53" s="60"/>
      <c r="J53" s="61"/>
      <c r="K53" s="59"/>
      <c r="L53" s="60"/>
      <c r="M53" s="61"/>
      <c r="N53" s="59"/>
      <c r="O53" s="60"/>
      <c r="P53" s="61"/>
      <c r="Q53" s="59"/>
      <c r="R53" s="60"/>
      <c r="S53" s="61"/>
      <c r="T53" s="62"/>
      <c r="U53" s="60"/>
      <c r="V53" s="63"/>
      <c r="W53" s="64"/>
    </row>
    <row r="54" spans="1:23" x14ac:dyDescent="0.2">
      <c r="B54" s="1"/>
      <c r="C54" s="1"/>
      <c r="D54" s="1"/>
    </row>
    <row r="55" spans="1:23" x14ac:dyDescent="0.2">
      <c r="B55" s="1"/>
      <c r="C55" s="1"/>
      <c r="D55" s="1"/>
    </row>
  </sheetData>
  <mergeCells count="3">
    <mergeCell ref="G10:L10"/>
    <mergeCell ref="G13:L13"/>
    <mergeCell ref="G16:L16"/>
  </mergeCells>
  <phoneticPr fontId="3" type="noConversion"/>
  <printOptions horizontalCentered="1" verticalCentered="1"/>
  <pageMargins left="0.35433070866141736" right="0.19685039370078741" top="0.23622047244094491" bottom="0.19685039370078741" header="0.31496062992125984" footer="0.27559055118110237"/>
  <pageSetup paperSize="9" scale="67" orientation="landscape" horizontalDpi="4294967294" verticalDpi="360" r:id="rId1"/>
  <headerFooter alignWithMargins="0">
    <oddHeader xml:space="preserve">&amp;C&amp;"Arial,Gras"&amp;24TUNNEL  DU FREJUS
Convergences optiques sur scoth-light&amp;16
&amp;R
</oddHeader>
    <oddFooter xml:space="preserve">&amp;R&amp;F
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14FAC-17E9-42FA-811C-4A1200F66754}">
  <sheetPr codeName="Feuil2"/>
  <dimension ref="A1:G18"/>
  <sheetViews>
    <sheetView zoomScale="80" workbookViewId="0">
      <selection activeCell="A17" sqref="A17:G18"/>
    </sheetView>
  </sheetViews>
  <sheetFormatPr baseColWidth="10" defaultRowHeight="12.75" x14ac:dyDescent="0.2"/>
  <cols>
    <col min="1" max="16384" width="11.42578125" style="39"/>
  </cols>
  <sheetData>
    <row r="1" spans="1:7" x14ac:dyDescent="0.2">
      <c r="A1" s="39" t="s">
        <v>17</v>
      </c>
      <c r="B1" s="38" t="s">
        <v>1</v>
      </c>
      <c r="C1" s="38" t="s">
        <v>2</v>
      </c>
      <c r="D1" s="38" t="s">
        <v>4</v>
      </c>
      <c r="E1" s="38" t="s">
        <v>3</v>
      </c>
      <c r="F1" s="38" t="s">
        <v>5</v>
      </c>
      <c r="G1" s="38" t="s">
        <v>16</v>
      </c>
    </row>
    <row r="2" spans="1:7" s="40" customFormat="1" x14ac:dyDescent="0.2">
      <c r="A2" s="46">
        <f>tableau!A36</f>
        <v>40677</v>
      </c>
      <c r="B2" s="40">
        <f>tableau!F36</f>
        <v>0</v>
      </c>
      <c r="C2" s="40">
        <f>tableau!I36</f>
        <v>0</v>
      </c>
      <c r="D2" s="40">
        <f>tableau!L36</f>
        <v>0</v>
      </c>
      <c r="E2" s="40">
        <f>tableau!O36</f>
        <v>0</v>
      </c>
      <c r="F2" s="40">
        <f>tableau!R36</f>
        <v>0</v>
      </c>
      <c r="G2" s="40">
        <f>tableau!U36</f>
        <v>0</v>
      </c>
    </row>
    <row r="3" spans="1:7" s="40" customFormat="1" x14ac:dyDescent="0.2">
      <c r="A3" s="46">
        <f>tableau!A37</f>
        <v>41300</v>
      </c>
      <c r="B3" s="40">
        <f>tableau!F37</f>
        <v>9.9999999999909051E-2</v>
      </c>
      <c r="C3" s="40">
        <f>tableau!I37</f>
        <v>-0.2000000000007276</v>
      </c>
      <c r="D3" s="40">
        <f>tableau!L37</f>
        <v>0.30000000000109139</v>
      </c>
      <c r="E3" s="40">
        <f>tableau!O37</f>
        <v>0.2000000000007276</v>
      </c>
      <c r="F3" s="40">
        <f>tableau!R37</f>
        <v>0.6000000000003638</v>
      </c>
      <c r="G3" s="40">
        <f>tableau!U37</f>
        <v>-0.59999999999990905</v>
      </c>
    </row>
    <row r="4" spans="1:7" x14ac:dyDescent="0.2">
      <c r="A4" s="46">
        <f>tableau!A38</f>
        <v>41957</v>
      </c>
      <c r="B4" s="40">
        <f>tableau!F38</f>
        <v>0.31118189455628453</v>
      </c>
      <c r="C4" s="40">
        <f>tableau!I38</f>
        <v>1.7554340029946616</v>
      </c>
      <c r="D4" s="40">
        <f>tableau!L38</f>
        <v>2.5294754544611351</v>
      </c>
      <c r="E4" s="40">
        <f>tableau!O38</f>
        <v>1.6635686086992791</v>
      </c>
      <c r="F4" s="40">
        <f>tableau!R38</f>
        <v>2.2407128020186065</v>
      </c>
      <c r="G4" s="40">
        <f>tableau!U38</f>
        <v>-0.37944873463720796</v>
      </c>
    </row>
    <row r="5" spans="1:7" x14ac:dyDescent="0.2">
      <c r="A5" s="46">
        <f>tableau!A39</f>
        <v>42438</v>
      </c>
      <c r="B5" s="40">
        <f>tableau!F39</f>
        <v>0.20000000000027285</v>
      </c>
      <c r="C5" s="40">
        <f>tableau!I39</f>
        <v>2.1000000000003638</v>
      </c>
      <c r="D5" s="40">
        <f>tableau!L39</f>
        <v>2.6000000000003638</v>
      </c>
      <c r="E5" s="40">
        <f>tableau!O39</f>
        <v>1.8999999999996362</v>
      </c>
      <c r="F5" s="40">
        <f>tableau!R39</f>
        <v>2.2000000000007276</v>
      </c>
      <c r="G5" s="40">
        <f>tableau!U39</f>
        <v>-0.1999999999998181</v>
      </c>
    </row>
    <row r="6" spans="1:7" x14ac:dyDescent="0.2">
      <c r="A6" s="46">
        <f>tableau!A40</f>
        <v>42817</v>
      </c>
      <c r="B6" s="40">
        <f>tableau!F40</f>
        <v>9.7996341696216405E-2</v>
      </c>
      <c r="C6" s="40">
        <f>tableau!I40</f>
        <v>2.3868066074937815</v>
      </c>
      <c r="D6" s="40">
        <f>tableau!L40</f>
        <v>3.1162845346352697</v>
      </c>
      <c r="E6" s="40">
        <f>tableau!O40</f>
        <v>1.6594204197226645</v>
      </c>
      <c r="F6" s="40">
        <f>tableau!R40</f>
        <v>2.1977050459681777</v>
      </c>
      <c r="G6" s="40">
        <f>tableau!U40</f>
        <v>-8.040475452753526E-2</v>
      </c>
    </row>
    <row r="7" spans="1:7" x14ac:dyDescent="0.2">
      <c r="A7" s="46">
        <f>tableau!A41</f>
        <v>43117</v>
      </c>
      <c r="B7" s="40">
        <f>tableau!F41</f>
        <v>0.70311081564386768</v>
      </c>
      <c r="C7" s="40">
        <f>tableau!I41</f>
        <v>2.9056836244290025</v>
      </c>
      <c r="D7" s="40">
        <f>tableau!L41</f>
        <v>3.4504664775377023</v>
      </c>
      <c r="E7" s="40">
        <f>tableau!O41</f>
        <v>2.2765843088418478</v>
      </c>
      <c r="F7" s="40">
        <f>tableau!R41</f>
        <v>2.8074850659140793</v>
      </c>
      <c r="G7" s="40">
        <f>tableau!U41</f>
        <v>0.1192933695128886</v>
      </c>
    </row>
    <row r="8" spans="1:7" x14ac:dyDescent="0.2">
      <c r="A8" s="46">
        <f>tableau!A42</f>
        <v>43523</v>
      </c>
      <c r="B8" s="40">
        <f>tableau!F42</f>
        <v>0.19452713213104289</v>
      </c>
      <c r="C8" s="40">
        <f>tableau!I42</f>
        <v>3.5810407436219975</v>
      </c>
      <c r="D8" s="40">
        <f>tableau!L42</f>
        <v>4.1969628164315509</v>
      </c>
      <c r="E8" s="40">
        <f>tableau!O42</f>
        <v>2.8487736089591635</v>
      </c>
      <c r="F8" s="40">
        <f>tableau!R42</f>
        <v>3.2448539472334232</v>
      </c>
      <c r="G8" s="40">
        <f>tableau!U42</f>
        <v>1.9744892843846173E-2</v>
      </c>
    </row>
    <row r="9" spans="1:7" x14ac:dyDescent="0.2">
      <c r="A9" s="46">
        <f>tableau!A43</f>
        <v>43880</v>
      </c>
      <c r="B9" s="40">
        <f>tableau!F43</f>
        <v>0.3000000000001819</v>
      </c>
      <c r="C9" s="40">
        <f>tableau!I43</f>
        <v>3.5</v>
      </c>
      <c r="D9" s="40">
        <f>tableau!L43</f>
        <v>4.3000000000010914</v>
      </c>
      <c r="E9" s="40">
        <f>tableau!O43</f>
        <v>3.1000000000003638</v>
      </c>
      <c r="F9" s="40">
        <f>tableau!R43</f>
        <v>3.8999999999996362</v>
      </c>
      <c r="G9" s="40">
        <f>tableau!U43</f>
        <v>0.1000000000003638</v>
      </c>
    </row>
    <row r="10" spans="1:7" x14ac:dyDescent="0.2">
      <c r="A10" s="46">
        <f>tableau!A44</f>
        <v>44160</v>
      </c>
      <c r="B10" s="40">
        <f>tableau!F44</f>
        <v>0.5</v>
      </c>
      <c r="C10" s="40">
        <f>tableau!I44</f>
        <v>3.3999999999996362</v>
      </c>
      <c r="D10" s="40">
        <f>tableau!L44</f>
        <v>4.1000000000003638</v>
      </c>
      <c r="E10" s="40">
        <f>tableau!O44</f>
        <v>3.2000000000007276</v>
      </c>
      <c r="F10" s="40">
        <f>tableau!R44</f>
        <v>3.7999999999992724</v>
      </c>
      <c r="G10" s="40">
        <f>tableau!U44</f>
        <v>0</v>
      </c>
    </row>
    <row r="11" spans="1:7" x14ac:dyDescent="0.2">
      <c r="A11" s="46">
        <f>tableau!A45</f>
        <v>44252</v>
      </c>
      <c r="B11" s="40">
        <f>tableau!F45</f>
        <v>0.39072837543699279</v>
      </c>
      <c r="C11" s="40">
        <f>tableau!I45</f>
        <v>3.6346246063967556</v>
      </c>
      <c r="D11" s="40">
        <f>tableau!L45</f>
        <v>4.4339641012429638</v>
      </c>
      <c r="E11" s="40">
        <f>tableau!O45</f>
        <v>2.6612689219728054</v>
      </c>
      <c r="F11" s="40">
        <f>tableau!R45</f>
        <v>3.4554186150271562</v>
      </c>
      <c r="G11" s="40">
        <f>tableau!U45</f>
        <v>0.62075608113264025</v>
      </c>
    </row>
    <row r="12" spans="1:7" x14ac:dyDescent="0.2">
      <c r="A12" s="46">
        <f>tableau!A46</f>
        <v>44471</v>
      </c>
      <c r="B12" s="40">
        <f>tableau!F46</f>
        <v>0.5</v>
      </c>
      <c r="C12" s="40">
        <f>tableau!I46</f>
        <v>4</v>
      </c>
      <c r="D12" s="40">
        <f>tableau!L46</f>
        <v>4.6000000000003638</v>
      </c>
      <c r="E12" s="40">
        <f>tableau!O46</f>
        <v>2.8999999999996362</v>
      </c>
      <c r="F12" s="40">
        <f>tableau!R46</f>
        <v>3.7000000000007276</v>
      </c>
      <c r="G12" s="40">
        <f>tableau!U46</f>
        <v>0.40000000000009095</v>
      </c>
    </row>
    <row r="13" spans="1:7" x14ac:dyDescent="0.2">
      <c r="A13" s="46">
        <f>tableau!A47</f>
        <v>44636</v>
      </c>
      <c r="B13" s="40">
        <f>tableau!F47</f>
        <v>0.60599972484533282</v>
      </c>
      <c r="C13" s="40">
        <f>tableau!I47</f>
        <v>3.1999999999989086</v>
      </c>
      <c r="D13" s="40">
        <f>tableau!L47</f>
        <v>4.2530491167799482</v>
      </c>
      <c r="E13" s="40">
        <f>tableau!O47</f>
        <v>2.8999999999996362</v>
      </c>
      <c r="F13" s="40">
        <f>tableau!R47</f>
        <v>4.0448933296374889</v>
      </c>
      <c r="G13" s="40">
        <f>tableau!U47</f>
        <v>0.12600507434717656</v>
      </c>
    </row>
    <row r="14" spans="1:7" x14ac:dyDescent="0.2">
      <c r="A14" s="46">
        <f>tableau!A48</f>
        <v>44822</v>
      </c>
      <c r="B14" s="40">
        <f>tableau!F48</f>
        <v>0.59999999999990905</v>
      </c>
      <c r="C14" s="40">
        <f>tableau!I48</f>
        <v>4</v>
      </c>
      <c r="D14" s="40">
        <f>tableau!L48</f>
        <v>5</v>
      </c>
      <c r="E14" s="40">
        <f>tableau!O48</f>
        <v>3.2000000000007276</v>
      </c>
      <c r="F14" s="40">
        <f>tableau!R48</f>
        <v>4.2000000000007276</v>
      </c>
      <c r="G14" s="40">
        <f>tableau!U48</f>
        <v>0.40000000000009095</v>
      </c>
    </row>
    <row r="15" spans="1:7" x14ac:dyDescent="0.2">
      <c r="A15" s="46">
        <f>tableau!A49</f>
        <v>45031</v>
      </c>
      <c r="B15" s="40">
        <f>tableau!F49</f>
        <v>0.70000000000027285</v>
      </c>
      <c r="C15" s="40">
        <f>tableau!I49</f>
        <v>4.2999999999992724</v>
      </c>
      <c r="D15" s="40">
        <f>tableau!L49</f>
        <v>5.5</v>
      </c>
      <c r="E15" s="40">
        <f>tableau!O49</f>
        <v>3.6000000000003638</v>
      </c>
      <c r="F15" s="40">
        <f>tableau!R49</f>
        <v>4.7999999999992724</v>
      </c>
      <c r="G15" s="40">
        <f>tableau!U49</f>
        <v>0.40000000000009095</v>
      </c>
    </row>
    <row r="16" spans="1:7" x14ac:dyDescent="0.2">
      <c r="A16" s="46">
        <f>tableau!A50</f>
        <v>45350</v>
      </c>
      <c r="B16" s="40">
        <f>tableau!F50</f>
        <v>0.4766266487890789</v>
      </c>
      <c r="C16" s="40">
        <f>tableau!I50</f>
        <v>4.8666829536869045</v>
      </c>
      <c r="D16" s="40">
        <f>tableau!L50</f>
        <v>6.5208138555626647</v>
      </c>
      <c r="E16" s="40">
        <f>tableau!O50</f>
        <v>3.3725917364736233</v>
      </c>
      <c r="F16" s="40">
        <f>tableau!R50</f>
        <v>4.8672611215461075</v>
      </c>
      <c r="G16" s="40">
        <f>tableau!U50</f>
        <v>0.33066599790709006</v>
      </c>
    </row>
    <row r="17" spans="1:7" x14ac:dyDescent="0.2">
      <c r="A17" s="46">
        <f>tableau!A51</f>
        <v>45532</v>
      </c>
      <c r="B17" s="40">
        <f>tableau!F51</f>
        <v>0.59999999999990905</v>
      </c>
      <c r="C17" s="40">
        <f>tableau!I51</f>
        <v>4.6999999999989086</v>
      </c>
      <c r="D17" s="40">
        <f>tableau!L51</f>
        <v>5.8000000000010914</v>
      </c>
      <c r="E17" s="40">
        <f>tableau!O51</f>
        <v>4.1000000000003638</v>
      </c>
      <c r="F17" s="40">
        <f>tableau!R51</f>
        <v>5</v>
      </c>
      <c r="G17" s="40">
        <f>tableau!U51</f>
        <v>0.20000000000027285</v>
      </c>
    </row>
    <row r="18" spans="1:7" x14ac:dyDescent="0.2">
      <c r="A18" s="46">
        <f>tableau!A52</f>
        <v>45761</v>
      </c>
      <c r="B18" s="40">
        <f>tableau!F52</f>
        <v>0.59999999999990905</v>
      </c>
      <c r="C18" s="40">
        <f>tableau!I52</f>
        <v>4.6999999999989086</v>
      </c>
      <c r="D18" s="40">
        <f>tableau!L52</f>
        <v>5.8000000000010914</v>
      </c>
      <c r="E18" s="40">
        <f>tableau!O52</f>
        <v>4</v>
      </c>
      <c r="F18" s="40">
        <f>tableau!R52</f>
        <v>5</v>
      </c>
      <c r="G18" s="40">
        <f>tableau!U52</f>
        <v>0.1000000000003638</v>
      </c>
    </row>
  </sheetData>
  <phoneticPr fontId="3" type="noConversion"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03FD9-36C4-4A24-AC89-33CA5EA829CB}">
  <sheetPr codeName="Feuil3"/>
  <dimension ref="A1"/>
  <sheetViews>
    <sheetView workbookViewId="0">
      <selection activeCell="E29" sqref="E29"/>
    </sheetView>
  </sheetViews>
  <sheetFormatPr baseColWidth="10" defaultRowHeight="12.75" x14ac:dyDescent="0.2"/>
  <sheetData/>
  <phoneticPr fontId="3" type="noConversion"/>
  <printOptions gridLines="1" gridLinesSet="0"/>
  <pageMargins left="0.78740157499999996" right="0.78740157499999996" top="0.984251969" bottom="0.984251969" header="0.4921259845" footer="0.4921259845"/>
  <pageSetup paperSize="9" orientation="portrait" horizontalDpi="360" verticalDpi="360" r:id="rId1"/>
  <headerFooter alignWithMargins="0">
    <oddHeader>&amp;A</oddHead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tableau</vt:lpstr>
      <vt:lpstr>recap graphique</vt:lpstr>
      <vt:lpstr>graph84mois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02</dc:creator>
  <cp:lastModifiedBy>olivier boissard</cp:lastModifiedBy>
  <cp:lastPrinted>2024-09-05T06:34:41Z</cp:lastPrinted>
  <dcterms:created xsi:type="dcterms:W3CDTF">2001-01-10T09:05:43Z</dcterms:created>
  <dcterms:modified xsi:type="dcterms:W3CDTF">2025-07-09T12:44:04Z</dcterms:modified>
</cp:coreProperties>
</file>