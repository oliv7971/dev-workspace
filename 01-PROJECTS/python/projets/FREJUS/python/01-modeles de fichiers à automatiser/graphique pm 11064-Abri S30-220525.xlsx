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FREJUS\01-modeles de fichiers à automatiser\"/>
    </mc:Choice>
  </mc:AlternateContent>
  <xr:revisionPtr revIDLastSave="0" documentId="8_{88373249-1B8B-426B-9F06-C613CC764BED}" xr6:coauthVersionLast="47" xr6:coauthVersionMax="47" xr10:uidLastSave="{00000000-0000-0000-0000-000000000000}"/>
  <bookViews>
    <workbookView xWindow="57480" yWindow="-120" windowWidth="25440" windowHeight="15390" tabRatio="626" activeTab="2" xr2:uid="{1363C093-E57B-47B3-8CE1-528376590EC0}"/>
  </bookViews>
  <sheets>
    <sheet name="tableau" sheetId="1" r:id="rId1"/>
    <sheet name="recap graphique" sheetId="2" r:id="rId2"/>
    <sheet name="graph84mois " sheetId="5" r:id="rId3"/>
  </sheets>
  <externalReferences>
    <externalReference r:id="rId4"/>
  </externalReferences>
  <definedNames>
    <definedName name="_xlnm.Print_Area" localSheetId="0">tableau!$A$1:$W$43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7" i="1" l="1"/>
  <c r="R37" i="1"/>
  <c r="O37" i="1"/>
  <c r="L37" i="1"/>
  <c r="I37" i="1"/>
  <c r="F37" i="1"/>
  <c r="B37" i="1"/>
  <c r="D37" i="1"/>
  <c r="V37" i="1"/>
  <c r="A6" i="2"/>
  <c r="B6" i="2"/>
  <c r="C6" i="2"/>
  <c r="F6" i="2"/>
  <c r="R36" i="1"/>
  <c r="O36" i="1"/>
  <c r="E6" i="2" s="1"/>
  <c r="L36" i="1"/>
  <c r="D6" i="2" s="1"/>
  <c r="M36" i="1"/>
  <c r="I36" i="1"/>
  <c r="J36" i="1"/>
  <c r="F36" i="1"/>
  <c r="G36" i="1"/>
  <c r="U36" i="1"/>
  <c r="G6" i="2" s="1"/>
  <c r="D36" i="1"/>
  <c r="V36" i="1"/>
  <c r="B36" i="1"/>
  <c r="A5" i="2"/>
  <c r="I35" i="1"/>
  <c r="C5" i="2"/>
  <c r="L35" i="1"/>
  <c r="L45" i="1" s="1" a="1"/>
  <c r="L45" i="1" s="1"/>
  <c r="D5" i="2"/>
  <c r="O35" i="1"/>
  <c r="E5" i="2" s="1"/>
  <c r="R35" i="1"/>
  <c r="F5" i="2"/>
  <c r="U35" i="1"/>
  <c r="G5" i="2"/>
  <c r="D35" i="1"/>
  <c r="S36" i="1" s="1"/>
  <c r="F35" i="1"/>
  <c r="B5" i="2"/>
  <c r="B35" i="1"/>
  <c r="A4" i="2"/>
  <c r="D4" i="2"/>
  <c r="E4" i="2"/>
  <c r="F4" i="2"/>
  <c r="G4" i="2"/>
  <c r="D34" i="1"/>
  <c r="P34" i="1" s="1"/>
  <c r="U34" i="1"/>
  <c r="R34" i="1"/>
  <c r="O34" i="1"/>
  <c r="L34" i="1"/>
  <c r="I34" i="1"/>
  <c r="C4" i="2"/>
  <c r="F34" i="1"/>
  <c r="B4" i="2" s="1"/>
  <c r="B34" i="1"/>
  <c r="A3" i="2"/>
  <c r="A2" i="2"/>
  <c r="U33" i="1"/>
  <c r="G3" i="2"/>
  <c r="R33" i="1"/>
  <c r="F3" i="2" s="1"/>
  <c r="O33" i="1"/>
  <c r="E3" i="2"/>
  <c r="L33" i="1"/>
  <c r="D3" i="2"/>
  <c r="I33" i="1"/>
  <c r="C3" i="2"/>
  <c r="F33" i="1"/>
  <c r="B3" i="2"/>
  <c r="D33" i="1"/>
  <c r="V33" i="1" s="1"/>
  <c r="G33" i="1"/>
  <c r="M33" i="1"/>
  <c r="B33" i="1"/>
  <c r="U32" i="1"/>
  <c r="U45" i="1" s="1" a="1"/>
  <c r="U45" i="1" s="1"/>
  <c r="G2" i="2"/>
  <c r="R32" i="1"/>
  <c r="F2" i="2" s="1"/>
  <c r="O32" i="1"/>
  <c r="O45" i="1" s="1" a="1"/>
  <c r="O45" i="1" s="1"/>
  <c r="E2" i="2"/>
  <c r="L32" i="1"/>
  <c r="D2" i="2"/>
  <c r="I32" i="1"/>
  <c r="I45" i="1" s="1" a="1"/>
  <c r="I45" i="1" s="1"/>
  <c r="C2" i="2"/>
  <c r="F32" i="1"/>
  <c r="F45" i="1" s="1" a="1"/>
  <c r="F45" i="1" s="1"/>
  <c r="B2" i="2"/>
  <c r="D32" i="1"/>
  <c r="B32" i="1"/>
  <c r="V34" i="1"/>
  <c r="V35" i="1"/>
  <c r="G34" i="1"/>
  <c r="P37" i="1"/>
  <c r="S37" i="1"/>
  <c r="M37" i="1"/>
  <c r="G37" i="1"/>
  <c r="J37" i="1"/>
  <c r="S35" i="1" l="1"/>
  <c r="P35" i="1"/>
  <c r="J33" i="1"/>
  <c r="P36" i="1"/>
  <c r="J35" i="1"/>
  <c r="M35" i="1"/>
  <c r="S33" i="1"/>
  <c r="G35" i="1"/>
  <c r="P33" i="1"/>
  <c r="M34" i="1"/>
  <c r="S34" i="1"/>
  <c r="R45" i="1" a="1"/>
  <c r="R45" i="1" s="1"/>
  <c r="J34" i="1"/>
</calcChain>
</file>

<file path=xl/sharedStrings.xml><?xml version="1.0" encoding="utf-8"?>
<sst xmlns="http://schemas.openxmlformats.org/spreadsheetml/2006/main" count="60" uniqueCount="26">
  <si>
    <t>CONVERGENCES</t>
  </si>
  <si>
    <t>base 1-2</t>
  </si>
  <si>
    <t>base 1-3</t>
  </si>
  <si>
    <t>base 2-3</t>
  </si>
  <si>
    <t>base 1-4</t>
  </si>
  <si>
    <t>base 2-4</t>
  </si>
  <si>
    <t>Remarques</t>
  </si>
  <si>
    <t>mesures</t>
  </si>
  <si>
    <t>vit</t>
  </si>
  <si>
    <t>Date</t>
  </si>
  <si>
    <t>Jour</t>
  </si>
  <si>
    <t>Heure</t>
  </si>
  <si>
    <t>j/mes</t>
  </si>
  <si>
    <t>LONG</t>
  </si>
  <si>
    <t>CONV</t>
  </si>
  <si>
    <t>base 3-4</t>
  </si>
  <si>
    <t>nbr. Jours</t>
  </si>
  <si>
    <t>point 0   G.G.C.</t>
  </si>
  <si>
    <t>23h</t>
  </si>
  <si>
    <t>Pm nouveau 2011</t>
  </si>
  <si>
    <t>mm/an</t>
  </si>
  <si>
    <t>variation</t>
  </si>
  <si>
    <t>n - (n-1)</t>
  </si>
  <si>
    <t>Mesure sur prismes Bohnenstingl : constante pour Leica +23.1mm</t>
  </si>
  <si>
    <t>A coté abri S30</t>
  </si>
  <si>
    <t>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</si>
</sst>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ddd"/>
    <numFmt numFmtId="175" formatCode="0.0"/>
    <numFmt numFmtId="184" formatCode="[$-40C]d\-mmm\-yy;@"/>
  </numFmts>
  <fonts count="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7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75" fontId="0" fillId="0" borderId="0" xfId="0" applyNumberFormat="1" applyBorder="1" applyAlignment="1">
      <alignment horizontal="centerContinuous"/>
    </xf>
    <xf numFmtId="175" fontId="0" fillId="0" borderId="0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0" borderId="2" xfId="0" applyNumberFormat="1" applyBorder="1" applyAlignment="1">
      <alignment horizontal="centerContinuous"/>
    </xf>
    <xf numFmtId="175" fontId="0" fillId="0" borderId="3" xfId="0" applyNumberFormat="1" applyBorder="1" applyAlignment="1">
      <alignment horizontal="center"/>
    </xf>
    <xf numFmtId="175" fontId="0" fillId="0" borderId="4" xfId="0" quotePrefix="1" applyNumberFormat="1" applyBorder="1" applyAlignment="1">
      <alignment horizontal="center"/>
    </xf>
    <xf numFmtId="175" fontId="0" fillId="0" borderId="5" xfId="0" quotePrefix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7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2" fillId="0" borderId="11" xfId="0" applyFont="1" applyBorder="1" applyAlignment="1">
      <alignment horizontal="centerContinuous"/>
    </xf>
    <xf numFmtId="175" fontId="2" fillId="0" borderId="11" xfId="0" applyNumberFormat="1" applyFont="1" applyBorder="1" applyAlignment="1">
      <alignment horizontal="centerContinuous"/>
    </xf>
    <xf numFmtId="175" fontId="0" fillId="0" borderId="11" xfId="0" applyNumberFormat="1" applyBorder="1" applyAlignment="1">
      <alignment horizontal="centerContinuous"/>
    </xf>
    <xf numFmtId="175" fontId="0" fillId="0" borderId="12" xfId="0" applyNumberForma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0" fillId="0" borderId="2" xfId="0" applyBorder="1"/>
    <xf numFmtId="0" fontId="0" fillId="0" borderId="3" xfId="0" applyBorder="1" applyAlignment="1">
      <alignment horizontal="center"/>
    </xf>
    <xf numFmtId="175" fontId="2" fillId="0" borderId="14" xfId="0" applyNumberFormat="1" applyFont="1" applyBorder="1" applyAlignment="1">
      <alignment horizontal="centerContinuous"/>
    </xf>
    <xf numFmtId="175" fontId="0" fillId="0" borderId="15" xfId="0" applyNumberFormat="1" applyBorder="1" applyAlignment="1">
      <alignment horizontal="centerContinuous"/>
    </xf>
    <xf numFmtId="175" fontId="0" fillId="0" borderId="16" xfId="0" applyNumberFormat="1" applyBorder="1" applyAlignment="1">
      <alignment horizontal="center"/>
    </xf>
    <xf numFmtId="175" fontId="2" fillId="0" borderId="14" xfId="0" quotePrefix="1" applyNumberFormat="1" applyFont="1" applyBorder="1" applyAlignment="1">
      <alignment horizontal="centerContinuous"/>
    </xf>
    <xf numFmtId="15" fontId="0" fillId="0" borderId="2" xfId="0" applyNumberFormat="1" applyBorder="1" applyAlignment="1">
      <alignment horizontal="center"/>
    </xf>
    <xf numFmtId="174" fontId="0" fillId="0" borderId="17" xfId="0" applyNumberFormat="1" applyBorder="1" applyAlignment="1">
      <alignment horizontal="center"/>
    </xf>
    <xf numFmtId="175" fontId="0" fillId="0" borderId="15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75" fontId="0" fillId="0" borderId="19" xfId="0" applyNumberFormat="1" applyBorder="1" applyAlignment="1">
      <alignment horizontal="center"/>
    </xf>
    <xf numFmtId="175" fontId="0" fillId="0" borderId="17" xfId="0" applyNumberFormat="1" applyBorder="1" applyAlignment="1">
      <alignment horizontal="center"/>
    </xf>
    <xf numFmtId="175" fontId="0" fillId="0" borderId="18" xfId="0" applyNumberFormat="1" applyBorder="1" applyAlignment="1">
      <alignment horizontal="center"/>
    </xf>
    <xf numFmtId="175" fontId="0" fillId="0" borderId="2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21" xfId="0" applyNumberFormat="1" applyBorder="1" applyAlignment="1">
      <alignment horizontal="center"/>
    </xf>
    <xf numFmtId="175" fontId="0" fillId="0" borderId="22" xfId="0" applyNumberFormat="1" applyBorder="1" applyAlignment="1">
      <alignment horizontal="center"/>
    </xf>
    <xf numFmtId="15" fontId="0" fillId="0" borderId="23" xfId="0" applyNumberFormat="1" applyBorder="1" applyAlignment="1">
      <alignment horizontal="center"/>
    </xf>
    <xf numFmtId="174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75" fontId="0" fillId="0" borderId="26" xfId="0" applyNumberFormat="1" applyBorder="1" applyAlignment="1">
      <alignment horizontal="center"/>
    </xf>
    <xf numFmtId="175" fontId="0" fillId="0" borderId="24" xfId="0" applyNumberFormat="1" applyBorder="1" applyAlignment="1">
      <alignment horizontal="center"/>
    </xf>
    <xf numFmtId="175" fontId="0" fillId="0" borderId="25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75" fontId="2" fillId="0" borderId="10" xfId="0" applyNumberFormat="1" applyFont="1" applyBorder="1" applyAlignment="1">
      <alignment horizontal="centerContinuous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8" xfId="0" applyBorder="1" applyAlignment="1">
      <alignment horizontal="center"/>
    </xf>
    <xf numFmtId="175" fontId="0" fillId="0" borderId="29" xfId="0" applyNumberFormat="1" applyBorder="1" applyAlignment="1">
      <alignment horizontal="center"/>
    </xf>
    <xf numFmtId="175" fontId="0" fillId="0" borderId="30" xfId="0" applyNumberFormat="1" applyBorder="1" applyAlignment="1">
      <alignment horizontal="center"/>
    </xf>
    <xf numFmtId="175" fontId="0" fillId="0" borderId="31" xfId="0" applyNumberFormat="1" applyBorder="1" applyAlignment="1">
      <alignment horizontal="center"/>
    </xf>
    <xf numFmtId="175" fontId="0" fillId="0" borderId="32" xfId="0" applyNumberFormat="1" applyBorder="1" applyAlignment="1">
      <alignment horizontal="center"/>
    </xf>
    <xf numFmtId="175" fontId="0" fillId="0" borderId="33" xfId="0" applyNumberFormat="1" applyBorder="1" applyAlignment="1">
      <alignment horizontal="center"/>
    </xf>
    <xf numFmtId="175" fontId="0" fillId="0" borderId="34" xfId="0" applyNumberFormat="1" applyBorder="1" applyAlignment="1">
      <alignment horizontal="center"/>
    </xf>
    <xf numFmtId="175" fontId="0" fillId="0" borderId="35" xfId="0" applyNumberFormat="1" applyBorder="1" applyAlignment="1">
      <alignment horizontal="center"/>
    </xf>
    <xf numFmtId="175" fontId="0" fillId="0" borderId="36" xfId="0" applyNumberFormat="1" applyBorder="1" applyAlignment="1">
      <alignment horizontal="center"/>
    </xf>
    <xf numFmtId="175" fontId="6" fillId="0" borderId="0" xfId="0" applyNumberFormat="1" applyFont="1"/>
    <xf numFmtId="175" fontId="3" fillId="0" borderId="0" xfId="0" applyNumberFormat="1" applyFont="1"/>
    <xf numFmtId="1" fontId="6" fillId="0" borderId="3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84" fontId="0" fillId="0" borderId="0" xfId="0" applyNumberFormat="1" applyAlignment="1">
      <alignment horizontal="center"/>
    </xf>
    <xf numFmtId="0" fontId="1" fillId="0" borderId="24" xfId="0" applyFont="1" applyBorder="1" applyAlignment="1">
      <alignment horizontal="center"/>
    </xf>
    <xf numFmtId="175" fontId="8" fillId="0" borderId="0" xfId="0" applyNumberFormat="1" applyFont="1"/>
    <xf numFmtId="1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75" fontId="0" fillId="0" borderId="40" xfId="0" applyNumberFormat="1" applyBorder="1" applyAlignment="1">
      <alignment horizontal="center"/>
    </xf>
    <xf numFmtId="175" fontId="0" fillId="0" borderId="39" xfId="0" applyNumberFormat="1" applyBorder="1" applyAlignment="1">
      <alignment horizontal="center"/>
    </xf>
    <xf numFmtId="175" fontId="0" fillId="0" borderId="41" xfId="0" applyNumberFormat="1" applyBorder="1" applyAlignment="1">
      <alignment horizontal="center"/>
    </xf>
    <xf numFmtId="175" fontId="0" fillId="0" borderId="42" xfId="0" applyNumberFormat="1" applyBorder="1" applyAlignment="1">
      <alignment horizontal="center"/>
    </xf>
    <xf numFmtId="175" fontId="0" fillId="0" borderId="43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175" fontId="6" fillId="0" borderId="37" xfId="0" applyNumberFormat="1" applyFont="1" applyBorder="1" applyAlignment="1">
      <alignment horizont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451202263083446E-2"/>
          <c:y val="5.1111222029561698E-2"/>
          <c:w val="0.86987270155586982"/>
          <c:h val="0.813335098383460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'recap graphique'!$B$1</c:f>
              <c:strCache>
                <c:ptCount val="1"/>
                <c:pt idx="0">
                  <c:v>base 1-2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graphique'!$B$2:$B$22</c:f>
              <c:numCache>
                <c:formatCode>0.0</c:formatCode>
                <c:ptCount val="21"/>
                <c:pt idx="0">
                  <c:v>0</c:v>
                </c:pt>
                <c:pt idx="1">
                  <c:v>0.3000000000001819</c:v>
                </c:pt>
                <c:pt idx="2">
                  <c:v>0.3000000000001819</c:v>
                </c:pt>
                <c:pt idx="3">
                  <c:v>0.3000000000001819</c:v>
                </c:pt>
                <c:pt idx="4">
                  <c:v>-7.0842356872162782E-3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9-4895-AE57-3913C2E04418}"/>
            </c:ext>
          </c:extLst>
        </c:ser>
        <c:ser>
          <c:idx val="1"/>
          <c:order val="1"/>
          <c:tx>
            <c:strRef>
              <c:f>'recap graphique'!$C$1</c:f>
              <c:strCache>
                <c:ptCount val="1"/>
                <c:pt idx="0">
                  <c:v>base 1-3</c:v>
                </c:pt>
              </c:strCache>
            </c:strRef>
          </c:tx>
          <c:spPr>
            <a:ln w="12700">
              <a:solidFill>
                <a:srgbClr val="FF00FF"/>
              </a:solidFill>
              <a:prstDash val="lg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graphique'!$C$2:$C$22</c:f>
              <c:numCache>
                <c:formatCode>0.0</c:formatCode>
                <c:ptCount val="21"/>
                <c:pt idx="0">
                  <c:v>0</c:v>
                </c:pt>
                <c:pt idx="1">
                  <c:v>2.2999999999992724</c:v>
                </c:pt>
                <c:pt idx="2">
                  <c:v>0.52639362463924044</c:v>
                </c:pt>
                <c:pt idx="3">
                  <c:v>2.1999999999989086</c:v>
                </c:pt>
                <c:pt idx="4">
                  <c:v>1.2130279005577904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9-4895-AE57-3913C2E04418}"/>
            </c:ext>
          </c:extLst>
        </c:ser>
        <c:ser>
          <c:idx val="2"/>
          <c:order val="2"/>
          <c:tx>
            <c:strRef>
              <c:f>'recap graphique'!$D$1</c:f>
              <c:strCache>
                <c:ptCount val="1"/>
                <c:pt idx="0">
                  <c:v>base 1-4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graphique'!$D$2:$D$22</c:f>
              <c:numCache>
                <c:formatCode>0.0</c:formatCode>
                <c:ptCount val="21"/>
                <c:pt idx="0">
                  <c:v>0</c:v>
                </c:pt>
                <c:pt idx="1">
                  <c:v>0.7000000000007276</c:v>
                </c:pt>
                <c:pt idx="2">
                  <c:v>0.38955199551310216</c:v>
                </c:pt>
                <c:pt idx="3">
                  <c:v>0.8999999999996362</c:v>
                </c:pt>
                <c:pt idx="4">
                  <c:v>1.1423974079571053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29-4895-AE57-3913C2E04418}"/>
            </c:ext>
          </c:extLst>
        </c:ser>
        <c:ser>
          <c:idx val="4"/>
          <c:order val="3"/>
          <c:tx>
            <c:strRef>
              <c:f>'recap graphique'!$E$1</c:f>
              <c:strCache>
                <c:ptCount val="1"/>
                <c:pt idx="0">
                  <c:v>base 2-3</c:v>
                </c:pt>
              </c:strCache>
            </c:strRef>
          </c:tx>
          <c:spPr>
            <a:ln w="12700">
              <a:solidFill>
                <a:srgbClr val="800080"/>
              </a:solidFill>
              <a:prstDash val="lgDashDotDot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graphique'!$E$2:$E$22</c:f>
              <c:numCache>
                <c:formatCode>0.0</c:formatCode>
                <c:ptCount val="21"/>
                <c:pt idx="0">
                  <c:v>0</c:v>
                </c:pt>
                <c:pt idx="1">
                  <c:v>2.3999999999996362</c:v>
                </c:pt>
                <c:pt idx="2">
                  <c:v>0.50948865500322427</c:v>
                </c:pt>
                <c:pt idx="3">
                  <c:v>2.1000000000003638</c:v>
                </c:pt>
                <c:pt idx="4">
                  <c:v>1.6054837662377395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29-4895-AE57-3913C2E04418}"/>
            </c:ext>
          </c:extLst>
        </c:ser>
        <c:ser>
          <c:idx val="5"/>
          <c:order val="4"/>
          <c:tx>
            <c:strRef>
              <c:f>'recap graphique'!$F$1</c:f>
              <c:strCache>
                <c:ptCount val="1"/>
                <c:pt idx="0">
                  <c:v>base 2-4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graphique'!$F$2:$F$22</c:f>
              <c:numCache>
                <c:formatCode>0.0</c:formatCode>
                <c:ptCount val="21"/>
                <c:pt idx="0">
                  <c:v>0</c:v>
                </c:pt>
                <c:pt idx="1">
                  <c:v>1.0999999999985448</c:v>
                </c:pt>
                <c:pt idx="2">
                  <c:v>0.43173337785810872</c:v>
                </c:pt>
                <c:pt idx="3">
                  <c:v>1.0999999999985448</c:v>
                </c:pt>
                <c:pt idx="4">
                  <c:v>1.4981862774475303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29-4895-AE57-3913C2E04418}"/>
            </c:ext>
          </c:extLst>
        </c:ser>
        <c:ser>
          <c:idx val="7"/>
          <c:order val="5"/>
          <c:tx>
            <c:strRef>
              <c:f>'recap graphique'!$G$1</c:f>
              <c:strCache>
                <c:ptCount val="1"/>
                <c:pt idx="0">
                  <c:v>base 3-4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44001</c:v>
                </c:pt>
                <c:pt idx="1">
                  <c:v>44252</c:v>
                </c:pt>
                <c:pt idx="2">
                  <c:v>44635</c:v>
                </c:pt>
                <c:pt idx="3">
                  <c:v>45032</c:v>
                </c:pt>
                <c:pt idx="4">
                  <c:v>45364</c:v>
                </c:pt>
              </c:numCache>
            </c:numRef>
          </c:xVal>
          <c:yVal>
            <c:numRef>
              <c:f>'recap graphique'!$G$2:$G$22</c:f>
              <c:numCache>
                <c:formatCode>0.0</c:formatCode>
                <c:ptCount val="21"/>
                <c:pt idx="0">
                  <c:v>0</c:v>
                </c:pt>
                <c:pt idx="1">
                  <c:v>0.8000000000001819</c:v>
                </c:pt>
                <c:pt idx="2">
                  <c:v>5.0568426891913987E-2</c:v>
                </c:pt>
                <c:pt idx="3">
                  <c:v>1</c:v>
                </c:pt>
                <c:pt idx="4">
                  <c:v>0.35254941282346408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29-4895-AE57-3913C2E04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85567"/>
        <c:axId val="1"/>
      </c:scatterChart>
      <c:valAx>
        <c:axId val="620385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Temps(jours)</a:t>
                </a:r>
              </a:p>
            </c:rich>
          </c:tx>
          <c:layout>
            <c:manualLayout>
              <c:xMode val="edge"/>
              <c:yMode val="edge"/>
              <c:x val="0.86280056577086284"/>
              <c:y val="0.78222385535141437"/>
            </c:manualLayout>
          </c:layout>
          <c:overlay val="0"/>
          <c:spPr>
            <a:noFill/>
            <a:ln w="25400">
              <a:noFill/>
            </a:ln>
          </c:spPr>
        </c:title>
        <c:numFmt formatCode="[$-40C]d\-mmm\-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28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-1"/>
        <c:crossBetween val="midCat"/>
        <c:majorUnit val="90"/>
        <c:minorUnit val="90"/>
      </c:valAx>
      <c:valAx>
        <c:axId val="1"/>
        <c:scaling>
          <c:orientation val="minMax"/>
          <c:max val="16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Convergence mm</a:t>
                </a:r>
              </a:p>
            </c:rich>
          </c:tx>
          <c:layout>
            <c:manualLayout>
              <c:xMode val="edge"/>
              <c:yMode val="edge"/>
              <c:x val="1.8387553041018388E-2"/>
              <c:y val="0.362222922134733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0385567"/>
        <c:crossesAt val="-1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104667609618105"/>
          <c:y val="0.04"/>
          <c:w val="0.77934936350777928"/>
          <c:h val="7.11113444152814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&amp;C&amp;"Arial,Gras"&amp;16TUNNEL DU FREJUS
&amp;14Convergences optiques sur anneau pm France 11064 - S30</c:oddHeader>
    </c:headerFooter>
    <c:pageMargins b="0.98425196850393704" l="0.19685039370078741" r="0.19685039370078741" t="1.299212598425197" header="0.51181102362204722" footer="0.51181102362204722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66675</xdr:rowOff>
    </xdr:from>
    <xdr:to>
      <xdr:col>5</xdr:col>
      <xdr:colOff>438150</xdr:colOff>
      <xdr:row>11</xdr:row>
      <xdr:rowOff>104775</xdr:rowOff>
    </xdr:to>
    <xdr:pic>
      <xdr:nvPicPr>
        <xdr:cNvPr id="5839" name="Picture 13" descr="Logo Infra Env 1">
          <a:extLst>
            <a:ext uri="{FF2B5EF4-FFF2-40B4-BE49-F238E27FC236}">
              <a16:creationId xmlns:a16="http://schemas.microsoft.com/office/drawing/2014/main" id="{01B802B3-19E3-8234-A053-5EA824F5D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28600"/>
          <a:ext cx="3028950" cy="1933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0</xdr:rowOff>
        </xdr:from>
        <xdr:to>
          <xdr:col>22</xdr:col>
          <xdr:colOff>342900</xdr:colOff>
          <xdr:row>24</xdr:row>
          <xdr:rowOff>9525</xdr:rowOff>
        </xdr:to>
        <xdr:pic>
          <xdr:nvPicPr>
            <xdr:cNvPr id="5840" name="Picture 16">
              <a:extLst>
                <a:ext uri="{FF2B5EF4-FFF2-40B4-BE49-F238E27FC236}">
                  <a16:creationId xmlns:a16="http://schemas.microsoft.com/office/drawing/2014/main" id="{478C8A01-B660-EC2A-EF8D-F1658F8178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Entête!$B$11:$G$27" spid="_x0000_s5845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62975" y="1438275"/>
              <a:ext cx="4572000" cy="2771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152400</xdr:colOff>
      <xdr:row>12</xdr:row>
      <xdr:rowOff>85725</xdr:rowOff>
    </xdr:from>
    <xdr:to>
      <xdr:col>8</xdr:col>
      <xdr:colOff>361950</xdr:colOff>
      <xdr:row>23</xdr:row>
      <xdr:rowOff>133350</xdr:rowOff>
    </xdr:to>
    <xdr:pic>
      <xdr:nvPicPr>
        <xdr:cNvPr id="5841" name="Image 1">
          <a:extLst>
            <a:ext uri="{FF2B5EF4-FFF2-40B4-BE49-F238E27FC236}">
              <a16:creationId xmlns:a16="http://schemas.microsoft.com/office/drawing/2014/main" id="{EB1F1197-C569-D290-3281-A0ABC6EC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343150"/>
          <a:ext cx="4648200" cy="1828800"/>
        </a:xfrm>
        <a:prstGeom prst="rect">
          <a:avLst/>
        </a:prstGeom>
        <a:noFill/>
        <a:ln w="9525">
          <a:solidFill>
            <a:srgbClr val="000000">
              <a:alpha val="98822"/>
            </a:srgbClr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8</xdr:col>
      <xdr:colOff>647700</xdr:colOff>
      <xdr:row>26</xdr:row>
      <xdr:rowOff>76200</xdr:rowOff>
    </xdr:to>
    <xdr:graphicFrame macro="">
      <xdr:nvGraphicFramePr>
        <xdr:cNvPr id="7405" name="Graphique 1">
          <a:extLst>
            <a:ext uri="{FF2B5EF4-FFF2-40B4-BE49-F238E27FC236}">
              <a16:creationId xmlns:a16="http://schemas.microsoft.com/office/drawing/2014/main" id="{25C1FCEA-01BA-737C-A787-6196814BD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%20invar/Convergences%20Fr&#233;jus_Invar%20juillet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ête"/>
      <sheetName val="conversion en dist des dern mes"/>
      <sheetName val="evolution base 1_4 2005_1997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ADDC-6173-470F-934E-BE92473B37E2}">
  <sheetPr codeName="Feuil1">
    <pageSetUpPr fitToPage="1"/>
  </sheetPr>
  <dimension ref="A1:AI533"/>
  <sheetViews>
    <sheetView topLeftCell="A25" zoomScale="75" zoomScaleNormal="75" workbookViewId="0">
      <selection activeCell="A38" sqref="A38"/>
    </sheetView>
  </sheetViews>
  <sheetFormatPr baseColWidth="10" defaultRowHeight="12.75" outlineLevelRow="1" x14ac:dyDescent="0.2"/>
  <cols>
    <col min="1" max="1" width="11.140625" bestFit="1" customWidth="1"/>
    <col min="2" max="2" width="6.5703125" bestFit="1" customWidth="1"/>
    <col min="3" max="4" width="7.5703125" bestFit="1" customWidth="1"/>
    <col min="5" max="5" width="8.7109375" style="1" customWidth="1"/>
    <col min="6" max="7" width="7.7109375" style="1" customWidth="1"/>
    <col min="8" max="8" width="9.5703125" style="1" customWidth="1"/>
    <col min="9" max="10" width="7.7109375" style="1" customWidth="1"/>
    <col min="11" max="11" width="10.42578125" style="1" customWidth="1"/>
    <col min="12" max="12" width="11.5703125" style="1" customWidth="1"/>
    <col min="13" max="13" width="14" style="1" bestFit="1" customWidth="1"/>
    <col min="14" max="14" width="10.42578125" style="1" customWidth="1"/>
    <col min="15" max="16" width="7.7109375" style="1" customWidth="1"/>
    <col min="17" max="17" width="9.42578125" style="1" customWidth="1"/>
    <col min="18" max="22" width="7.7109375" style="1" customWidth="1"/>
    <col min="23" max="23" width="30" style="1" bestFit="1" customWidth="1"/>
    <col min="24" max="24" width="6.140625" style="1" customWidth="1"/>
    <col min="25" max="25" width="5.140625" style="1" customWidth="1"/>
    <col min="26" max="26" width="7.7109375" style="1" customWidth="1"/>
    <col min="27" max="27" width="6.140625" style="1" customWidth="1"/>
    <col min="28" max="28" width="5.42578125" style="1" customWidth="1"/>
    <col min="29" max="29" width="7.7109375" style="1" customWidth="1"/>
    <col min="30" max="30" width="6.140625" style="1" customWidth="1"/>
    <col min="31" max="31" width="5.42578125" style="1" customWidth="1"/>
    <col min="32" max="32" width="7.7109375" style="1" customWidth="1"/>
    <col min="33" max="33" width="6.140625" style="1" customWidth="1"/>
    <col min="34" max="34" width="5.42578125" style="1" customWidth="1"/>
    <col min="35" max="35" width="18.28515625" style="15" customWidth="1"/>
  </cols>
  <sheetData>
    <row r="1" spans="7:35" x14ac:dyDescent="0.2">
      <c r="AI1" s="2"/>
    </row>
    <row r="2" spans="7:35" x14ac:dyDescent="0.2">
      <c r="AI2" s="2"/>
    </row>
    <row r="3" spans="7:35" x14ac:dyDescent="0.2">
      <c r="AI3" s="2"/>
    </row>
    <row r="4" spans="7:35" x14ac:dyDescent="0.2">
      <c r="AI4" s="2"/>
    </row>
    <row r="5" spans="7:35" x14ac:dyDescent="0.2">
      <c r="AI5" s="2"/>
    </row>
    <row r="6" spans="7:35" x14ac:dyDescent="0.2">
      <c r="AI6" s="2"/>
    </row>
    <row r="7" spans="7:35" x14ac:dyDescent="0.2">
      <c r="AI7" s="2"/>
    </row>
    <row r="8" spans="7:35" ht="24" customHeight="1" x14ac:dyDescent="0.35">
      <c r="G8" s="79" t="s">
        <v>19</v>
      </c>
      <c r="H8" s="80"/>
      <c r="I8" s="80"/>
      <c r="J8" s="80"/>
      <c r="K8" s="80"/>
      <c r="L8" s="80"/>
      <c r="M8" s="66">
        <v>11064</v>
      </c>
      <c r="AI8" s="2"/>
    </row>
    <row r="9" spans="7:35" x14ac:dyDescent="0.2">
      <c r="AI9" s="2"/>
    </row>
    <row r="10" spans="7:35" ht="23.25" x14ac:dyDescent="0.35">
      <c r="G10" s="64"/>
      <c r="H10" s="64"/>
      <c r="J10" s="70" t="s">
        <v>24</v>
      </c>
      <c r="AB10" s="2"/>
      <c r="AC10"/>
      <c r="AD10"/>
      <c r="AE10"/>
      <c r="AF10"/>
      <c r="AG10"/>
      <c r="AH10"/>
      <c r="AI10"/>
    </row>
    <row r="11" spans="7:35" x14ac:dyDescent="0.2">
      <c r="AI11" s="2"/>
    </row>
    <row r="12" spans="7:35" ht="15.75" x14ac:dyDescent="0.25">
      <c r="I12" s="65"/>
      <c r="J12" s="65"/>
      <c r="K12" s="65"/>
      <c r="L12" s="65"/>
      <c r="M12" s="65"/>
      <c r="AI12" s="2"/>
    </row>
    <row r="13" spans="7:35" x14ac:dyDescent="0.2">
      <c r="Z13" s="2"/>
      <c r="AA13"/>
      <c r="AB13"/>
      <c r="AC13"/>
      <c r="AD13"/>
      <c r="AE13"/>
      <c r="AF13"/>
      <c r="AG13"/>
      <c r="AH13"/>
      <c r="AI13"/>
    </row>
    <row r="14" spans="7:35" x14ac:dyDescent="0.2">
      <c r="AI14" s="2"/>
    </row>
    <row r="15" spans="7:35" x14ac:dyDescent="0.2">
      <c r="AI15" s="2"/>
    </row>
    <row r="16" spans="7:35" x14ac:dyDescent="0.2">
      <c r="AI16" s="2"/>
    </row>
    <row r="17" spans="1:35" x14ac:dyDescent="0.2">
      <c r="AI17" s="2"/>
    </row>
    <row r="18" spans="1:35" x14ac:dyDescent="0.2">
      <c r="AI18" s="2"/>
    </row>
    <row r="19" spans="1:35" x14ac:dyDescent="0.2">
      <c r="AI19" s="2"/>
    </row>
    <row r="20" spans="1:35" x14ac:dyDescent="0.2">
      <c r="AI20" s="2"/>
    </row>
    <row r="21" spans="1:35" x14ac:dyDescent="0.2">
      <c r="AI21" s="2"/>
    </row>
    <row r="22" spans="1:35" x14ac:dyDescent="0.2">
      <c r="AI22" s="2"/>
    </row>
    <row r="23" spans="1:35" x14ac:dyDescent="0.2">
      <c r="AI23" s="2"/>
    </row>
    <row r="24" spans="1:35" x14ac:dyDescent="0.2">
      <c r="AI24" s="2"/>
    </row>
    <row r="25" spans="1:35" x14ac:dyDescent="0.2">
      <c r="AI25" s="2"/>
    </row>
    <row r="26" spans="1:35" x14ac:dyDescent="0.2">
      <c r="AI26" s="2"/>
    </row>
    <row r="27" spans="1:35" x14ac:dyDescent="0.2">
      <c r="H27" s="1" t="s">
        <v>23</v>
      </c>
      <c r="W27" s="2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3.5" thickBot="1" x14ac:dyDescent="0.25">
      <c r="W28" s="2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s="2" customFormat="1" ht="18.75" thickBot="1" x14ac:dyDescent="0.3">
      <c r="A29" s="17" t="s">
        <v>0</v>
      </c>
      <c r="B29" s="18"/>
      <c r="C29" s="18"/>
      <c r="D29" s="19"/>
      <c r="E29" s="26" t="s">
        <v>1</v>
      </c>
      <c r="F29" s="20"/>
      <c r="G29" s="21"/>
      <c r="H29" s="29" t="s">
        <v>2</v>
      </c>
      <c r="I29" s="20"/>
      <c r="J29" s="21"/>
      <c r="K29" s="26" t="s">
        <v>4</v>
      </c>
      <c r="L29" s="20"/>
      <c r="M29" s="21"/>
      <c r="N29" s="29" t="s">
        <v>3</v>
      </c>
      <c r="O29" s="20"/>
      <c r="P29" s="21"/>
      <c r="Q29" s="29" t="s">
        <v>5</v>
      </c>
      <c r="R29" s="20"/>
      <c r="S29" s="22"/>
      <c r="T29" s="50" t="s">
        <v>15</v>
      </c>
      <c r="U29" s="20"/>
      <c r="V29" s="22"/>
      <c r="W29" s="23" t="s">
        <v>6</v>
      </c>
    </row>
    <row r="30" spans="1:35" s="2" customFormat="1" ht="13.5" thickTop="1" x14ac:dyDescent="0.2">
      <c r="A30" s="24"/>
      <c r="E30" s="27" t="s">
        <v>7</v>
      </c>
      <c r="F30" s="4"/>
      <c r="G30" s="5" t="s">
        <v>8</v>
      </c>
      <c r="H30" s="27" t="s">
        <v>7</v>
      </c>
      <c r="I30" s="4"/>
      <c r="J30" s="5" t="s">
        <v>8</v>
      </c>
      <c r="K30" s="27" t="s">
        <v>7</v>
      </c>
      <c r="L30" s="4"/>
      <c r="M30" s="5" t="s">
        <v>8</v>
      </c>
      <c r="N30" s="27" t="s">
        <v>7</v>
      </c>
      <c r="O30" s="4"/>
      <c r="P30" s="5" t="s">
        <v>8</v>
      </c>
      <c r="Q30" s="27" t="s">
        <v>7</v>
      </c>
      <c r="R30" s="4"/>
      <c r="S30" s="6" t="s">
        <v>8</v>
      </c>
      <c r="T30" s="7" t="s">
        <v>7</v>
      </c>
      <c r="U30" s="4"/>
      <c r="V30" s="6" t="s">
        <v>8</v>
      </c>
      <c r="W30" s="16"/>
    </row>
    <row r="31" spans="1:35" s="3" customFormat="1" ht="13.5" thickBot="1" x14ac:dyDescent="0.25">
      <c r="A31" s="25" t="s">
        <v>9</v>
      </c>
      <c r="B31" s="12" t="s">
        <v>10</v>
      </c>
      <c r="C31" s="12" t="s">
        <v>11</v>
      </c>
      <c r="D31" s="11" t="s">
        <v>12</v>
      </c>
      <c r="E31" s="28" t="s">
        <v>13</v>
      </c>
      <c r="F31" s="13" t="s">
        <v>14</v>
      </c>
      <c r="G31" s="9" t="s">
        <v>20</v>
      </c>
      <c r="H31" s="28" t="s">
        <v>13</v>
      </c>
      <c r="I31" s="13" t="s">
        <v>14</v>
      </c>
      <c r="J31" s="9" t="s">
        <v>20</v>
      </c>
      <c r="K31" s="28" t="s">
        <v>13</v>
      </c>
      <c r="L31" s="13" t="s">
        <v>14</v>
      </c>
      <c r="M31" s="9" t="s">
        <v>20</v>
      </c>
      <c r="N31" s="28" t="s">
        <v>13</v>
      </c>
      <c r="O31" s="13" t="s">
        <v>14</v>
      </c>
      <c r="P31" s="9" t="s">
        <v>20</v>
      </c>
      <c r="Q31" s="28" t="s">
        <v>13</v>
      </c>
      <c r="R31" s="13" t="s">
        <v>14</v>
      </c>
      <c r="S31" s="10" t="s">
        <v>20</v>
      </c>
      <c r="T31" s="8" t="s">
        <v>13</v>
      </c>
      <c r="U31" s="13" t="s">
        <v>14</v>
      </c>
      <c r="V31" s="10" t="s">
        <v>20</v>
      </c>
      <c r="W31" s="14"/>
    </row>
    <row r="32" spans="1:35" s="2" customFormat="1" ht="13.5" thickTop="1" x14ac:dyDescent="0.2">
      <c r="A32" s="30">
        <v>44001</v>
      </c>
      <c r="B32" s="31">
        <f t="shared" ref="B32:B37" si="0">A32</f>
        <v>44001</v>
      </c>
      <c r="C32" s="67" t="s">
        <v>18</v>
      </c>
      <c r="D32" s="3">
        <f t="shared" ref="D32:D37" si="1">A32-A$32</f>
        <v>0</v>
      </c>
      <c r="E32" s="41">
        <v>2973.5</v>
      </c>
      <c r="F32" s="36">
        <f>E32-$E$32</f>
        <v>0</v>
      </c>
      <c r="G32" s="5"/>
      <c r="H32" s="41">
        <v>10573.9</v>
      </c>
      <c r="I32" s="36">
        <f>H32-$H$32</f>
        <v>0</v>
      </c>
      <c r="J32" s="5"/>
      <c r="K32" s="41">
        <v>10210</v>
      </c>
      <c r="L32" s="36">
        <f>K32-$K$32</f>
        <v>0</v>
      </c>
      <c r="M32" s="5"/>
      <c r="N32" s="32">
        <v>10023</v>
      </c>
      <c r="O32" s="36">
        <f>N32-$N$32</f>
        <v>0</v>
      </c>
      <c r="P32" s="5"/>
      <c r="Q32" s="32">
        <v>10623.3</v>
      </c>
      <c r="R32" s="36">
        <f>Q32-$Q$32</f>
        <v>0</v>
      </c>
      <c r="S32" s="5"/>
      <c r="T32" s="56">
        <v>3362.4</v>
      </c>
      <c r="U32" s="36">
        <f>T32-$T$32</f>
        <v>0</v>
      </c>
      <c r="V32" s="57"/>
      <c r="W32" s="39" t="s">
        <v>17</v>
      </c>
    </row>
    <row r="33" spans="1:35" outlineLevel="1" x14ac:dyDescent="0.2">
      <c r="A33" s="42">
        <v>44252</v>
      </c>
      <c r="B33" s="43">
        <f t="shared" si="0"/>
        <v>44252</v>
      </c>
      <c r="C33" s="44" t="s">
        <v>18</v>
      </c>
      <c r="D33" s="45">
        <f t="shared" si="1"/>
        <v>251</v>
      </c>
      <c r="E33" s="46">
        <v>2973.2</v>
      </c>
      <c r="F33" s="47">
        <f>-E33+$E$32</f>
        <v>0.3000000000001819</v>
      </c>
      <c r="G33" s="48">
        <f>365*(E33-E32)/($D33-$D32)</f>
        <v>-0.43625498007994579</v>
      </c>
      <c r="H33" s="46">
        <v>10571.6</v>
      </c>
      <c r="I33" s="47">
        <f>-H33+$H$32</f>
        <v>2.2999999999992724</v>
      </c>
      <c r="J33" s="48">
        <f>365*(H33-H32)/($D33-$D32)</f>
        <v>-3.344621513943165</v>
      </c>
      <c r="K33" s="46">
        <v>10209.299999999999</v>
      </c>
      <c r="L33" s="47">
        <f>-K33+$K$32</f>
        <v>0.7000000000007276</v>
      </c>
      <c r="M33" s="48">
        <f>365*(K33-K32)/($D33-$D32)</f>
        <v>-1.0179282868536477</v>
      </c>
      <c r="N33" s="46">
        <v>10020.6</v>
      </c>
      <c r="O33" s="47">
        <f>-N33+$N$32</f>
        <v>2.3999999999996362</v>
      </c>
      <c r="P33" s="48">
        <f>365*(N33-N32)/($D33-$D32)</f>
        <v>-3.4900398406369213</v>
      </c>
      <c r="Q33" s="46">
        <v>10622.2</v>
      </c>
      <c r="R33" s="47">
        <f>-Q33+$Q$32</f>
        <v>1.0999999999985448</v>
      </c>
      <c r="S33" s="48">
        <f>365*(Q33-Q32)/($D33-$D32)</f>
        <v>-1.5996015936233818</v>
      </c>
      <c r="T33" s="58">
        <v>3361.6</v>
      </c>
      <c r="U33" s="47">
        <f>-T33+$T$32</f>
        <v>0.8000000000001819</v>
      </c>
      <c r="V33" s="59">
        <f>365*(T33-T32)/($D33-$D32)</f>
        <v>-1.1633466135460813</v>
      </c>
      <c r="W33" s="49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x14ac:dyDescent="0.2">
      <c r="A34" s="42">
        <v>44635</v>
      </c>
      <c r="B34" s="43">
        <f t="shared" si="0"/>
        <v>44635</v>
      </c>
      <c r="C34" s="44" t="s">
        <v>18</v>
      </c>
      <c r="D34" s="45">
        <f t="shared" si="1"/>
        <v>634</v>
      </c>
      <c r="E34" s="46">
        <v>2973.2</v>
      </c>
      <c r="F34" s="47">
        <f>-E34+$E$32</f>
        <v>0.3000000000001819</v>
      </c>
      <c r="G34" s="48">
        <f>365*(E34-E33)/($D34-$D33)</f>
        <v>0</v>
      </c>
      <c r="H34" s="46">
        <v>10573.37360637536</v>
      </c>
      <c r="I34" s="47">
        <f>-H34+$H$32</f>
        <v>0.52639362463924044</v>
      </c>
      <c r="J34" s="48">
        <f>365*(H34-H33)/($D34-$D33)</f>
        <v>1.6902515065441557</v>
      </c>
      <c r="K34" s="46">
        <v>10209.610448004487</v>
      </c>
      <c r="L34" s="47">
        <f>-K34+$K$32</f>
        <v>0.38955199551310216</v>
      </c>
      <c r="M34" s="48">
        <f>365*(K34-K33)/($D34-$D33)</f>
        <v>0.29585775884590937</v>
      </c>
      <c r="N34" s="46">
        <v>10022.490511344997</v>
      </c>
      <c r="O34" s="47">
        <f>-N34+$N$32</f>
        <v>0.50948865500322427</v>
      </c>
      <c r="P34" s="48">
        <f>365*(N34-N33)/($D34-$D33)</f>
        <v>1.8016622478425335</v>
      </c>
      <c r="Q34" s="46">
        <v>10622.868266622141</v>
      </c>
      <c r="R34" s="47">
        <f>-Q34+$Q$32</f>
        <v>0.43173337785810872</v>
      </c>
      <c r="S34" s="48">
        <f>365*(Q34-Q33)/($D34-$D33)</f>
        <v>0.63685983572130334</v>
      </c>
      <c r="T34" s="58">
        <v>3362.3494315731082</v>
      </c>
      <c r="U34" s="47">
        <f>-T34+$T$32</f>
        <v>5.0568426891913987E-2</v>
      </c>
      <c r="V34" s="59">
        <f>365*(T34-T33)/($D34-$D33)</f>
        <v>0.71421024591257909</v>
      </c>
      <c r="W34" s="49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">
      <c r="A35" s="42">
        <v>45032</v>
      </c>
      <c r="B35" s="43">
        <f t="shared" si="0"/>
        <v>45032</v>
      </c>
      <c r="C35" s="44" t="s">
        <v>18</v>
      </c>
      <c r="D35" s="45">
        <f t="shared" si="1"/>
        <v>1031</v>
      </c>
      <c r="E35" s="46">
        <v>2973.2</v>
      </c>
      <c r="F35" s="47">
        <f>-E35+$E$32</f>
        <v>0.3000000000001819</v>
      </c>
      <c r="G35" s="48">
        <f>365*(E35-E34)/($D35-$D34)</f>
        <v>0</v>
      </c>
      <c r="H35" s="46">
        <v>10571.7</v>
      </c>
      <c r="I35" s="47">
        <f>-H35+$H$32</f>
        <v>2.1999999999989086</v>
      </c>
      <c r="J35" s="48">
        <f>365*(H35-H34)/($D35-$D34)</f>
        <v>-1.5387061133659417</v>
      </c>
      <c r="K35" s="46">
        <v>10209.1</v>
      </c>
      <c r="L35" s="47">
        <f>-K35+$K$32</f>
        <v>0.8999999999996362</v>
      </c>
      <c r="M35" s="48">
        <f>365*(K35-K34)/($D35-$D34)</f>
        <v>-0.46930358095109553</v>
      </c>
      <c r="N35" s="46">
        <v>10020.9</v>
      </c>
      <c r="O35" s="47">
        <f>-N35+$N$32</f>
        <v>2.1000000000003638</v>
      </c>
      <c r="P35" s="48">
        <f>365*(N35-N34)/($D35-$D34)</f>
        <v>-1.4623089192039191</v>
      </c>
      <c r="Q35" s="46">
        <v>10622.2</v>
      </c>
      <c r="R35" s="47">
        <f>-Q35+$Q$32</f>
        <v>1.0999999999985448</v>
      </c>
      <c r="S35" s="48">
        <f>365*(Q35-Q34)/($D35-$D34)</f>
        <v>-0.61440130247168556</v>
      </c>
      <c r="T35" s="58">
        <v>3361.4</v>
      </c>
      <c r="U35" s="47">
        <f>-T35+$T$32</f>
        <v>1</v>
      </c>
      <c r="V35" s="59">
        <f>365*(T35-T34)/($D35-$D34)</f>
        <v>-0.87290308358803881</v>
      </c>
      <c r="W35" s="49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x14ac:dyDescent="0.2">
      <c r="A36" s="42">
        <v>45364</v>
      </c>
      <c r="B36" s="43">
        <f t="shared" si="0"/>
        <v>45364</v>
      </c>
      <c r="C36" s="69" t="s">
        <v>25</v>
      </c>
      <c r="D36" s="45">
        <f t="shared" si="1"/>
        <v>1363</v>
      </c>
      <c r="E36" s="46">
        <v>2973.5070842356872</v>
      </c>
      <c r="F36" s="47">
        <f>-E36+$E$32</f>
        <v>-7.0842356872162782E-3</v>
      </c>
      <c r="G36" s="48">
        <f>365*(E36-E35)/($D36-$D35)</f>
        <v>0.33760766875271186</v>
      </c>
      <c r="H36" s="46">
        <v>10572.686972099442</v>
      </c>
      <c r="I36" s="47">
        <f>-H36+$H$32</f>
        <v>1.2130279005577904</v>
      </c>
      <c r="J36" s="48">
        <f>365*(H36-H35)/($D36-$D35)</f>
        <v>1.0850747478795426</v>
      </c>
      <c r="K36" s="46">
        <v>10208.857602592043</v>
      </c>
      <c r="L36" s="47">
        <f>-K36+$K$32</f>
        <v>1.1423974079571053</v>
      </c>
      <c r="M36" s="48">
        <f>365*(K36-K35)/($D36-$D35)</f>
        <v>-0.2664911262183019</v>
      </c>
      <c r="N36" s="46">
        <v>10021.394516233762</v>
      </c>
      <c r="O36" s="47">
        <f>-N36+$N$32</f>
        <v>1.6054837662377395</v>
      </c>
      <c r="P36" s="48">
        <f>365*(N36-N35)/($D36-$D35)</f>
        <v>0.54366995579324662</v>
      </c>
      <c r="Q36" s="46">
        <v>10621.801813722552</v>
      </c>
      <c r="R36" s="47">
        <f>-Q36+$Q$32</f>
        <v>1.4981862774475303</v>
      </c>
      <c r="S36" s="48">
        <f>365*(Q36-Q35)/($D36-$D35)</f>
        <v>-0.43776503394240873</v>
      </c>
      <c r="T36" s="58">
        <v>3362.0474505871766</v>
      </c>
      <c r="U36" s="47">
        <f>-T36+$T$32</f>
        <v>0.35254941282346408</v>
      </c>
      <c r="V36" s="59">
        <f>365*(T36-T35)/($D36-$D35)</f>
        <v>0.71180561541998677</v>
      </c>
      <c r="W36" s="49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x14ac:dyDescent="0.2">
      <c r="A37" s="42">
        <v>45799</v>
      </c>
      <c r="B37" s="43">
        <f t="shared" si="0"/>
        <v>45799</v>
      </c>
      <c r="C37" s="69">
        <v>0</v>
      </c>
      <c r="D37" s="45">
        <f t="shared" si="1"/>
        <v>1798</v>
      </c>
      <c r="E37" s="46">
        <v>2978.7489756607401</v>
      </c>
      <c r="F37" s="47">
        <f>-E37+$E$32</f>
        <v>-5.2489756607401432</v>
      </c>
      <c r="G37" s="48">
        <f>365*(E37-E36)/($D37-$D36)</f>
        <v>4.398368666998433</v>
      </c>
      <c r="H37" s="46">
        <v>10572.8</v>
      </c>
      <c r="I37" s="47">
        <f>-H37+$H$32</f>
        <v>1.1000000000003638</v>
      </c>
      <c r="J37" s="48">
        <f>365*(H37-H36)/($D37-$D36)</f>
        <v>9.4839502766576364E-2</v>
      </c>
      <c r="K37" s="46">
        <v>10209</v>
      </c>
      <c r="L37" s="47">
        <f>-K37+$K$32</f>
        <v>1</v>
      </c>
      <c r="M37" s="48">
        <f>365*(K37-K36)/($D37-$D36)</f>
        <v>0.11948288253872055</v>
      </c>
      <c r="N37" s="46">
        <v>10021.200000000001</v>
      </c>
      <c r="O37" s="47">
        <f>-N37+$N$32</f>
        <v>1.7999999999992724</v>
      </c>
      <c r="P37" s="48">
        <f>365*(N37-N36)/($D37-$D36)</f>
        <v>-0.16321477085737821</v>
      </c>
      <c r="Q37" s="46">
        <v>10621.4</v>
      </c>
      <c r="R37" s="47">
        <f>-Q37+$Q$32</f>
        <v>1.8999999999996362</v>
      </c>
      <c r="S37" s="48">
        <f>365*(Q37-Q36)/($D37-$D36)</f>
        <v>-0.33715404306096242</v>
      </c>
      <c r="T37" s="58">
        <v>3362.1</v>
      </c>
      <c r="U37" s="47">
        <f>-T37+$T$32</f>
        <v>0.3000000000001819</v>
      </c>
      <c r="V37" s="59">
        <f>365*(T37-T36)/($D37-$D36)</f>
        <v>4.4093185472409188E-2</v>
      </c>
      <c r="W37" s="49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x14ac:dyDescent="0.2">
      <c r="A38" s="42"/>
      <c r="B38" s="43"/>
      <c r="C38" s="69"/>
      <c r="D38" s="45"/>
      <c r="E38" s="46"/>
      <c r="F38" s="47"/>
      <c r="G38" s="48"/>
      <c r="H38" s="46"/>
      <c r="I38" s="47"/>
      <c r="J38" s="48"/>
      <c r="K38" s="46"/>
      <c r="L38" s="47"/>
      <c r="M38" s="48"/>
      <c r="N38" s="46"/>
      <c r="O38" s="47"/>
      <c r="P38" s="48"/>
      <c r="Q38" s="46"/>
      <c r="R38" s="47"/>
      <c r="S38" s="48"/>
      <c r="T38" s="58"/>
      <c r="U38" s="47"/>
      <c r="V38" s="59"/>
      <c r="W38" s="49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x14ac:dyDescent="0.2">
      <c r="A39" s="42"/>
      <c r="B39" s="43"/>
      <c r="C39" s="69"/>
      <c r="D39" s="45"/>
      <c r="E39" s="46"/>
      <c r="F39" s="47"/>
      <c r="G39" s="48"/>
      <c r="H39" s="46"/>
      <c r="I39" s="47"/>
      <c r="J39" s="48"/>
      <c r="K39" s="46"/>
      <c r="L39" s="47"/>
      <c r="M39" s="48"/>
      <c r="N39" s="46"/>
      <c r="O39" s="47"/>
      <c r="P39" s="48"/>
      <c r="Q39" s="46"/>
      <c r="R39" s="47"/>
      <c r="S39" s="48"/>
      <c r="T39" s="58"/>
      <c r="U39" s="47"/>
      <c r="V39" s="59"/>
      <c r="W39" s="4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x14ac:dyDescent="0.2">
      <c r="A40" s="42"/>
      <c r="B40" s="43"/>
      <c r="C40" s="44"/>
      <c r="D40" s="45"/>
      <c r="E40" s="46"/>
      <c r="F40" s="47"/>
      <c r="G40" s="48"/>
      <c r="H40" s="46"/>
      <c r="I40" s="47"/>
      <c r="J40" s="48"/>
      <c r="K40" s="46"/>
      <c r="L40" s="47"/>
      <c r="M40" s="48"/>
      <c r="N40" s="46"/>
      <c r="O40" s="47"/>
      <c r="P40" s="48"/>
      <c r="Q40" s="46"/>
      <c r="R40" s="47"/>
      <c r="S40" s="48"/>
      <c r="T40" s="58"/>
      <c r="U40" s="47"/>
      <c r="V40" s="59"/>
      <c r="W40" s="49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x14ac:dyDescent="0.2">
      <c r="A41" s="42"/>
      <c r="B41" s="43"/>
      <c r="C41" s="44"/>
      <c r="D41" s="45"/>
      <c r="E41" s="46"/>
      <c r="F41" s="47"/>
      <c r="G41" s="48"/>
      <c r="H41" s="46"/>
      <c r="I41" s="47"/>
      <c r="J41" s="48"/>
      <c r="K41" s="46"/>
      <c r="L41" s="47"/>
      <c r="M41" s="48"/>
      <c r="N41" s="46"/>
      <c r="O41" s="47"/>
      <c r="P41" s="48"/>
      <c r="Q41" s="46"/>
      <c r="R41" s="47"/>
      <c r="S41" s="48"/>
      <c r="T41" s="58"/>
      <c r="U41" s="47"/>
      <c r="V41" s="59"/>
      <c r="W41" s="49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x14ac:dyDescent="0.2">
      <c r="A42" s="42"/>
      <c r="B42" s="43"/>
      <c r="C42" s="44"/>
      <c r="D42" s="45"/>
      <c r="E42" s="46"/>
      <c r="F42" s="47"/>
      <c r="G42" s="48"/>
      <c r="H42" s="46"/>
      <c r="I42" s="47"/>
      <c r="J42" s="48"/>
      <c r="K42" s="46"/>
      <c r="L42" s="47"/>
      <c r="M42" s="48"/>
      <c r="N42" s="46"/>
      <c r="O42" s="47"/>
      <c r="P42" s="48"/>
      <c r="Q42" s="46"/>
      <c r="R42" s="47"/>
      <c r="S42" s="48"/>
      <c r="T42" s="58"/>
      <c r="U42" s="47"/>
      <c r="V42" s="59"/>
      <c r="W42" s="49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ht="13.5" thickBot="1" x14ac:dyDescent="0.25">
      <c r="A43" s="71"/>
      <c r="B43" s="72"/>
      <c r="C43" s="72"/>
      <c r="D43" s="72"/>
      <c r="E43" s="73"/>
      <c r="F43" s="74"/>
      <c r="G43" s="75"/>
      <c r="H43" s="73"/>
      <c r="I43" s="74"/>
      <c r="J43" s="75"/>
      <c r="K43" s="73"/>
      <c r="L43" s="74"/>
      <c r="M43" s="75"/>
      <c r="N43" s="73"/>
      <c r="O43" s="74"/>
      <c r="P43" s="75"/>
      <c r="Q43" s="73"/>
      <c r="R43" s="74"/>
      <c r="S43" s="75"/>
      <c r="T43" s="76"/>
      <c r="U43" s="74"/>
      <c r="V43" s="77"/>
      <c r="W43" s="78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">
      <c r="A44" s="30" t="s">
        <v>21</v>
      </c>
      <c r="B44" s="31"/>
      <c r="C44" s="33"/>
      <c r="D44" s="3"/>
      <c r="E44" s="32"/>
      <c r="F44" s="36"/>
      <c r="G44" s="5"/>
      <c r="H44" s="32"/>
      <c r="I44" s="36"/>
      <c r="J44" s="5"/>
      <c r="K44" s="32"/>
      <c r="L44" s="36"/>
      <c r="M44" s="5"/>
      <c r="N44" s="32"/>
      <c r="O44" s="36"/>
      <c r="P44" s="5"/>
      <c r="Q44" s="32"/>
      <c r="R44" s="36"/>
      <c r="S44" s="5"/>
      <c r="T44" s="60"/>
      <c r="U44" s="36"/>
      <c r="V44" s="61"/>
      <c r="W44" s="39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x14ac:dyDescent="0.2">
      <c r="A45" s="30" t="s">
        <v>22</v>
      </c>
      <c r="B45" s="31"/>
      <c r="C45" s="33"/>
      <c r="D45" s="3"/>
      <c r="E45" s="32"/>
      <c r="F45" s="36">
        <f t="array" ref="F45">INDEX(F32:F42, COUNT(F32:F42)) - INDEX(F32:F42, COUNT(F32:F42) - 1)</f>
        <v>-5.2418914250529269</v>
      </c>
      <c r="G45" s="5"/>
      <c r="H45" s="32"/>
      <c r="I45" s="36">
        <f t="array" ref="I45">INDEX(I32:I42, COUNT(I32:I42)) - INDEX(I32:I42, COUNT(I32:I42) - 1)</f>
        <v>-0.11302790055742662</v>
      </c>
      <c r="J45" s="5"/>
      <c r="K45" s="32"/>
      <c r="L45" s="36">
        <f t="array" ref="L45">INDEX(L32:L42, COUNT(L32:L42)) - INDEX(L32:L42, COUNT(L32:L42) - 1)</f>
        <v>-0.14239740795710532</v>
      </c>
      <c r="M45" s="5"/>
      <c r="N45" s="32"/>
      <c r="O45" s="36">
        <f t="array" ref="O45">INDEX(O32:O42, COUNT(O32:O42)) - INDEX(O32:O42, COUNT(O32:O42) - 1)</f>
        <v>0.19451623376153293</v>
      </c>
      <c r="P45" s="5"/>
      <c r="Q45" s="32"/>
      <c r="R45" s="36">
        <f t="array" ref="R45">INDEX(R32:R42, COUNT(R32:R42)) - INDEX(R32:R42, COUNT(R32:R42) - 1)</f>
        <v>0.4018137225521059</v>
      </c>
      <c r="S45" s="5"/>
      <c r="T45" s="60"/>
      <c r="U45" s="36">
        <f t="array" ref="U45">INDEX(U32:U42, COUNT(U32:U42)) - INDEX(U32:U42, COUNT(U32:U42) - 1)</f>
        <v>-5.2549412823282182E-2</v>
      </c>
      <c r="V45" s="61"/>
      <c r="W45" s="39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ht="13.5" thickBot="1" x14ac:dyDescent="0.25">
      <c r="A46" s="40"/>
      <c r="B46" s="34"/>
      <c r="C46" s="34"/>
      <c r="D46" s="34"/>
      <c r="E46" s="35"/>
      <c r="F46" s="37"/>
      <c r="G46" s="38"/>
      <c r="H46" s="35"/>
      <c r="I46" s="37"/>
      <c r="J46" s="38"/>
      <c r="K46" s="35"/>
      <c r="L46" s="37"/>
      <c r="M46" s="38"/>
      <c r="N46" s="35"/>
      <c r="O46" s="37"/>
      <c r="P46" s="38"/>
      <c r="Q46" s="35"/>
      <c r="R46" s="37"/>
      <c r="S46" s="38"/>
      <c r="T46" s="62"/>
      <c r="U46" s="37"/>
      <c r="V46" s="63"/>
      <c r="W46" s="55"/>
      <c r="Z46" s="2"/>
      <c r="AA46"/>
      <c r="AB46"/>
      <c r="AC46"/>
      <c r="AD46"/>
      <c r="AE46"/>
      <c r="AF46"/>
      <c r="AG46"/>
      <c r="AH46"/>
      <c r="AI46"/>
    </row>
    <row r="47" spans="1:35" x14ac:dyDescent="0.2">
      <c r="B47" s="1"/>
      <c r="C47" s="1"/>
      <c r="D47" s="1"/>
      <c r="AI47" s="2"/>
    </row>
    <row r="48" spans="1:35" x14ac:dyDescent="0.2">
      <c r="B48" s="1"/>
      <c r="C48" s="1"/>
      <c r="D48" s="1"/>
      <c r="AI48" s="2"/>
    </row>
    <row r="49" spans="2:35" x14ac:dyDescent="0.2">
      <c r="B49" s="1"/>
      <c r="C49" s="1"/>
      <c r="AI49" s="2"/>
    </row>
    <row r="50" spans="2:35" x14ac:dyDescent="0.2">
      <c r="AI50" s="2"/>
    </row>
    <row r="51" spans="2:35" x14ac:dyDescent="0.2">
      <c r="AI51" s="2"/>
    </row>
    <row r="52" spans="2:35" x14ac:dyDescent="0.2">
      <c r="AI52" s="2"/>
    </row>
    <row r="53" spans="2:35" x14ac:dyDescent="0.2">
      <c r="AI53" s="2"/>
    </row>
    <row r="54" spans="2:35" x14ac:dyDescent="0.2">
      <c r="AI54" s="2"/>
    </row>
    <row r="55" spans="2:35" x14ac:dyDescent="0.2">
      <c r="AI55" s="2"/>
    </row>
    <row r="56" spans="2:35" x14ac:dyDescent="0.2">
      <c r="AI56" s="2"/>
    </row>
    <row r="57" spans="2:35" x14ac:dyDescent="0.2">
      <c r="AI57" s="2"/>
    </row>
    <row r="58" spans="2:35" x14ac:dyDescent="0.2">
      <c r="AI58" s="2"/>
    </row>
    <row r="59" spans="2:35" x14ac:dyDescent="0.2">
      <c r="AI59" s="2"/>
    </row>
    <row r="60" spans="2:35" x14ac:dyDescent="0.2">
      <c r="AI60" s="2"/>
    </row>
    <row r="61" spans="2:35" x14ac:dyDescent="0.2">
      <c r="AI61" s="2"/>
    </row>
    <row r="62" spans="2:35" x14ac:dyDescent="0.2">
      <c r="AI62" s="2"/>
    </row>
    <row r="63" spans="2:35" x14ac:dyDescent="0.2">
      <c r="AI63" s="2"/>
    </row>
    <row r="64" spans="2:35" x14ac:dyDescent="0.2">
      <c r="AI64" s="2"/>
    </row>
    <row r="65" spans="35:35" x14ac:dyDescent="0.2">
      <c r="AI65" s="2"/>
    </row>
    <row r="66" spans="35:35" x14ac:dyDescent="0.2">
      <c r="AI66" s="2"/>
    </row>
    <row r="67" spans="35:35" x14ac:dyDescent="0.2">
      <c r="AI67" s="2"/>
    </row>
    <row r="68" spans="35:35" x14ac:dyDescent="0.2">
      <c r="AI68" s="2"/>
    </row>
    <row r="69" spans="35:35" x14ac:dyDescent="0.2">
      <c r="AI69" s="2"/>
    </row>
    <row r="70" spans="35:35" x14ac:dyDescent="0.2">
      <c r="AI70" s="2"/>
    </row>
    <row r="71" spans="35:35" x14ac:dyDescent="0.2">
      <c r="AI71" s="2"/>
    </row>
    <row r="72" spans="35:35" x14ac:dyDescent="0.2">
      <c r="AI72" s="2"/>
    </row>
    <row r="73" spans="35:35" x14ac:dyDescent="0.2">
      <c r="AI73" s="2"/>
    </row>
    <row r="74" spans="35:35" x14ac:dyDescent="0.2">
      <c r="AI74" s="2"/>
    </row>
    <row r="75" spans="35:35" x14ac:dyDescent="0.2">
      <c r="AI75" s="2"/>
    </row>
    <row r="76" spans="35:35" x14ac:dyDescent="0.2">
      <c r="AI76" s="2"/>
    </row>
    <row r="77" spans="35:35" x14ac:dyDescent="0.2">
      <c r="AI77" s="2"/>
    </row>
    <row r="78" spans="35:35" x14ac:dyDescent="0.2">
      <c r="AI78" s="2"/>
    </row>
    <row r="79" spans="35:35" x14ac:dyDescent="0.2">
      <c r="AI79" s="2"/>
    </row>
    <row r="80" spans="35:35" x14ac:dyDescent="0.2">
      <c r="AI80" s="2"/>
    </row>
    <row r="81" spans="35:35" x14ac:dyDescent="0.2">
      <c r="AI81" s="2"/>
    </row>
    <row r="82" spans="35:35" x14ac:dyDescent="0.2">
      <c r="AI82" s="2"/>
    </row>
    <row r="83" spans="35:35" x14ac:dyDescent="0.2">
      <c r="AI83" s="2"/>
    </row>
    <row r="84" spans="35:35" x14ac:dyDescent="0.2">
      <c r="AI84" s="2"/>
    </row>
    <row r="85" spans="35:35" x14ac:dyDescent="0.2">
      <c r="AI85" s="2"/>
    </row>
    <row r="86" spans="35:35" x14ac:dyDescent="0.2">
      <c r="AI86" s="2"/>
    </row>
    <row r="87" spans="35:35" x14ac:dyDescent="0.2">
      <c r="AI87" s="2"/>
    </row>
    <row r="88" spans="35:35" x14ac:dyDescent="0.2">
      <c r="AI88" s="2"/>
    </row>
    <row r="89" spans="35:35" x14ac:dyDescent="0.2">
      <c r="AI89" s="2"/>
    </row>
    <row r="90" spans="35:35" x14ac:dyDescent="0.2">
      <c r="AI90" s="2"/>
    </row>
    <row r="91" spans="35:35" x14ac:dyDescent="0.2">
      <c r="AI91" s="2"/>
    </row>
    <row r="92" spans="35:35" x14ac:dyDescent="0.2">
      <c r="AI92" s="2"/>
    </row>
    <row r="93" spans="35:35" x14ac:dyDescent="0.2">
      <c r="AI93" s="2"/>
    </row>
    <row r="94" spans="35:35" x14ac:dyDescent="0.2">
      <c r="AI94" s="2"/>
    </row>
    <row r="95" spans="35:35" x14ac:dyDescent="0.2">
      <c r="AI95" s="2"/>
    </row>
    <row r="96" spans="35:35" x14ac:dyDescent="0.2">
      <c r="AI96" s="2"/>
    </row>
    <row r="97" spans="35:35" x14ac:dyDescent="0.2">
      <c r="AI97" s="2"/>
    </row>
    <row r="98" spans="35:35" x14ac:dyDescent="0.2">
      <c r="AI98" s="2"/>
    </row>
    <row r="99" spans="35:35" x14ac:dyDescent="0.2">
      <c r="AI99" s="2"/>
    </row>
    <row r="100" spans="35:35" x14ac:dyDescent="0.2">
      <c r="AI100" s="2"/>
    </row>
    <row r="101" spans="35:35" x14ac:dyDescent="0.2">
      <c r="AI101" s="2"/>
    </row>
    <row r="102" spans="35:35" x14ac:dyDescent="0.2">
      <c r="AI102" s="2"/>
    </row>
    <row r="103" spans="35:35" x14ac:dyDescent="0.2">
      <c r="AI103" s="2"/>
    </row>
    <row r="104" spans="35:35" x14ac:dyDescent="0.2">
      <c r="AI104" s="2"/>
    </row>
    <row r="105" spans="35:35" x14ac:dyDescent="0.2">
      <c r="AI105" s="2"/>
    </row>
    <row r="106" spans="35:35" x14ac:dyDescent="0.2">
      <c r="AI106" s="2"/>
    </row>
    <row r="107" spans="35:35" x14ac:dyDescent="0.2">
      <c r="AI107" s="2"/>
    </row>
    <row r="108" spans="35:35" x14ac:dyDescent="0.2">
      <c r="AI108" s="2"/>
    </row>
    <row r="109" spans="35:35" x14ac:dyDescent="0.2">
      <c r="AI109" s="2"/>
    </row>
    <row r="110" spans="35:35" x14ac:dyDescent="0.2">
      <c r="AI110" s="2"/>
    </row>
    <row r="111" spans="35:35" x14ac:dyDescent="0.2">
      <c r="AI111" s="2"/>
    </row>
    <row r="112" spans="35:35" x14ac:dyDescent="0.2">
      <c r="AI112" s="2"/>
    </row>
    <row r="113" spans="35:35" x14ac:dyDescent="0.2">
      <c r="AI113" s="2"/>
    </row>
    <row r="114" spans="35:35" x14ac:dyDescent="0.2">
      <c r="AI114" s="2"/>
    </row>
    <row r="115" spans="35:35" x14ac:dyDescent="0.2">
      <c r="AI115" s="2"/>
    </row>
    <row r="116" spans="35:35" x14ac:dyDescent="0.2">
      <c r="AI116" s="2"/>
    </row>
    <row r="117" spans="35:35" x14ac:dyDescent="0.2">
      <c r="AI117" s="2"/>
    </row>
    <row r="118" spans="35:35" x14ac:dyDescent="0.2">
      <c r="AI118" s="2"/>
    </row>
    <row r="119" spans="35:35" x14ac:dyDescent="0.2">
      <c r="AI119" s="2"/>
    </row>
    <row r="120" spans="35:35" x14ac:dyDescent="0.2">
      <c r="AI120" s="2"/>
    </row>
    <row r="121" spans="35:35" x14ac:dyDescent="0.2">
      <c r="AI121" s="2"/>
    </row>
    <row r="122" spans="35:35" x14ac:dyDescent="0.2">
      <c r="AI122" s="2"/>
    </row>
    <row r="123" spans="35:35" x14ac:dyDescent="0.2">
      <c r="AI123" s="2"/>
    </row>
    <row r="124" spans="35:35" x14ac:dyDescent="0.2">
      <c r="AI124" s="2"/>
    </row>
    <row r="125" spans="35:35" x14ac:dyDescent="0.2">
      <c r="AI125" s="2"/>
    </row>
    <row r="126" spans="35:35" x14ac:dyDescent="0.2">
      <c r="AI126" s="2"/>
    </row>
    <row r="127" spans="35:35" x14ac:dyDescent="0.2">
      <c r="AI127" s="2"/>
    </row>
    <row r="128" spans="35:35" x14ac:dyDescent="0.2">
      <c r="AI128" s="2"/>
    </row>
    <row r="129" spans="35:35" x14ac:dyDescent="0.2">
      <c r="AI129" s="2"/>
    </row>
    <row r="130" spans="35:35" x14ac:dyDescent="0.2">
      <c r="AI130" s="2"/>
    </row>
    <row r="131" spans="35:35" x14ac:dyDescent="0.2">
      <c r="AI131" s="2"/>
    </row>
    <row r="132" spans="35:35" x14ac:dyDescent="0.2">
      <c r="AI132" s="2"/>
    </row>
    <row r="133" spans="35:35" x14ac:dyDescent="0.2">
      <c r="AI133" s="2"/>
    </row>
    <row r="134" spans="35:35" x14ac:dyDescent="0.2">
      <c r="AI134" s="2"/>
    </row>
    <row r="135" spans="35:35" x14ac:dyDescent="0.2">
      <c r="AI135" s="2"/>
    </row>
    <row r="136" spans="35:35" x14ac:dyDescent="0.2">
      <c r="AI136" s="2"/>
    </row>
    <row r="137" spans="35:35" x14ac:dyDescent="0.2">
      <c r="AI137" s="2"/>
    </row>
    <row r="138" spans="35:35" x14ac:dyDescent="0.2">
      <c r="AI138" s="2"/>
    </row>
    <row r="139" spans="35:35" x14ac:dyDescent="0.2">
      <c r="AI139" s="2"/>
    </row>
    <row r="140" spans="35:35" x14ac:dyDescent="0.2">
      <c r="AI140" s="2"/>
    </row>
    <row r="141" spans="35:35" x14ac:dyDescent="0.2">
      <c r="AI141" s="2"/>
    </row>
    <row r="142" spans="35:35" x14ac:dyDescent="0.2">
      <c r="AI142" s="2"/>
    </row>
    <row r="143" spans="35:35" x14ac:dyDescent="0.2">
      <c r="AI143" s="2"/>
    </row>
    <row r="144" spans="35:35" x14ac:dyDescent="0.2">
      <c r="AI144" s="2"/>
    </row>
    <row r="145" spans="35:35" x14ac:dyDescent="0.2">
      <c r="AI145" s="2"/>
    </row>
    <row r="146" spans="35:35" x14ac:dyDescent="0.2">
      <c r="AI146" s="2"/>
    </row>
    <row r="147" spans="35:35" x14ac:dyDescent="0.2">
      <c r="AI147" s="2"/>
    </row>
    <row r="148" spans="35:35" x14ac:dyDescent="0.2">
      <c r="AI148" s="2"/>
    </row>
    <row r="149" spans="35:35" x14ac:dyDescent="0.2">
      <c r="AI149" s="2"/>
    </row>
    <row r="150" spans="35:35" x14ac:dyDescent="0.2">
      <c r="AI150" s="2"/>
    </row>
    <row r="151" spans="35:35" x14ac:dyDescent="0.2">
      <c r="AI151" s="2"/>
    </row>
    <row r="152" spans="35:35" x14ac:dyDescent="0.2">
      <c r="AI152" s="2"/>
    </row>
    <row r="153" spans="35:35" x14ac:dyDescent="0.2">
      <c r="AI153" s="2"/>
    </row>
    <row r="154" spans="35:35" x14ac:dyDescent="0.2">
      <c r="AI154" s="2"/>
    </row>
    <row r="155" spans="35:35" x14ac:dyDescent="0.2">
      <c r="AI155" s="2"/>
    </row>
    <row r="156" spans="35:35" x14ac:dyDescent="0.2">
      <c r="AI156" s="2"/>
    </row>
    <row r="157" spans="35:35" x14ac:dyDescent="0.2">
      <c r="AI157" s="2"/>
    </row>
    <row r="158" spans="35:35" x14ac:dyDescent="0.2">
      <c r="AI158" s="2"/>
    </row>
    <row r="159" spans="35:35" x14ac:dyDescent="0.2">
      <c r="AI159" s="2"/>
    </row>
    <row r="160" spans="35:35" x14ac:dyDescent="0.2">
      <c r="AI160" s="2"/>
    </row>
    <row r="161" spans="35:35" x14ac:dyDescent="0.2">
      <c r="AI161" s="2"/>
    </row>
    <row r="162" spans="35:35" x14ac:dyDescent="0.2">
      <c r="AI162" s="2"/>
    </row>
    <row r="163" spans="35:35" x14ac:dyDescent="0.2">
      <c r="AI163" s="2"/>
    </row>
    <row r="164" spans="35:35" x14ac:dyDescent="0.2">
      <c r="AI164" s="2"/>
    </row>
    <row r="165" spans="35:35" x14ac:dyDescent="0.2">
      <c r="AI165" s="2"/>
    </row>
    <row r="166" spans="35:35" x14ac:dyDescent="0.2">
      <c r="AI166" s="2"/>
    </row>
    <row r="167" spans="35:35" x14ac:dyDescent="0.2">
      <c r="AI167" s="2"/>
    </row>
    <row r="168" spans="35:35" x14ac:dyDescent="0.2">
      <c r="AI168" s="2"/>
    </row>
    <row r="169" spans="35:35" x14ac:dyDescent="0.2">
      <c r="AI169" s="2"/>
    </row>
    <row r="170" spans="35:35" x14ac:dyDescent="0.2">
      <c r="AI170" s="2"/>
    </row>
    <row r="171" spans="35:35" x14ac:dyDescent="0.2">
      <c r="AI171" s="2"/>
    </row>
    <row r="172" spans="35:35" x14ac:dyDescent="0.2">
      <c r="AI172" s="2"/>
    </row>
    <row r="173" spans="35:35" x14ac:dyDescent="0.2">
      <c r="AI173" s="2"/>
    </row>
    <row r="174" spans="35:35" x14ac:dyDescent="0.2">
      <c r="AI174" s="2"/>
    </row>
    <row r="175" spans="35:35" x14ac:dyDescent="0.2">
      <c r="AI175" s="2"/>
    </row>
    <row r="176" spans="35:35" x14ac:dyDescent="0.2">
      <c r="AI176" s="2"/>
    </row>
    <row r="177" spans="35:35" x14ac:dyDescent="0.2">
      <c r="AI177" s="2"/>
    </row>
    <row r="178" spans="35:35" x14ac:dyDescent="0.2">
      <c r="AI178" s="2"/>
    </row>
    <row r="179" spans="35:35" x14ac:dyDescent="0.2">
      <c r="AI179" s="2"/>
    </row>
    <row r="180" spans="35:35" x14ac:dyDescent="0.2">
      <c r="AI180" s="2"/>
    </row>
    <row r="181" spans="35:35" x14ac:dyDescent="0.2">
      <c r="AI181" s="2"/>
    </row>
    <row r="182" spans="35:35" x14ac:dyDescent="0.2">
      <c r="AI182" s="2"/>
    </row>
    <row r="183" spans="35:35" x14ac:dyDescent="0.2">
      <c r="AI183" s="2"/>
    </row>
    <row r="184" spans="35:35" x14ac:dyDescent="0.2">
      <c r="AI184" s="2"/>
    </row>
    <row r="185" spans="35:35" x14ac:dyDescent="0.2">
      <c r="AI185" s="2"/>
    </row>
    <row r="186" spans="35:35" x14ac:dyDescent="0.2">
      <c r="AI186" s="2"/>
    </row>
    <row r="187" spans="35:35" x14ac:dyDescent="0.2">
      <c r="AI187" s="2"/>
    </row>
    <row r="188" spans="35:35" x14ac:dyDescent="0.2">
      <c r="AI188" s="2"/>
    </row>
    <row r="189" spans="35:35" x14ac:dyDescent="0.2">
      <c r="AI189" s="2"/>
    </row>
    <row r="190" spans="35:35" x14ac:dyDescent="0.2">
      <c r="AI190" s="2"/>
    </row>
    <row r="191" spans="35:35" x14ac:dyDescent="0.2">
      <c r="AI191" s="2"/>
    </row>
    <row r="192" spans="35:35" x14ac:dyDescent="0.2">
      <c r="AI192" s="2"/>
    </row>
    <row r="193" spans="35:35" x14ac:dyDescent="0.2">
      <c r="AI193" s="2"/>
    </row>
    <row r="194" spans="35:35" x14ac:dyDescent="0.2">
      <c r="AI194" s="2"/>
    </row>
    <row r="195" spans="35:35" x14ac:dyDescent="0.2">
      <c r="AI195" s="2"/>
    </row>
    <row r="196" spans="35:35" x14ac:dyDescent="0.2">
      <c r="AI196" s="2"/>
    </row>
    <row r="197" spans="35:35" x14ac:dyDescent="0.2">
      <c r="AI197" s="2"/>
    </row>
    <row r="198" spans="35:35" x14ac:dyDescent="0.2">
      <c r="AI198" s="2"/>
    </row>
    <row r="199" spans="35:35" x14ac:dyDescent="0.2">
      <c r="AI199" s="2"/>
    </row>
    <row r="200" spans="35:35" x14ac:dyDescent="0.2">
      <c r="AI200" s="2"/>
    </row>
    <row r="201" spans="35:35" x14ac:dyDescent="0.2">
      <c r="AI201" s="2"/>
    </row>
    <row r="202" spans="35:35" x14ac:dyDescent="0.2">
      <c r="AI202" s="2"/>
    </row>
    <row r="203" spans="35:35" x14ac:dyDescent="0.2">
      <c r="AI203" s="2"/>
    </row>
    <row r="204" spans="35:35" x14ac:dyDescent="0.2">
      <c r="AI204" s="2"/>
    </row>
    <row r="205" spans="35:35" x14ac:dyDescent="0.2">
      <c r="AI205" s="2"/>
    </row>
    <row r="206" spans="35:35" x14ac:dyDescent="0.2">
      <c r="AI206" s="2"/>
    </row>
    <row r="207" spans="35:35" x14ac:dyDescent="0.2">
      <c r="AI207" s="2"/>
    </row>
    <row r="208" spans="35:35" x14ac:dyDescent="0.2">
      <c r="AI208" s="2"/>
    </row>
    <row r="209" spans="35:35" x14ac:dyDescent="0.2">
      <c r="AI209" s="2"/>
    </row>
    <row r="210" spans="35:35" x14ac:dyDescent="0.2">
      <c r="AI210" s="2"/>
    </row>
    <row r="211" spans="35:35" x14ac:dyDescent="0.2">
      <c r="AI211" s="2"/>
    </row>
    <row r="212" spans="35:35" x14ac:dyDescent="0.2">
      <c r="AI212" s="2"/>
    </row>
    <row r="213" spans="35:35" x14ac:dyDescent="0.2">
      <c r="AI213" s="2"/>
    </row>
    <row r="214" spans="35:35" x14ac:dyDescent="0.2">
      <c r="AI214" s="2"/>
    </row>
    <row r="215" spans="35:35" x14ac:dyDescent="0.2">
      <c r="AI215" s="2"/>
    </row>
    <row r="216" spans="35:35" x14ac:dyDescent="0.2">
      <c r="AI216" s="2"/>
    </row>
    <row r="217" spans="35:35" x14ac:dyDescent="0.2">
      <c r="AI217" s="2"/>
    </row>
    <row r="218" spans="35:35" x14ac:dyDescent="0.2">
      <c r="AI218" s="2"/>
    </row>
    <row r="219" spans="35:35" x14ac:dyDescent="0.2">
      <c r="AI219" s="2"/>
    </row>
    <row r="220" spans="35:35" x14ac:dyDescent="0.2">
      <c r="AI220" s="2"/>
    </row>
    <row r="221" spans="35:35" x14ac:dyDescent="0.2">
      <c r="AI221" s="2"/>
    </row>
    <row r="222" spans="35:35" x14ac:dyDescent="0.2">
      <c r="AI222" s="2"/>
    </row>
    <row r="223" spans="35:35" x14ac:dyDescent="0.2">
      <c r="AI223" s="2"/>
    </row>
    <row r="224" spans="35:35" x14ac:dyDescent="0.2">
      <c r="AI224" s="2"/>
    </row>
    <row r="225" spans="35:35" x14ac:dyDescent="0.2">
      <c r="AI225" s="2"/>
    </row>
    <row r="226" spans="35:35" x14ac:dyDescent="0.2">
      <c r="AI226" s="2"/>
    </row>
    <row r="227" spans="35:35" x14ac:dyDescent="0.2">
      <c r="AI227" s="2"/>
    </row>
    <row r="228" spans="35:35" x14ac:dyDescent="0.2">
      <c r="AI228" s="2"/>
    </row>
    <row r="229" spans="35:35" x14ac:dyDescent="0.2">
      <c r="AI229" s="2"/>
    </row>
    <row r="230" spans="35:35" x14ac:dyDescent="0.2">
      <c r="AI230" s="2"/>
    </row>
    <row r="231" spans="35:35" x14ac:dyDescent="0.2">
      <c r="AI231" s="2"/>
    </row>
    <row r="232" spans="35:35" x14ac:dyDescent="0.2">
      <c r="AI232" s="2"/>
    </row>
    <row r="233" spans="35:35" x14ac:dyDescent="0.2">
      <c r="AI233" s="2"/>
    </row>
    <row r="234" spans="35:35" x14ac:dyDescent="0.2">
      <c r="AI234" s="2"/>
    </row>
    <row r="235" spans="35:35" x14ac:dyDescent="0.2">
      <c r="AI235" s="2"/>
    </row>
    <row r="236" spans="35:35" x14ac:dyDescent="0.2">
      <c r="AI236" s="2"/>
    </row>
    <row r="237" spans="35:35" x14ac:dyDescent="0.2">
      <c r="AI237" s="2"/>
    </row>
    <row r="238" spans="35:35" x14ac:dyDescent="0.2">
      <c r="AI238" s="2"/>
    </row>
    <row r="239" spans="35:35" x14ac:dyDescent="0.2">
      <c r="AI239" s="2"/>
    </row>
    <row r="240" spans="35:35" x14ac:dyDescent="0.2">
      <c r="AI240" s="2"/>
    </row>
    <row r="241" spans="35:35" x14ac:dyDescent="0.2">
      <c r="AI241" s="2"/>
    </row>
    <row r="242" spans="35:35" x14ac:dyDescent="0.2">
      <c r="AI242" s="2"/>
    </row>
    <row r="243" spans="35:35" x14ac:dyDescent="0.2">
      <c r="AI243" s="2"/>
    </row>
    <row r="244" spans="35:35" x14ac:dyDescent="0.2">
      <c r="AI244" s="2"/>
    </row>
    <row r="245" spans="35:35" x14ac:dyDescent="0.2">
      <c r="AI245" s="2"/>
    </row>
    <row r="246" spans="35:35" x14ac:dyDescent="0.2">
      <c r="AI246" s="2"/>
    </row>
    <row r="247" spans="35:35" x14ac:dyDescent="0.2">
      <c r="AI247" s="2"/>
    </row>
    <row r="248" spans="35:35" x14ac:dyDescent="0.2">
      <c r="AI248" s="2"/>
    </row>
    <row r="249" spans="35:35" x14ac:dyDescent="0.2">
      <c r="AI249" s="2"/>
    </row>
    <row r="250" spans="35:35" x14ac:dyDescent="0.2">
      <c r="AI250" s="2"/>
    </row>
    <row r="251" spans="35:35" x14ac:dyDescent="0.2">
      <c r="AI251" s="2"/>
    </row>
    <row r="252" spans="35:35" x14ac:dyDescent="0.2">
      <c r="AI252" s="2"/>
    </row>
    <row r="253" spans="35:35" x14ac:dyDescent="0.2">
      <c r="AI253" s="2"/>
    </row>
    <row r="254" spans="35:35" x14ac:dyDescent="0.2">
      <c r="AI254" s="2"/>
    </row>
    <row r="255" spans="35:35" x14ac:dyDescent="0.2">
      <c r="AI255" s="2"/>
    </row>
    <row r="256" spans="35:35" x14ac:dyDescent="0.2">
      <c r="AI256" s="2"/>
    </row>
    <row r="257" spans="35:35" x14ac:dyDescent="0.2">
      <c r="AI257" s="2"/>
    </row>
    <row r="258" spans="35:35" x14ac:dyDescent="0.2">
      <c r="AI258" s="2"/>
    </row>
    <row r="259" spans="35:35" x14ac:dyDescent="0.2">
      <c r="AI259" s="2"/>
    </row>
    <row r="260" spans="35:35" x14ac:dyDescent="0.2">
      <c r="AI260" s="2"/>
    </row>
    <row r="261" spans="35:35" x14ac:dyDescent="0.2">
      <c r="AI261" s="2"/>
    </row>
    <row r="262" spans="35:35" x14ac:dyDescent="0.2">
      <c r="AI262" s="2"/>
    </row>
    <row r="263" spans="35:35" x14ac:dyDescent="0.2">
      <c r="AI263" s="2"/>
    </row>
    <row r="264" spans="35:35" x14ac:dyDescent="0.2">
      <c r="AI264" s="2"/>
    </row>
    <row r="265" spans="35:35" x14ac:dyDescent="0.2">
      <c r="AI265" s="2"/>
    </row>
    <row r="266" spans="35:35" x14ac:dyDescent="0.2">
      <c r="AI266" s="2"/>
    </row>
    <row r="267" spans="35:35" x14ac:dyDescent="0.2">
      <c r="AI267" s="2"/>
    </row>
    <row r="268" spans="35:35" x14ac:dyDescent="0.2">
      <c r="AI268" s="2"/>
    </row>
    <row r="269" spans="35:35" x14ac:dyDescent="0.2">
      <c r="AI269" s="2"/>
    </row>
    <row r="270" spans="35:35" x14ac:dyDescent="0.2">
      <c r="AI270" s="2"/>
    </row>
    <row r="271" spans="35:35" x14ac:dyDescent="0.2">
      <c r="AI271" s="2"/>
    </row>
    <row r="272" spans="35:35" x14ac:dyDescent="0.2">
      <c r="AI272" s="2"/>
    </row>
    <row r="273" spans="35:35" x14ac:dyDescent="0.2">
      <c r="AI273" s="2"/>
    </row>
    <row r="274" spans="35:35" x14ac:dyDescent="0.2">
      <c r="AI274" s="2"/>
    </row>
    <row r="275" spans="35:35" x14ac:dyDescent="0.2">
      <c r="AI275" s="2"/>
    </row>
    <row r="276" spans="35:35" x14ac:dyDescent="0.2">
      <c r="AI276" s="2"/>
    </row>
    <row r="277" spans="35:35" x14ac:dyDescent="0.2">
      <c r="AI277" s="2"/>
    </row>
    <row r="278" spans="35:35" x14ac:dyDescent="0.2">
      <c r="AI278" s="2"/>
    </row>
    <row r="279" spans="35:35" x14ac:dyDescent="0.2">
      <c r="AI279" s="2"/>
    </row>
    <row r="280" spans="35:35" x14ac:dyDescent="0.2">
      <c r="AI280" s="2"/>
    </row>
    <row r="281" spans="35:35" x14ac:dyDescent="0.2">
      <c r="AI281" s="2"/>
    </row>
    <row r="282" spans="35:35" x14ac:dyDescent="0.2">
      <c r="AI282" s="2"/>
    </row>
    <row r="283" spans="35:35" x14ac:dyDescent="0.2">
      <c r="AI283" s="2"/>
    </row>
    <row r="284" spans="35:35" x14ac:dyDescent="0.2">
      <c r="AI284" s="2"/>
    </row>
    <row r="285" spans="35:35" x14ac:dyDescent="0.2">
      <c r="AI285" s="2"/>
    </row>
    <row r="286" spans="35:35" x14ac:dyDescent="0.2">
      <c r="AI286" s="2"/>
    </row>
    <row r="287" spans="35:35" x14ac:dyDescent="0.2">
      <c r="AI287" s="2"/>
    </row>
    <row r="288" spans="35:35" x14ac:dyDescent="0.2">
      <c r="AI288" s="2"/>
    </row>
    <row r="289" spans="35:35" x14ac:dyDescent="0.2">
      <c r="AI289" s="2"/>
    </row>
    <row r="290" spans="35:35" x14ac:dyDescent="0.2">
      <c r="AI290" s="2"/>
    </row>
    <row r="291" spans="35:35" x14ac:dyDescent="0.2">
      <c r="AI291" s="2"/>
    </row>
    <row r="292" spans="35:35" x14ac:dyDescent="0.2">
      <c r="AI292" s="2"/>
    </row>
    <row r="293" spans="35:35" x14ac:dyDescent="0.2">
      <c r="AI293" s="2"/>
    </row>
    <row r="294" spans="35:35" x14ac:dyDescent="0.2">
      <c r="AI294" s="2"/>
    </row>
    <row r="295" spans="35:35" x14ac:dyDescent="0.2">
      <c r="AI295" s="2"/>
    </row>
    <row r="296" spans="35:35" x14ac:dyDescent="0.2">
      <c r="AI296" s="2"/>
    </row>
    <row r="297" spans="35:35" x14ac:dyDescent="0.2">
      <c r="AI297" s="2"/>
    </row>
    <row r="298" spans="35:35" x14ac:dyDescent="0.2">
      <c r="AI298" s="2"/>
    </row>
    <row r="299" spans="35:35" x14ac:dyDescent="0.2">
      <c r="AI299" s="2"/>
    </row>
    <row r="300" spans="35:35" x14ac:dyDescent="0.2">
      <c r="AI300" s="2"/>
    </row>
    <row r="301" spans="35:35" x14ac:dyDescent="0.2">
      <c r="AI301" s="2"/>
    </row>
    <row r="302" spans="35:35" x14ac:dyDescent="0.2">
      <c r="AI302" s="2"/>
    </row>
    <row r="303" spans="35:35" x14ac:dyDescent="0.2">
      <c r="AI303" s="2"/>
    </row>
    <row r="304" spans="35:35" x14ac:dyDescent="0.2">
      <c r="AI304" s="2"/>
    </row>
    <row r="305" spans="35:35" x14ac:dyDescent="0.2">
      <c r="AI305" s="2"/>
    </row>
    <row r="306" spans="35:35" x14ac:dyDescent="0.2">
      <c r="AI306" s="2"/>
    </row>
    <row r="307" spans="35:35" x14ac:dyDescent="0.2">
      <c r="AI307" s="2"/>
    </row>
    <row r="308" spans="35:35" x14ac:dyDescent="0.2">
      <c r="AI308" s="2"/>
    </row>
    <row r="309" spans="35:35" x14ac:dyDescent="0.2">
      <c r="AI309" s="2"/>
    </row>
    <row r="310" spans="35:35" x14ac:dyDescent="0.2">
      <c r="AI310" s="2"/>
    </row>
    <row r="311" spans="35:35" x14ac:dyDescent="0.2">
      <c r="AI311" s="2"/>
    </row>
    <row r="312" spans="35:35" x14ac:dyDescent="0.2">
      <c r="AI312" s="2"/>
    </row>
    <row r="313" spans="35:35" x14ac:dyDescent="0.2">
      <c r="AI313" s="2"/>
    </row>
    <row r="314" spans="35:35" x14ac:dyDescent="0.2">
      <c r="AI314" s="2"/>
    </row>
    <row r="315" spans="35:35" x14ac:dyDescent="0.2">
      <c r="AI315" s="2"/>
    </row>
    <row r="316" spans="35:35" x14ac:dyDescent="0.2">
      <c r="AI316" s="2"/>
    </row>
    <row r="317" spans="35:35" x14ac:dyDescent="0.2">
      <c r="AI317" s="2"/>
    </row>
    <row r="318" spans="35:35" x14ac:dyDescent="0.2">
      <c r="AI318" s="2"/>
    </row>
    <row r="319" spans="35:35" x14ac:dyDescent="0.2">
      <c r="AI319" s="2"/>
    </row>
    <row r="320" spans="35:35" x14ac:dyDescent="0.2">
      <c r="AI320" s="2"/>
    </row>
    <row r="321" spans="35:35" x14ac:dyDescent="0.2">
      <c r="AI321" s="2"/>
    </row>
    <row r="322" spans="35:35" x14ac:dyDescent="0.2">
      <c r="AI322" s="2"/>
    </row>
    <row r="323" spans="35:35" x14ac:dyDescent="0.2">
      <c r="AI323" s="2"/>
    </row>
    <row r="324" spans="35:35" x14ac:dyDescent="0.2">
      <c r="AI324" s="2"/>
    </row>
    <row r="325" spans="35:35" x14ac:dyDescent="0.2">
      <c r="AI325" s="2"/>
    </row>
    <row r="326" spans="35:35" x14ac:dyDescent="0.2">
      <c r="AI326" s="2"/>
    </row>
    <row r="327" spans="35:35" x14ac:dyDescent="0.2">
      <c r="AI327" s="2"/>
    </row>
    <row r="328" spans="35:35" x14ac:dyDescent="0.2">
      <c r="AI328" s="2"/>
    </row>
    <row r="329" spans="35:35" x14ac:dyDescent="0.2">
      <c r="AI329" s="2"/>
    </row>
    <row r="330" spans="35:35" x14ac:dyDescent="0.2">
      <c r="AI330" s="2"/>
    </row>
    <row r="331" spans="35:35" x14ac:dyDescent="0.2">
      <c r="AI331" s="2"/>
    </row>
    <row r="332" spans="35:35" x14ac:dyDescent="0.2">
      <c r="AI332" s="2"/>
    </row>
    <row r="333" spans="35:35" x14ac:dyDescent="0.2">
      <c r="AI333" s="2"/>
    </row>
    <row r="334" spans="35:35" x14ac:dyDescent="0.2">
      <c r="AI334" s="2"/>
    </row>
    <row r="335" spans="35:35" x14ac:dyDescent="0.2">
      <c r="AI335" s="2"/>
    </row>
    <row r="336" spans="35:35" x14ac:dyDescent="0.2">
      <c r="AI336" s="2"/>
    </row>
    <row r="337" spans="35:35" x14ac:dyDescent="0.2">
      <c r="AI337" s="2"/>
    </row>
    <row r="338" spans="35:35" x14ac:dyDescent="0.2">
      <c r="AI338" s="2"/>
    </row>
    <row r="339" spans="35:35" x14ac:dyDescent="0.2">
      <c r="AI339" s="2"/>
    </row>
    <row r="340" spans="35:35" x14ac:dyDescent="0.2">
      <c r="AI340" s="2"/>
    </row>
    <row r="341" spans="35:35" x14ac:dyDescent="0.2">
      <c r="AI341" s="2"/>
    </row>
    <row r="342" spans="35:35" x14ac:dyDescent="0.2">
      <c r="AI342" s="2"/>
    </row>
    <row r="343" spans="35:35" x14ac:dyDescent="0.2">
      <c r="AI343" s="2"/>
    </row>
    <row r="344" spans="35:35" x14ac:dyDescent="0.2">
      <c r="AI344" s="2"/>
    </row>
    <row r="345" spans="35:35" x14ac:dyDescent="0.2">
      <c r="AI345" s="2"/>
    </row>
    <row r="346" spans="35:35" x14ac:dyDescent="0.2">
      <c r="AI346" s="2"/>
    </row>
    <row r="347" spans="35:35" x14ac:dyDescent="0.2">
      <c r="AI347" s="2"/>
    </row>
    <row r="348" spans="35:35" x14ac:dyDescent="0.2">
      <c r="AI348" s="2"/>
    </row>
    <row r="349" spans="35:35" x14ac:dyDescent="0.2">
      <c r="AI349" s="2"/>
    </row>
    <row r="350" spans="35:35" x14ac:dyDescent="0.2">
      <c r="AI350" s="2"/>
    </row>
    <row r="351" spans="35:35" x14ac:dyDescent="0.2">
      <c r="AI351" s="2"/>
    </row>
    <row r="352" spans="35:35" x14ac:dyDescent="0.2">
      <c r="AI352" s="2"/>
    </row>
    <row r="353" spans="35:35" x14ac:dyDescent="0.2">
      <c r="AI353" s="2"/>
    </row>
    <row r="354" spans="35:35" x14ac:dyDescent="0.2">
      <c r="AI354" s="2"/>
    </row>
    <row r="355" spans="35:35" x14ac:dyDescent="0.2">
      <c r="AI355" s="2"/>
    </row>
    <row r="356" spans="35:35" x14ac:dyDescent="0.2">
      <c r="AI356" s="2"/>
    </row>
    <row r="357" spans="35:35" x14ac:dyDescent="0.2">
      <c r="AI357" s="2"/>
    </row>
    <row r="358" spans="35:35" x14ac:dyDescent="0.2">
      <c r="AI358" s="2"/>
    </row>
    <row r="359" spans="35:35" x14ac:dyDescent="0.2">
      <c r="AI359" s="2"/>
    </row>
    <row r="360" spans="35:35" x14ac:dyDescent="0.2">
      <c r="AI360" s="2"/>
    </row>
    <row r="361" spans="35:35" x14ac:dyDescent="0.2">
      <c r="AI361" s="2"/>
    </row>
    <row r="362" spans="35:35" x14ac:dyDescent="0.2">
      <c r="AI362" s="2"/>
    </row>
    <row r="363" spans="35:35" x14ac:dyDescent="0.2">
      <c r="AI363" s="2"/>
    </row>
    <row r="364" spans="35:35" x14ac:dyDescent="0.2">
      <c r="AI364" s="2"/>
    </row>
    <row r="365" spans="35:35" x14ac:dyDescent="0.2">
      <c r="AI365" s="2"/>
    </row>
    <row r="366" spans="35:35" x14ac:dyDescent="0.2">
      <c r="AI366" s="2"/>
    </row>
    <row r="367" spans="35:35" x14ac:dyDescent="0.2">
      <c r="AI367" s="2"/>
    </row>
    <row r="368" spans="35:35" x14ac:dyDescent="0.2">
      <c r="AI368" s="2"/>
    </row>
    <row r="369" spans="35:35" x14ac:dyDescent="0.2">
      <c r="AI369" s="2"/>
    </row>
    <row r="370" spans="35:35" x14ac:dyDescent="0.2">
      <c r="AI370" s="2"/>
    </row>
    <row r="371" spans="35:35" x14ac:dyDescent="0.2">
      <c r="AI371" s="2"/>
    </row>
    <row r="372" spans="35:35" x14ac:dyDescent="0.2">
      <c r="AI372" s="2"/>
    </row>
    <row r="373" spans="35:35" x14ac:dyDescent="0.2">
      <c r="AI373" s="2"/>
    </row>
    <row r="374" spans="35:35" x14ac:dyDescent="0.2">
      <c r="AI374" s="2"/>
    </row>
    <row r="375" spans="35:35" x14ac:dyDescent="0.2">
      <c r="AI375" s="2"/>
    </row>
    <row r="376" spans="35:35" x14ac:dyDescent="0.2">
      <c r="AI376" s="2"/>
    </row>
    <row r="377" spans="35:35" x14ac:dyDescent="0.2">
      <c r="AI377" s="2"/>
    </row>
    <row r="378" spans="35:35" x14ac:dyDescent="0.2">
      <c r="AI378" s="2"/>
    </row>
    <row r="379" spans="35:35" x14ac:dyDescent="0.2">
      <c r="AI379" s="2"/>
    </row>
    <row r="380" spans="35:35" x14ac:dyDescent="0.2">
      <c r="AI380" s="2"/>
    </row>
    <row r="381" spans="35:35" x14ac:dyDescent="0.2">
      <c r="AI381" s="2"/>
    </row>
    <row r="382" spans="35:35" x14ac:dyDescent="0.2">
      <c r="AI382" s="2"/>
    </row>
    <row r="383" spans="35:35" x14ac:dyDescent="0.2">
      <c r="AI383" s="2"/>
    </row>
    <row r="384" spans="35:35" x14ac:dyDescent="0.2">
      <c r="AI384" s="2"/>
    </row>
    <row r="385" spans="35:35" x14ac:dyDescent="0.2">
      <c r="AI385" s="2"/>
    </row>
    <row r="386" spans="35:35" x14ac:dyDescent="0.2">
      <c r="AI386" s="2"/>
    </row>
    <row r="387" spans="35:35" x14ac:dyDescent="0.2">
      <c r="AI387" s="2"/>
    </row>
    <row r="388" spans="35:35" x14ac:dyDescent="0.2">
      <c r="AI388" s="2"/>
    </row>
    <row r="389" spans="35:35" x14ac:dyDescent="0.2">
      <c r="AI389" s="2"/>
    </row>
    <row r="390" spans="35:35" x14ac:dyDescent="0.2">
      <c r="AI390" s="2"/>
    </row>
    <row r="391" spans="35:35" x14ac:dyDescent="0.2">
      <c r="AI391" s="2"/>
    </row>
    <row r="392" spans="35:35" x14ac:dyDescent="0.2">
      <c r="AI392" s="2"/>
    </row>
    <row r="393" spans="35:35" x14ac:dyDescent="0.2">
      <c r="AI393" s="2"/>
    </row>
    <row r="394" spans="35:35" x14ac:dyDescent="0.2">
      <c r="AI394" s="2"/>
    </row>
    <row r="395" spans="35:35" x14ac:dyDescent="0.2">
      <c r="AI395" s="2"/>
    </row>
    <row r="396" spans="35:35" x14ac:dyDescent="0.2">
      <c r="AI396" s="2"/>
    </row>
    <row r="397" spans="35:35" x14ac:dyDescent="0.2">
      <c r="AI397" s="2"/>
    </row>
    <row r="398" spans="35:35" x14ac:dyDescent="0.2">
      <c r="AI398" s="2"/>
    </row>
    <row r="399" spans="35:35" x14ac:dyDescent="0.2">
      <c r="AI399" s="2"/>
    </row>
    <row r="400" spans="35:35" x14ac:dyDescent="0.2">
      <c r="AI400" s="2"/>
    </row>
    <row r="401" spans="35:35" x14ac:dyDescent="0.2">
      <c r="AI401" s="2"/>
    </row>
    <row r="402" spans="35:35" x14ac:dyDescent="0.2">
      <c r="AI402" s="2"/>
    </row>
    <row r="403" spans="35:35" x14ac:dyDescent="0.2">
      <c r="AI403" s="2"/>
    </row>
    <row r="404" spans="35:35" x14ac:dyDescent="0.2">
      <c r="AI404" s="2"/>
    </row>
    <row r="405" spans="35:35" x14ac:dyDescent="0.2">
      <c r="AI405" s="2"/>
    </row>
    <row r="406" spans="35:35" x14ac:dyDescent="0.2">
      <c r="AI406" s="2"/>
    </row>
    <row r="407" spans="35:35" x14ac:dyDescent="0.2">
      <c r="AI407" s="2"/>
    </row>
    <row r="408" spans="35:35" x14ac:dyDescent="0.2">
      <c r="AI408" s="2"/>
    </row>
    <row r="409" spans="35:35" x14ac:dyDescent="0.2">
      <c r="AI409" s="2"/>
    </row>
    <row r="410" spans="35:35" x14ac:dyDescent="0.2">
      <c r="AI410" s="2"/>
    </row>
    <row r="411" spans="35:35" x14ac:dyDescent="0.2">
      <c r="AI411" s="2"/>
    </row>
    <row r="412" spans="35:35" x14ac:dyDescent="0.2">
      <c r="AI412" s="2"/>
    </row>
    <row r="413" spans="35:35" x14ac:dyDescent="0.2">
      <c r="AI413" s="2"/>
    </row>
    <row r="414" spans="35:35" x14ac:dyDescent="0.2">
      <c r="AI414" s="2"/>
    </row>
    <row r="415" spans="35:35" x14ac:dyDescent="0.2">
      <c r="AI415" s="2"/>
    </row>
    <row r="416" spans="35:35" x14ac:dyDescent="0.2">
      <c r="AI416" s="2"/>
    </row>
    <row r="417" spans="35:35" x14ac:dyDescent="0.2">
      <c r="AI417" s="2"/>
    </row>
    <row r="418" spans="35:35" x14ac:dyDescent="0.2">
      <c r="AI418" s="2"/>
    </row>
    <row r="419" spans="35:35" x14ac:dyDescent="0.2">
      <c r="AI419" s="2"/>
    </row>
    <row r="420" spans="35:35" x14ac:dyDescent="0.2">
      <c r="AI420" s="2"/>
    </row>
    <row r="421" spans="35:35" x14ac:dyDescent="0.2">
      <c r="AI421" s="2"/>
    </row>
    <row r="422" spans="35:35" x14ac:dyDescent="0.2">
      <c r="AI422" s="2"/>
    </row>
    <row r="423" spans="35:35" x14ac:dyDescent="0.2">
      <c r="AI423" s="2"/>
    </row>
    <row r="424" spans="35:35" x14ac:dyDescent="0.2">
      <c r="AI424" s="2"/>
    </row>
    <row r="425" spans="35:35" x14ac:dyDescent="0.2">
      <c r="AI425" s="2"/>
    </row>
    <row r="426" spans="35:35" x14ac:dyDescent="0.2">
      <c r="AI426" s="2"/>
    </row>
    <row r="427" spans="35:35" x14ac:dyDescent="0.2">
      <c r="AI427" s="2"/>
    </row>
    <row r="428" spans="35:35" x14ac:dyDescent="0.2">
      <c r="AI428" s="2"/>
    </row>
    <row r="429" spans="35:35" x14ac:dyDescent="0.2">
      <c r="AI429" s="2"/>
    </row>
    <row r="430" spans="35:35" x14ac:dyDescent="0.2">
      <c r="AI430" s="2"/>
    </row>
    <row r="431" spans="35:35" x14ac:dyDescent="0.2">
      <c r="AI431" s="2"/>
    </row>
    <row r="432" spans="35:35" x14ac:dyDescent="0.2">
      <c r="AI432" s="2"/>
    </row>
    <row r="433" spans="35:35" x14ac:dyDescent="0.2">
      <c r="AI433" s="2"/>
    </row>
    <row r="434" spans="35:35" x14ac:dyDescent="0.2">
      <c r="AI434" s="2"/>
    </row>
    <row r="435" spans="35:35" x14ac:dyDescent="0.2">
      <c r="AI435" s="2"/>
    </row>
    <row r="436" spans="35:35" x14ac:dyDescent="0.2">
      <c r="AI436" s="2"/>
    </row>
    <row r="437" spans="35:35" x14ac:dyDescent="0.2">
      <c r="AI437" s="2"/>
    </row>
    <row r="438" spans="35:35" x14ac:dyDescent="0.2">
      <c r="AI438" s="2"/>
    </row>
    <row r="439" spans="35:35" x14ac:dyDescent="0.2">
      <c r="AI439" s="2"/>
    </row>
    <row r="440" spans="35:35" x14ac:dyDescent="0.2">
      <c r="AI440" s="2"/>
    </row>
    <row r="441" spans="35:35" x14ac:dyDescent="0.2">
      <c r="AI441" s="2"/>
    </row>
    <row r="442" spans="35:35" x14ac:dyDescent="0.2">
      <c r="AI442" s="2"/>
    </row>
    <row r="443" spans="35:35" x14ac:dyDescent="0.2">
      <c r="AI443" s="2"/>
    </row>
    <row r="444" spans="35:35" x14ac:dyDescent="0.2">
      <c r="AI444" s="2"/>
    </row>
    <row r="445" spans="35:35" x14ac:dyDescent="0.2">
      <c r="AI445" s="2"/>
    </row>
    <row r="446" spans="35:35" x14ac:dyDescent="0.2">
      <c r="AI446" s="2"/>
    </row>
    <row r="447" spans="35:35" x14ac:dyDescent="0.2">
      <c r="AI447" s="2"/>
    </row>
    <row r="448" spans="35:35" x14ac:dyDescent="0.2">
      <c r="AI448" s="2"/>
    </row>
    <row r="449" spans="35:35" x14ac:dyDescent="0.2">
      <c r="AI449" s="2"/>
    </row>
    <row r="450" spans="35:35" x14ac:dyDescent="0.2">
      <c r="AI450" s="2"/>
    </row>
    <row r="451" spans="35:35" x14ac:dyDescent="0.2">
      <c r="AI451" s="2"/>
    </row>
    <row r="452" spans="35:35" x14ac:dyDescent="0.2">
      <c r="AI452" s="2"/>
    </row>
    <row r="453" spans="35:35" x14ac:dyDescent="0.2">
      <c r="AI453" s="2"/>
    </row>
    <row r="454" spans="35:35" x14ac:dyDescent="0.2">
      <c r="AI454" s="2"/>
    </row>
    <row r="455" spans="35:35" x14ac:dyDescent="0.2">
      <c r="AI455" s="2"/>
    </row>
    <row r="456" spans="35:35" x14ac:dyDescent="0.2">
      <c r="AI456" s="2"/>
    </row>
    <row r="457" spans="35:35" x14ac:dyDescent="0.2">
      <c r="AI457" s="2"/>
    </row>
    <row r="458" spans="35:35" x14ac:dyDescent="0.2">
      <c r="AI458" s="2"/>
    </row>
    <row r="459" spans="35:35" x14ac:dyDescent="0.2">
      <c r="AI459" s="2"/>
    </row>
    <row r="460" spans="35:35" x14ac:dyDescent="0.2">
      <c r="AI460" s="2"/>
    </row>
    <row r="461" spans="35:35" x14ac:dyDescent="0.2">
      <c r="AI461" s="2"/>
    </row>
    <row r="462" spans="35:35" x14ac:dyDescent="0.2">
      <c r="AI462" s="2"/>
    </row>
    <row r="463" spans="35:35" x14ac:dyDescent="0.2">
      <c r="AI463" s="2"/>
    </row>
    <row r="464" spans="35:35" x14ac:dyDescent="0.2">
      <c r="AI464" s="2"/>
    </row>
    <row r="465" spans="35:35" x14ac:dyDescent="0.2">
      <c r="AI465" s="2"/>
    </row>
    <row r="466" spans="35:35" x14ac:dyDescent="0.2">
      <c r="AI466" s="2"/>
    </row>
    <row r="467" spans="35:35" x14ac:dyDescent="0.2">
      <c r="AI467" s="2"/>
    </row>
    <row r="468" spans="35:35" x14ac:dyDescent="0.2">
      <c r="AI468" s="2"/>
    </row>
    <row r="469" spans="35:35" x14ac:dyDescent="0.2">
      <c r="AI469" s="2"/>
    </row>
    <row r="470" spans="35:35" x14ac:dyDescent="0.2">
      <c r="AI470" s="2"/>
    </row>
    <row r="471" spans="35:35" x14ac:dyDescent="0.2">
      <c r="AI471" s="2"/>
    </row>
    <row r="472" spans="35:35" x14ac:dyDescent="0.2">
      <c r="AI472" s="2"/>
    </row>
    <row r="473" spans="35:35" x14ac:dyDescent="0.2">
      <c r="AI473" s="2"/>
    </row>
    <row r="474" spans="35:35" x14ac:dyDescent="0.2">
      <c r="AI474" s="2"/>
    </row>
    <row r="475" spans="35:35" x14ac:dyDescent="0.2">
      <c r="AI475" s="2"/>
    </row>
    <row r="476" spans="35:35" x14ac:dyDescent="0.2">
      <c r="AI476" s="2"/>
    </row>
    <row r="477" spans="35:35" x14ac:dyDescent="0.2">
      <c r="AI477" s="2"/>
    </row>
    <row r="478" spans="35:35" x14ac:dyDescent="0.2">
      <c r="AI478" s="2"/>
    </row>
    <row r="479" spans="35:35" x14ac:dyDescent="0.2">
      <c r="AI479" s="2"/>
    </row>
    <row r="480" spans="35:35" x14ac:dyDescent="0.2">
      <c r="AI480" s="2"/>
    </row>
    <row r="481" spans="35:35" x14ac:dyDescent="0.2">
      <c r="AI481" s="2"/>
    </row>
    <row r="482" spans="35:35" x14ac:dyDescent="0.2">
      <c r="AI482" s="2"/>
    </row>
    <row r="483" spans="35:35" x14ac:dyDescent="0.2">
      <c r="AI483" s="2"/>
    </row>
    <row r="484" spans="35:35" x14ac:dyDescent="0.2">
      <c r="AI484" s="2"/>
    </row>
    <row r="485" spans="35:35" x14ac:dyDescent="0.2">
      <c r="AI485" s="2"/>
    </row>
    <row r="486" spans="35:35" x14ac:dyDescent="0.2">
      <c r="AI486" s="2"/>
    </row>
    <row r="487" spans="35:35" x14ac:dyDescent="0.2">
      <c r="AI487" s="2"/>
    </row>
    <row r="488" spans="35:35" x14ac:dyDescent="0.2">
      <c r="AI488" s="2"/>
    </row>
    <row r="489" spans="35:35" x14ac:dyDescent="0.2">
      <c r="AI489" s="2"/>
    </row>
    <row r="490" spans="35:35" x14ac:dyDescent="0.2">
      <c r="AI490" s="2"/>
    </row>
    <row r="491" spans="35:35" x14ac:dyDescent="0.2">
      <c r="AI491" s="2"/>
    </row>
    <row r="492" spans="35:35" x14ac:dyDescent="0.2">
      <c r="AI492" s="2"/>
    </row>
    <row r="493" spans="35:35" x14ac:dyDescent="0.2">
      <c r="AI493" s="2"/>
    </row>
    <row r="494" spans="35:35" x14ac:dyDescent="0.2">
      <c r="AI494" s="2"/>
    </row>
    <row r="495" spans="35:35" x14ac:dyDescent="0.2">
      <c r="AI495" s="2"/>
    </row>
    <row r="496" spans="35:35" x14ac:dyDescent="0.2">
      <c r="AI496" s="2"/>
    </row>
    <row r="497" spans="35:35" x14ac:dyDescent="0.2">
      <c r="AI497" s="2"/>
    </row>
    <row r="498" spans="35:35" x14ac:dyDescent="0.2">
      <c r="AI498" s="2"/>
    </row>
    <row r="499" spans="35:35" x14ac:dyDescent="0.2">
      <c r="AI499" s="2"/>
    </row>
    <row r="500" spans="35:35" x14ac:dyDescent="0.2">
      <c r="AI500" s="2"/>
    </row>
    <row r="501" spans="35:35" x14ac:dyDescent="0.2">
      <c r="AI501" s="2"/>
    </row>
    <row r="502" spans="35:35" x14ac:dyDescent="0.2">
      <c r="AI502" s="2"/>
    </row>
    <row r="503" spans="35:35" x14ac:dyDescent="0.2">
      <c r="AI503" s="2"/>
    </row>
    <row r="504" spans="35:35" x14ac:dyDescent="0.2">
      <c r="AI504" s="2"/>
    </row>
    <row r="505" spans="35:35" x14ac:dyDescent="0.2">
      <c r="AI505" s="2"/>
    </row>
    <row r="506" spans="35:35" x14ac:dyDescent="0.2">
      <c r="AI506" s="2"/>
    </row>
    <row r="507" spans="35:35" x14ac:dyDescent="0.2">
      <c r="AI507" s="2"/>
    </row>
    <row r="508" spans="35:35" x14ac:dyDescent="0.2">
      <c r="AI508" s="2"/>
    </row>
    <row r="509" spans="35:35" x14ac:dyDescent="0.2">
      <c r="AI509" s="2"/>
    </row>
    <row r="510" spans="35:35" x14ac:dyDescent="0.2">
      <c r="AI510" s="2"/>
    </row>
    <row r="511" spans="35:35" x14ac:dyDescent="0.2">
      <c r="AI511" s="2"/>
    </row>
    <row r="512" spans="35:35" x14ac:dyDescent="0.2">
      <c r="AI512" s="2"/>
    </row>
    <row r="513" spans="35:35" x14ac:dyDescent="0.2">
      <c r="AI513" s="2"/>
    </row>
    <row r="514" spans="35:35" x14ac:dyDescent="0.2">
      <c r="AI514" s="2"/>
    </row>
    <row r="515" spans="35:35" x14ac:dyDescent="0.2">
      <c r="AI515" s="2"/>
    </row>
    <row r="516" spans="35:35" x14ac:dyDescent="0.2">
      <c r="AI516" s="2"/>
    </row>
    <row r="517" spans="35:35" x14ac:dyDescent="0.2">
      <c r="AI517" s="2"/>
    </row>
    <row r="518" spans="35:35" x14ac:dyDescent="0.2">
      <c r="AI518" s="2"/>
    </row>
    <row r="519" spans="35:35" x14ac:dyDescent="0.2">
      <c r="AI519" s="2"/>
    </row>
    <row r="520" spans="35:35" x14ac:dyDescent="0.2">
      <c r="AI520" s="2"/>
    </row>
    <row r="521" spans="35:35" x14ac:dyDescent="0.2">
      <c r="AI521" s="2"/>
    </row>
    <row r="522" spans="35:35" x14ac:dyDescent="0.2">
      <c r="AI522" s="2"/>
    </row>
    <row r="523" spans="35:35" x14ac:dyDescent="0.2">
      <c r="AI523" s="2"/>
    </row>
    <row r="524" spans="35:35" x14ac:dyDescent="0.2">
      <c r="AI524" s="2"/>
    </row>
    <row r="525" spans="35:35" x14ac:dyDescent="0.2">
      <c r="AI525" s="2"/>
    </row>
    <row r="526" spans="35:35" x14ac:dyDescent="0.2">
      <c r="AI526" s="2"/>
    </row>
    <row r="527" spans="35:35" x14ac:dyDescent="0.2">
      <c r="AI527" s="2"/>
    </row>
    <row r="528" spans="35:35" x14ac:dyDescent="0.2">
      <c r="AI528" s="2"/>
    </row>
    <row r="529" spans="35:35" x14ac:dyDescent="0.2">
      <c r="AI529" s="2"/>
    </row>
    <row r="530" spans="35:35" x14ac:dyDescent="0.2">
      <c r="AI530" s="2"/>
    </row>
    <row r="531" spans="35:35" x14ac:dyDescent="0.2">
      <c r="AI531" s="2"/>
    </row>
    <row r="532" spans="35:35" x14ac:dyDescent="0.2">
      <c r="AI532" s="2"/>
    </row>
    <row r="533" spans="35:35" x14ac:dyDescent="0.2">
      <c r="AI533" s="2"/>
    </row>
  </sheetData>
  <mergeCells count="1">
    <mergeCell ref="G8:L8"/>
  </mergeCells>
  <phoneticPr fontId="4" type="noConversion"/>
  <printOptions horizontalCentered="1" verticalCentered="1"/>
  <pageMargins left="0.35433070866141736" right="0.19685039370078741" top="0.23622047244094491" bottom="0.19685039370078741" header="0.51181102362204722" footer="0.27559055118110237"/>
  <pageSetup paperSize="9" scale="69" orientation="landscape" horizontalDpi="4294967294" verticalDpi="360" r:id="rId1"/>
  <headerFooter alignWithMargins="0">
    <oddHeader xml:space="preserve">&amp;C&amp;"Arial,Gras"&amp;24TUNNEL  DU FREJUS
Convergences optiques sur scoth-light&amp;16
&amp;R
</oddHeader>
    <oddFooter xml:space="preserve">&amp;L&amp;"Courier New,Normal"&amp;8F COL
GASCOGNE GENIE CIVIL
BP 45
01580 IZERNORE
04 74 76 55 49&amp;R&amp;F
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597E-DCEA-4899-8EF7-0C5B640E144F}">
  <sheetPr codeName="Feuil2"/>
  <dimension ref="A1:G13"/>
  <sheetViews>
    <sheetView zoomScale="80" workbookViewId="0">
      <selection activeCell="A5" sqref="A2:G6"/>
    </sheetView>
  </sheetViews>
  <sheetFormatPr baseColWidth="10" defaultRowHeight="12.75" x14ac:dyDescent="0.2"/>
  <cols>
    <col min="1" max="16384" width="11.42578125" style="52"/>
  </cols>
  <sheetData>
    <row r="1" spans="1:7" x14ac:dyDescent="0.2">
      <c r="A1" s="52" t="s">
        <v>16</v>
      </c>
      <c r="B1" s="51" t="s">
        <v>1</v>
      </c>
      <c r="C1" s="51" t="s">
        <v>2</v>
      </c>
      <c r="D1" s="51" t="s">
        <v>4</v>
      </c>
      <c r="E1" s="51" t="s">
        <v>3</v>
      </c>
      <c r="F1" s="51" t="s">
        <v>5</v>
      </c>
      <c r="G1" s="51" t="s">
        <v>15</v>
      </c>
    </row>
    <row r="2" spans="1:7" s="53" customFormat="1" x14ac:dyDescent="0.2">
      <c r="A2" s="68">
        <f>tableau!A32</f>
        <v>44001</v>
      </c>
      <c r="B2" s="53">
        <f>tableau!F32</f>
        <v>0</v>
      </c>
      <c r="C2" s="53">
        <f>tableau!I32</f>
        <v>0</v>
      </c>
      <c r="D2" s="53">
        <f>tableau!L32</f>
        <v>0</v>
      </c>
      <c r="E2" s="53">
        <f>tableau!O32</f>
        <v>0</v>
      </c>
      <c r="F2" s="53">
        <f>tableau!R32</f>
        <v>0</v>
      </c>
      <c r="G2" s="53">
        <f>tableau!U32</f>
        <v>0</v>
      </c>
    </row>
    <row r="3" spans="1:7" s="53" customFormat="1" x14ac:dyDescent="0.2">
      <c r="A3" s="68">
        <f>tableau!A33</f>
        <v>44252</v>
      </c>
      <c r="B3" s="53">
        <f>tableau!F33</f>
        <v>0.3000000000001819</v>
      </c>
      <c r="C3" s="53">
        <f>tableau!I33</f>
        <v>2.2999999999992724</v>
      </c>
      <c r="D3" s="53">
        <f>tableau!L33</f>
        <v>0.7000000000007276</v>
      </c>
      <c r="E3" s="53">
        <f>tableau!O33</f>
        <v>2.3999999999996362</v>
      </c>
      <c r="F3" s="53">
        <f>tableau!R33</f>
        <v>1.0999999999985448</v>
      </c>
      <c r="G3" s="53">
        <f>tableau!U33</f>
        <v>0.8000000000001819</v>
      </c>
    </row>
    <row r="4" spans="1:7" x14ac:dyDescent="0.2">
      <c r="A4" s="68">
        <f>tableau!A34</f>
        <v>44635</v>
      </c>
      <c r="B4" s="53">
        <f>tableau!F34</f>
        <v>0.3000000000001819</v>
      </c>
      <c r="C4" s="53">
        <f>tableau!I34</f>
        <v>0.52639362463924044</v>
      </c>
      <c r="D4" s="53">
        <f>tableau!L34</f>
        <v>0.38955199551310216</v>
      </c>
      <c r="E4" s="53">
        <f>tableau!O34</f>
        <v>0.50948865500322427</v>
      </c>
      <c r="F4" s="53">
        <f>tableau!R34</f>
        <v>0.43173337785810872</v>
      </c>
      <c r="G4" s="53">
        <f>tableau!U34</f>
        <v>5.0568426891913987E-2</v>
      </c>
    </row>
    <row r="5" spans="1:7" x14ac:dyDescent="0.2">
      <c r="A5" s="68">
        <f>tableau!A35</f>
        <v>45032</v>
      </c>
      <c r="B5" s="53">
        <f>tableau!F35</f>
        <v>0.3000000000001819</v>
      </c>
      <c r="C5" s="53">
        <f>tableau!I35</f>
        <v>2.1999999999989086</v>
      </c>
      <c r="D5" s="53">
        <f>tableau!L35</f>
        <v>0.8999999999996362</v>
      </c>
      <c r="E5" s="53">
        <f>tableau!O35</f>
        <v>2.1000000000003638</v>
      </c>
      <c r="F5" s="53">
        <f>tableau!R35</f>
        <v>1.0999999999985448</v>
      </c>
      <c r="G5" s="53">
        <f>tableau!U35</f>
        <v>1</v>
      </c>
    </row>
    <row r="6" spans="1:7" x14ac:dyDescent="0.2">
      <c r="A6" s="68">
        <f>tableau!A36</f>
        <v>45364</v>
      </c>
      <c r="B6" s="53">
        <f>tableau!F36</f>
        <v>-7.0842356872162782E-3</v>
      </c>
      <c r="C6" s="53">
        <f>tableau!I36</f>
        <v>1.2130279005577904</v>
      </c>
      <c r="D6" s="53">
        <f>tableau!L36</f>
        <v>1.1423974079571053</v>
      </c>
      <c r="E6" s="53">
        <f>tableau!O36</f>
        <v>1.6054837662377395</v>
      </c>
      <c r="F6" s="53">
        <f>tableau!R36</f>
        <v>1.4981862774475303</v>
      </c>
      <c r="G6" s="53">
        <f>tableau!U36</f>
        <v>0.35254941282346408</v>
      </c>
    </row>
    <row r="7" spans="1:7" x14ac:dyDescent="0.2">
      <c r="A7" s="68"/>
      <c r="B7" s="53"/>
      <c r="C7" s="53"/>
      <c r="D7" s="53"/>
      <c r="E7" s="53"/>
      <c r="F7" s="53"/>
      <c r="G7" s="53"/>
    </row>
    <row r="8" spans="1:7" x14ac:dyDescent="0.2">
      <c r="A8" s="68"/>
      <c r="B8" s="53"/>
      <c r="C8" s="53"/>
      <c r="D8" s="53"/>
      <c r="E8" s="53"/>
      <c r="F8" s="53"/>
      <c r="G8" s="53"/>
    </row>
    <row r="9" spans="1:7" x14ac:dyDescent="0.2">
      <c r="A9" s="68"/>
      <c r="B9" s="53"/>
      <c r="C9" s="53"/>
      <c r="D9" s="53"/>
      <c r="E9" s="53"/>
      <c r="F9" s="53"/>
      <c r="G9" s="53"/>
    </row>
    <row r="10" spans="1:7" x14ac:dyDescent="0.2">
      <c r="A10" s="54"/>
      <c r="B10" s="53"/>
      <c r="C10" s="53"/>
      <c r="D10" s="53"/>
      <c r="E10" s="53"/>
      <c r="F10" s="53"/>
      <c r="G10" s="53"/>
    </row>
    <row r="11" spans="1:7" x14ac:dyDescent="0.2">
      <c r="C11" s="53"/>
    </row>
    <row r="12" spans="1:7" x14ac:dyDescent="0.2">
      <c r="C12" s="53"/>
    </row>
    <row r="13" spans="1:7" x14ac:dyDescent="0.2">
      <c r="C13" s="53"/>
    </row>
  </sheetData>
  <phoneticPr fontId="4" type="noConversion"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44CF-67C7-4376-BA94-3128AC0CC7B5}">
  <sheetPr codeName="Feuil3"/>
  <dimension ref="A1"/>
  <sheetViews>
    <sheetView tabSelected="1" workbookViewId="0">
      <selection activeCell="K15" sqref="K15"/>
    </sheetView>
  </sheetViews>
  <sheetFormatPr baseColWidth="10" defaultRowHeight="12.75" x14ac:dyDescent="0.2"/>
  <sheetData/>
  <phoneticPr fontId="4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tableau</vt:lpstr>
      <vt:lpstr>recap graphique</vt:lpstr>
      <vt:lpstr>graph84mois </vt:lpstr>
      <vt:lpstr>tableau!Zone_d_impression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</dc:creator>
  <cp:lastModifiedBy>olivier boissard</cp:lastModifiedBy>
  <cp:lastPrinted>2021-04-27T13:16:11Z</cp:lastPrinted>
  <dcterms:created xsi:type="dcterms:W3CDTF">2001-01-10T09:05:43Z</dcterms:created>
  <dcterms:modified xsi:type="dcterms:W3CDTF">2025-07-09T12:44:23Z</dcterms:modified>
</cp:coreProperties>
</file>