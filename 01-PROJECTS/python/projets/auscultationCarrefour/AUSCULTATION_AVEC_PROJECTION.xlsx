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data\20-DEVELOPPEMENT\01-PROJECTS\python\projets\auscultationCarrefour\"/>
    </mc:Choice>
  </mc:AlternateContent>
  <xr:revisionPtr revIDLastSave="0" documentId="13_ncr:1_{B9FAFC59-B974-49BD-B2CA-6654A4D13C20}" xr6:coauthVersionLast="47" xr6:coauthVersionMax="47" xr10:uidLastSave="{00000000-0000-0000-0000-000000000000}"/>
  <bookViews>
    <workbookView xWindow="0" yWindow="300" windowWidth="29040" windowHeight="15840" activeTab="1" xr2:uid="{00000000-000D-0000-FFFF-FFFF00000000}"/>
  </bookViews>
  <sheets>
    <sheet name="DATABASE" sheetId="1" r:id="rId1"/>
    <sheet name="Observations" sheetId="2" r:id="rId2"/>
    <sheet name="PROJEC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J24" i="3" l="1"/>
  <c r="BI24" i="3"/>
  <c r="BH24" i="3"/>
  <c r="BG24" i="3"/>
  <c r="BF24" i="3"/>
  <c r="BE24" i="3"/>
  <c r="BD24" i="3"/>
  <c r="BC24" i="3"/>
  <c r="BB24" i="3"/>
  <c r="BA24" i="3"/>
  <c r="AZ24" i="3"/>
  <c r="AY24" i="3"/>
  <c r="AX24" i="3"/>
  <c r="AW24" i="3"/>
  <c r="AV24" i="3"/>
  <c r="AU24" i="3"/>
  <c r="AT24" i="3"/>
  <c r="AS24" i="3"/>
  <c r="AR24" i="3"/>
  <c r="AQ24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BJ23" i="3"/>
  <c r="BI23" i="3"/>
  <c r="BH23" i="3"/>
  <c r="BG23" i="3"/>
  <c r="BF23" i="3"/>
  <c r="BE23" i="3"/>
  <c r="BD23" i="3"/>
  <c r="BC23" i="3"/>
  <c r="BB23" i="3"/>
  <c r="BA23" i="3"/>
  <c r="AZ23" i="3"/>
  <c r="AY23" i="3"/>
  <c r="AX23" i="3"/>
  <c r="AW23" i="3"/>
  <c r="AV23" i="3"/>
  <c r="AU23" i="3"/>
  <c r="AT23" i="3"/>
  <c r="AS23" i="3"/>
  <c r="AR23" i="3"/>
  <c r="AQ23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BJ22" i="3"/>
  <c r="BI22" i="3"/>
  <c r="BH22" i="3"/>
  <c r="BG22" i="3"/>
  <c r="BF22" i="3"/>
  <c r="BE22" i="3"/>
  <c r="BD22" i="3"/>
  <c r="BC22" i="3"/>
  <c r="BB22" i="3"/>
  <c r="BA22" i="3"/>
  <c r="AZ22" i="3"/>
  <c r="AY22" i="3"/>
  <c r="AX22" i="3"/>
  <c r="AW22" i="3"/>
  <c r="AV22" i="3"/>
  <c r="AU22" i="3"/>
  <c r="AT22" i="3"/>
  <c r="AS22" i="3"/>
  <c r="AR22" i="3"/>
  <c r="AQ22" i="3"/>
  <c r="AP22" i="3"/>
  <c r="AO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BJ21" i="3"/>
  <c r="BI21" i="3"/>
  <c r="BH21" i="3"/>
  <c r="BG21" i="3"/>
  <c r="BF21" i="3"/>
  <c r="BE21" i="3"/>
  <c r="BD21" i="3"/>
  <c r="BC21" i="3"/>
  <c r="BB21" i="3"/>
  <c r="BA21" i="3"/>
  <c r="AZ21" i="3"/>
  <c r="AY21" i="3"/>
  <c r="AX21" i="3"/>
  <c r="AW21" i="3"/>
  <c r="AV21" i="3"/>
  <c r="AU21" i="3"/>
  <c r="AT21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BJ20" i="3"/>
  <c r="BI20" i="3"/>
  <c r="BH20" i="3"/>
  <c r="BG20" i="3"/>
  <c r="BF20" i="3"/>
  <c r="BE20" i="3"/>
  <c r="BD20" i="3"/>
  <c r="BC20" i="3"/>
  <c r="BB20" i="3"/>
  <c r="BA20" i="3"/>
  <c r="AZ20" i="3"/>
  <c r="AY20" i="3"/>
  <c r="AX20" i="3"/>
  <c r="AW20" i="3"/>
  <c r="AV20" i="3"/>
  <c r="AU20" i="3"/>
  <c r="AT20" i="3"/>
  <c r="AS20" i="3"/>
  <c r="AR20" i="3"/>
  <c r="AQ20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J19" i="3"/>
  <c r="BI19" i="3"/>
  <c r="BH19" i="3"/>
  <c r="BG19" i="3"/>
  <c r="BF19" i="3"/>
  <c r="BE19" i="3"/>
  <c r="BD19" i="3"/>
  <c r="BC19" i="3"/>
  <c r="BB19" i="3"/>
  <c r="BA19" i="3"/>
  <c r="AZ19" i="3"/>
  <c r="AY19" i="3"/>
  <c r="AX19" i="3"/>
  <c r="AW19" i="3"/>
  <c r="AV19" i="3"/>
  <c r="AU19" i="3"/>
  <c r="AT19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BJ18" i="3"/>
  <c r="BI18" i="3"/>
  <c r="BH18" i="3"/>
  <c r="BG18" i="3"/>
  <c r="BF18" i="3"/>
  <c r="BE18" i="3"/>
  <c r="BD18" i="3"/>
  <c r="BC18" i="3"/>
  <c r="BB18" i="3"/>
  <c r="BA18" i="3"/>
  <c r="AZ18" i="3"/>
  <c r="AY18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BJ17" i="3"/>
  <c r="BI17" i="3"/>
  <c r="BH17" i="3"/>
  <c r="BG17" i="3"/>
  <c r="BF17" i="3"/>
  <c r="BE17" i="3"/>
  <c r="BD17" i="3"/>
  <c r="BC17" i="3"/>
  <c r="BB17" i="3"/>
  <c r="BA17" i="3"/>
  <c r="AZ17" i="3"/>
  <c r="AY17" i="3"/>
  <c r="AX17" i="3"/>
  <c r="AW17" i="3"/>
  <c r="AV17" i="3"/>
  <c r="AU17" i="3"/>
  <c r="AT17" i="3"/>
  <c r="AS17" i="3"/>
  <c r="AR17" i="3"/>
  <c r="AQ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BJ16" i="3"/>
  <c r="BI16" i="3"/>
  <c r="BH16" i="3"/>
  <c r="BG16" i="3"/>
  <c r="BF16" i="3"/>
  <c r="BE16" i="3"/>
  <c r="BD16" i="3"/>
  <c r="BC16" i="3"/>
  <c r="BB16" i="3"/>
  <c r="BA16" i="3"/>
  <c r="AZ16" i="3"/>
  <c r="AY16" i="3"/>
  <c r="AX16" i="3"/>
  <c r="AW16" i="3"/>
  <c r="AV16" i="3"/>
  <c r="AU16" i="3"/>
  <c r="AT16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BJ15" i="3"/>
  <c r="BI15" i="3"/>
  <c r="BH15" i="3"/>
  <c r="BG15" i="3"/>
  <c r="BF15" i="3"/>
  <c r="BE15" i="3"/>
  <c r="BD15" i="3"/>
  <c r="BC15" i="3"/>
  <c r="BB15" i="3"/>
  <c r="BA15" i="3"/>
  <c r="AZ15" i="3"/>
  <c r="AY15" i="3"/>
  <c r="AX15" i="3"/>
  <c r="AW15" i="3"/>
  <c r="AV15" i="3"/>
  <c r="AU15" i="3"/>
  <c r="AT15" i="3"/>
  <c r="AS15" i="3"/>
  <c r="AR15" i="3"/>
  <c r="AQ15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BJ14" i="3"/>
  <c r="BI14" i="3"/>
  <c r="BH14" i="3"/>
  <c r="BG14" i="3"/>
  <c r="BF14" i="3"/>
  <c r="BE14" i="3"/>
  <c r="BD14" i="3"/>
  <c r="BC14" i="3"/>
  <c r="BB14" i="3"/>
  <c r="BA14" i="3"/>
  <c r="AZ14" i="3"/>
  <c r="AY14" i="3"/>
  <c r="AX14" i="3"/>
  <c r="AW14" i="3"/>
  <c r="AV14" i="3"/>
  <c r="AU14" i="3"/>
  <c r="AT14" i="3"/>
  <c r="AS14" i="3"/>
  <c r="AR14" i="3"/>
  <c r="AQ14" i="3"/>
  <c r="AP14" i="3"/>
  <c r="AO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B14" i="3"/>
  <c r="BJ13" i="3"/>
  <c r="BI13" i="3"/>
  <c r="BH13" i="3"/>
  <c r="BG13" i="3"/>
  <c r="BF13" i="3"/>
  <c r="BE13" i="3"/>
  <c r="BD13" i="3"/>
  <c r="BC13" i="3"/>
  <c r="BB13" i="3"/>
  <c r="BA13" i="3"/>
  <c r="AZ13" i="3"/>
  <c r="AY13" i="3"/>
  <c r="AX13" i="3"/>
  <c r="AW13" i="3"/>
  <c r="AV13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BJ12" i="3"/>
  <c r="BI12" i="3"/>
  <c r="BH12" i="3"/>
  <c r="BG12" i="3"/>
  <c r="BF12" i="3"/>
  <c r="BE12" i="3"/>
  <c r="BD12" i="3"/>
  <c r="BC12" i="3"/>
  <c r="BB12" i="3"/>
  <c r="BA12" i="3"/>
  <c r="AZ12" i="3"/>
  <c r="AY12" i="3"/>
  <c r="AX12" i="3"/>
  <c r="AW12" i="3"/>
  <c r="AV12" i="3"/>
  <c r="AU12" i="3"/>
  <c r="AT12" i="3"/>
  <c r="AS12" i="3"/>
  <c r="AR12" i="3"/>
  <c r="AQ12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BJ11" i="3"/>
  <c r="BI11" i="3"/>
  <c r="BH11" i="3"/>
  <c r="BG11" i="3"/>
  <c r="BF11" i="3"/>
  <c r="BE11" i="3"/>
  <c r="BD11" i="3"/>
  <c r="BC11" i="3"/>
  <c r="BB11" i="3"/>
  <c r="BA11" i="3"/>
  <c r="AZ11" i="3"/>
  <c r="AY11" i="3"/>
  <c r="AX11" i="3"/>
  <c r="AW11" i="3"/>
  <c r="AV11" i="3"/>
  <c r="AU11" i="3"/>
  <c r="AT11" i="3"/>
  <c r="AS11" i="3"/>
  <c r="AR11" i="3"/>
  <c r="AQ11" i="3"/>
  <c r="AP11" i="3"/>
  <c r="AO11" i="3"/>
  <c r="AN11" i="3"/>
  <c r="AM11" i="3"/>
  <c r="AL11" i="3"/>
  <c r="AK11" i="3"/>
  <c r="AJ11" i="3"/>
  <c r="AI11" i="3"/>
  <c r="AH11" i="3"/>
  <c r="AG11" i="3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B11" i="3"/>
  <c r="BJ10" i="3"/>
  <c r="BI10" i="3"/>
  <c r="BH10" i="3"/>
  <c r="BG10" i="3"/>
  <c r="BF10" i="3"/>
  <c r="BE10" i="3"/>
  <c r="BD10" i="3"/>
  <c r="BC10" i="3"/>
  <c r="BB10" i="3"/>
  <c r="BA10" i="3"/>
  <c r="AZ10" i="3"/>
  <c r="AY10" i="3"/>
  <c r="AX10" i="3"/>
  <c r="AW10" i="3"/>
  <c r="AV10" i="3"/>
  <c r="AU10" i="3"/>
  <c r="AT10" i="3"/>
  <c r="AS10" i="3"/>
  <c r="AR10" i="3"/>
  <c r="AQ10" i="3"/>
  <c r="AP10" i="3"/>
  <c r="AO10" i="3"/>
  <c r="AN10" i="3"/>
  <c r="AM10" i="3"/>
  <c r="AL10" i="3"/>
  <c r="AK10" i="3"/>
  <c r="AJ10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BJ22" i="2"/>
  <c r="BI22" i="2"/>
  <c r="BH22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J17" i="2"/>
  <c r="BI17" i="2"/>
  <c r="BH17" i="2"/>
  <c r="BG17" i="2"/>
  <c r="BF17" i="2"/>
  <c r="BE17" i="2"/>
  <c r="BD17" i="2"/>
  <c r="BC17" i="2"/>
  <c r="BB17" i="2"/>
  <c r="BA17" i="2"/>
  <c r="AZ17" i="2"/>
  <c r="AY17" i="2"/>
  <c r="AX17" i="2"/>
  <c r="AW17" i="2"/>
  <c r="AV17" i="2"/>
  <c r="AU17" i="2"/>
  <c r="AT17" i="2"/>
  <c r="AS17" i="2"/>
  <c r="AR17" i="2"/>
  <c r="AQ17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J16" i="2"/>
  <c r="BI16" i="2"/>
  <c r="BH16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J15" i="2"/>
  <c r="BI15" i="2"/>
  <c r="BH15" i="2"/>
  <c r="BG15" i="2"/>
  <c r="BF15" i="2"/>
  <c r="BE15" i="2"/>
  <c r="BD15" i="2"/>
  <c r="BC15" i="2"/>
  <c r="BB15" i="2"/>
  <c r="BA15" i="2"/>
  <c r="AZ15" i="2"/>
  <c r="AY15" i="2"/>
  <c r="AX15" i="2"/>
  <c r="AW15" i="2"/>
  <c r="AV15" i="2"/>
  <c r="AU15" i="2"/>
  <c r="AT15" i="2"/>
  <c r="AS15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BJ14" i="2"/>
  <c r="BI14" i="2"/>
  <c r="BH14" i="2"/>
  <c r="BG14" i="2"/>
  <c r="BF14" i="2"/>
  <c r="BE14" i="2"/>
  <c r="BD14" i="2"/>
  <c r="BC14" i="2"/>
  <c r="BB14" i="2"/>
  <c r="BA14" i="2"/>
  <c r="AZ14" i="2"/>
  <c r="AY14" i="2"/>
  <c r="AX14" i="2"/>
  <c r="AW14" i="2"/>
  <c r="AV14" i="2"/>
  <c r="AU14" i="2"/>
  <c r="AT14" i="2"/>
  <c r="AS14" i="2"/>
  <c r="AR14" i="2"/>
  <c r="AQ14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BJ13" i="2"/>
  <c r="BI13" i="2"/>
  <c r="BH13" i="2"/>
  <c r="BG13" i="2"/>
  <c r="BF13" i="2"/>
  <c r="BE13" i="2"/>
  <c r="BD13" i="2"/>
  <c r="BC13" i="2"/>
  <c r="BB13" i="2"/>
  <c r="BA13" i="2"/>
  <c r="AZ13" i="2"/>
  <c r="AY13" i="2"/>
  <c r="AX13" i="2"/>
  <c r="AW13" i="2"/>
  <c r="AV13" i="2"/>
  <c r="AU13" i="2"/>
  <c r="AT13" i="2"/>
  <c r="AS13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BJ12" i="2"/>
  <c r="BI12" i="2"/>
  <c r="BH12" i="2"/>
  <c r="BG12" i="2"/>
  <c r="BF12" i="2"/>
  <c r="BE12" i="2"/>
  <c r="BD12" i="2"/>
  <c r="BC12" i="2"/>
  <c r="BB12" i="2"/>
  <c r="BA12" i="2"/>
  <c r="AZ12" i="2"/>
  <c r="AY12" i="2"/>
  <c r="AX12" i="2"/>
  <c r="AW12" i="2"/>
  <c r="AV12" i="2"/>
  <c r="AU12" i="2"/>
  <c r="AT12" i="2"/>
  <c r="AS12" i="2"/>
  <c r="AR12" i="2"/>
  <c r="AQ12" i="2"/>
  <c r="AP12" i="2"/>
  <c r="AO12" i="2"/>
  <c r="AN12" i="2"/>
  <c r="AM12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BJ11" i="2"/>
  <c r="BI11" i="2"/>
  <c r="BH11" i="2"/>
  <c r="BG11" i="2"/>
  <c r="BF11" i="2"/>
  <c r="BE11" i="2"/>
  <c r="BD11" i="2"/>
  <c r="BC11" i="2"/>
  <c r="BB11" i="2"/>
  <c r="BA11" i="2"/>
  <c r="AZ11" i="2"/>
  <c r="AY11" i="2"/>
  <c r="AX11" i="2"/>
  <c r="AW11" i="2"/>
  <c r="AV11" i="2"/>
  <c r="AU11" i="2"/>
  <c r="AT11" i="2"/>
  <c r="AS11" i="2"/>
  <c r="AR11" i="2"/>
  <c r="AQ11" i="2"/>
  <c r="AP11" i="2"/>
  <c r="AO11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BJ10" i="2"/>
  <c r="BI10" i="2"/>
  <c r="BH10" i="2"/>
  <c r="BG10" i="2"/>
  <c r="BF10" i="2"/>
  <c r="BE10" i="2"/>
  <c r="BD10" i="2"/>
  <c r="BC10" i="2"/>
  <c r="BB10" i="2"/>
  <c r="BA10" i="2"/>
  <c r="AZ10" i="2"/>
  <c r="AY10" i="2"/>
  <c r="AX10" i="2"/>
  <c r="AW10" i="2"/>
  <c r="AV10" i="2"/>
  <c r="AU10" i="2"/>
  <c r="AT10" i="2"/>
  <c r="AS10" i="2"/>
  <c r="AR10" i="2"/>
  <c r="AQ10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</calcChain>
</file>

<file path=xl/sharedStrings.xml><?xml version="1.0" encoding="utf-8"?>
<sst xmlns="http://schemas.openxmlformats.org/spreadsheetml/2006/main" count="160" uniqueCount="139">
  <si>
    <t>DATE</t>
  </si>
  <si>
    <t>NO</t>
  </si>
  <si>
    <t>MATRICULE</t>
  </si>
  <si>
    <t>X</t>
  </si>
  <si>
    <t>Y</t>
  </si>
  <si>
    <t>Z</t>
  </si>
  <si>
    <t>2024-08-28</t>
  </si>
  <si>
    <t>V1</t>
  </si>
  <si>
    <t>V1.Test</t>
  </si>
  <si>
    <t>V2</t>
  </si>
  <si>
    <t>V2.Test</t>
  </si>
  <si>
    <t>2024-09-05</t>
  </si>
  <si>
    <t>Date point 0</t>
  </si>
  <si>
    <t>Date</t>
  </si>
  <si>
    <t>Jours</t>
  </si>
  <si>
    <t>V1_X</t>
  </si>
  <si>
    <t>V1_Y</t>
  </si>
  <si>
    <t>V1_Z</t>
  </si>
  <si>
    <t>V2_X</t>
  </si>
  <si>
    <t>V2_Y</t>
  </si>
  <si>
    <t>V2_Z</t>
  </si>
  <si>
    <t>V3_X</t>
  </si>
  <si>
    <t>V3_Y</t>
  </si>
  <si>
    <t>V3_Z</t>
  </si>
  <si>
    <t>H1_X</t>
  </si>
  <si>
    <t>H1_Y</t>
  </si>
  <si>
    <t>H1_Z</t>
  </si>
  <si>
    <t>H2_X</t>
  </si>
  <si>
    <t>H2_Y</t>
  </si>
  <si>
    <t>H2_Z</t>
  </si>
  <si>
    <t>H3_X</t>
  </si>
  <si>
    <t>H3_Y</t>
  </si>
  <si>
    <t>H3_Z</t>
  </si>
  <si>
    <t>H4_X</t>
  </si>
  <si>
    <t>H4_Y</t>
  </si>
  <si>
    <t>H4_Z</t>
  </si>
  <si>
    <t>H5_X</t>
  </si>
  <si>
    <t>H5_Y</t>
  </si>
  <si>
    <t>H5_Z</t>
  </si>
  <si>
    <t>B1_X</t>
  </si>
  <si>
    <t>B1_Y</t>
  </si>
  <si>
    <t>B1_Z</t>
  </si>
  <si>
    <t>B2_X</t>
  </si>
  <si>
    <t>B2_Y</t>
  </si>
  <si>
    <t>B2_Z</t>
  </si>
  <si>
    <t>B3_X</t>
  </si>
  <si>
    <t>B3_Y</t>
  </si>
  <si>
    <t>B3_Z</t>
  </si>
  <si>
    <t>B4_X</t>
  </si>
  <si>
    <t>B4_Y</t>
  </si>
  <si>
    <t>B4_Z</t>
  </si>
  <si>
    <t>B5_X</t>
  </si>
  <si>
    <t>B5_Y</t>
  </si>
  <si>
    <t>B5_Z</t>
  </si>
  <si>
    <t>M1_X</t>
  </si>
  <si>
    <t>M1_Y</t>
  </si>
  <si>
    <t>M1_Z</t>
  </si>
  <si>
    <t>M2_X</t>
  </si>
  <si>
    <t>M2_Y</t>
  </si>
  <si>
    <t>M2_Z</t>
  </si>
  <si>
    <t>M3_X</t>
  </si>
  <si>
    <t>M3_Y</t>
  </si>
  <si>
    <t>M3_Z</t>
  </si>
  <si>
    <t>M4_X</t>
  </si>
  <si>
    <t>M4_Y</t>
  </si>
  <si>
    <t>M4_Z</t>
  </si>
  <si>
    <t>M5_X</t>
  </si>
  <si>
    <t>M5_Y</t>
  </si>
  <si>
    <t>M5_Z</t>
  </si>
  <si>
    <t>REF1_X</t>
  </si>
  <si>
    <t>REF1_Y</t>
  </si>
  <si>
    <t>REF1_Z</t>
  </si>
  <si>
    <t>REF2_X</t>
  </si>
  <si>
    <t>REF2_Y</t>
  </si>
  <si>
    <t>REF2_Z</t>
  </si>
  <si>
    <t>2024-09-09</t>
  </si>
  <si>
    <t>2024-09-13</t>
  </si>
  <si>
    <t>2024-09-17</t>
  </si>
  <si>
    <t>2024-09-18</t>
  </si>
  <si>
    <t>V1_PM</t>
  </si>
  <si>
    <t>V1_H</t>
  </si>
  <si>
    <t>V1_V</t>
  </si>
  <si>
    <t>V2_PM</t>
  </si>
  <si>
    <t>V2_H</t>
  </si>
  <si>
    <t>V2_V</t>
  </si>
  <si>
    <t>V3_PM</t>
  </si>
  <si>
    <t>V3_H</t>
  </si>
  <si>
    <t>V3_V</t>
  </si>
  <si>
    <t>H1_PM</t>
  </si>
  <si>
    <t>H1_H</t>
  </si>
  <si>
    <t>H1_V</t>
  </si>
  <si>
    <t>H2_PM</t>
  </si>
  <si>
    <t>H2_H</t>
  </si>
  <si>
    <t>H2_V</t>
  </si>
  <si>
    <t>H3_PM</t>
  </si>
  <si>
    <t>H3_H</t>
  </si>
  <si>
    <t>H3_V</t>
  </si>
  <si>
    <t>H4_PM</t>
  </si>
  <si>
    <t>H4_H</t>
  </si>
  <si>
    <t>H4_V</t>
  </si>
  <si>
    <t>H5_PM</t>
  </si>
  <si>
    <t>H5_H</t>
  </si>
  <si>
    <t>H5_V</t>
  </si>
  <si>
    <t>B1_PM</t>
  </si>
  <si>
    <t>B1_H</t>
  </si>
  <si>
    <t>B1_V</t>
  </si>
  <si>
    <t>B2_PM</t>
  </si>
  <si>
    <t>B2_H</t>
  </si>
  <si>
    <t>B2_V</t>
  </si>
  <si>
    <t>B3_PM</t>
  </si>
  <si>
    <t>B3_H</t>
  </si>
  <si>
    <t>B3_V</t>
  </si>
  <si>
    <t>B4_PM</t>
  </si>
  <si>
    <t>B4_H</t>
  </si>
  <si>
    <t>B4_V</t>
  </si>
  <si>
    <t>B5_PM</t>
  </si>
  <si>
    <t>B5_H</t>
  </si>
  <si>
    <t>B5_V</t>
  </si>
  <si>
    <t>M1_PM</t>
  </si>
  <si>
    <t>M1_H</t>
  </si>
  <si>
    <t>M1_V</t>
  </si>
  <si>
    <t>M2_PM</t>
  </si>
  <si>
    <t>M2_H</t>
  </si>
  <si>
    <t>M2_V</t>
  </si>
  <si>
    <t>M3_PM</t>
  </si>
  <si>
    <t>M3_H</t>
  </si>
  <si>
    <t>M3_V</t>
  </si>
  <si>
    <t>M4_PM</t>
  </si>
  <si>
    <t>M4_H</t>
  </si>
  <si>
    <t>M4_V</t>
  </si>
  <si>
    <t>M5_PM</t>
  </si>
  <si>
    <t>M5_H</t>
  </si>
  <si>
    <t>M5_V</t>
  </si>
  <si>
    <t>REF1_PM</t>
  </si>
  <si>
    <t>REF1_H</t>
  </si>
  <si>
    <t>REF1_V</t>
  </si>
  <si>
    <t>REF2_PM</t>
  </si>
  <si>
    <t>REF2_H</t>
  </si>
  <si>
    <t>REF2_V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</si>
</sst>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workbookViewId="0">
      <selection activeCell="G18" sqref="G18"/>
    </sheetView>
  </sheetViews>
  <sheetFormatPr baseColWidth="10" defaultColWidth="9.140625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823147.64879999997</v>
      </c>
      <c r="E2">
        <v>1091710.0856999999</v>
      </c>
      <c r="F2">
        <v>-121.56740000000001</v>
      </c>
    </row>
    <row r="3" spans="1:6" x14ac:dyDescent="0.25">
      <c r="A3" t="s">
        <v>6</v>
      </c>
      <c r="B3" t="s">
        <v>9</v>
      </c>
      <c r="C3" t="s">
        <v>10</v>
      </c>
      <c r="D3">
        <v>823147.58519999997</v>
      </c>
      <c r="E3">
        <v>1091710.2505999999</v>
      </c>
      <c r="F3">
        <v>-121.9302</v>
      </c>
    </row>
    <row r="4" spans="1:6" x14ac:dyDescent="0.25">
      <c r="A4" t="s">
        <v>11</v>
      </c>
      <c r="B4" t="s">
        <v>7</v>
      </c>
      <c r="C4" t="s">
        <v>8</v>
      </c>
      <c r="D4">
        <v>823147.64899999998</v>
      </c>
      <c r="E4">
        <v>1091710.085</v>
      </c>
      <c r="F4">
        <v>-121.569</v>
      </c>
    </row>
    <row r="5" spans="1:6" x14ac:dyDescent="0.25">
      <c r="A5" t="s">
        <v>11</v>
      </c>
      <c r="B5" t="s">
        <v>9</v>
      </c>
      <c r="C5" t="s">
        <v>10</v>
      </c>
      <c r="D5">
        <v>823147.58600000001</v>
      </c>
      <c r="E5">
        <v>1091710.2509999999</v>
      </c>
      <c r="F5">
        <v>-121.931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J24"/>
  <sheetViews>
    <sheetView tabSelected="1" topLeftCell="AH1" workbookViewId="0">
      <selection activeCell="C9" sqref="C9:BJ9"/>
    </sheetView>
  </sheetViews>
  <sheetFormatPr baseColWidth="10" defaultColWidth="9.140625" defaultRowHeight="15" x14ac:dyDescent="0.25"/>
  <sheetData>
    <row r="1" spans="1:6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</row>
    <row r="7" spans="1:62" x14ac:dyDescent="0.25">
      <c r="A7" t="s">
        <v>12</v>
      </c>
    </row>
    <row r="8" spans="1:62" x14ac:dyDescent="0.25">
      <c r="A8" t="s">
        <v>13</v>
      </c>
      <c r="B8" t="s">
        <v>14</v>
      </c>
    </row>
    <row r="9" spans="1:62" x14ac:dyDescent="0.25">
      <c r="A9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18</v>
      </c>
      <c r="G9" t="s">
        <v>19</v>
      </c>
      <c r="H9" t="s">
        <v>20</v>
      </c>
      <c r="I9" t="s">
        <v>21</v>
      </c>
      <c r="J9" t="s">
        <v>22</v>
      </c>
      <c r="K9" t="s">
        <v>23</v>
      </c>
      <c r="L9" t="s">
        <v>24</v>
      </c>
      <c r="M9" t="s">
        <v>25</v>
      </c>
      <c r="N9" t="s">
        <v>26</v>
      </c>
      <c r="O9" t="s">
        <v>27</v>
      </c>
      <c r="P9" t="s">
        <v>28</v>
      </c>
      <c r="Q9" t="s">
        <v>29</v>
      </c>
      <c r="R9" t="s">
        <v>30</v>
      </c>
      <c r="S9" t="s">
        <v>31</v>
      </c>
      <c r="T9" t="s">
        <v>32</v>
      </c>
      <c r="U9" t="s">
        <v>33</v>
      </c>
      <c r="V9" t="s">
        <v>34</v>
      </c>
      <c r="W9" t="s">
        <v>35</v>
      </c>
      <c r="X9" t="s">
        <v>36</v>
      </c>
      <c r="Y9" t="s">
        <v>37</v>
      </c>
      <c r="Z9" t="s">
        <v>38</v>
      </c>
      <c r="AA9" t="s">
        <v>39</v>
      </c>
      <c r="AB9" t="s">
        <v>40</v>
      </c>
      <c r="AC9" t="s">
        <v>41</v>
      </c>
      <c r="AD9" t="s">
        <v>42</v>
      </c>
      <c r="AE9" t="s">
        <v>43</v>
      </c>
      <c r="AF9" t="s">
        <v>44</v>
      </c>
      <c r="AG9" t="s">
        <v>45</v>
      </c>
      <c r="AH9" t="s">
        <v>46</v>
      </c>
      <c r="AI9" t="s">
        <v>47</v>
      </c>
      <c r="AJ9" t="s">
        <v>48</v>
      </c>
      <c r="AK9" t="s">
        <v>49</v>
      </c>
      <c r="AL9" t="s">
        <v>50</v>
      </c>
      <c r="AM9" t="s">
        <v>51</v>
      </c>
      <c r="AN9" t="s">
        <v>52</v>
      </c>
      <c r="AO9" t="s">
        <v>53</v>
      </c>
      <c r="AP9" t="s">
        <v>54</v>
      </c>
      <c r="AQ9" t="s">
        <v>55</v>
      </c>
      <c r="AR9" t="s">
        <v>56</v>
      </c>
      <c r="AS9" t="s">
        <v>57</v>
      </c>
      <c r="AT9" t="s">
        <v>58</v>
      </c>
      <c r="AU9" t="s">
        <v>59</v>
      </c>
      <c r="AV9" t="s">
        <v>60</v>
      </c>
      <c r="AW9" t="s">
        <v>61</v>
      </c>
      <c r="AX9" t="s">
        <v>62</v>
      </c>
      <c r="AY9" t="s">
        <v>63</v>
      </c>
      <c r="AZ9" t="s">
        <v>64</v>
      </c>
      <c r="BA9" t="s">
        <v>65</v>
      </c>
      <c r="BB9" t="s">
        <v>66</v>
      </c>
      <c r="BC9" t="s">
        <v>67</v>
      </c>
      <c r="BD9" t="s">
        <v>68</v>
      </c>
      <c r="BE9" t="s">
        <v>69</v>
      </c>
      <c r="BF9" t="s">
        <v>70</v>
      </c>
      <c r="BG9" t="s">
        <v>71</v>
      </c>
      <c r="BH9" t="s">
        <v>72</v>
      </c>
      <c r="BI9" t="s">
        <v>73</v>
      </c>
      <c r="BJ9" t="s">
        <v>74</v>
      </c>
    </row>
    <row r="10" spans="1:62" x14ac:dyDescent="0.25">
      <c r="A10" t="s">
        <v>6</v>
      </c>
      <c r="B10">
        <v>0</v>
      </c>
      <c r="C10" t="str">
        <f>IFERROR(INDEX(DATABASE.X:(X),MATCH(1,(DATABASE.DATE:DATE=$A10)*(DATABASE.NO:(NO)="V1"),0)),"")</f>
        <v/>
      </c>
      <c r="D10" t="str">
        <f>IFERROR(INDEX(DATABASE.Y:(Y),MATCH(1,(DATABASE.DATE:DATE=$A10)*(DATABASE.NO:(NO)="V1"),0)),"")</f>
        <v/>
      </c>
      <c r="E10" t="str">
        <f>IFERROR(INDEX(DATABASE.Z:(Z),MATCH(1,(DATABASE.DATE:DATE=$A10)*(DATABASE.NO:(NO)="V1"),0)),"")</f>
        <v/>
      </c>
      <c r="F10" t="str">
        <f>IFERROR(INDEX(DATABASE.X:(X),MATCH(1,(DATABASE.DATE:DATE=$A10)*(DATABASE.NO:(NO)="V2"),0)),"")</f>
        <v/>
      </c>
      <c r="G10" t="str">
        <f>IFERROR(INDEX(DATABASE.Y:(Y),MATCH(1,(DATABASE.DATE:DATE=$A10)*(DATABASE.NO:(NO)="V2"),0)),"")</f>
        <v/>
      </c>
      <c r="H10" t="str">
        <f>IFERROR(INDEX(DATABASE.Z:(Z),MATCH(1,(DATABASE.DATE:DATE=$A10)*(DATABASE.NO:(NO)="V2"),0)),"")</f>
        <v/>
      </c>
      <c r="I10" t="str">
        <f>IFERROR(INDEX(DATABASE.X:(X),MATCH(1,(DATABASE.DATE:DATE=$A10)*(DATABASE.NO:(NO)="V3"),0)),"")</f>
        <v/>
      </c>
      <c r="J10" t="str">
        <f>IFERROR(INDEX(DATABASE.Y:(Y),MATCH(1,(DATABASE.DATE:DATE=$A10)*(DATABASE.NO:(NO)="V3"),0)),"")</f>
        <v/>
      </c>
      <c r="K10" t="str">
        <f>IFERROR(INDEX(DATABASE.Z:(Z),MATCH(1,(DATABASE.DATE:DATE=$A10)*(DATABASE.NO:(NO)="V3"),0)),"")</f>
        <v/>
      </c>
      <c r="L10" t="str">
        <f>IFERROR(INDEX(DATABASE.X:(X),MATCH(1,(DATABASE.DATE:DATE=$A10)*(DATABASE.NO:(NO)="H1"),0)),"")</f>
        <v/>
      </c>
      <c r="M10" t="str">
        <f>IFERROR(INDEX(DATABASE.Y:(Y),MATCH(1,(DATABASE.DATE:DATE=$A10)*(DATABASE.NO:(NO)="H1"),0)),"")</f>
        <v/>
      </c>
      <c r="N10" t="str">
        <f>IFERROR(INDEX(DATABASE.Z:(Z),MATCH(1,(DATABASE.DATE:DATE=$A10)*(DATABASE.NO:(NO)="H1"),0)),"")</f>
        <v/>
      </c>
      <c r="O10" t="str">
        <f>IFERROR(INDEX(DATABASE.X:(X),MATCH(1,(DATABASE.DATE:DATE=$A10)*(DATABASE.NO:(NO)="H2"),0)),"")</f>
        <v/>
      </c>
      <c r="P10" t="str">
        <f>IFERROR(INDEX(DATABASE.Y:(Y),MATCH(1,(DATABASE.DATE:DATE=$A10)*(DATABASE.NO:(NO)="H2"),0)),"")</f>
        <v/>
      </c>
      <c r="Q10" t="str">
        <f>IFERROR(INDEX(DATABASE.Z:(Z),MATCH(1,(DATABASE.DATE:DATE=$A10)*(DATABASE.NO:(NO)="H2"),0)),"")</f>
        <v/>
      </c>
      <c r="R10" t="str">
        <f>IFERROR(INDEX(DATABASE.X:(X),MATCH(1,(DATABASE.DATE:DATE=$A10)*(DATABASE.NO:(NO)="H3"),0)),"")</f>
        <v/>
      </c>
      <c r="S10" t="str">
        <f>IFERROR(INDEX(DATABASE.Y:(Y),MATCH(1,(DATABASE.DATE:DATE=$A10)*(DATABASE.NO:(NO)="H3"),0)),"")</f>
        <v/>
      </c>
      <c r="T10" t="str">
        <f>IFERROR(INDEX(DATABASE.Z:(Z),MATCH(1,(DATABASE.DATE:DATE=$A10)*(DATABASE.NO:(NO)="H3"),0)),"")</f>
        <v/>
      </c>
      <c r="U10" t="str">
        <f>IFERROR(INDEX(DATABASE.X:(X),MATCH(1,(DATABASE.DATE:DATE=$A10)*(DATABASE.NO:(NO)="H4"),0)),"")</f>
        <v/>
      </c>
      <c r="V10" t="str">
        <f>IFERROR(INDEX(DATABASE.Y:(Y),MATCH(1,(DATABASE.DATE:DATE=$A10)*(DATABASE.NO:(NO)="H4"),0)),"")</f>
        <v/>
      </c>
      <c r="W10" t="str">
        <f>IFERROR(INDEX(DATABASE.Z:(Z),MATCH(1,(DATABASE.DATE:DATE=$A10)*(DATABASE.NO:(NO)="H4"),0)),"")</f>
        <v/>
      </c>
      <c r="X10" t="str">
        <f>IFERROR(INDEX(DATABASE.X:(X),MATCH(1,(DATABASE.DATE:DATE=$A10)*(DATABASE.NO:(NO)="H5"),0)),"")</f>
        <v/>
      </c>
      <c r="Y10" t="str">
        <f>IFERROR(INDEX(DATABASE.Y:(Y),MATCH(1,(DATABASE.DATE:DATE=$A10)*(DATABASE.NO:(NO)="H5"),0)),"")</f>
        <v/>
      </c>
      <c r="Z10" t="str">
        <f>IFERROR(INDEX(DATABASE.Z:(Z),MATCH(1,(DATABASE.DATE:DATE=$A10)*(DATABASE.NO:(NO)="H5"),0)),"")</f>
        <v/>
      </c>
      <c r="AA10" t="str">
        <f>IFERROR(INDEX(DATABASE.X:(X),MATCH(1,(DATABASE.DATE:DATE=$A10)*(DATABASE.NO:(NO)="B1"),0)),"")</f>
        <v/>
      </c>
      <c r="AB10" t="str">
        <f>IFERROR(INDEX(DATABASE.Y:(Y),MATCH(1,(DATABASE.DATE:DATE=$A10)*(DATABASE.NO:(NO)="B1"),0)),"")</f>
        <v/>
      </c>
      <c r="AC10" t="str">
        <f>IFERROR(INDEX(DATABASE.Z:(Z),MATCH(1,(DATABASE.DATE:DATE=$A10)*(DATABASE.NO:(NO)="B1"),0)),"")</f>
        <v/>
      </c>
      <c r="AD10" t="str">
        <f>IFERROR(INDEX(DATABASE.X:(X),MATCH(1,(DATABASE.DATE:DATE=$A10)*(DATABASE.NO:(NO)="B2"),0)),"")</f>
        <v/>
      </c>
      <c r="AE10" t="str">
        <f>IFERROR(INDEX(DATABASE.Y:(Y),MATCH(1,(DATABASE.DATE:DATE=$A10)*(DATABASE.NO:(NO)="B2"),0)),"")</f>
        <v/>
      </c>
      <c r="AF10" t="str">
        <f>IFERROR(INDEX(DATABASE.Z:(Z),MATCH(1,(DATABASE.DATE:DATE=$A10)*(DATABASE.NO:(NO)="B2"),0)),"")</f>
        <v/>
      </c>
      <c r="AG10" t="str">
        <f>IFERROR(INDEX(DATABASE.X:(X),MATCH(1,(DATABASE.DATE:DATE=$A10)*(DATABASE.NO:(NO)="B3"),0)),"")</f>
        <v/>
      </c>
      <c r="AH10" t="str">
        <f>IFERROR(INDEX(DATABASE.Y:(Y),MATCH(1,(DATABASE.DATE:DATE=$A10)*(DATABASE.NO:(NO)="B3"),0)),"")</f>
        <v/>
      </c>
      <c r="AI10" t="str">
        <f>IFERROR(INDEX(DATABASE.Z:(Z),MATCH(1,(DATABASE.DATE:DATE=$A10)*(DATABASE.NO:(NO)="B3"),0)),"")</f>
        <v/>
      </c>
      <c r="AJ10" t="str">
        <f>IFERROR(INDEX(DATABASE.X:(X),MATCH(1,(DATABASE.DATE:DATE=$A10)*(DATABASE.NO:(NO)="B4"),0)),"")</f>
        <v/>
      </c>
      <c r="AK10" t="str">
        <f>IFERROR(INDEX(DATABASE.Y:(Y),MATCH(1,(DATABASE.DATE:DATE=$A10)*(DATABASE.NO:(NO)="B4"),0)),"")</f>
        <v/>
      </c>
      <c r="AL10" t="str">
        <f>IFERROR(INDEX(DATABASE.Z:(Z),MATCH(1,(DATABASE.DATE:DATE=$A10)*(DATABASE.NO:(NO)="B4"),0)),"")</f>
        <v/>
      </c>
      <c r="AM10" t="str">
        <f>IFERROR(INDEX(DATABASE.X:(X),MATCH(1,(DATABASE.DATE:DATE=$A10)*(DATABASE.NO:(NO)="B5"),0)),"")</f>
        <v/>
      </c>
      <c r="AN10" t="str">
        <f>IFERROR(INDEX(DATABASE.Y:(Y),MATCH(1,(DATABASE.DATE:DATE=$A10)*(DATABASE.NO:(NO)="B5"),0)),"")</f>
        <v/>
      </c>
      <c r="AO10" t="str">
        <f>IFERROR(INDEX(DATABASE.Z:(Z),MATCH(1,(DATABASE.DATE:DATE=$A10)*(DATABASE.NO:(NO)="B5"),0)),"")</f>
        <v/>
      </c>
      <c r="AP10" t="str">
        <f>IFERROR(INDEX(DATABASE.X:(X),MATCH(1,(DATABASE.DATE:DATE=$A10)*(DATABASE.NO:(NO)="M1"),0)),"")</f>
        <v/>
      </c>
      <c r="AQ10" t="str">
        <f>IFERROR(INDEX(DATABASE.Y:(Y),MATCH(1,(DATABASE.DATE:DATE=$A10)*(DATABASE.NO:(NO)="M1"),0)),"")</f>
        <v/>
      </c>
      <c r="AR10" t="str">
        <f>IFERROR(INDEX(DATABASE.Z:(Z),MATCH(1,(DATABASE.DATE:DATE=$A10)*(DATABASE.NO:(NO)="M1"),0)),"")</f>
        <v/>
      </c>
      <c r="AS10" t="str">
        <f>IFERROR(INDEX(DATABASE.X:(X),MATCH(1,(DATABASE.DATE:DATE=$A10)*(DATABASE.NO:(NO)="M2"),0)),"")</f>
        <v/>
      </c>
      <c r="AT10" t="str">
        <f>IFERROR(INDEX(DATABASE.Y:(Y),MATCH(1,(DATABASE.DATE:DATE=$A10)*(DATABASE.NO:(NO)="M2"),0)),"")</f>
        <v/>
      </c>
      <c r="AU10" t="str">
        <f>IFERROR(INDEX(DATABASE.Z:(Z),MATCH(1,(DATABASE.DATE:DATE=$A10)*(DATABASE.NO:(NO)="M2"),0)),"")</f>
        <v/>
      </c>
      <c r="AV10" t="str">
        <f>IFERROR(INDEX(DATABASE.X:(X),MATCH(1,(DATABASE.DATE:DATE=$A10)*(DATABASE.NO:(NO)="M3"),0)),"")</f>
        <v/>
      </c>
      <c r="AW10" t="str">
        <f>IFERROR(INDEX(DATABASE.Y:(Y),MATCH(1,(DATABASE.DATE:DATE=$A10)*(DATABASE.NO:(NO)="M3"),0)),"")</f>
        <v/>
      </c>
      <c r="AX10" t="str">
        <f>IFERROR(INDEX(DATABASE.Z:(Z),MATCH(1,(DATABASE.DATE:DATE=$A10)*(DATABASE.NO:(NO)="M3"),0)),"")</f>
        <v/>
      </c>
      <c r="AY10" t="str">
        <f>IFERROR(INDEX(DATABASE.X:(X),MATCH(1,(DATABASE.DATE:DATE=$A10)*(DATABASE.NO:(NO)="M4"),0)),"")</f>
        <v/>
      </c>
      <c r="AZ10" t="str">
        <f>IFERROR(INDEX(DATABASE.Y:(Y),MATCH(1,(DATABASE.DATE:DATE=$A10)*(DATABASE.NO:(NO)="M4"),0)),"")</f>
        <v/>
      </c>
      <c r="BA10" t="str">
        <f>IFERROR(INDEX(DATABASE.Z:(Z),MATCH(1,(DATABASE.DATE:DATE=$A10)*(DATABASE.NO:(NO)="M4"),0)),"")</f>
        <v/>
      </c>
      <c r="BB10" t="str">
        <f>IFERROR(INDEX(DATABASE.X:(X),MATCH(1,(DATABASE.DATE:DATE=$A10)*(DATABASE.NO:(NO)="M5"),0)),"")</f>
        <v/>
      </c>
      <c r="BC10" t="str">
        <f>IFERROR(INDEX(DATABASE.Y:(Y),MATCH(1,(DATABASE.DATE:DATE=$A10)*(DATABASE.NO:(NO)="M5"),0)),"")</f>
        <v/>
      </c>
      <c r="BD10" t="str">
        <f>IFERROR(INDEX(DATABASE.Z:(Z),MATCH(1,(DATABASE.DATE:DATE=$A10)*(DATABASE.NO:(NO)="M5"),0)),"")</f>
        <v/>
      </c>
      <c r="BE10" t="str">
        <f>IFERROR(INDEX(DATABASE.X:(X),MATCH(1,(DATABASE.DATE:DATE=$A10)*(DATABASE.NO:(NO)="REF1"),0)),"")</f>
        <v/>
      </c>
      <c r="BF10" t="str">
        <f>IFERROR(INDEX(DATABASE.Y:(Y),MATCH(1,(DATABASE.DATE:DATE=$A10)*(DATABASE.NO:(NO)="REF1"),0)),"")</f>
        <v/>
      </c>
      <c r="BG10" t="str">
        <f>IFERROR(INDEX(DATABASE.Z:(Z),MATCH(1,(DATABASE.DATE:DATE=$A10)*(DATABASE.NO:(NO)="REF1"),0)),"")</f>
        <v/>
      </c>
      <c r="BH10" t="str">
        <f>IFERROR(INDEX(DATABASE.X:(X),MATCH(1,(DATABASE.DATE:DATE=$A10)*(DATABASE.NO:(NO)="REF2"),0)),"")</f>
        <v/>
      </c>
      <c r="BI10" t="str">
        <f>IFERROR(INDEX(DATABASE.Y:(Y),MATCH(1,(DATABASE.DATE:DATE=$A10)*(DATABASE.NO:(NO)="REF2"),0)),"")</f>
        <v/>
      </c>
      <c r="BJ10" t="str">
        <f>IFERROR(INDEX(DATABASE.Z:(Z),MATCH(1,(DATABASE.DATE:DATE=$A10)*(DATABASE.NO:(NO)="REF2"),0)),"")</f>
        <v/>
      </c>
    </row>
    <row r="11" spans="1:62" x14ac:dyDescent="0.25">
      <c r="A11" t="s">
        <v>11</v>
      </c>
      <c r="B11">
        <f>A11-A$10</f>
        <v>8</v>
      </c>
      <c r="C11" t="str">
        <f>IFERROR(INDEX(DATABASE.X:(X),MATCH(1,(DATABASE.DATE:DATE=$A11)*(DATABASE.NO:(NO)="V1"),0)),"")</f>
        <v/>
      </c>
      <c r="D11" t="str">
        <f>IFERROR(INDEX(DATABASE.Y:(Y),MATCH(1,(DATABASE.DATE:DATE=$A11)*(DATABASE.NO:(NO)="V1"),0)),"")</f>
        <v/>
      </c>
      <c r="E11" t="str">
        <f>IFERROR(INDEX(DATABASE.Z:(Z),MATCH(1,(DATABASE.DATE:DATE=$A11)*(DATABASE.NO:(NO)="V1"),0)),"")</f>
        <v/>
      </c>
      <c r="F11" t="str">
        <f>IFERROR(INDEX(DATABASE.X:(X),MATCH(1,(DATABASE.DATE:DATE=$A11)*(DATABASE.NO:(NO)="V2"),0)),"")</f>
        <v/>
      </c>
      <c r="G11" t="str">
        <f>IFERROR(INDEX(DATABASE.Y:(Y),MATCH(1,(DATABASE.DATE:DATE=$A11)*(DATABASE.NO:(NO)="V2"),0)),"")</f>
        <v/>
      </c>
      <c r="H11" t="str">
        <f>IFERROR(INDEX(DATABASE.Z:(Z),MATCH(1,(DATABASE.DATE:DATE=$A11)*(DATABASE.NO:(NO)="V2"),0)),"")</f>
        <v/>
      </c>
      <c r="I11" t="str">
        <f>IFERROR(INDEX(DATABASE.X:(X),MATCH(1,(DATABASE.DATE:DATE=$A11)*(DATABASE.NO:(NO)="V3"),0)),"")</f>
        <v/>
      </c>
      <c r="J11" t="str">
        <f>IFERROR(INDEX(DATABASE.Y:(Y),MATCH(1,(DATABASE.DATE:DATE=$A11)*(DATABASE.NO:(NO)="V3"),0)),"")</f>
        <v/>
      </c>
      <c r="K11" t="str">
        <f>IFERROR(INDEX(DATABASE.Z:(Z),MATCH(1,(DATABASE.DATE:DATE=$A11)*(DATABASE.NO:(NO)="V3"),0)),"")</f>
        <v/>
      </c>
      <c r="L11" t="str">
        <f>IFERROR(INDEX(DATABASE.X:(X),MATCH(1,(DATABASE.DATE:DATE=$A11)*(DATABASE.NO:(NO)="H1"),0)),"")</f>
        <v/>
      </c>
      <c r="M11" t="str">
        <f>IFERROR(INDEX(DATABASE.Y:(Y),MATCH(1,(DATABASE.DATE:DATE=$A11)*(DATABASE.NO:(NO)="H1"),0)),"")</f>
        <v/>
      </c>
      <c r="N11" t="str">
        <f>IFERROR(INDEX(DATABASE.Z:(Z),MATCH(1,(DATABASE.DATE:DATE=$A11)*(DATABASE.NO:(NO)="H1"),0)),"")</f>
        <v/>
      </c>
      <c r="O11" t="str">
        <f>IFERROR(INDEX(DATABASE.X:(X),MATCH(1,(DATABASE.DATE:DATE=$A11)*(DATABASE.NO:(NO)="H2"),0)),"")</f>
        <v/>
      </c>
      <c r="P11" t="str">
        <f>IFERROR(INDEX(DATABASE.Y:(Y),MATCH(1,(DATABASE.DATE:DATE=$A11)*(DATABASE.NO:(NO)="H2"),0)),"")</f>
        <v/>
      </c>
      <c r="Q11" t="str">
        <f>IFERROR(INDEX(DATABASE.Z:(Z),MATCH(1,(DATABASE.DATE:DATE=$A11)*(DATABASE.NO:(NO)="H2"),0)),"")</f>
        <v/>
      </c>
      <c r="R11" t="str">
        <f>IFERROR(INDEX(DATABASE.X:(X),MATCH(1,(DATABASE.DATE:DATE=$A11)*(DATABASE.NO:(NO)="H3"),0)),"")</f>
        <v/>
      </c>
      <c r="S11" t="str">
        <f>IFERROR(INDEX(DATABASE.Y:(Y),MATCH(1,(DATABASE.DATE:DATE=$A11)*(DATABASE.NO:(NO)="H3"),0)),"")</f>
        <v/>
      </c>
      <c r="T11" t="str">
        <f>IFERROR(INDEX(DATABASE.Z:(Z),MATCH(1,(DATABASE.DATE:DATE=$A11)*(DATABASE.NO:(NO)="H3"),0)),"")</f>
        <v/>
      </c>
      <c r="U11" t="str">
        <f>IFERROR(INDEX(DATABASE.X:(X),MATCH(1,(DATABASE.DATE:DATE=$A11)*(DATABASE.NO:(NO)="H4"),0)),"")</f>
        <v/>
      </c>
      <c r="V11" t="str">
        <f>IFERROR(INDEX(DATABASE.Y:(Y),MATCH(1,(DATABASE.DATE:DATE=$A11)*(DATABASE.NO:(NO)="H4"),0)),"")</f>
        <v/>
      </c>
      <c r="W11" t="str">
        <f>IFERROR(INDEX(DATABASE.Z:(Z),MATCH(1,(DATABASE.DATE:DATE=$A11)*(DATABASE.NO:(NO)="H4"),0)),"")</f>
        <v/>
      </c>
      <c r="X11" t="str">
        <f>IFERROR(INDEX(DATABASE.X:(X),MATCH(1,(DATABASE.DATE:DATE=$A11)*(DATABASE.NO:(NO)="H5"),0)),"")</f>
        <v/>
      </c>
      <c r="Y11" t="str">
        <f>IFERROR(INDEX(DATABASE.Y:(Y),MATCH(1,(DATABASE.DATE:DATE=$A11)*(DATABASE.NO:(NO)="H5"),0)),"")</f>
        <v/>
      </c>
      <c r="Z11" t="str">
        <f>IFERROR(INDEX(DATABASE.Z:(Z),MATCH(1,(DATABASE.DATE:DATE=$A11)*(DATABASE.NO:(NO)="H5"),0)),"")</f>
        <v/>
      </c>
      <c r="AA11" t="str">
        <f>IFERROR(INDEX(DATABASE.X:(X),MATCH(1,(DATABASE.DATE:DATE=$A11)*(DATABASE.NO:(NO)="B1"),0)),"")</f>
        <v/>
      </c>
      <c r="AB11" t="str">
        <f>IFERROR(INDEX(DATABASE.Y:(Y),MATCH(1,(DATABASE.DATE:DATE=$A11)*(DATABASE.NO:(NO)="B1"),0)),"")</f>
        <v/>
      </c>
      <c r="AC11" t="str">
        <f>IFERROR(INDEX(DATABASE.Z:(Z),MATCH(1,(DATABASE.DATE:DATE=$A11)*(DATABASE.NO:(NO)="B1"),0)),"")</f>
        <v/>
      </c>
      <c r="AD11" t="str">
        <f>IFERROR(INDEX(DATABASE.X:(X),MATCH(1,(DATABASE.DATE:DATE=$A11)*(DATABASE.NO:(NO)="B2"),0)),"")</f>
        <v/>
      </c>
      <c r="AE11" t="str">
        <f>IFERROR(INDEX(DATABASE.Y:(Y),MATCH(1,(DATABASE.DATE:DATE=$A11)*(DATABASE.NO:(NO)="B2"),0)),"")</f>
        <v/>
      </c>
      <c r="AF11" t="str">
        <f>IFERROR(INDEX(DATABASE.Z:(Z),MATCH(1,(DATABASE.DATE:DATE=$A11)*(DATABASE.NO:(NO)="B2"),0)),"")</f>
        <v/>
      </c>
      <c r="AG11" t="str">
        <f>IFERROR(INDEX(DATABASE.X:(X),MATCH(1,(DATABASE.DATE:DATE=$A11)*(DATABASE.NO:(NO)="B3"),0)),"")</f>
        <v/>
      </c>
      <c r="AH11" t="str">
        <f>IFERROR(INDEX(DATABASE.Y:(Y),MATCH(1,(DATABASE.DATE:DATE=$A11)*(DATABASE.NO:(NO)="B3"),0)),"")</f>
        <v/>
      </c>
      <c r="AI11" t="str">
        <f>IFERROR(INDEX(DATABASE.Z:(Z),MATCH(1,(DATABASE.DATE:DATE=$A11)*(DATABASE.NO:(NO)="B3"),0)),"")</f>
        <v/>
      </c>
      <c r="AJ11" t="str">
        <f>IFERROR(INDEX(DATABASE.X:(X),MATCH(1,(DATABASE.DATE:DATE=$A11)*(DATABASE.NO:(NO)="B4"),0)),"")</f>
        <v/>
      </c>
      <c r="AK11" t="str">
        <f>IFERROR(INDEX(DATABASE.Y:(Y),MATCH(1,(DATABASE.DATE:DATE=$A11)*(DATABASE.NO:(NO)="B4"),0)),"")</f>
        <v/>
      </c>
      <c r="AL11" t="str">
        <f>IFERROR(INDEX(DATABASE.Z:(Z),MATCH(1,(DATABASE.DATE:DATE=$A11)*(DATABASE.NO:(NO)="B4"),0)),"")</f>
        <v/>
      </c>
      <c r="AM11" t="str">
        <f>IFERROR(INDEX(DATABASE.X:(X),MATCH(1,(DATABASE.DATE:DATE=$A11)*(DATABASE.NO:(NO)="B5"),0)),"")</f>
        <v/>
      </c>
      <c r="AN11" t="str">
        <f>IFERROR(INDEX(DATABASE.Y:(Y),MATCH(1,(DATABASE.DATE:DATE=$A11)*(DATABASE.NO:(NO)="B5"),0)),"")</f>
        <v/>
      </c>
      <c r="AO11" t="str">
        <f>IFERROR(INDEX(DATABASE.Z:(Z),MATCH(1,(DATABASE.DATE:DATE=$A11)*(DATABASE.NO:(NO)="B5"),0)),"")</f>
        <v/>
      </c>
      <c r="AP11" t="str">
        <f>IFERROR(INDEX(DATABASE.X:(X),MATCH(1,(DATABASE.DATE:DATE=$A11)*(DATABASE.NO:(NO)="M1"),0)),"")</f>
        <v/>
      </c>
      <c r="AQ11" t="str">
        <f>IFERROR(INDEX(DATABASE.Y:(Y),MATCH(1,(DATABASE.DATE:DATE=$A11)*(DATABASE.NO:(NO)="M1"),0)),"")</f>
        <v/>
      </c>
      <c r="AR11" t="str">
        <f>IFERROR(INDEX(DATABASE.Z:(Z),MATCH(1,(DATABASE.DATE:DATE=$A11)*(DATABASE.NO:(NO)="M1"),0)),"")</f>
        <v/>
      </c>
      <c r="AS11" t="str">
        <f>IFERROR(INDEX(DATABASE.X:(X),MATCH(1,(DATABASE.DATE:DATE=$A11)*(DATABASE.NO:(NO)="M2"),0)),"")</f>
        <v/>
      </c>
      <c r="AT11" t="str">
        <f>IFERROR(INDEX(DATABASE.Y:(Y),MATCH(1,(DATABASE.DATE:DATE=$A11)*(DATABASE.NO:(NO)="M2"),0)),"")</f>
        <v/>
      </c>
      <c r="AU11" t="str">
        <f>IFERROR(INDEX(DATABASE.Z:(Z),MATCH(1,(DATABASE.DATE:DATE=$A11)*(DATABASE.NO:(NO)="M2"),0)),"")</f>
        <v/>
      </c>
      <c r="AV11" t="str">
        <f>IFERROR(INDEX(DATABASE.X:(X),MATCH(1,(DATABASE.DATE:DATE=$A11)*(DATABASE.NO:(NO)="M3"),0)),"")</f>
        <v/>
      </c>
      <c r="AW11" t="str">
        <f>IFERROR(INDEX(DATABASE.Y:(Y),MATCH(1,(DATABASE.DATE:DATE=$A11)*(DATABASE.NO:(NO)="M3"),0)),"")</f>
        <v/>
      </c>
      <c r="AX11" t="str">
        <f>IFERROR(INDEX(DATABASE.Z:(Z),MATCH(1,(DATABASE.DATE:DATE=$A11)*(DATABASE.NO:(NO)="M3"),0)),"")</f>
        <v/>
      </c>
      <c r="AY11" t="str">
        <f>IFERROR(INDEX(DATABASE.X:(X),MATCH(1,(DATABASE.DATE:DATE=$A11)*(DATABASE.NO:(NO)="M4"),0)),"")</f>
        <v/>
      </c>
      <c r="AZ11" t="str">
        <f>IFERROR(INDEX(DATABASE.Y:(Y),MATCH(1,(DATABASE.DATE:DATE=$A11)*(DATABASE.NO:(NO)="M4"),0)),"")</f>
        <v/>
      </c>
      <c r="BA11" t="str">
        <f>IFERROR(INDEX(DATABASE.Z:(Z),MATCH(1,(DATABASE.DATE:DATE=$A11)*(DATABASE.NO:(NO)="M4"),0)),"")</f>
        <v/>
      </c>
      <c r="BB11" t="str">
        <f>IFERROR(INDEX(DATABASE.X:(X),MATCH(1,(DATABASE.DATE:DATE=$A11)*(DATABASE.NO:(NO)="M5"),0)),"")</f>
        <v/>
      </c>
      <c r="BC11" t="str">
        <f>IFERROR(INDEX(DATABASE.Y:(Y),MATCH(1,(DATABASE.DATE:DATE=$A11)*(DATABASE.NO:(NO)="M5"),0)),"")</f>
        <v/>
      </c>
      <c r="BD11" t="str">
        <f>IFERROR(INDEX(DATABASE.Z:(Z),MATCH(1,(DATABASE.DATE:DATE=$A11)*(DATABASE.NO:(NO)="M5"),0)),"")</f>
        <v/>
      </c>
      <c r="BE11" t="str">
        <f>IFERROR(INDEX(DATABASE.X:(X),MATCH(1,(DATABASE.DATE:DATE=$A11)*(DATABASE.NO:(NO)="REF1"),0)),"")</f>
        <v/>
      </c>
      <c r="BF11" t="str">
        <f>IFERROR(INDEX(DATABASE.Y:(Y),MATCH(1,(DATABASE.DATE:DATE=$A11)*(DATABASE.NO:(NO)="REF1"),0)),"")</f>
        <v/>
      </c>
      <c r="BG11" t="str">
        <f>IFERROR(INDEX(DATABASE.Z:(Z),MATCH(1,(DATABASE.DATE:DATE=$A11)*(DATABASE.NO:(NO)="REF1"),0)),"")</f>
        <v/>
      </c>
      <c r="BH11" t="str">
        <f>IFERROR(INDEX(DATABASE.X:(X),MATCH(1,(DATABASE.DATE:DATE=$A11)*(DATABASE.NO:(NO)="REF2"),0)),"")</f>
        <v/>
      </c>
      <c r="BI11" t="str">
        <f>IFERROR(INDEX(DATABASE.Y:(Y),MATCH(1,(DATABASE.DATE:DATE=$A11)*(DATABASE.NO:(NO)="REF2"),0)),"")</f>
        <v/>
      </c>
      <c r="BJ11" t="str">
        <f>IFERROR(INDEX(DATABASE.Z:(Z),MATCH(1,(DATABASE.DATE:DATE=$A11)*(DATABASE.NO:(NO)="REF2"),0)),"")</f>
        <v/>
      </c>
    </row>
    <row r="12" spans="1:62" x14ac:dyDescent="0.25">
      <c r="A12" t="s">
        <v>75</v>
      </c>
      <c r="B12">
        <f>A12-A$10</f>
        <v>12</v>
      </c>
      <c r="C12" t="str">
        <f>IFERROR(INDEX(DATABASE.X:(X),MATCH(1,(DATABASE.DATE:DATE=$A12)*(DATABASE.NO:(NO)="V1"),0)),"")</f>
        <v/>
      </c>
      <c r="D12" t="str">
        <f>IFERROR(INDEX(DATABASE.Y:(Y),MATCH(1,(DATABASE.DATE:DATE=$A12)*(DATABASE.NO:(NO)="V1"),0)),"")</f>
        <v/>
      </c>
      <c r="E12" t="str">
        <f>IFERROR(INDEX(DATABASE.Z:(Z),MATCH(1,(DATABASE.DATE:DATE=$A12)*(DATABASE.NO:(NO)="V1"),0)),"")</f>
        <v/>
      </c>
      <c r="F12" t="str">
        <f>IFERROR(INDEX(DATABASE.X:(X),MATCH(1,(DATABASE.DATE:DATE=$A12)*(DATABASE.NO:(NO)="V2"),0)),"")</f>
        <v/>
      </c>
      <c r="G12" t="str">
        <f>IFERROR(INDEX(DATABASE.Y:(Y),MATCH(1,(DATABASE.DATE:DATE=$A12)*(DATABASE.NO:(NO)="V2"),0)),"")</f>
        <v/>
      </c>
      <c r="H12" t="str">
        <f>IFERROR(INDEX(DATABASE.Z:(Z),MATCH(1,(DATABASE.DATE:DATE=$A12)*(DATABASE.NO:(NO)="V2"),0)),"")</f>
        <v/>
      </c>
      <c r="I12" t="str">
        <f>IFERROR(INDEX(DATABASE.X:(X),MATCH(1,(DATABASE.DATE:DATE=$A12)*(DATABASE.NO:(NO)="V3"),0)),"")</f>
        <v/>
      </c>
      <c r="J12" t="str">
        <f>IFERROR(INDEX(DATABASE.Y:(Y),MATCH(1,(DATABASE.DATE:DATE=$A12)*(DATABASE.NO:(NO)="V3"),0)),"")</f>
        <v/>
      </c>
      <c r="K12" t="str">
        <f>IFERROR(INDEX(DATABASE.Z:(Z),MATCH(1,(DATABASE.DATE:DATE=$A12)*(DATABASE.NO:(NO)="V3"),0)),"")</f>
        <v/>
      </c>
      <c r="L12" t="str">
        <f>IFERROR(INDEX(DATABASE.X:(X),MATCH(1,(DATABASE.DATE:DATE=$A12)*(DATABASE.NO:(NO)="H1"),0)),"")</f>
        <v/>
      </c>
      <c r="M12" t="str">
        <f>IFERROR(INDEX(DATABASE.Y:(Y),MATCH(1,(DATABASE.DATE:DATE=$A12)*(DATABASE.NO:(NO)="H1"),0)),"")</f>
        <v/>
      </c>
      <c r="N12" t="str">
        <f>IFERROR(INDEX(DATABASE.Z:(Z),MATCH(1,(DATABASE.DATE:DATE=$A12)*(DATABASE.NO:(NO)="H1"),0)),"")</f>
        <v/>
      </c>
      <c r="O12" t="str">
        <f>IFERROR(INDEX(DATABASE.X:(X),MATCH(1,(DATABASE.DATE:DATE=$A12)*(DATABASE.NO:(NO)="H2"),0)),"")</f>
        <v/>
      </c>
      <c r="P12" t="str">
        <f>IFERROR(INDEX(DATABASE.Y:(Y),MATCH(1,(DATABASE.DATE:DATE=$A12)*(DATABASE.NO:(NO)="H2"),0)),"")</f>
        <v/>
      </c>
      <c r="Q12" t="str">
        <f>IFERROR(INDEX(DATABASE.Z:(Z),MATCH(1,(DATABASE.DATE:DATE=$A12)*(DATABASE.NO:(NO)="H2"),0)),"")</f>
        <v/>
      </c>
      <c r="R12" t="str">
        <f>IFERROR(INDEX(DATABASE.X:(X),MATCH(1,(DATABASE.DATE:DATE=$A12)*(DATABASE.NO:(NO)="H3"),0)),"")</f>
        <v/>
      </c>
      <c r="S12" t="str">
        <f>IFERROR(INDEX(DATABASE.Y:(Y),MATCH(1,(DATABASE.DATE:DATE=$A12)*(DATABASE.NO:(NO)="H3"),0)),"")</f>
        <v/>
      </c>
      <c r="T12" t="str">
        <f>IFERROR(INDEX(DATABASE.Z:(Z),MATCH(1,(DATABASE.DATE:DATE=$A12)*(DATABASE.NO:(NO)="H3"),0)),"")</f>
        <v/>
      </c>
      <c r="U12" t="str">
        <f>IFERROR(INDEX(DATABASE.X:(X),MATCH(1,(DATABASE.DATE:DATE=$A12)*(DATABASE.NO:(NO)="H4"),0)),"")</f>
        <v/>
      </c>
      <c r="V12" t="str">
        <f>IFERROR(INDEX(DATABASE.Y:(Y),MATCH(1,(DATABASE.DATE:DATE=$A12)*(DATABASE.NO:(NO)="H4"),0)),"")</f>
        <v/>
      </c>
      <c r="W12" t="str">
        <f>IFERROR(INDEX(DATABASE.Z:(Z),MATCH(1,(DATABASE.DATE:DATE=$A12)*(DATABASE.NO:(NO)="H4"),0)),"")</f>
        <v/>
      </c>
      <c r="X12" t="str">
        <f>IFERROR(INDEX(DATABASE.X:(X),MATCH(1,(DATABASE.DATE:DATE=$A12)*(DATABASE.NO:(NO)="H5"),0)),"")</f>
        <v/>
      </c>
      <c r="Y12" t="str">
        <f>IFERROR(INDEX(DATABASE.Y:(Y),MATCH(1,(DATABASE.DATE:DATE=$A12)*(DATABASE.NO:(NO)="H5"),0)),"")</f>
        <v/>
      </c>
      <c r="Z12" t="str">
        <f>IFERROR(INDEX(DATABASE.Z:(Z),MATCH(1,(DATABASE.DATE:DATE=$A12)*(DATABASE.NO:(NO)="H5"),0)),"")</f>
        <v/>
      </c>
      <c r="AA12" t="str">
        <f>IFERROR(INDEX(DATABASE.X:(X),MATCH(1,(DATABASE.DATE:DATE=$A12)*(DATABASE.NO:(NO)="B1"),0)),"")</f>
        <v/>
      </c>
      <c r="AB12" t="str">
        <f>IFERROR(INDEX(DATABASE.Y:(Y),MATCH(1,(DATABASE.DATE:DATE=$A12)*(DATABASE.NO:(NO)="B1"),0)),"")</f>
        <v/>
      </c>
      <c r="AC12" t="str">
        <f>IFERROR(INDEX(DATABASE.Z:(Z),MATCH(1,(DATABASE.DATE:DATE=$A12)*(DATABASE.NO:(NO)="B1"),0)),"")</f>
        <v/>
      </c>
      <c r="AD12" t="str">
        <f>IFERROR(INDEX(DATABASE.X:(X),MATCH(1,(DATABASE.DATE:DATE=$A12)*(DATABASE.NO:(NO)="B2"),0)),"")</f>
        <v/>
      </c>
      <c r="AE12" t="str">
        <f>IFERROR(INDEX(DATABASE.Y:(Y),MATCH(1,(DATABASE.DATE:DATE=$A12)*(DATABASE.NO:(NO)="B2"),0)),"")</f>
        <v/>
      </c>
      <c r="AF12" t="str">
        <f>IFERROR(INDEX(DATABASE.Z:(Z),MATCH(1,(DATABASE.DATE:DATE=$A12)*(DATABASE.NO:(NO)="B2"),0)),"")</f>
        <v/>
      </c>
      <c r="AG12" t="str">
        <f>IFERROR(INDEX(DATABASE.X:(X),MATCH(1,(DATABASE.DATE:DATE=$A12)*(DATABASE.NO:(NO)="B3"),0)),"")</f>
        <v/>
      </c>
      <c r="AH12" t="str">
        <f>IFERROR(INDEX(DATABASE.Y:(Y),MATCH(1,(DATABASE.DATE:DATE=$A12)*(DATABASE.NO:(NO)="B3"),0)),"")</f>
        <v/>
      </c>
      <c r="AI12" t="str">
        <f>IFERROR(INDEX(DATABASE.Z:(Z),MATCH(1,(DATABASE.DATE:DATE=$A12)*(DATABASE.NO:(NO)="B3"),0)),"")</f>
        <v/>
      </c>
      <c r="AJ12" t="str">
        <f>IFERROR(INDEX(DATABASE.X:(X),MATCH(1,(DATABASE.DATE:DATE=$A12)*(DATABASE.NO:(NO)="B4"),0)),"")</f>
        <v/>
      </c>
      <c r="AK12" t="str">
        <f>IFERROR(INDEX(DATABASE.Y:(Y),MATCH(1,(DATABASE.DATE:DATE=$A12)*(DATABASE.NO:(NO)="B4"),0)),"")</f>
        <v/>
      </c>
      <c r="AL12" t="str">
        <f>IFERROR(INDEX(DATABASE.Z:(Z),MATCH(1,(DATABASE.DATE:DATE=$A12)*(DATABASE.NO:(NO)="B4"),0)),"")</f>
        <v/>
      </c>
      <c r="AM12" t="str">
        <f>IFERROR(INDEX(DATABASE.X:(X),MATCH(1,(DATABASE.DATE:DATE=$A12)*(DATABASE.NO:(NO)="B5"),0)),"")</f>
        <v/>
      </c>
      <c r="AN12" t="str">
        <f>IFERROR(INDEX(DATABASE.Y:(Y),MATCH(1,(DATABASE.DATE:DATE=$A12)*(DATABASE.NO:(NO)="B5"),0)),"")</f>
        <v/>
      </c>
      <c r="AO12" t="str">
        <f>IFERROR(INDEX(DATABASE.Z:(Z),MATCH(1,(DATABASE.DATE:DATE=$A12)*(DATABASE.NO:(NO)="B5"),0)),"")</f>
        <v/>
      </c>
      <c r="AP12" t="str">
        <f>IFERROR(INDEX(DATABASE.X:(X),MATCH(1,(DATABASE.DATE:DATE=$A12)*(DATABASE.NO:(NO)="M1"),0)),"")</f>
        <v/>
      </c>
      <c r="AQ12" t="str">
        <f>IFERROR(INDEX(DATABASE.Y:(Y),MATCH(1,(DATABASE.DATE:DATE=$A12)*(DATABASE.NO:(NO)="M1"),0)),"")</f>
        <v/>
      </c>
      <c r="AR12" t="str">
        <f>IFERROR(INDEX(DATABASE.Z:(Z),MATCH(1,(DATABASE.DATE:DATE=$A12)*(DATABASE.NO:(NO)="M1"),0)),"")</f>
        <v/>
      </c>
      <c r="AS12" t="str">
        <f>IFERROR(INDEX(DATABASE.X:(X),MATCH(1,(DATABASE.DATE:DATE=$A12)*(DATABASE.NO:(NO)="M2"),0)),"")</f>
        <v/>
      </c>
      <c r="AT12" t="str">
        <f>IFERROR(INDEX(DATABASE.Y:(Y),MATCH(1,(DATABASE.DATE:DATE=$A12)*(DATABASE.NO:(NO)="M2"),0)),"")</f>
        <v/>
      </c>
      <c r="AU12" t="str">
        <f>IFERROR(INDEX(DATABASE.Z:(Z),MATCH(1,(DATABASE.DATE:DATE=$A12)*(DATABASE.NO:(NO)="M2"),0)),"")</f>
        <v/>
      </c>
      <c r="AV12" t="str">
        <f>IFERROR(INDEX(DATABASE.X:(X),MATCH(1,(DATABASE.DATE:DATE=$A12)*(DATABASE.NO:(NO)="M3"),0)),"")</f>
        <v/>
      </c>
      <c r="AW12" t="str">
        <f>IFERROR(INDEX(DATABASE.Y:(Y),MATCH(1,(DATABASE.DATE:DATE=$A12)*(DATABASE.NO:(NO)="M3"),0)),"")</f>
        <v/>
      </c>
      <c r="AX12" t="str">
        <f>IFERROR(INDEX(DATABASE.Z:(Z),MATCH(1,(DATABASE.DATE:DATE=$A12)*(DATABASE.NO:(NO)="M3"),0)),"")</f>
        <v/>
      </c>
      <c r="AY12" t="str">
        <f>IFERROR(INDEX(DATABASE.X:(X),MATCH(1,(DATABASE.DATE:DATE=$A12)*(DATABASE.NO:(NO)="M4"),0)),"")</f>
        <v/>
      </c>
      <c r="AZ12" t="str">
        <f>IFERROR(INDEX(DATABASE.Y:(Y),MATCH(1,(DATABASE.DATE:DATE=$A12)*(DATABASE.NO:(NO)="M4"),0)),"")</f>
        <v/>
      </c>
      <c r="BA12" t="str">
        <f>IFERROR(INDEX(DATABASE.Z:(Z),MATCH(1,(DATABASE.DATE:DATE=$A12)*(DATABASE.NO:(NO)="M4"),0)),"")</f>
        <v/>
      </c>
      <c r="BB12" t="str">
        <f>IFERROR(INDEX(DATABASE.X:(X),MATCH(1,(DATABASE.DATE:DATE=$A12)*(DATABASE.NO:(NO)="M5"),0)),"")</f>
        <v/>
      </c>
      <c r="BC12" t="str">
        <f>IFERROR(INDEX(DATABASE.Y:(Y),MATCH(1,(DATABASE.DATE:DATE=$A12)*(DATABASE.NO:(NO)="M5"),0)),"")</f>
        <v/>
      </c>
      <c r="BD12" t="str">
        <f>IFERROR(INDEX(DATABASE.Z:(Z),MATCH(1,(DATABASE.DATE:DATE=$A12)*(DATABASE.NO:(NO)="M5"),0)),"")</f>
        <v/>
      </c>
      <c r="BE12" t="str">
        <f>IFERROR(INDEX(DATABASE.X:(X),MATCH(1,(DATABASE.DATE:DATE=$A12)*(DATABASE.NO:(NO)="REF1"),0)),"")</f>
        <v/>
      </c>
      <c r="BF12" t="str">
        <f>IFERROR(INDEX(DATABASE.Y:(Y),MATCH(1,(DATABASE.DATE:DATE=$A12)*(DATABASE.NO:(NO)="REF1"),0)),"")</f>
        <v/>
      </c>
      <c r="BG12" t="str">
        <f>IFERROR(INDEX(DATABASE.Z:(Z),MATCH(1,(DATABASE.DATE:DATE=$A12)*(DATABASE.NO:(NO)="REF1"),0)),"")</f>
        <v/>
      </c>
      <c r="BH12" t="str">
        <f>IFERROR(INDEX(DATABASE.X:(X),MATCH(1,(DATABASE.DATE:DATE=$A12)*(DATABASE.NO:(NO)="REF2"),0)),"")</f>
        <v/>
      </c>
      <c r="BI12" t="str">
        <f>IFERROR(INDEX(DATABASE.Y:(Y),MATCH(1,(DATABASE.DATE:DATE=$A12)*(DATABASE.NO:(NO)="REF2"),0)),"")</f>
        <v/>
      </c>
      <c r="BJ12" t="str">
        <f>IFERROR(INDEX(DATABASE.Z:(Z),MATCH(1,(DATABASE.DATE:DATE=$A12)*(DATABASE.NO:(NO)="REF2"),0)),"")</f>
        <v/>
      </c>
    </row>
    <row r="13" spans="1:62" x14ac:dyDescent="0.25">
      <c r="A13" t="s">
        <v>76</v>
      </c>
      <c r="B13">
        <f>A13-A$10</f>
        <v>16</v>
      </c>
      <c r="C13" t="str">
        <f>IFERROR(INDEX(DATABASE.X:(X),MATCH(1,(DATABASE.DATE:DATE=$A13)*(DATABASE.NO:(NO)="V1"),0)),"")</f>
        <v/>
      </c>
      <c r="D13" t="str">
        <f>IFERROR(INDEX(DATABASE.Y:(Y),MATCH(1,(DATABASE.DATE:DATE=$A13)*(DATABASE.NO:(NO)="V1"),0)),"")</f>
        <v/>
      </c>
      <c r="E13" t="str">
        <f>IFERROR(INDEX(DATABASE.Z:(Z),MATCH(1,(DATABASE.DATE:DATE=$A13)*(DATABASE.NO:(NO)="V1"),0)),"")</f>
        <v/>
      </c>
      <c r="F13" t="str">
        <f>IFERROR(INDEX(DATABASE.X:(X),MATCH(1,(DATABASE.DATE:DATE=$A13)*(DATABASE.NO:(NO)="V2"),0)),"")</f>
        <v/>
      </c>
      <c r="G13" t="str">
        <f>IFERROR(INDEX(DATABASE.Y:(Y),MATCH(1,(DATABASE.DATE:DATE=$A13)*(DATABASE.NO:(NO)="V2"),0)),"")</f>
        <v/>
      </c>
      <c r="H13" t="str">
        <f>IFERROR(INDEX(DATABASE.Z:(Z),MATCH(1,(DATABASE.DATE:DATE=$A13)*(DATABASE.NO:(NO)="V2"),0)),"")</f>
        <v/>
      </c>
      <c r="I13" t="str">
        <f>IFERROR(INDEX(DATABASE.X:(X),MATCH(1,(DATABASE.DATE:DATE=$A13)*(DATABASE.NO:(NO)="V3"),0)),"")</f>
        <v/>
      </c>
      <c r="J13" t="str">
        <f>IFERROR(INDEX(DATABASE.Y:(Y),MATCH(1,(DATABASE.DATE:DATE=$A13)*(DATABASE.NO:(NO)="V3"),0)),"")</f>
        <v/>
      </c>
      <c r="K13" t="str">
        <f>IFERROR(INDEX(DATABASE.Z:(Z),MATCH(1,(DATABASE.DATE:DATE=$A13)*(DATABASE.NO:(NO)="V3"),0)),"")</f>
        <v/>
      </c>
      <c r="L13" t="str">
        <f>IFERROR(INDEX(DATABASE.X:(X),MATCH(1,(DATABASE.DATE:DATE=$A13)*(DATABASE.NO:(NO)="H1"),0)),"")</f>
        <v/>
      </c>
      <c r="M13" t="str">
        <f>IFERROR(INDEX(DATABASE.Y:(Y),MATCH(1,(DATABASE.DATE:DATE=$A13)*(DATABASE.NO:(NO)="H1"),0)),"")</f>
        <v/>
      </c>
      <c r="N13" t="str">
        <f>IFERROR(INDEX(DATABASE.Z:(Z),MATCH(1,(DATABASE.DATE:DATE=$A13)*(DATABASE.NO:(NO)="H1"),0)),"")</f>
        <v/>
      </c>
      <c r="O13" t="str">
        <f>IFERROR(INDEX(DATABASE.X:(X),MATCH(1,(DATABASE.DATE:DATE=$A13)*(DATABASE.NO:(NO)="H2"),0)),"")</f>
        <v/>
      </c>
      <c r="P13" t="str">
        <f>IFERROR(INDEX(DATABASE.Y:(Y),MATCH(1,(DATABASE.DATE:DATE=$A13)*(DATABASE.NO:(NO)="H2"),0)),"")</f>
        <v/>
      </c>
      <c r="Q13" t="str">
        <f>IFERROR(INDEX(DATABASE.Z:(Z),MATCH(1,(DATABASE.DATE:DATE=$A13)*(DATABASE.NO:(NO)="H2"),0)),"")</f>
        <v/>
      </c>
      <c r="R13" t="str">
        <f>IFERROR(INDEX(DATABASE.X:(X),MATCH(1,(DATABASE.DATE:DATE=$A13)*(DATABASE.NO:(NO)="H3"),0)),"")</f>
        <v/>
      </c>
      <c r="S13" t="str">
        <f>IFERROR(INDEX(DATABASE.Y:(Y),MATCH(1,(DATABASE.DATE:DATE=$A13)*(DATABASE.NO:(NO)="H3"),0)),"")</f>
        <v/>
      </c>
      <c r="T13" t="str">
        <f>IFERROR(INDEX(DATABASE.Z:(Z),MATCH(1,(DATABASE.DATE:DATE=$A13)*(DATABASE.NO:(NO)="H3"),0)),"")</f>
        <v/>
      </c>
      <c r="U13" t="str">
        <f>IFERROR(INDEX(DATABASE.X:(X),MATCH(1,(DATABASE.DATE:DATE=$A13)*(DATABASE.NO:(NO)="H4"),0)),"")</f>
        <v/>
      </c>
      <c r="V13" t="str">
        <f>IFERROR(INDEX(DATABASE.Y:(Y),MATCH(1,(DATABASE.DATE:DATE=$A13)*(DATABASE.NO:(NO)="H4"),0)),"")</f>
        <v/>
      </c>
      <c r="W13" t="str">
        <f>IFERROR(INDEX(DATABASE.Z:(Z),MATCH(1,(DATABASE.DATE:DATE=$A13)*(DATABASE.NO:(NO)="H4"),0)),"")</f>
        <v/>
      </c>
      <c r="X13" t="str">
        <f>IFERROR(INDEX(DATABASE.X:(X),MATCH(1,(DATABASE.DATE:DATE=$A13)*(DATABASE.NO:(NO)="H5"),0)),"")</f>
        <v/>
      </c>
      <c r="Y13" t="str">
        <f>IFERROR(INDEX(DATABASE.Y:(Y),MATCH(1,(DATABASE.DATE:DATE=$A13)*(DATABASE.NO:(NO)="H5"),0)),"")</f>
        <v/>
      </c>
      <c r="Z13" t="str">
        <f>IFERROR(INDEX(DATABASE.Z:(Z),MATCH(1,(DATABASE.DATE:DATE=$A13)*(DATABASE.NO:(NO)="H5"),0)),"")</f>
        <v/>
      </c>
      <c r="AA13" t="str">
        <f>IFERROR(INDEX(DATABASE.X:(X),MATCH(1,(DATABASE.DATE:DATE=$A13)*(DATABASE.NO:(NO)="B1"),0)),"")</f>
        <v/>
      </c>
      <c r="AB13" t="str">
        <f>IFERROR(INDEX(DATABASE.Y:(Y),MATCH(1,(DATABASE.DATE:DATE=$A13)*(DATABASE.NO:(NO)="B1"),0)),"")</f>
        <v/>
      </c>
      <c r="AC13" t="str">
        <f>IFERROR(INDEX(DATABASE.Z:(Z),MATCH(1,(DATABASE.DATE:DATE=$A13)*(DATABASE.NO:(NO)="B1"),0)),"")</f>
        <v/>
      </c>
      <c r="AD13" t="str">
        <f>IFERROR(INDEX(DATABASE.X:(X),MATCH(1,(DATABASE.DATE:DATE=$A13)*(DATABASE.NO:(NO)="B2"),0)),"")</f>
        <v/>
      </c>
      <c r="AE13" t="str">
        <f>IFERROR(INDEX(DATABASE.Y:(Y),MATCH(1,(DATABASE.DATE:DATE=$A13)*(DATABASE.NO:(NO)="B2"),0)),"")</f>
        <v/>
      </c>
      <c r="AF13" t="str">
        <f>IFERROR(INDEX(DATABASE.Z:(Z),MATCH(1,(DATABASE.DATE:DATE=$A13)*(DATABASE.NO:(NO)="B2"),0)),"")</f>
        <v/>
      </c>
      <c r="AG13" t="str">
        <f>IFERROR(INDEX(DATABASE.X:(X),MATCH(1,(DATABASE.DATE:DATE=$A13)*(DATABASE.NO:(NO)="B3"),0)),"")</f>
        <v/>
      </c>
      <c r="AH13" t="str">
        <f>IFERROR(INDEX(DATABASE.Y:(Y),MATCH(1,(DATABASE.DATE:DATE=$A13)*(DATABASE.NO:(NO)="B3"),0)),"")</f>
        <v/>
      </c>
      <c r="AI13" t="str">
        <f>IFERROR(INDEX(DATABASE.Z:(Z),MATCH(1,(DATABASE.DATE:DATE=$A13)*(DATABASE.NO:(NO)="B3"),0)),"")</f>
        <v/>
      </c>
      <c r="AJ13" t="str">
        <f>IFERROR(INDEX(DATABASE.X:(X),MATCH(1,(DATABASE.DATE:DATE=$A13)*(DATABASE.NO:(NO)="B4"),0)),"")</f>
        <v/>
      </c>
      <c r="AK13" t="str">
        <f>IFERROR(INDEX(DATABASE.Y:(Y),MATCH(1,(DATABASE.DATE:DATE=$A13)*(DATABASE.NO:(NO)="B4"),0)),"")</f>
        <v/>
      </c>
      <c r="AL13" t="str">
        <f>IFERROR(INDEX(DATABASE.Z:(Z),MATCH(1,(DATABASE.DATE:DATE=$A13)*(DATABASE.NO:(NO)="B4"),0)),"")</f>
        <v/>
      </c>
      <c r="AM13" t="str">
        <f>IFERROR(INDEX(DATABASE.X:(X),MATCH(1,(DATABASE.DATE:DATE=$A13)*(DATABASE.NO:(NO)="B5"),0)),"")</f>
        <v/>
      </c>
      <c r="AN13" t="str">
        <f>IFERROR(INDEX(DATABASE.Y:(Y),MATCH(1,(DATABASE.DATE:DATE=$A13)*(DATABASE.NO:(NO)="B5"),0)),"")</f>
        <v/>
      </c>
      <c r="AO13" t="str">
        <f>IFERROR(INDEX(DATABASE.Z:(Z),MATCH(1,(DATABASE.DATE:DATE=$A13)*(DATABASE.NO:(NO)="B5"),0)),"")</f>
        <v/>
      </c>
      <c r="AP13" t="str">
        <f>IFERROR(INDEX(DATABASE.X:(X),MATCH(1,(DATABASE.DATE:DATE=$A13)*(DATABASE.NO:(NO)="M1"),0)),"")</f>
        <v/>
      </c>
      <c r="AQ13" t="str">
        <f>IFERROR(INDEX(DATABASE.Y:(Y),MATCH(1,(DATABASE.DATE:DATE=$A13)*(DATABASE.NO:(NO)="M1"),0)),"")</f>
        <v/>
      </c>
      <c r="AR13" t="str">
        <f>IFERROR(INDEX(DATABASE.Z:(Z),MATCH(1,(DATABASE.DATE:DATE=$A13)*(DATABASE.NO:(NO)="M1"),0)),"")</f>
        <v/>
      </c>
      <c r="AS13" t="str">
        <f>IFERROR(INDEX(DATABASE.X:(X),MATCH(1,(DATABASE.DATE:DATE=$A13)*(DATABASE.NO:(NO)="M2"),0)),"")</f>
        <v/>
      </c>
      <c r="AT13" t="str">
        <f>IFERROR(INDEX(DATABASE.Y:(Y),MATCH(1,(DATABASE.DATE:DATE=$A13)*(DATABASE.NO:(NO)="M2"),0)),"")</f>
        <v/>
      </c>
      <c r="AU13" t="str">
        <f>IFERROR(INDEX(DATABASE.Z:(Z),MATCH(1,(DATABASE.DATE:DATE=$A13)*(DATABASE.NO:(NO)="M2"),0)),"")</f>
        <v/>
      </c>
      <c r="AV13" t="str">
        <f>IFERROR(INDEX(DATABASE.X:(X),MATCH(1,(DATABASE.DATE:DATE=$A13)*(DATABASE.NO:(NO)="M3"),0)),"")</f>
        <v/>
      </c>
      <c r="AW13" t="str">
        <f>IFERROR(INDEX(DATABASE.Y:(Y),MATCH(1,(DATABASE.DATE:DATE=$A13)*(DATABASE.NO:(NO)="M3"),0)),"")</f>
        <v/>
      </c>
      <c r="AX13" t="str">
        <f>IFERROR(INDEX(DATABASE.Z:(Z),MATCH(1,(DATABASE.DATE:DATE=$A13)*(DATABASE.NO:(NO)="M3"),0)),"")</f>
        <v/>
      </c>
      <c r="AY13" t="str">
        <f>IFERROR(INDEX(DATABASE.X:(X),MATCH(1,(DATABASE.DATE:DATE=$A13)*(DATABASE.NO:(NO)="M4"),0)),"")</f>
        <v/>
      </c>
      <c r="AZ13" t="str">
        <f>IFERROR(INDEX(DATABASE.Y:(Y),MATCH(1,(DATABASE.DATE:DATE=$A13)*(DATABASE.NO:(NO)="M4"),0)),"")</f>
        <v/>
      </c>
      <c r="BA13" t="str">
        <f>IFERROR(INDEX(DATABASE.Z:(Z),MATCH(1,(DATABASE.DATE:DATE=$A13)*(DATABASE.NO:(NO)="M4"),0)),"")</f>
        <v/>
      </c>
      <c r="BB13" t="str">
        <f>IFERROR(INDEX(DATABASE.X:(X),MATCH(1,(DATABASE.DATE:DATE=$A13)*(DATABASE.NO:(NO)="M5"),0)),"")</f>
        <v/>
      </c>
      <c r="BC13" t="str">
        <f>IFERROR(INDEX(DATABASE.Y:(Y),MATCH(1,(DATABASE.DATE:DATE=$A13)*(DATABASE.NO:(NO)="M5"),0)),"")</f>
        <v/>
      </c>
      <c r="BD13" t="str">
        <f>IFERROR(INDEX(DATABASE.Z:(Z),MATCH(1,(DATABASE.DATE:DATE=$A13)*(DATABASE.NO:(NO)="M5"),0)),"")</f>
        <v/>
      </c>
      <c r="BE13" t="str">
        <f>IFERROR(INDEX(DATABASE.X:(X),MATCH(1,(DATABASE.DATE:DATE=$A13)*(DATABASE.NO:(NO)="REF1"),0)),"")</f>
        <v/>
      </c>
      <c r="BF13" t="str">
        <f>IFERROR(INDEX(DATABASE.Y:(Y),MATCH(1,(DATABASE.DATE:DATE=$A13)*(DATABASE.NO:(NO)="REF1"),0)),"")</f>
        <v/>
      </c>
      <c r="BG13" t="str">
        <f>IFERROR(INDEX(DATABASE.Z:(Z),MATCH(1,(DATABASE.DATE:DATE=$A13)*(DATABASE.NO:(NO)="REF1"),0)),"")</f>
        <v/>
      </c>
      <c r="BH13" t="str">
        <f>IFERROR(INDEX(DATABASE.X:(X),MATCH(1,(DATABASE.DATE:DATE=$A13)*(DATABASE.NO:(NO)="REF2"),0)),"")</f>
        <v/>
      </c>
      <c r="BI13" t="str">
        <f>IFERROR(INDEX(DATABASE.Y:(Y),MATCH(1,(DATABASE.DATE:DATE=$A13)*(DATABASE.NO:(NO)="REF2"),0)),"")</f>
        <v/>
      </c>
      <c r="BJ13" t="str">
        <f>IFERROR(INDEX(DATABASE.Z:(Z),MATCH(1,(DATABASE.DATE:DATE=$A13)*(DATABASE.NO:(NO)="REF2"),0)),"")</f>
        <v/>
      </c>
    </row>
    <row r="14" spans="1:62" x14ac:dyDescent="0.25">
      <c r="A14" t="s">
        <v>77</v>
      </c>
      <c r="B14">
        <f>A14-A$10</f>
        <v>20</v>
      </c>
      <c r="C14" t="str">
        <f>IFERROR(INDEX(DATABASE.X:(X),MATCH(1,(DATABASE.DATE:DATE=$A14)*(DATABASE.NO:(NO)="V1"),0)),"")</f>
        <v/>
      </c>
      <c r="D14" t="str">
        <f>IFERROR(INDEX(DATABASE.Y:(Y),MATCH(1,(DATABASE.DATE:DATE=$A14)*(DATABASE.NO:(NO)="V1"),0)),"")</f>
        <v/>
      </c>
      <c r="E14" t="str">
        <f>IFERROR(INDEX(DATABASE.Z:(Z),MATCH(1,(DATABASE.DATE:DATE=$A14)*(DATABASE.NO:(NO)="V1"),0)),"")</f>
        <v/>
      </c>
      <c r="F14" t="str">
        <f>IFERROR(INDEX(DATABASE.X:(X),MATCH(1,(DATABASE.DATE:DATE=$A14)*(DATABASE.NO:(NO)="V2"),0)),"")</f>
        <v/>
      </c>
      <c r="G14" t="str">
        <f>IFERROR(INDEX(DATABASE.Y:(Y),MATCH(1,(DATABASE.DATE:DATE=$A14)*(DATABASE.NO:(NO)="V2"),0)),"")</f>
        <v/>
      </c>
      <c r="H14" t="str">
        <f>IFERROR(INDEX(DATABASE.Z:(Z),MATCH(1,(DATABASE.DATE:DATE=$A14)*(DATABASE.NO:(NO)="V2"),0)),"")</f>
        <v/>
      </c>
      <c r="I14" t="str">
        <f>IFERROR(INDEX(DATABASE.X:(X),MATCH(1,(DATABASE.DATE:DATE=$A14)*(DATABASE.NO:(NO)="V3"),0)),"")</f>
        <v/>
      </c>
      <c r="J14" t="str">
        <f>IFERROR(INDEX(DATABASE.Y:(Y),MATCH(1,(DATABASE.DATE:DATE=$A14)*(DATABASE.NO:(NO)="V3"),0)),"")</f>
        <v/>
      </c>
      <c r="K14" t="str">
        <f>IFERROR(INDEX(DATABASE.Z:(Z),MATCH(1,(DATABASE.DATE:DATE=$A14)*(DATABASE.NO:(NO)="V3"),0)),"")</f>
        <v/>
      </c>
      <c r="L14" t="str">
        <f>IFERROR(INDEX(DATABASE.X:(X),MATCH(1,(DATABASE.DATE:DATE=$A14)*(DATABASE.NO:(NO)="H1"),0)),"")</f>
        <v/>
      </c>
      <c r="M14" t="str">
        <f>IFERROR(INDEX(DATABASE.Y:(Y),MATCH(1,(DATABASE.DATE:DATE=$A14)*(DATABASE.NO:(NO)="H1"),0)),"")</f>
        <v/>
      </c>
      <c r="N14" t="str">
        <f>IFERROR(INDEX(DATABASE.Z:(Z),MATCH(1,(DATABASE.DATE:DATE=$A14)*(DATABASE.NO:(NO)="H1"),0)),"")</f>
        <v/>
      </c>
      <c r="O14" t="str">
        <f>IFERROR(INDEX(DATABASE.X:(X),MATCH(1,(DATABASE.DATE:DATE=$A14)*(DATABASE.NO:(NO)="H2"),0)),"")</f>
        <v/>
      </c>
      <c r="P14" t="str">
        <f>IFERROR(INDEX(DATABASE.Y:(Y),MATCH(1,(DATABASE.DATE:DATE=$A14)*(DATABASE.NO:(NO)="H2"),0)),"")</f>
        <v/>
      </c>
      <c r="Q14" t="str">
        <f>IFERROR(INDEX(DATABASE.Z:(Z),MATCH(1,(DATABASE.DATE:DATE=$A14)*(DATABASE.NO:(NO)="H2"),0)),"")</f>
        <v/>
      </c>
      <c r="R14" t="str">
        <f>IFERROR(INDEX(DATABASE.X:(X),MATCH(1,(DATABASE.DATE:DATE=$A14)*(DATABASE.NO:(NO)="H3"),0)),"")</f>
        <v/>
      </c>
      <c r="S14" t="str">
        <f>IFERROR(INDEX(DATABASE.Y:(Y),MATCH(1,(DATABASE.DATE:DATE=$A14)*(DATABASE.NO:(NO)="H3"),0)),"")</f>
        <v/>
      </c>
      <c r="T14" t="str">
        <f>IFERROR(INDEX(DATABASE.Z:(Z),MATCH(1,(DATABASE.DATE:DATE=$A14)*(DATABASE.NO:(NO)="H3"),0)),"")</f>
        <v/>
      </c>
      <c r="U14" t="str">
        <f>IFERROR(INDEX(DATABASE.X:(X),MATCH(1,(DATABASE.DATE:DATE=$A14)*(DATABASE.NO:(NO)="H4"),0)),"")</f>
        <v/>
      </c>
      <c r="V14" t="str">
        <f>IFERROR(INDEX(DATABASE.Y:(Y),MATCH(1,(DATABASE.DATE:DATE=$A14)*(DATABASE.NO:(NO)="H4"),0)),"")</f>
        <v/>
      </c>
      <c r="W14" t="str">
        <f>IFERROR(INDEX(DATABASE.Z:(Z),MATCH(1,(DATABASE.DATE:DATE=$A14)*(DATABASE.NO:(NO)="H4"),0)),"")</f>
        <v/>
      </c>
      <c r="X14" t="str">
        <f>IFERROR(INDEX(DATABASE.X:(X),MATCH(1,(DATABASE.DATE:DATE=$A14)*(DATABASE.NO:(NO)="H5"),0)),"")</f>
        <v/>
      </c>
      <c r="Y14" t="str">
        <f>IFERROR(INDEX(DATABASE.Y:(Y),MATCH(1,(DATABASE.DATE:DATE=$A14)*(DATABASE.NO:(NO)="H5"),0)),"")</f>
        <v/>
      </c>
      <c r="Z14" t="str">
        <f>IFERROR(INDEX(DATABASE.Z:(Z),MATCH(1,(DATABASE.DATE:DATE=$A14)*(DATABASE.NO:(NO)="H5"),0)),"")</f>
        <v/>
      </c>
      <c r="AA14" t="str">
        <f>IFERROR(INDEX(DATABASE.X:(X),MATCH(1,(DATABASE.DATE:DATE=$A14)*(DATABASE.NO:(NO)="B1"),0)),"")</f>
        <v/>
      </c>
      <c r="AB14" t="str">
        <f>IFERROR(INDEX(DATABASE.Y:(Y),MATCH(1,(DATABASE.DATE:DATE=$A14)*(DATABASE.NO:(NO)="B1"),0)),"")</f>
        <v/>
      </c>
      <c r="AC14" t="str">
        <f>IFERROR(INDEX(DATABASE.Z:(Z),MATCH(1,(DATABASE.DATE:DATE=$A14)*(DATABASE.NO:(NO)="B1"),0)),"")</f>
        <v/>
      </c>
      <c r="AD14" t="str">
        <f>IFERROR(INDEX(DATABASE.X:(X),MATCH(1,(DATABASE.DATE:DATE=$A14)*(DATABASE.NO:(NO)="B2"),0)),"")</f>
        <v/>
      </c>
      <c r="AE14" t="str">
        <f>IFERROR(INDEX(DATABASE.Y:(Y),MATCH(1,(DATABASE.DATE:DATE=$A14)*(DATABASE.NO:(NO)="B2"),0)),"")</f>
        <v/>
      </c>
      <c r="AF14" t="str">
        <f>IFERROR(INDEX(DATABASE.Z:(Z),MATCH(1,(DATABASE.DATE:DATE=$A14)*(DATABASE.NO:(NO)="B2"),0)),"")</f>
        <v/>
      </c>
      <c r="AG14" t="str">
        <f>IFERROR(INDEX(DATABASE.X:(X),MATCH(1,(DATABASE.DATE:DATE=$A14)*(DATABASE.NO:(NO)="B3"),0)),"")</f>
        <v/>
      </c>
      <c r="AH14" t="str">
        <f>IFERROR(INDEX(DATABASE.Y:(Y),MATCH(1,(DATABASE.DATE:DATE=$A14)*(DATABASE.NO:(NO)="B3"),0)),"")</f>
        <v/>
      </c>
      <c r="AI14" t="str">
        <f>IFERROR(INDEX(DATABASE.Z:(Z),MATCH(1,(DATABASE.DATE:DATE=$A14)*(DATABASE.NO:(NO)="B3"),0)),"")</f>
        <v/>
      </c>
      <c r="AJ14" t="str">
        <f>IFERROR(INDEX(DATABASE.X:(X),MATCH(1,(DATABASE.DATE:DATE=$A14)*(DATABASE.NO:(NO)="B4"),0)),"")</f>
        <v/>
      </c>
      <c r="AK14" t="str">
        <f>IFERROR(INDEX(DATABASE.Y:(Y),MATCH(1,(DATABASE.DATE:DATE=$A14)*(DATABASE.NO:(NO)="B4"),0)),"")</f>
        <v/>
      </c>
      <c r="AL14" t="str">
        <f>IFERROR(INDEX(DATABASE.Z:(Z),MATCH(1,(DATABASE.DATE:DATE=$A14)*(DATABASE.NO:(NO)="B4"),0)),"")</f>
        <v/>
      </c>
      <c r="AM14" t="str">
        <f>IFERROR(INDEX(DATABASE.X:(X),MATCH(1,(DATABASE.DATE:DATE=$A14)*(DATABASE.NO:(NO)="B5"),0)),"")</f>
        <v/>
      </c>
      <c r="AN14" t="str">
        <f>IFERROR(INDEX(DATABASE.Y:(Y),MATCH(1,(DATABASE.DATE:DATE=$A14)*(DATABASE.NO:(NO)="B5"),0)),"")</f>
        <v/>
      </c>
      <c r="AO14" t="str">
        <f>IFERROR(INDEX(DATABASE.Z:(Z),MATCH(1,(DATABASE.DATE:DATE=$A14)*(DATABASE.NO:(NO)="B5"),0)),"")</f>
        <v/>
      </c>
      <c r="AP14" t="str">
        <f>IFERROR(INDEX(DATABASE.X:(X),MATCH(1,(DATABASE.DATE:DATE=$A14)*(DATABASE.NO:(NO)="M1"),0)),"")</f>
        <v/>
      </c>
      <c r="AQ14" t="str">
        <f>IFERROR(INDEX(DATABASE.Y:(Y),MATCH(1,(DATABASE.DATE:DATE=$A14)*(DATABASE.NO:(NO)="M1"),0)),"")</f>
        <v/>
      </c>
      <c r="AR14" t="str">
        <f>IFERROR(INDEX(DATABASE.Z:(Z),MATCH(1,(DATABASE.DATE:DATE=$A14)*(DATABASE.NO:(NO)="M1"),0)),"")</f>
        <v/>
      </c>
      <c r="AS14" t="str">
        <f>IFERROR(INDEX(DATABASE.X:(X),MATCH(1,(DATABASE.DATE:DATE=$A14)*(DATABASE.NO:(NO)="M2"),0)),"")</f>
        <v/>
      </c>
      <c r="AT14" t="str">
        <f>IFERROR(INDEX(DATABASE.Y:(Y),MATCH(1,(DATABASE.DATE:DATE=$A14)*(DATABASE.NO:(NO)="M2"),0)),"")</f>
        <v/>
      </c>
      <c r="AU14" t="str">
        <f>IFERROR(INDEX(DATABASE.Z:(Z),MATCH(1,(DATABASE.DATE:DATE=$A14)*(DATABASE.NO:(NO)="M2"),0)),"")</f>
        <v/>
      </c>
      <c r="AV14" t="str">
        <f>IFERROR(INDEX(DATABASE.X:(X),MATCH(1,(DATABASE.DATE:DATE=$A14)*(DATABASE.NO:(NO)="M3"),0)),"")</f>
        <v/>
      </c>
      <c r="AW14" t="str">
        <f>IFERROR(INDEX(DATABASE.Y:(Y),MATCH(1,(DATABASE.DATE:DATE=$A14)*(DATABASE.NO:(NO)="M3"),0)),"")</f>
        <v/>
      </c>
      <c r="AX14" t="str">
        <f>IFERROR(INDEX(DATABASE.Z:(Z),MATCH(1,(DATABASE.DATE:DATE=$A14)*(DATABASE.NO:(NO)="M3"),0)),"")</f>
        <v/>
      </c>
      <c r="AY14" t="str">
        <f>IFERROR(INDEX(DATABASE.X:(X),MATCH(1,(DATABASE.DATE:DATE=$A14)*(DATABASE.NO:(NO)="M4"),0)),"")</f>
        <v/>
      </c>
      <c r="AZ14" t="str">
        <f>IFERROR(INDEX(DATABASE.Y:(Y),MATCH(1,(DATABASE.DATE:DATE=$A14)*(DATABASE.NO:(NO)="M4"),0)),"")</f>
        <v/>
      </c>
      <c r="BA14" t="str">
        <f>IFERROR(INDEX(DATABASE.Z:(Z),MATCH(1,(DATABASE.DATE:DATE=$A14)*(DATABASE.NO:(NO)="M4"),0)),"")</f>
        <v/>
      </c>
      <c r="BB14" t="str">
        <f>IFERROR(INDEX(DATABASE.X:(X),MATCH(1,(DATABASE.DATE:DATE=$A14)*(DATABASE.NO:(NO)="M5"),0)),"")</f>
        <v/>
      </c>
      <c r="BC14" t="str">
        <f>IFERROR(INDEX(DATABASE.Y:(Y),MATCH(1,(DATABASE.DATE:DATE=$A14)*(DATABASE.NO:(NO)="M5"),0)),"")</f>
        <v/>
      </c>
      <c r="BD14" t="str">
        <f>IFERROR(INDEX(DATABASE.Z:(Z),MATCH(1,(DATABASE.DATE:DATE=$A14)*(DATABASE.NO:(NO)="M5"),0)),"")</f>
        <v/>
      </c>
      <c r="BE14" t="str">
        <f>IFERROR(INDEX(DATABASE.X:(X),MATCH(1,(DATABASE.DATE:DATE=$A14)*(DATABASE.NO:(NO)="REF1"),0)),"")</f>
        <v/>
      </c>
      <c r="BF14" t="str">
        <f>IFERROR(INDEX(DATABASE.Y:(Y),MATCH(1,(DATABASE.DATE:DATE=$A14)*(DATABASE.NO:(NO)="REF1"),0)),"")</f>
        <v/>
      </c>
      <c r="BG14" t="str">
        <f>IFERROR(INDEX(DATABASE.Z:(Z),MATCH(1,(DATABASE.DATE:DATE=$A14)*(DATABASE.NO:(NO)="REF1"),0)),"")</f>
        <v/>
      </c>
      <c r="BH14" t="str">
        <f>IFERROR(INDEX(DATABASE.X:(X),MATCH(1,(DATABASE.DATE:DATE=$A14)*(DATABASE.NO:(NO)="REF2"),0)),"")</f>
        <v/>
      </c>
      <c r="BI14" t="str">
        <f>IFERROR(INDEX(DATABASE.Y:(Y),MATCH(1,(DATABASE.DATE:DATE=$A14)*(DATABASE.NO:(NO)="REF2"),0)),"")</f>
        <v/>
      </c>
      <c r="BJ14" t="str">
        <f>IFERROR(INDEX(DATABASE.Z:(Z),MATCH(1,(DATABASE.DATE:DATE=$A14)*(DATABASE.NO:(NO)="REF2"),0)),"")</f>
        <v/>
      </c>
    </row>
    <row r="15" spans="1:62" x14ac:dyDescent="0.25">
      <c r="A15" t="s">
        <v>78</v>
      </c>
      <c r="B15">
        <f>A15-A$10</f>
        <v>21</v>
      </c>
      <c r="C15" t="str">
        <f>IFERROR(INDEX(DATABASE.X:(X),MATCH(1,(DATABASE.DATE:DATE=$A15)*(DATABASE.NO:(NO)="V1"),0)),"")</f>
        <v/>
      </c>
      <c r="D15" t="str">
        <f>IFERROR(INDEX(DATABASE.Y:(Y),MATCH(1,(DATABASE.DATE:DATE=$A15)*(DATABASE.NO:(NO)="V1"),0)),"")</f>
        <v/>
      </c>
      <c r="E15" t="str">
        <f>IFERROR(INDEX(DATABASE.Z:(Z),MATCH(1,(DATABASE.DATE:DATE=$A15)*(DATABASE.NO:(NO)="V1"),0)),"")</f>
        <v/>
      </c>
      <c r="F15" t="str">
        <f>IFERROR(INDEX(DATABASE.X:(X),MATCH(1,(DATABASE.DATE:DATE=$A15)*(DATABASE.NO:(NO)="V2"),0)),"")</f>
        <v/>
      </c>
      <c r="G15" t="str">
        <f>IFERROR(INDEX(DATABASE.Y:(Y),MATCH(1,(DATABASE.DATE:DATE=$A15)*(DATABASE.NO:(NO)="V2"),0)),"")</f>
        <v/>
      </c>
      <c r="H15" t="str">
        <f>IFERROR(INDEX(DATABASE.Z:(Z),MATCH(1,(DATABASE.DATE:DATE=$A15)*(DATABASE.NO:(NO)="V2"),0)),"")</f>
        <v/>
      </c>
      <c r="I15" t="str">
        <f>IFERROR(INDEX(DATABASE.X:(X),MATCH(1,(DATABASE.DATE:DATE=$A15)*(DATABASE.NO:(NO)="V3"),0)),"")</f>
        <v/>
      </c>
      <c r="J15" t="str">
        <f>IFERROR(INDEX(DATABASE.Y:(Y),MATCH(1,(DATABASE.DATE:DATE=$A15)*(DATABASE.NO:(NO)="V3"),0)),"")</f>
        <v/>
      </c>
      <c r="K15" t="str">
        <f>IFERROR(INDEX(DATABASE.Z:(Z),MATCH(1,(DATABASE.DATE:DATE=$A15)*(DATABASE.NO:(NO)="V3"),0)),"")</f>
        <v/>
      </c>
      <c r="L15" t="str">
        <f>IFERROR(INDEX(DATABASE.X:(X),MATCH(1,(DATABASE.DATE:DATE=$A15)*(DATABASE.NO:(NO)="H1"),0)),"")</f>
        <v/>
      </c>
      <c r="M15" t="str">
        <f>IFERROR(INDEX(DATABASE.Y:(Y),MATCH(1,(DATABASE.DATE:DATE=$A15)*(DATABASE.NO:(NO)="H1"),0)),"")</f>
        <v/>
      </c>
      <c r="N15" t="str">
        <f>IFERROR(INDEX(DATABASE.Z:(Z),MATCH(1,(DATABASE.DATE:DATE=$A15)*(DATABASE.NO:(NO)="H1"),0)),"")</f>
        <v/>
      </c>
      <c r="O15" t="str">
        <f>IFERROR(INDEX(DATABASE.X:(X),MATCH(1,(DATABASE.DATE:DATE=$A15)*(DATABASE.NO:(NO)="H2"),0)),"")</f>
        <v/>
      </c>
      <c r="P15" t="str">
        <f>IFERROR(INDEX(DATABASE.Y:(Y),MATCH(1,(DATABASE.DATE:DATE=$A15)*(DATABASE.NO:(NO)="H2"),0)),"")</f>
        <v/>
      </c>
      <c r="Q15" t="str">
        <f>IFERROR(INDEX(DATABASE.Z:(Z),MATCH(1,(DATABASE.DATE:DATE=$A15)*(DATABASE.NO:(NO)="H2"),0)),"")</f>
        <v/>
      </c>
      <c r="R15" t="str">
        <f>IFERROR(INDEX(DATABASE.X:(X),MATCH(1,(DATABASE.DATE:DATE=$A15)*(DATABASE.NO:(NO)="H3"),0)),"")</f>
        <v/>
      </c>
      <c r="S15" t="str">
        <f>IFERROR(INDEX(DATABASE.Y:(Y),MATCH(1,(DATABASE.DATE:DATE=$A15)*(DATABASE.NO:(NO)="H3"),0)),"")</f>
        <v/>
      </c>
      <c r="T15" t="str">
        <f>IFERROR(INDEX(DATABASE.Z:(Z),MATCH(1,(DATABASE.DATE:DATE=$A15)*(DATABASE.NO:(NO)="H3"),0)),"")</f>
        <v/>
      </c>
      <c r="U15" t="str">
        <f>IFERROR(INDEX(DATABASE.X:(X),MATCH(1,(DATABASE.DATE:DATE=$A15)*(DATABASE.NO:(NO)="H4"),0)),"")</f>
        <v/>
      </c>
      <c r="V15" t="str">
        <f>IFERROR(INDEX(DATABASE.Y:(Y),MATCH(1,(DATABASE.DATE:DATE=$A15)*(DATABASE.NO:(NO)="H4"),0)),"")</f>
        <v/>
      </c>
      <c r="W15" t="str">
        <f>IFERROR(INDEX(DATABASE.Z:(Z),MATCH(1,(DATABASE.DATE:DATE=$A15)*(DATABASE.NO:(NO)="H4"),0)),"")</f>
        <v/>
      </c>
      <c r="X15" t="str">
        <f>IFERROR(INDEX(DATABASE.X:(X),MATCH(1,(DATABASE.DATE:DATE=$A15)*(DATABASE.NO:(NO)="H5"),0)),"")</f>
        <v/>
      </c>
      <c r="Y15" t="str">
        <f>IFERROR(INDEX(DATABASE.Y:(Y),MATCH(1,(DATABASE.DATE:DATE=$A15)*(DATABASE.NO:(NO)="H5"),0)),"")</f>
        <v/>
      </c>
      <c r="Z15" t="str">
        <f>IFERROR(INDEX(DATABASE.Z:(Z),MATCH(1,(DATABASE.DATE:DATE=$A15)*(DATABASE.NO:(NO)="H5"),0)),"")</f>
        <v/>
      </c>
      <c r="AA15" t="str">
        <f>IFERROR(INDEX(DATABASE.X:(X),MATCH(1,(DATABASE.DATE:DATE=$A15)*(DATABASE.NO:(NO)="B1"),0)),"")</f>
        <v/>
      </c>
      <c r="AB15" t="str">
        <f>IFERROR(INDEX(DATABASE.Y:(Y),MATCH(1,(DATABASE.DATE:DATE=$A15)*(DATABASE.NO:(NO)="B1"),0)),"")</f>
        <v/>
      </c>
      <c r="AC15" t="str">
        <f>IFERROR(INDEX(DATABASE.Z:(Z),MATCH(1,(DATABASE.DATE:DATE=$A15)*(DATABASE.NO:(NO)="B1"),0)),"")</f>
        <v/>
      </c>
      <c r="AD15" t="str">
        <f>IFERROR(INDEX(DATABASE.X:(X),MATCH(1,(DATABASE.DATE:DATE=$A15)*(DATABASE.NO:(NO)="B2"),0)),"")</f>
        <v/>
      </c>
      <c r="AE15" t="str">
        <f>IFERROR(INDEX(DATABASE.Y:(Y),MATCH(1,(DATABASE.DATE:DATE=$A15)*(DATABASE.NO:(NO)="B2"),0)),"")</f>
        <v/>
      </c>
      <c r="AF15" t="str">
        <f>IFERROR(INDEX(DATABASE.Z:(Z),MATCH(1,(DATABASE.DATE:DATE=$A15)*(DATABASE.NO:(NO)="B2"),0)),"")</f>
        <v/>
      </c>
      <c r="AG15" t="str">
        <f>IFERROR(INDEX(DATABASE.X:(X),MATCH(1,(DATABASE.DATE:DATE=$A15)*(DATABASE.NO:(NO)="B3"),0)),"")</f>
        <v/>
      </c>
      <c r="AH15" t="str">
        <f>IFERROR(INDEX(DATABASE.Y:(Y),MATCH(1,(DATABASE.DATE:DATE=$A15)*(DATABASE.NO:(NO)="B3"),0)),"")</f>
        <v/>
      </c>
      <c r="AI15" t="str">
        <f>IFERROR(INDEX(DATABASE.Z:(Z),MATCH(1,(DATABASE.DATE:DATE=$A15)*(DATABASE.NO:(NO)="B3"),0)),"")</f>
        <v/>
      </c>
      <c r="AJ15" t="str">
        <f>IFERROR(INDEX(DATABASE.X:(X),MATCH(1,(DATABASE.DATE:DATE=$A15)*(DATABASE.NO:(NO)="B4"),0)),"")</f>
        <v/>
      </c>
      <c r="AK15" t="str">
        <f>IFERROR(INDEX(DATABASE.Y:(Y),MATCH(1,(DATABASE.DATE:DATE=$A15)*(DATABASE.NO:(NO)="B4"),0)),"")</f>
        <v/>
      </c>
      <c r="AL15" t="str">
        <f>IFERROR(INDEX(DATABASE.Z:(Z),MATCH(1,(DATABASE.DATE:DATE=$A15)*(DATABASE.NO:(NO)="B4"),0)),"")</f>
        <v/>
      </c>
      <c r="AM15" t="str">
        <f>IFERROR(INDEX(DATABASE.X:(X),MATCH(1,(DATABASE.DATE:DATE=$A15)*(DATABASE.NO:(NO)="B5"),0)),"")</f>
        <v/>
      </c>
      <c r="AN15" t="str">
        <f>IFERROR(INDEX(DATABASE.Y:(Y),MATCH(1,(DATABASE.DATE:DATE=$A15)*(DATABASE.NO:(NO)="B5"),0)),"")</f>
        <v/>
      </c>
      <c r="AO15" t="str">
        <f>IFERROR(INDEX(DATABASE.Z:(Z),MATCH(1,(DATABASE.DATE:DATE=$A15)*(DATABASE.NO:(NO)="B5"),0)),"")</f>
        <v/>
      </c>
      <c r="AP15" t="str">
        <f>IFERROR(INDEX(DATABASE.X:(X),MATCH(1,(DATABASE.DATE:DATE=$A15)*(DATABASE.NO:(NO)="M1"),0)),"")</f>
        <v/>
      </c>
      <c r="AQ15" t="str">
        <f>IFERROR(INDEX(DATABASE.Y:(Y),MATCH(1,(DATABASE.DATE:DATE=$A15)*(DATABASE.NO:(NO)="M1"),0)),"")</f>
        <v/>
      </c>
      <c r="AR15" t="str">
        <f>IFERROR(INDEX(DATABASE.Z:(Z),MATCH(1,(DATABASE.DATE:DATE=$A15)*(DATABASE.NO:(NO)="M1"),0)),"")</f>
        <v/>
      </c>
      <c r="AS15" t="str">
        <f>IFERROR(INDEX(DATABASE.X:(X),MATCH(1,(DATABASE.DATE:DATE=$A15)*(DATABASE.NO:(NO)="M2"),0)),"")</f>
        <v/>
      </c>
      <c r="AT15" t="str">
        <f>IFERROR(INDEX(DATABASE.Y:(Y),MATCH(1,(DATABASE.DATE:DATE=$A15)*(DATABASE.NO:(NO)="M2"),0)),"")</f>
        <v/>
      </c>
      <c r="AU15" t="str">
        <f>IFERROR(INDEX(DATABASE.Z:(Z),MATCH(1,(DATABASE.DATE:DATE=$A15)*(DATABASE.NO:(NO)="M2"),0)),"")</f>
        <v/>
      </c>
      <c r="AV15" t="str">
        <f>IFERROR(INDEX(DATABASE.X:(X),MATCH(1,(DATABASE.DATE:DATE=$A15)*(DATABASE.NO:(NO)="M3"),0)),"")</f>
        <v/>
      </c>
      <c r="AW15" t="str">
        <f>IFERROR(INDEX(DATABASE.Y:(Y),MATCH(1,(DATABASE.DATE:DATE=$A15)*(DATABASE.NO:(NO)="M3"),0)),"")</f>
        <v/>
      </c>
      <c r="AX15" t="str">
        <f>IFERROR(INDEX(DATABASE.Z:(Z),MATCH(1,(DATABASE.DATE:DATE=$A15)*(DATABASE.NO:(NO)="M3"),0)),"")</f>
        <v/>
      </c>
      <c r="AY15" t="str">
        <f>IFERROR(INDEX(DATABASE.X:(X),MATCH(1,(DATABASE.DATE:DATE=$A15)*(DATABASE.NO:(NO)="M4"),0)),"")</f>
        <v/>
      </c>
      <c r="AZ15" t="str">
        <f>IFERROR(INDEX(DATABASE.Y:(Y),MATCH(1,(DATABASE.DATE:DATE=$A15)*(DATABASE.NO:(NO)="M4"),0)),"")</f>
        <v/>
      </c>
      <c r="BA15" t="str">
        <f>IFERROR(INDEX(DATABASE.Z:(Z),MATCH(1,(DATABASE.DATE:DATE=$A15)*(DATABASE.NO:(NO)="M4"),0)),"")</f>
        <v/>
      </c>
      <c r="BB15" t="str">
        <f>IFERROR(INDEX(DATABASE.X:(X),MATCH(1,(DATABASE.DATE:DATE=$A15)*(DATABASE.NO:(NO)="M5"),0)),"")</f>
        <v/>
      </c>
      <c r="BC15" t="str">
        <f>IFERROR(INDEX(DATABASE.Y:(Y),MATCH(1,(DATABASE.DATE:DATE=$A15)*(DATABASE.NO:(NO)="M5"),0)),"")</f>
        <v/>
      </c>
      <c r="BD15" t="str">
        <f>IFERROR(INDEX(DATABASE.Z:(Z),MATCH(1,(DATABASE.DATE:DATE=$A15)*(DATABASE.NO:(NO)="M5"),0)),"")</f>
        <v/>
      </c>
      <c r="BE15" t="str">
        <f>IFERROR(INDEX(DATABASE.X:(X),MATCH(1,(DATABASE.DATE:DATE=$A15)*(DATABASE.NO:(NO)="REF1"),0)),"")</f>
        <v/>
      </c>
      <c r="BF15" t="str">
        <f>IFERROR(INDEX(DATABASE.Y:(Y),MATCH(1,(DATABASE.DATE:DATE=$A15)*(DATABASE.NO:(NO)="REF1"),0)),"")</f>
        <v/>
      </c>
      <c r="BG15" t="str">
        <f>IFERROR(INDEX(DATABASE.Z:(Z),MATCH(1,(DATABASE.DATE:DATE=$A15)*(DATABASE.NO:(NO)="REF1"),0)),"")</f>
        <v/>
      </c>
      <c r="BH15" t="str">
        <f>IFERROR(INDEX(DATABASE.X:(X),MATCH(1,(DATABASE.DATE:DATE=$A15)*(DATABASE.NO:(NO)="REF2"),0)),"")</f>
        <v/>
      </c>
      <c r="BI15" t="str">
        <f>IFERROR(INDEX(DATABASE.Y:(Y),MATCH(1,(DATABASE.DATE:DATE=$A15)*(DATABASE.NO:(NO)="REF2"),0)),"")</f>
        <v/>
      </c>
      <c r="BJ15" t="str">
        <f>IFERROR(INDEX(DATABASE.Z:(Z),MATCH(1,(DATABASE.DATE:DATE=$A15)*(DATABASE.NO:(NO)="REF2"),0)),"")</f>
        <v/>
      </c>
    </row>
    <row r="16" spans="1:62" x14ac:dyDescent="0.25">
      <c r="C16" t="str">
        <f>IFERROR(INDEX(DATABASE.X:(X),MATCH(1,(DATABASE.DATE:DATE=$A16)*(DATABASE.NO:(NO)="V1"),0)),"")</f>
        <v/>
      </c>
      <c r="D16" t="str">
        <f>IFERROR(INDEX(DATABASE.Y:(Y),MATCH(1,(DATABASE.DATE:DATE=$A16)*(DATABASE.NO:(NO)="V1"),0)),"")</f>
        <v/>
      </c>
      <c r="E16" t="str">
        <f>IFERROR(INDEX(DATABASE.Z:(Z),MATCH(1,(DATABASE.DATE:DATE=$A16)*(DATABASE.NO:(NO)="V1"),0)),"")</f>
        <v/>
      </c>
      <c r="F16" t="str">
        <f>IFERROR(INDEX(DATABASE.X:(X),MATCH(1,(DATABASE.DATE:DATE=$A16)*(DATABASE.NO:(NO)="V2"),0)),"")</f>
        <v/>
      </c>
      <c r="G16" t="str">
        <f>IFERROR(INDEX(DATABASE.Y:(Y),MATCH(1,(DATABASE.DATE:DATE=$A16)*(DATABASE.NO:(NO)="V2"),0)),"")</f>
        <v/>
      </c>
      <c r="H16" t="str">
        <f>IFERROR(INDEX(DATABASE.Z:(Z),MATCH(1,(DATABASE.DATE:DATE=$A16)*(DATABASE.NO:(NO)="V2"),0)),"")</f>
        <v/>
      </c>
      <c r="I16" t="str">
        <f>IFERROR(INDEX(DATABASE.X:(X),MATCH(1,(DATABASE.DATE:DATE=$A16)*(DATABASE.NO:(NO)="V3"),0)),"")</f>
        <v/>
      </c>
      <c r="J16" t="str">
        <f>IFERROR(INDEX(DATABASE.Y:(Y),MATCH(1,(DATABASE.DATE:DATE=$A16)*(DATABASE.NO:(NO)="V3"),0)),"")</f>
        <v/>
      </c>
      <c r="K16" t="str">
        <f>IFERROR(INDEX(DATABASE.Z:(Z),MATCH(1,(DATABASE.DATE:DATE=$A16)*(DATABASE.NO:(NO)="V3"),0)),"")</f>
        <v/>
      </c>
      <c r="L16" t="str">
        <f>IFERROR(INDEX(DATABASE.X:(X),MATCH(1,(DATABASE.DATE:DATE=$A16)*(DATABASE.NO:(NO)="H1"),0)),"")</f>
        <v/>
      </c>
      <c r="M16" t="str">
        <f>IFERROR(INDEX(DATABASE.Y:(Y),MATCH(1,(DATABASE.DATE:DATE=$A16)*(DATABASE.NO:(NO)="H1"),0)),"")</f>
        <v/>
      </c>
      <c r="N16" t="str">
        <f>IFERROR(INDEX(DATABASE.Z:(Z),MATCH(1,(DATABASE.DATE:DATE=$A16)*(DATABASE.NO:(NO)="H1"),0)),"")</f>
        <v/>
      </c>
      <c r="O16" t="str">
        <f>IFERROR(INDEX(DATABASE.X:(X),MATCH(1,(DATABASE.DATE:DATE=$A16)*(DATABASE.NO:(NO)="H2"),0)),"")</f>
        <v/>
      </c>
      <c r="P16" t="str">
        <f>IFERROR(INDEX(DATABASE.Y:(Y),MATCH(1,(DATABASE.DATE:DATE=$A16)*(DATABASE.NO:(NO)="H2"),0)),"")</f>
        <v/>
      </c>
      <c r="Q16" t="str">
        <f>IFERROR(INDEX(DATABASE.Z:(Z),MATCH(1,(DATABASE.DATE:DATE=$A16)*(DATABASE.NO:(NO)="H2"),0)),"")</f>
        <v/>
      </c>
      <c r="R16" t="str">
        <f>IFERROR(INDEX(DATABASE.X:(X),MATCH(1,(DATABASE.DATE:DATE=$A16)*(DATABASE.NO:(NO)="H3"),0)),"")</f>
        <v/>
      </c>
      <c r="S16" t="str">
        <f>IFERROR(INDEX(DATABASE.Y:(Y),MATCH(1,(DATABASE.DATE:DATE=$A16)*(DATABASE.NO:(NO)="H3"),0)),"")</f>
        <v/>
      </c>
      <c r="T16" t="str">
        <f>IFERROR(INDEX(DATABASE.Z:(Z),MATCH(1,(DATABASE.DATE:DATE=$A16)*(DATABASE.NO:(NO)="H3"),0)),"")</f>
        <v/>
      </c>
      <c r="U16" t="str">
        <f>IFERROR(INDEX(DATABASE.X:(X),MATCH(1,(DATABASE.DATE:DATE=$A16)*(DATABASE.NO:(NO)="H4"),0)),"")</f>
        <v/>
      </c>
      <c r="V16" t="str">
        <f>IFERROR(INDEX(DATABASE.Y:(Y),MATCH(1,(DATABASE.DATE:DATE=$A16)*(DATABASE.NO:(NO)="H4"),0)),"")</f>
        <v/>
      </c>
      <c r="W16" t="str">
        <f>IFERROR(INDEX(DATABASE.Z:(Z),MATCH(1,(DATABASE.DATE:DATE=$A16)*(DATABASE.NO:(NO)="H4"),0)),"")</f>
        <v/>
      </c>
      <c r="X16" t="str">
        <f>IFERROR(INDEX(DATABASE.X:(X),MATCH(1,(DATABASE.DATE:DATE=$A16)*(DATABASE.NO:(NO)="H5"),0)),"")</f>
        <v/>
      </c>
      <c r="Y16" t="str">
        <f>IFERROR(INDEX(DATABASE.Y:(Y),MATCH(1,(DATABASE.DATE:DATE=$A16)*(DATABASE.NO:(NO)="H5"),0)),"")</f>
        <v/>
      </c>
      <c r="Z16" t="str">
        <f>IFERROR(INDEX(DATABASE.Z:(Z),MATCH(1,(DATABASE.DATE:DATE=$A16)*(DATABASE.NO:(NO)="H5"),0)),"")</f>
        <v/>
      </c>
      <c r="AA16" t="str">
        <f>IFERROR(INDEX(DATABASE.X:(X),MATCH(1,(DATABASE.DATE:DATE=$A16)*(DATABASE.NO:(NO)="B1"),0)),"")</f>
        <v/>
      </c>
      <c r="AB16" t="str">
        <f>IFERROR(INDEX(DATABASE.Y:(Y),MATCH(1,(DATABASE.DATE:DATE=$A16)*(DATABASE.NO:(NO)="B1"),0)),"")</f>
        <v/>
      </c>
      <c r="AC16" t="str">
        <f>IFERROR(INDEX(DATABASE.Z:(Z),MATCH(1,(DATABASE.DATE:DATE=$A16)*(DATABASE.NO:(NO)="B1"),0)),"")</f>
        <v/>
      </c>
      <c r="AD16" t="str">
        <f>IFERROR(INDEX(DATABASE.X:(X),MATCH(1,(DATABASE.DATE:DATE=$A16)*(DATABASE.NO:(NO)="B2"),0)),"")</f>
        <v/>
      </c>
      <c r="AE16" t="str">
        <f>IFERROR(INDEX(DATABASE.Y:(Y),MATCH(1,(DATABASE.DATE:DATE=$A16)*(DATABASE.NO:(NO)="B2"),0)),"")</f>
        <v/>
      </c>
      <c r="AF16" t="str">
        <f>IFERROR(INDEX(DATABASE.Z:(Z),MATCH(1,(DATABASE.DATE:DATE=$A16)*(DATABASE.NO:(NO)="B2"),0)),"")</f>
        <v/>
      </c>
      <c r="AG16" t="str">
        <f>IFERROR(INDEX(DATABASE.X:(X),MATCH(1,(DATABASE.DATE:DATE=$A16)*(DATABASE.NO:(NO)="B3"),0)),"")</f>
        <v/>
      </c>
      <c r="AH16" t="str">
        <f>IFERROR(INDEX(DATABASE.Y:(Y),MATCH(1,(DATABASE.DATE:DATE=$A16)*(DATABASE.NO:(NO)="B3"),0)),"")</f>
        <v/>
      </c>
      <c r="AI16" t="str">
        <f>IFERROR(INDEX(DATABASE.Z:(Z),MATCH(1,(DATABASE.DATE:DATE=$A16)*(DATABASE.NO:(NO)="B3"),0)),"")</f>
        <v/>
      </c>
      <c r="AJ16" t="str">
        <f>IFERROR(INDEX(DATABASE.X:(X),MATCH(1,(DATABASE.DATE:DATE=$A16)*(DATABASE.NO:(NO)="B4"),0)),"")</f>
        <v/>
      </c>
      <c r="AK16" t="str">
        <f>IFERROR(INDEX(DATABASE.Y:(Y),MATCH(1,(DATABASE.DATE:DATE=$A16)*(DATABASE.NO:(NO)="B4"),0)),"")</f>
        <v/>
      </c>
      <c r="AL16" t="str">
        <f>IFERROR(INDEX(DATABASE.Z:(Z),MATCH(1,(DATABASE.DATE:DATE=$A16)*(DATABASE.NO:(NO)="B4"),0)),"")</f>
        <v/>
      </c>
      <c r="AM16" t="str">
        <f>IFERROR(INDEX(DATABASE.X:(X),MATCH(1,(DATABASE.DATE:DATE=$A16)*(DATABASE.NO:(NO)="B5"),0)),"")</f>
        <v/>
      </c>
      <c r="AN16" t="str">
        <f>IFERROR(INDEX(DATABASE.Y:(Y),MATCH(1,(DATABASE.DATE:DATE=$A16)*(DATABASE.NO:(NO)="B5"),0)),"")</f>
        <v/>
      </c>
      <c r="AO16" t="str">
        <f>IFERROR(INDEX(DATABASE.Z:(Z),MATCH(1,(DATABASE.DATE:DATE=$A16)*(DATABASE.NO:(NO)="B5"),0)),"")</f>
        <v/>
      </c>
      <c r="AP16" t="str">
        <f>IFERROR(INDEX(DATABASE.X:(X),MATCH(1,(DATABASE.DATE:DATE=$A16)*(DATABASE.NO:(NO)="M1"),0)),"")</f>
        <v/>
      </c>
      <c r="AQ16" t="str">
        <f>IFERROR(INDEX(DATABASE.Y:(Y),MATCH(1,(DATABASE.DATE:DATE=$A16)*(DATABASE.NO:(NO)="M1"),0)),"")</f>
        <v/>
      </c>
      <c r="AR16" t="str">
        <f>IFERROR(INDEX(DATABASE.Z:(Z),MATCH(1,(DATABASE.DATE:DATE=$A16)*(DATABASE.NO:(NO)="M1"),0)),"")</f>
        <v/>
      </c>
      <c r="AS16" t="str">
        <f>IFERROR(INDEX(DATABASE.X:(X),MATCH(1,(DATABASE.DATE:DATE=$A16)*(DATABASE.NO:(NO)="M2"),0)),"")</f>
        <v/>
      </c>
      <c r="AT16" t="str">
        <f>IFERROR(INDEX(DATABASE.Y:(Y),MATCH(1,(DATABASE.DATE:DATE=$A16)*(DATABASE.NO:(NO)="M2"),0)),"")</f>
        <v/>
      </c>
      <c r="AU16" t="str">
        <f>IFERROR(INDEX(DATABASE.Z:(Z),MATCH(1,(DATABASE.DATE:DATE=$A16)*(DATABASE.NO:(NO)="M2"),0)),"")</f>
        <v/>
      </c>
      <c r="AV16" t="str">
        <f>IFERROR(INDEX(DATABASE.X:(X),MATCH(1,(DATABASE.DATE:DATE=$A16)*(DATABASE.NO:(NO)="M3"),0)),"")</f>
        <v/>
      </c>
      <c r="AW16" t="str">
        <f>IFERROR(INDEX(DATABASE.Y:(Y),MATCH(1,(DATABASE.DATE:DATE=$A16)*(DATABASE.NO:(NO)="M3"),0)),"")</f>
        <v/>
      </c>
      <c r="AX16" t="str">
        <f>IFERROR(INDEX(DATABASE.Z:(Z),MATCH(1,(DATABASE.DATE:DATE=$A16)*(DATABASE.NO:(NO)="M3"),0)),"")</f>
        <v/>
      </c>
      <c r="AY16" t="str">
        <f>IFERROR(INDEX(DATABASE.X:(X),MATCH(1,(DATABASE.DATE:DATE=$A16)*(DATABASE.NO:(NO)="M4"),0)),"")</f>
        <v/>
      </c>
      <c r="AZ16" t="str">
        <f>IFERROR(INDEX(DATABASE.Y:(Y),MATCH(1,(DATABASE.DATE:DATE=$A16)*(DATABASE.NO:(NO)="M4"),0)),"")</f>
        <v/>
      </c>
      <c r="BA16" t="str">
        <f>IFERROR(INDEX(DATABASE.Z:(Z),MATCH(1,(DATABASE.DATE:DATE=$A16)*(DATABASE.NO:(NO)="M4"),0)),"")</f>
        <v/>
      </c>
      <c r="BB16" t="str">
        <f>IFERROR(INDEX(DATABASE.X:(X),MATCH(1,(DATABASE.DATE:DATE=$A16)*(DATABASE.NO:(NO)="M5"),0)),"")</f>
        <v/>
      </c>
      <c r="BC16" t="str">
        <f>IFERROR(INDEX(DATABASE.Y:(Y),MATCH(1,(DATABASE.DATE:DATE=$A16)*(DATABASE.NO:(NO)="M5"),0)),"")</f>
        <v/>
      </c>
      <c r="BD16" t="str">
        <f>IFERROR(INDEX(DATABASE.Z:(Z),MATCH(1,(DATABASE.DATE:DATE=$A16)*(DATABASE.NO:(NO)="M5"),0)),"")</f>
        <v/>
      </c>
      <c r="BE16" t="str">
        <f>IFERROR(INDEX(DATABASE.X:(X),MATCH(1,(DATABASE.DATE:DATE=$A16)*(DATABASE.NO:(NO)="REF1"),0)),"")</f>
        <v/>
      </c>
      <c r="BF16" t="str">
        <f>IFERROR(INDEX(DATABASE.Y:(Y),MATCH(1,(DATABASE.DATE:DATE=$A16)*(DATABASE.NO:(NO)="REF1"),0)),"")</f>
        <v/>
      </c>
      <c r="BG16" t="str">
        <f>IFERROR(INDEX(DATABASE.Z:(Z),MATCH(1,(DATABASE.DATE:DATE=$A16)*(DATABASE.NO:(NO)="REF1"),0)),"")</f>
        <v/>
      </c>
      <c r="BH16" t="str">
        <f>IFERROR(INDEX(DATABASE.X:(X),MATCH(1,(DATABASE.DATE:DATE=$A16)*(DATABASE.NO:(NO)="REF2"),0)),"")</f>
        <v/>
      </c>
      <c r="BI16" t="str">
        <f>IFERROR(INDEX(DATABASE.Y:(Y),MATCH(1,(DATABASE.DATE:DATE=$A16)*(DATABASE.NO:(NO)="REF2"),0)),"")</f>
        <v/>
      </c>
      <c r="BJ16" t="str">
        <f>IFERROR(INDEX(DATABASE.Z:(Z),MATCH(1,(DATABASE.DATE:DATE=$A16)*(DATABASE.NO:(NO)="REF2"),0)),"")</f>
        <v/>
      </c>
    </row>
    <row r="17" spans="3:62" x14ac:dyDescent="0.25">
      <c r="C17" t="str">
        <f>IFERROR(INDEX(DATABASE.X:(X),MATCH(1,(DATABASE.DATE:DATE=$A17)*(DATABASE.NO:(NO)="V1"),0)),"")</f>
        <v/>
      </c>
      <c r="D17" t="str">
        <f>IFERROR(INDEX(DATABASE.Y:(Y),MATCH(1,(DATABASE.DATE:DATE=$A17)*(DATABASE.NO:(NO)="V1"),0)),"")</f>
        <v/>
      </c>
      <c r="E17" t="str">
        <f>IFERROR(INDEX(DATABASE.Z:(Z),MATCH(1,(DATABASE.DATE:DATE=$A17)*(DATABASE.NO:(NO)="V1"),0)),"")</f>
        <v/>
      </c>
      <c r="F17" t="str">
        <f>IFERROR(INDEX(DATABASE.X:(X),MATCH(1,(DATABASE.DATE:DATE=$A17)*(DATABASE.NO:(NO)="V2"),0)),"")</f>
        <v/>
      </c>
      <c r="G17" t="str">
        <f>IFERROR(INDEX(DATABASE.Y:(Y),MATCH(1,(DATABASE.DATE:DATE=$A17)*(DATABASE.NO:(NO)="V2"),0)),"")</f>
        <v/>
      </c>
      <c r="H17" t="str">
        <f>IFERROR(INDEX(DATABASE.Z:(Z),MATCH(1,(DATABASE.DATE:DATE=$A17)*(DATABASE.NO:(NO)="V2"),0)),"")</f>
        <v/>
      </c>
      <c r="I17" t="str">
        <f>IFERROR(INDEX(DATABASE.X:(X),MATCH(1,(DATABASE.DATE:DATE=$A17)*(DATABASE.NO:(NO)="V3"),0)),"")</f>
        <v/>
      </c>
      <c r="J17" t="str">
        <f>IFERROR(INDEX(DATABASE.Y:(Y),MATCH(1,(DATABASE.DATE:DATE=$A17)*(DATABASE.NO:(NO)="V3"),0)),"")</f>
        <v/>
      </c>
      <c r="K17" t="str">
        <f>IFERROR(INDEX(DATABASE.Z:(Z),MATCH(1,(DATABASE.DATE:DATE=$A17)*(DATABASE.NO:(NO)="V3"),0)),"")</f>
        <v/>
      </c>
      <c r="L17" t="str">
        <f>IFERROR(INDEX(DATABASE.X:(X),MATCH(1,(DATABASE.DATE:DATE=$A17)*(DATABASE.NO:(NO)="H1"),0)),"")</f>
        <v/>
      </c>
      <c r="M17" t="str">
        <f>IFERROR(INDEX(DATABASE.Y:(Y),MATCH(1,(DATABASE.DATE:DATE=$A17)*(DATABASE.NO:(NO)="H1"),0)),"")</f>
        <v/>
      </c>
      <c r="N17" t="str">
        <f>IFERROR(INDEX(DATABASE.Z:(Z),MATCH(1,(DATABASE.DATE:DATE=$A17)*(DATABASE.NO:(NO)="H1"),0)),"")</f>
        <v/>
      </c>
      <c r="O17" t="str">
        <f>IFERROR(INDEX(DATABASE.X:(X),MATCH(1,(DATABASE.DATE:DATE=$A17)*(DATABASE.NO:(NO)="H2"),0)),"")</f>
        <v/>
      </c>
      <c r="P17" t="str">
        <f>IFERROR(INDEX(DATABASE.Y:(Y),MATCH(1,(DATABASE.DATE:DATE=$A17)*(DATABASE.NO:(NO)="H2"),0)),"")</f>
        <v/>
      </c>
      <c r="Q17" t="str">
        <f>IFERROR(INDEX(DATABASE.Z:(Z),MATCH(1,(DATABASE.DATE:DATE=$A17)*(DATABASE.NO:(NO)="H2"),0)),"")</f>
        <v/>
      </c>
      <c r="R17" t="str">
        <f>IFERROR(INDEX(DATABASE.X:(X),MATCH(1,(DATABASE.DATE:DATE=$A17)*(DATABASE.NO:(NO)="H3"),0)),"")</f>
        <v/>
      </c>
      <c r="S17" t="str">
        <f>IFERROR(INDEX(DATABASE.Y:(Y),MATCH(1,(DATABASE.DATE:DATE=$A17)*(DATABASE.NO:(NO)="H3"),0)),"")</f>
        <v/>
      </c>
      <c r="T17" t="str">
        <f>IFERROR(INDEX(DATABASE.Z:(Z),MATCH(1,(DATABASE.DATE:DATE=$A17)*(DATABASE.NO:(NO)="H3"),0)),"")</f>
        <v/>
      </c>
      <c r="U17" t="str">
        <f>IFERROR(INDEX(DATABASE.X:(X),MATCH(1,(DATABASE.DATE:DATE=$A17)*(DATABASE.NO:(NO)="H4"),0)),"")</f>
        <v/>
      </c>
      <c r="V17" t="str">
        <f>IFERROR(INDEX(DATABASE.Y:(Y),MATCH(1,(DATABASE.DATE:DATE=$A17)*(DATABASE.NO:(NO)="H4"),0)),"")</f>
        <v/>
      </c>
      <c r="W17" t="str">
        <f>IFERROR(INDEX(DATABASE.Z:(Z),MATCH(1,(DATABASE.DATE:DATE=$A17)*(DATABASE.NO:(NO)="H4"),0)),"")</f>
        <v/>
      </c>
      <c r="X17" t="str">
        <f>IFERROR(INDEX(DATABASE.X:(X),MATCH(1,(DATABASE.DATE:DATE=$A17)*(DATABASE.NO:(NO)="H5"),0)),"")</f>
        <v/>
      </c>
      <c r="Y17" t="str">
        <f>IFERROR(INDEX(DATABASE.Y:(Y),MATCH(1,(DATABASE.DATE:DATE=$A17)*(DATABASE.NO:(NO)="H5"),0)),"")</f>
        <v/>
      </c>
      <c r="Z17" t="str">
        <f>IFERROR(INDEX(DATABASE.Z:(Z),MATCH(1,(DATABASE.DATE:DATE=$A17)*(DATABASE.NO:(NO)="H5"),0)),"")</f>
        <v/>
      </c>
      <c r="AA17" t="str">
        <f>IFERROR(INDEX(DATABASE.X:(X),MATCH(1,(DATABASE.DATE:DATE=$A17)*(DATABASE.NO:(NO)="B1"),0)),"")</f>
        <v/>
      </c>
      <c r="AB17" t="str">
        <f>IFERROR(INDEX(DATABASE.Y:(Y),MATCH(1,(DATABASE.DATE:DATE=$A17)*(DATABASE.NO:(NO)="B1"),0)),"")</f>
        <v/>
      </c>
      <c r="AC17" t="str">
        <f>IFERROR(INDEX(DATABASE.Z:(Z),MATCH(1,(DATABASE.DATE:DATE=$A17)*(DATABASE.NO:(NO)="B1"),0)),"")</f>
        <v/>
      </c>
      <c r="AD17" t="str">
        <f>IFERROR(INDEX(DATABASE.X:(X),MATCH(1,(DATABASE.DATE:DATE=$A17)*(DATABASE.NO:(NO)="B2"),0)),"")</f>
        <v/>
      </c>
      <c r="AE17" t="str">
        <f>IFERROR(INDEX(DATABASE.Y:(Y),MATCH(1,(DATABASE.DATE:DATE=$A17)*(DATABASE.NO:(NO)="B2"),0)),"")</f>
        <v/>
      </c>
      <c r="AF17" t="str">
        <f>IFERROR(INDEX(DATABASE.Z:(Z),MATCH(1,(DATABASE.DATE:DATE=$A17)*(DATABASE.NO:(NO)="B2"),0)),"")</f>
        <v/>
      </c>
      <c r="AG17" t="str">
        <f>IFERROR(INDEX(DATABASE.X:(X),MATCH(1,(DATABASE.DATE:DATE=$A17)*(DATABASE.NO:(NO)="B3"),0)),"")</f>
        <v/>
      </c>
      <c r="AH17" t="str">
        <f>IFERROR(INDEX(DATABASE.Y:(Y),MATCH(1,(DATABASE.DATE:DATE=$A17)*(DATABASE.NO:(NO)="B3"),0)),"")</f>
        <v/>
      </c>
      <c r="AI17" t="str">
        <f>IFERROR(INDEX(DATABASE.Z:(Z),MATCH(1,(DATABASE.DATE:DATE=$A17)*(DATABASE.NO:(NO)="B3"),0)),"")</f>
        <v/>
      </c>
      <c r="AJ17" t="str">
        <f>IFERROR(INDEX(DATABASE.X:(X),MATCH(1,(DATABASE.DATE:DATE=$A17)*(DATABASE.NO:(NO)="B4"),0)),"")</f>
        <v/>
      </c>
      <c r="AK17" t="str">
        <f>IFERROR(INDEX(DATABASE.Y:(Y),MATCH(1,(DATABASE.DATE:DATE=$A17)*(DATABASE.NO:(NO)="B4"),0)),"")</f>
        <v/>
      </c>
      <c r="AL17" t="str">
        <f>IFERROR(INDEX(DATABASE.Z:(Z),MATCH(1,(DATABASE.DATE:DATE=$A17)*(DATABASE.NO:(NO)="B4"),0)),"")</f>
        <v/>
      </c>
      <c r="AM17" t="str">
        <f>IFERROR(INDEX(DATABASE.X:(X),MATCH(1,(DATABASE.DATE:DATE=$A17)*(DATABASE.NO:(NO)="B5"),0)),"")</f>
        <v/>
      </c>
      <c r="AN17" t="str">
        <f>IFERROR(INDEX(DATABASE.Y:(Y),MATCH(1,(DATABASE.DATE:DATE=$A17)*(DATABASE.NO:(NO)="B5"),0)),"")</f>
        <v/>
      </c>
      <c r="AO17" t="str">
        <f>IFERROR(INDEX(DATABASE.Z:(Z),MATCH(1,(DATABASE.DATE:DATE=$A17)*(DATABASE.NO:(NO)="B5"),0)),"")</f>
        <v/>
      </c>
      <c r="AP17" t="str">
        <f>IFERROR(INDEX(DATABASE.X:(X),MATCH(1,(DATABASE.DATE:DATE=$A17)*(DATABASE.NO:(NO)="M1"),0)),"")</f>
        <v/>
      </c>
      <c r="AQ17" t="str">
        <f>IFERROR(INDEX(DATABASE.Y:(Y),MATCH(1,(DATABASE.DATE:DATE=$A17)*(DATABASE.NO:(NO)="M1"),0)),"")</f>
        <v/>
      </c>
      <c r="AR17" t="str">
        <f>IFERROR(INDEX(DATABASE.Z:(Z),MATCH(1,(DATABASE.DATE:DATE=$A17)*(DATABASE.NO:(NO)="M1"),0)),"")</f>
        <v/>
      </c>
      <c r="AS17" t="str">
        <f>IFERROR(INDEX(DATABASE.X:(X),MATCH(1,(DATABASE.DATE:DATE=$A17)*(DATABASE.NO:(NO)="M2"),0)),"")</f>
        <v/>
      </c>
      <c r="AT17" t="str">
        <f>IFERROR(INDEX(DATABASE.Y:(Y),MATCH(1,(DATABASE.DATE:DATE=$A17)*(DATABASE.NO:(NO)="M2"),0)),"")</f>
        <v/>
      </c>
      <c r="AU17" t="str">
        <f>IFERROR(INDEX(DATABASE.Z:(Z),MATCH(1,(DATABASE.DATE:DATE=$A17)*(DATABASE.NO:(NO)="M2"),0)),"")</f>
        <v/>
      </c>
      <c r="AV17" t="str">
        <f>IFERROR(INDEX(DATABASE.X:(X),MATCH(1,(DATABASE.DATE:DATE=$A17)*(DATABASE.NO:(NO)="M3"),0)),"")</f>
        <v/>
      </c>
      <c r="AW17" t="str">
        <f>IFERROR(INDEX(DATABASE.Y:(Y),MATCH(1,(DATABASE.DATE:DATE=$A17)*(DATABASE.NO:(NO)="M3"),0)),"")</f>
        <v/>
      </c>
      <c r="AX17" t="str">
        <f>IFERROR(INDEX(DATABASE.Z:(Z),MATCH(1,(DATABASE.DATE:DATE=$A17)*(DATABASE.NO:(NO)="M3"),0)),"")</f>
        <v/>
      </c>
      <c r="AY17" t="str">
        <f>IFERROR(INDEX(DATABASE.X:(X),MATCH(1,(DATABASE.DATE:DATE=$A17)*(DATABASE.NO:(NO)="M4"),0)),"")</f>
        <v/>
      </c>
      <c r="AZ17" t="str">
        <f>IFERROR(INDEX(DATABASE.Y:(Y),MATCH(1,(DATABASE.DATE:DATE=$A17)*(DATABASE.NO:(NO)="M4"),0)),"")</f>
        <v/>
      </c>
      <c r="BA17" t="str">
        <f>IFERROR(INDEX(DATABASE.Z:(Z),MATCH(1,(DATABASE.DATE:DATE=$A17)*(DATABASE.NO:(NO)="M4"),0)),"")</f>
        <v/>
      </c>
      <c r="BB17" t="str">
        <f>IFERROR(INDEX(DATABASE.X:(X),MATCH(1,(DATABASE.DATE:DATE=$A17)*(DATABASE.NO:(NO)="M5"),0)),"")</f>
        <v/>
      </c>
      <c r="BC17" t="str">
        <f>IFERROR(INDEX(DATABASE.Y:(Y),MATCH(1,(DATABASE.DATE:DATE=$A17)*(DATABASE.NO:(NO)="M5"),0)),"")</f>
        <v/>
      </c>
      <c r="BD17" t="str">
        <f>IFERROR(INDEX(DATABASE.Z:(Z),MATCH(1,(DATABASE.DATE:DATE=$A17)*(DATABASE.NO:(NO)="M5"),0)),"")</f>
        <v/>
      </c>
      <c r="BE17" t="str">
        <f>IFERROR(INDEX(DATABASE.X:(X),MATCH(1,(DATABASE.DATE:DATE=$A17)*(DATABASE.NO:(NO)="REF1"),0)),"")</f>
        <v/>
      </c>
      <c r="BF17" t="str">
        <f>IFERROR(INDEX(DATABASE.Y:(Y),MATCH(1,(DATABASE.DATE:DATE=$A17)*(DATABASE.NO:(NO)="REF1"),0)),"")</f>
        <v/>
      </c>
      <c r="BG17" t="str">
        <f>IFERROR(INDEX(DATABASE.Z:(Z),MATCH(1,(DATABASE.DATE:DATE=$A17)*(DATABASE.NO:(NO)="REF1"),0)),"")</f>
        <v/>
      </c>
      <c r="BH17" t="str">
        <f>IFERROR(INDEX(DATABASE.X:(X),MATCH(1,(DATABASE.DATE:DATE=$A17)*(DATABASE.NO:(NO)="REF2"),0)),"")</f>
        <v/>
      </c>
      <c r="BI17" t="str">
        <f>IFERROR(INDEX(DATABASE.Y:(Y),MATCH(1,(DATABASE.DATE:DATE=$A17)*(DATABASE.NO:(NO)="REF2"),0)),"")</f>
        <v/>
      </c>
      <c r="BJ17" t="str">
        <f>IFERROR(INDEX(DATABASE.Z:(Z),MATCH(1,(DATABASE.DATE:DATE=$A17)*(DATABASE.NO:(NO)="REF2"),0)),"")</f>
        <v/>
      </c>
    </row>
    <row r="18" spans="3:62" x14ac:dyDescent="0.25">
      <c r="C18" t="str">
        <f>IFERROR(INDEX(DATABASE.X:(X),MATCH(1,(DATABASE.DATE:DATE=$A18)*(DATABASE.NO:(NO)="V1"),0)),"")</f>
        <v/>
      </c>
      <c r="D18" t="str">
        <f>IFERROR(INDEX(DATABASE.Y:(Y),MATCH(1,(DATABASE.DATE:DATE=$A18)*(DATABASE.NO:(NO)="V1"),0)),"")</f>
        <v/>
      </c>
      <c r="E18" t="str">
        <f>IFERROR(INDEX(DATABASE.Z:(Z),MATCH(1,(DATABASE.DATE:DATE=$A18)*(DATABASE.NO:(NO)="V1"),0)),"")</f>
        <v/>
      </c>
      <c r="F18" t="str">
        <f>IFERROR(INDEX(DATABASE.X:(X),MATCH(1,(DATABASE.DATE:DATE=$A18)*(DATABASE.NO:(NO)="V2"),0)),"")</f>
        <v/>
      </c>
      <c r="G18" t="str">
        <f>IFERROR(INDEX(DATABASE.Y:(Y),MATCH(1,(DATABASE.DATE:DATE=$A18)*(DATABASE.NO:(NO)="V2"),0)),"")</f>
        <v/>
      </c>
      <c r="H18" t="str">
        <f>IFERROR(INDEX(DATABASE.Z:(Z),MATCH(1,(DATABASE.DATE:DATE=$A18)*(DATABASE.NO:(NO)="V2"),0)),"")</f>
        <v/>
      </c>
      <c r="I18" t="str">
        <f>IFERROR(INDEX(DATABASE.X:(X),MATCH(1,(DATABASE.DATE:DATE=$A18)*(DATABASE.NO:(NO)="V3"),0)),"")</f>
        <v/>
      </c>
      <c r="J18" t="str">
        <f>IFERROR(INDEX(DATABASE.Y:(Y),MATCH(1,(DATABASE.DATE:DATE=$A18)*(DATABASE.NO:(NO)="V3"),0)),"")</f>
        <v/>
      </c>
      <c r="K18" t="str">
        <f>IFERROR(INDEX(DATABASE.Z:(Z),MATCH(1,(DATABASE.DATE:DATE=$A18)*(DATABASE.NO:(NO)="V3"),0)),"")</f>
        <v/>
      </c>
      <c r="L18" t="str">
        <f>IFERROR(INDEX(DATABASE.X:(X),MATCH(1,(DATABASE.DATE:DATE=$A18)*(DATABASE.NO:(NO)="H1"),0)),"")</f>
        <v/>
      </c>
      <c r="M18" t="str">
        <f>IFERROR(INDEX(DATABASE.Y:(Y),MATCH(1,(DATABASE.DATE:DATE=$A18)*(DATABASE.NO:(NO)="H1"),0)),"")</f>
        <v/>
      </c>
      <c r="N18" t="str">
        <f>IFERROR(INDEX(DATABASE.Z:(Z),MATCH(1,(DATABASE.DATE:DATE=$A18)*(DATABASE.NO:(NO)="H1"),0)),"")</f>
        <v/>
      </c>
      <c r="O18" t="str">
        <f>IFERROR(INDEX(DATABASE.X:(X),MATCH(1,(DATABASE.DATE:DATE=$A18)*(DATABASE.NO:(NO)="H2"),0)),"")</f>
        <v/>
      </c>
      <c r="P18" t="str">
        <f>IFERROR(INDEX(DATABASE.Y:(Y),MATCH(1,(DATABASE.DATE:DATE=$A18)*(DATABASE.NO:(NO)="H2"),0)),"")</f>
        <v/>
      </c>
      <c r="Q18" t="str">
        <f>IFERROR(INDEX(DATABASE.Z:(Z),MATCH(1,(DATABASE.DATE:DATE=$A18)*(DATABASE.NO:(NO)="H2"),0)),"")</f>
        <v/>
      </c>
      <c r="R18" t="str">
        <f>IFERROR(INDEX(DATABASE.X:(X),MATCH(1,(DATABASE.DATE:DATE=$A18)*(DATABASE.NO:(NO)="H3"),0)),"")</f>
        <v/>
      </c>
      <c r="S18" t="str">
        <f>IFERROR(INDEX(DATABASE.Y:(Y),MATCH(1,(DATABASE.DATE:DATE=$A18)*(DATABASE.NO:(NO)="H3"),0)),"")</f>
        <v/>
      </c>
      <c r="T18" t="str">
        <f>IFERROR(INDEX(DATABASE.Z:(Z),MATCH(1,(DATABASE.DATE:DATE=$A18)*(DATABASE.NO:(NO)="H3"),0)),"")</f>
        <v/>
      </c>
      <c r="U18" t="str">
        <f>IFERROR(INDEX(DATABASE.X:(X),MATCH(1,(DATABASE.DATE:DATE=$A18)*(DATABASE.NO:(NO)="H4"),0)),"")</f>
        <v/>
      </c>
      <c r="V18" t="str">
        <f>IFERROR(INDEX(DATABASE.Y:(Y),MATCH(1,(DATABASE.DATE:DATE=$A18)*(DATABASE.NO:(NO)="H4"),0)),"")</f>
        <v/>
      </c>
      <c r="W18" t="str">
        <f>IFERROR(INDEX(DATABASE.Z:(Z),MATCH(1,(DATABASE.DATE:DATE=$A18)*(DATABASE.NO:(NO)="H4"),0)),"")</f>
        <v/>
      </c>
      <c r="X18" t="str">
        <f>IFERROR(INDEX(DATABASE.X:(X),MATCH(1,(DATABASE.DATE:DATE=$A18)*(DATABASE.NO:(NO)="H5"),0)),"")</f>
        <v/>
      </c>
      <c r="Y18" t="str">
        <f>IFERROR(INDEX(DATABASE.Y:(Y),MATCH(1,(DATABASE.DATE:DATE=$A18)*(DATABASE.NO:(NO)="H5"),0)),"")</f>
        <v/>
      </c>
      <c r="Z18" t="str">
        <f>IFERROR(INDEX(DATABASE.Z:(Z),MATCH(1,(DATABASE.DATE:DATE=$A18)*(DATABASE.NO:(NO)="H5"),0)),"")</f>
        <v/>
      </c>
      <c r="AA18" t="str">
        <f>IFERROR(INDEX(DATABASE.X:(X),MATCH(1,(DATABASE.DATE:DATE=$A18)*(DATABASE.NO:(NO)="B1"),0)),"")</f>
        <v/>
      </c>
      <c r="AB18" t="str">
        <f>IFERROR(INDEX(DATABASE.Y:(Y),MATCH(1,(DATABASE.DATE:DATE=$A18)*(DATABASE.NO:(NO)="B1"),0)),"")</f>
        <v/>
      </c>
      <c r="AC18" t="str">
        <f>IFERROR(INDEX(DATABASE.Z:(Z),MATCH(1,(DATABASE.DATE:DATE=$A18)*(DATABASE.NO:(NO)="B1"),0)),"")</f>
        <v/>
      </c>
      <c r="AD18" t="str">
        <f>IFERROR(INDEX(DATABASE.X:(X),MATCH(1,(DATABASE.DATE:DATE=$A18)*(DATABASE.NO:(NO)="B2"),0)),"")</f>
        <v/>
      </c>
      <c r="AE18" t="str">
        <f>IFERROR(INDEX(DATABASE.Y:(Y),MATCH(1,(DATABASE.DATE:DATE=$A18)*(DATABASE.NO:(NO)="B2"),0)),"")</f>
        <v/>
      </c>
      <c r="AF18" t="str">
        <f>IFERROR(INDEX(DATABASE.Z:(Z),MATCH(1,(DATABASE.DATE:DATE=$A18)*(DATABASE.NO:(NO)="B2"),0)),"")</f>
        <v/>
      </c>
      <c r="AG18" t="str">
        <f>IFERROR(INDEX(DATABASE.X:(X),MATCH(1,(DATABASE.DATE:DATE=$A18)*(DATABASE.NO:(NO)="B3"),0)),"")</f>
        <v/>
      </c>
      <c r="AH18" t="str">
        <f>IFERROR(INDEX(DATABASE.Y:(Y),MATCH(1,(DATABASE.DATE:DATE=$A18)*(DATABASE.NO:(NO)="B3"),0)),"")</f>
        <v/>
      </c>
      <c r="AI18" t="str">
        <f>IFERROR(INDEX(DATABASE.Z:(Z),MATCH(1,(DATABASE.DATE:DATE=$A18)*(DATABASE.NO:(NO)="B3"),0)),"")</f>
        <v/>
      </c>
      <c r="AJ18" t="str">
        <f>IFERROR(INDEX(DATABASE.X:(X),MATCH(1,(DATABASE.DATE:DATE=$A18)*(DATABASE.NO:(NO)="B4"),0)),"")</f>
        <v/>
      </c>
      <c r="AK18" t="str">
        <f>IFERROR(INDEX(DATABASE.Y:(Y),MATCH(1,(DATABASE.DATE:DATE=$A18)*(DATABASE.NO:(NO)="B4"),0)),"")</f>
        <v/>
      </c>
      <c r="AL18" t="str">
        <f>IFERROR(INDEX(DATABASE.Z:(Z),MATCH(1,(DATABASE.DATE:DATE=$A18)*(DATABASE.NO:(NO)="B4"),0)),"")</f>
        <v/>
      </c>
      <c r="AM18" t="str">
        <f>IFERROR(INDEX(DATABASE.X:(X),MATCH(1,(DATABASE.DATE:DATE=$A18)*(DATABASE.NO:(NO)="B5"),0)),"")</f>
        <v/>
      </c>
      <c r="AN18" t="str">
        <f>IFERROR(INDEX(DATABASE.Y:(Y),MATCH(1,(DATABASE.DATE:DATE=$A18)*(DATABASE.NO:(NO)="B5"),0)),"")</f>
        <v/>
      </c>
      <c r="AO18" t="str">
        <f>IFERROR(INDEX(DATABASE.Z:(Z),MATCH(1,(DATABASE.DATE:DATE=$A18)*(DATABASE.NO:(NO)="B5"),0)),"")</f>
        <v/>
      </c>
      <c r="AP18" t="str">
        <f>IFERROR(INDEX(DATABASE.X:(X),MATCH(1,(DATABASE.DATE:DATE=$A18)*(DATABASE.NO:(NO)="M1"),0)),"")</f>
        <v/>
      </c>
      <c r="AQ18" t="str">
        <f>IFERROR(INDEX(DATABASE.Y:(Y),MATCH(1,(DATABASE.DATE:DATE=$A18)*(DATABASE.NO:(NO)="M1"),0)),"")</f>
        <v/>
      </c>
      <c r="AR18" t="str">
        <f>IFERROR(INDEX(DATABASE.Z:(Z),MATCH(1,(DATABASE.DATE:DATE=$A18)*(DATABASE.NO:(NO)="M1"),0)),"")</f>
        <v/>
      </c>
      <c r="AS18" t="str">
        <f>IFERROR(INDEX(DATABASE.X:(X),MATCH(1,(DATABASE.DATE:DATE=$A18)*(DATABASE.NO:(NO)="M2"),0)),"")</f>
        <v/>
      </c>
      <c r="AT18" t="str">
        <f>IFERROR(INDEX(DATABASE.Y:(Y),MATCH(1,(DATABASE.DATE:DATE=$A18)*(DATABASE.NO:(NO)="M2"),0)),"")</f>
        <v/>
      </c>
      <c r="AU18" t="str">
        <f>IFERROR(INDEX(DATABASE.Z:(Z),MATCH(1,(DATABASE.DATE:DATE=$A18)*(DATABASE.NO:(NO)="M2"),0)),"")</f>
        <v/>
      </c>
      <c r="AV18" t="str">
        <f>IFERROR(INDEX(DATABASE.X:(X),MATCH(1,(DATABASE.DATE:DATE=$A18)*(DATABASE.NO:(NO)="M3"),0)),"")</f>
        <v/>
      </c>
      <c r="AW18" t="str">
        <f>IFERROR(INDEX(DATABASE.Y:(Y),MATCH(1,(DATABASE.DATE:DATE=$A18)*(DATABASE.NO:(NO)="M3"),0)),"")</f>
        <v/>
      </c>
      <c r="AX18" t="str">
        <f>IFERROR(INDEX(DATABASE.Z:(Z),MATCH(1,(DATABASE.DATE:DATE=$A18)*(DATABASE.NO:(NO)="M3"),0)),"")</f>
        <v/>
      </c>
      <c r="AY18" t="str">
        <f>IFERROR(INDEX(DATABASE.X:(X),MATCH(1,(DATABASE.DATE:DATE=$A18)*(DATABASE.NO:(NO)="M4"),0)),"")</f>
        <v/>
      </c>
      <c r="AZ18" t="str">
        <f>IFERROR(INDEX(DATABASE.Y:(Y),MATCH(1,(DATABASE.DATE:DATE=$A18)*(DATABASE.NO:(NO)="M4"),0)),"")</f>
        <v/>
      </c>
      <c r="BA18" t="str">
        <f>IFERROR(INDEX(DATABASE.Z:(Z),MATCH(1,(DATABASE.DATE:DATE=$A18)*(DATABASE.NO:(NO)="M4"),0)),"")</f>
        <v/>
      </c>
      <c r="BB18" t="str">
        <f>IFERROR(INDEX(DATABASE.X:(X),MATCH(1,(DATABASE.DATE:DATE=$A18)*(DATABASE.NO:(NO)="M5"),0)),"")</f>
        <v/>
      </c>
      <c r="BC18" t="str">
        <f>IFERROR(INDEX(DATABASE.Y:(Y),MATCH(1,(DATABASE.DATE:DATE=$A18)*(DATABASE.NO:(NO)="M5"),0)),"")</f>
        <v/>
      </c>
      <c r="BD18" t="str">
        <f>IFERROR(INDEX(DATABASE.Z:(Z),MATCH(1,(DATABASE.DATE:DATE=$A18)*(DATABASE.NO:(NO)="M5"),0)),"")</f>
        <v/>
      </c>
      <c r="BE18" t="str">
        <f>IFERROR(INDEX(DATABASE.X:(X),MATCH(1,(DATABASE.DATE:DATE=$A18)*(DATABASE.NO:(NO)="REF1"),0)),"")</f>
        <v/>
      </c>
      <c r="BF18" t="str">
        <f>IFERROR(INDEX(DATABASE.Y:(Y),MATCH(1,(DATABASE.DATE:DATE=$A18)*(DATABASE.NO:(NO)="REF1"),0)),"")</f>
        <v/>
      </c>
      <c r="BG18" t="str">
        <f>IFERROR(INDEX(DATABASE.Z:(Z),MATCH(1,(DATABASE.DATE:DATE=$A18)*(DATABASE.NO:(NO)="REF1"),0)),"")</f>
        <v/>
      </c>
      <c r="BH18" t="str">
        <f>IFERROR(INDEX(DATABASE.X:(X),MATCH(1,(DATABASE.DATE:DATE=$A18)*(DATABASE.NO:(NO)="REF2"),0)),"")</f>
        <v/>
      </c>
      <c r="BI18" t="str">
        <f>IFERROR(INDEX(DATABASE.Y:(Y),MATCH(1,(DATABASE.DATE:DATE=$A18)*(DATABASE.NO:(NO)="REF2"),0)),"")</f>
        <v/>
      </c>
      <c r="BJ18" t="str">
        <f>IFERROR(INDEX(DATABASE.Z:(Z),MATCH(1,(DATABASE.DATE:DATE=$A18)*(DATABASE.NO:(NO)="REF2"),0)),"")</f>
        <v/>
      </c>
    </row>
    <row r="19" spans="3:62" x14ac:dyDescent="0.25">
      <c r="C19" t="str">
        <f>IFERROR(INDEX(DATABASE.X:(X),MATCH(1,(DATABASE.DATE:DATE=$A19)*(DATABASE.NO:(NO)="V1"),0)),"")</f>
        <v/>
      </c>
      <c r="D19" t="str">
        <f>IFERROR(INDEX(DATABASE.Y:(Y),MATCH(1,(DATABASE.DATE:DATE=$A19)*(DATABASE.NO:(NO)="V1"),0)),"")</f>
        <v/>
      </c>
      <c r="E19" t="str">
        <f>IFERROR(INDEX(DATABASE.Z:(Z),MATCH(1,(DATABASE.DATE:DATE=$A19)*(DATABASE.NO:(NO)="V1"),0)),"")</f>
        <v/>
      </c>
      <c r="F19" t="str">
        <f>IFERROR(INDEX(DATABASE.X:(X),MATCH(1,(DATABASE.DATE:DATE=$A19)*(DATABASE.NO:(NO)="V2"),0)),"")</f>
        <v/>
      </c>
      <c r="G19" t="str">
        <f>IFERROR(INDEX(DATABASE.Y:(Y),MATCH(1,(DATABASE.DATE:DATE=$A19)*(DATABASE.NO:(NO)="V2"),0)),"")</f>
        <v/>
      </c>
      <c r="H19" t="str">
        <f>IFERROR(INDEX(DATABASE.Z:(Z),MATCH(1,(DATABASE.DATE:DATE=$A19)*(DATABASE.NO:(NO)="V2"),0)),"")</f>
        <v/>
      </c>
      <c r="I19" t="str">
        <f>IFERROR(INDEX(DATABASE.X:(X),MATCH(1,(DATABASE.DATE:DATE=$A19)*(DATABASE.NO:(NO)="V3"),0)),"")</f>
        <v/>
      </c>
      <c r="J19" t="str">
        <f>IFERROR(INDEX(DATABASE.Y:(Y),MATCH(1,(DATABASE.DATE:DATE=$A19)*(DATABASE.NO:(NO)="V3"),0)),"")</f>
        <v/>
      </c>
      <c r="K19" t="str">
        <f>IFERROR(INDEX(DATABASE.Z:(Z),MATCH(1,(DATABASE.DATE:DATE=$A19)*(DATABASE.NO:(NO)="V3"),0)),"")</f>
        <v/>
      </c>
      <c r="L19" t="str">
        <f>IFERROR(INDEX(DATABASE.X:(X),MATCH(1,(DATABASE.DATE:DATE=$A19)*(DATABASE.NO:(NO)="H1"),0)),"")</f>
        <v/>
      </c>
      <c r="M19" t="str">
        <f>IFERROR(INDEX(DATABASE.Y:(Y),MATCH(1,(DATABASE.DATE:DATE=$A19)*(DATABASE.NO:(NO)="H1"),0)),"")</f>
        <v/>
      </c>
      <c r="N19" t="str">
        <f>IFERROR(INDEX(DATABASE.Z:(Z),MATCH(1,(DATABASE.DATE:DATE=$A19)*(DATABASE.NO:(NO)="H1"),0)),"")</f>
        <v/>
      </c>
      <c r="O19" t="str">
        <f>IFERROR(INDEX(DATABASE.X:(X),MATCH(1,(DATABASE.DATE:DATE=$A19)*(DATABASE.NO:(NO)="H2"),0)),"")</f>
        <v/>
      </c>
      <c r="P19" t="str">
        <f>IFERROR(INDEX(DATABASE.Y:(Y),MATCH(1,(DATABASE.DATE:DATE=$A19)*(DATABASE.NO:(NO)="H2"),0)),"")</f>
        <v/>
      </c>
      <c r="Q19" t="str">
        <f>IFERROR(INDEX(DATABASE.Z:(Z),MATCH(1,(DATABASE.DATE:DATE=$A19)*(DATABASE.NO:(NO)="H2"),0)),"")</f>
        <v/>
      </c>
      <c r="R19" t="str">
        <f>IFERROR(INDEX(DATABASE.X:(X),MATCH(1,(DATABASE.DATE:DATE=$A19)*(DATABASE.NO:(NO)="H3"),0)),"")</f>
        <v/>
      </c>
      <c r="S19" t="str">
        <f>IFERROR(INDEX(DATABASE.Y:(Y),MATCH(1,(DATABASE.DATE:DATE=$A19)*(DATABASE.NO:(NO)="H3"),0)),"")</f>
        <v/>
      </c>
      <c r="T19" t="str">
        <f>IFERROR(INDEX(DATABASE.Z:(Z),MATCH(1,(DATABASE.DATE:DATE=$A19)*(DATABASE.NO:(NO)="H3"),0)),"")</f>
        <v/>
      </c>
      <c r="U19" t="str">
        <f>IFERROR(INDEX(DATABASE.X:(X),MATCH(1,(DATABASE.DATE:DATE=$A19)*(DATABASE.NO:(NO)="H4"),0)),"")</f>
        <v/>
      </c>
      <c r="V19" t="str">
        <f>IFERROR(INDEX(DATABASE.Y:(Y),MATCH(1,(DATABASE.DATE:DATE=$A19)*(DATABASE.NO:(NO)="H4"),0)),"")</f>
        <v/>
      </c>
      <c r="W19" t="str">
        <f>IFERROR(INDEX(DATABASE.Z:(Z),MATCH(1,(DATABASE.DATE:DATE=$A19)*(DATABASE.NO:(NO)="H4"),0)),"")</f>
        <v/>
      </c>
      <c r="X19" t="str">
        <f>IFERROR(INDEX(DATABASE.X:(X),MATCH(1,(DATABASE.DATE:DATE=$A19)*(DATABASE.NO:(NO)="H5"),0)),"")</f>
        <v/>
      </c>
      <c r="Y19" t="str">
        <f>IFERROR(INDEX(DATABASE.Y:(Y),MATCH(1,(DATABASE.DATE:DATE=$A19)*(DATABASE.NO:(NO)="H5"),0)),"")</f>
        <v/>
      </c>
      <c r="Z19" t="str">
        <f>IFERROR(INDEX(DATABASE.Z:(Z),MATCH(1,(DATABASE.DATE:DATE=$A19)*(DATABASE.NO:(NO)="H5"),0)),"")</f>
        <v/>
      </c>
      <c r="AA19" t="str">
        <f>IFERROR(INDEX(DATABASE.X:(X),MATCH(1,(DATABASE.DATE:DATE=$A19)*(DATABASE.NO:(NO)="B1"),0)),"")</f>
        <v/>
      </c>
      <c r="AB19" t="str">
        <f>IFERROR(INDEX(DATABASE.Y:(Y),MATCH(1,(DATABASE.DATE:DATE=$A19)*(DATABASE.NO:(NO)="B1"),0)),"")</f>
        <v/>
      </c>
      <c r="AC19" t="str">
        <f>IFERROR(INDEX(DATABASE.Z:(Z),MATCH(1,(DATABASE.DATE:DATE=$A19)*(DATABASE.NO:(NO)="B1"),0)),"")</f>
        <v/>
      </c>
      <c r="AD19" t="str">
        <f>IFERROR(INDEX(DATABASE.X:(X),MATCH(1,(DATABASE.DATE:DATE=$A19)*(DATABASE.NO:(NO)="B2"),0)),"")</f>
        <v/>
      </c>
      <c r="AE19" t="str">
        <f>IFERROR(INDEX(DATABASE.Y:(Y),MATCH(1,(DATABASE.DATE:DATE=$A19)*(DATABASE.NO:(NO)="B2"),0)),"")</f>
        <v/>
      </c>
      <c r="AF19" t="str">
        <f>IFERROR(INDEX(DATABASE.Z:(Z),MATCH(1,(DATABASE.DATE:DATE=$A19)*(DATABASE.NO:(NO)="B2"),0)),"")</f>
        <v/>
      </c>
      <c r="AG19" t="str">
        <f>IFERROR(INDEX(DATABASE.X:(X),MATCH(1,(DATABASE.DATE:DATE=$A19)*(DATABASE.NO:(NO)="B3"),0)),"")</f>
        <v/>
      </c>
      <c r="AH19" t="str">
        <f>IFERROR(INDEX(DATABASE.Y:(Y),MATCH(1,(DATABASE.DATE:DATE=$A19)*(DATABASE.NO:(NO)="B3"),0)),"")</f>
        <v/>
      </c>
      <c r="AI19" t="str">
        <f>IFERROR(INDEX(DATABASE.Z:(Z),MATCH(1,(DATABASE.DATE:DATE=$A19)*(DATABASE.NO:(NO)="B3"),0)),"")</f>
        <v/>
      </c>
      <c r="AJ19" t="str">
        <f>IFERROR(INDEX(DATABASE.X:(X),MATCH(1,(DATABASE.DATE:DATE=$A19)*(DATABASE.NO:(NO)="B4"),0)),"")</f>
        <v/>
      </c>
      <c r="AK19" t="str">
        <f>IFERROR(INDEX(DATABASE.Y:(Y),MATCH(1,(DATABASE.DATE:DATE=$A19)*(DATABASE.NO:(NO)="B4"),0)),"")</f>
        <v/>
      </c>
      <c r="AL19" t="str">
        <f>IFERROR(INDEX(DATABASE.Z:(Z),MATCH(1,(DATABASE.DATE:DATE=$A19)*(DATABASE.NO:(NO)="B4"),0)),"")</f>
        <v/>
      </c>
      <c r="AM19" t="str">
        <f>IFERROR(INDEX(DATABASE.X:(X),MATCH(1,(DATABASE.DATE:DATE=$A19)*(DATABASE.NO:(NO)="B5"),0)),"")</f>
        <v/>
      </c>
      <c r="AN19" t="str">
        <f>IFERROR(INDEX(DATABASE.Y:(Y),MATCH(1,(DATABASE.DATE:DATE=$A19)*(DATABASE.NO:(NO)="B5"),0)),"")</f>
        <v/>
      </c>
      <c r="AO19" t="str">
        <f>IFERROR(INDEX(DATABASE.Z:(Z),MATCH(1,(DATABASE.DATE:DATE=$A19)*(DATABASE.NO:(NO)="B5"),0)),"")</f>
        <v/>
      </c>
      <c r="AP19" t="str">
        <f>IFERROR(INDEX(DATABASE.X:(X),MATCH(1,(DATABASE.DATE:DATE=$A19)*(DATABASE.NO:(NO)="M1"),0)),"")</f>
        <v/>
      </c>
      <c r="AQ19" t="str">
        <f>IFERROR(INDEX(DATABASE.Y:(Y),MATCH(1,(DATABASE.DATE:DATE=$A19)*(DATABASE.NO:(NO)="M1"),0)),"")</f>
        <v/>
      </c>
      <c r="AR19" t="str">
        <f>IFERROR(INDEX(DATABASE.Z:(Z),MATCH(1,(DATABASE.DATE:DATE=$A19)*(DATABASE.NO:(NO)="M1"),0)),"")</f>
        <v/>
      </c>
      <c r="AS19" t="str">
        <f>IFERROR(INDEX(DATABASE.X:(X),MATCH(1,(DATABASE.DATE:DATE=$A19)*(DATABASE.NO:(NO)="M2"),0)),"")</f>
        <v/>
      </c>
      <c r="AT19" t="str">
        <f>IFERROR(INDEX(DATABASE.Y:(Y),MATCH(1,(DATABASE.DATE:DATE=$A19)*(DATABASE.NO:(NO)="M2"),0)),"")</f>
        <v/>
      </c>
      <c r="AU19" t="str">
        <f>IFERROR(INDEX(DATABASE.Z:(Z),MATCH(1,(DATABASE.DATE:DATE=$A19)*(DATABASE.NO:(NO)="M2"),0)),"")</f>
        <v/>
      </c>
      <c r="AV19" t="str">
        <f>IFERROR(INDEX(DATABASE.X:(X),MATCH(1,(DATABASE.DATE:DATE=$A19)*(DATABASE.NO:(NO)="M3"),0)),"")</f>
        <v/>
      </c>
      <c r="AW19" t="str">
        <f>IFERROR(INDEX(DATABASE.Y:(Y),MATCH(1,(DATABASE.DATE:DATE=$A19)*(DATABASE.NO:(NO)="M3"),0)),"")</f>
        <v/>
      </c>
      <c r="AX19" t="str">
        <f>IFERROR(INDEX(DATABASE.Z:(Z),MATCH(1,(DATABASE.DATE:DATE=$A19)*(DATABASE.NO:(NO)="M3"),0)),"")</f>
        <v/>
      </c>
      <c r="AY19" t="str">
        <f>IFERROR(INDEX(DATABASE.X:(X),MATCH(1,(DATABASE.DATE:DATE=$A19)*(DATABASE.NO:(NO)="M4"),0)),"")</f>
        <v/>
      </c>
      <c r="AZ19" t="str">
        <f>IFERROR(INDEX(DATABASE.Y:(Y),MATCH(1,(DATABASE.DATE:DATE=$A19)*(DATABASE.NO:(NO)="M4"),0)),"")</f>
        <v/>
      </c>
      <c r="BA19" t="str">
        <f>IFERROR(INDEX(DATABASE.Z:(Z),MATCH(1,(DATABASE.DATE:DATE=$A19)*(DATABASE.NO:(NO)="M4"),0)),"")</f>
        <v/>
      </c>
      <c r="BB19" t="str">
        <f>IFERROR(INDEX(DATABASE.X:(X),MATCH(1,(DATABASE.DATE:DATE=$A19)*(DATABASE.NO:(NO)="M5"),0)),"")</f>
        <v/>
      </c>
      <c r="BC19" t="str">
        <f>IFERROR(INDEX(DATABASE.Y:(Y),MATCH(1,(DATABASE.DATE:DATE=$A19)*(DATABASE.NO:(NO)="M5"),0)),"")</f>
        <v/>
      </c>
      <c r="BD19" t="str">
        <f>IFERROR(INDEX(DATABASE.Z:(Z),MATCH(1,(DATABASE.DATE:DATE=$A19)*(DATABASE.NO:(NO)="M5"),0)),"")</f>
        <v/>
      </c>
      <c r="BE19" t="str">
        <f>IFERROR(INDEX(DATABASE.X:(X),MATCH(1,(DATABASE.DATE:DATE=$A19)*(DATABASE.NO:(NO)="REF1"),0)),"")</f>
        <v/>
      </c>
      <c r="BF19" t="str">
        <f>IFERROR(INDEX(DATABASE.Y:(Y),MATCH(1,(DATABASE.DATE:DATE=$A19)*(DATABASE.NO:(NO)="REF1"),0)),"")</f>
        <v/>
      </c>
      <c r="BG19" t="str">
        <f>IFERROR(INDEX(DATABASE.Z:(Z),MATCH(1,(DATABASE.DATE:DATE=$A19)*(DATABASE.NO:(NO)="REF1"),0)),"")</f>
        <v/>
      </c>
      <c r="BH19" t="str">
        <f>IFERROR(INDEX(DATABASE.X:(X),MATCH(1,(DATABASE.DATE:DATE=$A19)*(DATABASE.NO:(NO)="REF2"),0)),"")</f>
        <v/>
      </c>
      <c r="BI19" t="str">
        <f>IFERROR(INDEX(DATABASE.Y:(Y),MATCH(1,(DATABASE.DATE:DATE=$A19)*(DATABASE.NO:(NO)="REF2"),0)),"")</f>
        <v/>
      </c>
      <c r="BJ19" t="str">
        <f>IFERROR(INDEX(DATABASE.Z:(Z),MATCH(1,(DATABASE.DATE:DATE=$A19)*(DATABASE.NO:(NO)="REF2"),0)),"")</f>
        <v/>
      </c>
    </row>
    <row r="20" spans="3:62" x14ac:dyDescent="0.25">
      <c r="C20" t="str">
        <f>IFERROR(INDEX(DATABASE.X:(X),MATCH(1,(DATABASE.DATE:DATE=$A20)*(DATABASE.NO:(NO)="V1"),0)),"")</f>
        <v/>
      </c>
      <c r="D20" t="str">
        <f>IFERROR(INDEX(DATABASE.Y:(Y),MATCH(1,(DATABASE.DATE:DATE=$A20)*(DATABASE.NO:(NO)="V1"),0)),"")</f>
        <v/>
      </c>
      <c r="E20" t="str">
        <f>IFERROR(INDEX(DATABASE.Z:(Z),MATCH(1,(DATABASE.DATE:DATE=$A20)*(DATABASE.NO:(NO)="V1"),0)),"")</f>
        <v/>
      </c>
      <c r="F20" t="str">
        <f>IFERROR(INDEX(DATABASE.X:(X),MATCH(1,(DATABASE.DATE:DATE=$A20)*(DATABASE.NO:(NO)="V2"),0)),"")</f>
        <v/>
      </c>
      <c r="G20" t="str">
        <f>IFERROR(INDEX(DATABASE.Y:(Y),MATCH(1,(DATABASE.DATE:DATE=$A20)*(DATABASE.NO:(NO)="V2"),0)),"")</f>
        <v/>
      </c>
      <c r="H20" t="str">
        <f>IFERROR(INDEX(DATABASE.Z:(Z),MATCH(1,(DATABASE.DATE:DATE=$A20)*(DATABASE.NO:(NO)="V2"),0)),"")</f>
        <v/>
      </c>
      <c r="I20" t="str">
        <f>IFERROR(INDEX(DATABASE.X:(X),MATCH(1,(DATABASE.DATE:DATE=$A20)*(DATABASE.NO:(NO)="V3"),0)),"")</f>
        <v/>
      </c>
      <c r="J20" t="str">
        <f>IFERROR(INDEX(DATABASE.Y:(Y),MATCH(1,(DATABASE.DATE:DATE=$A20)*(DATABASE.NO:(NO)="V3"),0)),"")</f>
        <v/>
      </c>
      <c r="K20" t="str">
        <f>IFERROR(INDEX(DATABASE.Z:(Z),MATCH(1,(DATABASE.DATE:DATE=$A20)*(DATABASE.NO:(NO)="V3"),0)),"")</f>
        <v/>
      </c>
      <c r="L20" t="str">
        <f>IFERROR(INDEX(DATABASE.X:(X),MATCH(1,(DATABASE.DATE:DATE=$A20)*(DATABASE.NO:(NO)="H1"),0)),"")</f>
        <v/>
      </c>
      <c r="M20" t="str">
        <f>IFERROR(INDEX(DATABASE.Y:(Y),MATCH(1,(DATABASE.DATE:DATE=$A20)*(DATABASE.NO:(NO)="H1"),0)),"")</f>
        <v/>
      </c>
      <c r="N20" t="str">
        <f>IFERROR(INDEX(DATABASE.Z:(Z),MATCH(1,(DATABASE.DATE:DATE=$A20)*(DATABASE.NO:(NO)="H1"),0)),"")</f>
        <v/>
      </c>
      <c r="O20" t="str">
        <f>IFERROR(INDEX(DATABASE.X:(X),MATCH(1,(DATABASE.DATE:DATE=$A20)*(DATABASE.NO:(NO)="H2"),0)),"")</f>
        <v/>
      </c>
      <c r="P20" t="str">
        <f>IFERROR(INDEX(DATABASE.Y:(Y),MATCH(1,(DATABASE.DATE:DATE=$A20)*(DATABASE.NO:(NO)="H2"),0)),"")</f>
        <v/>
      </c>
      <c r="Q20" t="str">
        <f>IFERROR(INDEX(DATABASE.Z:(Z),MATCH(1,(DATABASE.DATE:DATE=$A20)*(DATABASE.NO:(NO)="H2"),0)),"")</f>
        <v/>
      </c>
      <c r="R20" t="str">
        <f>IFERROR(INDEX(DATABASE.X:(X),MATCH(1,(DATABASE.DATE:DATE=$A20)*(DATABASE.NO:(NO)="H3"),0)),"")</f>
        <v/>
      </c>
      <c r="S20" t="str">
        <f>IFERROR(INDEX(DATABASE.Y:(Y),MATCH(1,(DATABASE.DATE:DATE=$A20)*(DATABASE.NO:(NO)="H3"),0)),"")</f>
        <v/>
      </c>
      <c r="T20" t="str">
        <f>IFERROR(INDEX(DATABASE.Z:(Z),MATCH(1,(DATABASE.DATE:DATE=$A20)*(DATABASE.NO:(NO)="H3"),0)),"")</f>
        <v/>
      </c>
      <c r="U20" t="str">
        <f>IFERROR(INDEX(DATABASE.X:(X),MATCH(1,(DATABASE.DATE:DATE=$A20)*(DATABASE.NO:(NO)="H4"),0)),"")</f>
        <v/>
      </c>
      <c r="V20" t="str">
        <f>IFERROR(INDEX(DATABASE.Y:(Y),MATCH(1,(DATABASE.DATE:DATE=$A20)*(DATABASE.NO:(NO)="H4"),0)),"")</f>
        <v/>
      </c>
      <c r="W20" t="str">
        <f>IFERROR(INDEX(DATABASE.Z:(Z),MATCH(1,(DATABASE.DATE:DATE=$A20)*(DATABASE.NO:(NO)="H4"),0)),"")</f>
        <v/>
      </c>
      <c r="X20" t="str">
        <f>IFERROR(INDEX(DATABASE.X:(X),MATCH(1,(DATABASE.DATE:DATE=$A20)*(DATABASE.NO:(NO)="H5"),0)),"")</f>
        <v/>
      </c>
      <c r="Y20" t="str">
        <f>IFERROR(INDEX(DATABASE.Y:(Y),MATCH(1,(DATABASE.DATE:DATE=$A20)*(DATABASE.NO:(NO)="H5"),0)),"")</f>
        <v/>
      </c>
      <c r="Z20" t="str">
        <f>IFERROR(INDEX(DATABASE.Z:(Z),MATCH(1,(DATABASE.DATE:DATE=$A20)*(DATABASE.NO:(NO)="H5"),0)),"")</f>
        <v/>
      </c>
      <c r="AA20" t="str">
        <f>IFERROR(INDEX(DATABASE.X:(X),MATCH(1,(DATABASE.DATE:DATE=$A20)*(DATABASE.NO:(NO)="B1"),0)),"")</f>
        <v/>
      </c>
      <c r="AB20" t="str">
        <f>IFERROR(INDEX(DATABASE.Y:(Y),MATCH(1,(DATABASE.DATE:DATE=$A20)*(DATABASE.NO:(NO)="B1"),0)),"")</f>
        <v/>
      </c>
      <c r="AC20" t="str">
        <f>IFERROR(INDEX(DATABASE.Z:(Z),MATCH(1,(DATABASE.DATE:DATE=$A20)*(DATABASE.NO:(NO)="B1"),0)),"")</f>
        <v/>
      </c>
      <c r="AD20" t="str">
        <f>IFERROR(INDEX(DATABASE.X:(X),MATCH(1,(DATABASE.DATE:DATE=$A20)*(DATABASE.NO:(NO)="B2"),0)),"")</f>
        <v/>
      </c>
      <c r="AE20" t="str">
        <f>IFERROR(INDEX(DATABASE.Y:(Y),MATCH(1,(DATABASE.DATE:DATE=$A20)*(DATABASE.NO:(NO)="B2"),0)),"")</f>
        <v/>
      </c>
      <c r="AF20" t="str">
        <f>IFERROR(INDEX(DATABASE.Z:(Z),MATCH(1,(DATABASE.DATE:DATE=$A20)*(DATABASE.NO:(NO)="B2"),0)),"")</f>
        <v/>
      </c>
      <c r="AG20" t="str">
        <f>IFERROR(INDEX(DATABASE.X:(X),MATCH(1,(DATABASE.DATE:DATE=$A20)*(DATABASE.NO:(NO)="B3"),0)),"")</f>
        <v/>
      </c>
      <c r="AH20" t="str">
        <f>IFERROR(INDEX(DATABASE.Y:(Y),MATCH(1,(DATABASE.DATE:DATE=$A20)*(DATABASE.NO:(NO)="B3"),0)),"")</f>
        <v/>
      </c>
      <c r="AI20" t="str">
        <f>IFERROR(INDEX(DATABASE.Z:(Z),MATCH(1,(DATABASE.DATE:DATE=$A20)*(DATABASE.NO:(NO)="B3"),0)),"")</f>
        <v/>
      </c>
      <c r="AJ20" t="str">
        <f>IFERROR(INDEX(DATABASE.X:(X),MATCH(1,(DATABASE.DATE:DATE=$A20)*(DATABASE.NO:(NO)="B4"),0)),"")</f>
        <v/>
      </c>
      <c r="AK20" t="str">
        <f>IFERROR(INDEX(DATABASE.Y:(Y),MATCH(1,(DATABASE.DATE:DATE=$A20)*(DATABASE.NO:(NO)="B4"),0)),"")</f>
        <v/>
      </c>
      <c r="AL20" t="str">
        <f>IFERROR(INDEX(DATABASE.Z:(Z),MATCH(1,(DATABASE.DATE:DATE=$A20)*(DATABASE.NO:(NO)="B4"),0)),"")</f>
        <v/>
      </c>
      <c r="AM20" t="str">
        <f>IFERROR(INDEX(DATABASE.X:(X),MATCH(1,(DATABASE.DATE:DATE=$A20)*(DATABASE.NO:(NO)="B5"),0)),"")</f>
        <v/>
      </c>
      <c r="AN20" t="str">
        <f>IFERROR(INDEX(DATABASE.Y:(Y),MATCH(1,(DATABASE.DATE:DATE=$A20)*(DATABASE.NO:(NO)="B5"),0)),"")</f>
        <v/>
      </c>
      <c r="AO20" t="str">
        <f>IFERROR(INDEX(DATABASE.Z:(Z),MATCH(1,(DATABASE.DATE:DATE=$A20)*(DATABASE.NO:(NO)="B5"),0)),"")</f>
        <v/>
      </c>
      <c r="AP20" t="str">
        <f>IFERROR(INDEX(DATABASE.X:(X),MATCH(1,(DATABASE.DATE:DATE=$A20)*(DATABASE.NO:(NO)="M1"),0)),"")</f>
        <v/>
      </c>
      <c r="AQ20" t="str">
        <f>IFERROR(INDEX(DATABASE.Y:(Y),MATCH(1,(DATABASE.DATE:DATE=$A20)*(DATABASE.NO:(NO)="M1"),0)),"")</f>
        <v/>
      </c>
      <c r="AR20" t="str">
        <f>IFERROR(INDEX(DATABASE.Z:(Z),MATCH(1,(DATABASE.DATE:DATE=$A20)*(DATABASE.NO:(NO)="M1"),0)),"")</f>
        <v/>
      </c>
      <c r="AS20" t="str">
        <f>IFERROR(INDEX(DATABASE.X:(X),MATCH(1,(DATABASE.DATE:DATE=$A20)*(DATABASE.NO:(NO)="M2"),0)),"")</f>
        <v/>
      </c>
      <c r="AT20" t="str">
        <f>IFERROR(INDEX(DATABASE.Y:(Y),MATCH(1,(DATABASE.DATE:DATE=$A20)*(DATABASE.NO:(NO)="M2"),0)),"")</f>
        <v/>
      </c>
      <c r="AU20" t="str">
        <f>IFERROR(INDEX(DATABASE.Z:(Z),MATCH(1,(DATABASE.DATE:DATE=$A20)*(DATABASE.NO:(NO)="M2"),0)),"")</f>
        <v/>
      </c>
      <c r="AV20" t="str">
        <f>IFERROR(INDEX(DATABASE.X:(X),MATCH(1,(DATABASE.DATE:DATE=$A20)*(DATABASE.NO:(NO)="M3"),0)),"")</f>
        <v/>
      </c>
      <c r="AW20" t="str">
        <f>IFERROR(INDEX(DATABASE.Y:(Y),MATCH(1,(DATABASE.DATE:DATE=$A20)*(DATABASE.NO:(NO)="M3"),0)),"")</f>
        <v/>
      </c>
      <c r="AX20" t="str">
        <f>IFERROR(INDEX(DATABASE.Z:(Z),MATCH(1,(DATABASE.DATE:DATE=$A20)*(DATABASE.NO:(NO)="M3"),0)),"")</f>
        <v/>
      </c>
      <c r="AY20" t="str">
        <f>IFERROR(INDEX(DATABASE.X:(X),MATCH(1,(DATABASE.DATE:DATE=$A20)*(DATABASE.NO:(NO)="M4"),0)),"")</f>
        <v/>
      </c>
      <c r="AZ20" t="str">
        <f>IFERROR(INDEX(DATABASE.Y:(Y),MATCH(1,(DATABASE.DATE:DATE=$A20)*(DATABASE.NO:(NO)="M4"),0)),"")</f>
        <v/>
      </c>
      <c r="BA20" t="str">
        <f>IFERROR(INDEX(DATABASE.Z:(Z),MATCH(1,(DATABASE.DATE:DATE=$A20)*(DATABASE.NO:(NO)="M4"),0)),"")</f>
        <v/>
      </c>
      <c r="BB20" t="str">
        <f>IFERROR(INDEX(DATABASE.X:(X),MATCH(1,(DATABASE.DATE:DATE=$A20)*(DATABASE.NO:(NO)="M5"),0)),"")</f>
        <v/>
      </c>
      <c r="BC20" t="str">
        <f>IFERROR(INDEX(DATABASE.Y:(Y),MATCH(1,(DATABASE.DATE:DATE=$A20)*(DATABASE.NO:(NO)="M5"),0)),"")</f>
        <v/>
      </c>
      <c r="BD20" t="str">
        <f>IFERROR(INDEX(DATABASE.Z:(Z),MATCH(1,(DATABASE.DATE:DATE=$A20)*(DATABASE.NO:(NO)="M5"),0)),"")</f>
        <v/>
      </c>
      <c r="BE20" t="str">
        <f>IFERROR(INDEX(DATABASE.X:(X),MATCH(1,(DATABASE.DATE:DATE=$A20)*(DATABASE.NO:(NO)="REF1"),0)),"")</f>
        <v/>
      </c>
      <c r="BF20" t="str">
        <f>IFERROR(INDEX(DATABASE.Y:(Y),MATCH(1,(DATABASE.DATE:DATE=$A20)*(DATABASE.NO:(NO)="REF1"),0)),"")</f>
        <v/>
      </c>
      <c r="BG20" t="str">
        <f>IFERROR(INDEX(DATABASE.Z:(Z),MATCH(1,(DATABASE.DATE:DATE=$A20)*(DATABASE.NO:(NO)="REF1"),0)),"")</f>
        <v/>
      </c>
      <c r="BH20" t="str">
        <f>IFERROR(INDEX(DATABASE.X:(X),MATCH(1,(DATABASE.DATE:DATE=$A20)*(DATABASE.NO:(NO)="REF2"),0)),"")</f>
        <v/>
      </c>
      <c r="BI20" t="str">
        <f>IFERROR(INDEX(DATABASE.Y:(Y),MATCH(1,(DATABASE.DATE:DATE=$A20)*(DATABASE.NO:(NO)="REF2"),0)),"")</f>
        <v/>
      </c>
      <c r="BJ20" t="str">
        <f>IFERROR(INDEX(DATABASE.Z:(Z),MATCH(1,(DATABASE.DATE:DATE=$A20)*(DATABASE.NO:(NO)="REF2"),0)),"")</f>
        <v/>
      </c>
    </row>
    <row r="21" spans="3:62" x14ac:dyDescent="0.25">
      <c r="C21" t="str">
        <f>IFERROR(INDEX(DATABASE.X:(X),MATCH(1,(DATABASE.DATE:DATE=$A21)*(DATABASE.NO:(NO)="V1"),0)),"")</f>
        <v/>
      </c>
      <c r="D21" t="str">
        <f>IFERROR(INDEX(DATABASE.Y:(Y),MATCH(1,(DATABASE.DATE:DATE=$A21)*(DATABASE.NO:(NO)="V1"),0)),"")</f>
        <v/>
      </c>
      <c r="E21" t="str">
        <f>IFERROR(INDEX(DATABASE.Z:(Z),MATCH(1,(DATABASE.DATE:DATE=$A21)*(DATABASE.NO:(NO)="V1"),0)),"")</f>
        <v/>
      </c>
      <c r="F21" t="str">
        <f>IFERROR(INDEX(DATABASE.X:(X),MATCH(1,(DATABASE.DATE:DATE=$A21)*(DATABASE.NO:(NO)="V2"),0)),"")</f>
        <v/>
      </c>
      <c r="G21" t="str">
        <f>IFERROR(INDEX(DATABASE.Y:(Y),MATCH(1,(DATABASE.DATE:DATE=$A21)*(DATABASE.NO:(NO)="V2"),0)),"")</f>
        <v/>
      </c>
      <c r="H21" t="str">
        <f>IFERROR(INDEX(DATABASE.Z:(Z),MATCH(1,(DATABASE.DATE:DATE=$A21)*(DATABASE.NO:(NO)="V2"),0)),"")</f>
        <v/>
      </c>
      <c r="I21" t="str">
        <f>IFERROR(INDEX(DATABASE.X:(X),MATCH(1,(DATABASE.DATE:DATE=$A21)*(DATABASE.NO:(NO)="V3"),0)),"")</f>
        <v/>
      </c>
      <c r="J21" t="str">
        <f>IFERROR(INDEX(DATABASE.Y:(Y),MATCH(1,(DATABASE.DATE:DATE=$A21)*(DATABASE.NO:(NO)="V3"),0)),"")</f>
        <v/>
      </c>
      <c r="K21" t="str">
        <f>IFERROR(INDEX(DATABASE.Z:(Z),MATCH(1,(DATABASE.DATE:DATE=$A21)*(DATABASE.NO:(NO)="V3"),0)),"")</f>
        <v/>
      </c>
      <c r="L21" t="str">
        <f>IFERROR(INDEX(DATABASE.X:(X),MATCH(1,(DATABASE.DATE:DATE=$A21)*(DATABASE.NO:(NO)="H1"),0)),"")</f>
        <v/>
      </c>
      <c r="M21" t="str">
        <f>IFERROR(INDEX(DATABASE.Y:(Y),MATCH(1,(DATABASE.DATE:DATE=$A21)*(DATABASE.NO:(NO)="H1"),0)),"")</f>
        <v/>
      </c>
      <c r="N21" t="str">
        <f>IFERROR(INDEX(DATABASE.Z:(Z),MATCH(1,(DATABASE.DATE:DATE=$A21)*(DATABASE.NO:(NO)="H1"),0)),"")</f>
        <v/>
      </c>
      <c r="O21" t="str">
        <f>IFERROR(INDEX(DATABASE.X:(X),MATCH(1,(DATABASE.DATE:DATE=$A21)*(DATABASE.NO:(NO)="H2"),0)),"")</f>
        <v/>
      </c>
      <c r="P21" t="str">
        <f>IFERROR(INDEX(DATABASE.Y:(Y),MATCH(1,(DATABASE.DATE:DATE=$A21)*(DATABASE.NO:(NO)="H2"),0)),"")</f>
        <v/>
      </c>
      <c r="Q21" t="str">
        <f>IFERROR(INDEX(DATABASE.Z:(Z),MATCH(1,(DATABASE.DATE:DATE=$A21)*(DATABASE.NO:(NO)="H2"),0)),"")</f>
        <v/>
      </c>
      <c r="R21" t="str">
        <f>IFERROR(INDEX(DATABASE.X:(X),MATCH(1,(DATABASE.DATE:DATE=$A21)*(DATABASE.NO:(NO)="H3"),0)),"")</f>
        <v/>
      </c>
      <c r="S21" t="str">
        <f>IFERROR(INDEX(DATABASE.Y:(Y),MATCH(1,(DATABASE.DATE:DATE=$A21)*(DATABASE.NO:(NO)="H3"),0)),"")</f>
        <v/>
      </c>
      <c r="T21" t="str">
        <f>IFERROR(INDEX(DATABASE.Z:(Z),MATCH(1,(DATABASE.DATE:DATE=$A21)*(DATABASE.NO:(NO)="H3"),0)),"")</f>
        <v/>
      </c>
      <c r="U21" t="str">
        <f>IFERROR(INDEX(DATABASE.X:(X),MATCH(1,(DATABASE.DATE:DATE=$A21)*(DATABASE.NO:(NO)="H4"),0)),"")</f>
        <v/>
      </c>
      <c r="V21" t="str">
        <f>IFERROR(INDEX(DATABASE.Y:(Y),MATCH(1,(DATABASE.DATE:DATE=$A21)*(DATABASE.NO:(NO)="H4"),0)),"")</f>
        <v/>
      </c>
      <c r="W21" t="str">
        <f>IFERROR(INDEX(DATABASE.Z:(Z),MATCH(1,(DATABASE.DATE:DATE=$A21)*(DATABASE.NO:(NO)="H4"),0)),"")</f>
        <v/>
      </c>
      <c r="X21" t="str">
        <f>IFERROR(INDEX(DATABASE.X:(X),MATCH(1,(DATABASE.DATE:DATE=$A21)*(DATABASE.NO:(NO)="H5"),0)),"")</f>
        <v/>
      </c>
      <c r="Y21" t="str">
        <f>IFERROR(INDEX(DATABASE.Y:(Y),MATCH(1,(DATABASE.DATE:DATE=$A21)*(DATABASE.NO:(NO)="H5"),0)),"")</f>
        <v/>
      </c>
      <c r="Z21" t="str">
        <f>IFERROR(INDEX(DATABASE.Z:(Z),MATCH(1,(DATABASE.DATE:DATE=$A21)*(DATABASE.NO:(NO)="H5"),0)),"")</f>
        <v/>
      </c>
      <c r="AA21" t="str">
        <f>IFERROR(INDEX(DATABASE.X:(X),MATCH(1,(DATABASE.DATE:DATE=$A21)*(DATABASE.NO:(NO)="B1"),0)),"")</f>
        <v/>
      </c>
      <c r="AB21" t="str">
        <f>IFERROR(INDEX(DATABASE.Y:(Y),MATCH(1,(DATABASE.DATE:DATE=$A21)*(DATABASE.NO:(NO)="B1"),0)),"")</f>
        <v/>
      </c>
      <c r="AC21" t="str">
        <f>IFERROR(INDEX(DATABASE.Z:(Z),MATCH(1,(DATABASE.DATE:DATE=$A21)*(DATABASE.NO:(NO)="B1"),0)),"")</f>
        <v/>
      </c>
      <c r="AD21" t="str">
        <f>IFERROR(INDEX(DATABASE.X:(X),MATCH(1,(DATABASE.DATE:DATE=$A21)*(DATABASE.NO:(NO)="B2"),0)),"")</f>
        <v/>
      </c>
      <c r="AE21" t="str">
        <f>IFERROR(INDEX(DATABASE.Y:(Y),MATCH(1,(DATABASE.DATE:DATE=$A21)*(DATABASE.NO:(NO)="B2"),0)),"")</f>
        <v/>
      </c>
      <c r="AF21" t="str">
        <f>IFERROR(INDEX(DATABASE.Z:(Z),MATCH(1,(DATABASE.DATE:DATE=$A21)*(DATABASE.NO:(NO)="B2"),0)),"")</f>
        <v/>
      </c>
      <c r="AG21" t="str">
        <f>IFERROR(INDEX(DATABASE.X:(X),MATCH(1,(DATABASE.DATE:DATE=$A21)*(DATABASE.NO:(NO)="B3"),0)),"")</f>
        <v/>
      </c>
      <c r="AH21" t="str">
        <f>IFERROR(INDEX(DATABASE.Y:(Y),MATCH(1,(DATABASE.DATE:DATE=$A21)*(DATABASE.NO:(NO)="B3"),0)),"")</f>
        <v/>
      </c>
      <c r="AI21" t="str">
        <f>IFERROR(INDEX(DATABASE.Z:(Z),MATCH(1,(DATABASE.DATE:DATE=$A21)*(DATABASE.NO:(NO)="B3"),0)),"")</f>
        <v/>
      </c>
      <c r="AJ21" t="str">
        <f>IFERROR(INDEX(DATABASE.X:(X),MATCH(1,(DATABASE.DATE:DATE=$A21)*(DATABASE.NO:(NO)="B4"),0)),"")</f>
        <v/>
      </c>
      <c r="AK21" t="str">
        <f>IFERROR(INDEX(DATABASE.Y:(Y),MATCH(1,(DATABASE.DATE:DATE=$A21)*(DATABASE.NO:(NO)="B4"),0)),"")</f>
        <v/>
      </c>
      <c r="AL21" t="str">
        <f>IFERROR(INDEX(DATABASE.Z:(Z),MATCH(1,(DATABASE.DATE:DATE=$A21)*(DATABASE.NO:(NO)="B4"),0)),"")</f>
        <v/>
      </c>
      <c r="AM21" t="str">
        <f>IFERROR(INDEX(DATABASE.X:(X),MATCH(1,(DATABASE.DATE:DATE=$A21)*(DATABASE.NO:(NO)="B5"),0)),"")</f>
        <v/>
      </c>
      <c r="AN21" t="str">
        <f>IFERROR(INDEX(DATABASE.Y:(Y),MATCH(1,(DATABASE.DATE:DATE=$A21)*(DATABASE.NO:(NO)="B5"),0)),"")</f>
        <v/>
      </c>
      <c r="AO21" t="str">
        <f>IFERROR(INDEX(DATABASE.Z:(Z),MATCH(1,(DATABASE.DATE:DATE=$A21)*(DATABASE.NO:(NO)="B5"),0)),"")</f>
        <v/>
      </c>
      <c r="AP21" t="str">
        <f>IFERROR(INDEX(DATABASE.X:(X),MATCH(1,(DATABASE.DATE:DATE=$A21)*(DATABASE.NO:(NO)="M1"),0)),"")</f>
        <v/>
      </c>
      <c r="AQ21" t="str">
        <f>IFERROR(INDEX(DATABASE.Y:(Y),MATCH(1,(DATABASE.DATE:DATE=$A21)*(DATABASE.NO:(NO)="M1"),0)),"")</f>
        <v/>
      </c>
      <c r="AR21" t="str">
        <f>IFERROR(INDEX(DATABASE.Z:(Z),MATCH(1,(DATABASE.DATE:DATE=$A21)*(DATABASE.NO:(NO)="M1"),0)),"")</f>
        <v/>
      </c>
      <c r="AS21" t="str">
        <f>IFERROR(INDEX(DATABASE.X:(X),MATCH(1,(DATABASE.DATE:DATE=$A21)*(DATABASE.NO:(NO)="M2"),0)),"")</f>
        <v/>
      </c>
      <c r="AT21" t="str">
        <f>IFERROR(INDEX(DATABASE.Y:(Y),MATCH(1,(DATABASE.DATE:DATE=$A21)*(DATABASE.NO:(NO)="M2"),0)),"")</f>
        <v/>
      </c>
      <c r="AU21" t="str">
        <f>IFERROR(INDEX(DATABASE.Z:(Z),MATCH(1,(DATABASE.DATE:DATE=$A21)*(DATABASE.NO:(NO)="M2"),0)),"")</f>
        <v/>
      </c>
      <c r="AV21" t="str">
        <f>IFERROR(INDEX(DATABASE.X:(X),MATCH(1,(DATABASE.DATE:DATE=$A21)*(DATABASE.NO:(NO)="M3"),0)),"")</f>
        <v/>
      </c>
      <c r="AW21" t="str">
        <f>IFERROR(INDEX(DATABASE.Y:(Y),MATCH(1,(DATABASE.DATE:DATE=$A21)*(DATABASE.NO:(NO)="M3"),0)),"")</f>
        <v/>
      </c>
      <c r="AX21" t="str">
        <f>IFERROR(INDEX(DATABASE.Z:(Z),MATCH(1,(DATABASE.DATE:DATE=$A21)*(DATABASE.NO:(NO)="M3"),0)),"")</f>
        <v/>
      </c>
      <c r="AY21" t="str">
        <f>IFERROR(INDEX(DATABASE.X:(X),MATCH(1,(DATABASE.DATE:DATE=$A21)*(DATABASE.NO:(NO)="M4"),0)),"")</f>
        <v/>
      </c>
      <c r="AZ21" t="str">
        <f>IFERROR(INDEX(DATABASE.Y:(Y),MATCH(1,(DATABASE.DATE:DATE=$A21)*(DATABASE.NO:(NO)="M4"),0)),"")</f>
        <v/>
      </c>
      <c r="BA21" t="str">
        <f>IFERROR(INDEX(DATABASE.Z:(Z),MATCH(1,(DATABASE.DATE:DATE=$A21)*(DATABASE.NO:(NO)="M4"),0)),"")</f>
        <v/>
      </c>
      <c r="BB21" t="str">
        <f>IFERROR(INDEX(DATABASE.X:(X),MATCH(1,(DATABASE.DATE:DATE=$A21)*(DATABASE.NO:(NO)="M5"),0)),"")</f>
        <v/>
      </c>
      <c r="BC21" t="str">
        <f>IFERROR(INDEX(DATABASE.Y:(Y),MATCH(1,(DATABASE.DATE:DATE=$A21)*(DATABASE.NO:(NO)="M5"),0)),"")</f>
        <v/>
      </c>
      <c r="BD21" t="str">
        <f>IFERROR(INDEX(DATABASE.Z:(Z),MATCH(1,(DATABASE.DATE:DATE=$A21)*(DATABASE.NO:(NO)="M5"),0)),"")</f>
        <v/>
      </c>
      <c r="BE21" t="str">
        <f>IFERROR(INDEX(DATABASE.X:(X),MATCH(1,(DATABASE.DATE:DATE=$A21)*(DATABASE.NO:(NO)="REF1"),0)),"")</f>
        <v/>
      </c>
      <c r="BF21" t="str">
        <f>IFERROR(INDEX(DATABASE.Y:(Y),MATCH(1,(DATABASE.DATE:DATE=$A21)*(DATABASE.NO:(NO)="REF1"),0)),"")</f>
        <v/>
      </c>
      <c r="BG21" t="str">
        <f>IFERROR(INDEX(DATABASE.Z:(Z),MATCH(1,(DATABASE.DATE:DATE=$A21)*(DATABASE.NO:(NO)="REF1"),0)),"")</f>
        <v/>
      </c>
      <c r="BH21" t="str">
        <f>IFERROR(INDEX(DATABASE.X:(X),MATCH(1,(DATABASE.DATE:DATE=$A21)*(DATABASE.NO:(NO)="REF2"),0)),"")</f>
        <v/>
      </c>
      <c r="BI21" t="str">
        <f>IFERROR(INDEX(DATABASE.Y:(Y),MATCH(1,(DATABASE.DATE:DATE=$A21)*(DATABASE.NO:(NO)="REF2"),0)),"")</f>
        <v/>
      </c>
      <c r="BJ21" t="str">
        <f>IFERROR(INDEX(DATABASE.Z:(Z),MATCH(1,(DATABASE.DATE:DATE=$A21)*(DATABASE.NO:(NO)="REF2"),0)),"")</f>
        <v/>
      </c>
    </row>
    <row r="22" spans="3:62" x14ac:dyDescent="0.25">
      <c r="C22" t="str">
        <f>IFERROR(INDEX(DATABASE.X:(X),MATCH(1,(DATABASE.DATE:DATE=$A22)*(DATABASE.NO:(NO)="V1"),0)),"")</f>
        <v/>
      </c>
      <c r="D22" t="str">
        <f>IFERROR(INDEX(DATABASE.Y:(Y),MATCH(1,(DATABASE.DATE:DATE=$A22)*(DATABASE.NO:(NO)="V1"),0)),"")</f>
        <v/>
      </c>
      <c r="E22" t="str">
        <f>IFERROR(INDEX(DATABASE.Z:(Z),MATCH(1,(DATABASE.DATE:DATE=$A22)*(DATABASE.NO:(NO)="V1"),0)),"")</f>
        <v/>
      </c>
      <c r="F22" t="str">
        <f>IFERROR(INDEX(DATABASE.X:(X),MATCH(1,(DATABASE.DATE:DATE=$A22)*(DATABASE.NO:(NO)="V2"),0)),"")</f>
        <v/>
      </c>
      <c r="G22" t="str">
        <f>IFERROR(INDEX(DATABASE.Y:(Y),MATCH(1,(DATABASE.DATE:DATE=$A22)*(DATABASE.NO:(NO)="V2"),0)),"")</f>
        <v/>
      </c>
      <c r="H22" t="str">
        <f>IFERROR(INDEX(DATABASE.Z:(Z),MATCH(1,(DATABASE.DATE:DATE=$A22)*(DATABASE.NO:(NO)="V2"),0)),"")</f>
        <v/>
      </c>
      <c r="I22" t="str">
        <f>IFERROR(INDEX(DATABASE.X:(X),MATCH(1,(DATABASE.DATE:DATE=$A22)*(DATABASE.NO:(NO)="V3"),0)),"")</f>
        <v/>
      </c>
      <c r="J22" t="str">
        <f>IFERROR(INDEX(DATABASE.Y:(Y),MATCH(1,(DATABASE.DATE:DATE=$A22)*(DATABASE.NO:(NO)="V3"),0)),"")</f>
        <v/>
      </c>
      <c r="K22" t="str">
        <f>IFERROR(INDEX(DATABASE.Z:(Z),MATCH(1,(DATABASE.DATE:DATE=$A22)*(DATABASE.NO:(NO)="V3"),0)),"")</f>
        <v/>
      </c>
      <c r="L22" t="str">
        <f>IFERROR(INDEX(DATABASE.X:(X),MATCH(1,(DATABASE.DATE:DATE=$A22)*(DATABASE.NO:(NO)="H1"),0)),"")</f>
        <v/>
      </c>
      <c r="M22" t="str">
        <f>IFERROR(INDEX(DATABASE.Y:(Y),MATCH(1,(DATABASE.DATE:DATE=$A22)*(DATABASE.NO:(NO)="H1"),0)),"")</f>
        <v/>
      </c>
      <c r="N22" t="str">
        <f>IFERROR(INDEX(DATABASE.Z:(Z),MATCH(1,(DATABASE.DATE:DATE=$A22)*(DATABASE.NO:(NO)="H1"),0)),"")</f>
        <v/>
      </c>
      <c r="O22" t="str">
        <f>IFERROR(INDEX(DATABASE.X:(X),MATCH(1,(DATABASE.DATE:DATE=$A22)*(DATABASE.NO:(NO)="H2"),0)),"")</f>
        <v/>
      </c>
      <c r="P22" t="str">
        <f>IFERROR(INDEX(DATABASE.Y:(Y),MATCH(1,(DATABASE.DATE:DATE=$A22)*(DATABASE.NO:(NO)="H2"),0)),"")</f>
        <v/>
      </c>
      <c r="Q22" t="str">
        <f>IFERROR(INDEX(DATABASE.Z:(Z),MATCH(1,(DATABASE.DATE:DATE=$A22)*(DATABASE.NO:(NO)="H2"),0)),"")</f>
        <v/>
      </c>
      <c r="R22" t="str">
        <f>IFERROR(INDEX(DATABASE.X:(X),MATCH(1,(DATABASE.DATE:DATE=$A22)*(DATABASE.NO:(NO)="H3"),0)),"")</f>
        <v/>
      </c>
      <c r="S22" t="str">
        <f>IFERROR(INDEX(DATABASE.Y:(Y),MATCH(1,(DATABASE.DATE:DATE=$A22)*(DATABASE.NO:(NO)="H3"),0)),"")</f>
        <v/>
      </c>
      <c r="T22" t="str">
        <f>IFERROR(INDEX(DATABASE.Z:(Z),MATCH(1,(DATABASE.DATE:DATE=$A22)*(DATABASE.NO:(NO)="H3"),0)),"")</f>
        <v/>
      </c>
      <c r="U22" t="str">
        <f>IFERROR(INDEX(DATABASE.X:(X),MATCH(1,(DATABASE.DATE:DATE=$A22)*(DATABASE.NO:(NO)="H4"),0)),"")</f>
        <v/>
      </c>
      <c r="V22" t="str">
        <f>IFERROR(INDEX(DATABASE.Y:(Y),MATCH(1,(DATABASE.DATE:DATE=$A22)*(DATABASE.NO:(NO)="H4"),0)),"")</f>
        <v/>
      </c>
      <c r="W22" t="str">
        <f>IFERROR(INDEX(DATABASE.Z:(Z),MATCH(1,(DATABASE.DATE:DATE=$A22)*(DATABASE.NO:(NO)="H4"),0)),"")</f>
        <v/>
      </c>
      <c r="X22" t="str">
        <f>IFERROR(INDEX(DATABASE.X:(X),MATCH(1,(DATABASE.DATE:DATE=$A22)*(DATABASE.NO:(NO)="H5"),0)),"")</f>
        <v/>
      </c>
      <c r="Y22" t="str">
        <f>IFERROR(INDEX(DATABASE.Y:(Y),MATCH(1,(DATABASE.DATE:DATE=$A22)*(DATABASE.NO:(NO)="H5"),0)),"")</f>
        <v/>
      </c>
      <c r="Z22" t="str">
        <f>IFERROR(INDEX(DATABASE.Z:(Z),MATCH(1,(DATABASE.DATE:DATE=$A22)*(DATABASE.NO:(NO)="H5"),0)),"")</f>
        <v/>
      </c>
      <c r="AA22" t="str">
        <f>IFERROR(INDEX(DATABASE.X:(X),MATCH(1,(DATABASE.DATE:DATE=$A22)*(DATABASE.NO:(NO)="B1"),0)),"")</f>
        <v/>
      </c>
      <c r="AB22" t="str">
        <f>IFERROR(INDEX(DATABASE.Y:(Y),MATCH(1,(DATABASE.DATE:DATE=$A22)*(DATABASE.NO:(NO)="B1"),0)),"")</f>
        <v/>
      </c>
      <c r="AC22" t="str">
        <f>IFERROR(INDEX(DATABASE.Z:(Z),MATCH(1,(DATABASE.DATE:DATE=$A22)*(DATABASE.NO:(NO)="B1"),0)),"")</f>
        <v/>
      </c>
      <c r="AD22" t="str">
        <f>IFERROR(INDEX(DATABASE.X:(X),MATCH(1,(DATABASE.DATE:DATE=$A22)*(DATABASE.NO:(NO)="B2"),0)),"")</f>
        <v/>
      </c>
      <c r="AE22" t="str">
        <f>IFERROR(INDEX(DATABASE.Y:(Y),MATCH(1,(DATABASE.DATE:DATE=$A22)*(DATABASE.NO:(NO)="B2"),0)),"")</f>
        <v/>
      </c>
      <c r="AF22" t="str">
        <f>IFERROR(INDEX(DATABASE.Z:(Z),MATCH(1,(DATABASE.DATE:DATE=$A22)*(DATABASE.NO:(NO)="B2"),0)),"")</f>
        <v/>
      </c>
      <c r="AG22" t="str">
        <f>IFERROR(INDEX(DATABASE.X:(X),MATCH(1,(DATABASE.DATE:DATE=$A22)*(DATABASE.NO:(NO)="B3"),0)),"")</f>
        <v/>
      </c>
      <c r="AH22" t="str">
        <f>IFERROR(INDEX(DATABASE.Y:(Y),MATCH(1,(DATABASE.DATE:DATE=$A22)*(DATABASE.NO:(NO)="B3"),0)),"")</f>
        <v/>
      </c>
      <c r="AI22" t="str">
        <f>IFERROR(INDEX(DATABASE.Z:(Z),MATCH(1,(DATABASE.DATE:DATE=$A22)*(DATABASE.NO:(NO)="B3"),0)),"")</f>
        <v/>
      </c>
      <c r="AJ22" t="str">
        <f>IFERROR(INDEX(DATABASE.X:(X),MATCH(1,(DATABASE.DATE:DATE=$A22)*(DATABASE.NO:(NO)="B4"),0)),"")</f>
        <v/>
      </c>
      <c r="AK22" t="str">
        <f>IFERROR(INDEX(DATABASE.Y:(Y),MATCH(1,(DATABASE.DATE:DATE=$A22)*(DATABASE.NO:(NO)="B4"),0)),"")</f>
        <v/>
      </c>
      <c r="AL22" t="str">
        <f>IFERROR(INDEX(DATABASE.Z:(Z),MATCH(1,(DATABASE.DATE:DATE=$A22)*(DATABASE.NO:(NO)="B4"),0)),"")</f>
        <v/>
      </c>
      <c r="AM22" t="str">
        <f>IFERROR(INDEX(DATABASE.X:(X),MATCH(1,(DATABASE.DATE:DATE=$A22)*(DATABASE.NO:(NO)="B5"),0)),"")</f>
        <v/>
      </c>
      <c r="AN22" t="str">
        <f>IFERROR(INDEX(DATABASE.Y:(Y),MATCH(1,(DATABASE.DATE:DATE=$A22)*(DATABASE.NO:(NO)="B5"),0)),"")</f>
        <v/>
      </c>
      <c r="AO22" t="str">
        <f>IFERROR(INDEX(DATABASE.Z:(Z),MATCH(1,(DATABASE.DATE:DATE=$A22)*(DATABASE.NO:(NO)="B5"),0)),"")</f>
        <v/>
      </c>
      <c r="AP22" t="str">
        <f>IFERROR(INDEX(DATABASE.X:(X),MATCH(1,(DATABASE.DATE:DATE=$A22)*(DATABASE.NO:(NO)="M1"),0)),"")</f>
        <v/>
      </c>
      <c r="AQ22" t="str">
        <f>IFERROR(INDEX(DATABASE.Y:(Y),MATCH(1,(DATABASE.DATE:DATE=$A22)*(DATABASE.NO:(NO)="M1"),0)),"")</f>
        <v/>
      </c>
      <c r="AR22" t="str">
        <f>IFERROR(INDEX(DATABASE.Z:(Z),MATCH(1,(DATABASE.DATE:DATE=$A22)*(DATABASE.NO:(NO)="M1"),0)),"")</f>
        <v/>
      </c>
      <c r="AS22" t="str">
        <f>IFERROR(INDEX(DATABASE.X:(X),MATCH(1,(DATABASE.DATE:DATE=$A22)*(DATABASE.NO:(NO)="M2"),0)),"")</f>
        <v/>
      </c>
      <c r="AT22" t="str">
        <f>IFERROR(INDEX(DATABASE.Y:(Y),MATCH(1,(DATABASE.DATE:DATE=$A22)*(DATABASE.NO:(NO)="M2"),0)),"")</f>
        <v/>
      </c>
      <c r="AU22" t="str">
        <f>IFERROR(INDEX(DATABASE.Z:(Z),MATCH(1,(DATABASE.DATE:DATE=$A22)*(DATABASE.NO:(NO)="M2"),0)),"")</f>
        <v/>
      </c>
      <c r="AV22" t="str">
        <f>IFERROR(INDEX(DATABASE.X:(X),MATCH(1,(DATABASE.DATE:DATE=$A22)*(DATABASE.NO:(NO)="M3"),0)),"")</f>
        <v/>
      </c>
      <c r="AW22" t="str">
        <f>IFERROR(INDEX(DATABASE.Y:(Y),MATCH(1,(DATABASE.DATE:DATE=$A22)*(DATABASE.NO:(NO)="M3"),0)),"")</f>
        <v/>
      </c>
      <c r="AX22" t="str">
        <f>IFERROR(INDEX(DATABASE.Z:(Z),MATCH(1,(DATABASE.DATE:DATE=$A22)*(DATABASE.NO:(NO)="M3"),0)),"")</f>
        <v/>
      </c>
      <c r="AY22" t="str">
        <f>IFERROR(INDEX(DATABASE.X:(X),MATCH(1,(DATABASE.DATE:DATE=$A22)*(DATABASE.NO:(NO)="M4"),0)),"")</f>
        <v/>
      </c>
      <c r="AZ22" t="str">
        <f>IFERROR(INDEX(DATABASE.Y:(Y),MATCH(1,(DATABASE.DATE:DATE=$A22)*(DATABASE.NO:(NO)="M4"),0)),"")</f>
        <v/>
      </c>
      <c r="BA22" t="str">
        <f>IFERROR(INDEX(DATABASE.Z:(Z),MATCH(1,(DATABASE.DATE:DATE=$A22)*(DATABASE.NO:(NO)="M4"),0)),"")</f>
        <v/>
      </c>
      <c r="BB22" t="str">
        <f>IFERROR(INDEX(DATABASE.X:(X),MATCH(1,(DATABASE.DATE:DATE=$A22)*(DATABASE.NO:(NO)="M5"),0)),"")</f>
        <v/>
      </c>
      <c r="BC22" t="str">
        <f>IFERROR(INDEX(DATABASE.Y:(Y),MATCH(1,(DATABASE.DATE:DATE=$A22)*(DATABASE.NO:(NO)="M5"),0)),"")</f>
        <v/>
      </c>
      <c r="BD22" t="str">
        <f>IFERROR(INDEX(DATABASE.Z:(Z),MATCH(1,(DATABASE.DATE:DATE=$A22)*(DATABASE.NO:(NO)="M5"),0)),"")</f>
        <v/>
      </c>
      <c r="BE22" t="str">
        <f>IFERROR(INDEX(DATABASE.X:(X),MATCH(1,(DATABASE.DATE:DATE=$A22)*(DATABASE.NO:(NO)="REF1"),0)),"")</f>
        <v/>
      </c>
      <c r="BF22" t="str">
        <f>IFERROR(INDEX(DATABASE.Y:(Y),MATCH(1,(DATABASE.DATE:DATE=$A22)*(DATABASE.NO:(NO)="REF1"),0)),"")</f>
        <v/>
      </c>
      <c r="BG22" t="str">
        <f>IFERROR(INDEX(DATABASE.Z:(Z),MATCH(1,(DATABASE.DATE:DATE=$A22)*(DATABASE.NO:(NO)="REF1"),0)),"")</f>
        <v/>
      </c>
      <c r="BH22" t="str">
        <f>IFERROR(INDEX(DATABASE.X:(X),MATCH(1,(DATABASE.DATE:DATE=$A22)*(DATABASE.NO:(NO)="REF2"),0)),"")</f>
        <v/>
      </c>
      <c r="BI22" t="str">
        <f>IFERROR(INDEX(DATABASE.Y:(Y),MATCH(1,(DATABASE.DATE:DATE=$A22)*(DATABASE.NO:(NO)="REF2"),0)),"")</f>
        <v/>
      </c>
      <c r="BJ22" t="str">
        <f>IFERROR(INDEX(DATABASE.Z:(Z),MATCH(1,(DATABASE.DATE:DATE=$A22)*(DATABASE.NO:(NO)="REF2"),0)),"")</f>
        <v/>
      </c>
    </row>
    <row r="23" spans="3:62" x14ac:dyDescent="0.25">
      <c r="C23" t="str">
        <f>IFERROR(INDEX(DATABASE.X:(X),MATCH(1,(DATABASE.DATE:DATE=$A23)*(DATABASE.NO:(NO)="V1"),0)),"")</f>
        <v/>
      </c>
      <c r="D23" t="str">
        <f>IFERROR(INDEX(DATABASE.Y:(Y),MATCH(1,(DATABASE.DATE:DATE=$A23)*(DATABASE.NO:(NO)="V1"),0)),"")</f>
        <v/>
      </c>
      <c r="E23" t="str">
        <f>IFERROR(INDEX(DATABASE.Z:(Z),MATCH(1,(DATABASE.DATE:DATE=$A23)*(DATABASE.NO:(NO)="V1"),0)),"")</f>
        <v/>
      </c>
      <c r="F23" t="str">
        <f>IFERROR(INDEX(DATABASE.X:(X),MATCH(1,(DATABASE.DATE:DATE=$A23)*(DATABASE.NO:(NO)="V2"),0)),"")</f>
        <v/>
      </c>
      <c r="G23" t="str">
        <f>IFERROR(INDEX(DATABASE.Y:(Y),MATCH(1,(DATABASE.DATE:DATE=$A23)*(DATABASE.NO:(NO)="V2"),0)),"")</f>
        <v/>
      </c>
      <c r="H23" t="str">
        <f>IFERROR(INDEX(DATABASE.Z:(Z),MATCH(1,(DATABASE.DATE:DATE=$A23)*(DATABASE.NO:(NO)="V2"),0)),"")</f>
        <v/>
      </c>
      <c r="I23" t="str">
        <f>IFERROR(INDEX(DATABASE.X:(X),MATCH(1,(DATABASE.DATE:DATE=$A23)*(DATABASE.NO:(NO)="V3"),0)),"")</f>
        <v/>
      </c>
      <c r="J23" t="str">
        <f>IFERROR(INDEX(DATABASE.Y:(Y),MATCH(1,(DATABASE.DATE:DATE=$A23)*(DATABASE.NO:(NO)="V3"),0)),"")</f>
        <v/>
      </c>
      <c r="K23" t="str">
        <f>IFERROR(INDEX(DATABASE.Z:(Z),MATCH(1,(DATABASE.DATE:DATE=$A23)*(DATABASE.NO:(NO)="V3"),0)),"")</f>
        <v/>
      </c>
      <c r="L23" t="str">
        <f>IFERROR(INDEX(DATABASE.X:(X),MATCH(1,(DATABASE.DATE:DATE=$A23)*(DATABASE.NO:(NO)="H1"),0)),"")</f>
        <v/>
      </c>
      <c r="M23" t="str">
        <f>IFERROR(INDEX(DATABASE.Y:(Y),MATCH(1,(DATABASE.DATE:DATE=$A23)*(DATABASE.NO:(NO)="H1"),0)),"")</f>
        <v/>
      </c>
      <c r="N23" t="str">
        <f>IFERROR(INDEX(DATABASE.Z:(Z),MATCH(1,(DATABASE.DATE:DATE=$A23)*(DATABASE.NO:(NO)="H1"),0)),"")</f>
        <v/>
      </c>
      <c r="O23" t="str">
        <f>IFERROR(INDEX(DATABASE.X:(X),MATCH(1,(DATABASE.DATE:DATE=$A23)*(DATABASE.NO:(NO)="H2"),0)),"")</f>
        <v/>
      </c>
      <c r="P23" t="str">
        <f>IFERROR(INDEX(DATABASE.Y:(Y),MATCH(1,(DATABASE.DATE:DATE=$A23)*(DATABASE.NO:(NO)="H2"),0)),"")</f>
        <v/>
      </c>
      <c r="Q23" t="str">
        <f>IFERROR(INDEX(DATABASE.Z:(Z),MATCH(1,(DATABASE.DATE:DATE=$A23)*(DATABASE.NO:(NO)="H2"),0)),"")</f>
        <v/>
      </c>
      <c r="R23" t="str">
        <f>IFERROR(INDEX(DATABASE.X:(X),MATCH(1,(DATABASE.DATE:DATE=$A23)*(DATABASE.NO:(NO)="H3"),0)),"")</f>
        <v/>
      </c>
      <c r="S23" t="str">
        <f>IFERROR(INDEX(DATABASE.Y:(Y),MATCH(1,(DATABASE.DATE:DATE=$A23)*(DATABASE.NO:(NO)="H3"),0)),"")</f>
        <v/>
      </c>
      <c r="T23" t="str">
        <f>IFERROR(INDEX(DATABASE.Z:(Z),MATCH(1,(DATABASE.DATE:DATE=$A23)*(DATABASE.NO:(NO)="H3"),0)),"")</f>
        <v/>
      </c>
      <c r="U23" t="str">
        <f>IFERROR(INDEX(DATABASE.X:(X),MATCH(1,(DATABASE.DATE:DATE=$A23)*(DATABASE.NO:(NO)="H4"),0)),"")</f>
        <v/>
      </c>
      <c r="V23" t="str">
        <f>IFERROR(INDEX(DATABASE.Y:(Y),MATCH(1,(DATABASE.DATE:DATE=$A23)*(DATABASE.NO:(NO)="H4"),0)),"")</f>
        <v/>
      </c>
      <c r="W23" t="str">
        <f>IFERROR(INDEX(DATABASE.Z:(Z),MATCH(1,(DATABASE.DATE:DATE=$A23)*(DATABASE.NO:(NO)="H4"),0)),"")</f>
        <v/>
      </c>
      <c r="X23" t="str">
        <f>IFERROR(INDEX(DATABASE.X:(X),MATCH(1,(DATABASE.DATE:DATE=$A23)*(DATABASE.NO:(NO)="H5"),0)),"")</f>
        <v/>
      </c>
      <c r="Y23" t="str">
        <f>IFERROR(INDEX(DATABASE.Y:(Y),MATCH(1,(DATABASE.DATE:DATE=$A23)*(DATABASE.NO:(NO)="H5"),0)),"")</f>
        <v/>
      </c>
      <c r="Z23" t="str">
        <f>IFERROR(INDEX(DATABASE.Z:(Z),MATCH(1,(DATABASE.DATE:DATE=$A23)*(DATABASE.NO:(NO)="H5"),0)),"")</f>
        <v/>
      </c>
      <c r="AA23" t="str">
        <f>IFERROR(INDEX(DATABASE.X:(X),MATCH(1,(DATABASE.DATE:DATE=$A23)*(DATABASE.NO:(NO)="B1"),0)),"")</f>
        <v/>
      </c>
      <c r="AB23" t="str">
        <f>IFERROR(INDEX(DATABASE.Y:(Y),MATCH(1,(DATABASE.DATE:DATE=$A23)*(DATABASE.NO:(NO)="B1"),0)),"")</f>
        <v/>
      </c>
      <c r="AC23" t="str">
        <f>IFERROR(INDEX(DATABASE.Z:(Z),MATCH(1,(DATABASE.DATE:DATE=$A23)*(DATABASE.NO:(NO)="B1"),0)),"")</f>
        <v/>
      </c>
      <c r="AD23" t="str">
        <f>IFERROR(INDEX(DATABASE.X:(X),MATCH(1,(DATABASE.DATE:DATE=$A23)*(DATABASE.NO:(NO)="B2"),0)),"")</f>
        <v/>
      </c>
      <c r="AE23" t="str">
        <f>IFERROR(INDEX(DATABASE.Y:(Y),MATCH(1,(DATABASE.DATE:DATE=$A23)*(DATABASE.NO:(NO)="B2"),0)),"")</f>
        <v/>
      </c>
      <c r="AF23" t="str">
        <f>IFERROR(INDEX(DATABASE.Z:(Z),MATCH(1,(DATABASE.DATE:DATE=$A23)*(DATABASE.NO:(NO)="B2"),0)),"")</f>
        <v/>
      </c>
      <c r="AG23" t="str">
        <f>IFERROR(INDEX(DATABASE.X:(X),MATCH(1,(DATABASE.DATE:DATE=$A23)*(DATABASE.NO:(NO)="B3"),0)),"")</f>
        <v/>
      </c>
      <c r="AH23" t="str">
        <f>IFERROR(INDEX(DATABASE.Y:(Y),MATCH(1,(DATABASE.DATE:DATE=$A23)*(DATABASE.NO:(NO)="B3"),0)),"")</f>
        <v/>
      </c>
      <c r="AI23" t="str">
        <f>IFERROR(INDEX(DATABASE.Z:(Z),MATCH(1,(DATABASE.DATE:DATE=$A23)*(DATABASE.NO:(NO)="B3"),0)),"")</f>
        <v/>
      </c>
      <c r="AJ23" t="str">
        <f>IFERROR(INDEX(DATABASE.X:(X),MATCH(1,(DATABASE.DATE:DATE=$A23)*(DATABASE.NO:(NO)="B4"),0)),"")</f>
        <v/>
      </c>
      <c r="AK23" t="str">
        <f>IFERROR(INDEX(DATABASE.Y:(Y),MATCH(1,(DATABASE.DATE:DATE=$A23)*(DATABASE.NO:(NO)="B4"),0)),"")</f>
        <v/>
      </c>
      <c r="AL23" t="str">
        <f>IFERROR(INDEX(DATABASE.Z:(Z),MATCH(1,(DATABASE.DATE:DATE=$A23)*(DATABASE.NO:(NO)="B4"),0)),"")</f>
        <v/>
      </c>
      <c r="AM23" t="str">
        <f>IFERROR(INDEX(DATABASE.X:(X),MATCH(1,(DATABASE.DATE:DATE=$A23)*(DATABASE.NO:(NO)="B5"),0)),"")</f>
        <v/>
      </c>
      <c r="AN23" t="str">
        <f>IFERROR(INDEX(DATABASE.Y:(Y),MATCH(1,(DATABASE.DATE:DATE=$A23)*(DATABASE.NO:(NO)="B5"),0)),"")</f>
        <v/>
      </c>
      <c r="AO23" t="str">
        <f>IFERROR(INDEX(DATABASE.Z:(Z),MATCH(1,(DATABASE.DATE:DATE=$A23)*(DATABASE.NO:(NO)="B5"),0)),"")</f>
        <v/>
      </c>
      <c r="AP23" t="str">
        <f>IFERROR(INDEX(DATABASE.X:(X),MATCH(1,(DATABASE.DATE:DATE=$A23)*(DATABASE.NO:(NO)="M1"),0)),"")</f>
        <v/>
      </c>
      <c r="AQ23" t="str">
        <f>IFERROR(INDEX(DATABASE.Y:(Y),MATCH(1,(DATABASE.DATE:DATE=$A23)*(DATABASE.NO:(NO)="M1"),0)),"")</f>
        <v/>
      </c>
      <c r="AR23" t="str">
        <f>IFERROR(INDEX(DATABASE.Z:(Z),MATCH(1,(DATABASE.DATE:DATE=$A23)*(DATABASE.NO:(NO)="M1"),0)),"")</f>
        <v/>
      </c>
      <c r="AS23" t="str">
        <f>IFERROR(INDEX(DATABASE.X:(X),MATCH(1,(DATABASE.DATE:DATE=$A23)*(DATABASE.NO:(NO)="M2"),0)),"")</f>
        <v/>
      </c>
      <c r="AT23" t="str">
        <f>IFERROR(INDEX(DATABASE.Y:(Y),MATCH(1,(DATABASE.DATE:DATE=$A23)*(DATABASE.NO:(NO)="M2"),0)),"")</f>
        <v/>
      </c>
      <c r="AU23" t="str">
        <f>IFERROR(INDEX(DATABASE.Z:(Z),MATCH(1,(DATABASE.DATE:DATE=$A23)*(DATABASE.NO:(NO)="M2"),0)),"")</f>
        <v/>
      </c>
      <c r="AV23" t="str">
        <f>IFERROR(INDEX(DATABASE.X:(X),MATCH(1,(DATABASE.DATE:DATE=$A23)*(DATABASE.NO:(NO)="M3"),0)),"")</f>
        <v/>
      </c>
      <c r="AW23" t="str">
        <f>IFERROR(INDEX(DATABASE.Y:(Y),MATCH(1,(DATABASE.DATE:DATE=$A23)*(DATABASE.NO:(NO)="M3"),0)),"")</f>
        <v/>
      </c>
      <c r="AX23" t="str">
        <f>IFERROR(INDEX(DATABASE.Z:(Z),MATCH(1,(DATABASE.DATE:DATE=$A23)*(DATABASE.NO:(NO)="M3"),0)),"")</f>
        <v/>
      </c>
      <c r="AY23" t="str">
        <f>IFERROR(INDEX(DATABASE.X:(X),MATCH(1,(DATABASE.DATE:DATE=$A23)*(DATABASE.NO:(NO)="M4"),0)),"")</f>
        <v/>
      </c>
      <c r="AZ23" t="str">
        <f>IFERROR(INDEX(DATABASE.Y:(Y),MATCH(1,(DATABASE.DATE:DATE=$A23)*(DATABASE.NO:(NO)="M4"),0)),"")</f>
        <v/>
      </c>
      <c r="BA23" t="str">
        <f>IFERROR(INDEX(DATABASE.Z:(Z),MATCH(1,(DATABASE.DATE:DATE=$A23)*(DATABASE.NO:(NO)="M4"),0)),"")</f>
        <v/>
      </c>
      <c r="BB23" t="str">
        <f>IFERROR(INDEX(DATABASE.X:(X),MATCH(1,(DATABASE.DATE:DATE=$A23)*(DATABASE.NO:(NO)="M5"),0)),"")</f>
        <v/>
      </c>
      <c r="BC23" t="str">
        <f>IFERROR(INDEX(DATABASE.Y:(Y),MATCH(1,(DATABASE.DATE:DATE=$A23)*(DATABASE.NO:(NO)="M5"),0)),"")</f>
        <v/>
      </c>
      <c r="BD23" t="str">
        <f>IFERROR(INDEX(DATABASE.Z:(Z),MATCH(1,(DATABASE.DATE:DATE=$A23)*(DATABASE.NO:(NO)="M5"),0)),"")</f>
        <v/>
      </c>
      <c r="BE23" t="str">
        <f>IFERROR(INDEX(DATABASE.X:(X),MATCH(1,(DATABASE.DATE:DATE=$A23)*(DATABASE.NO:(NO)="REF1"),0)),"")</f>
        <v/>
      </c>
      <c r="BF23" t="str">
        <f>IFERROR(INDEX(DATABASE.Y:(Y),MATCH(1,(DATABASE.DATE:DATE=$A23)*(DATABASE.NO:(NO)="REF1"),0)),"")</f>
        <v/>
      </c>
      <c r="BG23" t="str">
        <f>IFERROR(INDEX(DATABASE.Z:(Z),MATCH(1,(DATABASE.DATE:DATE=$A23)*(DATABASE.NO:(NO)="REF1"),0)),"")</f>
        <v/>
      </c>
      <c r="BH23" t="str">
        <f>IFERROR(INDEX(DATABASE.X:(X),MATCH(1,(DATABASE.DATE:DATE=$A23)*(DATABASE.NO:(NO)="REF2"),0)),"")</f>
        <v/>
      </c>
      <c r="BI23" t="str">
        <f>IFERROR(INDEX(DATABASE.Y:(Y),MATCH(1,(DATABASE.DATE:DATE=$A23)*(DATABASE.NO:(NO)="REF2"),0)),"")</f>
        <v/>
      </c>
      <c r="BJ23" t="str">
        <f>IFERROR(INDEX(DATABASE.Z:(Z),MATCH(1,(DATABASE.DATE:DATE=$A23)*(DATABASE.NO:(NO)="REF2"),0)),"")</f>
        <v/>
      </c>
    </row>
    <row r="24" spans="3:62" x14ac:dyDescent="0.25">
      <c r="C24" t="str">
        <f>IFERROR(INDEX(DATABASE.X:(X),MATCH(1,(DATABASE.DATE:DATE=$A24)*(DATABASE.NO:(NO)="V1"),0)),"")</f>
        <v/>
      </c>
      <c r="D24" t="str">
        <f>IFERROR(INDEX(DATABASE.Y:(Y),MATCH(1,(DATABASE.DATE:DATE=$A24)*(DATABASE.NO:(NO)="V1"),0)),"")</f>
        <v/>
      </c>
      <c r="E24" t="str">
        <f>IFERROR(INDEX(DATABASE.Z:(Z),MATCH(1,(DATABASE.DATE:DATE=$A24)*(DATABASE.NO:(NO)="V1"),0)),"")</f>
        <v/>
      </c>
      <c r="F24" t="str">
        <f>IFERROR(INDEX(DATABASE.X:(X),MATCH(1,(DATABASE.DATE:DATE=$A24)*(DATABASE.NO:(NO)="V2"),0)),"")</f>
        <v/>
      </c>
      <c r="G24" t="str">
        <f>IFERROR(INDEX(DATABASE.Y:(Y),MATCH(1,(DATABASE.DATE:DATE=$A24)*(DATABASE.NO:(NO)="V2"),0)),"")</f>
        <v/>
      </c>
      <c r="H24" t="str">
        <f>IFERROR(INDEX(DATABASE.Z:(Z),MATCH(1,(DATABASE.DATE:DATE=$A24)*(DATABASE.NO:(NO)="V2"),0)),"")</f>
        <v/>
      </c>
      <c r="I24" t="str">
        <f>IFERROR(INDEX(DATABASE.X:(X),MATCH(1,(DATABASE.DATE:DATE=$A24)*(DATABASE.NO:(NO)="V3"),0)),"")</f>
        <v/>
      </c>
      <c r="J24" t="str">
        <f>IFERROR(INDEX(DATABASE.Y:(Y),MATCH(1,(DATABASE.DATE:DATE=$A24)*(DATABASE.NO:(NO)="V3"),0)),"")</f>
        <v/>
      </c>
      <c r="K24" t="str">
        <f>IFERROR(INDEX(DATABASE.Z:(Z),MATCH(1,(DATABASE.DATE:DATE=$A24)*(DATABASE.NO:(NO)="V3"),0)),"")</f>
        <v/>
      </c>
      <c r="L24" t="str">
        <f>IFERROR(INDEX(DATABASE.X:(X),MATCH(1,(DATABASE.DATE:DATE=$A24)*(DATABASE.NO:(NO)="H1"),0)),"")</f>
        <v/>
      </c>
      <c r="M24" t="str">
        <f>IFERROR(INDEX(DATABASE.Y:(Y),MATCH(1,(DATABASE.DATE:DATE=$A24)*(DATABASE.NO:(NO)="H1"),0)),"")</f>
        <v/>
      </c>
      <c r="N24" t="str">
        <f>IFERROR(INDEX(DATABASE.Z:(Z),MATCH(1,(DATABASE.DATE:DATE=$A24)*(DATABASE.NO:(NO)="H1"),0)),"")</f>
        <v/>
      </c>
      <c r="O24" t="str">
        <f>IFERROR(INDEX(DATABASE.X:(X),MATCH(1,(DATABASE.DATE:DATE=$A24)*(DATABASE.NO:(NO)="H2"),0)),"")</f>
        <v/>
      </c>
      <c r="P24" t="str">
        <f>IFERROR(INDEX(DATABASE.Y:(Y),MATCH(1,(DATABASE.DATE:DATE=$A24)*(DATABASE.NO:(NO)="H2"),0)),"")</f>
        <v/>
      </c>
      <c r="Q24" t="str">
        <f>IFERROR(INDEX(DATABASE.Z:(Z),MATCH(1,(DATABASE.DATE:DATE=$A24)*(DATABASE.NO:(NO)="H2"),0)),"")</f>
        <v/>
      </c>
      <c r="R24" t="str">
        <f>IFERROR(INDEX(DATABASE.X:(X),MATCH(1,(DATABASE.DATE:DATE=$A24)*(DATABASE.NO:(NO)="H3"),0)),"")</f>
        <v/>
      </c>
      <c r="S24" t="str">
        <f>IFERROR(INDEX(DATABASE.Y:(Y),MATCH(1,(DATABASE.DATE:DATE=$A24)*(DATABASE.NO:(NO)="H3"),0)),"")</f>
        <v/>
      </c>
      <c r="T24" t="str">
        <f>IFERROR(INDEX(DATABASE.Z:(Z),MATCH(1,(DATABASE.DATE:DATE=$A24)*(DATABASE.NO:(NO)="H3"),0)),"")</f>
        <v/>
      </c>
      <c r="U24" t="str">
        <f>IFERROR(INDEX(DATABASE.X:(X),MATCH(1,(DATABASE.DATE:DATE=$A24)*(DATABASE.NO:(NO)="H4"),0)),"")</f>
        <v/>
      </c>
      <c r="V24" t="str">
        <f>IFERROR(INDEX(DATABASE.Y:(Y),MATCH(1,(DATABASE.DATE:DATE=$A24)*(DATABASE.NO:(NO)="H4"),0)),"")</f>
        <v/>
      </c>
      <c r="W24" t="str">
        <f>IFERROR(INDEX(DATABASE.Z:(Z),MATCH(1,(DATABASE.DATE:DATE=$A24)*(DATABASE.NO:(NO)="H4"),0)),"")</f>
        <v/>
      </c>
      <c r="X24" t="str">
        <f>IFERROR(INDEX(DATABASE.X:(X),MATCH(1,(DATABASE.DATE:DATE=$A24)*(DATABASE.NO:(NO)="H5"),0)),"")</f>
        <v/>
      </c>
      <c r="Y24" t="str">
        <f>IFERROR(INDEX(DATABASE.Y:(Y),MATCH(1,(DATABASE.DATE:DATE=$A24)*(DATABASE.NO:(NO)="H5"),0)),"")</f>
        <v/>
      </c>
      <c r="Z24" t="str">
        <f>IFERROR(INDEX(DATABASE.Z:(Z),MATCH(1,(DATABASE.DATE:DATE=$A24)*(DATABASE.NO:(NO)="H5"),0)),"")</f>
        <v/>
      </c>
      <c r="AA24" t="str">
        <f>IFERROR(INDEX(DATABASE.X:(X),MATCH(1,(DATABASE.DATE:DATE=$A24)*(DATABASE.NO:(NO)="B1"),0)),"")</f>
        <v/>
      </c>
      <c r="AB24" t="str">
        <f>IFERROR(INDEX(DATABASE.Y:(Y),MATCH(1,(DATABASE.DATE:DATE=$A24)*(DATABASE.NO:(NO)="B1"),0)),"")</f>
        <v/>
      </c>
      <c r="AC24" t="str">
        <f>IFERROR(INDEX(DATABASE.Z:(Z),MATCH(1,(DATABASE.DATE:DATE=$A24)*(DATABASE.NO:(NO)="B1"),0)),"")</f>
        <v/>
      </c>
      <c r="AD24" t="str">
        <f>IFERROR(INDEX(DATABASE.X:(X),MATCH(1,(DATABASE.DATE:DATE=$A24)*(DATABASE.NO:(NO)="B2"),0)),"")</f>
        <v/>
      </c>
      <c r="AE24" t="str">
        <f>IFERROR(INDEX(DATABASE.Y:(Y),MATCH(1,(DATABASE.DATE:DATE=$A24)*(DATABASE.NO:(NO)="B2"),0)),"")</f>
        <v/>
      </c>
      <c r="AF24" t="str">
        <f>IFERROR(INDEX(DATABASE.Z:(Z),MATCH(1,(DATABASE.DATE:DATE=$A24)*(DATABASE.NO:(NO)="B2"),0)),"")</f>
        <v/>
      </c>
      <c r="AG24" t="str">
        <f>IFERROR(INDEX(DATABASE.X:(X),MATCH(1,(DATABASE.DATE:DATE=$A24)*(DATABASE.NO:(NO)="B3"),0)),"")</f>
        <v/>
      </c>
      <c r="AH24" t="str">
        <f>IFERROR(INDEX(DATABASE.Y:(Y),MATCH(1,(DATABASE.DATE:DATE=$A24)*(DATABASE.NO:(NO)="B3"),0)),"")</f>
        <v/>
      </c>
      <c r="AI24" t="str">
        <f>IFERROR(INDEX(DATABASE.Z:(Z),MATCH(1,(DATABASE.DATE:DATE=$A24)*(DATABASE.NO:(NO)="B3"),0)),"")</f>
        <v/>
      </c>
      <c r="AJ24" t="str">
        <f>IFERROR(INDEX(DATABASE.X:(X),MATCH(1,(DATABASE.DATE:DATE=$A24)*(DATABASE.NO:(NO)="B4"),0)),"")</f>
        <v/>
      </c>
      <c r="AK24" t="str">
        <f>IFERROR(INDEX(DATABASE.Y:(Y),MATCH(1,(DATABASE.DATE:DATE=$A24)*(DATABASE.NO:(NO)="B4"),0)),"")</f>
        <v/>
      </c>
      <c r="AL24" t="str">
        <f>IFERROR(INDEX(DATABASE.Z:(Z),MATCH(1,(DATABASE.DATE:DATE=$A24)*(DATABASE.NO:(NO)="B4"),0)),"")</f>
        <v/>
      </c>
      <c r="AM24" t="str">
        <f>IFERROR(INDEX(DATABASE.X:(X),MATCH(1,(DATABASE.DATE:DATE=$A24)*(DATABASE.NO:(NO)="B5"),0)),"")</f>
        <v/>
      </c>
      <c r="AN24" t="str">
        <f>IFERROR(INDEX(DATABASE.Y:(Y),MATCH(1,(DATABASE.DATE:DATE=$A24)*(DATABASE.NO:(NO)="B5"),0)),"")</f>
        <v/>
      </c>
      <c r="AO24" t="str">
        <f>IFERROR(INDEX(DATABASE.Z:(Z),MATCH(1,(DATABASE.DATE:DATE=$A24)*(DATABASE.NO:(NO)="B5"),0)),"")</f>
        <v/>
      </c>
      <c r="AP24" t="str">
        <f>IFERROR(INDEX(DATABASE.X:(X),MATCH(1,(DATABASE.DATE:DATE=$A24)*(DATABASE.NO:(NO)="M1"),0)),"")</f>
        <v/>
      </c>
      <c r="AQ24" t="str">
        <f>IFERROR(INDEX(DATABASE.Y:(Y),MATCH(1,(DATABASE.DATE:DATE=$A24)*(DATABASE.NO:(NO)="M1"),0)),"")</f>
        <v/>
      </c>
      <c r="AR24" t="str">
        <f>IFERROR(INDEX(DATABASE.Z:(Z),MATCH(1,(DATABASE.DATE:DATE=$A24)*(DATABASE.NO:(NO)="M1"),0)),"")</f>
        <v/>
      </c>
      <c r="AS24" t="str">
        <f>IFERROR(INDEX(DATABASE.X:(X),MATCH(1,(DATABASE.DATE:DATE=$A24)*(DATABASE.NO:(NO)="M2"),0)),"")</f>
        <v/>
      </c>
      <c r="AT24" t="str">
        <f>IFERROR(INDEX(DATABASE.Y:(Y),MATCH(1,(DATABASE.DATE:DATE=$A24)*(DATABASE.NO:(NO)="M2"),0)),"")</f>
        <v/>
      </c>
      <c r="AU24" t="str">
        <f>IFERROR(INDEX(DATABASE.Z:(Z),MATCH(1,(DATABASE.DATE:DATE=$A24)*(DATABASE.NO:(NO)="M2"),0)),"")</f>
        <v/>
      </c>
      <c r="AV24" t="str">
        <f>IFERROR(INDEX(DATABASE.X:(X),MATCH(1,(DATABASE.DATE:DATE=$A24)*(DATABASE.NO:(NO)="M3"),0)),"")</f>
        <v/>
      </c>
      <c r="AW24" t="str">
        <f>IFERROR(INDEX(DATABASE.Y:(Y),MATCH(1,(DATABASE.DATE:DATE=$A24)*(DATABASE.NO:(NO)="M3"),0)),"")</f>
        <v/>
      </c>
      <c r="AX24" t="str">
        <f>IFERROR(INDEX(DATABASE.Z:(Z),MATCH(1,(DATABASE.DATE:DATE=$A24)*(DATABASE.NO:(NO)="M3"),0)),"")</f>
        <v/>
      </c>
      <c r="AY24" t="str">
        <f>IFERROR(INDEX(DATABASE.X:(X),MATCH(1,(DATABASE.DATE:DATE=$A24)*(DATABASE.NO:(NO)="M4"),0)),"")</f>
        <v/>
      </c>
      <c r="AZ24" t="str">
        <f>IFERROR(INDEX(DATABASE.Y:(Y),MATCH(1,(DATABASE.DATE:DATE=$A24)*(DATABASE.NO:(NO)="M4"),0)),"")</f>
        <v/>
      </c>
      <c r="BA24" t="str">
        <f>IFERROR(INDEX(DATABASE.Z:(Z),MATCH(1,(DATABASE.DATE:DATE=$A24)*(DATABASE.NO:(NO)="M4"),0)),"")</f>
        <v/>
      </c>
      <c r="BB24" t="str">
        <f>IFERROR(INDEX(DATABASE.X:(X),MATCH(1,(DATABASE.DATE:DATE=$A24)*(DATABASE.NO:(NO)="M5"),0)),"")</f>
        <v/>
      </c>
      <c r="BC24" t="str">
        <f>IFERROR(INDEX(DATABASE.Y:(Y),MATCH(1,(DATABASE.DATE:DATE=$A24)*(DATABASE.NO:(NO)="M5"),0)),"")</f>
        <v/>
      </c>
      <c r="BD24" t="str">
        <f>IFERROR(INDEX(DATABASE.Z:(Z),MATCH(1,(DATABASE.DATE:DATE=$A24)*(DATABASE.NO:(NO)="M5"),0)),"")</f>
        <v/>
      </c>
      <c r="BE24" t="str">
        <f>IFERROR(INDEX(DATABASE.X:(X),MATCH(1,(DATABASE.DATE:DATE=$A24)*(DATABASE.NO:(NO)="REF1"),0)),"")</f>
        <v/>
      </c>
      <c r="BF24" t="str">
        <f>IFERROR(INDEX(DATABASE.Y:(Y),MATCH(1,(DATABASE.DATE:DATE=$A24)*(DATABASE.NO:(NO)="REF1"),0)),"")</f>
        <v/>
      </c>
      <c r="BG24" t="str">
        <f>IFERROR(INDEX(DATABASE.Z:(Z),MATCH(1,(DATABASE.DATE:DATE=$A24)*(DATABASE.NO:(NO)="REF1"),0)),"")</f>
        <v/>
      </c>
      <c r="BH24" t="str">
        <f>IFERROR(INDEX(DATABASE.X:(X),MATCH(1,(DATABASE.DATE:DATE=$A24)*(DATABASE.NO:(NO)="REF2"),0)),"")</f>
        <v/>
      </c>
      <c r="BI24" t="str">
        <f>IFERROR(INDEX(DATABASE.Y:(Y),MATCH(1,(DATABASE.DATE:DATE=$A24)*(DATABASE.NO:(NO)="REF2"),0)),"")</f>
        <v/>
      </c>
      <c r="BJ24" t="str">
        <f>IFERROR(INDEX(DATABASE.Z:(Z),MATCH(1,(DATABASE.DATE:DATE=$A24)*(DATABASE.NO:(NO)="REF2"),0)),"")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7:BJ24"/>
  <sheetViews>
    <sheetView workbookViewId="0">
      <selection activeCell="N15" sqref="N15"/>
    </sheetView>
  </sheetViews>
  <sheetFormatPr baseColWidth="10" defaultColWidth="9.140625" defaultRowHeight="15" x14ac:dyDescent="0.25"/>
  <sheetData>
    <row r="7" spans="1:62" x14ac:dyDescent="0.25">
      <c r="A7" t="s">
        <v>12</v>
      </c>
    </row>
    <row r="8" spans="1:62" x14ac:dyDescent="0.25">
      <c r="A8" t="s">
        <v>13</v>
      </c>
      <c r="B8" t="s">
        <v>14</v>
      </c>
    </row>
    <row r="9" spans="1:62" x14ac:dyDescent="0.25">
      <c r="A9" t="s">
        <v>13</v>
      </c>
      <c r="B9" t="s">
        <v>14</v>
      </c>
      <c r="C9" t="s">
        <v>79</v>
      </c>
      <c r="D9" t="s">
        <v>80</v>
      </c>
      <c r="E9" t="s">
        <v>81</v>
      </c>
      <c r="F9" t="s">
        <v>82</v>
      </c>
      <c r="G9" t="s">
        <v>83</v>
      </c>
      <c r="H9" t="s">
        <v>84</v>
      </c>
      <c r="I9" t="s">
        <v>85</v>
      </c>
      <c r="J9" t="s">
        <v>86</v>
      </c>
      <c r="K9" t="s">
        <v>87</v>
      </c>
      <c r="L9" t="s">
        <v>88</v>
      </c>
      <c r="M9" t="s">
        <v>89</v>
      </c>
      <c r="N9" t="s">
        <v>90</v>
      </c>
      <c r="O9" t="s">
        <v>91</v>
      </c>
      <c r="P9" t="s">
        <v>92</v>
      </c>
      <c r="Q9" t="s">
        <v>93</v>
      </c>
      <c r="R9" t="s">
        <v>94</v>
      </c>
      <c r="S9" t="s">
        <v>95</v>
      </c>
      <c r="T9" t="s">
        <v>96</v>
      </c>
      <c r="U9" t="s">
        <v>97</v>
      </c>
      <c r="V9" t="s">
        <v>98</v>
      </c>
      <c r="W9" t="s">
        <v>99</v>
      </c>
      <c r="X9" t="s">
        <v>100</v>
      </c>
      <c r="Y9" t="s">
        <v>101</v>
      </c>
      <c r="Z9" t="s">
        <v>102</v>
      </c>
      <c r="AA9" t="s">
        <v>103</v>
      </c>
      <c r="AB9" t="s">
        <v>104</v>
      </c>
      <c r="AC9" t="s">
        <v>105</v>
      </c>
      <c r="AD9" t="s">
        <v>106</v>
      </c>
      <c r="AE9" t="s">
        <v>107</v>
      </c>
      <c r="AF9" t="s">
        <v>108</v>
      </c>
      <c r="AG9" t="s">
        <v>109</v>
      </c>
      <c r="AH9" t="s">
        <v>110</v>
      </c>
      <c r="AI9" t="s">
        <v>111</v>
      </c>
      <c r="AJ9" t="s">
        <v>112</v>
      </c>
      <c r="AK9" t="s">
        <v>113</v>
      </c>
      <c r="AL9" t="s">
        <v>114</v>
      </c>
      <c r="AM9" t="s">
        <v>115</v>
      </c>
      <c r="AN9" t="s">
        <v>116</v>
      </c>
      <c r="AO9" t="s">
        <v>117</v>
      </c>
      <c r="AP9" t="s">
        <v>118</v>
      </c>
      <c r="AQ9" t="s">
        <v>119</v>
      </c>
      <c r="AR9" t="s">
        <v>120</v>
      </c>
      <c r="AS9" t="s">
        <v>121</v>
      </c>
      <c r="AT9" t="s">
        <v>122</v>
      </c>
      <c r="AU9" t="s">
        <v>123</v>
      </c>
      <c r="AV9" t="s">
        <v>124</v>
      </c>
      <c r="AW9" t="s">
        <v>125</v>
      </c>
      <c r="AX9" t="s">
        <v>126</v>
      </c>
      <c r="AY9" t="s">
        <v>127</v>
      </c>
      <c r="AZ9" t="s">
        <v>128</v>
      </c>
      <c r="BA9" t="s">
        <v>129</v>
      </c>
      <c r="BB9" t="s">
        <v>130</v>
      </c>
      <c r="BC9" t="s">
        <v>131</v>
      </c>
      <c r="BD9" t="s">
        <v>132</v>
      </c>
      <c r="BE9" t="s">
        <v>133</v>
      </c>
      <c r="BF9" t="s">
        <v>134</v>
      </c>
      <c r="BG9" t="s">
        <v>135</v>
      </c>
      <c r="BH9" t="s">
        <v>136</v>
      </c>
      <c r="BI9" t="s">
        <v>137</v>
      </c>
      <c r="BJ9" t="s">
        <v>138</v>
      </c>
    </row>
    <row r="10" spans="1:62" x14ac:dyDescent="0.25">
      <c r="A10" t="s">
        <v>6</v>
      </c>
      <c r="B10">
        <v>0</v>
      </c>
      <c r="C10" t="str">
        <f ca="1">IFERROR( _xludf.LET( x_mes, INDEX(DATABASE.X:(X),MATCH(1,(DATABASE.DATE:DATE=$A10)*(DATABASE.NO:(NO)="V1"),0)), y_mes, INDEX(DATABASE.Y:(Y),MATCH(1,(DATABASE.DATE:DATE=$A10)*(DATABASE.NO:(NO)="V1"),0)), dx_mes, x_mes-823216.6581, dy_mes, y_mes-1091503.0821, proj_long, (dx_mes*42.2619000000413 + dy_mes*-90.6307000000961)/99.9999598705965, 0 + proj_long ), "" )</f>
        <v/>
      </c>
      <c r="D10" t="str">
        <f ca="1">IFERROR( _xludf.LET( x_mes, INDEX(DATABASE.X:(X),MATCH(1,(DATABASE.DATE:DATE=$A10)*(DATABASE.NO:(NO)="V1"),0)), y_mes, INDEX(DATABASE.Y:(Y),MATCH(1,(DATABASE.DATE:DATE=$A10)*(DATABASE.NO:(NO)="V1"),0)),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E10" t="str">
        <f>IFERROR( INDEX(DATABASE.Z:(Z),MATCH(1,(DATABASE.DATE:DATE=$A10)*(DATABASE.NO:(NO)="V1"),0)) - -123.621, "" )</f>
        <v/>
      </c>
      <c r="F10" t="str">
        <f ca="1">IFERROR( _xludf.LET( x_mes, INDEX(DATABASE.X:(X),MATCH(1,(DATABASE.DATE:DATE=$A10)*(DATABASE.NO:(NO)="V2"),0)), y_mes, INDEX(DATABASE.Y:(Y),MATCH(1,(DATABASE.DATE:DATE=$A10)*(DATABASE.NO:(NO)="V2"),0)), dx_mes, x_mes-823216.6581, dy_mes, y_mes-1091503.0821, proj_long, (dx_mes*42.2619000000413 + dy_mes*-90.6307000000961)/99.9999598705965, 0 + proj_long ), "" )</f>
        <v/>
      </c>
      <c r="G10" t="str">
        <f ca="1">IFERROR( _xludf.LET( x_mes, INDEX(DATABASE.X:(X),MATCH(1,(DATABASE.DATE:DATE=$A10)*(DATABASE.NO:(NO)="V2"),0)), y_mes, INDEX(DATABASE.Y:(Y),MATCH(1,(DATABASE.DATE:DATE=$A10)*(DATABASE.NO:(NO)="V2"),0)),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H10" t="str">
        <f>IFERROR( INDEX(DATABASE.Z:(Z),MATCH(1,(DATABASE.DATE:DATE=$A10)*(DATABASE.NO:(NO)="V2"),0)) - -123.621, "" )</f>
        <v/>
      </c>
      <c r="I10" t="str">
        <f ca="1">IFERROR( _xludf.LET( x_mes, INDEX(DATABASE.X:(X),MATCH(1,(DATABASE.DATE:DATE=$A10)*(DATABASE.NO:(NO)="V3"),0)), y_mes, INDEX(DATABASE.Y:(Y),MATCH(1,(DATABASE.DATE:DATE=$A10)*(DATABASE.NO:(NO)="V3"),0)), dx_mes, x_mes-823216.6581, dy_mes, y_mes-1091503.0821, proj_long, (dx_mes*42.2619000000413 + dy_mes*-90.6307000000961)/99.9999598705965, 0 + proj_long ), "" )</f>
        <v/>
      </c>
      <c r="J10" t="str">
        <f ca="1">IFERROR( _xludf.LET( x_mes, INDEX(DATABASE.X:(X),MATCH(1,(DATABASE.DATE:DATE=$A10)*(DATABASE.NO:(NO)="V3"),0)), y_mes, INDEX(DATABASE.Y:(Y),MATCH(1,(DATABASE.DATE:DATE=$A10)*(DATABASE.NO:(NO)="V3"),0)),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K10" t="str">
        <f>IFERROR( INDEX(DATABASE.Z:(Z),MATCH(1,(DATABASE.DATE:DATE=$A10)*(DATABASE.NO:(NO)="V3"),0)) - -123.621, "" )</f>
        <v/>
      </c>
      <c r="L10" t="str">
        <f ca="1">IFERROR( _xludf.LET( x_mes, INDEX(DATABASE.X:(X),MATCH(1,(DATABASE.DATE:DATE=$A10)*(DATABASE.NO:(NO)="H1"),0)), y_mes, INDEX(DATABASE.Y:(Y),MATCH(1,(DATABASE.DATE:DATE=$A10)*(DATABASE.NO:(NO)="H1"),0)), dx_mes, x_mes-823216.6581, dy_mes, y_mes-1091503.0821, proj_long, (dx_mes*42.2619000000413 + dy_mes*-90.6307000000961)/99.9999598705965, 0 + proj_long ), "" )</f>
        <v/>
      </c>
      <c r="M10" t="str">
        <f ca="1">IFERROR( _xludf.LET( x_mes, INDEX(DATABASE.X:(X),MATCH(1,(DATABASE.DATE:DATE=$A10)*(DATABASE.NO:(NO)="H1"),0)), y_mes, INDEX(DATABASE.Y:(Y),MATCH(1,(DATABASE.DATE:DATE=$A10)*(DATABASE.NO:(NO)="H1"),0)),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N10" t="str">
        <f>IFERROR( INDEX(DATABASE.Z:(Z),MATCH(1,(DATABASE.DATE:DATE=$A10)*(DATABASE.NO:(NO)="H1"),0)) - -123.621, "" )</f>
        <v/>
      </c>
      <c r="O10" t="str">
        <f ca="1">IFERROR( _xludf.LET( x_mes, INDEX(DATABASE.X:(X),MATCH(1,(DATABASE.DATE:DATE=$A10)*(DATABASE.NO:(NO)="H2"),0)), y_mes, INDEX(DATABASE.Y:(Y),MATCH(1,(DATABASE.DATE:DATE=$A10)*(DATABASE.NO:(NO)="H2"),0)), dx_mes, x_mes-823216.6581, dy_mes, y_mes-1091503.0821, proj_long, (dx_mes*42.2619000000413 + dy_mes*-90.6307000000961)/99.9999598705965, 0 + proj_long ), "" )</f>
        <v/>
      </c>
      <c r="P10" t="str">
        <f ca="1">IFERROR( _xludf.LET( x_mes, INDEX(DATABASE.X:(X),MATCH(1,(DATABASE.DATE:DATE=$A10)*(DATABASE.NO:(NO)="H2"),0)), y_mes, INDEX(DATABASE.Y:(Y),MATCH(1,(DATABASE.DATE:DATE=$A10)*(DATABASE.NO:(NO)="H2"),0)),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Q10" t="str">
        <f>IFERROR( INDEX(DATABASE.Z:(Z),MATCH(1,(DATABASE.DATE:DATE=$A10)*(DATABASE.NO:(NO)="H2"),0)) - -123.621, "" )</f>
        <v/>
      </c>
      <c r="R10" t="str">
        <f ca="1">IFERROR( _xludf.LET( x_mes, INDEX(DATABASE.X:(X),MATCH(1,(DATABASE.DATE:DATE=$A10)*(DATABASE.NO:(NO)="H3"),0)), y_mes, INDEX(DATABASE.Y:(Y),MATCH(1,(DATABASE.DATE:DATE=$A10)*(DATABASE.NO:(NO)="H3"),0)), dx_mes, x_mes-823216.6581, dy_mes, y_mes-1091503.0821, proj_long, (dx_mes*42.2619000000413 + dy_mes*-90.6307000000961)/99.9999598705965, 0 + proj_long ), "" )</f>
        <v/>
      </c>
      <c r="S10" t="str">
        <f ca="1">IFERROR( _xludf.LET( x_mes, INDEX(DATABASE.X:(X),MATCH(1,(DATABASE.DATE:DATE=$A10)*(DATABASE.NO:(NO)="H3"),0)), y_mes, INDEX(DATABASE.Y:(Y),MATCH(1,(DATABASE.DATE:DATE=$A10)*(DATABASE.NO:(NO)="H3"),0)),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T10" t="str">
        <f>IFERROR( INDEX(DATABASE.Z:(Z),MATCH(1,(DATABASE.DATE:DATE=$A10)*(DATABASE.NO:(NO)="H3"),0)) - -123.621, "" )</f>
        <v/>
      </c>
      <c r="U10" t="str">
        <f ca="1">IFERROR( _xludf.LET( x_mes, INDEX(DATABASE.X:(X),MATCH(1,(DATABASE.DATE:DATE=$A10)*(DATABASE.NO:(NO)="H4"),0)), y_mes, INDEX(DATABASE.Y:(Y),MATCH(1,(DATABASE.DATE:DATE=$A10)*(DATABASE.NO:(NO)="H4"),0)), dx_mes, x_mes-823216.6581, dy_mes, y_mes-1091503.0821, proj_long, (dx_mes*42.2619000000413 + dy_mes*-90.6307000000961)/99.9999598705965, 0 + proj_long ), "" )</f>
        <v/>
      </c>
      <c r="V10" t="str">
        <f ca="1">IFERROR( _xludf.LET( x_mes, INDEX(DATABASE.X:(X),MATCH(1,(DATABASE.DATE:DATE=$A10)*(DATABASE.NO:(NO)="H4"),0)), y_mes, INDEX(DATABASE.Y:(Y),MATCH(1,(DATABASE.DATE:DATE=$A10)*(DATABASE.NO:(NO)="H4"),0)),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W10" t="str">
        <f>IFERROR( INDEX(DATABASE.Z:(Z),MATCH(1,(DATABASE.DATE:DATE=$A10)*(DATABASE.NO:(NO)="H4"),0)) - -123.621, "" )</f>
        <v/>
      </c>
      <c r="X10" t="str">
        <f ca="1">IFERROR( _xludf.LET( x_mes, INDEX(DATABASE.X:(X),MATCH(1,(DATABASE.DATE:DATE=$A10)*(DATABASE.NO:(NO)="H5"),0)), y_mes, INDEX(DATABASE.Y:(Y),MATCH(1,(DATABASE.DATE:DATE=$A10)*(DATABASE.NO:(NO)="H5"),0)), dx_mes, x_mes-823216.6581, dy_mes, y_mes-1091503.0821, proj_long, (dx_mes*42.2619000000413 + dy_mes*-90.6307000000961)/99.9999598705965, 0 + proj_long ), "" )</f>
        <v/>
      </c>
      <c r="Y10" t="str">
        <f ca="1">IFERROR( _xludf.LET( x_mes, INDEX(DATABASE.X:(X),MATCH(1,(DATABASE.DATE:DATE=$A10)*(DATABASE.NO:(NO)="H5"),0)), y_mes, INDEX(DATABASE.Y:(Y),MATCH(1,(DATABASE.DATE:DATE=$A10)*(DATABASE.NO:(NO)="H5"),0)),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Z10" t="str">
        <f>IFERROR( INDEX(DATABASE.Z:(Z),MATCH(1,(DATABASE.DATE:DATE=$A10)*(DATABASE.NO:(NO)="H5"),0)) - -123.621, "" )</f>
        <v/>
      </c>
      <c r="AA10" t="str">
        <f ca="1">IFERROR( _xludf.LET( x_mes, INDEX(DATABASE.X:(X),MATCH(1,(DATABASE.DATE:DATE=$A10)*(DATABASE.NO:(NO)="B1"),0)), y_mes, INDEX(DATABASE.Y:(Y),MATCH(1,(DATABASE.DATE:DATE=$A10)*(DATABASE.NO:(NO)="B1"),0)), dx_mes, x_mes-823216.6581, dy_mes, y_mes-1091503.0821, proj_long, (dx_mes*42.2619000000413 + dy_mes*-90.6307000000961)/99.9999598705965, 0 + proj_long ), "" )</f>
        <v/>
      </c>
      <c r="AB10" t="str">
        <f ca="1">IFERROR( _xludf.LET( x_mes, INDEX(DATABASE.X:(X),MATCH(1,(DATABASE.DATE:DATE=$A10)*(DATABASE.NO:(NO)="B1"),0)), y_mes, INDEX(DATABASE.Y:(Y),MATCH(1,(DATABASE.DATE:DATE=$A10)*(DATABASE.NO:(NO)="B1"),0)),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C10" t="str">
        <f>IFERROR( INDEX(DATABASE.Z:(Z),MATCH(1,(DATABASE.DATE:DATE=$A10)*(DATABASE.NO:(NO)="B1"),0)) - -123.621, "" )</f>
        <v/>
      </c>
      <c r="AD10" t="str">
        <f ca="1">IFERROR( _xludf.LET( x_mes, INDEX(DATABASE.X:(X),MATCH(1,(DATABASE.DATE:DATE=$A10)*(DATABASE.NO:(NO)="B2"),0)), y_mes, INDEX(DATABASE.Y:(Y),MATCH(1,(DATABASE.DATE:DATE=$A10)*(DATABASE.NO:(NO)="B2"),0)), dx_mes, x_mes-823216.6581, dy_mes, y_mes-1091503.0821, proj_long, (dx_mes*42.2619000000413 + dy_mes*-90.6307000000961)/99.9999598705965, 0 + proj_long ), "" )</f>
        <v/>
      </c>
      <c r="AE10" t="str">
        <f ca="1">IFERROR( _xludf.LET( x_mes, INDEX(DATABASE.X:(X),MATCH(1,(DATABASE.DATE:DATE=$A10)*(DATABASE.NO:(NO)="B2"),0)), y_mes, INDEX(DATABASE.Y:(Y),MATCH(1,(DATABASE.DATE:DATE=$A10)*(DATABASE.NO:(NO)="B2"),0)),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F10" t="str">
        <f>IFERROR( INDEX(DATABASE.Z:(Z),MATCH(1,(DATABASE.DATE:DATE=$A10)*(DATABASE.NO:(NO)="B2"),0)) - -123.621, "" )</f>
        <v/>
      </c>
      <c r="AG10" t="str">
        <f ca="1">IFERROR( _xludf.LET( x_mes, INDEX(DATABASE.X:(X),MATCH(1,(DATABASE.DATE:DATE=$A10)*(DATABASE.NO:(NO)="B3"),0)), y_mes, INDEX(DATABASE.Y:(Y),MATCH(1,(DATABASE.DATE:DATE=$A10)*(DATABASE.NO:(NO)="B3"),0)), dx_mes, x_mes-823216.6581, dy_mes, y_mes-1091503.0821, proj_long, (dx_mes*42.2619000000413 + dy_mes*-90.6307000000961)/99.9999598705965, 0 + proj_long ), "" )</f>
        <v/>
      </c>
      <c r="AH10" t="str">
        <f ca="1">IFERROR( _xludf.LET( x_mes, INDEX(DATABASE.X:(X),MATCH(1,(DATABASE.DATE:DATE=$A10)*(DATABASE.NO:(NO)="B3"),0)), y_mes, INDEX(DATABASE.Y:(Y),MATCH(1,(DATABASE.DATE:DATE=$A10)*(DATABASE.NO:(NO)="B3"),0)),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I10" t="str">
        <f>IFERROR( INDEX(DATABASE.Z:(Z),MATCH(1,(DATABASE.DATE:DATE=$A10)*(DATABASE.NO:(NO)="B3"),0)) - -123.621, "" )</f>
        <v/>
      </c>
      <c r="AJ10" t="str">
        <f ca="1">IFERROR( _xludf.LET( x_mes, INDEX(DATABASE.X:(X),MATCH(1,(DATABASE.DATE:DATE=$A10)*(DATABASE.NO:(NO)="B4"),0)), y_mes, INDEX(DATABASE.Y:(Y),MATCH(1,(DATABASE.DATE:DATE=$A10)*(DATABASE.NO:(NO)="B4"),0)), dx_mes, x_mes-823216.6581, dy_mes, y_mes-1091503.0821, proj_long, (dx_mes*42.2619000000413 + dy_mes*-90.6307000000961)/99.9999598705965, 0 + proj_long ), "" )</f>
        <v/>
      </c>
      <c r="AK10" t="str">
        <f ca="1">IFERROR( _xludf.LET( x_mes, INDEX(DATABASE.X:(X),MATCH(1,(DATABASE.DATE:DATE=$A10)*(DATABASE.NO:(NO)="B4"),0)), y_mes, INDEX(DATABASE.Y:(Y),MATCH(1,(DATABASE.DATE:DATE=$A10)*(DATABASE.NO:(NO)="B4"),0)),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L10" t="str">
        <f>IFERROR( INDEX(DATABASE.Z:(Z),MATCH(1,(DATABASE.DATE:DATE=$A10)*(DATABASE.NO:(NO)="B4"),0)) - -123.621, "" )</f>
        <v/>
      </c>
      <c r="AM10" t="str">
        <f ca="1">IFERROR( _xludf.LET( x_mes, INDEX(DATABASE.X:(X),MATCH(1,(DATABASE.DATE:DATE=$A10)*(DATABASE.NO:(NO)="B5"),0)), y_mes, INDEX(DATABASE.Y:(Y),MATCH(1,(DATABASE.DATE:DATE=$A10)*(DATABASE.NO:(NO)="B5"),0)), dx_mes, x_mes-823216.6581, dy_mes, y_mes-1091503.0821, proj_long, (dx_mes*42.2619000000413 + dy_mes*-90.6307000000961)/99.9999598705965, 0 + proj_long ), "" )</f>
        <v/>
      </c>
      <c r="AN10" t="str">
        <f ca="1">IFERROR( _xludf.LET( x_mes, INDEX(DATABASE.X:(X),MATCH(1,(DATABASE.DATE:DATE=$A10)*(DATABASE.NO:(NO)="B5"),0)), y_mes, INDEX(DATABASE.Y:(Y),MATCH(1,(DATABASE.DATE:DATE=$A10)*(DATABASE.NO:(NO)="B5"),0)),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O10" t="str">
        <f>IFERROR( INDEX(DATABASE.Z:(Z),MATCH(1,(DATABASE.DATE:DATE=$A10)*(DATABASE.NO:(NO)="B5"),0)) - -123.621, "" )</f>
        <v/>
      </c>
      <c r="AP10" t="str">
        <f ca="1">IFERROR( _xludf.LET( x_mes, INDEX(DATABASE.X:(X),MATCH(1,(DATABASE.DATE:DATE=$A10)*(DATABASE.NO:(NO)="M1"),0)), y_mes, INDEX(DATABASE.Y:(Y),MATCH(1,(DATABASE.DATE:DATE=$A10)*(DATABASE.NO:(NO)="M1"),0)), dx_mes, x_mes-823216.6581, dy_mes, y_mes-1091503.0821, proj_long, (dx_mes*42.2619000000413 + dy_mes*-90.6307000000961)/99.9999598705965, 0 + proj_long ), "" )</f>
        <v/>
      </c>
      <c r="AQ10" t="str">
        <f ca="1">IFERROR( _xludf.LET( x_mes, INDEX(DATABASE.X:(X),MATCH(1,(DATABASE.DATE:DATE=$A10)*(DATABASE.NO:(NO)="M1"),0)), y_mes, INDEX(DATABASE.Y:(Y),MATCH(1,(DATABASE.DATE:DATE=$A10)*(DATABASE.NO:(NO)="M1"),0)),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R10" t="str">
        <f>IFERROR( INDEX(DATABASE.Z:(Z),MATCH(1,(DATABASE.DATE:DATE=$A10)*(DATABASE.NO:(NO)="M1"),0)) - -123.621, "" )</f>
        <v/>
      </c>
      <c r="AS10" t="str">
        <f ca="1">IFERROR( _xludf.LET( x_mes, INDEX(DATABASE.X:(X),MATCH(1,(DATABASE.DATE:DATE=$A10)*(DATABASE.NO:(NO)="M2"),0)), y_mes, INDEX(DATABASE.Y:(Y),MATCH(1,(DATABASE.DATE:DATE=$A10)*(DATABASE.NO:(NO)="M2"),0)), dx_mes, x_mes-823216.6581, dy_mes, y_mes-1091503.0821, proj_long, (dx_mes*42.2619000000413 + dy_mes*-90.6307000000961)/99.9999598705965, 0 + proj_long ), "" )</f>
        <v/>
      </c>
      <c r="AT10" t="str">
        <f ca="1">IFERROR( _xludf.LET( x_mes, INDEX(DATABASE.X:(X),MATCH(1,(DATABASE.DATE:DATE=$A10)*(DATABASE.NO:(NO)="M2"),0)), y_mes, INDEX(DATABASE.Y:(Y),MATCH(1,(DATABASE.DATE:DATE=$A10)*(DATABASE.NO:(NO)="M2"),0)),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U10" t="str">
        <f>IFERROR( INDEX(DATABASE.Z:(Z),MATCH(1,(DATABASE.DATE:DATE=$A10)*(DATABASE.NO:(NO)="M2"),0)) - -123.621, "" )</f>
        <v/>
      </c>
      <c r="AV10" t="str">
        <f ca="1">IFERROR( _xludf.LET( x_mes, INDEX(DATABASE.X:(X),MATCH(1,(DATABASE.DATE:DATE=$A10)*(DATABASE.NO:(NO)="M3"),0)), y_mes, INDEX(DATABASE.Y:(Y),MATCH(1,(DATABASE.DATE:DATE=$A10)*(DATABASE.NO:(NO)="M3"),0)), dx_mes, x_mes-823216.6581, dy_mes, y_mes-1091503.0821, proj_long, (dx_mes*42.2619000000413 + dy_mes*-90.6307000000961)/99.9999598705965, 0 + proj_long ), "" )</f>
        <v/>
      </c>
      <c r="AW10" t="str">
        <f ca="1">IFERROR( _xludf.LET( x_mes, INDEX(DATABASE.X:(X),MATCH(1,(DATABASE.DATE:DATE=$A10)*(DATABASE.NO:(NO)="M3"),0)), y_mes, INDEX(DATABASE.Y:(Y),MATCH(1,(DATABASE.DATE:DATE=$A10)*(DATABASE.NO:(NO)="M3"),0)),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X10" t="str">
        <f>IFERROR( INDEX(DATABASE.Z:(Z),MATCH(1,(DATABASE.DATE:DATE=$A10)*(DATABASE.NO:(NO)="M3"),0)) - -123.621, "" )</f>
        <v/>
      </c>
      <c r="AY10" t="str">
        <f ca="1">IFERROR( _xludf.LET( x_mes, INDEX(DATABASE.X:(X),MATCH(1,(DATABASE.DATE:DATE=$A10)*(DATABASE.NO:(NO)="M4"),0)), y_mes, INDEX(DATABASE.Y:(Y),MATCH(1,(DATABASE.DATE:DATE=$A10)*(DATABASE.NO:(NO)="M4"),0)), dx_mes, x_mes-823216.6581, dy_mes, y_mes-1091503.0821, proj_long, (dx_mes*42.2619000000413 + dy_mes*-90.6307000000961)/99.9999598705965, 0 + proj_long ), "" )</f>
        <v/>
      </c>
      <c r="AZ10" t="str">
        <f ca="1">IFERROR( _xludf.LET( x_mes, INDEX(DATABASE.X:(X),MATCH(1,(DATABASE.DATE:DATE=$A10)*(DATABASE.NO:(NO)="M4"),0)), y_mes, INDEX(DATABASE.Y:(Y),MATCH(1,(DATABASE.DATE:DATE=$A10)*(DATABASE.NO:(NO)="M4"),0)),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BA10" t="str">
        <f>IFERROR( INDEX(DATABASE.Z:(Z),MATCH(1,(DATABASE.DATE:DATE=$A10)*(DATABASE.NO:(NO)="M4"),0)) - -123.621, "" )</f>
        <v/>
      </c>
      <c r="BB10" t="str">
        <f ca="1">IFERROR( _xludf.LET( x_mes, INDEX(DATABASE.X:(X),MATCH(1,(DATABASE.DATE:DATE=$A10)*(DATABASE.NO:(NO)="M5"),0)), y_mes, INDEX(DATABASE.Y:(Y),MATCH(1,(DATABASE.DATE:DATE=$A10)*(DATABASE.NO:(NO)="M5"),0)), dx_mes, x_mes-823216.6581, dy_mes, y_mes-1091503.0821, proj_long, (dx_mes*42.2619000000413 + dy_mes*-90.6307000000961)/99.9999598705965, 0 + proj_long ), "" )</f>
        <v/>
      </c>
      <c r="BC10" t="str">
        <f ca="1">IFERROR( _xludf.LET( x_mes, INDEX(DATABASE.X:(X),MATCH(1,(DATABASE.DATE:DATE=$A10)*(DATABASE.NO:(NO)="M5"),0)), y_mes, INDEX(DATABASE.Y:(Y),MATCH(1,(DATABASE.DATE:DATE=$A10)*(DATABASE.NO:(NO)="M5"),0)),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BD10" t="str">
        <f>IFERROR( INDEX(DATABASE.Z:(Z),MATCH(1,(DATABASE.DATE:DATE=$A10)*(DATABASE.NO:(NO)="M5"),0)) - -123.621, "" )</f>
        <v/>
      </c>
      <c r="BE10" t="str">
        <f ca="1">IFERROR( _xludf.LET( x_mes, INDEX(DATABASE.X:(X),MATCH(1,(DATABASE.DATE:DATE=$A10)*(DATABASE.NO:(NO)="REF1"),0)), y_mes, INDEX(DATABASE.Y:(Y),MATCH(1,(DATABASE.DATE:DATE=$A10)*(DATABASE.NO:(NO)="REF1"),0)), dx_mes, x_mes-823216.6581, dy_mes, y_mes-1091503.0821, proj_long, (dx_mes*42.2619000000413 + dy_mes*-90.6307000000961)/99.9999598705965, 0 + proj_long ), "" )</f>
        <v/>
      </c>
      <c r="BF10" t="str">
        <f ca="1">IFERROR( _xludf.LET( x_mes, INDEX(DATABASE.X:(X),MATCH(1,(DATABASE.DATE:DATE=$A10)*(DATABASE.NO:(NO)="REF1"),0)), y_mes, INDEX(DATABASE.Y:(Y),MATCH(1,(DATABASE.DATE:DATE=$A10)*(DATABASE.NO:(NO)="REF1"),0)),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BG10" t="str">
        <f>IFERROR( INDEX(DATABASE.Z:(Z),MATCH(1,(DATABASE.DATE:DATE=$A10)*(DATABASE.NO:(NO)="REF1"),0)) - -123.621, "" )</f>
        <v/>
      </c>
      <c r="BH10" t="str">
        <f ca="1">IFERROR( _xludf.LET( x_mes, INDEX(DATABASE.X:(X),MATCH(1,(DATABASE.DATE:DATE=$A10)*(DATABASE.NO:(NO)="REF2"),0)), y_mes, INDEX(DATABASE.Y:(Y),MATCH(1,(DATABASE.DATE:DATE=$A10)*(DATABASE.NO:(NO)="REF2"),0)), dx_mes, x_mes-823216.6581, dy_mes, y_mes-1091503.0821, proj_long, (dx_mes*42.2619000000413 + dy_mes*-90.6307000000961)/99.9999598705965, 0 + proj_long ), "" )</f>
        <v/>
      </c>
      <c r="BI10" t="str">
        <f ca="1">IFERROR( _xludf.LET( x_mes, INDEX(DATABASE.X:(X),MATCH(1,(DATABASE.DATE:DATE=$A10)*(DATABASE.NO:(NO)="REF2"),0)), y_mes, INDEX(DATABASE.Y:(Y),MATCH(1,(DATABASE.DATE:DATE=$A10)*(DATABASE.NO:(NO)="REF2"),0)),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BJ10" t="str">
        <f>IFERROR( INDEX(DATABASE.Z:(Z),MATCH(1,(DATABASE.DATE:DATE=$A10)*(DATABASE.NO:(NO)="REF2"),0)) - -123.621, "" )</f>
        <v/>
      </c>
    </row>
    <row r="11" spans="1:62" x14ac:dyDescent="0.25">
      <c r="A11" t="s">
        <v>11</v>
      </c>
      <c r="B11">
        <f>A11-A$10</f>
        <v>8</v>
      </c>
      <c r="C11" t="str">
        <f ca="1">IFERROR( _xludf.LET( x_mes, INDEX(DATABASE.X:(X),MATCH(1,(DATABASE.DATE:DATE=$A11)*(DATABASE.NO:(NO)="V1"),0)), y_mes, INDEX(DATABASE.Y:(Y),MATCH(1,(DATABASE.DATE:DATE=$A11)*(DATABASE.NO:(NO)="V1"),0)), dx_mes, x_mes-823216.6581, dy_mes, y_mes-1091503.0821, proj_long, (dx_mes*42.2619000000413 + dy_mes*-90.6307000000961)/99.9999598705965, 0 + proj_long ), "" )</f>
        <v/>
      </c>
      <c r="D11" t="str">
        <f ca="1">IFERROR( _xludf.LET( x_mes, INDEX(DATABASE.X:(X),MATCH(1,(DATABASE.DATE:DATE=$A11)*(DATABASE.NO:(NO)="V1"),0)), y_mes, INDEX(DATABASE.Y:(Y),MATCH(1,(DATABASE.DATE:DATE=$A11)*(DATABASE.NO:(NO)="V1"),0)),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E11" t="str">
        <f>IFERROR( INDEX(DATABASE.Z:(Z),MATCH(1,(DATABASE.DATE:DATE=$A11)*(DATABASE.NO:(NO)="V1"),0)) - -123.621, "" )</f>
        <v/>
      </c>
      <c r="F11" t="str">
        <f ca="1">IFERROR( _xludf.LET( x_mes, INDEX(DATABASE.X:(X),MATCH(1,(DATABASE.DATE:DATE=$A11)*(DATABASE.NO:(NO)="V2"),0)), y_mes, INDEX(DATABASE.Y:(Y),MATCH(1,(DATABASE.DATE:DATE=$A11)*(DATABASE.NO:(NO)="V2"),0)), dx_mes, x_mes-823216.6581, dy_mes, y_mes-1091503.0821, proj_long, (dx_mes*42.2619000000413 + dy_mes*-90.6307000000961)/99.9999598705965, 0 + proj_long ), "" )</f>
        <v/>
      </c>
      <c r="G11" t="str">
        <f ca="1">IFERROR( _xludf.LET( x_mes, INDEX(DATABASE.X:(X),MATCH(1,(DATABASE.DATE:DATE=$A11)*(DATABASE.NO:(NO)="V2"),0)), y_mes, INDEX(DATABASE.Y:(Y),MATCH(1,(DATABASE.DATE:DATE=$A11)*(DATABASE.NO:(NO)="V2"),0)),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H11" t="str">
        <f>IFERROR( INDEX(DATABASE.Z:(Z),MATCH(1,(DATABASE.DATE:DATE=$A11)*(DATABASE.NO:(NO)="V2"),0)) - -123.621, "" )</f>
        <v/>
      </c>
      <c r="I11" t="str">
        <f ca="1">IFERROR( _xludf.LET( x_mes, INDEX(DATABASE.X:(X),MATCH(1,(DATABASE.DATE:DATE=$A11)*(DATABASE.NO:(NO)="V3"),0)), y_mes, INDEX(DATABASE.Y:(Y),MATCH(1,(DATABASE.DATE:DATE=$A11)*(DATABASE.NO:(NO)="V3"),0)), dx_mes, x_mes-823216.6581, dy_mes, y_mes-1091503.0821, proj_long, (dx_mes*42.2619000000413 + dy_mes*-90.6307000000961)/99.9999598705965, 0 + proj_long ), "" )</f>
        <v/>
      </c>
      <c r="J11" t="str">
        <f ca="1">IFERROR( _xludf.LET( x_mes, INDEX(DATABASE.X:(X),MATCH(1,(DATABASE.DATE:DATE=$A11)*(DATABASE.NO:(NO)="V3"),0)), y_mes, INDEX(DATABASE.Y:(Y),MATCH(1,(DATABASE.DATE:DATE=$A11)*(DATABASE.NO:(NO)="V3"),0)),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K11" t="str">
        <f>IFERROR( INDEX(DATABASE.Z:(Z),MATCH(1,(DATABASE.DATE:DATE=$A11)*(DATABASE.NO:(NO)="V3"),0)) - -123.621, "" )</f>
        <v/>
      </c>
      <c r="L11" t="str">
        <f ca="1">IFERROR( _xludf.LET( x_mes, INDEX(DATABASE.X:(X),MATCH(1,(DATABASE.DATE:DATE=$A11)*(DATABASE.NO:(NO)="H1"),0)), y_mes, INDEX(DATABASE.Y:(Y),MATCH(1,(DATABASE.DATE:DATE=$A11)*(DATABASE.NO:(NO)="H1"),0)), dx_mes, x_mes-823216.6581, dy_mes, y_mes-1091503.0821, proj_long, (dx_mes*42.2619000000413 + dy_mes*-90.6307000000961)/99.9999598705965, 0 + proj_long ), "" )</f>
        <v/>
      </c>
      <c r="M11" t="str">
        <f ca="1">IFERROR( _xludf.LET( x_mes, INDEX(DATABASE.X:(X),MATCH(1,(DATABASE.DATE:DATE=$A11)*(DATABASE.NO:(NO)="H1"),0)), y_mes, INDEX(DATABASE.Y:(Y),MATCH(1,(DATABASE.DATE:DATE=$A11)*(DATABASE.NO:(NO)="H1"),0)),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N11" t="str">
        <f>IFERROR( INDEX(DATABASE.Z:(Z),MATCH(1,(DATABASE.DATE:DATE=$A11)*(DATABASE.NO:(NO)="H1"),0)) - -123.621, "" )</f>
        <v/>
      </c>
      <c r="O11" t="str">
        <f ca="1">IFERROR( _xludf.LET( x_mes, INDEX(DATABASE.X:(X),MATCH(1,(DATABASE.DATE:DATE=$A11)*(DATABASE.NO:(NO)="H2"),0)), y_mes, INDEX(DATABASE.Y:(Y),MATCH(1,(DATABASE.DATE:DATE=$A11)*(DATABASE.NO:(NO)="H2"),0)), dx_mes, x_mes-823216.6581, dy_mes, y_mes-1091503.0821, proj_long, (dx_mes*42.2619000000413 + dy_mes*-90.6307000000961)/99.9999598705965, 0 + proj_long ), "" )</f>
        <v/>
      </c>
      <c r="P11" t="str">
        <f ca="1">IFERROR( _xludf.LET( x_mes, INDEX(DATABASE.X:(X),MATCH(1,(DATABASE.DATE:DATE=$A11)*(DATABASE.NO:(NO)="H2"),0)), y_mes, INDEX(DATABASE.Y:(Y),MATCH(1,(DATABASE.DATE:DATE=$A11)*(DATABASE.NO:(NO)="H2"),0)),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Q11" t="str">
        <f>IFERROR( INDEX(DATABASE.Z:(Z),MATCH(1,(DATABASE.DATE:DATE=$A11)*(DATABASE.NO:(NO)="H2"),0)) - -123.621, "" )</f>
        <v/>
      </c>
      <c r="R11" t="str">
        <f ca="1">IFERROR( _xludf.LET( x_mes, INDEX(DATABASE.X:(X),MATCH(1,(DATABASE.DATE:DATE=$A11)*(DATABASE.NO:(NO)="H3"),0)), y_mes, INDEX(DATABASE.Y:(Y),MATCH(1,(DATABASE.DATE:DATE=$A11)*(DATABASE.NO:(NO)="H3"),0)), dx_mes, x_mes-823216.6581, dy_mes, y_mes-1091503.0821, proj_long, (dx_mes*42.2619000000413 + dy_mes*-90.6307000000961)/99.9999598705965, 0 + proj_long ), "" )</f>
        <v/>
      </c>
      <c r="S11" t="str">
        <f ca="1">IFERROR( _xludf.LET( x_mes, INDEX(DATABASE.X:(X),MATCH(1,(DATABASE.DATE:DATE=$A11)*(DATABASE.NO:(NO)="H3"),0)), y_mes, INDEX(DATABASE.Y:(Y),MATCH(1,(DATABASE.DATE:DATE=$A11)*(DATABASE.NO:(NO)="H3"),0)),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T11" t="str">
        <f>IFERROR( INDEX(DATABASE.Z:(Z),MATCH(1,(DATABASE.DATE:DATE=$A11)*(DATABASE.NO:(NO)="H3"),0)) - -123.621, "" )</f>
        <v/>
      </c>
      <c r="U11" t="str">
        <f ca="1">IFERROR( _xludf.LET( x_mes, INDEX(DATABASE.X:(X),MATCH(1,(DATABASE.DATE:DATE=$A11)*(DATABASE.NO:(NO)="H4"),0)), y_mes, INDEX(DATABASE.Y:(Y),MATCH(1,(DATABASE.DATE:DATE=$A11)*(DATABASE.NO:(NO)="H4"),0)), dx_mes, x_mes-823216.6581, dy_mes, y_mes-1091503.0821, proj_long, (dx_mes*42.2619000000413 + dy_mes*-90.6307000000961)/99.9999598705965, 0 + proj_long ), "" )</f>
        <v/>
      </c>
      <c r="V11" t="str">
        <f ca="1">IFERROR( _xludf.LET( x_mes, INDEX(DATABASE.X:(X),MATCH(1,(DATABASE.DATE:DATE=$A11)*(DATABASE.NO:(NO)="H4"),0)), y_mes, INDEX(DATABASE.Y:(Y),MATCH(1,(DATABASE.DATE:DATE=$A11)*(DATABASE.NO:(NO)="H4"),0)),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W11" t="str">
        <f>IFERROR( INDEX(DATABASE.Z:(Z),MATCH(1,(DATABASE.DATE:DATE=$A11)*(DATABASE.NO:(NO)="H4"),0)) - -123.621, "" )</f>
        <v/>
      </c>
      <c r="X11" t="str">
        <f ca="1">IFERROR( _xludf.LET( x_mes, INDEX(DATABASE.X:(X),MATCH(1,(DATABASE.DATE:DATE=$A11)*(DATABASE.NO:(NO)="H5"),0)), y_mes, INDEX(DATABASE.Y:(Y),MATCH(1,(DATABASE.DATE:DATE=$A11)*(DATABASE.NO:(NO)="H5"),0)), dx_mes, x_mes-823216.6581, dy_mes, y_mes-1091503.0821, proj_long, (dx_mes*42.2619000000413 + dy_mes*-90.6307000000961)/99.9999598705965, 0 + proj_long ), "" )</f>
        <v/>
      </c>
      <c r="Y11" t="str">
        <f ca="1">IFERROR( _xludf.LET( x_mes, INDEX(DATABASE.X:(X),MATCH(1,(DATABASE.DATE:DATE=$A11)*(DATABASE.NO:(NO)="H5"),0)), y_mes, INDEX(DATABASE.Y:(Y),MATCH(1,(DATABASE.DATE:DATE=$A11)*(DATABASE.NO:(NO)="H5"),0)),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Z11" t="str">
        <f>IFERROR( INDEX(DATABASE.Z:(Z),MATCH(1,(DATABASE.DATE:DATE=$A11)*(DATABASE.NO:(NO)="H5"),0)) - -123.621, "" )</f>
        <v/>
      </c>
      <c r="AA11" t="str">
        <f ca="1">IFERROR( _xludf.LET( x_mes, INDEX(DATABASE.X:(X),MATCH(1,(DATABASE.DATE:DATE=$A11)*(DATABASE.NO:(NO)="B1"),0)), y_mes, INDEX(DATABASE.Y:(Y),MATCH(1,(DATABASE.DATE:DATE=$A11)*(DATABASE.NO:(NO)="B1"),0)), dx_mes, x_mes-823216.6581, dy_mes, y_mes-1091503.0821, proj_long, (dx_mes*42.2619000000413 + dy_mes*-90.6307000000961)/99.9999598705965, 0 + proj_long ), "" )</f>
        <v/>
      </c>
      <c r="AB11" t="str">
        <f ca="1">IFERROR( _xludf.LET( x_mes, INDEX(DATABASE.X:(X),MATCH(1,(DATABASE.DATE:DATE=$A11)*(DATABASE.NO:(NO)="B1"),0)), y_mes, INDEX(DATABASE.Y:(Y),MATCH(1,(DATABASE.DATE:DATE=$A11)*(DATABASE.NO:(NO)="B1"),0)),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C11" t="str">
        <f>IFERROR( INDEX(DATABASE.Z:(Z),MATCH(1,(DATABASE.DATE:DATE=$A11)*(DATABASE.NO:(NO)="B1"),0)) - -123.621, "" )</f>
        <v/>
      </c>
      <c r="AD11" t="str">
        <f ca="1">IFERROR( _xludf.LET( x_mes, INDEX(DATABASE.X:(X),MATCH(1,(DATABASE.DATE:DATE=$A11)*(DATABASE.NO:(NO)="B2"),0)), y_mes, INDEX(DATABASE.Y:(Y),MATCH(1,(DATABASE.DATE:DATE=$A11)*(DATABASE.NO:(NO)="B2"),0)), dx_mes, x_mes-823216.6581, dy_mes, y_mes-1091503.0821, proj_long, (dx_mes*42.2619000000413 + dy_mes*-90.6307000000961)/99.9999598705965, 0 + proj_long ), "" )</f>
        <v/>
      </c>
      <c r="AE11" t="str">
        <f ca="1">IFERROR( _xludf.LET( x_mes, INDEX(DATABASE.X:(X),MATCH(1,(DATABASE.DATE:DATE=$A11)*(DATABASE.NO:(NO)="B2"),0)), y_mes, INDEX(DATABASE.Y:(Y),MATCH(1,(DATABASE.DATE:DATE=$A11)*(DATABASE.NO:(NO)="B2"),0)),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F11" t="str">
        <f>IFERROR( INDEX(DATABASE.Z:(Z),MATCH(1,(DATABASE.DATE:DATE=$A11)*(DATABASE.NO:(NO)="B2"),0)) - -123.621, "" )</f>
        <v/>
      </c>
      <c r="AG11" t="str">
        <f ca="1">IFERROR( _xludf.LET( x_mes, INDEX(DATABASE.X:(X),MATCH(1,(DATABASE.DATE:DATE=$A11)*(DATABASE.NO:(NO)="B3"),0)), y_mes, INDEX(DATABASE.Y:(Y),MATCH(1,(DATABASE.DATE:DATE=$A11)*(DATABASE.NO:(NO)="B3"),0)), dx_mes, x_mes-823216.6581, dy_mes, y_mes-1091503.0821, proj_long, (dx_mes*42.2619000000413 + dy_mes*-90.6307000000961)/99.9999598705965, 0 + proj_long ), "" )</f>
        <v/>
      </c>
      <c r="AH11" t="str">
        <f ca="1">IFERROR( _xludf.LET( x_mes, INDEX(DATABASE.X:(X),MATCH(1,(DATABASE.DATE:DATE=$A11)*(DATABASE.NO:(NO)="B3"),0)), y_mes, INDEX(DATABASE.Y:(Y),MATCH(1,(DATABASE.DATE:DATE=$A11)*(DATABASE.NO:(NO)="B3"),0)),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I11" t="str">
        <f>IFERROR( INDEX(DATABASE.Z:(Z),MATCH(1,(DATABASE.DATE:DATE=$A11)*(DATABASE.NO:(NO)="B3"),0)) - -123.621, "" )</f>
        <v/>
      </c>
      <c r="AJ11" t="str">
        <f ca="1">IFERROR( _xludf.LET( x_mes, INDEX(DATABASE.X:(X),MATCH(1,(DATABASE.DATE:DATE=$A11)*(DATABASE.NO:(NO)="B4"),0)), y_mes, INDEX(DATABASE.Y:(Y),MATCH(1,(DATABASE.DATE:DATE=$A11)*(DATABASE.NO:(NO)="B4"),0)), dx_mes, x_mes-823216.6581, dy_mes, y_mes-1091503.0821, proj_long, (dx_mes*42.2619000000413 + dy_mes*-90.6307000000961)/99.9999598705965, 0 + proj_long ), "" )</f>
        <v/>
      </c>
      <c r="AK11" t="str">
        <f ca="1">IFERROR( _xludf.LET( x_mes, INDEX(DATABASE.X:(X),MATCH(1,(DATABASE.DATE:DATE=$A11)*(DATABASE.NO:(NO)="B4"),0)), y_mes, INDEX(DATABASE.Y:(Y),MATCH(1,(DATABASE.DATE:DATE=$A11)*(DATABASE.NO:(NO)="B4"),0)),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L11" t="str">
        <f>IFERROR( INDEX(DATABASE.Z:(Z),MATCH(1,(DATABASE.DATE:DATE=$A11)*(DATABASE.NO:(NO)="B4"),0)) - -123.621, "" )</f>
        <v/>
      </c>
      <c r="AM11" t="str">
        <f ca="1">IFERROR( _xludf.LET( x_mes, INDEX(DATABASE.X:(X),MATCH(1,(DATABASE.DATE:DATE=$A11)*(DATABASE.NO:(NO)="B5"),0)), y_mes, INDEX(DATABASE.Y:(Y),MATCH(1,(DATABASE.DATE:DATE=$A11)*(DATABASE.NO:(NO)="B5"),0)), dx_mes, x_mes-823216.6581, dy_mes, y_mes-1091503.0821, proj_long, (dx_mes*42.2619000000413 + dy_mes*-90.6307000000961)/99.9999598705965, 0 + proj_long ), "" )</f>
        <v/>
      </c>
      <c r="AN11" t="str">
        <f ca="1">IFERROR( _xludf.LET( x_mes, INDEX(DATABASE.X:(X),MATCH(1,(DATABASE.DATE:DATE=$A11)*(DATABASE.NO:(NO)="B5"),0)), y_mes, INDEX(DATABASE.Y:(Y),MATCH(1,(DATABASE.DATE:DATE=$A11)*(DATABASE.NO:(NO)="B5"),0)),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O11" t="str">
        <f>IFERROR( INDEX(DATABASE.Z:(Z),MATCH(1,(DATABASE.DATE:DATE=$A11)*(DATABASE.NO:(NO)="B5"),0)) - -123.621, "" )</f>
        <v/>
      </c>
      <c r="AP11" t="str">
        <f ca="1">IFERROR( _xludf.LET( x_mes, INDEX(DATABASE.X:(X),MATCH(1,(DATABASE.DATE:DATE=$A11)*(DATABASE.NO:(NO)="M1"),0)), y_mes, INDEX(DATABASE.Y:(Y),MATCH(1,(DATABASE.DATE:DATE=$A11)*(DATABASE.NO:(NO)="M1"),0)), dx_mes, x_mes-823216.6581, dy_mes, y_mes-1091503.0821, proj_long, (dx_mes*42.2619000000413 + dy_mes*-90.6307000000961)/99.9999598705965, 0 + proj_long ), "" )</f>
        <v/>
      </c>
      <c r="AQ11" t="str">
        <f ca="1">IFERROR( _xludf.LET( x_mes, INDEX(DATABASE.X:(X),MATCH(1,(DATABASE.DATE:DATE=$A11)*(DATABASE.NO:(NO)="M1"),0)), y_mes, INDEX(DATABASE.Y:(Y),MATCH(1,(DATABASE.DATE:DATE=$A11)*(DATABASE.NO:(NO)="M1"),0)),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R11" t="str">
        <f>IFERROR( INDEX(DATABASE.Z:(Z),MATCH(1,(DATABASE.DATE:DATE=$A11)*(DATABASE.NO:(NO)="M1"),0)) - -123.621, "" )</f>
        <v/>
      </c>
      <c r="AS11" t="str">
        <f ca="1">IFERROR( _xludf.LET( x_mes, INDEX(DATABASE.X:(X),MATCH(1,(DATABASE.DATE:DATE=$A11)*(DATABASE.NO:(NO)="M2"),0)), y_mes, INDEX(DATABASE.Y:(Y),MATCH(1,(DATABASE.DATE:DATE=$A11)*(DATABASE.NO:(NO)="M2"),0)), dx_mes, x_mes-823216.6581, dy_mes, y_mes-1091503.0821, proj_long, (dx_mes*42.2619000000413 + dy_mes*-90.6307000000961)/99.9999598705965, 0 + proj_long ), "" )</f>
        <v/>
      </c>
      <c r="AT11" t="str">
        <f ca="1">IFERROR( _xludf.LET( x_mes, INDEX(DATABASE.X:(X),MATCH(1,(DATABASE.DATE:DATE=$A11)*(DATABASE.NO:(NO)="M2"),0)), y_mes, INDEX(DATABASE.Y:(Y),MATCH(1,(DATABASE.DATE:DATE=$A11)*(DATABASE.NO:(NO)="M2"),0)),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U11" t="str">
        <f>IFERROR( INDEX(DATABASE.Z:(Z),MATCH(1,(DATABASE.DATE:DATE=$A11)*(DATABASE.NO:(NO)="M2"),0)) - -123.621, "" )</f>
        <v/>
      </c>
      <c r="AV11" t="str">
        <f ca="1">IFERROR( _xludf.LET( x_mes, INDEX(DATABASE.X:(X),MATCH(1,(DATABASE.DATE:DATE=$A11)*(DATABASE.NO:(NO)="M3"),0)), y_mes, INDEX(DATABASE.Y:(Y),MATCH(1,(DATABASE.DATE:DATE=$A11)*(DATABASE.NO:(NO)="M3"),0)), dx_mes, x_mes-823216.6581, dy_mes, y_mes-1091503.0821, proj_long, (dx_mes*42.2619000000413 + dy_mes*-90.6307000000961)/99.9999598705965, 0 + proj_long ), "" )</f>
        <v/>
      </c>
      <c r="AW11" t="str">
        <f ca="1">IFERROR( _xludf.LET( x_mes, INDEX(DATABASE.X:(X),MATCH(1,(DATABASE.DATE:DATE=$A11)*(DATABASE.NO:(NO)="M3"),0)), y_mes, INDEX(DATABASE.Y:(Y),MATCH(1,(DATABASE.DATE:DATE=$A11)*(DATABASE.NO:(NO)="M3"),0)),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X11" t="str">
        <f>IFERROR( INDEX(DATABASE.Z:(Z),MATCH(1,(DATABASE.DATE:DATE=$A11)*(DATABASE.NO:(NO)="M3"),0)) - -123.621, "" )</f>
        <v/>
      </c>
      <c r="AY11" t="str">
        <f ca="1">IFERROR( _xludf.LET( x_mes, INDEX(DATABASE.X:(X),MATCH(1,(DATABASE.DATE:DATE=$A11)*(DATABASE.NO:(NO)="M4"),0)), y_mes, INDEX(DATABASE.Y:(Y),MATCH(1,(DATABASE.DATE:DATE=$A11)*(DATABASE.NO:(NO)="M4"),0)), dx_mes, x_mes-823216.6581, dy_mes, y_mes-1091503.0821, proj_long, (dx_mes*42.2619000000413 + dy_mes*-90.6307000000961)/99.9999598705965, 0 + proj_long ), "" )</f>
        <v/>
      </c>
      <c r="AZ11" t="str">
        <f ca="1">IFERROR( _xludf.LET( x_mes, INDEX(DATABASE.X:(X),MATCH(1,(DATABASE.DATE:DATE=$A11)*(DATABASE.NO:(NO)="M4"),0)), y_mes, INDEX(DATABASE.Y:(Y),MATCH(1,(DATABASE.DATE:DATE=$A11)*(DATABASE.NO:(NO)="M4"),0)),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BA11" t="str">
        <f>IFERROR( INDEX(DATABASE.Z:(Z),MATCH(1,(DATABASE.DATE:DATE=$A11)*(DATABASE.NO:(NO)="M4"),0)) - -123.621, "" )</f>
        <v/>
      </c>
      <c r="BB11" t="str">
        <f ca="1">IFERROR( _xludf.LET( x_mes, INDEX(DATABASE.X:(X),MATCH(1,(DATABASE.DATE:DATE=$A11)*(DATABASE.NO:(NO)="M5"),0)), y_mes, INDEX(DATABASE.Y:(Y),MATCH(1,(DATABASE.DATE:DATE=$A11)*(DATABASE.NO:(NO)="M5"),0)), dx_mes, x_mes-823216.6581, dy_mes, y_mes-1091503.0821, proj_long, (dx_mes*42.2619000000413 + dy_mes*-90.6307000000961)/99.9999598705965, 0 + proj_long ), "" )</f>
        <v/>
      </c>
      <c r="BC11" t="str">
        <f ca="1">IFERROR( _xludf.LET( x_mes, INDEX(DATABASE.X:(X),MATCH(1,(DATABASE.DATE:DATE=$A11)*(DATABASE.NO:(NO)="M5"),0)), y_mes, INDEX(DATABASE.Y:(Y),MATCH(1,(DATABASE.DATE:DATE=$A11)*(DATABASE.NO:(NO)="M5"),0)),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BD11" t="str">
        <f>IFERROR( INDEX(DATABASE.Z:(Z),MATCH(1,(DATABASE.DATE:DATE=$A11)*(DATABASE.NO:(NO)="M5"),0)) - -123.621, "" )</f>
        <v/>
      </c>
      <c r="BE11" t="str">
        <f ca="1">IFERROR( _xludf.LET( x_mes, INDEX(DATABASE.X:(X),MATCH(1,(DATABASE.DATE:DATE=$A11)*(DATABASE.NO:(NO)="REF1"),0)), y_mes, INDEX(DATABASE.Y:(Y),MATCH(1,(DATABASE.DATE:DATE=$A11)*(DATABASE.NO:(NO)="REF1"),0)), dx_mes, x_mes-823216.6581, dy_mes, y_mes-1091503.0821, proj_long, (dx_mes*42.2619000000413 + dy_mes*-90.6307000000961)/99.9999598705965, 0 + proj_long ), "" )</f>
        <v/>
      </c>
      <c r="BF11" t="str">
        <f ca="1">IFERROR( _xludf.LET( x_mes, INDEX(DATABASE.X:(X),MATCH(1,(DATABASE.DATE:DATE=$A11)*(DATABASE.NO:(NO)="REF1"),0)), y_mes, INDEX(DATABASE.Y:(Y),MATCH(1,(DATABASE.DATE:DATE=$A11)*(DATABASE.NO:(NO)="REF1"),0)),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BG11" t="str">
        <f>IFERROR( INDEX(DATABASE.Z:(Z),MATCH(1,(DATABASE.DATE:DATE=$A11)*(DATABASE.NO:(NO)="REF1"),0)) - -123.621, "" )</f>
        <v/>
      </c>
      <c r="BH11" t="str">
        <f ca="1">IFERROR( _xludf.LET( x_mes, INDEX(DATABASE.X:(X),MATCH(1,(DATABASE.DATE:DATE=$A11)*(DATABASE.NO:(NO)="REF2"),0)), y_mes, INDEX(DATABASE.Y:(Y),MATCH(1,(DATABASE.DATE:DATE=$A11)*(DATABASE.NO:(NO)="REF2"),0)), dx_mes, x_mes-823216.6581, dy_mes, y_mes-1091503.0821, proj_long, (dx_mes*42.2619000000413 + dy_mes*-90.6307000000961)/99.9999598705965, 0 + proj_long ), "" )</f>
        <v/>
      </c>
      <c r="BI11" t="str">
        <f ca="1">IFERROR( _xludf.LET( x_mes, INDEX(DATABASE.X:(X),MATCH(1,(DATABASE.DATE:DATE=$A11)*(DATABASE.NO:(NO)="REF2"),0)), y_mes, INDEX(DATABASE.Y:(Y),MATCH(1,(DATABASE.DATE:DATE=$A11)*(DATABASE.NO:(NO)="REF2"),0)),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BJ11" t="str">
        <f>IFERROR( INDEX(DATABASE.Z:(Z),MATCH(1,(DATABASE.DATE:DATE=$A11)*(DATABASE.NO:(NO)="REF2"),0)) - -123.621, "" )</f>
        <v/>
      </c>
    </row>
    <row r="12" spans="1:62" x14ac:dyDescent="0.25">
      <c r="A12" t="s">
        <v>75</v>
      </c>
      <c r="B12">
        <f>A12-A$10</f>
        <v>12</v>
      </c>
      <c r="C12" t="str">
        <f ca="1">IFERROR( _xludf.LET( x_mes, INDEX(DATABASE.X:(X),MATCH(1,(DATABASE.DATE:DATE=$A12)*(DATABASE.NO:(NO)="V1"),0)), y_mes, INDEX(DATABASE.Y:(Y),MATCH(1,(DATABASE.DATE:DATE=$A12)*(DATABASE.NO:(NO)="V1"),0)), dx_mes, x_mes-823216.6581, dy_mes, y_mes-1091503.0821, proj_long, (dx_mes*42.2619000000413 + dy_mes*-90.6307000000961)/99.9999598705965, 0 + proj_long ), "" )</f>
        <v/>
      </c>
      <c r="D12" t="str">
        <f ca="1">IFERROR( _xludf.LET( x_mes, INDEX(DATABASE.X:(X),MATCH(1,(DATABASE.DATE:DATE=$A12)*(DATABASE.NO:(NO)="V1"),0)), y_mes, INDEX(DATABASE.Y:(Y),MATCH(1,(DATABASE.DATE:DATE=$A12)*(DATABASE.NO:(NO)="V1"),0)),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E12" t="str">
        <f>IFERROR( INDEX(DATABASE.Z:(Z),MATCH(1,(DATABASE.DATE:DATE=$A12)*(DATABASE.NO:(NO)="V1"),0)) - -123.621, "" )</f>
        <v/>
      </c>
      <c r="F12" t="str">
        <f ca="1">IFERROR( _xludf.LET( x_mes, INDEX(DATABASE.X:(X),MATCH(1,(DATABASE.DATE:DATE=$A12)*(DATABASE.NO:(NO)="V2"),0)), y_mes, INDEX(DATABASE.Y:(Y),MATCH(1,(DATABASE.DATE:DATE=$A12)*(DATABASE.NO:(NO)="V2"),0)), dx_mes, x_mes-823216.6581, dy_mes, y_mes-1091503.0821, proj_long, (dx_mes*42.2619000000413 + dy_mes*-90.6307000000961)/99.9999598705965, 0 + proj_long ), "" )</f>
        <v/>
      </c>
      <c r="G12" t="str">
        <f ca="1">IFERROR( _xludf.LET( x_mes, INDEX(DATABASE.X:(X),MATCH(1,(DATABASE.DATE:DATE=$A12)*(DATABASE.NO:(NO)="V2"),0)), y_mes, INDEX(DATABASE.Y:(Y),MATCH(1,(DATABASE.DATE:DATE=$A12)*(DATABASE.NO:(NO)="V2"),0)),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H12" t="str">
        <f>IFERROR( INDEX(DATABASE.Z:(Z),MATCH(1,(DATABASE.DATE:DATE=$A12)*(DATABASE.NO:(NO)="V2"),0)) - -123.621, "" )</f>
        <v/>
      </c>
      <c r="I12" t="str">
        <f ca="1">IFERROR( _xludf.LET( x_mes, INDEX(DATABASE.X:(X),MATCH(1,(DATABASE.DATE:DATE=$A12)*(DATABASE.NO:(NO)="V3"),0)), y_mes, INDEX(DATABASE.Y:(Y),MATCH(1,(DATABASE.DATE:DATE=$A12)*(DATABASE.NO:(NO)="V3"),0)), dx_mes, x_mes-823216.6581, dy_mes, y_mes-1091503.0821, proj_long, (dx_mes*42.2619000000413 + dy_mes*-90.6307000000961)/99.9999598705965, 0 + proj_long ), "" )</f>
        <v/>
      </c>
      <c r="J12" t="str">
        <f ca="1">IFERROR( _xludf.LET( x_mes, INDEX(DATABASE.X:(X),MATCH(1,(DATABASE.DATE:DATE=$A12)*(DATABASE.NO:(NO)="V3"),0)), y_mes, INDEX(DATABASE.Y:(Y),MATCH(1,(DATABASE.DATE:DATE=$A12)*(DATABASE.NO:(NO)="V3"),0)),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K12" t="str">
        <f>IFERROR( INDEX(DATABASE.Z:(Z),MATCH(1,(DATABASE.DATE:DATE=$A12)*(DATABASE.NO:(NO)="V3"),0)) - -123.621, "" )</f>
        <v/>
      </c>
      <c r="L12" t="str">
        <f ca="1">IFERROR( _xludf.LET( x_mes, INDEX(DATABASE.X:(X),MATCH(1,(DATABASE.DATE:DATE=$A12)*(DATABASE.NO:(NO)="H1"),0)), y_mes, INDEX(DATABASE.Y:(Y),MATCH(1,(DATABASE.DATE:DATE=$A12)*(DATABASE.NO:(NO)="H1"),0)), dx_mes, x_mes-823216.6581, dy_mes, y_mes-1091503.0821, proj_long, (dx_mes*42.2619000000413 + dy_mes*-90.6307000000961)/99.9999598705965, 0 + proj_long ), "" )</f>
        <v/>
      </c>
      <c r="M12" t="str">
        <f ca="1">IFERROR( _xludf.LET( x_mes, INDEX(DATABASE.X:(X),MATCH(1,(DATABASE.DATE:DATE=$A12)*(DATABASE.NO:(NO)="H1"),0)), y_mes, INDEX(DATABASE.Y:(Y),MATCH(1,(DATABASE.DATE:DATE=$A12)*(DATABASE.NO:(NO)="H1"),0)),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N12" t="str">
        <f>IFERROR( INDEX(DATABASE.Z:(Z),MATCH(1,(DATABASE.DATE:DATE=$A12)*(DATABASE.NO:(NO)="H1"),0)) - -123.621, "" )</f>
        <v/>
      </c>
      <c r="O12" t="str">
        <f ca="1">IFERROR( _xludf.LET( x_mes, INDEX(DATABASE.X:(X),MATCH(1,(DATABASE.DATE:DATE=$A12)*(DATABASE.NO:(NO)="H2"),0)), y_mes, INDEX(DATABASE.Y:(Y),MATCH(1,(DATABASE.DATE:DATE=$A12)*(DATABASE.NO:(NO)="H2"),0)), dx_mes, x_mes-823216.6581, dy_mes, y_mes-1091503.0821, proj_long, (dx_mes*42.2619000000413 + dy_mes*-90.6307000000961)/99.9999598705965, 0 + proj_long ), "" )</f>
        <v/>
      </c>
      <c r="P12" t="str">
        <f ca="1">IFERROR( _xludf.LET( x_mes, INDEX(DATABASE.X:(X),MATCH(1,(DATABASE.DATE:DATE=$A12)*(DATABASE.NO:(NO)="H2"),0)), y_mes, INDEX(DATABASE.Y:(Y),MATCH(1,(DATABASE.DATE:DATE=$A12)*(DATABASE.NO:(NO)="H2"),0)),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Q12" t="str">
        <f>IFERROR( INDEX(DATABASE.Z:(Z),MATCH(1,(DATABASE.DATE:DATE=$A12)*(DATABASE.NO:(NO)="H2"),0)) - -123.621, "" )</f>
        <v/>
      </c>
      <c r="R12" t="str">
        <f ca="1">IFERROR( _xludf.LET( x_mes, INDEX(DATABASE.X:(X),MATCH(1,(DATABASE.DATE:DATE=$A12)*(DATABASE.NO:(NO)="H3"),0)), y_mes, INDEX(DATABASE.Y:(Y),MATCH(1,(DATABASE.DATE:DATE=$A12)*(DATABASE.NO:(NO)="H3"),0)), dx_mes, x_mes-823216.6581, dy_mes, y_mes-1091503.0821, proj_long, (dx_mes*42.2619000000413 + dy_mes*-90.6307000000961)/99.9999598705965, 0 + proj_long ), "" )</f>
        <v/>
      </c>
      <c r="S12" t="str">
        <f ca="1">IFERROR( _xludf.LET( x_mes, INDEX(DATABASE.X:(X),MATCH(1,(DATABASE.DATE:DATE=$A12)*(DATABASE.NO:(NO)="H3"),0)), y_mes, INDEX(DATABASE.Y:(Y),MATCH(1,(DATABASE.DATE:DATE=$A12)*(DATABASE.NO:(NO)="H3"),0)),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T12" t="str">
        <f>IFERROR( INDEX(DATABASE.Z:(Z),MATCH(1,(DATABASE.DATE:DATE=$A12)*(DATABASE.NO:(NO)="H3"),0)) - -123.621, "" )</f>
        <v/>
      </c>
      <c r="U12" t="str">
        <f ca="1">IFERROR( _xludf.LET( x_mes, INDEX(DATABASE.X:(X),MATCH(1,(DATABASE.DATE:DATE=$A12)*(DATABASE.NO:(NO)="H4"),0)), y_mes, INDEX(DATABASE.Y:(Y),MATCH(1,(DATABASE.DATE:DATE=$A12)*(DATABASE.NO:(NO)="H4"),0)), dx_mes, x_mes-823216.6581, dy_mes, y_mes-1091503.0821, proj_long, (dx_mes*42.2619000000413 + dy_mes*-90.6307000000961)/99.9999598705965, 0 + proj_long ), "" )</f>
        <v/>
      </c>
      <c r="V12" t="str">
        <f ca="1">IFERROR( _xludf.LET( x_mes, INDEX(DATABASE.X:(X),MATCH(1,(DATABASE.DATE:DATE=$A12)*(DATABASE.NO:(NO)="H4"),0)), y_mes, INDEX(DATABASE.Y:(Y),MATCH(1,(DATABASE.DATE:DATE=$A12)*(DATABASE.NO:(NO)="H4"),0)),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W12" t="str">
        <f>IFERROR( INDEX(DATABASE.Z:(Z),MATCH(1,(DATABASE.DATE:DATE=$A12)*(DATABASE.NO:(NO)="H4"),0)) - -123.621, "" )</f>
        <v/>
      </c>
      <c r="X12" t="str">
        <f ca="1">IFERROR( _xludf.LET( x_mes, INDEX(DATABASE.X:(X),MATCH(1,(DATABASE.DATE:DATE=$A12)*(DATABASE.NO:(NO)="H5"),0)), y_mes, INDEX(DATABASE.Y:(Y),MATCH(1,(DATABASE.DATE:DATE=$A12)*(DATABASE.NO:(NO)="H5"),0)), dx_mes, x_mes-823216.6581, dy_mes, y_mes-1091503.0821, proj_long, (dx_mes*42.2619000000413 + dy_mes*-90.6307000000961)/99.9999598705965, 0 + proj_long ), "" )</f>
        <v/>
      </c>
      <c r="Y12" t="str">
        <f ca="1">IFERROR( _xludf.LET( x_mes, INDEX(DATABASE.X:(X),MATCH(1,(DATABASE.DATE:DATE=$A12)*(DATABASE.NO:(NO)="H5"),0)), y_mes, INDEX(DATABASE.Y:(Y),MATCH(1,(DATABASE.DATE:DATE=$A12)*(DATABASE.NO:(NO)="H5"),0)),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Z12" t="str">
        <f>IFERROR( INDEX(DATABASE.Z:(Z),MATCH(1,(DATABASE.DATE:DATE=$A12)*(DATABASE.NO:(NO)="H5"),0)) - -123.621, "" )</f>
        <v/>
      </c>
      <c r="AA12" t="str">
        <f ca="1">IFERROR( _xludf.LET( x_mes, INDEX(DATABASE.X:(X),MATCH(1,(DATABASE.DATE:DATE=$A12)*(DATABASE.NO:(NO)="B1"),0)), y_mes, INDEX(DATABASE.Y:(Y),MATCH(1,(DATABASE.DATE:DATE=$A12)*(DATABASE.NO:(NO)="B1"),0)), dx_mes, x_mes-823216.6581, dy_mes, y_mes-1091503.0821, proj_long, (dx_mes*42.2619000000413 + dy_mes*-90.6307000000961)/99.9999598705965, 0 + proj_long ), "" )</f>
        <v/>
      </c>
      <c r="AB12" t="str">
        <f ca="1">IFERROR( _xludf.LET( x_mes, INDEX(DATABASE.X:(X),MATCH(1,(DATABASE.DATE:DATE=$A12)*(DATABASE.NO:(NO)="B1"),0)), y_mes, INDEX(DATABASE.Y:(Y),MATCH(1,(DATABASE.DATE:DATE=$A12)*(DATABASE.NO:(NO)="B1"),0)),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C12" t="str">
        <f>IFERROR( INDEX(DATABASE.Z:(Z),MATCH(1,(DATABASE.DATE:DATE=$A12)*(DATABASE.NO:(NO)="B1"),0)) - -123.621, "" )</f>
        <v/>
      </c>
      <c r="AD12" t="str">
        <f ca="1">IFERROR( _xludf.LET( x_mes, INDEX(DATABASE.X:(X),MATCH(1,(DATABASE.DATE:DATE=$A12)*(DATABASE.NO:(NO)="B2"),0)), y_mes, INDEX(DATABASE.Y:(Y),MATCH(1,(DATABASE.DATE:DATE=$A12)*(DATABASE.NO:(NO)="B2"),0)), dx_mes, x_mes-823216.6581, dy_mes, y_mes-1091503.0821, proj_long, (dx_mes*42.2619000000413 + dy_mes*-90.6307000000961)/99.9999598705965, 0 + proj_long ), "" )</f>
        <v/>
      </c>
      <c r="AE12" t="str">
        <f ca="1">IFERROR( _xludf.LET( x_mes, INDEX(DATABASE.X:(X),MATCH(1,(DATABASE.DATE:DATE=$A12)*(DATABASE.NO:(NO)="B2"),0)), y_mes, INDEX(DATABASE.Y:(Y),MATCH(1,(DATABASE.DATE:DATE=$A12)*(DATABASE.NO:(NO)="B2"),0)),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F12" t="str">
        <f>IFERROR( INDEX(DATABASE.Z:(Z),MATCH(1,(DATABASE.DATE:DATE=$A12)*(DATABASE.NO:(NO)="B2"),0)) - -123.621, "" )</f>
        <v/>
      </c>
      <c r="AG12" t="str">
        <f ca="1">IFERROR( _xludf.LET( x_mes, INDEX(DATABASE.X:(X),MATCH(1,(DATABASE.DATE:DATE=$A12)*(DATABASE.NO:(NO)="B3"),0)), y_mes, INDEX(DATABASE.Y:(Y),MATCH(1,(DATABASE.DATE:DATE=$A12)*(DATABASE.NO:(NO)="B3"),0)), dx_mes, x_mes-823216.6581, dy_mes, y_mes-1091503.0821, proj_long, (dx_mes*42.2619000000413 + dy_mes*-90.6307000000961)/99.9999598705965, 0 + proj_long ), "" )</f>
        <v/>
      </c>
      <c r="AH12" t="str">
        <f ca="1">IFERROR( _xludf.LET( x_mes, INDEX(DATABASE.X:(X),MATCH(1,(DATABASE.DATE:DATE=$A12)*(DATABASE.NO:(NO)="B3"),0)), y_mes, INDEX(DATABASE.Y:(Y),MATCH(1,(DATABASE.DATE:DATE=$A12)*(DATABASE.NO:(NO)="B3"),0)),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I12" t="str">
        <f>IFERROR( INDEX(DATABASE.Z:(Z),MATCH(1,(DATABASE.DATE:DATE=$A12)*(DATABASE.NO:(NO)="B3"),0)) - -123.621, "" )</f>
        <v/>
      </c>
      <c r="AJ12" t="str">
        <f ca="1">IFERROR( _xludf.LET( x_mes, INDEX(DATABASE.X:(X),MATCH(1,(DATABASE.DATE:DATE=$A12)*(DATABASE.NO:(NO)="B4"),0)), y_mes, INDEX(DATABASE.Y:(Y),MATCH(1,(DATABASE.DATE:DATE=$A12)*(DATABASE.NO:(NO)="B4"),0)), dx_mes, x_mes-823216.6581, dy_mes, y_mes-1091503.0821, proj_long, (dx_mes*42.2619000000413 + dy_mes*-90.6307000000961)/99.9999598705965, 0 + proj_long ), "" )</f>
        <v/>
      </c>
      <c r="AK12" t="str">
        <f ca="1">IFERROR( _xludf.LET( x_mes, INDEX(DATABASE.X:(X),MATCH(1,(DATABASE.DATE:DATE=$A12)*(DATABASE.NO:(NO)="B4"),0)), y_mes, INDEX(DATABASE.Y:(Y),MATCH(1,(DATABASE.DATE:DATE=$A12)*(DATABASE.NO:(NO)="B4"),0)),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L12" t="str">
        <f>IFERROR( INDEX(DATABASE.Z:(Z),MATCH(1,(DATABASE.DATE:DATE=$A12)*(DATABASE.NO:(NO)="B4"),0)) - -123.621, "" )</f>
        <v/>
      </c>
      <c r="AM12" t="str">
        <f ca="1">IFERROR( _xludf.LET( x_mes, INDEX(DATABASE.X:(X),MATCH(1,(DATABASE.DATE:DATE=$A12)*(DATABASE.NO:(NO)="B5"),0)), y_mes, INDEX(DATABASE.Y:(Y),MATCH(1,(DATABASE.DATE:DATE=$A12)*(DATABASE.NO:(NO)="B5"),0)), dx_mes, x_mes-823216.6581, dy_mes, y_mes-1091503.0821, proj_long, (dx_mes*42.2619000000413 + dy_mes*-90.6307000000961)/99.9999598705965, 0 + proj_long ), "" )</f>
        <v/>
      </c>
      <c r="AN12" t="str">
        <f ca="1">IFERROR( _xludf.LET( x_mes, INDEX(DATABASE.X:(X),MATCH(1,(DATABASE.DATE:DATE=$A12)*(DATABASE.NO:(NO)="B5"),0)), y_mes, INDEX(DATABASE.Y:(Y),MATCH(1,(DATABASE.DATE:DATE=$A12)*(DATABASE.NO:(NO)="B5"),0)),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O12" t="str">
        <f>IFERROR( INDEX(DATABASE.Z:(Z),MATCH(1,(DATABASE.DATE:DATE=$A12)*(DATABASE.NO:(NO)="B5"),0)) - -123.621, "" )</f>
        <v/>
      </c>
      <c r="AP12" t="str">
        <f ca="1">IFERROR( _xludf.LET( x_mes, INDEX(DATABASE.X:(X),MATCH(1,(DATABASE.DATE:DATE=$A12)*(DATABASE.NO:(NO)="M1"),0)), y_mes, INDEX(DATABASE.Y:(Y),MATCH(1,(DATABASE.DATE:DATE=$A12)*(DATABASE.NO:(NO)="M1"),0)), dx_mes, x_mes-823216.6581, dy_mes, y_mes-1091503.0821, proj_long, (dx_mes*42.2619000000413 + dy_mes*-90.6307000000961)/99.9999598705965, 0 + proj_long ), "" )</f>
        <v/>
      </c>
      <c r="AQ12" t="str">
        <f ca="1">IFERROR( _xludf.LET( x_mes, INDEX(DATABASE.X:(X),MATCH(1,(DATABASE.DATE:DATE=$A12)*(DATABASE.NO:(NO)="M1"),0)), y_mes, INDEX(DATABASE.Y:(Y),MATCH(1,(DATABASE.DATE:DATE=$A12)*(DATABASE.NO:(NO)="M1"),0)),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R12" t="str">
        <f>IFERROR( INDEX(DATABASE.Z:(Z),MATCH(1,(DATABASE.DATE:DATE=$A12)*(DATABASE.NO:(NO)="M1"),0)) - -123.621, "" )</f>
        <v/>
      </c>
      <c r="AS12" t="str">
        <f ca="1">IFERROR( _xludf.LET( x_mes, INDEX(DATABASE.X:(X),MATCH(1,(DATABASE.DATE:DATE=$A12)*(DATABASE.NO:(NO)="M2"),0)), y_mes, INDEX(DATABASE.Y:(Y),MATCH(1,(DATABASE.DATE:DATE=$A12)*(DATABASE.NO:(NO)="M2"),0)), dx_mes, x_mes-823216.6581, dy_mes, y_mes-1091503.0821, proj_long, (dx_mes*42.2619000000413 + dy_mes*-90.6307000000961)/99.9999598705965, 0 + proj_long ), "" )</f>
        <v/>
      </c>
      <c r="AT12" t="str">
        <f ca="1">IFERROR( _xludf.LET( x_mes, INDEX(DATABASE.X:(X),MATCH(1,(DATABASE.DATE:DATE=$A12)*(DATABASE.NO:(NO)="M2"),0)), y_mes, INDEX(DATABASE.Y:(Y),MATCH(1,(DATABASE.DATE:DATE=$A12)*(DATABASE.NO:(NO)="M2"),0)),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U12" t="str">
        <f>IFERROR( INDEX(DATABASE.Z:(Z),MATCH(1,(DATABASE.DATE:DATE=$A12)*(DATABASE.NO:(NO)="M2"),0)) - -123.621, "" )</f>
        <v/>
      </c>
      <c r="AV12" t="str">
        <f ca="1">IFERROR( _xludf.LET( x_mes, INDEX(DATABASE.X:(X),MATCH(1,(DATABASE.DATE:DATE=$A12)*(DATABASE.NO:(NO)="M3"),0)), y_mes, INDEX(DATABASE.Y:(Y),MATCH(1,(DATABASE.DATE:DATE=$A12)*(DATABASE.NO:(NO)="M3"),0)), dx_mes, x_mes-823216.6581, dy_mes, y_mes-1091503.0821, proj_long, (dx_mes*42.2619000000413 + dy_mes*-90.6307000000961)/99.9999598705965, 0 + proj_long ), "" )</f>
        <v/>
      </c>
      <c r="AW12" t="str">
        <f ca="1">IFERROR( _xludf.LET( x_mes, INDEX(DATABASE.X:(X),MATCH(1,(DATABASE.DATE:DATE=$A12)*(DATABASE.NO:(NO)="M3"),0)), y_mes, INDEX(DATABASE.Y:(Y),MATCH(1,(DATABASE.DATE:DATE=$A12)*(DATABASE.NO:(NO)="M3"),0)),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X12" t="str">
        <f>IFERROR( INDEX(DATABASE.Z:(Z),MATCH(1,(DATABASE.DATE:DATE=$A12)*(DATABASE.NO:(NO)="M3"),0)) - -123.621, "" )</f>
        <v/>
      </c>
      <c r="AY12" t="str">
        <f ca="1">IFERROR( _xludf.LET( x_mes, INDEX(DATABASE.X:(X),MATCH(1,(DATABASE.DATE:DATE=$A12)*(DATABASE.NO:(NO)="M4"),0)), y_mes, INDEX(DATABASE.Y:(Y),MATCH(1,(DATABASE.DATE:DATE=$A12)*(DATABASE.NO:(NO)="M4"),0)), dx_mes, x_mes-823216.6581, dy_mes, y_mes-1091503.0821, proj_long, (dx_mes*42.2619000000413 + dy_mes*-90.6307000000961)/99.9999598705965, 0 + proj_long ), "" )</f>
        <v/>
      </c>
      <c r="AZ12" t="str">
        <f ca="1">IFERROR( _xludf.LET( x_mes, INDEX(DATABASE.X:(X),MATCH(1,(DATABASE.DATE:DATE=$A12)*(DATABASE.NO:(NO)="M4"),0)), y_mes, INDEX(DATABASE.Y:(Y),MATCH(1,(DATABASE.DATE:DATE=$A12)*(DATABASE.NO:(NO)="M4"),0)),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BA12" t="str">
        <f>IFERROR( INDEX(DATABASE.Z:(Z),MATCH(1,(DATABASE.DATE:DATE=$A12)*(DATABASE.NO:(NO)="M4"),0)) - -123.621, "" )</f>
        <v/>
      </c>
      <c r="BB12" t="str">
        <f ca="1">IFERROR( _xludf.LET( x_mes, INDEX(DATABASE.X:(X),MATCH(1,(DATABASE.DATE:DATE=$A12)*(DATABASE.NO:(NO)="M5"),0)), y_mes, INDEX(DATABASE.Y:(Y),MATCH(1,(DATABASE.DATE:DATE=$A12)*(DATABASE.NO:(NO)="M5"),0)), dx_mes, x_mes-823216.6581, dy_mes, y_mes-1091503.0821, proj_long, (dx_mes*42.2619000000413 + dy_mes*-90.6307000000961)/99.9999598705965, 0 + proj_long ), "" )</f>
        <v/>
      </c>
      <c r="BC12" t="str">
        <f ca="1">IFERROR( _xludf.LET( x_mes, INDEX(DATABASE.X:(X),MATCH(1,(DATABASE.DATE:DATE=$A12)*(DATABASE.NO:(NO)="M5"),0)), y_mes, INDEX(DATABASE.Y:(Y),MATCH(1,(DATABASE.DATE:DATE=$A12)*(DATABASE.NO:(NO)="M5"),0)),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BD12" t="str">
        <f>IFERROR( INDEX(DATABASE.Z:(Z),MATCH(1,(DATABASE.DATE:DATE=$A12)*(DATABASE.NO:(NO)="M5"),0)) - -123.621, "" )</f>
        <v/>
      </c>
      <c r="BE12" t="str">
        <f ca="1">IFERROR( _xludf.LET( x_mes, INDEX(DATABASE.X:(X),MATCH(1,(DATABASE.DATE:DATE=$A12)*(DATABASE.NO:(NO)="REF1"),0)), y_mes, INDEX(DATABASE.Y:(Y),MATCH(1,(DATABASE.DATE:DATE=$A12)*(DATABASE.NO:(NO)="REF1"),0)), dx_mes, x_mes-823216.6581, dy_mes, y_mes-1091503.0821, proj_long, (dx_mes*42.2619000000413 + dy_mes*-90.6307000000961)/99.9999598705965, 0 + proj_long ), "" )</f>
        <v/>
      </c>
      <c r="BF12" t="str">
        <f ca="1">IFERROR( _xludf.LET( x_mes, INDEX(DATABASE.X:(X),MATCH(1,(DATABASE.DATE:DATE=$A12)*(DATABASE.NO:(NO)="REF1"),0)), y_mes, INDEX(DATABASE.Y:(Y),MATCH(1,(DATABASE.DATE:DATE=$A12)*(DATABASE.NO:(NO)="REF1"),0)),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BG12" t="str">
        <f>IFERROR( INDEX(DATABASE.Z:(Z),MATCH(1,(DATABASE.DATE:DATE=$A12)*(DATABASE.NO:(NO)="REF1"),0)) - -123.621, "" )</f>
        <v/>
      </c>
      <c r="BH12" t="str">
        <f ca="1">IFERROR( _xludf.LET( x_mes, INDEX(DATABASE.X:(X),MATCH(1,(DATABASE.DATE:DATE=$A12)*(DATABASE.NO:(NO)="REF2"),0)), y_mes, INDEX(DATABASE.Y:(Y),MATCH(1,(DATABASE.DATE:DATE=$A12)*(DATABASE.NO:(NO)="REF2"),0)), dx_mes, x_mes-823216.6581, dy_mes, y_mes-1091503.0821, proj_long, (dx_mes*42.2619000000413 + dy_mes*-90.6307000000961)/99.9999598705965, 0 + proj_long ), "" )</f>
        <v/>
      </c>
      <c r="BI12" t="str">
        <f ca="1">IFERROR( _xludf.LET( x_mes, INDEX(DATABASE.X:(X),MATCH(1,(DATABASE.DATE:DATE=$A12)*(DATABASE.NO:(NO)="REF2"),0)), y_mes, INDEX(DATABASE.Y:(Y),MATCH(1,(DATABASE.DATE:DATE=$A12)*(DATABASE.NO:(NO)="REF2"),0)),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BJ12" t="str">
        <f>IFERROR( INDEX(DATABASE.Z:(Z),MATCH(1,(DATABASE.DATE:DATE=$A12)*(DATABASE.NO:(NO)="REF2"),0)) - -123.621, "" )</f>
        <v/>
      </c>
    </row>
    <row r="13" spans="1:62" x14ac:dyDescent="0.25">
      <c r="A13" t="s">
        <v>76</v>
      </c>
      <c r="B13">
        <f>A13-A$10</f>
        <v>16</v>
      </c>
      <c r="C13" t="str">
        <f ca="1">IFERROR( _xludf.LET( x_mes, INDEX(DATABASE.X:(X),MATCH(1,(DATABASE.DATE:DATE=$A13)*(DATABASE.NO:(NO)="V1"),0)), y_mes, INDEX(DATABASE.Y:(Y),MATCH(1,(DATABASE.DATE:DATE=$A13)*(DATABASE.NO:(NO)="V1"),0)), dx_mes, x_mes-823216.6581, dy_mes, y_mes-1091503.0821, proj_long, (dx_mes*42.2619000000413 + dy_mes*-90.6307000000961)/99.9999598705965, 0 + proj_long ), "" )</f>
        <v/>
      </c>
      <c r="D13" t="str">
        <f ca="1">IFERROR( _xludf.LET( x_mes, INDEX(DATABASE.X:(X),MATCH(1,(DATABASE.DATE:DATE=$A13)*(DATABASE.NO:(NO)="V1"),0)), y_mes, INDEX(DATABASE.Y:(Y),MATCH(1,(DATABASE.DATE:DATE=$A13)*(DATABASE.NO:(NO)="V1"),0)),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E13" t="str">
        <f>IFERROR( INDEX(DATABASE.Z:(Z),MATCH(1,(DATABASE.DATE:DATE=$A13)*(DATABASE.NO:(NO)="V1"),0)) - -123.621, "" )</f>
        <v/>
      </c>
      <c r="F13" t="str">
        <f ca="1">IFERROR( _xludf.LET( x_mes, INDEX(DATABASE.X:(X),MATCH(1,(DATABASE.DATE:DATE=$A13)*(DATABASE.NO:(NO)="V2"),0)), y_mes, INDEX(DATABASE.Y:(Y),MATCH(1,(DATABASE.DATE:DATE=$A13)*(DATABASE.NO:(NO)="V2"),0)), dx_mes, x_mes-823216.6581, dy_mes, y_mes-1091503.0821, proj_long, (dx_mes*42.2619000000413 + dy_mes*-90.6307000000961)/99.9999598705965, 0 + proj_long ), "" )</f>
        <v/>
      </c>
      <c r="G13" t="str">
        <f ca="1">IFERROR( _xludf.LET( x_mes, INDEX(DATABASE.X:(X),MATCH(1,(DATABASE.DATE:DATE=$A13)*(DATABASE.NO:(NO)="V2"),0)), y_mes, INDEX(DATABASE.Y:(Y),MATCH(1,(DATABASE.DATE:DATE=$A13)*(DATABASE.NO:(NO)="V2"),0)),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H13" t="str">
        <f>IFERROR( INDEX(DATABASE.Z:(Z),MATCH(1,(DATABASE.DATE:DATE=$A13)*(DATABASE.NO:(NO)="V2"),0)) - -123.621, "" )</f>
        <v/>
      </c>
      <c r="I13" t="str">
        <f ca="1">IFERROR( _xludf.LET( x_mes, INDEX(DATABASE.X:(X),MATCH(1,(DATABASE.DATE:DATE=$A13)*(DATABASE.NO:(NO)="V3"),0)), y_mes, INDEX(DATABASE.Y:(Y),MATCH(1,(DATABASE.DATE:DATE=$A13)*(DATABASE.NO:(NO)="V3"),0)), dx_mes, x_mes-823216.6581, dy_mes, y_mes-1091503.0821, proj_long, (dx_mes*42.2619000000413 + dy_mes*-90.6307000000961)/99.9999598705965, 0 + proj_long ), "" )</f>
        <v/>
      </c>
      <c r="J13" t="str">
        <f ca="1">IFERROR( _xludf.LET( x_mes, INDEX(DATABASE.X:(X),MATCH(1,(DATABASE.DATE:DATE=$A13)*(DATABASE.NO:(NO)="V3"),0)), y_mes, INDEX(DATABASE.Y:(Y),MATCH(1,(DATABASE.DATE:DATE=$A13)*(DATABASE.NO:(NO)="V3"),0)),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K13" t="str">
        <f>IFERROR( INDEX(DATABASE.Z:(Z),MATCH(1,(DATABASE.DATE:DATE=$A13)*(DATABASE.NO:(NO)="V3"),0)) - -123.621, "" )</f>
        <v/>
      </c>
      <c r="L13" t="str">
        <f ca="1">IFERROR( _xludf.LET( x_mes, INDEX(DATABASE.X:(X),MATCH(1,(DATABASE.DATE:DATE=$A13)*(DATABASE.NO:(NO)="H1"),0)), y_mes, INDEX(DATABASE.Y:(Y),MATCH(1,(DATABASE.DATE:DATE=$A13)*(DATABASE.NO:(NO)="H1"),0)), dx_mes, x_mes-823216.6581, dy_mes, y_mes-1091503.0821, proj_long, (dx_mes*42.2619000000413 + dy_mes*-90.6307000000961)/99.9999598705965, 0 + proj_long ), "" )</f>
        <v/>
      </c>
      <c r="M13" t="str">
        <f ca="1">IFERROR( _xludf.LET( x_mes, INDEX(DATABASE.X:(X),MATCH(1,(DATABASE.DATE:DATE=$A13)*(DATABASE.NO:(NO)="H1"),0)), y_mes, INDEX(DATABASE.Y:(Y),MATCH(1,(DATABASE.DATE:DATE=$A13)*(DATABASE.NO:(NO)="H1"),0)),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N13" t="str">
        <f>IFERROR( INDEX(DATABASE.Z:(Z),MATCH(1,(DATABASE.DATE:DATE=$A13)*(DATABASE.NO:(NO)="H1"),0)) - -123.621, "" )</f>
        <v/>
      </c>
      <c r="O13" t="str">
        <f ca="1">IFERROR( _xludf.LET( x_mes, INDEX(DATABASE.X:(X),MATCH(1,(DATABASE.DATE:DATE=$A13)*(DATABASE.NO:(NO)="H2"),0)), y_mes, INDEX(DATABASE.Y:(Y),MATCH(1,(DATABASE.DATE:DATE=$A13)*(DATABASE.NO:(NO)="H2"),0)), dx_mes, x_mes-823216.6581, dy_mes, y_mes-1091503.0821, proj_long, (dx_mes*42.2619000000413 + dy_mes*-90.6307000000961)/99.9999598705965, 0 + proj_long ), "" )</f>
        <v/>
      </c>
      <c r="P13" t="str">
        <f ca="1">IFERROR( _xludf.LET( x_mes, INDEX(DATABASE.X:(X),MATCH(1,(DATABASE.DATE:DATE=$A13)*(DATABASE.NO:(NO)="H2"),0)), y_mes, INDEX(DATABASE.Y:(Y),MATCH(1,(DATABASE.DATE:DATE=$A13)*(DATABASE.NO:(NO)="H2"),0)),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Q13" t="str">
        <f>IFERROR( INDEX(DATABASE.Z:(Z),MATCH(1,(DATABASE.DATE:DATE=$A13)*(DATABASE.NO:(NO)="H2"),0)) - -123.621, "" )</f>
        <v/>
      </c>
      <c r="R13" t="str">
        <f ca="1">IFERROR( _xludf.LET( x_mes, INDEX(DATABASE.X:(X),MATCH(1,(DATABASE.DATE:DATE=$A13)*(DATABASE.NO:(NO)="H3"),0)), y_mes, INDEX(DATABASE.Y:(Y),MATCH(1,(DATABASE.DATE:DATE=$A13)*(DATABASE.NO:(NO)="H3"),0)), dx_mes, x_mes-823216.6581, dy_mes, y_mes-1091503.0821, proj_long, (dx_mes*42.2619000000413 + dy_mes*-90.6307000000961)/99.9999598705965, 0 + proj_long ), "" )</f>
        <v/>
      </c>
      <c r="S13" t="str">
        <f ca="1">IFERROR( _xludf.LET( x_mes, INDEX(DATABASE.X:(X),MATCH(1,(DATABASE.DATE:DATE=$A13)*(DATABASE.NO:(NO)="H3"),0)), y_mes, INDEX(DATABASE.Y:(Y),MATCH(1,(DATABASE.DATE:DATE=$A13)*(DATABASE.NO:(NO)="H3"),0)),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T13" t="str">
        <f>IFERROR( INDEX(DATABASE.Z:(Z),MATCH(1,(DATABASE.DATE:DATE=$A13)*(DATABASE.NO:(NO)="H3"),0)) - -123.621, "" )</f>
        <v/>
      </c>
      <c r="U13" t="str">
        <f ca="1">IFERROR( _xludf.LET( x_mes, INDEX(DATABASE.X:(X),MATCH(1,(DATABASE.DATE:DATE=$A13)*(DATABASE.NO:(NO)="H4"),0)), y_mes, INDEX(DATABASE.Y:(Y),MATCH(1,(DATABASE.DATE:DATE=$A13)*(DATABASE.NO:(NO)="H4"),0)), dx_mes, x_mes-823216.6581, dy_mes, y_mes-1091503.0821, proj_long, (dx_mes*42.2619000000413 + dy_mes*-90.6307000000961)/99.9999598705965, 0 + proj_long ), "" )</f>
        <v/>
      </c>
      <c r="V13" t="str">
        <f ca="1">IFERROR( _xludf.LET( x_mes, INDEX(DATABASE.X:(X),MATCH(1,(DATABASE.DATE:DATE=$A13)*(DATABASE.NO:(NO)="H4"),0)), y_mes, INDEX(DATABASE.Y:(Y),MATCH(1,(DATABASE.DATE:DATE=$A13)*(DATABASE.NO:(NO)="H4"),0)),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W13" t="str">
        <f>IFERROR( INDEX(DATABASE.Z:(Z),MATCH(1,(DATABASE.DATE:DATE=$A13)*(DATABASE.NO:(NO)="H4"),0)) - -123.621, "" )</f>
        <v/>
      </c>
      <c r="X13" t="str">
        <f ca="1">IFERROR( _xludf.LET( x_mes, INDEX(DATABASE.X:(X),MATCH(1,(DATABASE.DATE:DATE=$A13)*(DATABASE.NO:(NO)="H5"),0)), y_mes, INDEX(DATABASE.Y:(Y),MATCH(1,(DATABASE.DATE:DATE=$A13)*(DATABASE.NO:(NO)="H5"),0)), dx_mes, x_mes-823216.6581, dy_mes, y_mes-1091503.0821, proj_long, (dx_mes*42.2619000000413 + dy_mes*-90.6307000000961)/99.9999598705965, 0 + proj_long ), "" )</f>
        <v/>
      </c>
      <c r="Y13" t="str">
        <f ca="1">IFERROR( _xludf.LET( x_mes, INDEX(DATABASE.X:(X),MATCH(1,(DATABASE.DATE:DATE=$A13)*(DATABASE.NO:(NO)="H5"),0)), y_mes, INDEX(DATABASE.Y:(Y),MATCH(1,(DATABASE.DATE:DATE=$A13)*(DATABASE.NO:(NO)="H5"),0)),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Z13" t="str">
        <f>IFERROR( INDEX(DATABASE.Z:(Z),MATCH(1,(DATABASE.DATE:DATE=$A13)*(DATABASE.NO:(NO)="H5"),0)) - -123.621, "" )</f>
        <v/>
      </c>
      <c r="AA13" t="str">
        <f ca="1">IFERROR( _xludf.LET( x_mes, INDEX(DATABASE.X:(X),MATCH(1,(DATABASE.DATE:DATE=$A13)*(DATABASE.NO:(NO)="B1"),0)), y_mes, INDEX(DATABASE.Y:(Y),MATCH(1,(DATABASE.DATE:DATE=$A13)*(DATABASE.NO:(NO)="B1"),0)), dx_mes, x_mes-823216.6581, dy_mes, y_mes-1091503.0821, proj_long, (dx_mes*42.2619000000413 + dy_mes*-90.6307000000961)/99.9999598705965, 0 + proj_long ), "" )</f>
        <v/>
      </c>
      <c r="AB13" t="str">
        <f ca="1">IFERROR( _xludf.LET( x_mes, INDEX(DATABASE.X:(X),MATCH(1,(DATABASE.DATE:DATE=$A13)*(DATABASE.NO:(NO)="B1"),0)), y_mes, INDEX(DATABASE.Y:(Y),MATCH(1,(DATABASE.DATE:DATE=$A13)*(DATABASE.NO:(NO)="B1"),0)),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C13" t="str">
        <f>IFERROR( INDEX(DATABASE.Z:(Z),MATCH(1,(DATABASE.DATE:DATE=$A13)*(DATABASE.NO:(NO)="B1"),0)) - -123.621, "" )</f>
        <v/>
      </c>
      <c r="AD13" t="str">
        <f ca="1">IFERROR( _xludf.LET( x_mes, INDEX(DATABASE.X:(X),MATCH(1,(DATABASE.DATE:DATE=$A13)*(DATABASE.NO:(NO)="B2"),0)), y_mes, INDEX(DATABASE.Y:(Y),MATCH(1,(DATABASE.DATE:DATE=$A13)*(DATABASE.NO:(NO)="B2"),0)), dx_mes, x_mes-823216.6581, dy_mes, y_mes-1091503.0821, proj_long, (dx_mes*42.2619000000413 + dy_mes*-90.6307000000961)/99.9999598705965, 0 + proj_long ), "" )</f>
        <v/>
      </c>
      <c r="AE13" t="str">
        <f ca="1">IFERROR( _xludf.LET( x_mes, INDEX(DATABASE.X:(X),MATCH(1,(DATABASE.DATE:DATE=$A13)*(DATABASE.NO:(NO)="B2"),0)), y_mes, INDEX(DATABASE.Y:(Y),MATCH(1,(DATABASE.DATE:DATE=$A13)*(DATABASE.NO:(NO)="B2"),0)),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F13" t="str">
        <f>IFERROR( INDEX(DATABASE.Z:(Z),MATCH(1,(DATABASE.DATE:DATE=$A13)*(DATABASE.NO:(NO)="B2"),0)) - -123.621, "" )</f>
        <v/>
      </c>
      <c r="AG13" t="str">
        <f ca="1">IFERROR( _xludf.LET( x_mes, INDEX(DATABASE.X:(X),MATCH(1,(DATABASE.DATE:DATE=$A13)*(DATABASE.NO:(NO)="B3"),0)), y_mes, INDEX(DATABASE.Y:(Y),MATCH(1,(DATABASE.DATE:DATE=$A13)*(DATABASE.NO:(NO)="B3"),0)), dx_mes, x_mes-823216.6581, dy_mes, y_mes-1091503.0821, proj_long, (dx_mes*42.2619000000413 + dy_mes*-90.6307000000961)/99.9999598705965, 0 + proj_long ), "" )</f>
        <v/>
      </c>
      <c r="AH13" t="str">
        <f ca="1">IFERROR( _xludf.LET( x_mes, INDEX(DATABASE.X:(X),MATCH(1,(DATABASE.DATE:DATE=$A13)*(DATABASE.NO:(NO)="B3"),0)), y_mes, INDEX(DATABASE.Y:(Y),MATCH(1,(DATABASE.DATE:DATE=$A13)*(DATABASE.NO:(NO)="B3"),0)),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I13" t="str">
        <f>IFERROR( INDEX(DATABASE.Z:(Z),MATCH(1,(DATABASE.DATE:DATE=$A13)*(DATABASE.NO:(NO)="B3"),0)) - -123.621, "" )</f>
        <v/>
      </c>
      <c r="AJ13" t="str">
        <f ca="1">IFERROR( _xludf.LET( x_mes, INDEX(DATABASE.X:(X),MATCH(1,(DATABASE.DATE:DATE=$A13)*(DATABASE.NO:(NO)="B4"),0)), y_mes, INDEX(DATABASE.Y:(Y),MATCH(1,(DATABASE.DATE:DATE=$A13)*(DATABASE.NO:(NO)="B4"),0)), dx_mes, x_mes-823216.6581, dy_mes, y_mes-1091503.0821, proj_long, (dx_mes*42.2619000000413 + dy_mes*-90.6307000000961)/99.9999598705965, 0 + proj_long ), "" )</f>
        <v/>
      </c>
      <c r="AK13" t="str">
        <f ca="1">IFERROR( _xludf.LET( x_mes, INDEX(DATABASE.X:(X),MATCH(1,(DATABASE.DATE:DATE=$A13)*(DATABASE.NO:(NO)="B4"),0)), y_mes, INDEX(DATABASE.Y:(Y),MATCH(1,(DATABASE.DATE:DATE=$A13)*(DATABASE.NO:(NO)="B4"),0)),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L13" t="str">
        <f>IFERROR( INDEX(DATABASE.Z:(Z),MATCH(1,(DATABASE.DATE:DATE=$A13)*(DATABASE.NO:(NO)="B4"),0)) - -123.621, "" )</f>
        <v/>
      </c>
      <c r="AM13" t="str">
        <f ca="1">IFERROR( _xludf.LET( x_mes, INDEX(DATABASE.X:(X),MATCH(1,(DATABASE.DATE:DATE=$A13)*(DATABASE.NO:(NO)="B5"),0)), y_mes, INDEX(DATABASE.Y:(Y),MATCH(1,(DATABASE.DATE:DATE=$A13)*(DATABASE.NO:(NO)="B5"),0)), dx_mes, x_mes-823216.6581, dy_mes, y_mes-1091503.0821, proj_long, (dx_mes*42.2619000000413 + dy_mes*-90.6307000000961)/99.9999598705965, 0 + proj_long ), "" )</f>
        <v/>
      </c>
      <c r="AN13" t="str">
        <f ca="1">IFERROR( _xludf.LET( x_mes, INDEX(DATABASE.X:(X),MATCH(1,(DATABASE.DATE:DATE=$A13)*(DATABASE.NO:(NO)="B5"),0)), y_mes, INDEX(DATABASE.Y:(Y),MATCH(1,(DATABASE.DATE:DATE=$A13)*(DATABASE.NO:(NO)="B5"),0)),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O13" t="str">
        <f>IFERROR( INDEX(DATABASE.Z:(Z),MATCH(1,(DATABASE.DATE:DATE=$A13)*(DATABASE.NO:(NO)="B5"),0)) - -123.621, "" )</f>
        <v/>
      </c>
      <c r="AP13" t="str">
        <f ca="1">IFERROR( _xludf.LET( x_mes, INDEX(DATABASE.X:(X),MATCH(1,(DATABASE.DATE:DATE=$A13)*(DATABASE.NO:(NO)="M1"),0)), y_mes, INDEX(DATABASE.Y:(Y),MATCH(1,(DATABASE.DATE:DATE=$A13)*(DATABASE.NO:(NO)="M1"),0)), dx_mes, x_mes-823216.6581, dy_mes, y_mes-1091503.0821, proj_long, (dx_mes*42.2619000000413 + dy_mes*-90.6307000000961)/99.9999598705965, 0 + proj_long ), "" )</f>
        <v/>
      </c>
      <c r="AQ13" t="str">
        <f ca="1">IFERROR( _xludf.LET( x_mes, INDEX(DATABASE.X:(X),MATCH(1,(DATABASE.DATE:DATE=$A13)*(DATABASE.NO:(NO)="M1"),0)), y_mes, INDEX(DATABASE.Y:(Y),MATCH(1,(DATABASE.DATE:DATE=$A13)*(DATABASE.NO:(NO)="M1"),0)),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R13" t="str">
        <f>IFERROR( INDEX(DATABASE.Z:(Z),MATCH(1,(DATABASE.DATE:DATE=$A13)*(DATABASE.NO:(NO)="M1"),0)) - -123.621, "" )</f>
        <v/>
      </c>
      <c r="AS13" t="str">
        <f ca="1">IFERROR( _xludf.LET( x_mes, INDEX(DATABASE.X:(X),MATCH(1,(DATABASE.DATE:DATE=$A13)*(DATABASE.NO:(NO)="M2"),0)), y_mes, INDEX(DATABASE.Y:(Y),MATCH(1,(DATABASE.DATE:DATE=$A13)*(DATABASE.NO:(NO)="M2"),0)), dx_mes, x_mes-823216.6581, dy_mes, y_mes-1091503.0821, proj_long, (dx_mes*42.2619000000413 + dy_mes*-90.6307000000961)/99.9999598705965, 0 + proj_long ), "" )</f>
        <v/>
      </c>
      <c r="AT13" t="str">
        <f ca="1">IFERROR( _xludf.LET( x_mes, INDEX(DATABASE.X:(X),MATCH(1,(DATABASE.DATE:DATE=$A13)*(DATABASE.NO:(NO)="M2"),0)), y_mes, INDEX(DATABASE.Y:(Y),MATCH(1,(DATABASE.DATE:DATE=$A13)*(DATABASE.NO:(NO)="M2"),0)),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U13" t="str">
        <f>IFERROR( INDEX(DATABASE.Z:(Z),MATCH(1,(DATABASE.DATE:DATE=$A13)*(DATABASE.NO:(NO)="M2"),0)) - -123.621, "" )</f>
        <v/>
      </c>
      <c r="AV13" t="str">
        <f ca="1">IFERROR( _xludf.LET( x_mes, INDEX(DATABASE.X:(X),MATCH(1,(DATABASE.DATE:DATE=$A13)*(DATABASE.NO:(NO)="M3"),0)), y_mes, INDEX(DATABASE.Y:(Y),MATCH(1,(DATABASE.DATE:DATE=$A13)*(DATABASE.NO:(NO)="M3"),0)), dx_mes, x_mes-823216.6581, dy_mes, y_mes-1091503.0821, proj_long, (dx_mes*42.2619000000413 + dy_mes*-90.6307000000961)/99.9999598705965, 0 + proj_long ), "" )</f>
        <v/>
      </c>
      <c r="AW13" t="str">
        <f ca="1">IFERROR( _xludf.LET( x_mes, INDEX(DATABASE.X:(X),MATCH(1,(DATABASE.DATE:DATE=$A13)*(DATABASE.NO:(NO)="M3"),0)), y_mes, INDEX(DATABASE.Y:(Y),MATCH(1,(DATABASE.DATE:DATE=$A13)*(DATABASE.NO:(NO)="M3"),0)),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X13" t="str">
        <f>IFERROR( INDEX(DATABASE.Z:(Z),MATCH(1,(DATABASE.DATE:DATE=$A13)*(DATABASE.NO:(NO)="M3"),0)) - -123.621, "" )</f>
        <v/>
      </c>
      <c r="AY13" t="str">
        <f ca="1">IFERROR( _xludf.LET( x_mes, INDEX(DATABASE.X:(X),MATCH(1,(DATABASE.DATE:DATE=$A13)*(DATABASE.NO:(NO)="M4"),0)), y_mes, INDEX(DATABASE.Y:(Y),MATCH(1,(DATABASE.DATE:DATE=$A13)*(DATABASE.NO:(NO)="M4"),0)), dx_mes, x_mes-823216.6581, dy_mes, y_mes-1091503.0821, proj_long, (dx_mes*42.2619000000413 + dy_mes*-90.6307000000961)/99.9999598705965, 0 + proj_long ), "" )</f>
        <v/>
      </c>
      <c r="AZ13" t="str">
        <f ca="1">IFERROR( _xludf.LET( x_mes, INDEX(DATABASE.X:(X),MATCH(1,(DATABASE.DATE:DATE=$A13)*(DATABASE.NO:(NO)="M4"),0)), y_mes, INDEX(DATABASE.Y:(Y),MATCH(1,(DATABASE.DATE:DATE=$A13)*(DATABASE.NO:(NO)="M4"),0)),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BA13" t="str">
        <f>IFERROR( INDEX(DATABASE.Z:(Z),MATCH(1,(DATABASE.DATE:DATE=$A13)*(DATABASE.NO:(NO)="M4"),0)) - -123.621, "" )</f>
        <v/>
      </c>
      <c r="BB13" t="str">
        <f ca="1">IFERROR( _xludf.LET( x_mes, INDEX(DATABASE.X:(X),MATCH(1,(DATABASE.DATE:DATE=$A13)*(DATABASE.NO:(NO)="M5"),0)), y_mes, INDEX(DATABASE.Y:(Y),MATCH(1,(DATABASE.DATE:DATE=$A13)*(DATABASE.NO:(NO)="M5"),0)), dx_mes, x_mes-823216.6581, dy_mes, y_mes-1091503.0821, proj_long, (dx_mes*42.2619000000413 + dy_mes*-90.6307000000961)/99.9999598705965, 0 + proj_long ), "" )</f>
        <v/>
      </c>
      <c r="BC13" t="str">
        <f ca="1">IFERROR( _xludf.LET( x_mes, INDEX(DATABASE.X:(X),MATCH(1,(DATABASE.DATE:DATE=$A13)*(DATABASE.NO:(NO)="M5"),0)), y_mes, INDEX(DATABASE.Y:(Y),MATCH(1,(DATABASE.DATE:DATE=$A13)*(DATABASE.NO:(NO)="M5"),0)),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BD13" t="str">
        <f>IFERROR( INDEX(DATABASE.Z:(Z),MATCH(1,(DATABASE.DATE:DATE=$A13)*(DATABASE.NO:(NO)="M5"),0)) - -123.621, "" )</f>
        <v/>
      </c>
      <c r="BE13" t="str">
        <f ca="1">IFERROR( _xludf.LET( x_mes, INDEX(DATABASE.X:(X),MATCH(1,(DATABASE.DATE:DATE=$A13)*(DATABASE.NO:(NO)="REF1"),0)), y_mes, INDEX(DATABASE.Y:(Y),MATCH(1,(DATABASE.DATE:DATE=$A13)*(DATABASE.NO:(NO)="REF1"),0)), dx_mes, x_mes-823216.6581, dy_mes, y_mes-1091503.0821, proj_long, (dx_mes*42.2619000000413 + dy_mes*-90.6307000000961)/99.9999598705965, 0 + proj_long ), "" )</f>
        <v/>
      </c>
      <c r="BF13" t="str">
        <f ca="1">IFERROR( _xludf.LET( x_mes, INDEX(DATABASE.X:(X),MATCH(1,(DATABASE.DATE:DATE=$A13)*(DATABASE.NO:(NO)="REF1"),0)), y_mes, INDEX(DATABASE.Y:(Y),MATCH(1,(DATABASE.DATE:DATE=$A13)*(DATABASE.NO:(NO)="REF1"),0)),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BG13" t="str">
        <f>IFERROR( INDEX(DATABASE.Z:(Z),MATCH(1,(DATABASE.DATE:DATE=$A13)*(DATABASE.NO:(NO)="REF1"),0)) - -123.621, "" )</f>
        <v/>
      </c>
      <c r="BH13" t="str">
        <f ca="1">IFERROR( _xludf.LET( x_mes, INDEX(DATABASE.X:(X),MATCH(1,(DATABASE.DATE:DATE=$A13)*(DATABASE.NO:(NO)="REF2"),0)), y_mes, INDEX(DATABASE.Y:(Y),MATCH(1,(DATABASE.DATE:DATE=$A13)*(DATABASE.NO:(NO)="REF2"),0)), dx_mes, x_mes-823216.6581, dy_mes, y_mes-1091503.0821, proj_long, (dx_mes*42.2619000000413 + dy_mes*-90.6307000000961)/99.9999598705965, 0 + proj_long ), "" )</f>
        <v/>
      </c>
      <c r="BI13" t="str">
        <f ca="1">IFERROR( _xludf.LET( x_mes, INDEX(DATABASE.X:(X),MATCH(1,(DATABASE.DATE:DATE=$A13)*(DATABASE.NO:(NO)="REF2"),0)), y_mes, INDEX(DATABASE.Y:(Y),MATCH(1,(DATABASE.DATE:DATE=$A13)*(DATABASE.NO:(NO)="REF2"),0)),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BJ13" t="str">
        <f>IFERROR( INDEX(DATABASE.Z:(Z),MATCH(1,(DATABASE.DATE:DATE=$A13)*(DATABASE.NO:(NO)="REF2"),0)) - -123.621, "" )</f>
        <v/>
      </c>
    </row>
    <row r="14" spans="1:62" x14ac:dyDescent="0.25">
      <c r="A14" t="s">
        <v>77</v>
      </c>
      <c r="B14">
        <f>A14-A$10</f>
        <v>20</v>
      </c>
      <c r="C14" t="str">
        <f ca="1">IFERROR( _xludf.LET( x_mes, INDEX(DATABASE.X:(X),MATCH(1,(DATABASE.DATE:DATE=$A14)*(DATABASE.NO:(NO)="V1"),0)), y_mes, INDEX(DATABASE.Y:(Y),MATCH(1,(DATABASE.DATE:DATE=$A14)*(DATABASE.NO:(NO)="V1"),0)), dx_mes, x_mes-823216.6581, dy_mes, y_mes-1091503.0821, proj_long, (dx_mes*42.2619000000413 + dy_mes*-90.6307000000961)/99.9999598705965, 0 + proj_long ), "" )</f>
        <v/>
      </c>
      <c r="D14" t="str">
        <f ca="1">IFERROR( _xludf.LET( x_mes, INDEX(DATABASE.X:(X),MATCH(1,(DATABASE.DATE:DATE=$A14)*(DATABASE.NO:(NO)="V1"),0)), y_mes, INDEX(DATABASE.Y:(Y),MATCH(1,(DATABASE.DATE:DATE=$A14)*(DATABASE.NO:(NO)="V1"),0)),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E14" t="str">
        <f>IFERROR( INDEX(DATABASE.Z:(Z),MATCH(1,(DATABASE.DATE:DATE=$A14)*(DATABASE.NO:(NO)="V1"),0)) - -123.621, "" )</f>
        <v/>
      </c>
      <c r="F14" t="str">
        <f ca="1">IFERROR( _xludf.LET( x_mes, INDEX(DATABASE.X:(X),MATCH(1,(DATABASE.DATE:DATE=$A14)*(DATABASE.NO:(NO)="V2"),0)), y_mes, INDEX(DATABASE.Y:(Y),MATCH(1,(DATABASE.DATE:DATE=$A14)*(DATABASE.NO:(NO)="V2"),0)), dx_mes, x_mes-823216.6581, dy_mes, y_mes-1091503.0821, proj_long, (dx_mes*42.2619000000413 + dy_mes*-90.6307000000961)/99.9999598705965, 0 + proj_long ), "" )</f>
        <v/>
      </c>
      <c r="G14" t="str">
        <f ca="1">IFERROR( _xludf.LET( x_mes, INDEX(DATABASE.X:(X),MATCH(1,(DATABASE.DATE:DATE=$A14)*(DATABASE.NO:(NO)="V2"),0)), y_mes, INDEX(DATABASE.Y:(Y),MATCH(1,(DATABASE.DATE:DATE=$A14)*(DATABASE.NO:(NO)="V2"),0)),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H14" t="str">
        <f>IFERROR( INDEX(DATABASE.Z:(Z),MATCH(1,(DATABASE.DATE:DATE=$A14)*(DATABASE.NO:(NO)="V2"),0)) - -123.621, "" )</f>
        <v/>
      </c>
      <c r="I14" t="str">
        <f ca="1">IFERROR( _xludf.LET( x_mes, INDEX(DATABASE.X:(X),MATCH(1,(DATABASE.DATE:DATE=$A14)*(DATABASE.NO:(NO)="V3"),0)), y_mes, INDEX(DATABASE.Y:(Y),MATCH(1,(DATABASE.DATE:DATE=$A14)*(DATABASE.NO:(NO)="V3"),0)), dx_mes, x_mes-823216.6581, dy_mes, y_mes-1091503.0821, proj_long, (dx_mes*42.2619000000413 + dy_mes*-90.6307000000961)/99.9999598705965, 0 + proj_long ), "" )</f>
        <v/>
      </c>
      <c r="J14" t="str">
        <f ca="1">IFERROR( _xludf.LET( x_mes, INDEX(DATABASE.X:(X),MATCH(1,(DATABASE.DATE:DATE=$A14)*(DATABASE.NO:(NO)="V3"),0)), y_mes, INDEX(DATABASE.Y:(Y),MATCH(1,(DATABASE.DATE:DATE=$A14)*(DATABASE.NO:(NO)="V3"),0)),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K14" t="str">
        <f>IFERROR( INDEX(DATABASE.Z:(Z),MATCH(1,(DATABASE.DATE:DATE=$A14)*(DATABASE.NO:(NO)="V3"),0)) - -123.621, "" )</f>
        <v/>
      </c>
      <c r="L14" t="str">
        <f ca="1">IFERROR( _xludf.LET( x_mes, INDEX(DATABASE.X:(X),MATCH(1,(DATABASE.DATE:DATE=$A14)*(DATABASE.NO:(NO)="H1"),0)), y_mes, INDEX(DATABASE.Y:(Y),MATCH(1,(DATABASE.DATE:DATE=$A14)*(DATABASE.NO:(NO)="H1"),0)), dx_mes, x_mes-823216.6581, dy_mes, y_mes-1091503.0821, proj_long, (dx_mes*42.2619000000413 + dy_mes*-90.6307000000961)/99.9999598705965, 0 + proj_long ), "" )</f>
        <v/>
      </c>
      <c r="M14" t="str">
        <f ca="1">IFERROR( _xludf.LET( x_mes, INDEX(DATABASE.X:(X),MATCH(1,(DATABASE.DATE:DATE=$A14)*(DATABASE.NO:(NO)="H1"),0)), y_mes, INDEX(DATABASE.Y:(Y),MATCH(1,(DATABASE.DATE:DATE=$A14)*(DATABASE.NO:(NO)="H1"),0)),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N14" t="str">
        <f>IFERROR( INDEX(DATABASE.Z:(Z),MATCH(1,(DATABASE.DATE:DATE=$A14)*(DATABASE.NO:(NO)="H1"),0)) - -123.621, "" )</f>
        <v/>
      </c>
      <c r="O14" t="str">
        <f ca="1">IFERROR( _xludf.LET( x_mes, INDEX(DATABASE.X:(X),MATCH(1,(DATABASE.DATE:DATE=$A14)*(DATABASE.NO:(NO)="H2"),0)), y_mes, INDEX(DATABASE.Y:(Y),MATCH(1,(DATABASE.DATE:DATE=$A14)*(DATABASE.NO:(NO)="H2"),0)), dx_mes, x_mes-823216.6581, dy_mes, y_mes-1091503.0821, proj_long, (dx_mes*42.2619000000413 + dy_mes*-90.6307000000961)/99.9999598705965, 0 + proj_long ), "" )</f>
        <v/>
      </c>
      <c r="P14" t="str">
        <f ca="1">IFERROR( _xludf.LET( x_mes, INDEX(DATABASE.X:(X),MATCH(1,(DATABASE.DATE:DATE=$A14)*(DATABASE.NO:(NO)="H2"),0)), y_mes, INDEX(DATABASE.Y:(Y),MATCH(1,(DATABASE.DATE:DATE=$A14)*(DATABASE.NO:(NO)="H2"),0)),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Q14" t="str">
        <f>IFERROR( INDEX(DATABASE.Z:(Z),MATCH(1,(DATABASE.DATE:DATE=$A14)*(DATABASE.NO:(NO)="H2"),0)) - -123.621, "" )</f>
        <v/>
      </c>
      <c r="R14" t="str">
        <f ca="1">IFERROR( _xludf.LET( x_mes, INDEX(DATABASE.X:(X),MATCH(1,(DATABASE.DATE:DATE=$A14)*(DATABASE.NO:(NO)="H3"),0)), y_mes, INDEX(DATABASE.Y:(Y),MATCH(1,(DATABASE.DATE:DATE=$A14)*(DATABASE.NO:(NO)="H3"),0)), dx_mes, x_mes-823216.6581, dy_mes, y_mes-1091503.0821, proj_long, (dx_mes*42.2619000000413 + dy_mes*-90.6307000000961)/99.9999598705965, 0 + proj_long ), "" )</f>
        <v/>
      </c>
      <c r="S14" t="str">
        <f ca="1">IFERROR( _xludf.LET( x_mes, INDEX(DATABASE.X:(X),MATCH(1,(DATABASE.DATE:DATE=$A14)*(DATABASE.NO:(NO)="H3"),0)), y_mes, INDEX(DATABASE.Y:(Y),MATCH(1,(DATABASE.DATE:DATE=$A14)*(DATABASE.NO:(NO)="H3"),0)),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T14" t="str">
        <f>IFERROR( INDEX(DATABASE.Z:(Z),MATCH(1,(DATABASE.DATE:DATE=$A14)*(DATABASE.NO:(NO)="H3"),0)) - -123.621, "" )</f>
        <v/>
      </c>
      <c r="U14" t="str">
        <f ca="1">IFERROR( _xludf.LET( x_mes, INDEX(DATABASE.X:(X),MATCH(1,(DATABASE.DATE:DATE=$A14)*(DATABASE.NO:(NO)="H4"),0)), y_mes, INDEX(DATABASE.Y:(Y),MATCH(1,(DATABASE.DATE:DATE=$A14)*(DATABASE.NO:(NO)="H4"),0)), dx_mes, x_mes-823216.6581, dy_mes, y_mes-1091503.0821, proj_long, (dx_mes*42.2619000000413 + dy_mes*-90.6307000000961)/99.9999598705965, 0 + proj_long ), "" )</f>
        <v/>
      </c>
      <c r="V14" t="str">
        <f ca="1">IFERROR( _xludf.LET( x_mes, INDEX(DATABASE.X:(X),MATCH(1,(DATABASE.DATE:DATE=$A14)*(DATABASE.NO:(NO)="H4"),0)), y_mes, INDEX(DATABASE.Y:(Y),MATCH(1,(DATABASE.DATE:DATE=$A14)*(DATABASE.NO:(NO)="H4"),0)),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W14" t="str">
        <f>IFERROR( INDEX(DATABASE.Z:(Z),MATCH(1,(DATABASE.DATE:DATE=$A14)*(DATABASE.NO:(NO)="H4"),0)) - -123.621, "" )</f>
        <v/>
      </c>
      <c r="X14" t="str">
        <f ca="1">IFERROR( _xludf.LET( x_mes, INDEX(DATABASE.X:(X),MATCH(1,(DATABASE.DATE:DATE=$A14)*(DATABASE.NO:(NO)="H5"),0)), y_mes, INDEX(DATABASE.Y:(Y),MATCH(1,(DATABASE.DATE:DATE=$A14)*(DATABASE.NO:(NO)="H5"),0)), dx_mes, x_mes-823216.6581, dy_mes, y_mes-1091503.0821, proj_long, (dx_mes*42.2619000000413 + dy_mes*-90.6307000000961)/99.9999598705965, 0 + proj_long ), "" )</f>
        <v/>
      </c>
      <c r="Y14" t="str">
        <f ca="1">IFERROR( _xludf.LET( x_mes, INDEX(DATABASE.X:(X),MATCH(1,(DATABASE.DATE:DATE=$A14)*(DATABASE.NO:(NO)="H5"),0)), y_mes, INDEX(DATABASE.Y:(Y),MATCH(1,(DATABASE.DATE:DATE=$A14)*(DATABASE.NO:(NO)="H5"),0)),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Z14" t="str">
        <f>IFERROR( INDEX(DATABASE.Z:(Z),MATCH(1,(DATABASE.DATE:DATE=$A14)*(DATABASE.NO:(NO)="H5"),0)) - -123.621, "" )</f>
        <v/>
      </c>
      <c r="AA14" t="str">
        <f ca="1">IFERROR( _xludf.LET( x_mes, INDEX(DATABASE.X:(X),MATCH(1,(DATABASE.DATE:DATE=$A14)*(DATABASE.NO:(NO)="B1"),0)), y_mes, INDEX(DATABASE.Y:(Y),MATCH(1,(DATABASE.DATE:DATE=$A14)*(DATABASE.NO:(NO)="B1"),0)), dx_mes, x_mes-823216.6581, dy_mes, y_mes-1091503.0821, proj_long, (dx_mes*42.2619000000413 + dy_mes*-90.6307000000961)/99.9999598705965, 0 + proj_long ), "" )</f>
        <v/>
      </c>
      <c r="AB14" t="str">
        <f ca="1">IFERROR( _xludf.LET( x_mes, INDEX(DATABASE.X:(X),MATCH(1,(DATABASE.DATE:DATE=$A14)*(DATABASE.NO:(NO)="B1"),0)), y_mes, INDEX(DATABASE.Y:(Y),MATCH(1,(DATABASE.DATE:DATE=$A14)*(DATABASE.NO:(NO)="B1"),0)),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C14" t="str">
        <f>IFERROR( INDEX(DATABASE.Z:(Z),MATCH(1,(DATABASE.DATE:DATE=$A14)*(DATABASE.NO:(NO)="B1"),0)) - -123.621, "" )</f>
        <v/>
      </c>
      <c r="AD14" t="str">
        <f ca="1">IFERROR( _xludf.LET( x_mes, INDEX(DATABASE.X:(X),MATCH(1,(DATABASE.DATE:DATE=$A14)*(DATABASE.NO:(NO)="B2"),0)), y_mes, INDEX(DATABASE.Y:(Y),MATCH(1,(DATABASE.DATE:DATE=$A14)*(DATABASE.NO:(NO)="B2"),0)), dx_mes, x_mes-823216.6581, dy_mes, y_mes-1091503.0821, proj_long, (dx_mes*42.2619000000413 + dy_mes*-90.6307000000961)/99.9999598705965, 0 + proj_long ), "" )</f>
        <v/>
      </c>
      <c r="AE14" t="str">
        <f ca="1">IFERROR( _xludf.LET( x_mes, INDEX(DATABASE.X:(X),MATCH(1,(DATABASE.DATE:DATE=$A14)*(DATABASE.NO:(NO)="B2"),0)), y_mes, INDEX(DATABASE.Y:(Y),MATCH(1,(DATABASE.DATE:DATE=$A14)*(DATABASE.NO:(NO)="B2"),0)),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F14" t="str">
        <f>IFERROR( INDEX(DATABASE.Z:(Z),MATCH(1,(DATABASE.DATE:DATE=$A14)*(DATABASE.NO:(NO)="B2"),0)) - -123.621, "" )</f>
        <v/>
      </c>
      <c r="AG14" t="str">
        <f ca="1">IFERROR( _xludf.LET( x_mes, INDEX(DATABASE.X:(X),MATCH(1,(DATABASE.DATE:DATE=$A14)*(DATABASE.NO:(NO)="B3"),0)), y_mes, INDEX(DATABASE.Y:(Y),MATCH(1,(DATABASE.DATE:DATE=$A14)*(DATABASE.NO:(NO)="B3"),0)), dx_mes, x_mes-823216.6581, dy_mes, y_mes-1091503.0821, proj_long, (dx_mes*42.2619000000413 + dy_mes*-90.6307000000961)/99.9999598705965, 0 + proj_long ), "" )</f>
        <v/>
      </c>
      <c r="AH14" t="str">
        <f ca="1">IFERROR( _xludf.LET( x_mes, INDEX(DATABASE.X:(X),MATCH(1,(DATABASE.DATE:DATE=$A14)*(DATABASE.NO:(NO)="B3"),0)), y_mes, INDEX(DATABASE.Y:(Y),MATCH(1,(DATABASE.DATE:DATE=$A14)*(DATABASE.NO:(NO)="B3"),0)),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I14" t="str">
        <f>IFERROR( INDEX(DATABASE.Z:(Z),MATCH(1,(DATABASE.DATE:DATE=$A14)*(DATABASE.NO:(NO)="B3"),0)) - -123.621, "" )</f>
        <v/>
      </c>
      <c r="AJ14" t="str">
        <f ca="1">IFERROR( _xludf.LET( x_mes, INDEX(DATABASE.X:(X),MATCH(1,(DATABASE.DATE:DATE=$A14)*(DATABASE.NO:(NO)="B4"),0)), y_mes, INDEX(DATABASE.Y:(Y),MATCH(1,(DATABASE.DATE:DATE=$A14)*(DATABASE.NO:(NO)="B4"),0)), dx_mes, x_mes-823216.6581, dy_mes, y_mes-1091503.0821, proj_long, (dx_mes*42.2619000000413 + dy_mes*-90.6307000000961)/99.9999598705965, 0 + proj_long ), "" )</f>
        <v/>
      </c>
      <c r="AK14" t="str">
        <f ca="1">IFERROR( _xludf.LET( x_mes, INDEX(DATABASE.X:(X),MATCH(1,(DATABASE.DATE:DATE=$A14)*(DATABASE.NO:(NO)="B4"),0)), y_mes, INDEX(DATABASE.Y:(Y),MATCH(1,(DATABASE.DATE:DATE=$A14)*(DATABASE.NO:(NO)="B4"),0)),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L14" t="str">
        <f>IFERROR( INDEX(DATABASE.Z:(Z),MATCH(1,(DATABASE.DATE:DATE=$A14)*(DATABASE.NO:(NO)="B4"),0)) - -123.621, "" )</f>
        <v/>
      </c>
      <c r="AM14" t="str">
        <f ca="1">IFERROR( _xludf.LET( x_mes, INDEX(DATABASE.X:(X),MATCH(1,(DATABASE.DATE:DATE=$A14)*(DATABASE.NO:(NO)="B5"),0)), y_mes, INDEX(DATABASE.Y:(Y),MATCH(1,(DATABASE.DATE:DATE=$A14)*(DATABASE.NO:(NO)="B5"),0)), dx_mes, x_mes-823216.6581, dy_mes, y_mes-1091503.0821, proj_long, (dx_mes*42.2619000000413 + dy_mes*-90.6307000000961)/99.9999598705965, 0 + proj_long ), "" )</f>
        <v/>
      </c>
      <c r="AN14" t="str">
        <f ca="1">IFERROR( _xludf.LET( x_mes, INDEX(DATABASE.X:(X),MATCH(1,(DATABASE.DATE:DATE=$A14)*(DATABASE.NO:(NO)="B5"),0)), y_mes, INDEX(DATABASE.Y:(Y),MATCH(1,(DATABASE.DATE:DATE=$A14)*(DATABASE.NO:(NO)="B5"),0)),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O14" t="str">
        <f>IFERROR( INDEX(DATABASE.Z:(Z),MATCH(1,(DATABASE.DATE:DATE=$A14)*(DATABASE.NO:(NO)="B5"),0)) - -123.621, "" )</f>
        <v/>
      </c>
      <c r="AP14" t="str">
        <f ca="1">IFERROR( _xludf.LET( x_mes, INDEX(DATABASE.X:(X),MATCH(1,(DATABASE.DATE:DATE=$A14)*(DATABASE.NO:(NO)="M1"),0)), y_mes, INDEX(DATABASE.Y:(Y),MATCH(1,(DATABASE.DATE:DATE=$A14)*(DATABASE.NO:(NO)="M1"),0)), dx_mes, x_mes-823216.6581, dy_mes, y_mes-1091503.0821, proj_long, (dx_mes*42.2619000000413 + dy_mes*-90.6307000000961)/99.9999598705965, 0 + proj_long ), "" )</f>
        <v/>
      </c>
      <c r="AQ14" t="str">
        <f ca="1">IFERROR( _xludf.LET( x_mes, INDEX(DATABASE.X:(X),MATCH(1,(DATABASE.DATE:DATE=$A14)*(DATABASE.NO:(NO)="M1"),0)), y_mes, INDEX(DATABASE.Y:(Y),MATCH(1,(DATABASE.DATE:DATE=$A14)*(DATABASE.NO:(NO)="M1"),0)),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R14" t="str">
        <f>IFERROR( INDEX(DATABASE.Z:(Z),MATCH(1,(DATABASE.DATE:DATE=$A14)*(DATABASE.NO:(NO)="M1"),0)) - -123.621, "" )</f>
        <v/>
      </c>
      <c r="AS14" t="str">
        <f ca="1">IFERROR( _xludf.LET( x_mes, INDEX(DATABASE.X:(X),MATCH(1,(DATABASE.DATE:DATE=$A14)*(DATABASE.NO:(NO)="M2"),0)), y_mes, INDEX(DATABASE.Y:(Y),MATCH(1,(DATABASE.DATE:DATE=$A14)*(DATABASE.NO:(NO)="M2"),0)), dx_mes, x_mes-823216.6581, dy_mes, y_mes-1091503.0821, proj_long, (dx_mes*42.2619000000413 + dy_mes*-90.6307000000961)/99.9999598705965, 0 + proj_long ), "" )</f>
        <v/>
      </c>
      <c r="AT14" t="str">
        <f ca="1">IFERROR( _xludf.LET( x_mes, INDEX(DATABASE.X:(X),MATCH(1,(DATABASE.DATE:DATE=$A14)*(DATABASE.NO:(NO)="M2"),0)), y_mes, INDEX(DATABASE.Y:(Y),MATCH(1,(DATABASE.DATE:DATE=$A14)*(DATABASE.NO:(NO)="M2"),0)),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U14" t="str">
        <f>IFERROR( INDEX(DATABASE.Z:(Z),MATCH(1,(DATABASE.DATE:DATE=$A14)*(DATABASE.NO:(NO)="M2"),0)) - -123.621, "" )</f>
        <v/>
      </c>
      <c r="AV14" t="str">
        <f ca="1">IFERROR( _xludf.LET( x_mes, INDEX(DATABASE.X:(X),MATCH(1,(DATABASE.DATE:DATE=$A14)*(DATABASE.NO:(NO)="M3"),0)), y_mes, INDEX(DATABASE.Y:(Y),MATCH(1,(DATABASE.DATE:DATE=$A14)*(DATABASE.NO:(NO)="M3"),0)), dx_mes, x_mes-823216.6581, dy_mes, y_mes-1091503.0821, proj_long, (dx_mes*42.2619000000413 + dy_mes*-90.6307000000961)/99.9999598705965, 0 + proj_long ), "" )</f>
        <v/>
      </c>
      <c r="AW14" t="str">
        <f ca="1">IFERROR( _xludf.LET( x_mes, INDEX(DATABASE.X:(X),MATCH(1,(DATABASE.DATE:DATE=$A14)*(DATABASE.NO:(NO)="M3"),0)), y_mes, INDEX(DATABASE.Y:(Y),MATCH(1,(DATABASE.DATE:DATE=$A14)*(DATABASE.NO:(NO)="M3"),0)),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X14" t="str">
        <f>IFERROR( INDEX(DATABASE.Z:(Z),MATCH(1,(DATABASE.DATE:DATE=$A14)*(DATABASE.NO:(NO)="M3"),0)) - -123.621, "" )</f>
        <v/>
      </c>
      <c r="AY14" t="str">
        <f ca="1">IFERROR( _xludf.LET( x_mes, INDEX(DATABASE.X:(X),MATCH(1,(DATABASE.DATE:DATE=$A14)*(DATABASE.NO:(NO)="M4"),0)), y_mes, INDEX(DATABASE.Y:(Y),MATCH(1,(DATABASE.DATE:DATE=$A14)*(DATABASE.NO:(NO)="M4"),0)), dx_mes, x_mes-823216.6581, dy_mes, y_mes-1091503.0821, proj_long, (dx_mes*42.2619000000413 + dy_mes*-90.6307000000961)/99.9999598705965, 0 + proj_long ), "" )</f>
        <v/>
      </c>
      <c r="AZ14" t="str">
        <f ca="1">IFERROR( _xludf.LET( x_mes, INDEX(DATABASE.X:(X),MATCH(1,(DATABASE.DATE:DATE=$A14)*(DATABASE.NO:(NO)="M4"),0)), y_mes, INDEX(DATABASE.Y:(Y),MATCH(1,(DATABASE.DATE:DATE=$A14)*(DATABASE.NO:(NO)="M4"),0)),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BA14" t="str">
        <f>IFERROR( INDEX(DATABASE.Z:(Z),MATCH(1,(DATABASE.DATE:DATE=$A14)*(DATABASE.NO:(NO)="M4"),0)) - -123.621, "" )</f>
        <v/>
      </c>
      <c r="BB14" t="str">
        <f ca="1">IFERROR( _xludf.LET( x_mes, INDEX(DATABASE.X:(X),MATCH(1,(DATABASE.DATE:DATE=$A14)*(DATABASE.NO:(NO)="M5"),0)), y_mes, INDEX(DATABASE.Y:(Y),MATCH(1,(DATABASE.DATE:DATE=$A14)*(DATABASE.NO:(NO)="M5"),0)), dx_mes, x_mes-823216.6581, dy_mes, y_mes-1091503.0821, proj_long, (dx_mes*42.2619000000413 + dy_mes*-90.6307000000961)/99.9999598705965, 0 + proj_long ), "" )</f>
        <v/>
      </c>
      <c r="BC14" t="str">
        <f ca="1">IFERROR( _xludf.LET( x_mes, INDEX(DATABASE.X:(X),MATCH(1,(DATABASE.DATE:DATE=$A14)*(DATABASE.NO:(NO)="M5"),0)), y_mes, INDEX(DATABASE.Y:(Y),MATCH(1,(DATABASE.DATE:DATE=$A14)*(DATABASE.NO:(NO)="M5"),0)),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BD14" t="str">
        <f>IFERROR( INDEX(DATABASE.Z:(Z),MATCH(1,(DATABASE.DATE:DATE=$A14)*(DATABASE.NO:(NO)="M5"),0)) - -123.621, "" )</f>
        <v/>
      </c>
      <c r="BE14" t="str">
        <f ca="1">IFERROR( _xludf.LET( x_mes, INDEX(DATABASE.X:(X),MATCH(1,(DATABASE.DATE:DATE=$A14)*(DATABASE.NO:(NO)="REF1"),0)), y_mes, INDEX(DATABASE.Y:(Y),MATCH(1,(DATABASE.DATE:DATE=$A14)*(DATABASE.NO:(NO)="REF1"),0)), dx_mes, x_mes-823216.6581, dy_mes, y_mes-1091503.0821, proj_long, (dx_mes*42.2619000000413 + dy_mes*-90.6307000000961)/99.9999598705965, 0 + proj_long ), "" )</f>
        <v/>
      </c>
      <c r="BF14" t="str">
        <f ca="1">IFERROR( _xludf.LET( x_mes, INDEX(DATABASE.X:(X),MATCH(1,(DATABASE.DATE:DATE=$A14)*(DATABASE.NO:(NO)="REF1"),0)), y_mes, INDEX(DATABASE.Y:(Y),MATCH(1,(DATABASE.DATE:DATE=$A14)*(DATABASE.NO:(NO)="REF1"),0)),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BG14" t="str">
        <f>IFERROR( INDEX(DATABASE.Z:(Z),MATCH(1,(DATABASE.DATE:DATE=$A14)*(DATABASE.NO:(NO)="REF1"),0)) - -123.621, "" )</f>
        <v/>
      </c>
      <c r="BH14" t="str">
        <f ca="1">IFERROR( _xludf.LET( x_mes, INDEX(DATABASE.X:(X),MATCH(1,(DATABASE.DATE:DATE=$A14)*(DATABASE.NO:(NO)="REF2"),0)), y_mes, INDEX(DATABASE.Y:(Y),MATCH(1,(DATABASE.DATE:DATE=$A14)*(DATABASE.NO:(NO)="REF2"),0)), dx_mes, x_mes-823216.6581, dy_mes, y_mes-1091503.0821, proj_long, (dx_mes*42.2619000000413 + dy_mes*-90.6307000000961)/99.9999598705965, 0 + proj_long ), "" )</f>
        <v/>
      </c>
      <c r="BI14" t="str">
        <f ca="1">IFERROR( _xludf.LET( x_mes, INDEX(DATABASE.X:(X),MATCH(1,(DATABASE.DATE:DATE=$A14)*(DATABASE.NO:(NO)="REF2"),0)), y_mes, INDEX(DATABASE.Y:(Y),MATCH(1,(DATABASE.DATE:DATE=$A14)*(DATABASE.NO:(NO)="REF2"),0)),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BJ14" t="str">
        <f>IFERROR( INDEX(DATABASE.Z:(Z),MATCH(1,(DATABASE.DATE:DATE=$A14)*(DATABASE.NO:(NO)="REF2"),0)) - -123.621, "" )</f>
        <v/>
      </c>
    </row>
    <row r="15" spans="1:62" x14ac:dyDescent="0.25">
      <c r="A15" t="s">
        <v>78</v>
      </c>
      <c r="B15">
        <f>A15-A$10</f>
        <v>21</v>
      </c>
      <c r="C15" t="str">
        <f ca="1">IFERROR( _xludf.LET( x_mes, INDEX(DATABASE.X:(X),MATCH(1,(DATABASE.DATE:DATE=$A15)*(DATABASE.NO:(NO)="V1"),0)), y_mes, INDEX(DATABASE.Y:(Y),MATCH(1,(DATABASE.DATE:DATE=$A15)*(DATABASE.NO:(NO)="V1"),0)), dx_mes, x_mes-823216.6581, dy_mes, y_mes-1091503.0821, proj_long, (dx_mes*42.2619000000413 + dy_mes*-90.6307000000961)/99.9999598705965, 0 + proj_long ), "" )</f>
        <v/>
      </c>
      <c r="D15" t="str">
        <f ca="1">IFERROR( _xludf.LET( x_mes, INDEX(DATABASE.X:(X),MATCH(1,(DATABASE.DATE:DATE=$A15)*(DATABASE.NO:(NO)="V1"),0)), y_mes, INDEX(DATABASE.Y:(Y),MATCH(1,(DATABASE.DATE:DATE=$A15)*(DATABASE.NO:(NO)="V1"),0)),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E15" t="str">
        <f>IFERROR( INDEX(DATABASE.Z:(Z),MATCH(1,(DATABASE.DATE:DATE=$A15)*(DATABASE.NO:(NO)="V1"),0)) - -123.621, "" )</f>
        <v/>
      </c>
      <c r="F15" t="str">
        <f ca="1">IFERROR( _xludf.LET( x_mes, INDEX(DATABASE.X:(X),MATCH(1,(DATABASE.DATE:DATE=$A15)*(DATABASE.NO:(NO)="V2"),0)), y_mes, INDEX(DATABASE.Y:(Y),MATCH(1,(DATABASE.DATE:DATE=$A15)*(DATABASE.NO:(NO)="V2"),0)), dx_mes, x_mes-823216.6581, dy_mes, y_mes-1091503.0821, proj_long, (dx_mes*42.2619000000413 + dy_mes*-90.6307000000961)/99.9999598705965, 0 + proj_long ), "" )</f>
        <v/>
      </c>
      <c r="G15" t="str">
        <f ca="1">IFERROR( _xludf.LET( x_mes, INDEX(DATABASE.X:(X),MATCH(1,(DATABASE.DATE:DATE=$A15)*(DATABASE.NO:(NO)="V2"),0)), y_mes, INDEX(DATABASE.Y:(Y),MATCH(1,(DATABASE.DATE:DATE=$A15)*(DATABASE.NO:(NO)="V2"),0)),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H15" t="str">
        <f>IFERROR( INDEX(DATABASE.Z:(Z),MATCH(1,(DATABASE.DATE:DATE=$A15)*(DATABASE.NO:(NO)="V2"),0)) - -123.621, "" )</f>
        <v/>
      </c>
      <c r="I15" t="str">
        <f ca="1">IFERROR( _xludf.LET( x_mes, INDEX(DATABASE.X:(X),MATCH(1,(DATABASE.DATE:DATE=$A15)*(DATABASE.NO:(NO)="V3"),0)), y_mes, INDEX(DATABASE.Y:(Y),MATCH(1,(DATABASE.DATE:DATE=$A15)*(DATABASE.NO:(NO)="V3"),0)), dx_mes, x_mes-823216.6581, dy_mes, y_mes-1091503.0821, proj_long, (dx_mes*42.2619000000413 + dy_mes*-90.6307000000961)/99.9999598705965, 0 + proj_long ), "" )</f>
        <v/>
      </c>
      <c r="J15" t="str">
        <f ca="1">IFERROR( _xludf.LET( x_mes, INDEX(DATABASE.X:(X),MATCH(1,(DATABASE.DATE:DATE=$A15)*(DATABASE.NO:(NO)="V3"),0)), y_mes, INDEX(DATABASE.Y:(Y),MATCH(1,(DATABASE.DATE:DATE=$A15)*(DATABASE.NO:(NO)="V3"),0)),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K15" t="str">
        <f>IFERROR( INDEX(DATABASE.Z:(Z),MATCH(1,(DATABASE.DATE:DATE=$A15)*(DATABASE.NO:(NO)="V3"),0)) - -123.621, "" )</f>
        <v/>
      </c>
      <c r="L15" t="str">
        <f ca="1">IFERROR( _xludf.LET( x_mes, INDEX(DATABASE.X:(X),MATCH(1,(DATABASE.DATE:DATE=$A15)*(DATABASE.NO:(NO)="H1"),0)), y_mes, INDEX(DATABASE.Y:(Y),MATCH(1,(DATABASE.DATE:DATE=$A15)*(DATABASE.NO:(NO)="H1"),0)), dx_mes, x_mes-823216.6581, dy_mes, y_mes-1091503.0821, proj_long, (dx_mes*42.2619000000413 + dy_mes*-90.6307000000961)/99.9999598705965, 0 + proj_long ), "" )</f>
        <v/>
      </c>
      <c r="M15" t="str">
        <f ca="1">IFERROR( _xludf.LET( x_mes, INDEX(DATABASE.X:(X),MATCH(1,(DATABASE.DATE:DATE=$A15)*(DATABASE.NO:(NO)="H1"),0)), y_mes, INDEX(DATABASE.Y:(Y),MATCH(1,(DATABASE.DATE:DATE=$A15)*(DATABASE.NO:(NO)="H1"),0)),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N15" t="str">
        <f>IFERROR( INDEX(DATABASE.Z:(Z),MATCH(1,(DATABASE.DATE:DATE=$A15)*(DATABASE.NO:(NO)="H1"),0)) - -123.621, "" )</f>
        <v/>
      </c>
      <c r="O15" t="str">
        <f ca="1">IFERROR( _xludf.LET( x_mes, INDEX(DATABASE.X:(X),MATCH(1,(DATABASE.DATE:DATE=$A15)*(DATABASE.NO:(NO)="H2"),0)), y_mes, INDEX(DATABASE.Y:(Y),MATCH(1,(DATABASE.DATE:DATE=$A15)*(DATABASE.NO:(NO)="H2"),0)), dx_mes, x_mes-823216.6581, dy_mes, y_mes-1091503.0821, proj_long, (dx_mes*42.2619000000413 + dy_mes*-90.6307000000961)/99.9999598705965, 0 + proj_long ), "" )</f>
        <v/>
      </c>
      <c r="P15" t="str">
        <f ca="1">IFERROR( _xludf.LET( x_mes, INDEX(DATABASE.X:(X),MATCH(1,(DATABASE.DATE:DATE=$A15)*(DATABASE.NO:(NO)="H2"),0)), y_mes, INDEX(DATABASE.Y:(Y),MATCH(1,(DATABASE.DATE:DATE=$A15)*(DATABASE.NO:(NO)="H2"),0)),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Q15" t="str">
        <f>IFERROR( INDEX(DATABASE.Z:(Z),MATCH(1,(DATABASE.DATE:DATE=$A15)*(DATABASE.NO:(NO)="H2"),0)) - -123.621, "" )</f>
        <v/>
      </c>
      <c r="R15" t="str">
        <f ca="1">IFERROR( _xludf.LET( x_mes, INDEX(DATABASE.X:(X),MATCH(1,(DATABASE.DATE:DATE=$A15)*(DATABASE.NO:(NO)="H3"),0)), y_mes, INDEX(DATABASE.Y:(Y),MATCH(1,(DATABASE.DATE:DATE=$A15)*(DATABASE.NO:(NO)="H3"),0)), dx_mes, x_mes-823216.6581, dy_mes, y_mes-1091503.0821, proj_long, (dx_mes*42.2619000000413 + dy_mes*-90.6307000000961)/99.9999598705965, 0 + proj_long ), "" )</f>
        <v/>
      </c>
      <c r="S15" t="str">
        <f ca="1">IFERROR( _xludf.LET( x_mes, INDEX(DATABASE.X:(X),MATCH(1,(DATABASE.DATE:DATE=$A15)*(DATABASE.NO:(NO)="H3"),0)), y_mes, INDEX(DATABASE.Y:(Y),MATCH(1,(DATABASE.DATE:DATE=$A15)*(DATABASE.NO:(NO)="H3"),0)),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T15" t="str">
        <f>IFERROR( INDEX(DATABASE.Z:(Z),MATCH(1,(DATABASE.DATE:DATE=$A15)*(DATABASE.NO:(NO)="H3"),0)) - -123.621, "" )</f>
        <v/>
      </c>
      <c r="U15" t="str">
        <f ca="1">IFERROR( _xludf.LET( x_mes, INDEX(DATABASE.X:(X),MATCH(1,(DATABASE.DATE:DATE=$A15)*(DATABASE.NO:(NO)="H4"),0)), y_mes, INDEX(DATABASE.Y:(Y),MATCH(1,(DATABASE.DATE:DATE=$A15)*(DATABASE.NO:(NO)="H4"),0)), dx_mes, x_mes-823216.6581, dy_mes, y_mes-1091503.0821, proj_long, (dx_mes*42.2619000000413 + dy_mes*-90.6307000000961)/99.9999598705965, 0 + proj_long ), "" )</f>
        <v/>
      </c>
      <c r="V15" t="str">
        <f ca="1">IFERROR( _xludf.LET( x_mes, INDEX(DATABASE.X:(X),MATCH(1,(DATABASE.DATE:DATE=$A15)*(DATABASE.NO:(NO)="H4"),0)), y_mes, INDEX(DATABASE.Y:(Y),MATCH(1,(DATABASE.DATE:DATE=$A15)*(DATABASE.NO:(NO)="H4"),0)),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W15" t="str">
        <f>IFERROR( INDEX(DATABASE.Z:(Z),MATCH(1,(DATABASE.DATE:DATE=$A15)*(DATABASE.NO:(NO)="H4"),0)) - -123.621, "" )</f>
        <v/>
      </c>
      <c r="X15" t="str">
        <f ca="1">IFERROR( _xludf.LET( x_mes, INDEX(DATABASE.X:(X),MATCH(1,(DATABASE.DATE:DATE=$A15)*(DATABASE.NO:(NO)="H5"),0)), y_mes, INDEX(DATABASE.Y:(Y),MATCH(1,(DATABASE.DATE:DATE=$A15)*(DATABASE.NO:(NO)="H5"),0)), dx_mes, x_mes-823216.6581, dy_mes, y_mes-1091503.0821, proj_long, (dx_mes*42.2619000000413 + dy_mes*-90.6307000000961)/99.9999598705965, 0 + proj_long ), "" )</f>
        <v/>
      </c>
      <c r="Y15" t="str">
        <f ca="1">IFERROR( _xludf.LET( x_mes, INDEX(DATABASE.X:(X),MATCH(1,(DATABASE.DATE:DATE=$A15)*(DATABASE.NO:(NO)="H5"),0)), y_mes, INDEX(DATABASE.Y:(Y),MATCH(1,(DATABASE.DATE:DATE=$A15)*(DATABASE.NO:(NO)="H5"),0)),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Z15" t="str">
        <f>IFERROR( INDEX(DATABASE.Z:(Z),MATCH(1,(DATABASE.DATE:DATE=$A15)*(DATABASE.NO:(NO)="H5"),0)) - -123.621, "" )</f>
        <v/>
      </c>
      <c r="AA15" t="str">
        <f ca="1">IFERROR( _xludf.LET( x_mes, INDEX(DATABASE.X:(X),MATCH(1,(DATABASE.DATE:DATE=$A15)*(DATABASE.NO:(NO)="B1"),0)), y_mes, INDEX(DATABASE.Y:(Y),MATCH(1,(DATABASE.DATE:DATE=$A15)*(DATABASE.NO:(NO)="B1"),0)), dx_mes, x_mes-823216.6581, dy_mes, y_mes-1091503.0821, proj_long, (dx_mes*42.2619000000413 + dy_mes*-90.6307000000961)/99.9999598705965, 0 + proj_long ), "" )</f>
        <v/>
      </c>
      <c r="AB15" t="str">
        <f ca="1">IFERROR( _xludf.LET( x_mes, INDEX(DATABASE.X:(X),MATCH(1,(DATABASE.DATE:DATE=$A15)*(DATABASE.NO:(NO)="B1"),0)), y_mes, INDEX(DATABASE.Y:(Y),MATCH(1,(DATABASE.DATE:DATE=$A15)*(DATABASE.NO:(NO)="B1"),0)),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C15" t="str">
        <f>IFERROR( INDEX(DATABASE.Z:(Z),MATCH(1,(DATABASE.DATE:DATE=$A15)*(DATABASE.NO:(NO)="B1"),0)) - -123.621, "" )</f>
        <v/>
      </c>
      <c r="AD15" t="str">
        <f ca="1">IFERROR( _xludf.LET( x_mes, INDEX(DATABASE.X:(X),MATCH(1,(DATABASE.DATE:DATE=$A15)*(DATABASE.NO:(NO)="B2"),0)), y_mes, INDEX(DATABASE.Y:(Y),MATCH(1,(DATABASE.DATE:DATE=$A15)*(DATABASE.NO:(NO)="B2"),0)), dx_mes, x_mes-823216.6581, dy_mes, y_mes-1091503.0821, proj_long, (dx_mes*42.2619000000413 + dy_mes*-90.6307000000961)/99.9999598705965, 0 + proj_long ), "" )</f>
        <v/>
      </c>
      <c r="AE15" t="str">
        <f ca="1">IFERROR( _xludf.LET( x_mes, INDEX(DATABASE.X:(X),MATCH(1,(DATABASE.DATE:DATE=$A15)*(DATABASE.NO:(NO)="B2"),0)), y_mes, INDEX(DATABASE.Y:(Y),MATCH(1,(DATABASE.DATE:DATE=$A15)*(DATABASE.NO:(NO)="B2"),0)),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F15" t="str">
        <f>IFERROR( INDEX(DATABASE.Z:(Z),MATCH(1,(DATABASE.DATE:DATE=$A15)*(DATABASE.NO:(NO)="B2"),0)) - -123.621, "" )</f>
        <v/>
      </c>
      <c r="AG15" t="str">
        <f ca="1">IFERROR( _xludf.LET( x_mes, INDEX(DATABASE.X:(X),MATCH(1,(DATABASE.DATE:DATE=$A15)*(DATABASE.NO:(NO)="B3"),0)), y_mes, INDEX(DATABASE.Y:(Y),MATCH(1,(DATABASE.DATE:DATE=$A15)*(DATABASE.NO:(NO)="B3"),0)), dx_mes, x_mes-823216.6581, dy_mes, y_mes-1091503.0821, proj_long, (dx_mes*42.2619000000413 + dy_mes*-90.6307000000961)/99.9999598705965, 0 + proj_long ), "" )</f>
        <v/>
      </c>
      <c r="AH15" t="str">
        <f ca="1">IFERROR( _xludf.LET( x_mes, INDEX(DATABASE.X:(X),MATCH(1,(DATABASE.DATE:DATE=$A15)*(DATABASE.NO:(NO)="B3"),0)), y_mes, INDEX(DATABASE.Y:(Y),MATCH(1,(DATABASE.DATE:DATE=$A15)*(DATABASE.NO:(NO)="B3"),0)),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I15" t="str">
        <f>IFERROR( INDEX(DATABASE.Z:(Z),MATCH(1,(DATABASE.DATE:DATE=$A15)*(DATABASE.NO:(NO)="B3"),0)) - -123.621, "" )</f>
        <v/>
      </c>
      <c r="AJ15" t="str">
        <f ca="1">IFERROR( _xludf.LET( x_mes, INDEX(DATABASE.X:(X),MATCH(1,(DATABASE.DATE:DATE=$A15)*(DATABASE.NO:(NO)="B4"),0)), y_mes, INDEX(DATABASE.Y:(Y),MATCH(1,(DATABASE.DATE:DATE=$A15)*(DATABASE.NO:(NO)="B4"),0)), dx_mes, x_mes-823216.6581, dy_mes, y_mes-1091503.0821, proj_long, (dx_mes*42.2619000000413 + dy_mes*-90.6307000000961)/99.9999598705965, 0 + proj_long ), "" )</f>
        <v/>
      </c>
      <c r="AK15" t="str">
        <f ca="1">IFERROR( _xludf.LET( x_mes, INDEX(DATABASE.X:(X),MATCH(1,(DATABASE.DATE:DATE=$A15)*(DATABASE.NO:(NO)="B4"),0)), y_mes, INDEX(DATABASE.Y:(Y),MATCH(1,(DATABASE.DATE:DATE=$A15)*(DATABASE.NO:(NO)="B4"),0)),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L15" t="str">
        <f>IFERROR( INDEX(DATABASE.Z:(Z),MATCH(1,(DATABASE.DATE:DATE=$A15)*(DATABASE.NO:(NO)="B4"),0)) - -123.621, "" )</f>
        <v/>
      </c>
      <c r="AM15" t="str">
        <f ca="1">IFERROR( _xludf.LET( x_mes, INDEX(DATABASE.X:(X),MATCH(1,(DATABASE.DATE:DATE=$A15)*(DATABASE.NO:(NO)="B5"),0)), y_mes, INDEX(DATABASE.Y:(Y),MATCH(1,(DATABASE.DATE:DATE=$A15)*(DATABASE.NO:(NO)="B5"),0)), dx_mes, x_mes-823216.6581, dy_mes, y_mes-1091503.0821, proj_long, (dx_mes*42.2619000000413 + dy_mes*-90.6307000000961)/99.9999598705965, 0 + proj_long ), "" )</f>
        <v/>
      </c>
      <c r="AN15" t="str">
        <f ca="1">IFERROR( _xludf.LET( x_mes, INDEX(DATABASE.X:(X),MATCH(1,(DATABASE.DATE:DATE=$A15)*(DATABASE.NO:(NO)="B5"),0)), y_mes, INDEX(DATABASE.Y:(Y),MATCH(1,(DATABASE.DATE:DATE=$A15)*(DATABASE.NO:(NO)="B5"),0)),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O15" t="str">
        <f>IFERROR( INDEX(DATABASE.Z:(Z),MATCH(1,(DATABASE.DATE:DATE=$A15)*(DATABASE.NO:(NO)="B5"),0)) - -123.621, "" )</f>
        <v/>
      </c>
      <c r="AP15" t="str">
        <f ca="1">IFERROR( _xludf.LET( x_mes, INDEX(DATABASE.X:(X),MATCH(1,(DATABASE.DATE:DATE=$A15)*(DATABASE.NO:(NO)="M1"),0)), y_mes, INDEX(DATABASE.Y:(Y),MATCH(1,(DATABASE.DATE:DATE=$A15)*(DATABASE.NO:(NO)="M1"),0)), dx_mes, x_mes-823216.6581, dy_mes, y_mes-1091503.0821, proj_long, (dx_mes*42.2619000000413 + dy_mes*-90.6307000000961)/99.9999598705965, 0 + proj_long ), "" )</f>
        <v/>
      </c>
      <c r="AQ15" t="str">
        <f ca="1">IFERROR( _xludf.LET( x_mes, INDEX(DATABASE.X:(X),MATCH(1,(DATABASE.DATE:DATE=$A15)*(DATABASE.NO:(NO)="M1"),0)), y_mes, INDEX(DATABASE.Y:(Y),MATCH(1,(DATABASE.DATE:DATE=$A15)*(DATABASE.NO:(NO)="M1"),0)),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R15" t="str">
        <f>IFERROR( INDEX(DATABASE.Z:(Z),MATCH(1,(DATABASE.DATE:DATE=$A15)*(DATABASE.NO:(NO)="M1"),0)) - -123.621, "" )</f>
        <v/>
      </c>
      <c r="AS15" t="str">
        <f ca="1">IFERROR( _xludf.LET( x_mes, INDEX(DATABASE.X:(X),MATCH(1,(DATABASE.DATE:DATE=$A15)*(DATABASE.NO:(NO)="M2"),0)), y_mes, INDEX(DATABASE.Y:(Y),MATCH(1,(DATABASE.DATE:DATE=$A15)*(DATABASE.NO:(NO)="M2"),0)), dx_mes, x_mes-823216.6581, dy_mes, y_mes-1091503.0821, proj_long, (dx_mes*42.2619000000413 + dy_mes*-90.6307000000961)/99.9999598705965, 0 + proj_long ), "" )</f>
        <v/>
      </c>
      <c r="AT15" t="str">
        <f ca="1">IFERROR( _xludf.LET( x_mes, INDEX(DATABASE.X:(X),MATCH(1,(DATABASE.DATE:DATE=$A15)*(DATABASE.NO:(NO)="M2"),0)), y_mes, INDEX(DATABASE.Y:(Y),MATCH(1,(DATABASE.DATE:DATE=$A15)*(DATABASE.NO:(NO)="M2"),0)),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U15" t="str">
        <f>IFERROR( INDEX(DATABASE.Z:(Z),MATCH(1,(DATABASE.DATE:DATE=$A15)*(DATABASE.NO:(NO)="M2"),0)) - -123.621, "" )</f>
        <v/>
      </c>
      <c r="AV15" t="str">
        <f ca="1">IFERROR( _xludf.LET( x_mes, INDEX(DATABASE.X:(X),MATCH(1,(DATABASE.DATE:DATE=$A15)*(DATABASE.NO:(NO)="M3"),0)), y_mes, INDEX(DATABASE.Y:(Y),MATCH(1,(DATABASE.DATE:DATE=$A15)*(DATABASE.NO:(NO)="M3"),0)), dx_mes, x_mes-823216.6581, dy_mes, y_mes-1091503.0821, proj_long, (dx_mes*42.2619000000413 + dy_mes*-90.6307000000961)/99.9999598705965, 0 + proj_long ), "" )</f>
        <v/>
      </c>
      <c r="AW15" t="str">
        <f ca="1">IFERROR( _xludf.LET( x_mes, INDEX(DATABASE.X:(X),MATCH(1,(DATABASE.DATE:DATE=$A15)*(DATABASE.NO:(NO)="M3"),0)), y_mes, INDEX(DATABASE.Y:(Y),MATCH(1,(DATABASE.DATE:DATE=$A15)*(DATABASE.NO:(NO)="M3"),0)),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X15" t="str">
        <f>IFERROR( INDEX(DATABASE.Z:(Z),MATCH(1,(DATABASE.DATE:DATE=$A15)*(DATABASE.NO:(NO)="M3"),0)) - -123.621, "" )</f>
        <v/>
      </c>
      <c r="AY15" t="str">
        <f ca="1">IFERROR( _xludf.LET( x_mes, INDEX(DATABASE.X:(X),MATCH(1,(DATABASE.DATE:DATE=$A15)*(DATABASE.NO:(NO)="M4"),0)), y_mes, INDEX(DATABASE.Y:(Y),MATCH(1,(DATABASE.DATE:DATE=$A15)*(DATABASE.NO:(NO)="M4"),0)), dx_mes, x_mes-823216.6581, dy_mes, y_mes-1091503.0821, proj_long, (dx_mes*42.2619000000413 + dy_mes*-90.6307000000961)/99.9999598705965, 0 + proj_long ), "" )</f>
        <v/>
      </c>
      <c r="AZ15" t="str">
        <f ca="1">IFERROR( _xludf.LET( x_mes, INDEX(DATABASE.X:(X),MATCH(1,(DATABASE.DATE:DATE=$A15)*(DATABASE.NO:(NO)="M4"),0)), y_mes, INDEX(DATABASE.Y:(Y),MATCH(1,(DATABASE.DATE:DATE=$A15)*(DATABASE.NO:(NO)="M4"),0)),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BA15" t="str">
        <f>IFERROR( INDEX(DATABASE.Z:(Z),MATCH(1,(DATABASE.DATE:DATE=$A15)*(DATABASE.NO:(NO)="M4"),0)) - -123.621, "" )</f>
        <v/>
      </c>
      <c r="BB15" t="str">
        <f ca="1">IFERROR( _xludf.LET( x_mes, INDEX(DATABASE.X:(X),MATCH(1,(DATABASE.DATE:DATE=$A15)*(DATABASE.NO:(NO)="M5"),0)), y_mes, INDEX(DATABASE.Y:(Y),MATCH(1,(DATABASE.DATE:DATE=$A15)*(DATABASE.NO:(NO)="M5"),0)), dx_mes, x_mes-823216.6581, dy_mes, y_mes-1091503.0821, proj_long, (dx_mes*42.2619000000413 + dy_mes*-90.6307000000961)/99.9999598705965, 0 + proj_long ), "" )</f>
        <v/>
      </c>
      <c r="BC15" t="str">
        <f ca="1">IFERROR( _xludf.LET( x_mes, INDEX(DATABASE.X:(X),MATCH(1,(DATABASE.DATE:DATE=$A15)*(DATABASE.NO:(NO)="M5"),0)), y_mes, INDEX(DATABASE.Y:(Y),MATCH(1,(DATABASE.DATE:DATE=$A15)*(DATABASE.NO:(NO)="M5"),0)),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BD15" t="str">
        <f>IFERROR( INDEX(DATABASE.Z:(Z),MATCH(1,(DATABASE.DATE:DATE=$A15)*(DATABASE.NO:(NO)="M5"),0)) - -123.621, "" )</f>
        <v/>
      </c>
      <c r="BE15" t="str">
        <f ca="1">IFERROR( _xludf.LET( x_mes, INDEX(DATABASE.X:(X),MATCH(1,(DATABASE.DATE:DATE=$A15)*(DATABASE.NO:(NO)="REF1"),0)), y_mes, INDEX(DATABASE.Y:(Y),MATCH(1,(DATABASE.DATE:DATE=$A15)*(DATABASE.NO:(NO)="REF1"),0)), dx_mes, x_mes-823216.6581, dy_mes, y_mes-1091503.0821, proj_long, (dx_mes*42.2619000000413 + dy_mes*-90.6307000000961)/99.9999598705965, 0 + proj_long ), "" )</f>
        <v/>
      </c>
      <c r="BF15" t="str">
        <f ca="1">IFERROR( _xludf.LET( x_mes, INDEX(DATABASE.X:(X),MATCH(1,(DATABASE.DATE:DATE=$A15)*(DATABASE.NO:(NO)="REF1"),0)), y_mes, INDEX(DATABASE.Y:(Y),MATCH(1,(DATABASE.DATE:DATE=$A15)*(DATABASE.NO:(NO)="REF1"),0)),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BG15" t="str">
        <f>IFERROR( INDEX(DATABASE.Z:(Z),MATCH(1,(DATABASE.DATE:DATE=$A15)*(DATABASE.NO:(NO)="REF1"),0)) - -123.621, "" )</f>
        <v/>
      </c>
      <c r="BH15" t="str">
        <f ca="1">IFERROR( _xludf.LET( x_mes, INDEX(DATABASE.X:(X),MATCH(1,(DATABASE.DATE:DATE=$A15)*(DATABASE.NO:(NO)="REF2"),0)), y_mes, INDEX(DATABASE.Y:(Y),MATCH(1,(DATABASE.DATE:DATE=$A15)*(DATABASE.NO:(NO)="REF2"),0)), dx_mes, x_mes-823216.6581, dy_mes, y_mes-1091503.0821, proj_long, (dx_mes*42.2619000000413 + dy_mes*-90.6307000000961)/99.9999598705965, 0 + proj_long ), "" )</f>
        <v/>
      </c>
      <c r="BI15" t="str">
        <f ca="1">IFERROR( _xludf.LET( x_mes, INDEX(DATABASE.X:(X),MATCH(1,(DATABASE.DATE:DATE=$A15)*(DATABASE.NO:(NO)="REF2"),0)), y_mes, INDEX(DATABASE.Y:(Y),MATCH(1,(DATABASE.DATE:DATE=$A15)*(DATABASE.NO:(NO)="REF2"),0)),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BJ15" t="str">
        <f>IFERROR( INDEX(DATABASE.Z:(Z),MATCH(1,(DATABASE.DATE:DATE=$A15)*(DATABASE.NO:(NO)="REF2"),0)) - -123.621, "" )</f>
        <v/>
      </c>
    </row>
    <row r="16" spans="1:62" x14ac:dyDescent="0.25">
      <c r="C16" t="str">
        <f ca="1">IFERROR( _xludf.LET( x_mes, INDEX(DATABASE.X:(X),MATCH(1,(DATABASE.DATE:DATE=$A16)*(DATABASE.NO:(NO)="V1"),0)), y_mes, INDEX(DATABASE.Y:(Y),MATCH(1,(DATABASE.DATE:DATE=$A16)*(DATABASE.NO:(NO)="V1"),0)), dx_mes, x_mes-823216.6581, dy_mes, y_mes-1091503.0821, proj_long, (dx_mes*42.2619000000413 + dy_mes*-90.6307000000961)/99.9999598705965, 0 + proj_long ), "" )</f>
        <v/>
      </c>
      <c r="D16" t="str">
        <f ca="1">IFERROR( _xludf.LET( x_mes, INDEX(DATABASE.X:(X),MATCH(1,(DATABASE.DATE:DATE=$A16)*(DATABASE.NO:(NO)="V1"),0)), y_mes, INDEX(DATABASE.Y:(Y),MATCH(1,(DATABASE.DATE:DATE=$A16)*(DATABASE.NO:(NO)="V1"),0)),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E16" t="str">
        <f>IFERROR( INDEX(DATABASE.Z:(Z),MATCH(1,(DATABASE.DATE:DATE=$A16)*(DATABASE.NO:(NO)="V1"),0)) - -123.621, "" )</f>
        <v/>
      </c>
      <c r="F16" t="str">
        <f ca="1">IFERROR( _xludf.LET( x_mes, INDEX(DATABASE.X:(X),MATCH(1,(DATABASE.DATE:DATE=$A16)*(DATABASE.NO:(NO)="V2"),0)), y_mes, INDEX(DATABASE.Y:(Y),MATCH(1,(DATABASE.DATE:DATE=$A16)*(DATABASE.NO:(NO)="V2"),0)), dx_mes, x_mes-823216.6581, dy_mes, y_mes-1091503.0821, proj_long, (dx_mes*42.2619000000413 + dy_mes*-90.6307000000961)/99.9999598705965, 0 + proj_long ), "" )</f>
        <v/>
      </c>
      <c r="G16" t="str">
        <f ca="1">IFERROR( _xludf.LET( x_mes, INDEX(DATABASE.X:(X),MATCH(1,(DATABASE.DATE:DATE=$A16)*(DATABASE.NO:(NO)="V2"),0)), y_mes, INDEX(DATABASE.Y:(Y),MATCH(1,(DATABASE.DATE:DATE=$A16)*(DATABASE.NO:(NO)="V2"),0)),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H16" t="str">
        <f>IFERROR( INDEX(DATABASE.Z:(Z),MATCH(1,(DATABASE.DATE:DATE=$A16)*(DATABASE.NO:(NO)="V2"),0)) - -123.621, "" )</f>
        <v/>
      </c>
      <c r="I16" t="str">
        <f ca="1">IFERROR( _xludf.LET( x_mes, INDEX(DATABASE.X:(X),MATCH(1,(DATABASE.DATE:DATE=$A16)*(DATABASE.NO:(NO)="V3"),0)), y_mes, INDEX(DATABASE.Y:(Y),MATCH(1,(DATABASE.DATE:DATE=$A16)*(DATABASE.NO:(NO)="V3"),0)), dx_mes, x_mes-823216.6581, dy_mes, y_mes-1091503.0821, proj_long, (dx_mes*42.2619000000413 + dy_mes*-90.6307000000961)/99.9999598705965, 0 + proj_long ), "" )</f>
        <v/>
      </c>
      <c r="J16" t="str">
        <f ca="1">IFERROR( _xludf.LET( x_mes, INDEX(DATABASE.X:(X),MATCH(1,(DATABASE.DATE:DATE=$A16)*(DATABASE.NO:(NO)="V3"),0)), y_mes, INDEX(DATABASE.Y:(Y),MATCH(1,(DATABASE.DATE:DATE=$A16)*(DATABASE.NO:(NO)="V3"),0)),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K16" t="str">
        <f>IFERROR( INDEX(DATABASE.Z:(Z),MATCH(1,(DATABASE.DATE:DATE=$A16)*(DATABASE.NO:(NO)="V3"),0)) - -123.621, "" )</f>
        <v/>
      </c>
      <c r="L16" t="str">
        <f ca="1">IFERROR( _xludf.LET( x_mes, INDEX(DATABASE.X:(X),MATCH(1,(DATABASE.DATE:DATE=$A16)*(DATABASE.NO:(NO)="H1"),0)), y_mes, INDEX(DATABASE.Y:(Y),MATCH(1,(DATABASE.DATE:DATE=$A16)*(DATABASE.NO:(NO)="H1"),0)), dx_mes, x_mes-823216.6581, dy_mes, y_mes-1091503.0821, proj_long, (dx_mes*42.2619000000413 + dy_mes*-90.6307000000961)/99.9999598705965, 0 + proj_long ), "" )</f>
        <v/>
      </c>
      <c r="M16" t="str">
        <f ca="1">IFERROR( _xludf.LET( x_mes, INDEX(DATABASE.X:(X),MATCH(1,(DATABASE.DATE:DATE=$A16)*(DATABASE.NO:(NO)="H1"),0)), y_mes, INDEX(DATABASE.Y:(Y),MATCH(1,(DATABASE.DATE:DATE=$A16)*(DATABASE.NO:(NO)="H1"),0)),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N16" t="str">
        <f>IFERROR( INDEX(DATABASE.Z:(Z),MATCH(1,(DATABASE.DATE:DATE=$A16)*(DATABASE.NO:(NO)="H1"),0)) - -123.621, "" )</f>
        <v/>
      </c>
      <c r="O16" t="str">
        <f ca="1">IFERROR( _xludf.LET( x_mes, INDEX(DATABASE.X:(X),MATCH(1,(DATABASE.DATE:DATE=$A16)*(DATABASE.NO:(NO)="H2"),0)), y_mes, INDEX(DATABASE.Y:(Y),MATCH(1,(DATABASE.DATE:DATE=$A16)*(DATABASE.NO:(NO)="H2"),0)), dx_mes, x_mes-823216.6581, dy_mes, y_mes-1091503.0821, proj_long, (dx_mes*42.2619000000413 + dy_mes*-90.6307000000961)/99.9999598705965, 0 + proj_long ), "" )</f>
        <v/>
      </c>
      <c r="P16" t="str">
        <f ca="1">IFERROR( _xludf.LET( x_mes, INDEX(DATABASE.X:(X),MATCH(1,(DATABASE.DATE:DATE=$A16)*(DATABASE.NO:(NO)="H2"),0)), y_mes, INDEX(DATABASE.Y:(Y),MATCH(1,(DATABASE.DATE:DATE=$A16)*(DATABASE.NO:(NO)="H2"),0)),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Q16" t="str">
        <f>IFERROR( INDEX(DATABASE.Z:(Z),MATCH(1,(DATABASE.DATE:DATE=$A16)*(DATABASE.NO:(NO)="H2"),0)) - -123.621, "" )</f>
        <v/>
      </c>
      <c r="R16" t="str">
        <f ca="1">IFERROR( _xludf.LET( x_mes, INDEX(DATABASE.X:(X),MATCH(1,(DATABASE.DATE:DATE=$A16)*(DATABASE.NO:(NO)="H3"),0)), y_mes, INDEX(DATABASE.Y:(Y),MATCH(1,(DATABASE.DATE:DATE=$A16)*(DATABASE.NO:(NO)="H3"),0)), dx_mes, x_mes-823216.6581, dy_mes, y_mes-1091503.0821, proj_long, (dx_mes*42.2619000000413 + dy_mes*-90.6307000000961)/99.9999598705965, 0 + proj_long ), "" )</f>
        <v/>
      </c>
      <c r="S16" t="str">
        <f ca="1">IFERROR( _xludf.LET( x_mes, INDEX(DATABASE.X:(X),MATCH(1,(DATABASE.DATE:DATE=$A16)*(DATABASE.NO:(NO)="H3"),0)), y_mes, INDEX(DATABASE.Y:(Y),MATCH(1,(DATABASE.DATE:DATE=$A16)*(DATABASE.NO:(NO)="H3"),0)),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T16" t="str">
        <f>IFERROR( INDEX(DATABASE.Z:(Z),MATCH(1,(DATABASE.DATE:DATE=$A16)*(DATABASE.NO:(NO)="H3"),0)) - -123.621, "" )</f>
        <v/>
      </c>
      <c r="U16" t="str">
        <f ca="1">IFERROR( _xludf.LET( x_mes, INDEX(DATABASE.X:(X),MATCH(1,(DATABASE.DATE:DATE=$A16)*(DATABASE.NO:(NO)="H4"),0)), y_mes, INDEX(DATABASE.Y:(Y),MATCH(1,(DATABASE.DATE:DATE=$A16)*(DATABASE.NO:(NO)="H4"),0)), dx_mes, x_mes-823216.6581, dy_mes, y_mes-1091503.0821, proj_long, (dx_mes*42.2619000000413 + dy_mes*-90.6307000000961)/99.9999598705965, 0 + proj_long ), "" )</f>
        <v/>
      </c>
      <c r="V16" t="str">
        <f ca="1">IFERROR( _xludf.LET( x_mes, INDEX(DATABASE.X:(X),MATCH(1,(DATABASE.DATE:DATE=$A16)*(DATABASE.NO:(NO)="H4"),0)), y_mes, INDEX(DATABASE.Y:(Y),MATCH(1,(DATABASE.DATE:DATE=$A16)*(DATABASE.NO:(NO)="H4"),0)),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W16" t="str">
        <f>IFERROR( INDEX(DATABASE.Z:(Z),MATCH(1,(DATABASE.DATE:DATE=$A16)*(DATABASE.NO:(NO)="H4"),0)) - -123.621, "" )</f>
        <v/>
      </c>
      <c r="X16" t="str">
        <f ca="1">IFERROR( _xludf.LET( x_mes, INDEX(DATABASE.X:(X),MATCH(1,(DATABASE.DATE:DATE=$A16)*(DATABASE.NO:(NO)="H5"),0)), y_mes, INDEX(DATABASE.Y:(Y),MATCH(1,(DATABASE.DATE:DATE=$A16)*(DATABASE.NO:(NO)="H5"),0)), dx_mes, x_mes-823216.6581, dy_mes, y_mes-1091503.0821, proj_long, (dx_mes*42.2619000000413 + dy_mes*-90.6307000000961)/99.9999598705965, 0 + proj_long ), "" )</f>
        <v/>
      </c>
      <c r="Y16" t="str">
        <f ca="1">IFERROR( _xludf.LET( x_mes, INDEX(DATABASE.X:(X),MATCH(1,(DATABASE.DATE:DATE=$A16)*(DATABASE.NO:(NO)="H5"),0)), y_mes, INDEX(DATABASE.Y:(Y),MATCH(1,(DATABASE.DATE:DATE=$A16)*(DATABASE.NO:(NO)="H5"),0)),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Z16" t="str">
        <f>IFERROR( INDEX(DATABASE.Z:(Z),MATCH(1,(DATABASE.DATE:DATE=$A16)*(DATABASE.NO:(NO)="H5"),0)) - -123.621, "" )</f>
        <v/>
      </c>
      <c r="AA16" t="str">
        <f ca="1">IFERROR( _xludf.LET( x_mes, INDEX(DATABASE.X:(X),MATCH(1,(DATABASE.DATE:DATE=$A16)*(DATABASE.NO:(NO)="B1"),0)), y_mes, INDEX(DATABASE.Y:(Y),MATCH(1,(DATABASE.DATE:DATE=$A16)*(DATABASE.NO:(NO)="B1"),0)), dx_mes, x_mes-823216.6581, dy_mes, y_mes-1091503.0821, proj_long, (dx_mes*42.2619000000413 + dy_mes*-90.6307000000961)/99.9999598705965, 0 + proj_long ), "" )</f>
        <v/>
      </c>
      <c r="AB16" t="str">
        <f ca="1">IFERROR( _xludf.LET( x_mes, INDEX(DATABASE.X:(X),MATCH(1,(DATABASE.DATE:DATE=$A16)*(DATABASE.NO:(NO)="B1"),0)), y_mes, INDEX(DATABASE.Y:(Y),MATCH(1,(DATABASE.DATE:DATE=$A16)*(DATABASE.NO:(NO)="B1"),0)),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C16" t="str">
        <f>IFERROR( INDEX(DATABASE.Z:(Z),MATCH(1,(DATABASE.DATE:DATE=$A16)*(DATABASE.NO:(NO)="B1"),0)) - -123.621, "" )</f>
        <v/>
      </c>
      <c r="AD16" t="str">
        <f ca="1">IFERROR( _xludf.LET( x_mes, INDEX(DATABASE.X:(X),MATCH(1,(DATABASE.DATE:DATE=$A16)*(DATABASE.NO:(NO)="B2"),0)), y_mes, INDEX(DATABASE.Y:(Y),MATCH(1,(DATABASE.DATE:DATE=$A16)*(DATABASE.NO:(NO)="B2"),0)), dx_mes, x_mes-823216.6581, dy_mes, y_mes-1091503.0821, proj_long, (dx_mes*42.2619000000413 + dy_mes*-90.6307000000961)/99.9999598705965, 0 + proj_long ), "" )</f>
        <v/>
      </c>
      <c r="AE16" t="str">
        <f ca="1">IFERROR( _xludf.LET( x_mes, INDEX(DATABASE.X:(X),MATCH(1,(DATABASE.DATE:DATE=$A16)*(DATABASE.NO:(NO)="B2"),0)), y_mes, INDEX(DATABASE.Y:(Y),MATCH(1,(DATABASE.DATE:DATE=$A16)*(DATABASE.NO:(NO)="B2"),0)),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F16" t="str">
        <f>IFERROR( INDEX(DATABASE.Z:(Z),MATCH(1,(DATABASE.DATE:DATE=$A16)*(DATABASE.NO:(NO)="B2"),0)) - -123.621, "" )</f>
        <v/>
      </c>
      <c r="AG16" t="str">
        <f ca="1">IFERROR( _xludf.LET( x_mes, INDEX(DATABASE.X:(X),MATCH(1,(DATABASE.DATE:DATE=$A16)*(DATABASE.NO:(NO)="B3"),0)), y_mes, INDEX(DATABASE.Y:(Y),MATCH(1,(DATABASE.DATE:DATE=$A16)*(DATABASE.NO:(NO)="B3"),0)), dx_mes, x_mes-823216.6581, dy_mes, y_mes-1091503.0821, proj_long, (dx_mes*42.2619000000413 + dy_mes*-90.6307000000961)/99.9999598705965, 0 + proj_long ), "" )</f>
        <v/>
      </c>
      <c r="AH16" t="str">
        <f ca="1">IFERROR( _xludf.LET( x_mes, INDEX(DATABASE.X:(X),MATCH(1,(DATABASE.DATE:DATE=$A16)*(DATABASE.NO:(NO)="B3"),0)), y_mes, INDEX(DATABASE.Y:(Y),MATCH(1,(DATABASE.DATE:DATE=$A16)*(DATABASE.NO:(NO)="B3"),0)),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I16" t="str">
        <f>IFERROR( INDEX(DATABASE.Z:(Z),MATCH(1,(DATABASE.DATE:DATE=$A16)*(DATABASE.NO:(NO)="B3"),0)) - -123.621, "" )</f>
        <v/>
      </c>
      <c r="AJ16" t="str">
        <f ca="1">IFERROR( _xludf.LET( x_mes, INDEX(DATABASE.X:(X),MATCH(1,(DATABASE.DATE:DATE=$A16)*(DATABASE.NO:(NO)="B4"),0)), y_mes, INDEX(DATABASE.Y:(Y),MATCH(1,(DATABASE.DATE:DATE=$A16)*(DATABASE.NO:(NO)="B4"),0)), dx_mes, x_mes-823216.6581, dy_mes, y_mes-1091503.0821, proj_long, (dx_mes*42.2619000000413 + dy_mes*-90.6307000000961)/99.9999598705965, 0 + proj_long ), "" )</f>
        <v/>
      </c>
      <c r="AK16" t="str">
        <f ca="1">IFERROR( _xludf.LET( x_mes, INDEX(DATABASE.X:(X),MATCH(1,(DATABASE.DATE:DATE=$A16)*(DATABASE.NO:(NO)="B4"),0)), y_mes, INDEX(DATABASE.Y:(Y),MATCH(1,(DATABASE.DATE:DATE=$A16)*(DATABASE.NO:(NO)="B4"),0)),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L16" t="str">
        <f>IFERROR( INDEX(DATABASE.Z:(Z),MATCH(1,(DATABASE.DATE:DATE=$A16)*(DATABASE.NO:(NO)="B4"),0)) - -123.621, "" )</f>
        <v/>
      </c>
      <c r="AM16" t="str">
        <f ca="1">IFERROR( _xludf.LET( x_mes, INDEX(DATABASE.X:(X),MATCH(1,(DATABASE.DATE:DATE=$A16)*(DATABASE.NO:(NO)="B5"),0)), y_mes, INDEX(DATABASE.Y:(Y),MATCH(1,(DATABASE.DATE:DATE=$A16)*(DATABASE.NO:(NO)="B5"),0)), dx_mes, x_mes-823216.6581, dy_mes, y_mes-1091503.0821, proj_long, (dx_mes*42.2619000000413 + dy_mes*-90.6307000000961)/99.9999598705965, 0 + proj_long ), "" )</f>
        <v/>
      </c>
      <c r="AN16" t="str">
        <f ca="1">IFERROR( _xludf.LET( x_mes, INDEX(DATABASE.X:(X),MATCH(1,(DATABASE.DATE:DATE=$A16)*(DATABASE.NO:(NO)="B5"),0)), y_mes, INDEX(DATABASE.Y:(Y),MATCH(1,(DATABASE.DATE:DATE=$A16)*(DATABASE.NO:(NO)="B5"),0)),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O16" t="str">
        <f>IFERROR( INDEX(DATABASE.Z:(Z),MATCH(1,(DATABASE.DATE:DATE=$A16)*(DATABASE.NO:(NO)="B5"),0)) - -123.621, "" )</f>
        <v/>
      </c>
      <c r="AP16" t="str">
        <f ca="1">IFERROR( _xludf.LET( x_mes, INDEX(DATABASE.X:(X),MATCH(1,(DATABASE.DATE:DATE=$A16)*(DATABASE.NO:(NO)="M1"),0)), y_mes, INDEX(DATABASE.Y:(Y),MATCH(1,(DATABASE.DATE:DATE=$A16)*(DATABASE.NO:(NO)="M1"),0)), dx_mes, x_mes-823216.6581, dy_mes, y_mes-1091503.0821, proj_long, (dx_mes*42.2619000000413 + dy_mes*-90.6307000000961)/99.9999598705965, 0 + proj_long ), "" )</f>
        <v/>
      </c>
      <c r="AQ16" t="str">
        <f ca="1">IFERROR( _xludf.LET( x_mes, INDEX(DATABASE.X:(X),MATCH(1,(DATABASE.DATE:DATE=$A16)*(DATABASE.NO:(NO)="M1"),0)), y_mes, INDEX(DATABASE.Y:(Y),MATCH(1,(DATABASE.DATE:DATE=$A16)*(DATABASE.NO:(NO)="M1"),0)),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R16" t="str">
        <f>IFERROR( INDEX(DATABASE.Z:(Z),MATCH(1,(DATABASE.DATE:DATE=$A16)*(DATABASE.NO:(NO)="M1"),0)) - -123.621, "" )</f>
        <v/>
      </c>
      <c r="AS16" t="str">
        <f ca="1">IFERROR( _xludf.LET( x_mes, INDEX(DATABASE.X:(X),MATCH(1,(DATABASE.DATE:DATE=$A16)*(DATABASE.NO:(NO)="M2"),0)), y_mes, INDEX(DATABASE.Y:(Y),MATCH(1,(DATABASE.DATE:DATE=$A16)*(DATABASE.NO:(NO)="M2"),0)), dx_mes, x_mes-823216.6581, dy_mes, y_mes-1091503.0821, proj_long, (dx_mes*42.2619000000413 + dy_mes*-90.6307000000961)/99.9999598705965, 0 + proj_long ), "" )</f>
        <v/>
      </c>
      <c r="AT16" t="str">
        <f ca="1">IFERROR( _xludf.LET( x_mes, INDEX(DATABASE.X:(X),MATCH(1,(DATABASE.DATE:DATE=$A16)*(DATABASE.NO:(NO)="M2"),0)), y_mes, INDEX(DATABASE.Y:(Y),MATCH(1,(DATABASE.DATE:DATE=$A16)*(DATABASE.NO:(NO)="M2"),0)),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U16" t="str">
        <f>IFERROR( INDEX(DATABASE.Z:(Z),MATCH(1,(DATABASE.DATE:DATE=$A16)*(DATABASE.NO:(NO)="M2"),0)) - -123.621, "" )</f>
        <v/>
      </c>
      <c r="AV16" t="str">
        <f ca="1">IFERROR( _xludf.LET( x_mes, INDEX(DATABASE.X:(X),MATCH(1,(DATABASE.DATE:DATE=$A16)*(DATABASE.NO:(NO)="M3"),0)), y_mes, INDEX(DATABASE.Y:(Y),MATCH(1,(DATABASE.DATE:DATE=$A16)*(DATABASE.NO:(NO)="M3"),0)), dx_mes, x_mes-823216.6581, dy_mes, y_mes-1091503.0821, proj_long, (dx_mes*42.2619000000413 + dy_mes*-90.6307000000961)/99.9999598705965, 0 + proj_long ), "" )</f>
        <v/>
      </c>
      <c r="AW16" t="str">
        <f ca="1">IFERROR( _xludf.LET( x_mes, INDEX(DATABASE.X:(X),MATCH(1,(DATABASE.DATE:DATE=$A16)*(DATABASE.NO:(NO)="M3"),0)), y_mes, INDEX(DATABASE.Y:(Y),MATCH(1,(DATABASE.DATE:DATE=$A16)*(DATABASE.NO:(NO)="M3"),0)),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X16" t="str">
        <f>IFERROR( INDEX(DATABASE.Z:(Z),MATCH(1,(DATABASE.DATE:DATE=$A16)*(DATABASE.NO:(NO)="M3"),0)) - -123.621, "" )</f>
        <v/>
      </c>
      <c r="AY16" t="str">
        <f ca="1">IFERROR( _xludf.LET( x_mes, INDEX(DATABASE.X:(X),MATCH(1,(DATABASE.DATE:DATE=$A16)*(DATABASE.NO:(NO)="M4"),0)), y_mes, INDEX(DATABASE.Y:(Y),MATCH(1,(DATABASE.DATE:DATE=$A16)*(DATABASE.NO:(NO)="M4"),0)), dx_mes, x_mes-823216.6581, dy_mes, y_mes-1091503.0821, proj_long, (dx_mes*42.2619000000413 + dy_mes*-90.6307000000961)/99.9999598705965, 0 + proj_long ), "" )</f>
        <v/>
      </c>
      <c r="AZ16" t="str">
        <f ca="1">IFERROR( _xludf.LET( x_mes, INDEX(DATABASE.X:(X),MATCH(1,(DATABASE.DATE:DATE=$A16)*(DATABASE.NO:(NO)="M4"),0)), y_mes, INDEX(DATABASE.Y:(Y),MATCH(1,(DATABASE.DATE:DATE=$A16)*(DATABASE.NO:(NO)="M4"),0)),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BA16" t="str">
        <f>IFERROR( INDEX(DATABASE.Z:(Z),MATCH(1,(DATABASE.DATE:DATE=$A16)*(DATABASE.NO:(NO)="M4"),0)) - -123.621, "" )</f>
        <v/>
      </c>
      <c r="BB16" t="str">
        <f ca="1">IFERROR( _xludf.LET( x_mes, INDEX(DATABASE.X:(X),MATCH(1,(DATABASE.DATE:DATE=$A16)*(DATABASE.NO:(NO)="M5"),0)), y_mes, INDEX(DATABASE.Y:(Y),MATCH(1,(DATABASE.DATE:DATE=$A16)*(DATABASE.NO:(NO)="M5"),0)), dx_mes, x_mes-823216.6581, dy_mes, y_mes-1091503.0821, proj_long, (dx_mes*42.2619000000413 + dy_mes*-90.6307000000961)/99.9999598705965, 0 + proj_long ), "" )</f>
        <v/>
      </c>
      <c r="BC16" t="str">
        <f ca="1">IFERROR( _xludf.LET( x_mes, INDEX(DATABASE.X:(X),MATCH(1,(DATABASE.DATE:DATE=$A16)*(DATABASE.NO:(NO)="M5"),0)), y_mes, INDEX(DATABASE.Y:(Y),MATCH(1,(DATABASE.DATE:DATE=$A16)*(DATABASE.NO:(NO)="M5"),0)),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BD16" t="str">
        <f>IFERROR( INDEX(DATABASE.Z:(Z),MATCH(1,(DATABASE.DATE:DATE=$A16)*(DATABASE.NO:(NO)="M5"),0)) - -123.621, "" )</f>
        <v/>
      </c>
      <c r="BE16" t="str">
        <f ca="1">IFERROR( _xludf.LET( x_mes, INDEX(DATABASE.X:(X),MATCH(1,(DATABASE.DATE:DATE=$A16)*(DATABASE.NO:(NO)="REF1"),0)), y_mes, INDEX(DATABASE.Y:(Y),MATCH(1,(DATABASE.DATE:DATE=$A16)*(DATABASE.NO:(NO)="REF1"),0)), dx_mes, x_mes-823216.6581, dy_mes, y_mes-1091503.0821, proj_long, (dx_mes*42.2619000000413 + dy_mes*-90.6307000000961)/99.9999598705965, 0 + proj_long ), "" )</f>
        <v/>
      </c>
      <c r="BF16" t="str">
        <f ca="1">IFERROR( _xludf.LET( x_mes, INDEX(DATABASE.X:(X),MATCH(1,(DATABASE.DATE:DATE=$A16)*(DATABASE.NO:(NO)="REF1"),0)), y_mes, INDEX(DATABASE.Y:(Y),MATCH(1,(DATABASE.DATE:DATE=$A16)*(DATABASE.NO:(NO)="REF1"),0)),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BG16" t="str">
        <f>IFERROR( INDEX(DATABASE.Z:(Z),MATCH(1,(DATABASE.DATE:DATE=$A16)*(DATABASE.NO:(NO)="REF1"),0)) - -123.621, "" )</f>
        <v/>
      </c>
      <c r="BH16" t="str">
        <f ca="1">IFERROR( _xludf.LET( x_mes, INDEX(DATABASE.X:(X),MATCH(1,(DATABASE.DATE:DATE=$A16)*(DATABASE.NO:(NO)="REF2"),0)), y_mes, INDEX(DATABASE.Y:(Y),MATCH(1,(DATABASE.DATE:DATE=$A16)*(DATABASE.NO:(NO)="REF2"),0)), dx_mes, x_mes-823216.6581, dy_mes, y_mes-1091503.0821, proj_long, (dx_mes*42.2619000000413 + dy_mes*-90.6307000000961)/99.9999598705965, 0 + proj_long ), "" )</f>
        <v/>
      </c>
      <c r="BI16" t="str">
        <f ca="1">IFERROR( _xludf.LET( x_mes, INDEX(DATABASE.X:(X),MATCH(1,(DATABASE.DATE:DATE=$A16)*(DATABASE.NO:(NO)="REF2"),0)), y_mes, INDEX(DATABASE.Y:(Y),MATCH(1,(DATABASE.DATE:DATE=$A16)*(DATABASE.NO:(NO)="REF2"),0)),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BJ16" t="str">
        <f>IFERROR( INDEX(DATABASE.Z:(Z),MATCH(1,(DATABASE.DATE:DATE=$A16)*(DATABASE.NO:(NO)="REF2"),0)) - -123.621, "" )</f>
        <v/>
      </c>
    </row>
    <row r="17" spans="3:62" x14ac:dyDescent="0.25">
      <c r="C17" t="str">
        <f ca="1">IFERROR( _xludf.LET( x_mes, INDEX(DATABASE.X:(X),MATCH(1,(DATABASE.DATE:DATE=$A17)*(DATABASE.NO:(NO)="V1"),0)), y_mes, INDEX(DATABASE.Y:(Y),MATCH(1,(DATABASE.DATE:DATE=$A17)*(DATABASE.NO:(NO)="V1"),0)), dx_mes, x_mes-823216.6581, dy_mes, y_mes-1091503.0821, proj_long, (dx_mes*42.2619000000413 + dy_mes*-90.6307000000961)/99.9999598705965, 0 + proj_long ), "" )</f>
        <v/>
      </c>
      <c r="D17" t="str">
        <f ca="1">IFERROR( _xludf.LET( x_mes, INDEX(DATABASE.X:(X),MATCH(1,(DATABASE.DATE:DATE=$A17)*(DATABASE.NO:(NO)="V1"),0)), y_mes, INDEX(DATABASE.Y:(Y),MATCH(1,(DATABASE.DATE:DATE=$A17)*(DATABASE.NO:(NO)="V1"),0)),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E17" t="str">
        <f>IFERROR( INDEX(DATABASE.Z:(Z),MATCH(1,(DATABASE.DATE:DATE=$A17)*(DATABASE.NO:(NO)="V1"),0)) - -123.621, "" )</f>
        <v/>
      </c>
      <c r="F17" t="str">
        <f ca="1">IFERROR( _xludf.LET( x_mes, INDEX(DATABASE.X:(X),MATCH(1,(DATABASE.DATE:DATE=$A17)*(DATABASE.NO:(NO)="V2"),0)), y_mes, INDEX(DATABASE.Y:(Y),MATCH(1,(DATABASE.DATE:DATE=$A17)*(DATABASE.NO:(NO)="V2"),0)), dx_mes, x_mes-823216.6581, dy_mes, y_mes-1091503.0821, proj_long, (dx_mes*42.2619000000413 + dy_mes*-90.6307000000961)/99.9999598705965, 0 + proj_long ), "" )</f>
        <v/>
      </c>
      <c r="G17" t="str">
        <f ca="1">IFERROR( _xludf.LET( x_mes, INDEX(DATABASE.X:(X),MATCH(1,(DATABASE.DATE:DATE=$A17)*(DATABASE.NO:(NO)="V2"),0)), y_mes, INDEX(DATABASE.Y:(Y),MATCH(1,(DATABASE.DATE:DATE=$A17)*(DATABASE.NO:(NO)="V2"),0)),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H17" t="str">
        <f>IFERROR( INDEX(DATABASE.Z:(Z),MATCH(1,(DATABASE.DATE:DATE=$A17)*(DATABASE.NO:(NO)="V2"),0)) - -123.621, "" )</f>
        <v/>
      </c>
      <c r="I17" t="str">
        <f ca="1">IFERROR( _xludf.LET( x_mes, INDEX(DATABASE.X:(X),MATCH(1,(DATABASE.DATE:DATE=$A17)*(DATABASE.NO:(NO)="V3"),0)), y_mes, INDEX(DATABASE.Y:(Y),MATCH(1,(DATABASE.DATE:DATE=$A17)*(DATABASE.NO:(NO)="V3"),0)), dx_mes, x_mes-823216.6581, dy_mes, y_mes-1091503.0821, proj_long, (dx_mes*42.2619000000413 + dy_mes*-90.6307000000961)/99.9999598705965, 0 + proj_long ), "" )</f>
        <v/>
      </c>
      <c r="J17" t="str">
        <f ca="1">IFERROR( _xludf.LET( x_mes, INDEX(DATABASE.X:(X),MATCH(1,(DATABASE.DATE:DATE=$A17)*(DATABASE.NO:(NO)="V3"),0)), y_mes, INDEX(DATABASE.Y:(Y),MATCH(1,(DATABASE.DATE:DATE=$A17)*(DATABASE.NO:(NO)="V3"),0)),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K17" t="str">
        <f>IFERROR( INDEX(DATABASE.Z:(Z),MATCH(1,(DATABASE.DATE:DATE=$A17)*(DATABASE.NO:(NO)="V3"),0)) - -123.621, "" )</f>
        <v/>
      </c>
      <c r="L17" t="str">
        <f ca="1">IFERROR( _xludf.LET( x_mes, INDEX(DATABASE.X:(X),MATCH(1,(DATABASE.DATE:DATE=$A17)*(DATABASE.NO:(NO)="H1"),0)), y_mes, INDEX(DATABASE.Y:(Y),MATCH(1,(DATABASE.DATE:DATE=$A17)*(DATABASE.NO:(NO)="H1"),0)), dx_mes, x_mes-823216.6581, dy_mes, y_mes-1091503.0821, proj_long, (dx_mes*42.2619000000413 + dy_mes*-90.6307000000961)/99.9999598705965, 0 + proj_long ), "" )</f>
        <v/>
      </c>
      <c r="M17" t="str">
        <f ca="1">IFERROR( _xludf.LET( x_mes, INDEX(DATABASE.X:(X),MATCH(1,(DATABASE.DATE:DATE=$A17)*(DATABASE.NO:(NO)="H1"),0)), y_mes, INDEX(DATABASE.Y:(Y),MATCH(1,(DATABASE.DATE:DATE=$A17)*(DATABASE.NO:(NO)="H1"),0)),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N17" t="str">
        <f>IFERROR( INDEX(DATABASE.Z:(Z),MATCH(1,(DATABASE.DATE:DATE=$A17)*(DATABASE.NO:(NO)="H1"),0)) - -123.621, "" )</f>
        <v/>
      </c>
      <c r="O17" t="str">
        <f ca="1">IFERROR( _xludf.LET( x_mes, INDEX(DATABASE.X:(X),MATCH(1,(DATABASE.DATE:DATE=$A17)*(DATABASE.NO:(NO)="H2"),0)), y_mes, INDEX(DATABASE.Y:(Y),MATCH(1,(DATABASE.DATE:DATE=$A17)*(DATABASE.NO:(NO)="H2"),0)), dx_mes, x_mes-823216.6581, dy_mes, y_mes-1091503.0821, proj_long, (dx_mes*42.2619000000413 + dy_mes*-90.6307000000961)/99.9999598705965, 0 + proj_long ), "" )</f>
        <v/>
      </c>
      <c r="P17" t="str">
        <f ca="1">IFERROR( _xludf.LET( x_mes, INDEX(DATABASE.X:(X),MATCH(1,(DATABASE.DATE:DATE=$A17)*(DATABASE.NO:(NO)="H2"),0)), y_mes, INDEX(DATABASE.Y:(Y),MATCH(1,(DATABASE.DATE:DATE=$A17)*(DATABASE.NO:(NO)="H2"),0)),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Q17" t="str">
        <f>IFERROR( INDEX(DATABASE.Z:(Z),MATCH(1,(DATABASE.DATE:DATE=$A17)*(DATABASE.NO:(NO)="H2"),0)) - -123.621, "" )</f>
        <v/>
      </c>
      <c r="R17" t="str">
        <f ca="1">IFERROR( _xludf.LET( x_mes, INDEX(DATABASE.X:(X),MATCH(1,(DATABASE.DATE:DATE=$A17)*(DATABASE.NO:(NO)="H3"),0)), y_mes, INDEX(DATABASE.Y:(Y),MATCH(1,(DATABASE.DATE:DATE=$A17)*(DATABASE.NO:(NO)="H3"),0)), dx_mes, x_mes-823216.6581, dy_mes, y_mes-1091503.0821, proj_long, (dx_mes*42.2619000000413 + dy_mes*-90.6307000000961)/99.9999598705965, 0 + proj_long ), "" )</f>
        <v/>
      </c>
      <c r="S17" t="str">
        <f ca="1">IFERROR( _xludf.LET( x_mes, INDEX(DATABASE.X:(X),MATCH(1,(DATABASE.DATE:DATE=$A17)*(DATABASE.NO:(NO)="H3"),0)), y_mes, INDEX(DATABASE.Y:(Y),MATCH(1,(DATABASE.DATE:DATE=$A17)*(DATABASE.NO:(NO)="H3"),0)),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T17" t="str">
        <f>IFERROR( INDEX(DATABASE.Z:(Z),MATCH(1,(DATABASE.DATE:DATE=$A17)*(DATABASE.NO:(NO)="H3"),0)) - -123.621, "" )</f>
        <v/>
      </c>
      <c r="U17" t="str">
        <f ca="1">IFERROR( _xludf.LET( x_mes, INDEX(DATABASE.X:(X),MATCH(1,(DATABASE.DATE:DATE=$A17)*(DATABASE.NO:(NO)="H4"),0)), y_mes, INDEX(DATABASE.Y:(Y),MATCH(1,(DATABASE.DATE:DATE=$A17)*(DATABASE.NO:(NO)="H4"),0)), dx_mes, x_mes-823216.6581, dy_mes, y_mes-1091503.0821, proj_long, (dx_mes*42.2619000000413 + dy_mes*-90.6307000000961)/99.9999598705965, 0 + proj_long ), "" )</f>
        <v/>
      </c>
      <c r="V17" t="str">
        <f ca="1">IFERROR( _xludf.LET( x_mes, INDEX(DATABASE.X:(X),MATCH(1,(DATABASE.DATE:DATE=$A17)*(DATABASE.NO:(NO)="H4"),0)), y_mes, INDEX(DATABASE.Y:(Y),MATCH(1,(DATABASE.DATE:DATE=$A17)*(DATABASE.NO:(NO)="H4"),0)),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W17" t="str">
        <f>IFERROR( INDEX(DATABASE.Z:(Z),MATCH(1,(DATABASE.DATE:DATE=$A17)*(DATABASE.NO:(NO)="H4"),0)) - -123.621, "" )</f>
        <v/>
      </c>
      <c r="X17" t="str">
        <f ca="1">IFERROR( _xludf.LET( x_mes, INDEX(DATABASE.X:(X),MATCH(1,(DATABASE.DATE:DATE=$A17)*(DATABASE.NO:(NO)="H5"),0)), y_mes, INDEX(DATABASE.Y:(Y),MATCH(1,(DATABASE.DATE:DATE=$A17)*(DATABASE.NO:(NO)="H5"),0)), dx_mes, x_mes-823216.6581, dy_mes, y_mes-1091503.0821, proj_long, (dx_mes*42.2619000000413 + dy_mes*-90.6307000000961)/99.9999598705965, 0 + proj_long ), "" )</f>
        <v/>
      </c>
      <c r="Y17" t="str">
        <f ca="1">IFERROR( _xludf.LET( x_mes, INDEX(DATABASE.X:(X),MATCH(1,(DATABASE.DATE:DATE=$A17)*(DATABASE.NO:(NO)="H5"),0)), y_mes, INDEX(DATABASE.Y:(Y),MATCH(1,(DATABASE.DATE:DATE=$A17)*(DATABASE.NO:(NO)="H5"),0)),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Z17" t="str">
        <f>IFERROR( INDEX(DATABASE.Z:(Z),MATCH(1,(DATABASE.DATE:DATE=$A17)*(DATABASE.NO:(NO)="H5"),0)) - -123.621, "" )</f>
        <v/>
      </c>
      <c r="AA17" t="str">
        <f ca="1">IFERROR( _xludf.LET( x_mes, INDEX(DATABASE.X:(X),MATCH(1,(DATABASE.DATE:DATE=$A17)*(DATABASE.NO:(NO)="B1"),0)), y_mes, INDEX(DATABASE.Y:(Y),MATCH(1,(DATABASE.DATE:DATE=$A17)*(DATABASE.NO:(NO)="B1"),0)), dx_mes, x_mes-823216.6581, dy_mes, y_mes-1091503.0821, proj_long, (dx_mes*42.2619000000413 + dy_mes*-90.6307000000961)/99.9999598705965, 0 + proj_long ), "" )</f>
        <v/>
      </c>
      <c r="AB17" t="str">
        <f ca="1">IFERROR( _xludf.LET( x_mes, INDEX(DATABASE.X:(X),MATCH(1,(DATABASE.DATE:DATE=$A17)*(DATABASE.NO:(NO)="B1"),0)), y_mes, INDEX(DATABASE.Y:(Y),MATCH(1,(DATABASE.DATE:DATE=$A17)*(DATABASE.NO:(NO)="B1"),0)),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C17" t="str">
        <f>IFERROR( INDEX(DATABASE.Z:(Z),MATCH(1,(DATABASE.DATE:DATE=$A17)*(DATABASE.NO:(NO)="B1"),0)) - -123.621, "" )</f>
        <v/>
      </c>
      <c r="AD17" t="str">
        <f ca="1">IFERROR( _xludf.LET( x_mes, INDEX(DATABASE.X:(X),MATCH(1,(DATABASE.DATE:DATE=$A17)*(DATABASE.NO:(NO)="B2"),0)), y_mes, INDEX(DATABASE.Y:(Y),MATCH(1,(DATABASE.DATE:DATE=$A17)*(DATABASE.NO:(NO)="B2"),0)), dx_mes, x_mes-823216.6581, dy_mes, y_mes-1091503.0821, proj_long, (dx_mes*42.2619000000413 + dy_mes*-90.6307000000961)/99.9999598705965, 0 + proj_long ), "" )</f>
        <v/>
      </c>
      <c r="AE17" t="str">
        <f ca="1">IFERROR( _xludf.LET( x_mes, INDEX(DATABASE.X:(X),MATCH(1,(DATABASE.DATE:DATE=$A17)*(DATABASE.NO:(NO)="B2"),0)), y_mes, INDEX(DATABASE.Y:(Y),MATCH(1,(DATABASE.DATE:DATE=$A17)*(DATABASE.NO:(NO)="B2"),0)),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F17" t="str">
        <f>IFERROR( INDEX(DATABASE.Z:(Z),MATCH(1,(DATABASE.DATE:DATE=$A17)*(DATABASE.NO:(NO)="B2"),0)) - -123.621, "" )</f>
        <v/>
      </c>
      <c r="AG17" t="str">
        <f ca="1">IFERROR( _xludf.LET( x_mes, INDEX(DATABASE.X:(X),MATCH(1,(DATABASE.DATE:DATE=$A17)*(DATABASE.NO:(NO)="B3"),0)), y_mes, INDEX(DATABASE.Y:(Y),MATCH(1,(DATABASE.DATE:DATE=$A17)*(DATABASE.NO:(NO)="B3"),0)), dx_mes, x_mes-823216.6581, dy_mes, y_mes-1091503.0821, proj_long, (dx_mes*42.2619000000413 + dy_mes*-90.6307000000961)/99.9999598705965, 0 + proj_long ), "" )</f>
        <v/>
      </c>
      <c r="AH17" t="str">
        <f ca="1">IFERROR( _xludf.LET( x_mes, INDEX(DATABASE.X:(X),MATCH(1,(DATABASE.DATE:DATE=$A17)*(DATABASE.NO:(NO)="B3"),0)), y_mes, INDEX(DATABASE.Y:(Y),MATCH(1,(DATABASE.DATE:DATE=$A17)*(DATABASE.NO:(NO)="B3"),0)),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I17" t="str">
        <f>IFERROR( INDEX(DATABASE.Z:(Z),MATCH(1,(DATABASE.DATE:DATE=$A17)*(DATABASE.NO:(NO)="B3"),0)) - -123.621, "" )</f>
        <v/>
      </c>
      <c r="AJ17" t="str">
        <f ca="1">IFERROR( _xludf.LET( x_mes, INDEX(DATABASE.X:(X),MATCH(1,(DATABASE.DATE:DATE=$A17)*(DATABASE.NO:(NO)="B4"),0)), y_mes, INDEX(DATABASE.Y:(Y),MATCH(1,(DATABASE.DATE:DATE=$A17)*(DATABASE.NO:(NO)="B4"),0)), dx_mes, x_mes-823216.6581, dy_mes, y_mes-1091503.0821, proj_long, (dx_mes*42.2619000000413 + dy_mes*-90.6307000000961)/99.9999598705965, 0 + proj_long ), "" )</f>
        <v/>
      </c>
      <c r="AK17" t="str">
        <f ca="1">IFERROR( _xludf.LET( x_mes, INDEX(DATABASE.X:(X),MATCH(1,(DATABASE.DATE:DATE=$A17)*(DATABASE.NO:(NO)="B4"),0)), y_mes, INDEX(DATABASE.Y:(Y),MATCH(1,(DATABASE.DATE:DATE=$A17)*(DATABASE.NO:(NO)="B4"),0)),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L17" t="str">
        <f>IFERROR( INDEX(DATABASE.Z:(Z),MATCH(1,(DATABASE.DATE:DATE=$A17)*(DATABASE.NO:(NO)="B4"),0)) - -123.621, "" )</f>
        <v/>
      </c>
      <c r="AM17" t="str">
        <f ca="1">IFERROR( _xludf.LET( x_mes, INDEX(DATABASE.X:(X),MATCH(1,(DATABASE.DATE:DATE=$A17)*(DATABASE.NO:(NO)="B5"),0)), y_mes, INDEX(DATABASE.Y:(Y),MATCH(1,(DATABASE.DATE:DATE=$A17)*(DATABASE.NO:(NO)="B5"),0)), dx_mes, x_mes-823216.6581, dy_mes, y_mes-1091503.0821, proj_long, (dx_mes*42.2619000000413 + dy_mes*-90.6307000000961)/99.9999598705965, 0 + proj_long ), "" )</f>
        <v/>
      </c>
      <c r="AN17" t="str">
        <f ca="1">IFERROR( _xludf.LET( x_mes, INDEX(DATABASE.X:(X),MATCH(1,(DATABASE.DATE:DATE=$A17)*(DATABASE.NO:(NO)="B5"),0)), y_mes, INDEX(DATABASE.Y:(Y),MATCH(1,(DATABASE.DATE:DATE=$A17)*(DATABASE.NO:(NO)="B5"),0)),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O17" t="str">
        <f>IFERROR( INDEX(DATABASE.Z:(Z),MATCH(1,(DATABASE.DATE:DATE=$A17)*(DATABASE.NO:(NO)="B5"),0)) - -123.621, "" )</f>
        <v/>
      </c>
      <c r="AP17" t="str">
        <f ca="1">IFERROR( _xludf.LET( x_mes, INDEX(DATABASE.X:(X),MATCH(1,(DATABASE.DATE:DATE=$A17)*(DATABASE.NO:(NO)="M1"),0)), y_mes, INDEX(DATABASE.Y:(Y),MATCH(1,(DATABASE.DATE:DATE=$A17)*(DATABASE.NO:(NO)="M1"),0)), dx_mes, x_mes-823216.6581, dy_mes, y_mes-1091503.0821, proj_long, (dx_mes*42.2619000000413 + dy_mes*-90.6307000000961)/99.9999598705965, 0 + proj_long ), "" )</f>
        <v/>
      </c>
      <c r="AQ17" t="str">
        <f ca="1">IFERROR( _xludf.LET( x_mes, INDEX(DATABASE.X:(X),MATCH(1,(DATABASE.DATE:DATE=$A17)*(DATABASE.NO:(NO)="M1"),0)), y_mes, INDEX(DATABASE.Y:(Y),MATCH(1,(DATABASE.DATE:DATE=$A17)*(DATABASE.NO:(NO)="M1"),0)),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R17" t="str">
        <f>IFERROR( INDEX(DATABASE.Z:(Z),MATCH(1,(DATABASE.DATE:DATE=$A17)*(DATABASE.NO:(NO)="M1"),0)) - -123.621, "" )</f>
        <v/>
      </c>
      <c r="AS17" t="str">
        <f ca="1">IFERROR( _xludf.LET( x_mes, INDEX(DATABASE.X:(X),MATCH(1,(DATABASE.DATE:DATE=$A17)*(DATABASE.NO:(NO)="M2"),0)), y_mes, INDEX(DATABASE.Y:(Y),MATCH(1,(DATABASE.DATE:DATE=$A17)*(DATABASE.NO:(NO)="M2"),0)), dx_mes, x_mes-823216.6581, dy_mes, y_mes-1091503.0821, proj_long, (dx_mes*42.2619000000413 + dy_mes*-90.6307000000961)/99.9999598705965, 0 + proj_long ), "" )</f>
        <v/>
      </c>
      <c r="AT17" t="str">
        <f ca="1">IFERROR( _xludf.LET( x_mes, INDEX(DATABASE.X:(X),MATCH(1,(DATABASE.DATE:DATE=$A17)*(DATABASE.NO:(NO)="M2"),0)), y_mes, INDEX(DATABASE.Y:(Y),MATCH(1,(DATABASE.DATE:DATE=$A17)*(DATABASE.NO:(NO)="M2"),0)),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U17" t="str">
        <f>IFERROR( INDEX(DATABASE.Z:(Z),MATCH(1,(DATABASE.DATE:DATE=$A17)*(DATABASE.NO:(NO)="M2"),0)) - -123.621, "" )</f>
        <v/>
      </c>
      <c r="AV17" t="str">
        <f ca="1">IFERROR( _xludf.LET( x_mes, INDEX(DATABASE.X:(X),MATCH(1,(DATABASE.DATE:DATE=$A17)*(DATABASE.NO:(NO)="M3"),0)), y_mes, INDEX(DATABASE.Y:(Y),MATCH(1,(DATABASE.DATE:DATE=$A17)*(DATABASE.NO:(NO)="M3"),0)), dx_mes, x_mes-823216.6581, dy_mes, y_mes-1091503.0821, proj_long, (dx_mes*42.2619000000413 + dy_mes*-90.6307000000961)/99.9999598705965, 0 + proj_long ), "" )</f>
        <v/>
      </c>
      <c r="AW17" t="str">
        <f ca="1">IFERROR( _xludf.LET( x_mes, INDEX(DATABASE.X:(X),MATCH(1,(DATABASE.DATE:DATE=$A17)*(DATABASE.NO:(NO)="M3"),0)), y_mes, INDEX(DATABASE.Y:(Y),MATCH(1,(DATABASE.DATE:DATE=$A17)*(DATABASE.NO:(NO)="M3"),0)),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X17" t="str">
        <f>IFERROR( INDEX(DATABASE.Z:(Z),MATCH(1,(DATABASE.DATE:DATE=$A17)*(DATABASE.NO:(NO)="M3"),0)) - -123.621, "" )</f>
        <v/>
      </c>
      <c r="AY17" t="str">
        <f ca="1">IFERROR( _xludf.LET( x_mes, INDEX(DATABASE.X:(X),MATCH(1,(DATABASE.DATE:DATE=$A17)*(DATABASE.NO:(NO)="M4"),0)), y_mes, INDEX(DATABASE.Y:(Y),MATCH(1,(DATABASE.DATE:DATE=$A17)*(DATABASE.NO:(NO)="M4"),0)), dx_mes, x_mes-823216.6581, dy_mes, y_mes-1091503.0821, proj_long, (dx_mes*42.2619000000413 + dy_mes*-90.6307000000961)/99.9999598705965, 0 + proj_long ), "" )</f>
        <v/>
      </c>
      <c r="AZ17" t="str">
        <f ca="1">IFERROR( _xludf.LET( x_mes, INDEX(DATABASE.X:(X),MATCH(1,(DATABASE.DATE:DATE=$A17)*(DATABASE.NO:(NO)="M4"),0)), y_mes, INDEX(DATABASE.Y:(Y),MATCH(1,(DATABASE.DATE:DATE=$A17)*(DATABASE.NO:(NO)="M4"),0)),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BA17" t="str">
        <f>IFERROR( INDEX(DATABASE.Z:(Z),MATCH(1,(DATABASE.DATE:DATE=$A17)*(DATABASE.NO:(NO)="M4"),0)) - -123.621, "" )</f>
        <v/>
      </c>
      <c r="BB17" t="str">
        <f ca="1">IFERROR( _xludf.LET( x_mes, INDEX(DATABASE.X:(X),MATCH(1,(DATABASE.DATE:DATE=$A17)*(DATABASE.NO:(NO)="M5"),0)), y_mes, INDEX(DATABASE.Y:(Y),MATCH(1,(DATABASE.DATE:DATE=$A17)*(DATABASE.NO:(NO)="M5"),0)), dx_mes, x_mes-823216.6581, dy_mes, y_mes-1091503.0821, proj_long, (dx_mes*42.2619000000413 + dy_mes*-90.6307000000961)/99.9999598705965, 0 + proj_long ), "" )</f>
        <v/>
      </c>
      <c r="BC17" t="str">
        <f ca="1">IFERROR( _xludf.LET( x_mes, INDEX(DATABASE.X:(X),MATCH(1,(DATABASE.DATE:DATE=$A17)*(DATABASE.NO:(NO)="M5"),0)), y_mes, INDEX(DATABASE.Y:(Y),MATCH(1,(DATABASE.DATE:DATE=$A17)*(DATABASE.NO:(NO)="M5"),0)),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BD17" t="str">
        <f>IFERROR( INDEX(DATABASE.Z:(Z),MATCH(1,(DATABASE.DATE:DATE=$A17)*(DATABASE.NO:(NO)="M5"),0)) - -123.621, "" )</f>
        <v/>
      </c>
      <c r="BE17" t="str">
        <f ca="1">IFERROR( _xludf.LET( x_mes, INDEX(DATABASE.X:(X),MATCH(1,(DATABASE.DATE:DATE=$A17)*(DATABASE.NO:(NO)="REF1"),0)), y_mes, INDEX(DATABASE.Y:(Y),MATCH(1,(DATABASE.DATE:DATE=$A17)*(DATABASE.NO:(NO)="REF1"),0)), dx_mes, x_mes-823216.6581, dy_mes, y_mes-1091503.0821, proj_long, (dx_mes*42.2619000000413 + dy_mes*-90.6307000000961)/99.9999598705965, 0 + proj_long ), "" )</f>
        <v/>
      </c>
      <c r="BF17" t="str">
        <f ca="1">IFERROR( _xludf.LET( x_mes, INDEX(DATABASE.X:(X),MATCH(1,(DATABASE.DATE:DATE=$A17)*(DATABASE.NO:(NO)="REF1"),0)), y_mes, INDEX(DATABASE.Y:(Y),MATCH(1,(DATABASE.DATE:DATE=$A17)*(DATABASE.NO:(NO)="REF1"),0)),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BG17" t="str">
        <f>IFERROR( INDEX(DATABASE.Z:(Z),MATCH(1,(DATABASE.DATE:DATE=$A17)*(DATABASE.NO:(NO)="REF1"),0)) - -123.621, "" )</f>
        <v/>
      </c>
      <c r="BH17" t="str">
        <f ca="1">IFERROR( _xludf.LET( x_mes, INDEX(DATABASE.X:(X),MATCH(1,(DATABASE.DATE:DATE=$A17)*(DATABASE.NO:(NO)="REF2"),0)), y_mes, INDEX(DATABASE.Y:(Y),MATCH(1,(DATABASE.DATE:DATE=$A17)*(DATABASE.NO:(NO)="REF2"),0)), dx_mes, x_mes-823216.6581, dy_mes, y_mes-1091503.0821, proj_long, (dx_mes*42.2619000000413 + dy_mes*-90.6307000000961)/99.9999598705965, 0 + proj_long ), "" )</f>
        <v/>
      </c>
      <c r="BI17" t="str">
        <f ca="1">IFERROR( _xludf.LET( x_mes, INDEX(DATABASE.X:(X),MATCH(1,(DATABASE.DATE:DATE=$A17)*(DATABASE.NO:(NO)="REF2"),0)), y_mes, INDEX(DATABASE.Y:(Y),MATCH(1,(DATABASE.DATE:DATE=$A17)*(DATABASE.NO:(NO)="REF2"),0)),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BJ17" t="str">
        <f>IFERROR( INDEX(DATABASE.Z:(Z),MATCH(1,(DATABASE.DATE:DATE=$A17)*(DATABASE.NO:(NO)="REF2"),0)) - -123.621, "" )</f>
        <v/>
      </c>
    </row>
    <row r="18" spans="3:62" x14ac:dyDescent="0.25">
      <c r="C18" t="str">
        <f ca="1">IFERROR( _xludf.LET( x_mes, INDEX(DATABASE.X:(X),MATCH(1,(DATABASE.DATE:DATE=$A18)*(DATABASE.NO:(NO)="V1"),0)), y_mes, INDEX(DATABASE.Y:(Y),MATCH(1,(DATABASE.DATE:DATE=$A18)*(DATABASE.NO:(NO)="V1"),0)), dx_mes, x_mes-823216.6581, dy_mes, y_mes-1091503.0821, proj_long, (dx_mes*42.2619000000413 + dy_mes*-90.6307000000961)/99.9999598705965, 0 + proj_long ), "" )</f>
        <v/>
      </c>
      <c r="D18" t="str">
        <f ca="1">IFERROR( _xludf.LET( x_mes, INDEX(DATABASE.X:(X),MATCH(1,(DATABASE.DATE:DATE=$A18)*(DATABASE.NO:(NO)="V1"),0)), y_mes, INDEX(DATABASE.Y:(Y),MATCH(1,(DATABASE.DATE:DATE=$A18)*(DATABASE.NO:(NO)="V1"),0)),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E18" t="str">
        <f>IFERROR( INDEX(DATABASE.Z:(Z),MATCH(1,(DATABASE.DATE:DATE=$A18)*(DATABASE.NO:(NO)="V1"),0)) - -123.621, "" )</f>
        <v/>
      </c>
      <c r="F18" t="str">
        <f ca="1">IFERROR( _xludf.LET( x_mes, INDEX(DATABASE.X:(X),MATCH(1,(DATABASE.DATE:DATE=$A18)*(DATABASE.NO:(NO)="V2"),0)), y_mes, INDEX(DATABASE.Y:(Y),MATCH(1,(DATABASE.DATE:DATE=$A18)*(DATABASE.NO:(NO)="V2"),0)), dx_mes, x_mes-823216.6581, dy_mes, y_mes-1091503.0821, proj_long, (dx_mes*42.2619000000413 + dy_mes*-90.6307000000961)/99.9999598705965, 0 + proj_long ), "" )</f>
        <v/>
      </c>
      <c r="G18" t="str">
        <f ca="1">IFERROR( _xludf.LET( x_mes, INDEX(DATABASE.X:(X),MATCH(1,(DATABASE.DATE:DATE=$A18)*(DATABASE.NO:(NO)="V2"),0)), y_mes, INDEX(DATABASE.Y:(Y),MATCH(1,(DATABASE.DATE:DATE=$A18)*(DATABASE.NO:(NO)="V2"),0)),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H18" t="str">
        <f>IFERROR( INDEX(DATABASE.Z:(Z),MATCH(1,(DATABASE.DATE:DATE=$A18)*(DATABASE.NO:(NO)="V2"),0)) - -123.621, "" )</f>
        <v/>
      </c>
      <c r="I18" t="str">
        <f ca="1">IFERROR( _xludf.LET( x_mes, INDEX(DATABASE.X:(X),MATCH(1,(DATABASE.DATE:DATE=$A18)*(DATABASE.NO:(NO)="V3"),0)), y_mes, INDEX(DATABASE.Y:(Y),MATCH(1,(DATABASE.DATE:DATE=$A18)*(DATABASE.NO:(NO)="V3"),0)), dx_mes, x_mes-823216.6581, dy_mes, y_mes-1091503.0821, proj_long, (dx_mes*42.2619000000413 + dy_mes*-90.6307000000961)/99.9999598705965, 0 + proj_long ), "" )</f>
        <v/>
      </c>
      <c r="J18" t="str">
        <f ca="1">IFERROR( _xludf.LET( x_mes, INDEX(DATABASE.X:(X),MATCH(1,(DATABASE.DATE:DATE=$A18)*(DATABASE.NO:(NO)="V3"),0)), y_mes, INDEX(DATABASE.Y:(Y),MATCH(1,(DATABASE.DATE:DATE=$A18)*(DATABASE.NO:(NO)="V3"),0)),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K18" t="str">
        <f>IFERROR( INDEX(DATABASE.Z:(Z),MATCH(1,(DATABASE.DATE:DATE=$A18)*(DATABASE.NO:(NO)="V3"),0)) - -123.621, "" )</f>
        <v/>
      </c>
      <c r="L18" t="str">
        <f ca="1">IFERROR( _xludf.LET( x_mes, INDEX(DATABASE.X:(X),MATCH(1,(DATABASE.DATE:DATE=$A18)*(DATABASE.NO:(NO)="H1"),0)), y_mes, INDEX(DATABASE.Y:(Y),MATCH(1,(DATABASE.DATE:DATE=$A18)*(DATABASE.NO:(NO)="H1"),0)), dx_mes, x_mes-823216.6581, dy_mes, y_mes-1091503.0821, proj_long, (dx_mes*42.2619000000413 + dy_mes*-90.6307000000961)/99.9999598705965, 0 + proj_long ), "" )</f>
        <v/>
      </c>
      <c r="M18" t="str">
        <f ca="1">IFERROR( _xludf.LET( x_mes, INDEX(DATABASE.X:(X),MATCH(1,(DATABASE.DATE:DATE=$A18)*(DATABASE.NO:(NO)="H1"),0)), y_mes, INDEX(DATABASE.Y:(Y),MATCH(1,(DATABASE.DATE:DATE=$A18)*(DATABASE.NO:(NO)="H1"),0)),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N18" t="str">
        <f>IFERROR( INDEX(DATABASE.Z:(Z),MATCH(1,(DATABASE.DATE:DATE=$A18)*(DATABASE.NO:(NO)="H1"),0)) - -123.621, "" )</f>
        <v/>
      </c>
      <c r="O18" t="str">
        <f ca="1">IFERROR( _xludf.LET( x_mes, INDEX(DATABASE.X:(X),MATCH(1,(DATABASE.DATE:DATE=$A18)*(DATABASE.NO:(NO)="H2"),0)), y_mes, INDEX(DATABASE.Y:(Y),MATCH(1,(DATABASE.DATE:DATE=$A18)*(DATABASE.NO:(NO)="H2"),0)), dx_mes, x_mes-823216.6581, dy_mes, y_mes-1091503.0821, proj_long, (dx_mes*42.2619000000413 + dy_mes*-90.6307000000961)/99.9999598705965, 0 + proj_long ), "" )</f>
        <v/>
      </c>
      <c r="P18" t="str">
        <f ca="1">IFERROR( _xludf.LET( x_mes, INDEX(DATABASE.X:(X),MATCH(1,(DATABASE.DATE:DATE=$A18)*(DATABASE.NO:(NO)="H2"),0)), y_mes, INDEX(DATABASE.Y:(Y),MATCH(1,(DATABASE.DATE:DATE=$A18)*(DATABASE.NO:(NO)="H2"),0)),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Q18" t="str">
        <f>IFERROR( INDEX(DATABASE.Z:(Z),MATCH(1,(DATABASE.DATE:DATE=$A18)*(DATABASE.NO:(NO)="H2"),0)) - -123.621, "" )</f>
        <v/>
      </c>
      <c r="R18" t="str">
        <f ca="1">IFERROR( _xludf.LET( x_mes, INDEX(DATABASE.X:(X),MATCH(1,(DATABASE.DATE:DATE=$A18)*(DATABASE.NO:(NO)="H3"),0)), y_mes, INDEX(DATABASE.Y:(Y),MATCH(1,(DATABASE.DATE:DATE=$A18)*(DATABASE.NO:(NO)="H3"),0)), dx_mes, x_mes-823216.6581, dy_mes, y_mes-1091503.0821, proj_long, (dx_mes*42.2619000000413 + dy_mes*-90.6307000000961)/99.9999598705965, 0 + proj_long ), "" )</f>
        <v/>
      </c>
      <c r="S18" t="str">
        <f ca="1">IFERROR( _xludf.LET( x_mes, INDEX(DATABASE.X:(X),MATCH(1,(DATABASE.DATE:DATE=$A18)*(DATABASE.NO:(NO)="H3"),0)), y_mes, INDEX(DATABASE.Y:(Y),MATCH(1,(DATABASE.DATE:DATE=$A18)*(DATABASE.NO:(NO)="H3"),0)),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T18" t="str">
        <f>IFERROR( INDEX(DATABASE.Z:(Z),MATCH(1,(DATABASE.DATE:DATE=$A18)*(DATABASE.NO:(NO)="H3"),0)) - -123.621, "" )</f>
        <v/>
      </c>
      <c r="U18" t="str">
        <f ca="1">IFERROR( _xludf.LET( x_mes, INDEX(DATABASE.X:(X),MATCH(1,(DATABASE.DATE:DATE=$A18)*(DATABASE.NO:(NO)="H4"),0)), y_mes, INDEX(DATABASE.Y:(Y),MATCH(1,(DATABASE.DATE:DATE=$A18)*(DATABASE.NO:(NO)="H4"),0)), dx_mes, x_mes-823216.6581, dy_mes, y_mes-1091503.0821, proj_long, (dx_mes*42.2619000000413 + dy_mes*-90.6307000000961)/99.9999598705965, 0 + proj_long ), "" )</f>
        <v/>
      </c>
      <c r="V18" t="str">
        <f ca="1">IFERROR( _xludf.LET( x_mes, INDEX(DATABASE.X:(X),MATCH(1,(DATABASE.DATE:DATE=$A18)*(DATABASE.NO:(NO)="H4"),0)), y_mes, INDEX(DATABASE.Y:(Y),MATCH(1,(DATABASE.DATE:DATE=$A18)*(DATABASE.NO:(NO)="H4"),0)),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W18" t="str">
        <f>IFERROR( INDEX(DATABASE.Z:(Z),MATCH(1,(DATABASE.DATE:DATE=$A18)*(DATABASE.NO:(NO)="H4"),0)) - -123.621, "" )</f>
        <v/>
      </c>
      <c r="X18" t="str">
        <f ca="1">IFERROR( _xludf.LET( x_mes, INDEX(DATABASE.X:(X),MATCH(1,(DATABASE.DATE:DATE=$A18)*(DATABASE.NO:(NO)="H5"),0)), y_mes, INDEX(DATABASE.Y:(Y),MATCH(1,(DATABASE.DATE:DATE=$A18)*(DATABASE.NO:(NO)="H5"),0)), dx_mes, x_mes-823216.6581, dy_mes, y_mes-1091503.0821, proj_long, (dx_mes*42.2619000000413 + dy_mes*-90.6307000000961)/99.9999598705965, 0 + proj_long ), "" )</f>
        <v/>
      </c>
      <c r="Y18" t="str">
        <f ca="1">IFERROR( _xludf.LET( x_mes, INDEX(DATABASE.X:(X),MATCH(1,(DATABASE.DATE:DATE=$A18)*(DATABASE.NO:(NO)="H5"),0)), y_mes, INDEX(DATABASE.Y:(Y),MATCH(1,(DATABASE.DATE:DATE=$A18)*(DATABASE.NO:(NO)="H5"),0)),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Z18" t="str">
        <f>IFERROR( INDEX(DATABASE.Z:(Z),MATCH(1,(DATABASE.DATE:DATE=$A18)*(DATABASE.NO:(NO)="H5"),0)) - -123.621, "" )</f>
        <v/>
      </c>
      <c r="AA18" t="str">
        <f ca="1">IFERROR( _xludf.LET( x_mes, INDEX(DATABASE.X:(X),MATCH(1,(DATABASE.DATE:DATE=$A18)*(DATABASE.NO:(NO)="B1"),0)), y_mes, INDEX(DATABASE.Y:(Y),MATCH(1,(DATABASE.DATE:DATE=$A18)*(DATABASE.NO:(NO)="B1"),0)), dx_mes, x_mes-823216.6581, dy_mes, y_mes-1091503.0821, proj_long, (dx_mes*42.2619000000413 + dy_mes*-90.6307000000961)/99.9999598705965, 0 + proj_long ), "" )</f>
        <v/>
      </c>
      <c r="AB18" t="str">
        <f ca="1">IFERROR( _xludf.LET( x_mes, INDEX(DATABASE.X:(X),MATCH(1,(DATABASE.DATE:DATE=$A18)*(DATABASE.NO:(NO)="B1"),0)), y_mes, INDEX(DATABASE.Y:(Y),MATCH(1,(DATABASE.DATE:DATE=$A18)*(DATABASE.NO:(NO)="B1"),0)),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C18" t="str">
        <f>IFERROR( INDEX(DATABASE.Z:(Z),MATCH(1,(DATABASE.DATE:DATE=$A18)*(DATABASE.NO:(NO)="B1"),0)) - -123.621, "" )</f>
        <v/>
      </c>
      <c r="AD18" t="str">
        <f ca="1">IFERROR( _xludf.LET( x_mes, INDEX(DATABASE.X:(X),MATCH(1,(DATABASE.DATE:DATE=$A18)*(DATABASE.NO:(NO)="B2"),0)), y_mes, INDEX(DATABASE.Y:(Y),MATCH(1,(DATABASE.DATE:DATE=$A18)*(DATABASE.NO:(NO)="B2"),0)), dx_mes, x_mes-823216.6581, dy_mes, y_mes-1091503.0821, proj_long, (dx_mes*42.2619000000413 + dy_mes*-90.6307000000961)/99.9999598705965, 0 + proj_long ), "" )</f>
        <v/>
      </c>
      <c r="AE18" t="str">
        <f ca="1">IFERROR( _xludf.LET( x_mes, INDEX(DATABASE.X:(X),MATCH(1,(DATABASE.DATE:DATE=$A18)*(DATABASE.NO:(NO)="B2"),0)), y_mes, INDEX(DATABASE.Y:(Y),MATCH(1,(DATABASE.DATE:DATE=$A18)*(DATABASE.NO:(NO)="B2"),0)),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F18" t="str">
        <f>IFERROR( INDEX(DATABASE.Z:(Z),MATCH(1,(DATABASE.DATE:DATE=$A18)*(DATABASE.NO:(NO)="B2"),0)) - -123.621, "" )</f>
        <v/>
      </c>
      <c r="AG18" t="str">
        <f ca="1">IFERROR( _xludf.LET( x_mes, INDEX(DATABASE.X:(X),MATCH(1,(DATABASE.DATE:DATE=$A18)*(DATABASE.NO:(NO)="B3"),0)), y_mes, INDEX(DATABASE.Y:(Y),MATCH(1,(DATABASE.DATE:DATE=$A18)*(DATABASE.NO:(NO)="B3"),0)), dx_mes, x_mes-823216.6581, dy_mes, y_mes-1091503.0821, proj_long, (dx_mes*42.2619000000413 + dy_mes*-90.6307000000961)/99.9999598705965, 0 + proj_long ), "" )</f>
        <v/>
      </c>
      <c r="AH18" t="str">
        <f ca="1">IFERROR( _xludf.LET( x_mes, INDEX(DATABASE.X:(X),MATCH(1,(DATABASE.DATE:DATE=$A18)*(DATABASE.NO:(NO)="B3"),0)), y_mes, INDEX(DATABASE.Y:(Y),MATCH(1,(DATABASE.DATE:DATE=$A18)*(DATABASE.NO:(NO)="B3"),0)),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I18" t="str">
        <f>IFERROR( INDEX(DATABASE.Z:(Z),MATCH(1,(DATABASE.DATE:DATE=$A18)*(DATABASE.NO:(NO)="B3"),0)) - -123.621, "" )</f>
        <v/>
      </c>
      <c r="AJ18" t="str">
        <f ca="1">IFERROR( _xludf.LET( x_mes, INDEX(DATABASE.X:(X),MATCH(1,(DATABASE.DATE:DATE=$A18)*(DATABASE.NO:(NO)="B4"),0)), y_mes, INDEX(DATABASE.Y:(Y),MATCH(1,(DATABASE.DATE:DATE=$A18)*(DATABASE.NO:(NO)="B4"),0)), dx_mes, x_mes-823216.6581, dy_mes, y_mes-1091503.0821, proj_long, (dx_mes*42.2619000000413 + dy_mes*-90.6307000000961)/99.9999598705965, 0 + proj_long ), "" )</f>
        <v/>
      </c>
      <c r="AK18" t="str">
        <f ca="1">IFERROR( _xludf.LET( x_mes, INDEX(DATABASE.X:(X),MATCH(1,(DATABASE.DATE:DATE=$A18)*(DATABASE.NO:(NO)="B4"),0)), y_mes, INDEX(DATABASE.Y:(Y),MATCH(1,(DATABASE.DATE:DATE=$A18)*(DATABASE.NO:(NO)="B4"),0)),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L18" t="str">
        <f>IFERROR( INDEX(DATABASE.Z:(Z),MATCH(1,(DATABASE.DATE:DATE=$A18)*(DATABASE.NO:(NO)="B4"),0)) - -123.621, "" )</f>
        <v/>
      </c>
      <c r="AM18" t="str">
        <f ca="1">IFERROR( _xludf.LET( x_mes, INDEX(DATABASE.X:(X),MATCH(1,(DATABASE.DATE:DATE=$A18)*(DATABASE.NO:(NO)="B5"),0)), y_mes, INDEX(DATABASE.Y:(Y),MATCH(1,(DATABASE.DATE:DATE=$A18)*(DATABASE.NO:(NO)="B5"),0)), dx_mes, x_mes-823216.6581, dy_mes, y_mes-1091503.0821, proj_long, (dx_mes*42.2619000000413 + dy_mes*-90.6307000000961)/99.9999598705965, 0 + proj_long ), "" )</f>
        <v/>
      </c>
      <c r="AN18" t="str">
        <f ca="1">IFERROR( _xludf.LET( x_mes, INDEX(DATABASE.X:(X),MATCH(1,(DATABASE.DATE:DATE=$A18)*(DATABASE.NO:(NO)="B5"),0)), y_mes, INDEX(DATABASE.Y:(Y),MATCH(1,(DATABASE.DATE:DATE=$A18)*(DATABASE.NO:(NO)="B5"),0)),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O18" t="str">
        <f>IFERROR( INDEX(DATABASE.Z:(Z),MATCH(1,(DATABASE.DATE:DATE=$A18)*(DATABASE.NO:(NO)="B5"),0)) - -123.621, "" )</f>
        <v/>
      </c>
      <c r="AP18" t="str">
        <f ca="1">IFERROR( _xludf.LET( x_mes, INDEX(DATABASE.X:(X),MATCH(1,(DATABASE.DATE:DATE=$A18)*(DATABASE.NO:(NO)="M1"),0)), y_mes, INDEX(DATABASE.Y:(Y),MATCH(1,(DATABASE.DATE:DATE=$A18)*(DATABASE.NO:(NO)="M1"),0)), dx_mes, x_mes-823216.6581, dy_mes, y_mes-1091503.0821, proj_long, (dx_mes*42.2619000000413 + dy_mes*-90.6307000000961)/99.9999598705965, 0 + proj_long ), "" )</f>
        <v/>
      </c>
      <c r="AQ18" t="str">
        <f ca="1">IFERROR( _xludf.LET( x_mes, INDEX(DATABASE.X:(X),MATCH(1,(DATABASE.DATE:DATE=$A18)*(DATABASE.NO:(NO)="M1"),0)), y_mes, INDEX(DATABASE.Y:(Y),MATCH(1,(DATABASE.DATE:DATE=$A18)*(DATABASE.NO:(NO)="M1"),0)),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R18" t="str">
        <f>IFERROR( INDEX(DATABASE.Z:(Z),MATCH(1,(DATABASE.DATE:DATE=$A18)*(DATABASE.NO:(NO)="M1"),0)) - -123.621, "" )</f>
        <v/>
      </c>
      <c r="AS18" t="str">
        <f ca="1">IFERROR( _xludf.LET( x_mes, INDEX(DATABASE.X:(X),MATCH(1,(DATABASE.DATE:DATE=$A18)*(DATABASE.NO:(NO)="M2"),0)), y_mes, INDEX(DATABASE.Y:(Y),MATCH(1,(DATABASE.DATE:DATE=$A18)*(DATABASE.NO:(NO)="M2"),0)), dx_mes, x_mes-823216.6581, dy_mes, y_mes-1091503.0821, proj_long, (dx_mes*42.2619000000413 + dy_mes*-90.6307000000961)/99.9999598705965, 0 + proj_long ), "" )</f>
        <v/>
      </c>
      <c r="AT18" t="str">
        <f ca="1">IFERROR( _xludf.LET( x_mes, INDEX(DATABASE.X:(X),MATCH(1,(DATABASE.DATE:DATE=$A18)*(DATABASE.NO:(NO)="M2"),0)), y_mes, INDEX(DATABASE.Y:(Y),MATCH(1,(DATABASE.DATE:DATE=$A18)*(DATABASE.NO:(NO)="M2"),0)),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U18" t="str">
        <f>IFERROR( INDEX(DATABASE.Z:(Z),MATCH(1,(DATABASE.DATE:DATE=$A18)*(DATABASE.NO:(NO)="M2"),0)) - -123.621, "" )</f>
        <v/>
      </c>
      <c r="AV18" t="str">
        <f ca="1">IFERROR( _xludf.LET( x_mes, INDEX(DATABASE.X:(X),MATCH(1,(DATABASE.DATE:DATE=$A18)*(DATABASE.NO:(NO)="M3"),0)), y_mes, INDEX(DATABASE.Y:(Y),MATCH(1,(DATABASE.DATE:DATE=$A18)*(DATABASE.NO:(NO)="M3"),0)), dx_mes, x_mes-823216.6581, dy_mes, y_mes-1091503.0821, proj_long, (dx_mes*42.2619000000413 + dy_mes*-90.6307000000961)/99.9999598705965, 0 + proj_long ), "" )</f>
        <v/>
      </c>
      <c r="AW18" t="str">
        <f ca="1">IFERROR( _xludf.LET( x_mes, INDEX(DATABASE.X:(X),MATCH(1,(DATABASE.DATE:DATE=$A18)*(DATABASE.NO:(NO)="M3"),0)), y_mes, INDEX(DATABASE.Y:(Y),MATCH(1,(DATABASE.DATE:DATE=$A18)*(DATABASE.NO:(NO)="M3"),0)),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X18" t="str">
        <f>IFERROR( INDEX(DATABASE.Z:(Z),MATCH(1,(DATABASE.DATE:DATE=$A18)*(DATABASE.NO:(NO)="M3"),0)) - -123.621, "" )</f>
        <v/>
      </c>
      <c r="AY18" t="str">
        <f ca="1">IFERROR( _xludf.LET( x_mes, INDEX(DATABASE.X:(X),MATCH(1,(DATABASE.DATE:DATE=$A18)*(DATABASE.NO:(NO)="M4"),0)), y_mes, INDEX(DATABASE.Y:(Y),MATCH(1,(DATABASE.DATE:DATE=$A18)*(DATABASE.NO:(NO)="M4"),0)), dx_mes, x_mes-823216.6581, dy_mes, y_mes-1091503.0821, proj_long, (dx_mes*42.2619000000413 + dy_mes*-90.6307000000961)/99.9999598705965, 0 + proj_long ), "" )</f>
        <v/>
      </c>
      <c r="AZ18" t="str">
        <f ca="1">IFERROR( _xludf.LET( x_mes, INDEX(DATABASE.X:(X),MATCH(1,(DATABASE.DATE:DATE=$A18)*(DATABASE.NO:(NO)="M4"),0)), y_mes, INDEX(DATABASE.Y:(Y),MATCH(1,(DATABASE.DATE:DATE=$A18)*(DATABASE.NO:(NO)="M4"),0)),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BA18" t="str">
        <f>IFERROR( INDEX(DATABASE.Z:(Z),MATCH(1,(DATABASE.DATE:DATE=$A18)*(DATABASE.NO:(NO)="M4"),0)) - -123.621, "" )</f>
        <v/>
      </c>
      <c r="BB18" t="str">
        <f ca="1">IFERROR( _xludf.LET( x_mes, INDEX(DATABASE.X:(X),MATCH(1,(DATABASE.DATE:DATE=$A18)*(DATABASE.NO:(NO)="M5"),0)), y_mes, INDEX(DATABASE.Y:(Y),MATCH(1,(DATABASE.DATE:DATE=$A18)*(DATABASE.NO:(NO)="M5"),0)), dx_mes, x_mes-823216.6581, dy_mes, y_mes-1091503.0821, proj_long, (dx_mes*42.2619000000413 + dy_mes*-90.6307000000961)/99.9999598705965, 0 + proj_long ), "" )</f>
        <v/>
      </c>
      <c r="BC18" t="str">
        <f ca="1">IFERROR( _xludf.LET( x_mes, INDEX(DATABASE.X:(X),MATCH(1,(DATABASE.DATE:DATE=$A18)*(DATABASE.NO:(NO)="M5"),0)), y_mes, INDEX(DATABASE.Y:(Y),MATCH(1,(DATABASE.DATE:DATE=$A18)*(DATABASE.NO:(NO)="M5"),0)),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BD18" t="str">
        <f>IFERROR( INDEX(DATABASE.Z:(Z),MATCH(1,(DATABASE.DATE:DATE=$A18)*(DATABASE.NO:(NO)="M5"),0)) - -123.621, "" )</f>
        <v/>
      </c>
      <c r="BE18" t="str">
        <f ca="1">IFERROR( _xludf.LET( x_mes, INDEX(DATABASE.X:(X),MATCH(1,(DATABASE.DATE:DATE=$A18)*(DATABASE.NO:(NO)="REF1"),0)), y_mes, INDEX(DATABASE.Y:(Y),MATCH(1,(DATABASE.DATE:DATE=$A18)*(DATABASE.NO:(NO)="REF1"),0)), dx_mes, x_mes-823216.6581, dy_mes, y_mes-1091503.0821, proj_long, (dx_mes*42.2619000000413 + dy_mes*-90.6307000000961)/99.9999598705965, 0 + proj_long ), "" )</f>
        <v/>
      </c>
      <c r="BF18" t="str">
        <f ca="1">IFERROR( _xludf.LET( x_mes, INDEX(DATABASE.X:(X),MATCH(1,(DATABASE.DATE:DATE=$A18)*(DATABASE.NO:(NO)="REF1"),0)), y_mes, INDEX(DATABASE.Y:(Y),MATCH(1,(DATABASE.DATE:DATE=$A18)*(DATABASE.NO:(NO)="REF1"),0)),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BG18" t="str">
        <f>IFERROR( INDEX(DATABASE.Z:(Z),MATCH(1,(DATABASE.DATE:DATE=$A18)*(DATABASE.NO:(NO)="REF1"),0)) - -123.621, "" )</f>
        <v/>
      </c>
      <c r="BH18" t="str">
        <f ca="1">IFERROR( _xludf.LET( x_mes, INDEX(DATABASE.X:(X),MATCH(1,(DATABASE.DATE:DATE=$A18)*(DATABASE.NO:(NO)="REF2"),0)), y_mes, INDEX(DATABASE.Y:(Y),MATCH(1,(DATABASE.DATE:DATE=$A18)*(DATABASE.NO:(NO)="REF2"),0)), dx_mes, x_mes-823216.6581, dy_mes, y_mes-1091503.0821, proj_long, (dx_mes*42.2619000000413 + dy_mes*-90.6307000000961)/99.9999598705965, 0 + proj_long ), "" )</f>
        <v/>
      </c>
      <c r="BI18" t="str">
        <f ca="1">IFERROR( _xludf.LET( x_mes, INDEX(DATABASE.X:(X),MATCH(1,(DATABASE.DATE:DATE=$A18)*(DATABASE.NO:(NO)="REF2"),0)), y_mes, INDEX(DATABASE.Y:(Y),MATCH(1,(DATABASE.DATE:DATE=$A18)*(DATABASE.NO:(NO)="REF2"),0)),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BJ18" t="str">
        <f>IFERROR( INDEX(DATABASE.Z:(Z),MATCH(1,(DATABASE.DATE:DATE=$A18)*(DATABASE.NO:(NO)="REF2"),0)) - -123.621, "" )</f>
        <v/>
      </c>
    </row>
    <row r="19" spans="3:62" x14ac:dyDescent="0.25">
      <c r="C19" t="str">
        <f ca="1">IFERROR( _xludf.LET( x_mes, INDEX(DATABASE.X:(X),MATCH(1,(DATABASE.DATE:DATE=$A19)*(DATABASE.NO:(NO)="V1"),0)), y_mes, INDEX(DATABASE.Y:(Y),MATCH(1,(DATABASE.DATE:DATE=$A19)*(DATABASE.NO:(NO)="V1"),0)), dx_mes, x_mes-823216.6581, dy_mes, y_mes-1091503.0821, proj_long, (dx_mes*42.2619000000413 + dy_mes*-90.6307000000961)/99.9999598705965, 0 + proj_long ), "" )</f>
        <v/>
      </c>
      <c r="D19" t="str">
        <f ca="1">IFERROR( _xludf.LET( x_mes, INDEX(DATABASE.X:(X),MATCH(1,(DATABASE.DATE:DATE=$A19)*(DATABASE.NO:(NO)="V1"),0)), y_mes, INDEX(DATABASE.Y:(Y),MATCH(1,(DATABASE.DATE:DATE=$A19)*(DATABASE.NO:(NO)="V1"),0)),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E19" t="str">
        <f>IFERROR( INDEX(DATABASE.Z:(Z),MATCH(1,(DATABASE.DATE:DATE=$A19)*(DATABASE.NO:(NO)="V1"),0)) - -123.621, "" )</f>
        <v/>
      </c>
      <c r="F19" t="str">
        <f ca="1">IFERROR( _xludf.LET( x_mes, INDEX(DATABASE.X:(X),MATCH(1,(DATABASE.DATE:DATE=$A19)*(DATABASE.NO:(NO)="V2"),0)), y_mes, INDEX(DATABASE.Y:(Y),MATCH(1,(DATABASE.DATE:DATE=$A19)*(DATABASE.NO:(NO)="V2"),0)), dx_mes, x_mes-823216.6581, dy_mes, y_mes-1091503.0821, proj_long, (dx_mes*42.2619000000413 + dy_mes*-90.6307000000961)/99.9999598705965, 0 + proj_long ), "" )</f>
        <v/>
      </c>
      <c r="G19" t="str">
        <f ca="1">IFERROR( _xludf.LET( x_mes, INDEX(DATABASE.X:(X),MATCH(1,(DATABASE.DATE:DATE=$A19)*(DATABASE.NO:(NO)="V2"),0)), y_mes, INDEX(DATABASE.Y:(Y),MATCH(1,(DATABASE.DATE:DATE=$A19)*(DATABASE.NO:(NO)="V2"),0)),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H19" t="str">
        <f>IFERROR( INDEX(DATABASE.Z:(Z),MATCH(1,(DATABASE.DATE:DATE=$A19)*(DATABASE.NO:(NO)="V2"),0)) - -123.621, "" )</f>
        <v/>
      </c>
      <c r="I19" t="str">
        <f ca="1">IFERROR( _xludf.LET( x_mes, INDEX(DATABASE.X:(X),MATCH(1,(DATABASE.DATE:DATE=$A19)*(DATABASE.NO:(NO)="V3"),0)), y_mes, INDEX(DATABASE.Y:(Y),MATCH(1,(DATABASE.DATE:DATE=$A19)*(DATABASE.NO:(NO)="V3"),0)), dx_mes, x_mes-823216.6581, dy_mes, y_mes-1091503.0821, proj_long, (dx_mes*42.2619000000413 + dy_mes*-90.6307000000961)/99.9999598705965, 0 + proj_long ), "" )</f>
        <v/>
      </c>
      <c r="J19" t="str">
        <f ca="1">IFERROR( _xludf.LET( x_mes, INDEX(DATABASE.X:(X),MATCH(1,(DATABASE.DATE:DATE=$A19)*(DATABASE.NO:(NO)="V3"),0)), y_mes, INDEX(DATABASE.Y:(Y),MATCH(1,(DATABASE.DATE:DATE=$A19)*(DATABASE.NO:(NO)="V3"),0)),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K19" t="str">
        <f>IFERROR( INDEX(DATABASE.Z:(Z),MATCH(1,(DATABASE.DATE:DATE=$A19)*(DATABASE.NO:(NO)="V3"),0)) - -123.621, "" )</f>
        <v/>
      </c>
      <c r="L19" t="str">
        <f ca="1">IFERROR( _xludf.LET( x_mes, INDEX(DATABASE.X:(X),MATCH(1,(DATABASE.DATE:DATE=$A19)*(DATABASE.NO:(NO)="H1"),0)), y_mes, INDEX(DATABASE.Y:(Y),MATCH(1,(DATABASE.DATE:DATE=$A19)*(DATABASE.NO:(NO)="H1"),0)), dx_mes, x_mes-823216.6581, dy_mes, y_mes-1091503.0821, proj_long, (dx_mes*42.2619000000413 + dy_mes*-90.6307000000961)/99.9999598705965, 0 + proj_long ), "" )</f>
        <v/>
      </c>
      <c r="M19" t="str">
        <f ca="1">IFERROR( _xludf.LET( x_mes, INDEX(DATABASE.X:(X),MATCH(1,(DATABASE.DATE:DATE=$A19)*(DATABASE.NO:(NO)="H1"),0)), y_mes, INDEX(DATABASE.Y:(Y),MATCH(1,(DATABASE.DATE:DATE=$A19)*(DATABASE.NO:(NO)="H1"),0)),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N19" t="str">
        <f>IFERROR( INDEX(DATABASE.Z:(Z),MATCH(1,(DATABASE.DATE:DATE=$A19)*(DATABASE.NO:(NO)="H1"),0)) - -123.621, "" )</f>
        <v/>
      </c>
      <c r="O19" t="str">
        <f ca="1">IFERROR( _xludf.LET( x_mes, INDEX(DATABASE.X:(X),MATCH(1,(DATABASE.DATE:DATE=$A19)*(DATABASE.NO:(NO)="H2"),0)), y_mes, INDEX(DATABASE.Y:(Y),MATCH(1,(DATABASE.DATE:DATE=$A19)*(DATABASE.NO:(NO)="H2"),0)), dx_mes, x_mes-823216.6581, dy_mes, y_mes-1091503.0821, proj_long, (dx_mes*42.2619000000413 + dy_mes*-90.6307000000961)/99.9999598705965, 0 + proj_long ), "" )</f>
        <v/>
      </c>
      <c r="P19" t="str">
        <f ca="1">IFERROR( _xludf.LET( x_mes, INDEX(DATABASE.X:(X),MATCH(1,(DATABASE.DATE:DATE=$A19)*(DATABASE.NO:(NO)="H2"),0)), y_mes, INDEX(DATABASE.Y:(Y),MATCH(1,(DATABASE.DATE:DATE=$A19)*(DATABASE.NO:(NO)="H2"),0)),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Q19" t="str">
        <f>IFERROR( INDEX(DATABASE.Z:(Z),MATCH(1,(DATABASE.DATE:DATE=$A19)*(DATABASE.NO:(NO)="H2"),0)) - -123.621, "" )</f>
        <v/>
      </c>
      <c r="R19" t="str">
        <f ca="1">IFERROR( _xludf.LET( x_mes, INDEX(DATABASE.X:(X),MATCH(1,(DATABASE.DATE:DATE=$A19)*(DATABASE.NO:(NO)="H3"),0)), y_mes, INDEX(DATABASE.Y:(Y),MATCH(1,(DATABASE.DATE:DATE=$A19)*(DATABASE.NO:(NO)="H3"),0)), dx_mes, x_mes-823216.6581, dy_mes, y_mes-1091503.0821, proj_long, (dx_mes*42.2619000000413 + dy_mes*-90.6307000000961)/99.9999598705965, 0 + proj_long ), "" )</f>
        <v/>
      </c>
      <c r="S19" t="str">
        <f ca="1">IFERROR( _xludf.LET( x_mes, INDEX(DATABASE.X:(X),MATCH(1,(DATABASE.DATE:DATE=$A19)*(DATABASE.NO:(NO)="H3"),0)), y_mes, INDEX(DATABASE.Y:(Y),MATCH(1,(DATABASE.DATE:DATE=$A19)*(DATABASE.NO:(NO)="H3"),0)),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T19" t="str">
        <f>IFERROR( INDEX(DATABASE.Z:(Z),MATCH(1,(DATABASE.DATE:DATE=$A19)*(DATABASE.NO:(NO)="H3"),0)) - -123.621, "" )</f>
        <v/>
      </c>
      <c r="U19" t="str">
        <f ca="1">IFERROR( _xludf.LET( x_mes, INDEX(DATABASE.X:(X),MATCH(1,(DATABASE.DATE:DATE=$A19)*(DATABASE.NO:(NO)="H4"),0)), y_mes, INDEX(DATABASE.Y:(Y),MATCH(1,(DATABASE.DATE:DATE=$A19)*(DATABASE.NO:(NO)="H4"),0)), dx_mes, x_mes-823216.6581, dy_mes, y_mes-1091503.0821, proj_long, (dx_mes*42.2619000000413 + dy_mes*-90.6307000000961)/99.9999598705965, 0 + proj_long ), "" )</f>
        <v/>
      </c>
      <c r="V19" t="str">
        <f ca="1">IFERROR( _xludf.LET( x_mes, INDEX(DATABASE.X:(X),MATCH(1,(DATABASE.DATE:DATE=$A19)*(DATABASE.NO:(NO)="H4"),0)), y_mes, INDEX(DATABASE.Y:(Y),MATCH(1,(DATABASE.DATE:DATE=$A19)*(DATABASE.NO:(NO)="H4"),0)),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W19" t="str">
        <f>IFERROR( INDEX(DATABASE.Z:(Z),MATCH(1,(DATABASE.DATE:DATE=$A19)*(DATABASE.NO:(NO)="H4"),0)) - -123.621, "" )</f>
        <v/>
      </c>
      <c r="X19" t="str">
        <f ca="1">IFERROR( _xludf.LET( x_mes, INDEX(DATABASE.X:(X),MATCH(1,(DATABASE.DATE:DATE=$A19)*(DATABASE.NO:(NO)="H5"),0)), y_mes, INDEX(DATABASE.Y:(Y),MATCH(1,(DATABASE.DATE:DATE=$A19)*(DATABASE.NO:(NO)="H5"),0)), dx_mes, x_mes-823216.6581, dy_mes, y_mes-1091503.0821, proj_long, (dx_mes*42.2619000000413 + dy_mes*-90.6307000000961)/99.9999598705965, 0 + proj_long ), "" )</f>
        <v/>
      </c>
      <c r="Y19" t="str">
        <f ca="1">IFERROR( _xludf.LET( x_mes, INDEX(DATABASE.X:(X),MATCH(1,(DATABASE.DATE:DATE=$A19)*(DATABASE.NO:(NO)="H5"),0)), y_mes, INDEX(DATABASE.Y:(Y),MATCH(1,(DATABASE.DATE:DATE=$A19)*(DATABASE.NO:(NO)="H5"),0)),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Z19" t="str">
        <f>IFERROR( INDEX(DATABASE.Z:(Z),MATCH(1,(DATABASE.DATE:DATE=$A19)*(DATABASE.NO:(NO)="H5"),0)) - -123.621, "" )</f>
        <v/>
      </c>
      <c r="AA19" t="str">
        <f ca="1">IFERROR( _xludf.LET( x_mes, INDEX(DATABASE.X:(X),MATCH(1,(DATABASE.DATE:DATE=$A19)*(DATABASE.NO:(NO)="B1"),0)), y_mes, INDEX(DATABASE.Y:(Y),MATCH(1,(DATABASE.DATE:DATE=$A19)*(DATABASE.NO:(NO)="B1"),0)), dx_mes, x_mes-823216.6581, dy_mes, y_mes-1091503.0821, proj_long, (dx_mes*42.2619000000413 + dy_mes*-90.6307000000961)/99.9999598705965, 0 + proj_long ), "" )</f>
        <v/>
      </c>
      <c r="AB19" t="str">
        <f ca="1">IFERROR( _xludf.LET( x_mes, INDEX(DATABASE.X:(X),MATCH(1,(DATABASE.DATE:DATE=$A19)*(DATABASE.NO:(NO)="B1"),0)), y_mes, INDEX(DATABASE.Y:(Y),MATCH(1,(DATABASE.DATE:DATE=$A19)*(DATABASE.NO:(NO)="B1"),0)),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C19" t="str">
        <f>IFERROR( INDEX(DATABASE.Z:(Z),MATCH(1,(DATABASE.DATE:DATE=$A19)*(DATABASE.NO:(NO)="B1"),0)) - -123.621, "" )</f>
        <v/>
      </c>
      <c r="AD19" t="str">
        <f ca="1">IFERROR( _xludf.LET( x_mes, INDEX(DATABASE.X:(X),MATCH(1,(DATABASE.DATE:DATE=$A19)*(DATABASE.NO:(NO)="B2"),0)), y_mes, INDEX(DATABASE.Y:(Y),MATCH(1,(DATABASE.DATE:DATE=$A19)*(DATABASE.NO:(NO)="B2"),0)), dx_mes, x_mes-823216.6581, dy_mes, y_mes-1091503.0821, proj_long, (dx_mes*42.2619000000413 + dy_mes*-90.6307000000961)/99.9999598705965, 0 + proj_long ), "" )</f>
        <v/>
      </c>
      <c r="AE19" t="str">
        <f ca="1">IFERROR( _xludf.LET( x_mes, INDEX(DATABASE.X:(X),MATCH(1,(DATABASE.DATE:DATE=$A19)*(DATABASE.NO:(NO)="B2"),0)), y_mes, INDEX(DATABASE.Y:(Y),MATCH(1,(DATABASE.DATE:DATE=$A19)*(DATABASE.NO:(NO)="B2"),0)),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F19" t="str">
        <f>IFERROR( INDEX(DATABASE.Z:(Z),MATCH(1,(DATABASE.DATE:DATE=$A19)*(DATABASE.NO:(NO)="B2"),0)) - -123.621, "" )</f>
        <v/>
      </c>
      <c r="AG19" t="str">
        <f ca="1">IFERROR( _xludf.LET( x_mes, INDEX(DATABASE.X:(X),MATCH(1,(DATABASE.DATE:DATE=$A19)*(DATABASE.NO:(NO)="B3"),0)), y_mes, INDEX(DATABASE.Y:(Y),MATCH(1,(DATABASE.DATE:DATE=$A19)*(DATABASE.NO:(NO)="B3"),0)), dx_mes, x_mes-823216.6581, dy_mes, y_mes-1091503.0821, proj_long, (dx_mes*42.2619000000413 + dy_mes*-90.6307000000961)/99.9999598705965, 0 + proj_long ), "" )</f>
        <v/>
      </c>
      <c r="AH19" t="str">
        <f ca="1">IFERROR( _xludf.LET( x_mes, INDEX(DATABASE.X:(X),MATCH(1,(DATABASE.DATE:DATE=$A19)*(DATABASE.NO:(NO)="B3"),0)), y_mes, INDEX(DATABASE.Y:(Y),MATCH(1,(DATABASE.DATE:DATE=$A19)*(DATABASE.NO:(NO)="B3"),0)),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I19" t="str">
        <f>IFERROR( INDEX(DATABASE.Z:(Z),MATCH(1,(DATABASE.DATE:DATE=$A19)*(DATABASE.NO:(NO)="B3"),0)) - -123.621, "" )</f>
        <v/>
      </c>
      <c r="AJ19" t="str">
        <f ca="1">IFERROR( _xludf.LET( x_mes, INDEX(DATABASE.X:(X),MATCH(1,(DATABASE.DATE:DATE=$A19)*(DATABASE.NO:(NO)="B4"),0)), y_mes, INDEX(DATABASE.Y:(Y),MATCH(1,(DATABASE.DATE:DATE=$A19)*(DATABASE.NO:(NO)="B4"),0)), dx_mes, x_mes-823216.6581, dy_mes, y_mes-1091503.0821, proj_long, (dx_mes*42.2619000000413 + dy_mes*-90.6307000000961)/99.9999598705965, 0 + proj_long ), "" )</f>
        <v/>
      </c>
      <c r="AK19" t="str">
        <f ca="1">IFERROR( _xludf.LET( x_mes, INDEX(DATABASE.X:(X),MATCH(1,(DATABASE.DATE:DATE=$A19)*(DATABASE.NO:(NO)="B4"),0)), y_mes, INDEX(DATABASE.Y:(Y),MATCH(1,(DATABASE.DATE:DATE=$A19)*(DATABASE.NO:(NO)="B4"),0)),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L19" t="str">
        <f>IFERROR( INDEX(DATABASE.Z:(Z),MATCH(1,(DATABASE.DATE:DATE=$A19)*(DATABASE.NO:(NO)="B4"),0)) - -123.621, "" )</f>
        <v/>
      </c>
      <c r="AM19" t="str">
        <f ca="1">IFERROR( _xludf.LET( x_mes, INDEX(DATABASE.X:(X),MATCH(1,(DATABASE.DATE:DATE=$A19)*(DATABASE.NO:(NO)="B5"),0)), y_mes, INDEX(DATABASE.Y:(Y),MATCH(1,(DATABASE.DATE:DATE=$A19)*(DATABASE.NO:(NO)="B5"),0)), dx_mes, x_mes-823216.6581, dy_mes, y_mes-1091503.0821, proj_long, (dx_mes*42.2619000000413 + dy_mes*-90.6307000000961)/99.9999598705965, 0 + proj_long ), "" )</f>
        <v/>
      </c>
      <c r="AN19" t="str">
        <f ca="1">IFERROR( _xludf.LET( x_mes, INDEX(DATABASE.X:(X),MATCH(1,(DATABASE.DATE:DATE=$A19)*(DATABASE.NO:(NO)="B5"),0)), y_mes, INDEX(DATABASE.Y:(Y),MATCH(1,(DATABASE.DATE:DATE=$A19)*(DATABASE.NO:(NO)="B5"),0)),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O19" t="str">
        <f>IFERROR( INDEX(DATABASE.Z:(Z),MATCH(1,(DATABASE.DATE:DATE=$A19)*(DATABASE.NO:(NO)="B5"),0)) - -123.621, "" )</f>
        <v/>
      </c>
      <c r="AP19" t="str">
        <f ca="1">IFERROR( _xludf.LET( x_mes, INDEX(DATABASE.X:(X),MATCH(1,(DATABASE.DATE:DATE=$A19)*(DATABASE.NO:(NO)="M1"),0)), y_mes, INDEX(DATABASE.Y:(Y),MATCH(1,(DATABASE.DATE:DATE=$A19)*(DATABASE.NO:(NO)="M1"),0)), dx_mes, x_mes-823216.6581, dy_mes, y_mes-1091503.0821, proj_long, (dx_mes*42.2619000000413 + dy_mes*-90.6307000000961)/99.9999598705965, 0 + proj_long ), "" )</f>
        <v/>
      </c>
      <c r="AQ19" t="str">
        <f ca="1">IFERROR( _xludf.LET( x_mes, INDEX(DATABASE.X:(X),MATCH(1,(DATABASE.DATE:DATE=$A19)*(DATABASE.NO:(NO)="M1"),0)), y_mes, INDEX(DATABASE.Y:(Y),MATCH(1,(DATABASE.DATE:DATE=$A19)*(DATABASE.NO:(NO)="M1"),0)),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R19" t="str">
        <f>IFERROR( INDEX(DATABASE.Z:(Z),MATCH(1,(DATABASE.DATE:DATE=$A19)*(DATABASE.NO:(NO)="M1"),0)) - -123.621, "" )</f>
        <v/>
      </c>
      <c r="AS19" t="str">
        <f ca="1">IFERROR( _xludf.LET( x_mes, INDEX(DATABASE.X:(X),MATCH(1,(DATABASE.DATE:DATE=$A19)*(DATABASE.NO:(NO)="M2"),0)), y_mes, INDEX(DATABASE.Y:(Y),MATCH(1,(DATABASE.DATE:DATE=$A19)*(DATABASE.NO:(NO)="M2"),0)), dx_mes, x_mes-823216.6581, dy_mes, y_mes-1091503.0821, proj_long, (dx_mes*42.2619000000413 + dy_mes*-90.6307000000961)/99.9999598705965, 0 + proj_long ), "" )</f>
        <v/>
      </c>
      <c r="AT19" t="str">
        <f ca="1">IFERROR( _xludf.LET( x_mes, INDEX(DATABASE.X:(X),MATCH(1,(DATABASE.DATE:DATE=$A19)*(DATABASE.NO:(NO)="M2"),0)), y_mes, INDEX(DATABASE.Y:(Y),MATCH(1,(DATABASE.DATE:DATE=$A19)*(DATABASE.NO:(NO)="M2"),0)),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U19" t="str">
        <f>IFERROR( INDEX(DATABASE.Z:(Z),MATCH(1,(DATABASE.DATE:DATE=$A19)*(DATABASE.NO:(NO)="M2"),0)) - -123.621, "" )</f>
        <v/>
      </c>
      <c r="AV19" t="str">
        <f ca="1">IFERROR( _xludf.LET( x_mes, INDEX(DATABASE.X:(X),MATCH(1,(DATABASE.DATE:DATE=$A19)*(DATABASE.NO:(NO)="M3"),0)), y_mes, INDEX(DATABASE.Y:(Y),MATCH(1,(DATABASE.DATE:DATE=$A19)*(DATABASE.NO:(NO)="M3"),0)), dx_mes, x_mes-823216.6581, dy_mes, y_mes-1091503.0821, proj_long, (dx_mes*42.2619000000413 + dy_mes*-90.6307000000961)/99.9999598705965, 0 + proj_long ), "" )</f>
        <v/>
      </c>
      <c r="AW19" t="str">
        <f ca="1">IFERROR( _xludf.LET( x_mes, INDEX(DATABASE.X:(X),MATCH(1,(DATABASE.DATE:DATE=$A19)*(DATABASE.NO:(NO)="M3"),0)), y_mes, INDEX(DATABASE.Y:(Y),MATCH(1,(DATABASE.DATE:DATE=$A19)*(DATABASE.NO:(NO)="M3"),0)),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X19" t="str">
        <f>IFERROR( INDEX(DATABASE.Z:(Z),MATCH(1,(DATABASE.DATE:DATE=$A19)*(DATABASE.NO:(NO)="M3"),0)) - -123.621, "" )</f>
        <v/>
      </c>
      <c r="AY19" t="str">
        <f ca="1">IFERROR( _xludf.LET( x_mes, INDEX(DATABASE.X:(X),MATCH(1,(DATABASE.DATE:DATE=$A19)*(DATABASE.NO:(NO)="M4"),0)), y_mes, INDEX(DATABASE.Y:(Y),MATCH(1,(DATABASE.DATE:DATE=$A19)*(DATABASE.NO:(NO)="M4"),0)), dx_mes, x_mes-823216.6581, dy_mes, y_mes-1091503.0821, proj_long, (dx_mes*42.2619000000413 + dy_mes*-90.6307000000961)/99.9999598705965, 0 + proj_long ), "" )</f>
        <v/>
      </c>
      <c r="AZ19" t="str">
        <f ca="1">IFERROR( _xludf.LET( x_mes, INDEX(DATABASE.X:(X),MATCH(1,(DATABASE.DATE:DATE=$A19)*(DATABASE.NO:(NO)="M4"),0)), y_mes, INDEX(DATABASE.Y:(Y),MATCH(1,(DATABASE.DATE:DATE=$A19)*(DATABASE.NO:(NO)="M4"),0)),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BA19" t="str">
        <f>IFERROR( INDEX(DATABASE.Z:(Z),MATCH(1,(DATABASE.DATE:DATE=$A19)*(DATABASE.NO:(NO)="M4"),0)) - -123.621, "" )</f>
        <v/>
      </c>
      <c r="BB19" t="str">
        <f ca="1">IFERROR( _xludf.LET( x_mes, INDEX(DATABASE.X:(X),MATCH(1,(DATABASE.DATE:DATE=$A19)*(DATABASE.NO:(NO)="M5"),0)), y_mes, INDEX(DATABASE.Y:(Y),MATCH(1,(DATABASE.DATE:DATE=$A19)*(DATABASE.NO:(NO)="M5"),0)), dx_mes, x_mes-823216.6581, dy_mes, y_mes-1091503.0821, proj_long, (dx_mes*42.2619000000413 + dy_mes*-90.6307000000961)/99.9999598705965, 0 + proj_long ), "" )</f>
        <v/>
      </c>
      <c r="BC19" t="str">
        <f ca="1">IFERROR( _xludf.LET( x_mes, INDEX(DATABASE.X:(X),MATCH(1,(DATABASE.DATE:DATE=$A19)*(DATABASE.NO:(NO)="M5"),0)), y_mes, INDEX(DATABASE.Y:(Y),MATCH(1,(DATABASE.DATE:DATE=$A19)*(DATABASE.NO:(NO)="M5"),0)),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BD19" t="str">
        <f>IFERROR( INDEX(DATABASE.Z:(Z),MATCH(1,(DATABASE.DATE:DATE=$A19)*(DATABASE.NO:(NO)="M5"),0)) - -123.621, "" )</f>
        <v/>
      </c>
      <c r="BE19" t="str">
        <f ca="1">IFERROR( _xludf.LET( x_mes, INDEX(DATABASE.X:(X),MATCH(1,(DATABASE.DATE:DATE=$A19)*(DATABASE.NO:(NO)="REF1"),0)), y_mes, INDEX(DATABASE.Y:(Y),MATCH(1,(DATABASE.DATE:DATE=$A19)*(DATABASE.NO:(NO)="REF1"),0)), dx_mes, x_mes-823216.6581, dy_mes, y_mes-1091503.0821, proj_long, (dx_mes*42.2619000000413 + dy_mes*-90.6307000000961)/99.9999598705965, 0 + proj_long ), "" )</f>
        <v/>
      </c>
      <c r="BF19" t="str">
        <f ca="1">IFERROR( _xludf.LET( x_mes, INDEX(DATABASE.X:(X),MATCH(1,(DATABASE.DATE:DATE=$A19)*(DATABASE.NO:(NO)="REF1"),0)), y_mes, INDEX(DATABASE.Y:(Y),MATCH(1,(DATABASE.DATE:DATE=$A19)*(DATABASE.NO:(NO)="REF1"),0)),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BG19" t="str">
        <f>IFERROR( INDEX(DATABASE.Z:(Z),MATCH(1,(DATABASE.DATE:DATE=$A19)*(DATABASE.NO:(NO)="REF1"),0)) - -123.621, "" )</f>
        <v/>
      </c>
      <c r="BH19" t="str">
        <f ca="1">IFERROR( _xludf.LET( x_mes, INDEX(DATABASE.X:(X),MATCH(1,(DATABASE.DATE:DATE=$A19)*(DATABASE.NO:(NO)="REF2"),0)), y_mes, INDEX(DATABASE.Y:(Y),MATCH(1,(DATABASE.DATE:DATE=$A19)*(DATABASE.NO:(NO)="REF2"),0)), dx_mes, x_mes-823216.6581, dy_mes, y_mes-1091503.0821, proj_long, (dx_mes*42.2619000000413 + dy_mes*-90.6307000000961)/99.9999598705965, 0 + proj_long ), "" )</f>
        <v/>
      </c>
      <c r="BI19" t="str">
        <f ca="1">IFERROR( _xludf.LET( x_mes, INDEX(DATABASE.X:(X),MATCH(1,(DATABASE.DATE:DATE=$A19)*(DATABASE.NO:(NO)="REF2"),0)), y_mes, INDEX(DATABASE.Y:(Y),MATCH(1,(DATABASE.DATE:DATE=$A19)*(DATABASE.NO:(NO)="REF2"),0)),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BJ19" t="str">
        <f>IFERROR( INDEX(DATABASE.Z:(Z),MATCH(1,(DATABASE.DATE:DATE=$A19)*(DATABASE.NO:(NO)="REF2"),0)) - -123.621, "" )</f>
        <v/>
      </c>
    </row>
    <row r="20" spans="3:62" x14ac:dyDescent="0.25">
      <c r="C20" t="str">
        <f ca="1">IFERROR( _xludf.LET( x_mes, INDEX(DATABASE.X:(X),MATCH(1,(DATABASE.DATE:DATE=$A20)*(DATABASE.NO:(NO)="V1"),0)), y_mes, INDEX(DATABASE.Y:(Y),MATCH(1,(DATABASE.DATE:DATE=$A20)*(DATABASE.NO:(NO)="V1"),0)), dx_mes, x_mes-823216.6581, dy_mes, y_mes-1091503.0821, proj_long, (dx_mes*42.2619000000413 + dy_mes*-90.6307000000961)/99.9999598705965, 0 + proj_long ), "" )</f>
        <v/>
      </c>
      <c r="D20" t="str">
        <f ca="1">IFERROR( _xludf.LET( x_mes, INDEX(DATABASE.X:(X),MATCH(1,(DATABASE.DATE:DATE=$A20)*(DATABASE.NO:(NO)="V1"),0)), y_mes, INDEX(DATABASE.Y:(Y),MATCH(1,(DATABASE.DATE:DATE=$A20)*(DATABASE.NO:(NO)="V1"),0)),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E20" t="str">
        <f>IFERROR( INDEX(DATABASE.Z:(Z),MATCH(1,(DATABASE.DATE:DATE=$A20)*(DATABASE.NO:(NO)="V1"),0)) - -123.621, "" )</f>
        <v/>
      </c>
      <c r="F20" t="str">
        <f ca="1">IFERROR( _xludf.LET( x_mes, INDEX(DATABASE.X:(X),MATCH(1,(DATABASE.DATE:DATE=$A20)*(DATABASE.NO:(NO)="V2"),0)), y_mes, INDEX(DATABASE.Y:(Y),MATCH(1,(DATABASE.DATE:DATE=$A20)*(DATABASE.NO:(NO)="V2"),0)), dx_mes, x_mes-823216.6581, dy_mes, y_mes-1091503.0821, proj_long, (dx_mes*42.2619000000413 + dy_mes*-90.6307000000961)/99.9999598705965, 0 + proj_long ), "" )</f>
        <v/>
      </c>
      <c r="G20" t="str">
        <f ca="1">IFERROR( _xludf.LET( x_mes, INDEX(DATABASE.X:(X),MATCH(1,(DATABASE.DATE:DATE=$A20)*(DATABASE.NO:(NO)="V2"),0)), y_mes, INDEX(DATABASE.Y:(Y),MATCH(1,(DATABASE.DATE:DATE=$A20)*(DATABASE.NO:(NO)="V2"),0)),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H20" t="str">
        <f>IFERROR( INDEX(DATABASE.Z:(Z),MATCH(1,(DATABASE.DATE:DATE=$A20)*(DATABASE.NO:(NO)="V2"),0)) - -123.621, "" )</f>
        <v/>
      </c>
      <c r="I20" t="str">
        <f ca="1">IFERROR( _xludf.LET( x_mes, INDEX(DATABASE.X:(X),MATCH(1,(DATABASE.DATE:DATE=$A20)*(DATABASE.NO:(NO)="V3"),0)), y_mes, INDEX(DATABASE.Y:(Y),MATCH(1,(DATABASE.DATE:DATE=$A20)*(DATABASE.NO:(NO)="V3"),0)), dx_mes, x_mes-823216.6581, dy_mes, y_mes-1091503.0821, proj_long, (dx_mes*42.2619000000413 + dy_mes*-90.6307000000961)/99.9999598705965, 0 + proj_long ), "" )</f>
        <v/>
      </c>
      <c r="J20" t="str">
        <f ca="1">IFERROR( _xludf.LET( x_mes, INDEX(DATABASE.X:(X),MATCH(1,(DATABASE.DATE:DATE=$A20)*(DATABASE.NO:(NO)="V3"),0)), y_mes, INDEX(DATABASE.Y:(Y),MATCH(1,(DATABASE.DATE:DATE=$A20)*(DATABASE.NO:(NO)="V3"),0)),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K20" t="str">
        <f>IFERROR( INDEX(DATABASE.Z:(Z),MATCH(1,(DATABASE.DATE:DATE=$A20)*(DATABASE.NO:(NO)="V3"),0)) - -123.621, "" )</f>
        <v/>
      </c>
      <c r="L20" t="str">
        <f ca="1">IFERROR( _xludf.LET( x_mes, INDEX(DATABASE.X:(X),MATCH(1,(DATABASE.DATE:DATE=$A20)*(DATABASE.NO:(NO)="H1"),0)), y_mes, INDEX(DATABASE.Y:(Y),MATCH(1,(DATABASE.DATE:DATE=$A20)*(DATABASE.NO:(NO)="H1"),0)), dx_mes, x_mes-823216.6581, dy_mes, y_mes-1091503.0821, proj_long, (dx_mes*42.2619000000413 + dy_mes*-90.6307000000961)/99.9999598705965, 0 + proj_long ), "" )</f>
        <v/>
      </c>
      <c r="M20" t="str">
        <f ca="1">IFERROR( _xludf.LET( x_mes, INDEX(DATABASE.X:(X),MATCH(1,(DATABASE.DATE:DATE=$A20)*(DATABASE.NO:(NO)="H1"),0)), y_mes, INDEX(DATABASE.Y:(Y),MATCH(1,(DATABASE.DATE:DATE=$A20)*(DATABASE.NO:(NO)="H1"),0)),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N20" t="str">
        <f>IFERROR( INDEX(DATABASE.Z:(Z),MATCH(1,(DATABASE.DATE:DATE=$A20)*(DATABASE.NO:(NO)="H1"),0)) - -123.621, "" )</f>
        <v/>
      </c>
      <c r="O20" t="str">
        <f ca="1">IFERROR( _xludf.LET( x_mes, INDEX(DATABASE.X:(X),MATCH(1,(DATABASE.DATE:DATE=$A20)*(DATABASE.NO:(NO)="H2"),0)), y_mes, INDEX(DATABASE.Y:(Y),MATCH(1,(DATABASE.DATE:DATE=$A20)*(DATABASE.NO:(NO)="H2"),0)), dx_mes, x_mes-823216.6581, dy_mes, y_mes-1091503.0821, proj_long, (dx_mes*42.2619000000413 + dy_mes*-90.6307000000961)/99.9999598705965, 0 + proj_long ), "" )</f>
        <v/>
      </c>
      <c r="P20" t="str">
        <f ca="1">IFERROR( _xludf.LET( x_mes, INDEX(DATABASE.X:(X),MATCH(1,(DATABASE.DATE:DATE=$A20)*(DATABASE.NO:(NO)="H2"),0)), y_mes, INDEX(DATABASE.Y:(Y),MATCH(1,(DATABASE.DATE:DATE=$A20)*(DATABASE.NO:(NO)="H2"),0)),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Q20" t="str">
        <f>IFERROR( INDEX(DATABASE.Z:(Z),MATCH(1,(DATABASE.DATE:DATE=$A20)*(DATABASE.NO:(NO)="H2"),0)) - -123.621, "" )</f>
        <v/>
      </c>
      <c r="R20" t="str">
        <f ca="1">IFERROR( _xludf.LET( x_mes, INDEX(DATABASE.X:(X),MATCH(1,(DATABASE.DATE:DATE=$A20)*(DATABASE.NO:(NO)="H3"),0)), y_mes, INDEX(DATABASE.Y:(Y),MATCH(1,(DATABASE.DATE:DATE=$A20)*(DATABASE.NO:(NO)="H3"),0)), dx_mes, x_mes-823216.6581, dy_mes, y_mes-1091503.0821, proj_long, (dx_mes*42.2619000000413 + dy_mes*-90.6307000000961)/99.9999598705965, 0 + proj_long ), "" )</f>
        <v/>
      </c>
      <c r="S20" t="str">
        <f ca="1">IFERROR( _xludf.LET( x_mes, INDEX(DATABASE.X:(X),MATCH(1,(DATABASE.DATE:DATE=$A20)*(DATABASE.NO:(NO)="H3"),0)), y_mes, INDEX(DATABASE.Y:(Y),MATCH(1,(DATABASE.DATE:DATE=$A20)*(DATABASE.NO:(NO)="H3"),0)),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T20" t="str">
        <f>IFERROR( INDEX(DATABASE.Z:(Z),MATCH(1,(DATABASE.DATE:DATE=$A20)*(DATABASE.NO:(NO)="H3"),0)) - -123.621, "" )</f>
        <v/>
      </c>
      <c r="U20" t="str">
        <f ca="1">IFERROR( _xludf.LET( x_mes, INDEX(DATABASE.X:(X),MATCH(1,(DATABASE.DATE:DATE=$A20)*(DATABASE.NO:(NO)="H4"),0)), y_mes, INDEX(DATABASE.Y:(Y),MATCH(1,(DATABASE.DATE:DATE=$A20)*(DATABASE.NO:(NO)="H4"),0)), dx_mes, x_mes-823216.6581, dy_mes, y_mes-1091503.0821, proj_long, (dx_mes*42.2619000000413 + dy_mes*-90.6307000000961)/99.9999598705965, 0 + proj_long ), "" )</f>
        <v/>
      </c>
      <c r="V20" t="str">
        <f ca="1">IFERROR( _xludf.LET( x_mes, INDEX(DATABASE.X:(X),MATCH(1,(DATABASE.DATE:DATE=$A20)*(DATABASE.NO:(NO)="H4"),0)), y_mes, INDEX(DATABASE.Y:(Y),MATCH(1,(DATABASE.DATE:DATE=$A20)*(DATABASE.NO:(NO)="H4"),0)),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W20" t="str">
        <f>IFERROR( INDEX(DATABASE.Z:(Z),MATCH(1,(DATABASE.DATE:DATE=$A20)*(DATABASE.NO:(NO)="H4"),0)) - -123.621, "" )</f>
        <v/>
      </c>
      <c r="X20" t="str">
        <f ca="1">IFERROR( _xludf.LET( x_mes, INDEX(DATABASE.X:(X),MATCH(1,(DATABASE.DATE:DATE=$A20)*(DATABASE.NO:(NO)="H5"),0)), y_mes, INDEX(DATABASE.Y:(Y),MATCH(1,(DATABASE.DATE:DATE=$A20)*(DATABASE.NO:(NO)="H5"),0)), dx_mes, x_mes-823216.6581, dy_mes, y_mes-1091503.0821, proj_long, (dx_mes*42.2619000000413 + dy_mes*-90.6307000000961)/99.9999598705965, 0 + proj_long ), "" )</f>
        <v/>
      </c>
      <c r="Y20" t="str">
        <f ca="1">IFERROR( _xludf.LET( x_mes, INDEX(DATABASE.X:(X),MATCH(1,(DATABASE.DATE:DATE=$A20)*(DATABASE.NO:(NO)="H5"),0)), y_mes, INDEX(DATABASE.Y:(Y),MATCH(1,(DATABASE.DATE:DATE=$A20)*(DATABASE.NO:(NO)="H5"),0)),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Z20" t="str">
        <f>IFERROR( INDEX(DATABASE.Z:(Z),MATCH(1,(DATABASE.DATE:DATE=$A20)*(DATABASE.NO:(NO)="H5"),0)) - -123.621, "" )</f>
        <v/>
      </c>
      <c r="AA20" t="str">
        <f ca="1">IFERROR( _xludf.LET( x_mes, INDEX(DATABASE.X:(X),MATCH(1,(DATABASE.DATE:DATE=$A20)*(DATABASE.NO:(NO)="B1"),0)), y_mes, INDEX(DATABASE.Y:(Y),MATCH(1,(DATABASE.DATE:DATE=$A20)*(DATABASE.NO:(NO)="B1"),0)), dx_mes, x_mes-823216.6581, dy_mes, y_mes-1091503.0821, proj_long, (dx_mes*42.2619000000413 + dy_mes*-90.6307000000961)/99.9999598705965, 0 + proj_long ), "" )</f>
        <v/>
      </c>
      <c r="AB20" t="str">
        <f ca="1">IFERROR( _xludf.LET( x_mes, INDEX(DATABASE.X:(X),MATCH(1,(DATABASE.DATE:DATE=$A20)*(DATABASE.NO:(NO)="B1"),0)), y_mes, INDEX(DATABASE.Y:(Y),MATCH(1,(DATABASE.DATE:DATE=$A20)*(DATABASE.NO:(NO)="B1"),0)),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C20" t="str">
        <f>IFERROR( INDEX(DATABASE.Z:(Z),MATCH(1,(DATABASE.DATE:DATE=$A20)*(DATABASE.NO:(NO)="B1"),0)) - -123.621, "" )</f>
        <v/>
      </c>
      <c r="AD20" t="str">
        <f ca="1">IFERROR( _xludf.LET( x_mes, INDEX(DATABASE.X:(X),MATCH(1,(DATABASE.DATE:DATE=$A20)*(DATABASE.NO:(NO)="B2"),0)), y_mes, INDEX(DATABASE.Y:(Y),MATCH(1,(DATABASE.DATE:DATE=$A20)*(DATABASE.NO:(NO)="B2"),0)), dx_mes, x_mes-823216.6581, dy_mes, y_mes-1091503.0821, proj_long, (dx_mes*42.2619000000413 + dy_mes*-90.6307000000961)/99.9999598705965, 0 + proj_long ), "" )</f>
        <v/>
      </c>
      <c r="AE20" t="str">
        <f ca="1">IFERROR( _xludf.LET( x_mes, INDEX(DATABASE.X:(X),MATCH(1,(DATABASE.DATE:DATE=$A20)*(DATABASE.NO:(NO)="B2"),0)), y_mes, INDEX(DATABASE.Y:(Y),MATCH(1,(DATABASE.DATE:DATE=$A20)*(DATABASE.NO:(NO)="B2"),0)),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F20" t="str">
        <f>IFERROR( INDEX(DATABASE.Z:(Z),MATCH(1,(DATABASE.DATE:DATE=$A20)*(DATABASE.NO:(NO)="B2"),0)) - -123.621, "" )</f>
        <v/>
      </c>
      <c r="AG20" t="str">
        <f ca="1">IFERROR( _xludf.LET( x_mes, INDEX(DATABASE.X:(X),MATCH(1,(DATABASE.DATE:DATE=$A20)*(DATABASE.NO:(NO)="B3"),0)), y_mes, INDEX(DATABASE.Y:(Y),MATCH(1,(DATABASE.DATE:DATE=$A20)*(DATABASE.NO:(NO)="B3"),0)), dx_mes, x_mes-823216.6581, dy_mes, y_mes-1091503.0821, proj_long, (dx_mes*42.2619000000413 + dy_mes*-90.6307000000961)/99.9999598705965, 0 + proj_long ), "" )</f>
        <v/>
      </c>
      <c r="AH20" t="str">
        <f ca="1">IFERROR( _xludf.LET( x_mes, INDEX(DATABASE.X:(X),MATCH(1,(DATABASE.DATE:DATE=$A20)*(DATABASE.NO:(NO)="B3"),0)), y_mes, INDEX(DATABASE.Y:(Y),MATCH(1,(DATABASE.DATE:DATE=$A20)*(DATABASE.NO:(NO)="B3"),0)),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I20" t="str">
        <f>IFERROR( INDEX(DATABASE.Z:(Z),MATCH(1,(DATABASE.DATE:DATE=$A20)*(DATABASE.NO:(NO)="B3"),0)) - -123.621, "" )</f>
        <v/>
      </c>
      <c r="AJ20" t="str">
        <f ca="1">IFERROR( _xludf.LET( x_mes, INDEX(DATABASE.X:(X),MATCH(1,(DATABASE.DATE:DATE=$A20)*(DATABASE.NO:(NO)="B4"),0)), y_mes, INDEX(DATABASE.Y:(Y),MATCH(1,(DATABASE.DATE:DATE=$A20)*(DATABASE.NO:(NO)="B4"),0)), dx_mes, x_mes-823216.6581, dy_mes, y_mes-1091503.0821, proj_long, (dx_mes*42.2619000000413 + dy_mes*-90.6307000000961)/99.9999598705965, 0 + proj_long ), "" )</f>
        <v/>
      </c>
      <c r="AK20" t="str">
        <f ca="1">IFERROR( _xludf.LET( x_mes, INDEX(DATABASE.X:(X),MATCH(1,(DATABASE.DATE:DATE=$A20)*(DATABASE.NO:(NO)="B4"),0)), y_mes, INDEX(DATABASE.Y:(Y),MATCH(1,(DATABASE.DATE:DATE=$A20)*(DATABASE.NO:(NO)="B4"),0)),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L20" t="str">
        <f>IFERROR( INDEX(DATABASE.Z:(Z),MATCH(1,(DATABASE.DATE:DATE=$A20)*(DATABASE.NO:(NO)="B4"),0)) - -123.621, "" )</f>
        <v/>
      </c>
      <c r="AM20" t="str">
        <f ca="1">IFERROR( _xludf.LET( x_mes, INDEX(DATABASE.X:(X),MATCH(1,(DATABASE.DATE:DATE=$A20)*(DATABASE.NO:(NO)="B5"),0)), y_mes, INDEX(DATABASE.Y:(Y),MATCH(1,(DATABASE.DATE:DATE=$A20)*(DATABASE.NO:(NO)="B5"),0)), dx_mes, x_mes-823216.6581, dy_mes, y_mes-1091503.0821, proj_long, (dx_mes*42.2619000000413 + dy_mes*-90.6307000000961)/99.9999598705965, 0 + proj_long ), "" )</f>
        <v/>
      </c>
      <c r="AN20" t="str">
        <f ca="1">IFERROR( _xludf.LET( x_mes, INDEX(DATABASE.X:(X),MATCH(1,(DATABASE.DATE:DATE=$A20)*(DATABASE.NO:(NO)="B5"),0)), y_mes, INDEX(DATABASE.Y:(Y),MATCH(1,(DATABASE.DATE:DATE=$A20)*(DATABASE.NO:(NO)="B5"),0)),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O20" t="str">
        <f>IFERROR( INDEX(DATABASE.Z:(Z),MATCH(1,(DATABASE.DATE:DATE=$A20)*(DATABASE.NO:(NO)="B5"),0)) - -123.621, "" )</f>
        <v/>
      </c>
      <c r="AP20" t="str">
        <f ca="1">IFERROR( _xludf.LET( x_mes, INDEX(DATABASE.X:(X),MATCH(1,(DATABASE.DATE:DATE=$A20)*(DATABASE.NO:(NO)="M1"),0)), y_mes, INDEX(DATABASE.Y:(Y),MATCH(1,(DATABASE.DATE:DATE=$A20)*(DATABASE.NO:(NO)="M1"),0)), dx_mes, x_mes-823216.6581, dy_mes, y_mes-1091503.0821, proj_long, (dx_mes*42.2619000000413 + dy_mes*-90.6307000000961)/99.9999598705965, 0 + proj_long ), "" )</f>
        <v/>
      </c>
      <c r="AQ20" t="str">
        <f ca="1">IFERROR( _xludf.LET( x_mes, INDEX(DATABASE.X:(X),MATCH(1,(DATABASE.DATE:DATE=$A20)*(DATABASE.NO:(NO)="M1"),0)), y_mes, INDEX(DATABASE.Y:(Y),MATCH(1,(DATABASE.DATE:DATE=$A20)*(DATABASE.NO:(NO)="M1"),0)),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R20" t="str">
        <f>IFERROR( INDEX(DATABASE.Z:(Z),MATCH(1,(DATABASE.DATE:DATE=$A20)*(DATABASE.NO:(NO)="M1"),0)) - -123.621, "" )</f>
        <v/>
      </c>
      <c r="AS20" t="str">
        <f ca="1">IFERROR( _xludf.LET( x_mes, INDEX(DATABASE.X:(X),MATCH(1,(DATABASE.DATE:DATE=$A20)*(DATABASE.NO:(NO)="M2"),0)), y_mes, INDEX(DATABASE.Y:(Y),MATCH(1,(DATABASE.DATE:DATE=$A20)*(DATABASE.NO:(NO)="M2"),0)), dx_mes, x_mes-823216.6581, dy_mes, y_mes-1091503.0821, proj_long, (dx_mes*42.2619000000413 + dy_mes*-90.6307000000961)/99.9999598705965, 0 + proj_long ), "" )</f>
        <v/>
      </c>
      <c r="AT20" t="str">
        <f ca="1">IFERROR( _xludf.LET( x_mes, INDEX(DATABASE.X:(X),MATCH(1,(DATABASE.DATE:DATE=$A20)*(DATABASE.NO:(NO)="M2"),0)), y_mes, INDEX(DATABASE.Y:(Y),MATCH(1,(DATABASE.DATE:DATE=$A20)*(DATABASE.NO:(NO)="M2"),0)),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U20" t="str">
        <f>IFERROR( INDEX(DATABASE.Z:(Z),MATCH(1,(DATABASE.DATE:DATE=$A20)*(DATABASE.NO:(NO)="M2"),0)) - -123.621, "" )</f>
        <v/>
      </c>
      <c r="AV20" t="str">
        <f ca="1">IFERROR( _xludf.LET( x_mes, INDEX(DATABASE.X:(X),MATCH(1,(DATABASE.DATE:DATE=$A20)*(DATABASE.NO:(NO)="M3"),0)), y_mes, INDEX(DATABASE.Y:(Y),MATCH(1,(DATABASE.DATE:DATE=$A20)*(DATABASE.NO:(NO)="M3"),0)), dx_mes, x_mes-823216.6581, dy_mes, y_mes-1091503.0821, proj_long, (dx_mes*42.2619000000413 + dy_mes*-90.6307000000961)/99.9999598705965, 0 + proj_long ), "" )</f>
        <v/>
      </c>
      <c r="AW20" t="str">
        <f ca="1">IFERROR( _xludf.LET( x_mes, INDEX(DATABASE.X:(X),MATCH(1,(DATABASE.DATE:DATE=$A20)*(DATABASE.NO:(NO)="M3"),0)), y_mes, INDEX(DATABASE.Y:(Y),MATCH(1,(DATABASE.DATE:DATE=$A20)*(DATABASE.NO:(NO)="M3"),0)),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X20" t="str">
        <f>IFERROR( INDEX(DATABASE.Z:(Z),MATCH(1,(DATABASE.DATE:DATE=$A20)*(DATABASE.NO:(NO)="M3"),0)) - -123.621, "" )</f>
        <v/>
      </c>
      <c r="AY20" t="str">
        <f ca="1">IFERROR( _xludf.LET( x_mes, INDEX(DATABASE.X:(X),MATCH(1,(DATABASE.DATE:DATE=$A20)*(DATABASE.NO:(NO)="M4"),0)), y_mes, INDEX(DATABASE.Y:(Y),MATCH(1,(DATABASE.DATE:DATE=$A20)*(DATABASE.NO:(NO)="M4"),0)), dx_mes, x_mes-823216.6581, dy_mes, y_mes-1091503.0821, proj_long, (dx_mes*42.2619000000413 + dy_mes*-90.6307000000961)/99.9999598705965, 0 + proj_long ), "" )</f>
        <v/>
      </c>
      <c r="AZ20" t="str">
        <f ca="1">IFERROR( _xludf.LET( x_mes, INDEX(DATABASE.X:(X),MATCH(1,(DATABASE.DATE:DATE=$A20)*(DATABASE.NO:(NO)="M4"),0)), y_mes, INDEX(DATABASE.Y:(Y),MATCH(1,(DATABASE.DATE:DATE=$A20)*(DATABASE.NO:(NO)="M4"),0)),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BA20" t="str">
        <f>IFERROR( INDEX(DATABASE.Z:(Z),MATCH(1,(DATABASE.DATE:DATE=$A20)*(DATABASE.NO:(NO)="M4"),0)) - -123.621, "" )</f>
        <v/>
      </c>
      <c r="BB20" t="str">
        <f ca="1">IFERROR( _xludf.LET( x_mes, INDEX(DATABASE.X:(X),MATCH(1,(DATABASE.DATE:DATE=$A20)*(DATABASE.NO:(NO)="M5"),0)), y_mes, INDEX(DATABASE.Y:(Y),MATCH(1,(DATABASE.DATE:DATE=$A20)*(DATABASE.NO:(NO)="M5"),0)), dx_mes, x_mes-823216.6581, dy_mes, y_mes-1091503.0821, proj_long, (dx_mes*42.2619000000413 + dy_mes*-90.6307000000961)/99.9999598705965, 0 + proj_long ), "" )</f>
        <v/>
      </c>
      <c r="BC20" t="str">
        <f ca="1">IFERROR( _xludf.LET( x_mes, INDEX(DATABASE.X:(X),MATCH(1,(DATABASE.DATE:DATE=$A20)*(DATABASE.NO:(NO)="M5"),0)), y_mes, INDEX(DATABASE.Y:(Y),MATCH(1,(DATABASE.DATE:DATE=$A20)*(DATABASE.NO:(NO)="M5"),0)),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BD20" t="str">
        <f>IFERROR( INDEX(DATABASE.Z:(Z),MATCH(1,(DATABASE.DATE:DATE=$A20)*(DATABASE.NO:(NO)="M5"),0)) - -123.621, "" )</f>
        <v/>
      </c>
      <c r="BE20" t="str">
        <f ca="1">IFERROR( _xludf.LET( x_mes, INDEX(DATABASE.X:(X),MATCH(1,(DATABASE.DATE:DATE=$A20)*(DATABASE.NO:(NO)="REF1"),0)), y_mes, INDEX(DATABASE.Y:(Y),MATCH(1,(DATABASE.DATE:DATE=$A20)*(DATABASE.NO:(NO)="REF1"),0)), dx_mes, x_mes-823216.6581, dy_mes, y_mes-1091503.0821, proj_long, (dx_mes*42.2619000000413 + dy_mes*-90.6307000000961)/99.9999598705965, 0 + proj_long ), "" )</f>
        <v/>
      </c>
      <c r="BF20" t="str">
        <f ca="1">IFERROR( _xludf.LET( x_mes, INDEX(DATABASE.X:(X),MATCH(1,(DATABASE.DATE:DATE=$A20)*(DATABASE.NO:(NO)="REF1"),0)), y_mes, INDEX(DATABASE.Y:(Y),MATCH(1,(DATABASE.DATE:DATE=$A20)*(DATABASE.NO:(NO)="REF1"),0)),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BG20" t="str">
        <f>IFERROR( INDEX(DATABASE.Z:(Z),MATCH(1,(DATABASE.DATE:DATE=$A20)*(DATABASE.NO:(NO)="REF1"),0)) - -123.621, "" )</f>
        <v/>
      </c>
      <c r="BH20" t="str">
        <f ca="1">IFERROR( _xludf.LET( x_mes, INDEX(DATABASE.X:(X),MATCH(1,(DATABASE.DATE:DATE=$A20)*(DATABASE.NO:(NO)="REF2"),0)), y_mes, INDEX(DATABASE.Y:(Y),MATCH(1,(DATABASE.DATE:DATE=$A20)*(DATABASE.NO:(NO)="REF2"),0)), dx_mes, x_mes-823216.6581, dy_mes, y_mes-1091503.0821, proj_long, (dx_mes*42.2619000000413 + dy_mes*-90.6307000000961)/99.9999598705965, 0 + proj_long ), "" )</f>
        <v/>
      </c>
      <c r="BI20" t="str">
        <f ca="1">IFERROR( _xludf.LET( x_mes, INDEX(DATABASE.X:(X),MATCH(1,(DATABASE.DATE:DATE=$A20)*(DATABASE.NO:(NO)="REF2"),0)), y_mes, INDEX(DATABASE.Y:(Y),MATCH(1,(DATABASE.DATE:DATE=$A20)*(DATABASE.NO:(NO)="REF2"),0)),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BJ20" t="str">
        <f>IFERROR( INDEX(DATABASE.Z:(Z),MATCH(1,(DATABASE.DATE:DATE=$A20)*(DATABASE.NO:(NO)="REF2"),0)) - -123.621, "" )</f>
        <v/>
      </c>
    </row>
    <row r="21" spans="3:62" x14ac:dyDescent="0.25">
      <c r="C21" t="str">
        <f ca="1">IFERROR( _xludf.LET( x_mes, INDEX(DATABASE.X:(X),MATCH(1,(DATABASE.DATE:DATE=$A21)*(DATABASE.NO:(NO)="V1"),0)), y_mes, INDEX(DATABASE.Y:(Y),MATCH(1,(DATABASE.DATE:DATE=$A21)*(DATABASE.NO:(NO)="V1"),0)), dx_mes, x_mes-823216.6581, dy_mes, y_mes-1091503.0821, proj_long, (dx_mes*42.2619000000413 + dy_mes*-90.6307000000961)/99.9999598705965, 0 + proj_long ), "" )</f>
        <v/>
      </c>
      <c r="D21" t="str">
        <f ca="1">IFERROR( _xludf.LET( x_mes, INDEX(DATABASE.X:(X),MATCH(1,(DATABASE.DATE:DATE=$A21)*(DATABASE.NO:(NO)="V1"),0)), y_mes, INDEX(DATABASE.Y:(Y),MATCH(1,(DATABASE.DATE:DATE=$A21)*(DATABASE.NO:(NO)="V1"),0)),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E21" t="str">
        <f>IFERROR( INDEX(DATABASE.Z:(Z),MATCH(1,(DATABASE.DATE:DATE=$A21)*(DATABASE.NO:(NO)="V1"),0)) - -123.621, "" )</f>
        <v/>
      </c>
      <c r="F21" t="str">
        <f ca="1">IFERROR( _xludf.LET( x_mes, INDEX(DATABASE.X:(X),MATCH(1,(DATABASE.DATE:DATE=$A21)*(DATABASE.NO:(NO)="V2"),0)), y_mes, INDEX(DATABASE.Y:(Y),MATCH(1,(DATABASE.DATE:DATE=$A21)*(DATABASE.NO:(NO)="V2"),0)), dx_mes, x_mes-823216.6581, dy_mes, y_mes-1091503.0821, proj_long, (dx_mes*42.2619000000413 + dy_mes*-90.6307000000961)/99.9999598705965, 0 + proj_long ), "" )</f>
        <v/>
      </c>
      <c r="G21" t="str">
        <f ca="1">IFERROR( _xludf.LET( x_mes, INDEX(DATABASE.X:(X),MATCH(1,(DATABASE.DATE:DATE=$A21)*(DATABASE.NO:(NO)="V2"),0)), y_mes, INDEX(DATABASE.Y:(Y),MATCH(1,(DATABASE.DATE:DATE=$A21)*(DATABASE.NO:(NO)="V2"),0)),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H21" t="str">
        <f>IFERROR( INDEX(DATABASE.Z:(Z),MATCH(1,(DATABASE.DATE:DATE=$A21)*(DATABASE.NO:(NO)="V2"),0)) - -123.621, "" )</f>
        <v/>
      </c>
      <c r="I21" t="str">
        <f ca="1">IFERROR( _xludf.LET( x_mes, INDEX(DATABASE.X:(X),MATCH(1,(DATABASE.DATE:DATE=$A21)*(DATABASE.NO:(NO)="V3"),0)), y_mes, INDEX(DATABASE.Y:(Y),MATCH(1,(DATABASE.DATE:DATE=$A21)*(DATABASE.NO:(NO)="V3"),0)), dx_mes, x_mes-823216.6581, dy_mes, y_mes-1091503.0821, proj_long, (dx_mes*42.2619000000413 + dy_mes*-90.6307000000961)/99.9999598705965, 0 + proj_long ), "" )</f>
        <v/>
      </c>
      <c r="J21" t="str">
        <f ca="1">IFERROR( _xludf.LET( x_mes, INDEX(DATABASE.X:(X),MATCH(1,(DATABASE.DATE:DATE=$A21)*(DATABASE.NO:(NO)="V3"),0)), y_mes, INDEX(DATABASE.Y:(Y),MATCH(1,(DATABASE.DATE:DATE=$A21)*(DATABASE.NO:(NO)="V3"),0)),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K21" t="str">
        <f>IFERROR( INDEX(DATABASE.Z:(Z),MATCH(1,(DATABASE.DATE:DATE=$A21)*(DATABASE.NO:(NO)="V3"),0)) - -123.621, "" )</f>
        <v/>
      </c>
      <c r="L21" t="str">
        <f ca="1">IFERROR( _xludf.LET( x_mes, INDEX(DATABASE.X:(X),MATCH(1,(DATABASE.DATE:DATE=$A21)*(DATABASE.NO:(NO)="H1"),0)), y_mes, INDEX(DATABASE.Y:(Y),MATCH(1,(DATABASE.DATE:DATE=$A21)*(DATABASE.NO:(NO)="H1"),0)), dx_mes, x_mes-823216.6581, dy_mes, y_mes-1091503.0821, proj_long, (dx_mes*42.2619000000413 + dy_mes*-90.6307000000961)/99.9999598705965, 0 + proj_long ), "" )</f>
        <v/>
      </c>
      <c r="M21" t="str">
        <f ca="1">IFERROR( _xludf.LET( x_mes, INDEX(DATABASE.X:(X),MATCH(1,(DATABASE.DATE:DATE=$A21)*(DATABASE.NO:(NO)="H1"),0)), y_mes, INDEX(DATABASE.Y:(Y),MATCH(1,(DATABASE.DATE:DATE=$A21)*(DATABASE.NO:(NO)="H1"),0)),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N21" t="str">
        <f>IFERROR( INDEX(DATABASE.Z:(Z),MATCH(1,(DATABASE.DATE:DATE=$A21)*(DATABASE.NO:(NO)="H1"),0)) - -123.621, "" )</f>
        <v/>
      </c>
      <c r="O21" t="str">
        <f ca="1">IFERROR( _xludf.LET( x_mes, INDEX(DATABASE.X:(X),MATCH(1,(DATABASE.DATE:DATE=$A21)*(DATABASE.NO:(NO)="H2"),0)), y_mes, INDEX(DATABASE.Y:(Y),MATCH(1,(DATABASE.DATE:DATE=$A21)*(DATABASE.NO:(NO)="H2"),0)), dx_mes, x_mes-823216.6581, dy_mes, y_mes-1091503.0821, proj_long, (dx_mes*42.2619000000413 + dy_mes*-90.6307000000961)/99.9999598705965, 0 + proj_long ), "" )</f>
        <v/>
      </c>
      <c r="P21" t="str">
        <f ca="1">IFERROR( _xludf.LET( x_mes, INDEX(DATABASE.X:(X),MATCH(1,(DATABASE.DATE:DATE=$A21)*(DATABASE.NO:(NO)="H2"),0)), y_mes, INDEX(DATABASE.Y:(Y),MATCH(1,(DATABASE.DATE:DATE=$A21)*(DATABASE.NO:(NO)="H2"),0)),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Q21" t="str">
        <f>IFERROR( INDEX(DATABASE.Z:(Z),MATCH(1,(DATABASE.DATE:DATE=$A21)*(DATABASE.NO:(NO)="H2"),0)) - -123.621, "" )</f>
        <v/>
      </c>
      <c r="R21" t="str">
        <f ca="1">IFERROR( _xludf.LET( x_mes, INDEX(DATABASE.X:(X),MATCH(1,(DATABASE.DATE:DATE=$A21)*(DATABASE.NO:(NO)="H3"),0)), y_mes, INDEX(DATABASE.Y:(Y),MATCH(1,(DATABASE.DATE:DATE=$A21)*(DATABASE.NO:(NO)="H3"),0)), dx_mes, x_mes-823216.6581, dy_mes, y_mes-1091503.0821, proj_long, (dx_mes*42.2619000000413 + dy_mes*-90.6307000000961)/99.9999598705965, 0 + proj_long ), "" )</f>
        <v/>
      </c>
      <c r="S21" t="str">
        <f ca="1">IFERROR( _xludf.LET( x_mes, INDEX(DATABASE.X:(X),MATCH(1,(DATABASE.DATE:DATE=$A21)*(DATABASE.NO:(NO)="H3"),0)), y_mes, INDEX(DATABASE.Y:(Y),MATCH(1,(DATABASE.DATE:DATE=$A21)*(DATABASE.NO:(NO)="H3"),0)),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T21" t="str">
        <f>IFERROR( INDEX(DATABASE.Z:(Z),MATCH(1,(DATABASE.DATE:DATE=$A21)*(DATABASE.NO:(NO)="H3"),0)) - -123.621, "" )</f>
        <v/>
      </c>
      <c r="U21" t="str">
        <f ca="1">IFERROR( _xludf.LET( x_mes, INDEX(DATABASE.X:(X),MATCH(1,(DATABASE.DATE:DATE=$A21)*(DATABASE.NO:(NO)="H4"),0)), y_mes, INDEX(DATABASE.Y:(Y),MATCH(1,(DATABASE.DATE:DATE=$A21)*(DATABASE.NO:(NO)="H4"),0)), dx_mes, x_mes-823216.6581, dy_mes, y_mes-1091503.0821, proj_long, (dx_mes*42.2619000000413 + dy_mes*-90.6307000000961)/99.9999598705965, 0 + proj_long ), "" )</f>
        <v/>
      </c>
      <c r="V21" t="str">
        <f ca="1">IFERROR( _xludf.LET( x_mes, INDEX(DATABASE.X:(X),MATCH(1,(DATABASE.DATE:DATE=$A21)*(DATABASE.NO:(NO)="H4"),0)), y_mes, INDEX(DATABASE.Y:(Y),MATCH(1,(DATABASE.DATE:DATE=$A21)*(DATABASE.NO:(NO)="H4"),0)),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W21" t="str">
        <f>IFERROR( INDEX(DATABASE.Z:(Z),MATCH(1,(DATABASE.DATE:DATE=$A21)*(DATABASE.NO:(NO)="H4"),0)) - -123.621, "" )</f>
        <v/>
      </c>
      <c r="X21" t="str">
        <f ca="1">IFERROR( _xludf.LET( x_mes, INDEX(DATABASE.X:(X),MATCH(1,(DATABASE.DATE:DATE=$A21)*(DATABASE.NO:(NO)="H5"),0)), y_mes, INDEX(DATABASE.Y:(Y),MATCH(1,(DATABASE.DATE:DATE=$A21)*(DATABASE.NO:(NO)="H5"),0)), dx_mes, x_mes-823216.6581, dy_mes, y_mes-1091503.0821, proj_long, (dx_mes*42.2619000000413 + dy_mes*-90.6307000000961)/99.9999598705965, 0 + proj_long ), "" )</f>
        <v/>
      </c>
      <c r="Y21" t="str">
        <f ca="1">IFERROR( _xludf.LET( x_mes, INDEX(DATABASE.X:(X),MATCH(1,(DATABASE.DATE:DATE=$A21)*(DATABASE.NO:(NO)="H5"),0)), y_mes, INDEX(DATABASE.Y:(Y),MATCH(1,(DATABASE.DATE:DATE=$A21)*(DATABASE.NO:(NO)="H5"),0)),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Z21" t="str">
        <f>IFERROR( INDEX(DATABASE.Z:(Z),MATCH(1,(DATABASE.DATE:DATE=$A21)*(DATABASE.NO:(NO)="H5"),0)) - -123.621, "" )</f>
        <v/>
      </c>
      <c r="AA21" t="str">
        <f ca="1">IFERROR( _xludf.LET( x_mes, INDEX(DATABASE.X:(X),MATCH(1,(DATABASE.DATE:DATE=$A21)*(DATABASE.NO:(NO)="B1"),0)), y_mes, INDEX(DATABASE.Y:(Y),MATCH(1,(DATABASE.DATE:DATE=$A21)*(DATABASE.NO:(NO)="B1"),0)), dx_mes, x_mes-823216.6581, dy_mes, y_mes-1091503.0821, proj_long, (dx_mes*42.2619000000413 + dy_mes*-90.6307000000961)/99.9999598705965, 0 + proj_long ), "" )</f>
        <v/>
      </c>
      <c r="AB21" t="str">
        <f ca="1">IFERROR( _xludf.LET( x_mes, INDEX(DATABASE.X:(X),MATCH(1,(DATABASE.DATE:DATE=$A21)*(DATABASE.NO:(NO)="B1"),0)), y_mes, INDEX(DATABASE.Y:(Y),MATCH(1,(DATABASE.DATE:DATE=$A21)*(DATABASE.NO:(NO)="B1"),0)),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C21" t="str">
        <f>IFERROR( INDEX(DATABASE.Z:(Z),MATCH(1,(DATABASE.DATE:DATE=$A21)*(DATABASE.NO:(NO)="B1"),0)) - -123.621, "" )</f>
        <v/>
      </c>
      <c r="AD21" t="str">
        <f ca="1">IFERROR( _xludf.LET( x_mes, INDEX(DATABASE.X:(X),MATCH(1,(DATABASE.DATE:DATE=$A21)*(DATABASE.NO:(NO)="B2"),0)), y_mes, INDEX(DATABASE.Y:(Y),MATCH(1,(DATABASE.DATE:DATE=$A21)*(DATABASE.NO:(NO)="B2"),0)), dx_mes, x_mes-823216.6581, dy_mes, y_mes-1091503.0821, proj_long, (dx_mes*42.2619000000413 + dy_mes*-90.6307000000961)/99.9999598705965, 0 + proj_long ), "" )</f>
        <v/>
      </c>
      <c r="AE21" t="str">
        <f ca="1">IFERROR( _xludf.LET( x_mes, INDEX(DATABASE.X:(X),MATCH(1,(DATABASE.DATE:DATE=$A21)*(DATABASE.NO:(NO)="B2"),0)), y_mes, INDEX(DATABASE.Y:(Y),MATCH(1,(DATABASE.DATE:DATE=$A21)*(DATABASE.NO:(NO)="B2"),0)),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F21" t="str">
        <f>IFERROR( INDEX(DATABASE.Z:(Z),MATCH(1,(DATABASE.DATE:DATE=$A21)*(DATABASE.NO:(NO)="B2"),0)) - -123.621, "" )</f>
        <v/>
      </c>
      <c r="AG21" t="str">
        <f ca="1">IFERROR( _xludf.LET( x_mes, INDEX(DATABASE.X:(X),MATCH(1,(DATABASE.DATE:DATE=$A21)*(DATABASE.NO:(NO)="B3"),0)), y_mes, INDEX(DATABASE.Y:(Y),MATCH(1,(DATABASE.DATE:DATE=$A21)*(DATABASE.NO:(NO)="B3"),0)), dx_mes, x_mes-823216.6581, dy_mes, y_mes-1091503.0821, proj_long, (dx_mes*42.2619000000413 + dy_mes*-90.6307000000961)/99.9999598705965, 0 + proj_long ), "" )</f>
        <v/>
      </c>
      <c r="AH21" t="str">
        <f ca="1">IFERROR( _xludf.LET( x_mes, INDEX(DATABASE.X:(X),MATCH(1,(DATABASE.DATE:DATE=$A21)*(DATABASE.NO:(NO)="B3"),0)), y_mes, INDEX(DATABASE.Y:(Y),MATCH(1,(DATABASE.DATE:DATE=$A21)*(DATABASE.NO:(NO)="B3"),0)),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I21" t="str">
        <f>IFERROR( INDEX(DATABASE.Z:(Z),MATCH(1,(DATABASE.DATE:DATE=$A21)*(DATABASE.NO:(NO)="B3"),0)) - -123.621, "" )</f>
        <v/>
      </c>
      <c r="AJ21" t="str">
        <f ca="1">IFERROR( _xludf.LET( x_mes, INDEX(DATABASE.X:(X),MATCH(1,(DATABASE.DATE:DATE=$A21)*(DATABASE.NO:(NO)="B4"),0)), y_mes, INDEX(DATABASE.Y:(Y),MATCH(1,(DATABASE.DATE:DATE=$A21)*(DATABASE.NO:(NO)="B4"),0)), dx_mes, x_mes-823216.6581, dy_mes, y_mes-1091503.0821, proj_long, (dx_mes*42.2619000000413 + dy_mes*-90.6307000000961)/99.9999598705965, 0 + proj_long ), "" )</f>
        <v/>
      </c>
      <c r="AK21" t="str">
        <f ca="1">IFERROR( _xludf.LET( x_mes, INDEX(DATABASE.X:(X),MATCH(1,(DATABASE.DATE:DATE=$A21)*(DATABASE.NO:(NO)="B4"),0)), y_mes, INDEX(DATABASE.Y:(Y),MATCH(1,(DATABASE.DATE:DATE=$A21)*(DATABASE.NO:(NO)="B4"),0)),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L21" t="str">
        <f>IFERROR( INDEX(DATABASE.Z:(Z),MATCH(1,(DATABASE.DATE:DATE=$A21)*(DATABASE.NO:(NO)="B4"),0)) - -123.621, "" )</f>
        <v/>
      </c>
      <c r="AM21" t="str">
        <f ca="1">IFERROR( _xludf.LET( x_mes, INDEX(DATABASE.X:(X),MATCH(1,(DATABASE.DATE:DATE=$A21)*(DATABASE.NO:(NO)="B5"),0)), y_mes, INDEX(DATABASE.Y:(Y),MATCH(1,(DATABASE.DATE:DATE=$A21)*(DATABASE.NO:(NO)="B5"),0)), dx_mes, x_mes-823216.6581, dy_mes, y_mes-1091503.0821, proj_long, (dx_mes*42.2619000000413 + dy_mes*-90.6307000000961)/99.9999598705965, 0 + proj_long ), "" )</f>
        <v/>
      </c>
      <c r="AN21" t="str">
        <f ca="1">IFERROR( _xludf.LET( x_mes, INDEX(DATABASE.X:(X),MATCH(1,(DATABASE.DATE:DATE=$A21)*(DATABASE.NO:(NO)="B5"),0)), y_mes, INDEX(DATABASE.Y:(Y),MATCH(1,(DATABASE.DATE:DATE=$A21)*(DATABASE.NO:(NO)="B5"),0)),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O21" t="str">
        <f>IFERROR( INDEX(DATABASE.Z:(Z),MATCH(1,(DATABASE.DATE:DATE=$A21)*(DATABASE.NO:(NO)="B5"),0)) - -123.621, "" )</f>
        <v/>
      </c>
      <c r="AP21" t="str">
        <f ca="1">IFERROR( _xludf.LET( x_mes, INDEX(DATABASE.X:(X),MATCH(1,(DATABASE.DATE:DATE=$A21)*(DATABASE.NO:(NO)="M1"),0)), y_mes, INDEX(DATABASE.Y:(Y),MATCH(1,(DATABASE.DATE:DATE=$A21)*(DATABASE.NO:(NO)="M1"),0)), dx_mes, x_mes-823216.6581, dy_mes, y_mes-1091503.0821, proj_long, (dx_mes*42.2619000000413 + dy_mes*-90.6307000000961)/99.9999598705965, 0 + proj_long ), "" )</f>
        <v/>
      </c>
      <c r="AQ21" t="str">
        <f ca="1">IFERROR( _xludf.LET( x_mes, INDEX(DATABASE.X:(X),MATCH(1,(DATABASE.DATE:DATE=$A21)*(DATABASE.NO:(NO)="M1"),0)), y_mes, INDEX(DATABASE.Y:(Y),MATCH(1,(DATABASE.DATE:DATE=$A21)*(DATABASE.NO:(NO)="M1"),0)),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R21" t="str">
        <f>IFERROR( INDEX(DATABASE.Z:(Z),MATCH(1,(DATABASE.DATE:DATE=$A21)*(DATABASE.NO:(NO)="M1"),0)) - -123.621, "" )</f>
        <v/>
      </c>
      <c r="AS21" t="str">
        <f ca="1">IFERROR( _xludf.LET( x_mes, INDEX(DATABASE.X:(X),MATCH(1,(DATABASE.DATE:DATE=$A21)*(DATABASE.NO:(NO)="M2"),0)), y_mes, INDEX(DATABASE.Y:(Y),MATCH(1,(DATABASE.DATE:DATE=$A21)*(DATABASE.NO:(NO)="M2"),0)), dx_mes, x_mes-823216.6581, dy_mes, y_mes-1091503.0821, proj_long, (dx_mes*42.2619000000413 + dy_mes*-90.6307000000961)/99.9999598705965, 0 + proj_long ), "" )</f>
        <v/>
      </c>
      <c r="AT21" t="str">
        <f ca="1">IFERROR( _xludf.LET( x_mes, INDEX(DATABASE.X:(X),MATCH(1,(DATABASE.DATE:DATE=$A21)*(DATABASE.NO:(NO)="M2"),0)), y_mes, INDEX(DATABASE.Y:(Y),MATCH(1,(DATABASE.DATE:DATE=$A21)*(DATABASE.NO:(NO)="M2"),0)),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U21" t="str">
        <f>IFERROR( INDEX(DATABASE.Z:(Z),MATCH(1,(DATABASE.DATE:DATE=$A21)*(DATABASE.NO:(NO)="M2"),0)) - -123.621, "" )</f>
        <v/>
      </c>
      <c r="AV21" t="str">
        <f ca="1">IFERROR( _xludf.LET( x_mes, INDEX(DATABASE.X:(X),MATCH(1,(DATABASE.DATE:DATE=$A21)*(DATABASE.NO:(NO)="M3"),0)), y_mes, INDEX(DATABASE.Y:(Y),MATCH(1,(DATABASE.DATE:DATE=$A21)*(DATABASE.NO:(NO)="M3"),0)), dx_mes, x_mes-823216.6581, dy_mes, y_mes-1091503.0821, proj_long, (dx_mes*42.2619000000413 + dy_mes*-90.6307000000961)/99.9999598705965, 0 + proj_long ), "" )</f>
        <v/>
      </c>
      <c r="AW21" t="str">
        <f ca="1">IFERROR( _xludf.LET( x_mes, INDEX(DATABASE.X:(X),MATCH(1,(DATABASE.DATE:DATE=$A21)*(DATABASE.NO:(NO)="M3"),0)), y_mes, INDEX(DATABASE.Y:(Y),MATCH(1,(DATABASE.DATE:DATE=$A21)*(DATABASE.NO:(NO)="M3"),0)),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X21" t="str">
        <f>IFERROR( INDEX(DATABASE.Z:(Z),MATCH(1,(DATABASE.DATE:DATE=$A21)*(DATABASE.NO:(NO)="M3"),0)) - -123.621, "" )</f>
        <v/>
      </c>
      <c r="AY21" t="str">
        <f ca="1">IFERROR( _xludf.LET( x_mes, INDEX(DATABASE.X:(X),MATCH(1,(DATABASE.DATE:DATE=$A21)*(DATABASE.NO:(NO)="M4"),0)), y_mes, INDEX(DATABASE.Y:(Y),MATCH(1,(DATABASE.DATE:DATE=$A21)*(DATABASE.NO:(NO)="M4"),0)), dx_mes, x_mes-823216.6581, dy_mes, y_mes-1091503.0821, proj_long, (dx_mes*42.2619000000413 + dy_mes*-90.6307000000961)/99.9999598705965, 0 + proj_long ), "" )</f>
        <v/>
      </c>
      <c r="AZ21" t="str">
        <f ca="1">IFERROR( _xludf.LET( x_mes, INDEX(DATABASE.X:(X),MATCH(1,(DATABASE.DATE:DATE=$A21)*(DATABASE.NO:(NO)="M4"),0)), y_mes, INDEX(DATABASE.Y:(Y),MATCH(1,(DATABASE.DATE:DATE=$A21)*(DATABASE.NO:(NO)="M4"),0)),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BA21" t="str">
        <f>IFERROR( INDEX(DATABASE.Z:(Z),MATCH(1,(DATABASE.DATE:DATE=$A21)*(DATABASE.NO:(NO)="M4"),0)) - -123.621, "" )</f>
        <v/>
      </c>
      <c r="BB21" t="str">
        <f ca="1">IFERROR( _xludf.LET( x_mes, INDEX(DATABASE.X:(X),MATCH(1,(DATABASE.DATE:DATE=$A21)*(DATABASE.NO:(NO)="M5"),0)), y_mes, INDEX(DATABASE.Y:(Y),MATCH(1,(DATABASE.DATE:DATE=$A21)*(DATABASE.NO:(NO)="M5"),0)), dx_mes, x_mes-823216.6581, dy_mes, y_mes-1091503.0821, proj_long, (dx_mes*42.2619000000413 + dy_mes*-90.6307000000961)/99.9999598705965, 0 + proj_long ), "" )</f>
        <v/>
      </c>
      <c r="BC21" t="str">
        <f ca="1">IFERROR( _xludf.LET( x_mes, INDEX(DATABASE.X:(X),MATCH(1,(DATABASE.DATE:DATE=$A21)*(DATABASE.NO:(NO)="M5"),0)), y_mes, INDEX(DATABASE.Y:(Y),MATCH(1,(DATABASE.DATE:DATE=$A21)*(DATABASE.NO:(NO)="M5"),0)),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BD21" t="str">
        <f>IFERROR( INDEX(DATABASE.Z:(Z),MATCH(1,(DATABASE.DATE:DATE=$A21)*(DATABASE.NO:(NO)="M5"),0)) - -123.621, "" )</f>
        <v/>
      </c>
      <c r="BE21" t="str">
        <f ca="1">IFERROR( _xludf.LET( x_mes, INDEX(DATABASE.X:(X),MATCH(1,(DATABASE.DATE:DATE=$A21)*(DATABASE.NO:(NO)="REF1"),0)), y_mes, INDEX(DATABASE.Y:(Y),MATCH(1,(DATABASE.DATE:DATE=$A21)*(DATABASE.NO:(NO)="REF1"),0)), dx_mes, x_mes-823216.6581, dy_mes, y_mes-1091503.0821, proj_long, (dx_mes*42.2619000000413 + dy_mes*-90.6307000000961)/99.9999598705965, 0 + proj_long ), "" )</f>
        <v/>
      </c>
      <c r="BF21" t="str">
        <f ca="1">IFERROR( _xludf.LET( x_mes, INDEX(DATABASE.X:(X),MATCH(1,(DATABASE.DATE:DATE=$A21)*(DATABASE.NO:(NO)="REF1"),0)), y_mes, INDEX(DATABASE.Y:(Y),MATCH(1,(DATABASE.DATE:DATE=$A21)*(DATABASE.NO:(NO)="REF1"),0)),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BG21" t="str">
        <f>IFERROR( INDEX(DATABASE.Z:(Z),MATCH(1,(DATABASE.DATE:DATE=$A21)*(DATABASE.NO:(NO)="REF1"),0)) - -123.621, "" )</f>
        <v/>
      </c>
      <c r="BH21" t="str">
        <f ca="1">IFERROR( _xludf.LET( x_mes, INDEX(DATABASE.X:(X),MATCH(1,(DATABASE.DATE:DATE=$A21)*(DATABASE.NO:(NO)="REF2"),0)), y_mes, INDEX(DATABASE.Y:(Y),MATCH(1,(DATABASE.DATE:DATE=$A21)*(DATABASE.NO:(NO)="REF2"),0)), dx_mes, x_mes-823216.6581, dy_mes, y_mes-1091503.0821, proj_long, (dx_mes*42.2619000000413 + dy_mes*-90.6307000000961)/99.9999598705965, 0 + proj_long ), "" )</f>
        <v/>
      </c>
      <c r="BI21" t="str">
        <f ca="1">IFERROR( _xludf.LET( x_mes, INDEX(DATABASE.X:(X),MATCH(1,(DATABASE.DATE:DATE=$A21)*(DATABASE.NO:(NO)="REF2"),0)), y_mes, INDEX(DATABASE.Y:(Y),MATCH(1,(DATABASE.DATE:DATE=$A21)*(DATABASE.NO:(NO)="REF2"),0)),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BJ21" t="str">
        <f>IFERROR( INDEX(DATABASE.Z:(Z),MATCH(1,(DATABASE.DATE:DATE=$A21)*(DATABASE.NO:(NO)="REF2"),0)) - -123.621, "" )</f>
        <v/>
      </c>
    </row>
    <row r="22" spans="3:62" x14ac:dyDescent="0.25">
      <c r="C22" t="str">
        <f ca="1">IFERROR( _xludf.LET( x_mes, INDEX(DATABASE.X:(X),MATCH(1,(DATABASE.DATE:DATE=$A22)*(DATABASE.NO:(NO)="V1"),0)), y_mes, INDEX(DATABASE.Y:(Y),MATCH(1,(DATABASE.DATE:DATE=$A22)*(DATABASE.NO:(NO)="V1"),0)), dx_mes, x_mes-823216.6581, dy_mes, y_mes-1091503.0821, proj_long, (dx_mes*42.2619000000413 + dy_mes*-90.6307000000961)/99.9999598705965, 0 + proj_long ), "" )</f>
        <v/>
      </c>
      <c r="D22" t="str">
        <f ca="1">IFERROR( _xludf.LET( x_mes, INDEX(DATABASE.X:(X),MATCH(1,(DATABASE.DATE:DATE=$A22)*(DATABASE.NO:(NO)="V1"),0)), y_mes, INDEX(DATABASE.Y:(Y),MATCH(1,(DATABASE.DATE:DATE=$A22)*(DATABASE.NO:(NO)="V1"),0)),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E22" t="str">
        <f>IFERROR( INDEX(DATABASE.Z:(Z),MATCH(1,(DATABASE.DATE:DATE=$A22)*(DATABASE.NO:(NO)="V1"),0)) - -123.621, "" )</f>
        <v/>
      </c>
      <c r="F22" t="str">
        <f ca="1">IFERROR( _xludf.LET( x_mes, INDEX(DATABASE.X:(X),MATCH(1,(DATABASE.DATE:DATE=$A22)*(DATABASE.NO:(NO)="V2"),0)), y_mes, INDEX(DATABASE.Y:(Y),MATCH(1,(DATABASE.DATE:DATE=$A22)*(DATABASE.NO:(NO)="V2"),0)), dx_mes, x_mes-823216.6581, dy_mes, y_mes-1091503.0821, proj_long, (dx_mes*42.2619000000413 + dy_mes*-90.6307000000961)/99.9999598705965, 0 + proj_long ), "" )</f>
        <v/>
      </c>
      <c r="G22" t="str">
        <f ca="1">IFERROR( _xludf.LET( x_mes, INDEX(DATABASE.X:(X),MATCH(1,(DATABASE.DATE:DATE=$A22)*(DATABASE.NO:(NO)="V2"),0)), y_mes, INDEX(DATABASE.Y:(Y),MATCH(1,(DATABASE.DATE:DATE=$A22)*(DATABASE.NO:(NO)="V2"),0)),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H22" t="str">
        <f>IFERROR( INDEX(DATABASE.Z:(Z),MATCH(1,(DATABASE.DATE:DATE=$A22)*(DATABASE.NO:(NO)="V2"),0)) - -123.621, "" )</f>
        <v/>
      </c>
      <c r="I22" t="str">
        <f ca="1">IFERROR( _xludf.LET( x_mes, INDEX(DATABASE.X:(X),MATCH(1,(DATABASE.DATE:DATE=$A22)*(DATABASE.NO:(NO)="V3"),0)), y_mes, INDEX(DATABASE.Y:(Y),MATCH(1,(DATABASE.DATE:DATE=$A22)*(DATABASE.NO:(NO)="V3"),0)), dx_mes, x_mes-823216.6581, dy_mes, y_mes-1091503.0821, proj_long, (dx_mes*42.2619000000413 + dy_mes*-90.6307000000961)/99.9999598705965, 0 + proj_long ), "" )</f>
        <v/>
      </c>
      <c r="J22" t="str">
        <f ca="1">IFERROR( _xludf.LET( x_mes, INDEX(DATABASE.X:(X),MATCH(1,(DATABASE.DATE:DATE=$A22)*(DATABASE.NO:(NO)="V3"),0)), y_mes, INDEX(DATABASE.Y:(Y),MATCH(1,(DATABASE.DATE:DATE=$A22)*(DATABASE.NO:(NO)="V3"),0)),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K22" t="str">
        <f>IFERROR( INDEX(DATABASE.Z:(Z),MATCH(1,(DATABASE.DATE:DATE=$A22)*(DATABASE.NO:(NO)="V3"),0)) - -123.621, "" )</f>
        <v/>
      </c>
      <c r="L22" t="str">
        <f ca="1">IFERROR( _xludf.LET( x_mes, INDEX(DATABASE.X:(X),MATCH(1,(DATABASE.DATE:DATE=$A22)*(DATABASE.NO:(NO)="H1"),0)), y_mes, INDEX(DATABASE.Y:(Y),MATCH(1,(DATABASE.DATE:DATE=$A22)*(DATABASE.NO:(NO)="H1"),0)), dx_mes, x_mes-823216.6581, dy_mes, y_mes-1091503.0821, proj_long, (dx_mes*42.2619000000413 + dy_mes*-90.6307000000961)/99.9999598705965, 0 + proj_long ), "" )</f>
        <v/>
      </c>
      <c r="M22" t="str">
        <f ca="1">IFERROR( _xludf.LET( x_mes, INDEX(DATABASE.X:(X),MATCH(1,(DATABASE.DATE:DATE=$A22)*(DATABASE.NO:(NO)="H1"),0)), y_mes, INDEX(DATABASE.Y:(Y),MATCH(1,(DATABASE.DATE:DATE=$A22)*(DATABASE.NO:(NO)="H1"),0)),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N22" t="str">
        <f>IFERROR( INDEX(DATABASE.Z:(Z),MATCH(1,(DATABASE.DATE:DATE=$A22)*(DATABASE.NO:(NO)="H1"),0)) - -123.621, "" )</f>
        <v/>
      </c>
      <c r="O22" t="str">
        <f ca="1">IFERROR( _xludf.LET( x_mes, INDEX(DATABASE.X:(X),MATCH(1,(DATABASE.DATE:DATE=$A22)*(DATABASE.NO:(NO)="H2"),0)), y_mes, INDEX(DATABASE.Y:(Y),MATCH(1,(DATABASE.DATE:DATE=$A22)*(DATABASE.NO:(NO)="H2"),0)), dx_mes, x_mes-823216.6581, dy_mes, y_mes-1091503.0821, proj_long, (dx_mes*42.2619000000413 + dy_mes*-90.6307000000961)/99.9999598705965, 0 + proj_long ), "" )</f>
        <v/>
      </c>
      <c r="P22" t="str">
        <f ca="1">IFERROR( _xludf.LET( x_mes, INDEX(DATABASE.X:(X),MATCH(1,(DATABASE.DATE:DATE=$A22)*(DATABASE.NO:(NO)="H2"),0)), y_mes, INDEX(DATABASE.Y:(Y),MATCH(1,(DATABASE.DATE:DATE=$A22)*(DATABASE.NO:(NO)="H2"),0)),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Q22" t="str">
        <f>IFERROR( INDEX(DATABASE.Z:(Z),MATCH(1,(DATABASE.DATE:DATE=$A22)*(DATABASE.NO:(NO)="H2"),0)) - -123.621, "" )</f>
        <v/>
      </c>
      <c r="R22" t="str">
        <f ca="1">IFERROR( _xludf.LET( x_mes, INDEX(DATABASE.X:(X),MATCH(1,(DATABASE.DATE:DATE=$A22)*(DATABASE.NO:(NO)="H3"),0)), y_mes, INDEX(DATABASE.Y:(Y),MATCH(1,(DATABASE.DATE:DATE=$A22)*(DATABASE.NO:(NO)="H3"),0)), dx_mes, x_mes-823216.6581, dy_mes, y_mes-1091503.0821, proj_long, (dx_mes*42.2619000000413 + dy_mes*-90.6307000000961)/99.9999598705965, 0 + proj_long ), "" )</f>
        <v/>
      </c>
      <c r="S22" t="str">
        <f ca="1">IFERROR( _xludf.LET( x_mes, INDEX(DATABASE.X:(X),MATCH(1,(DATABASE.DATE:DATE=$A22)*(DATABASE.NO:(NO)="H3"),0)), y_mes, INDEX(DATABASE.Y:(Y),MATCH(1,(DATABASE.DATE:DATE=$A22)*(DATABASE.NO:(NO)="H3"),0)),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T22" t="str">
        <f>IFERROR( INDEX(DATABASE.Z:(Z),MATCH(1,(DATABASE.DATE:DATE=$A22)*(DATABASE.NO:(NO)="H3"),0)) - -123.621, "" )</f>
        <v/>
      </c>
      <c r="U22" t="str">
        <f ca="1">IFERROR( _xludf.LET( x_mes, INDEX(DATABASE.X:(X),MATCH(1,(DATABASE.DATE:DATE=$A22)*(DATABASE.NO:(NO)="H4"),0)), y_mes, INDEX(DATABASE.Y:(Y),MATCH(1,(DATABASE.DATE:DATE=$A22)*(DATABASE.NO:(NO)="H4"),0)), dx_mes, x_mes-823216.6581, dy_mes, y_mes-1091503.0821, proj_long, (dx_mes*42.2619000000413 + dy_mes*-90.6307000000961)/99.9999598705965, 0 + proj_long ), "" )</f>
        <v/>
      </c>
      <c r="V22" t="str">
        <f ca="1">IFERROR( _xludf.LET( x_mes, INDEX(DATABASE.X:(X),MATCH(1,(DATABASE.DATE:DATE=$A22)*(DATABASE.NO:(NO)="H4"),0)), y_mes, INDEX(DATABASE.Y:(Y),MATCH(1,(DATABASE.DATE:DATE=$A22)*(DATABASE.NO:(NO)="H4"),0)),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W22" t="str">
        <f>IFERROR( INDEX(DATABASE.Z:(Z),MATCH(1,(DATABASE.DATE:DATE=$A22)*(DATABASE.NO:(NO)="H4"),0)) - -123.621, "" )</f>
        <v/>
      </c>
      <c r="X22" t="str">
        <f ca="1">IFERROR( _xludf.LET( x_mes, INDEX(DATABASE.X:(X),MATCH(1,(DATABASE.DATE:DATE=$A22)*(DATABASE.NO:(NO)="H5"),0)), y_mes, INDEX(DATABASE.Y:(Y),MATCH(1,(DATABASE.DATE:DATE=$A22)*(DATABASE.NO:(NO)="H5"),0)), dx_mes, x_mes-823216.6581, dy_mes, y_mes-1091503.0821, proj_long, (dx_mes*42.2619000000413 + dy_mes*-90.6307000000961)/99.9999598705965, 0 + proj_long ), "" )</f>
        <v/>
      </c>
      <c r="Y22" t="str">
        <f ca="1">IFERROR( _xludf.LET( x_mes, INDEX(DATABASE.X:(X),MATCH(1,(DATABASE.DATE:DATE=$A22)*(DATABASE.NO:(NO)="H5"),0)), y_mes, INDEX(DATABASE.Y:(Y),MATCH(1,(DATABASE.DATE:DATE=$A22)*(DATABASE.NO:(NO)="H5"),0)),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Z22" t="str">
        <f>IFERROR( INDEX(DATABASE.Z:(Z),MATCH(1,(DATABASE.DATE:DATE=$A22)*(DATABASE.NO:(NO)="H5"),0)) - -123.621, "" )</f>
        <v/>
      </c>
      <c r="AA22" t="str">
        <f ca="1">IFERROR( _xludf.LET( x_mes, INDEX(DATABASE.X:(X),MATCH(1,(DATABASE.DATE:DATE=$A22)*(DATABASE.NO:(NO)="B1"),0)), y_mes, INDEX(DATABASE.Y:(Y),MATCH(1,(DATABASE.DATE:DATE=$A22)*(DATABASE.NO:(NO)="B1"),0)), dx_mes, x_mes-823216.6581, dy_mes, y_mes-1091503.0821, proj_long, (dx_mes*42.2619000000413 + dy_mes*-90.6307000000961)/99.9999598705965, 0 + proj_long ), "" )</f>
        <v/>
      </c>
      <c r="AB22" t="str">
        <f ca="1">IFERROR( _xludf.LET( x_mes, INDEX(DATABASE.X:(X),MATCH(1,(DATABASE.DATE:DATE=$A22)*(DATABASE.NO:(NO)="B1"),0)), y_mes, INDEX(DATABASE.Y:(Y),MATCH(1,(DATABASE.DATE:DATE=$A22)*(DATABASE.NO:(NO)="B1"),0)),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C22" t="str">
        <f>IFERROR( INDEX(DATABASE.Z:(Z),MATCH(1,(DATABASE.DATE:DATE=$A22)*(DATABASE.NO:(NO)="B1"),0)) - -123.621, "" )</f>
        <v/>
      </c>
      <c r="AD22" t="str">
        <f ca="1">IFERROR( _xludf.LET( x_mes, INDEX(DATABASE.X:(X),MATCH(1,(DATABASE.DATE:DATE=$A22)*(DATABASE.NO:(NO)="B2"),0)), y_mes, INDEX(DATABASE.Y:(Y),MATCH(1,(DATABASE.DATE:DATE=$A22)*(DATABASE.NO:(NO)="B2"),0)), dx_mes, x_mes-823216.6581, dy_mes, y_mes-1091503.0821, proj_long, (dx_mes*42.2619000000413 + dy_mes*-90.6307000000961)/99.9999598705965, 0 + proj_long ), "" )</f>
        <v/>
      </c>
      <c r="AE22" t="str">
        <f ca="1">IFERROR( _xludf.LET( x_mes, INDEX(DATABASE.X:(X),MATCH(1,(DATABASE.DATE:DATE=$A22)*(DATABASE.NO:(NO)="B2"),0)), y_mes, INDEX(DATABASE.Y:(Y),MATCH(1,(DATABASE.DATE:DATE=$A22)*(DATABASE.NO:(NO)="B2"),0)),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F22" t="str">
        <f>IFERROR( INDEX(DATABASE.Z:(Z),MATCH(1,(DATABASE.DATE:DATE=$A22)*(DATABASE.NO:(NO)="B2"),0)) - -123.621, "" )</f>
        <v/>
      </c>
      <c r="AG22" t="str">
        <f ca="1">IFERROR( _xludf.LET( x_mes, INDEX(DATABASE.X:(X),MATCH(1,(DATABASE.DATE:DATE=$A22)*(DATABASE.NO:(NO)="B3"),0)), y_mes, INDEX(DATABASE.Y:(Y),MATCH(1,(DATABASE.DATE:DATE=$A22)*(DATABASE.NO:(NO)="B3"),0)), dx_mes, x_mes-823216.6581, dy_mes, y_mes-1091503.0821, proj_long, (dx_mes*42.2619000000413 + dy_mes*-90.6307000000961)/99.9999598705965, 0 + proj_long ), "" )</f>
        <v/>
      </c>
      <c r="AH22" t="str">
        <f ca="1">IFERROR( _xludf.LET( x_mes, INDEX(DATABASE.X:(X),MATCH(1,(DATABASE.DATE:DATE=$A22)*(DATABASE.NO:(NO)="B3"),0)), y_mes, INDEX(DATABASE.Y:(Y),MATCH(1,(DATABASE.DATE:DATE=$A22)*(DATABASE.NO:(NO)="B3"),0)),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I22" t="str">
        <f>IFERROR( INDEX(DATABASE.Z:(Z),MATCH(1,(DATABASE.DATE:DATE=$A22)*(DATABASE.NO:(NO)="B3"),0)) - -123.621, "" )</f>
        <v/>
      </c>
      <c r="AJ22" t="str">
        <f ca="1">IFERROR( _xludf.LET( x_mes, INDEX(DATABASE.X:(X),MATCH(1,(DATABASE.DATE:DATE=$A22)*(DATABASE.NO:(NO)="B4"),0)), y_mes, INDEX(DATABASE.Y:(Y),MATCH(1,(DATABASE.DATE:DATE=$A22)*(DATABASE.NO:(NO)="B4"),0)), dx_mes, x_mes-823216.6581, dy_mes, y_mes-1091503.0821, proj_long, (dx_mes*42.2619000000413 + dy_mes*-90.6307000000961)/99.9999598705965, 0 + proj_long ), "" )</f>
        <v/>
      </c>
      <c r="AK22" t="str">
        <f ca="1">IFERROR( _xludf.LET( x_mes, INDEX(DATABASE.X:(X),MATCH(1,(DATABASE.DATE:DATE=$A22)*(DATABASE.NO:(NO)="B4"),0)), y_mes, INDEX(DATABASE.Y:(Y),MATCH(1,(DATABASE.DATE:DATE=$A22)*(DATABASE.NO:(NO)="B4"),0)),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L22" t="str">
        <f>IFERROR( INDEX(DATABASE.Z:(Z),MATCH(1,(DATABASE.DATE:DATE=$A22)*(DATABASE.NO:(NO)="B4"),0)) - -123.621, "" )</f>
        <v/>
      </c>
      <c r="AM22" t="str">
        <f ca="1">IFERROR( _xludf.LET( x_mes, INDEX(DATABASE.X:(X),MATCH(1,(DATABASE.DATE:DATE=$A22)*(DATABASE.NO:(NO)="B5"),0)), y_mes, INDEX(DATABASE.Y:(Y),MATCH(1,(DATABASE.DATE:DATE=$A22)*(DATABASE.NO:(NO)="B5"),0)), dx_mes, x_mes-823216.6581, dy_mes, y_mes-1091503.0821, proj_long, (dx_mes*42.2619000000413 + dy_mes*-90.6307000000961)/99.9999598705965, 0 + proj_long ), "" )</f>
        <v/>
      </c>
      <c r="AN22" t="str">
        <f ca="1">IFERROR( _xludf.LET( x_mes, INDEX(DATABASE.X:(X),MATCH(1,(DATABASE.DATE:DATE=$A22)*(DATABASE.NO:(NO)="B5"),0)), y_mes, INDEX(DATABASE.Y:(Y),MATCH(1,(DATABASE.DATE:DATE=$A22)*(DATABASE.NO:(NO)="B5"),0)),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O22" t="str">
        <f>IFERROR( INDEX(DATABASE.Z:(Z),MATCH(1,(DATABASE.DATE:DATE=$A22)*(DATABASE.NO:(NO)="B5"),0)) - -123.621, "" )</f>
        <v/>
      </c>
      <c r="AP22" t="str">
        <f ca="1">IFERROR( _xludf.LET( x_mes, INDEX(DATABASE.X:(X),MATCH(1,(DATABASE.DATE:DATE=$A22)*(DATABASE.NO:(NO)="M1"),0)), y_mes, INDEX(DATABASE.Y:(Y),MATCH(1,(DATABASE.DATE:DATE=$A22)*(DATABASE.NO:(NO)="M1"),0)), dx_mes, x_mes-823216.6581, dy_mes, y_mes-1091503.0821, proj_long, (dx_mes*42.2619000000413 + dy_mes*-90.6307000000961)/99.9999598705965, 0 + proj_long ), "" )</f>
        <v/>
      </c>
      <c r="AQ22" t="str">
        <f ca="1">IFERROR( _xludf.LET( x_mes, INDEX(DATABASE.X:(X),MATCH(1,(DATABASE.DATE:DATE=$A22)*(DATABASE.NO:(NO)="M1"),0)), y_mes, INDEX(DATABASE.Y:(Y),MATCH(1,(DATABASE.DATE:DATE=$A22)*(DATABASE.NO:(NO)="M1"),0)),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R22" t="str">
        <f>IFERROR( INDEX(DATABASE.Z:(Z),MATCH(1,(DATABASE.DATE:DATE=$A22)*(DATABASE.NO:(NO)="M1"),0)) - -123.621, "" )</f>
        <v/>
      </c>
      <c r="AS22" t="str">
        <f ca="1">IFERROR( _xludf.LET( x_mes, INDEX(DATABASE.X:(X),MATCH(1,(DATABASE.DATE:DATE=$A22)*(DATABASE.NO:(NO)="M2"),0)), y_mes, INDEX(DATABASE.Y:(Y),MATCH(1,(DATABASE.DATE:DATE=$A22)*(DATABASE.NO:(NO)="M2"),0)), dx_mes, x_mes-823216.6581, dy_mes, y_mes-1091503.0821, proj_long, (dx_mes*42.2619000000413 + dy_mes*-90.6307000000961)/99.9999598705965, 0 + proj_long ), "" )</f>
        <v/>
      </c>
      <c r="AT22" t="str">
        <f ca="1">IFERROR( _xludf.LET( x_mes, INDEX(DATABASE.X:(X),MATCH(1,(DATABASE.DATE:DATE=$A22)*(DATABASE.NO:(NO)="M2"),0)), y_mes, INDEX(DATABASE.Y:(Y),MATCH(1,(DATABASE.DATE:DATE=$A22)*(DATABASE.NO:(NO)="M2"),0)),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U22" t="str">
        <f>IFERROR( INDEX(DATABASE.Z:(Z),MATCH(1,(DATABASE.DATE:DATE=$A22)*(DATABASE.NO:(NO)="M2"),0)) - -123.621, "" )</f>
        <v/>
      </c>
      <c r="AV22" t="str">
        <f ca="1">IFERROR( _xludf.LET( x_mes, INDEX(DATABASE.X:(X),MATCH(1,(DATABASE.DATE:DATE=$A22)*(DATABASE.NO:(NO)="M3"),0)), y_mes, INDEX(DATABASE.Y:(Y),MATCH(1,(DATABASE.DATE:DATE=$A22)*(DATABASE.NO:(NO)="M3"),0)), dx_mes, x_mes-823216.6581, dy_mes, y_mes-1091503.0821, proj_long, (dx_mes*42.2619000000413 + dy_mes*-90.6307000000961)/99.9999598705965, 0 + proj_long ), "" )</f>
        <v/>
      </c>
      <c r="AW22" t="str">
        <f ca="1">IFERROR( _xludf.LET( x_mes, INDEX(DATABASE.X:(X),MATCH(1,(DATABASE.DATE:DATE=$A22)*(DATABASE.NO:(NO)="M3"),0)), y_mes, INDEX(DATABASE.Y:(Y),MATCH(1,(DATABASE.DATE:DATE=$A22)*(DATABASE.NO:(NO)="M3"),0)),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X22" t="str">
        <f>IFERROR( INDEX(DATABASE.Z:(Z),MATCH(1,(DATABASE.DATE:DATE=$A22)*(DATABASE.NO:(NO)="M3"),0)) - -123.621, "" )</f>
        <v/>
      </c>
      <c r="AY22" t="str">
        <f ca="1">IFERROR( _xludf.LET( x_mes, INDEX(DATABASE.X:(X),MATCH(1,(DATABASE.DATE:DATE=$A22)*(DATABASE.NO:(NO)="M4"),0)), y_mes, INDEX(DATABASE.Y:(Y),MATCH(1,(DATABASE.DATE:DATE=$A22)*(DATABASE.NO:(NO)="M4"),0)), dx_mes, x_mes-823216.6581, dy_mes, y_mes-1091503.0821, proj_long, (dx_mes*42.2619000000413 + dy_mes*-90.6307000000961)/99.9999598705965, 0 + proj_long ), "" )</f>
        <v/>
      </c>
      <c r="AZ22" t="str">
        <f ca="1">IFERROR( _xludf.LET( x_mes, INDEX(DATABASE.X:(X),MATCH(1,(DATABASE.DATE:DATE=$A22)*(DATABASE.NO:(NO)="M4"),0)), y_mes, INDEX(DATABASE.Y:(Y),MATCH(1,(DATABASE.DATE:DATE=$A22)*(DATABASE.NO:(NO)="M4"),0)),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BA22" t="str">
        <f>IFERROR( INDEX(DATABASE.Z:(Z),MATCH(1,(DATABASE.DATE:DATE=$A22)*(DATABASE.NO:(NO)="M4"),0)) - -123.621, "" )</f>
        <v/>
      </c>
      <c r="BB22" t="str">
        <f ca="1">IFERROR( _xludf.LET( x_mes, INDEX(DATABASE.X:(X),MATCH(1,(DATABASE.DATE:DATE=$A22)*(DATABASE.NO:(NO)="M5"),0)), y_mes, INDEX(DATABASE.Y:(Y),MATCH(1,(DATABASE.DATE:DATE=$A22)*(DATABASE.NO:(NO)="M5"),0)), dx_mes, x_mes-823216.6581, dy_mes, y_mes-1091503.0821, proj_long, (dx_mes*42.2619000000413 + dy_mes*-90.6307000000961)/99.9999598705965, 0 + proj_long ), "" )</f>
        <v/>
      </c>
      <c r="BC22" t="str">
        <f ca="1">IFERROR( _xludf.LET( x_mes, INDEX(DATABASE.X:(X),MATCH(1,(DATABASE.DATE:DATE=$A22)*(DATABASE.NO:(NO)="M5"),0)), y_mes, INDEX(DATABASE.Y:(Y),MATCH(1,(DATABASE.DATE:DATE=$A22)*(DATABASE.NO:(NO)="M5"),0)),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BD22" t="str">
        <f>IFERROR( INDEX(DATABASE.Z:(Z),MATCH(1,(DATABASE.DATE:DATE=$A22)*(DATABASE.NO:(NO)="M5"),0)) - -123.621, "" )</f>
        <v/>
      </c>
      <c r="BE22" t="str">
        <f ca="1">IFERROR( _xludf.LET( x_mes, INDEX(DATABASE.X:(X),MATCH(1,(DATABASE.DATE:DATE=$A22)*(DATABASE.NO:(NO)="REF1"),0)), y_mes, INDEX(DATABASE.Y:(Y),MATCH(1,(DATABASE.DATE:DATE=$A22)*(DATABASE.NO:(NO)="REF1"),0)), dx_mes, x_mes-823216.6581, dy_mes, y_mes-1091503.0821, proj_long, (dx_mes*42.2619000000413 + dy_mes*-90.6307000000961)/99.9999598705965, 0 + proj_long ), "" )</f>
        <v/>
      </c>
      <c r="BF22" t="str">
        <f ca="1">IFERROR( _xludf.LET( x_mes, INDEX(DATABASE.X:(X),MATCH(1,(DATABASE.DATE:DATE=$A22)*(DATABASE.NO:(NO)="REF1"),0)), y_mes, INDEX(DATABASE.Y:(Y),MATCH(1,(DATABASE.DATE:DATE=$A22)*(DATABASE.NO:(NO)="REF1"),0)),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BG22" t="str">
        <f>IFERROR( INDEX(DATABASE.Z:(Z),MATCH(1,(DATABASE.DATE:DATE=$A22)*(DATABASE.NO:(NO)="REF1"),0)) - -123.621, "" )</f>
        <v/>
      </c>
      <c r="BH22" t="str">
        <f ca="1">IFERROR( _xludf.LET( x_mes, INDEX(DATABASE.X:(X),MATCH(1,(DATABASE.DATE:DATE=$A22)*(DATABASE.NO:(NO)="REF2"),0)), y_mes, INDEX(DATABASE.Y:(Y),MATCH(1,(DATABASE.DATE:DATE=$A22)*(DATABASE.NO:(NO)="REF2"),0)), dx_mes, x_mes-823216.6581, dy_mes, y_mes-1091503.0821, proj_long, (dx_mes*42.2619000000413 + dy_mes*-90.6307000000961)/99.9999598705965, 0 + proj_long ), "" )</f>
        <v/>
      </c>
      <c r="BI22" t="str">
        <f ca="1">IFERROR( _xludf.LET( x_mes, INDEX(DATABASE.X:(X),MATCH(1,(DATABASE.DATE:DATE=$A22)*(DATABASE.NO:(NO)="REF2"),0)), y_mes, INDEX(DATABASE.Y:(Y),MATCH(1,(DATABASE.DATE:DATE=$A22)*(DATABASE.NO:(NO)="REF2"),0)),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BJ22" t="str">
        <f>IFERROR( INDEX(DATABASE.Z:(Z),MATCH(1,(DATABASE.DATE:DATE=$A22)*(DATABASE.NO:(NO)="REF2"),0)) - -123.621, "" )</f>
        <v/>
      </c>
    </row>
    <row r="23" spans="3:62" x14ac:dyDescent="0.25">
      <c r="C23" t="str">
        <f ca="1">IFERROR( _xludf.LET( x_mes, INDEX(DATABASE.X:(X),MATCH(1,(DATABASE.DATE:DATE=$A23)*(DATABASE.NO:(NO)="V1"),0)), y_mes, INDEX(DATABASE.Y:(Y),MATCH(1,(DATABASE.DATE:DATE=$A23)*(DATABASE.NO:(NO)="V1"),0)), dx_mes, x_mes-823216.6581, dy_mes, y_mes-1091503.0821, proj_long, (dx_mes*42.2619000000413 + dy_mes*-90.6307000000961)/99.9999598705965, 0 + proj_long ), "" )</f>
        <v/>
      </c>
      <c r="D23" t="str">
        <f ca="1">IFERROR( _xludf.LET( x_mes, INDEX(DATABASE.X:(X),MATCH(1,(DATABASE.DATE:DATE=$A23)*(DATABASE.NO:(NO)="V1"),0)), y_mes, INDEX(DATABASE.Y:(Y),MATCH(1,(DATABASE.DATE:DATE=$A23)*(DATABASE.NO:(NO)="V1"),0)),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E23" t="str">
        <f>IFERROR( INDEX(DATABASE.Z:(Z),MATCH(1,(DATABASE.DATE:DATE=$A23)*(DATABASE.NO:(NO)="V1"),0)) - -123.621, "" )</f>
        <v/>
      </c>
      <c r="F23" t="str">
        <f ca="1">IFERROR( _xludf.LET( x_mes, INDEX(DATABASE.X:(X),MATCH(1,(DATABASE.DATE:DATE=$A23)*(DATABASE.NO:(NO)="V2"),0)), y_mes, INDEX(DATABASE.Y:(Y),MATCH(1,(DATABASE.DATE:DATE=$A23)*(DATABASE.NO:(NO)="V2"),0)), dx_mes, x_mes-823216.6581, dy_mes, y_mes-1091503.0821, proj_long, (dx_mes*42.2619000000413 + dy_mes*-90.6307000000961)/99.9999598705965, 0 + proj_long ), "" )</f>
        <v/>
      </c>
      <c r="G23" t="str">
        <f ca="1">IFERROR( _xludf.LET( x_mes, INDEX(DATABASE.X:(X),MATCH(1,(DATABASE.DATE:DATE=$A23)*(DATABASE.NO:(NO)="V2"),0)), y_mes, INDEX(DATABASE.Y:(Y),MATCH(1,(DATABASE.DATE:DATE=$A23)*(DATABASE.NO:(NO)="V2"),0)),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H23" t="str">
        <f>IFERROR( INDEX(DATABASE.Z:(Z),MATCH(1,(DATABASE.DATE:DATE=$A23)*(DATABASE.NO:(NO)="V2"),0)) - -123.621, "" )</f>
        <v/>
      </c>
      <c r="I23" t="str">
        <f ca="1">IFERROR( _xludf.LET( x_mes, INDEX(DATABASE.X:(X),MATCH(1,(DATABASE.DATE:DATE=$A23)*(DATABASE.NO:(NO)="V3"),0)), y_mes, INDEX(DATABASE.Y:(Y),MATCH(1,(DATABASE.DATE:DATE=$A23)*(DATABASE.NO:(NO)="V3"),0)), dx_mes, x_mes-823216.6581, dy_mes, y_mes-1091503.0821, proj_long, (dx_mes*42.2619000000413 + dy_mes*-90.6307000000961)/99.9999598705965, 0 + proj_long ), "" )</f>
        <v/>
      </c>
      <c r="J23" t="str">
        <f ca="1">IFERROR( _xludf.LET( x_mes, INDEX(DATABASE.X:(X),MATCH(1,(DATABASE.DATE:DATE=$A23)*(DATABASE.NO:(NO)="V3"),0)), y_mes, INDEX(DATABASE.Y:(Y),MATCH(1,(DATABASE.DATE:DATE=$A23)*(DATABASE.NO:(NO)="V3"),0)),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K23" t="str">
        <f>IFERROR( INDEX(DATABASE.Z:(Z),MATCH(1,(DATABASE.DATE:DATE=$A23)*(DATABASE.NO:(NO)="V3"),0)) - -123.621, "" )</f>
        <v/>
      </c>
      <c r="L23" t="str">
        <f ca="1">IFERROR( _xludf.LET( x_mes, INDEX(DATABASE.X:(X),MATCH(1,(DATABASE.DATE:DATE=$A23)*(DATABASE.NO:(NO)="H1"),0)), y_mes, INDEX(DATABASE.Y:(Y),MATCH(1,(DATABASE.DATE:DATE=$A23)*(DATABASE.NO:(NO)="H1"),0)), dx_mes, x_mes-823216.6581, dy_mes, y_mes-1091503.0821, proj_long, (dx_mes*42.2619000000413 + dy_mes*-90.6307000000961)/99.9999598705965, 0 + proj_long ), "" )</f>
        <v/>
      </c>
      <c r="M23" t="str">
        <f ca="1">IFERROR( _xludf.LET( x_mes, INDEX(DATABASE.X:(X),MATCH(1,(DATABASE.DATE:DATE=$A23)*(DATABASE.NO:(NO)="H1"),0)), y_mes, INDEX(DATABASE.Y:(Y),MATCH(1,(DATABASE.DATE:DATE=$A23)*(DATABASE.NO:(NO)="H1"),0)),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N23" t="str">
        <f>IFERROR( INDEX(DATABASE.Z:(Z),MATCH(1,(DATABASE.DATE:DATE=$A23)*(DATABASE.NO:(NO)="H1"),0)) - -123.621, "" )</f>
        <v/>
      </c>
      <c r="O23" t="str">
        <f ca="1">IFERROR( _xludf.LET( x_mes, INDEX(DATABASE.X:(X),MATCH(1,(DATABASE.DATE:DATE=$A23)*(DATABASE.NO:(NO)="H2"),0)), y_mes, INDEX(DATABASE.Y:(Y),MATCH(1,(DATABASE.DATE:DATE=$A23)*(DATABASE.NO:(NO)="H2"),0)), dx_mes, x_mes-823216.6581, dy_mes, y_mes-1091503.0821, proj_long, (dx_mes*42.2619000000413 + dy_mes*-90.6307000000961)/99.9999598705965, 0 + proj_long ), "" )</f>
        <v/>
      </c>
      <c r="P23" t="str">
        <f ca="1">IFERROR( _xludf.LET( x_mes, INDEX(DATABASE.X:(X),MATCH(1,(DATABASE.DATE:DATE=$A23)*(DATABASE.NO:(NO)="H2"),0)), y_mes, INDEX(DATABASE.Y:(Y),MATCH(1,(DATABASE.DATE:DATE=$A23)*(DATABASE.NO:(NO)="H2"),0)),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Q23" t="str">
        <f>IFERROR( INDEX(DATABASE.Z:(Z),MATCH(1,(DATABASE.DATE:DATE=$A23)*(DATABASE.NO:(NO)="H2"),0)) - -123.621, "" )</f>
        <v/>
      </c>
      <c r="R23" t="str">
        <f ca="1">IFERROR( _xludf.LET( x_mes, INDEX(DATABASE.X:(X),MATCH(1,(DATABASE.DATE:DATE=$A23)*(DATABASE.NO:(NO)="H3"),0)), y_mes, INDEX(DATABASE.Y:(Y),MATCH(1,(DATABASE.DATE:DATE=$A23)*(DATABASE.NO:(NO)="H3"),0)), dx_mes, x_mes-823216.6581, dy_mes, y_mes-1091503.0821, proj_long, (dx_mes*42.2619000000413 + dy_mes*-90.6307000000961)/99.9999598705965, 0 + proj_long ), "" )</f>
        <v/>
      </c>
      <c r="S23" t="str">
        <f ca="1">IFERROR( _xludf.LET( x_mes, INDEX(DATABASE.X:(X),MATCH(1,(DATABASE.DATE:DATE=$A23)*(DATABASE.NO:(NO)="H3"),0)), y_mes, INDEX(DATABASE.Y:(Y),MATCH(1,(DATABASE.DATE:DATE=$A23)*(DATABASE.NO:(NO)="H3"),0)),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T23" t="str">
        <f>IFERROR( INDEX(DATABASE.Z:(Z),MATCH(1,(DATABASE.DATE:DATE=$A23)*(DATABASE.NO:(NO)="H3"),0)) - -123.621, "" )</f>
        <v/>
      </c>
      <c r="U23" t="str">
        <f ca="1">IFERROR( _xludf.LET( x_mes, INDEX(DATABASE.X:(X),MATCH(1,(DATABASE.DATE:DATE=$A23)*(DATABASE.NO:(NO)="H4"),0)), y_mes, INDEX(DATABASE.Y:(Y),MATCH(1,(DATABASE.DATE:DATE=$A23)*(DATABASE.NO:(NO)="H4"),0)), dx_mes, x_mes-823216.6581, dy_mes, y_mes-1091503.0821, proj_long, (dx_mes*42.2619000000413 + dy_mes*-90.6307000000961)/99.9999598705965, 0 + proj_long ), "" )</f>
        <v/>
      </c>
      <c r="V23" t="str">
        <f ca="1">IFERROR( _xludf.LET( x_mes, INDEX(DATABASE.X:(X),MATCH(1,(DATABASE.DATE:DATE=$A23)*(DATABASE.NO:(NO)="H4"),0)), y_mes, INDEX(DATABASE.Y:(Y),MATCH(1,(DATABASE.DATE:DATE=$A23)*(DATABASE.NO:(NO)="H4"),0)),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W23" t="str">
        <f>IFERROR( INDEX(DATABASE.Z:(Z),MATCH(1,(DATABASE.DATE:DATE=$A23)*(DATABASE.NO:(NO)="H4"),0)) - -123.621, "" )</f>
        <v/>
      </c>
      <c r="X23" t="str">
        <f ca="1">IFERROR( _xludf.LET( x_mes, INDEX(DATABASE.X:(X),MATCH(1,(DATABASE.DATE:DATE=$A23)*(DATABASE.NO:(NO)="H5"),0)), y_mes, INDEX(DATABASE.Y:(Y),MATCH(1,(DATABASE.DATE:DATE=$A23)*(DATABASE.NO:(NO)="H5"),0)), dx_mes, x_mes-823216.6581, dy_mes, y_mes-1091503.0821, proj_long, (dx_mes*42.2619000000413 + dy_mes*-90.6307000000961)/99.9999598705965, 0 + proj_long ), "" )</f>
        <v/>
      </c>
      <c r="Y23" t="str">
        <f ca="1">IFERROR( _xludf.LET( x_mes, INDEX(DATABASE.X:(X),MATCH(1,(DATABASE.DATE:DATE=$A23)*(DATABASE.NO:(NO)="H5"),0)), y_mes, INDEX(DATABASE.Y:(Y),MATCH(1,(DATABASE.DATE:DATE=$A23)*(DATABASE.NO:(NO)="H5"),0)),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Z23" t="str">
        <f>IFERROR( INDEX(DATABASE.Z:(Z),MATCH(1,(DATABASE.DATE:DATE=$A23)*(DATABASE.NO:(NO)="H5"),0)) - -123.621, "" )</f>
        <v/>
      </c>
      <c r="AA23" t="str">
        <f ca="1">IFERROR( _xludf.LET( x_mes, INDEX(DATABASE.X:(X),MATCH(1,(DATABASE.DATE:DATE=$A23)*(DATABASE.NO:(NO)="B1"),0)), y_mes, INDEX(DATABASE.Y:(Y),MATCH(1,(DATABASE.DATE:DATE=$A23)*(DATABASE.NO:(NO)="B1"),0)), dx_mes, x_mes-823216.6581, dy_mes, y_mes-1091503.0821, proj_long, (dx_mes*42.2619000000413 + dy_mes*-90.6307000000961)/99.9999598705965, 0 + proj_long ), "" )</f>
        <v/>
      </c>
      <c r="AB23" t="str">
        <f ca="1">IFERROR( _xludf.LET( x_mes, INDEX(DATABASE.X:(X),MATCH(1,(DATABASE.DATE:DATE=$A23)*(DATABASE.NO:(NO)="B1"),0)), y_mes, INDEX(DATABASE.Y:(Y),MATCH(1,(DATABASE.DATE:DATE=$A23)*(DATABASE.NO:(NO)="B1"),0)),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C23" t="str">
        <f>IFERROR( INDEX(DATABASE.Z:(Z),MATCH(1,(DATABASE.DATE:DATE=$A23)*(DATABASE.NO:(NO)="B1"),0)) - -123.621, "" )</f>
        <v/>
      </c>
      <c r="AD23" t="str">
        <f ca="1">IFERROR( _xludf.LET( x_mes, INDEX(DATABASE.X:(X),MATCH(1,(DATABASE.DATE:DATE=$A23)*(DATABASE.NO:(NO)="B2"),0)), y_mes, INDEX(DATABASE.Y:(Y),MATCH(1,(DATABASE.DATE:DATE=$A23)*(DATABASE.NO:(NO)="B2"),0)), dx_mes, x_mes-823216.6581, dy_mes, y_mes-1091503.0821, proj_long, (dx_mes*42.2619000000413 + dy_mes*-90.6307000000961)/99.9999598705965, 0 + proj_long ), "" )</f>
        <v/>
      </c>
      <c r="AE23" t="str">
        <f ca="1">IFERROR( _xludf.LET( x_mes, INDEX(DATABASE.X:(X),MATCH(1,(DATABASE.DATE:DATE=$A23)*(DATABASE.NO:(NO)="B2"),0)), y_mes, INDEX(DATABASE.Y:(Y),MATCH(1,(DATABASE.DATE:DATE=$A23)*(DATABASE.NO:(NO)="B2"),0)),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F23" t="str">
        <f>IFERROR( INDEX(DATABASE.Z:(Z),MATCH(1,(DATABASE.DATE:DATE=$A23)*(DATABASE.NO:(NO)="B2"),0)) - -123.621, "" )</f>
        <v/>
      </c>
      <c r="AG23" t="str">
        <f ca="1">IFERROR( _xludf.LET( x_mes, INDEX(DATABASE.X:(X),MATCH(1,(DATABASE.DATE:DATE=$A23)*(DATABASE.NO:(NO)="B3"),0)), y_mes, INDEX(DATABASE.Y:(Y),MATCH(1,(DATABASE.DATE:DATE=$A23)*(DATABASE.NO:(NO)="B3"),0)), dx_mes, x_mes-823216.6581, dy_mes, y_mes-1091503.0821, proj_long, (dx_mes*42.2619000000413 + dy_mes*-90.6307000000961)/99.9999598705965, 0 + proj_long ), "" )</f>
        <v/>
      </c>
      <c r="AH23" t="str">
        <f ca="1">IFERROR( _xludf.LET( x_mes, INDEX(DATABASE.X:(X),MATCH(1,(DATABASE.DATE:DATE=$A23)*(DATABASE.NO:(NO)="B3"),0)), y_mes, INDEX(DATABASE.Y:(Y),MATCH(1,(DATABASE.DATE:DATE=$A23)*(DATABASE.NO:(NO)="B3"),0)),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I23" t="str">
        <f>IFERROR( INDEX(DATABASE.Z:(Z),MATCH(1,(DATABASE.DATE:DATE=$A23)*(DATABASE.NO:(NO)="B3"),0)) - -123.621, "" )</f>
        <v/>
      </c>
      <c r="AJ23" t="str">
        <f ca="1">IFERROR( _xludf.LET( x_mes, INDEX(DATABASE.X:(X),MATCH(1,(DATABASE.DATE:DATE=$A23)*(DATABASE.NO:(NO)="B4"),0)), y_mes, INDEX(DATABASE.Y:(Y),MATCH(1,(DATABASE.DATE:DATE=$A23)*(DATABASE.NO:(NO)="B4"),0)), dx_mes, x_mes-823216.6581, dy_mes, y_mes-1091503.0821, proj_long, (dx_mes*42.2619000000413 + dy_mes*-90.6307000000961)/99.9999598705965, 0 + proj_long ), "" )</f>
        <v/>
      </c>
      <c r="AK23" t="str">
        <f ca="1">IFERROR( _xludf.LET( x_mes, INDEX(DATABASE.X:(X),MATCH(1,(DATABASE.DATE:DATE=$A23)*(DATABASE.NO:(NO)="B4"),0)), y_mes, INDEX(DATABASE.Y:(Y),MATCH(1,(DATABASE.DATE:DATE=$A23)*(DATABASE.NO:(NO)="B4"),0)),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L23" t="str">
        <f>IFERROR( INDEX(DATABASE.Z:(Z),MATCH(1,(DATABASE.DATE:DATE=$A23)*(DATABASE.NO:(NO)="B4"),0)) - -123.621, "" )</f>
        <v/>
      </c>
      <c r="AM23" t="str">
        <f ca="1">IFERROR( _xludf.LET( x_mes, INDEX(DATABASE.X:(X),MATCH(1,(DATABASE.DATE:DATE=$A23)*(DATABASE.NO:(NO)="B5"),0)), y_mes, INDEX(DATABASE.Y:(Y),MATCH(1,(DATABASE.DATE:DATE=$A23)*(DATABASE.NO:(NO)="B5"),0)), dx_mes, x_mes-823216.6581, dy_mes, y_mes-1091503.0821, proj_long, (dx_mes*42.2619000000413 + dy_mes*-90.6307000000961)/99.9999598705965, 0 + proj_long ), "" )</f>
        <v/>
      </c>
      <c r="AN23" t="str">
        <f ca="1">IFERROR( _xludf.LET( x_mes, INDEX(DATABASE.X:(X),MATCH(1,(DATABASE.DATE:DATE=$A23)*(DATABASE.NO:(NO)="B5"),0)), y_mes, INDEX(DATABASE.Y:(Y),MATCH(1,(DATABASE.DATE:DATE=$A23)*(DATABASE.NO:(NO)="B5"),0)),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O23" t="str">
        <f>IFERROR( INDEX(DATABASE.Z:(Z),MATCH(1,(DATABASE.DATE:DATE=$A23)*(DATABASE.NO:(NO)="B5"),0)) - -123.621, "" )</f>
        <v/>
      </c>
      <c r="AP23" t="str">
        <f ca="1">IFERROR( _xludf.LET( x_mes, INDEX(DATABASE.X:(X),MATCH(1,(DATABASE.DATE:DATE=$A23)*(DATABASE.NO:(NO)="M1"),0)), y_mes, INDEX(DATABASE.Y:(Y),MATCH(1,(DATABASE.DATE:DATE=$A23)*(DATABASE.NO:(NO)="M1"),0)), dx_mes, x_mes-823216.6581, dy_mes, y_mes-1091503.0821, proj_long, (dx_mes*42.2619000000413 + dy_mes*-90.6307000000961)/99.9999598705965, 0 + proj_long ), "" )</f>
        <v/>
      </c>
      <c r="AQ23" t="str">
        <f ca="1">IFERROR( _xludf.LET( x_mes, INDEX(DATABASE.X:(X),MATCH(1,(DATABASE.DATE:DATE=$A23)*(DATABASE.NO:(NO)="M1"),0)), y_mes, INDEX(DATABASE.Y:(Y),MATCH(1,(DATABASE.DATE:DATE=$A23)*(DATABASE.NO:(NO)="M1"),0)),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R23" t="str">
        <f>IFERROR( INDEX(DATABASE.Z:(Z),MATCH(1,(DATABASE.DATE:DATE=$A23)*(DATABASE.NO:(NO)="M1"),0)) - -123.621, "" )</f>
        <v/>
      </c>
      <c r="AS23" t="str">
        <f ca="1">IFERROR( _xludf.LET( x_mes, INDEX(DATABASE.X:(X),MATCH(1,(DATABASE.DATE:DATE=$A23)*(DATABASE.NO:(NO)="M2"),0)), y_mes, INDEX(DATABASE.Y:(Y),MATCH(1,(DATABASE.DATE:DATE=$A23)*(DATABASE.NO:(NO)="M2"),0)), dx_mes, x_mes-823216.6581, dy_mes, y_mes-1091503.0821, proj_long, (dx_mes*42.2619000000413 + dy_mes*-90.6307000000961)/99.9999598705965, 0 + proj_long ), "" )</f>
        <v/>
      </c>
      <c r="AT23" t="str">
        <f ca="1">IFERROR( _xludf.LET( x_mes, INDEX(DATABASE.X:(X),MATCH(1,(DATABASE.DATE:DATE=$A23)*(DATABASE.NO:(NO)="M2"),0)), y_mes, INDEX(DATABASE.Y:(Y),MATCH(1,(DATABASE.DATE:DATE=$A23)*(DATABASE.NO:(NO)="M2"),0)),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U23" t="str">
        <f>IFERROR( INDEX(DATABASE.Z:(Z),MATCH(1,(DATABASE.DATE:DATE=$A23)*(DATABASE.NO:(NO)="M2"),0)) - -123.621, "" )</f>
        <v/>
      </c>
      <c r="AV23" t="str">
        <f ca="1">IFERROR( _xludf.LET( x_mes, INDEX(DATABASE.X:(X),MATCH(1,(DATABASE.DATE:DATE=$A23)*(DATABASE.NO:(NO)="M3"),0)), y_mes, INDEX(DATABASE.Y:(Y),MATCH(1,(DATABASE.DATE:DATE=$A23)*(DATABASE.NO:(NO)="M3"),0)), dx_mes, x_mes-823216.6581, dy_mes, y_mes-1091503.0821, proj_long, (dx_mes*42.2619000000413 + dy_mes*-90.6307000000961)/99.9999598705965, 0 + proj_long ), "" )</f>
        <v/>
      </c>
      <c r="AW23" t="str">
        <f ca="1">IFERROR( _xludf.LET( x_mes, INDEX(DATABASE.X:(X),MATCH(1,(DATABASE.DATE:DATE=$A23)*(DATABASE.NO:(NO)="M3"),0)), y_mes, INDEX(DATABASE.Y:(Y),MATCH(1,(DATABASE.DATE:DATE=$A23)*(DATABASE.NO:(NO)="M3"),0)),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X23" t="str">
        <f>IFERROR( INDEX(DATABASE.Z:(Z),MATCH(1,(DATABASE.DATE:DATE=$A23)*(DATABASE.NO:(NO)="M3"),0)) - -123.621, "" )</f>
        <v/>
      </c>
      <c r="AY23" t="str">
        <f ca="1">IFERROR( _xludf.LET( x_mes, INDEX(DATABASE.X:(X),MATCH(1,(DATABASE.DATE:DATE=$A23)*(DATABASE.NO:(NO)="M4"),0)), y_mes, INDEX(DATABASE.Y:(Y),MATCH(1,(DATABASE.DATE:DATE=$A23)*(DATABASE.NO:(NO)="M4"),0)), dx_mes, x_mes-823216.6581, dy_mes, y_mes-1091503.0821, proj_long, (dx_mes*42.2619000000413 + dy_mes*-90.6307000000961)/99.9999598705965, 0 + proj_long ), "" )</f>
        <v/>
      </c>
      <c r="AZ23" t="str">
        <f ca="1">IFERROR( _xludf.LET( x_mes, INDEX(DATABASE.X:(X),MATCH(1,(DATABASE.DATE:DATE=$A23)*(DATABASE.NO:(NO)="M4"),0)), y_mes, INDEX(DATABASE.Y:(Y),MATCH(1,(DATABASE.DATE:DATE=$A23)*(DATABASE.NO:(NO)="M4"),0)),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BA23" t="str">
        <f>IFERROR( INDEX(DATABASE.Z:(Z),MATCH(1,(DATABASE.DATE:DATE=$A23)*(DATABASE.NO:(NO)="M4"),0)) - -123.621, "" )</f>
        <v/>
      </c>
      <c r="BB23" t="str">
        <f ca="1">IFERROR( _xludf.LET( x_mes, INDEX(DATABASE.X:(X),MATCH(1,(DATABASE.DATE:DATE=$A23)*(DATABASE.NO:(NO)="M5"),0)), y_mes, INDEX(DATABASE.Y:(Y),MATCH(1,(DATABASE.DATE:DATE=$A23)*(DATABASE.NO:(NO)="M5"),0)), dx_mes, x_mes-823216.6581, dy_mes, y_mes-1091503.0821, proj_long, (dx_mes*42.2619000000413 + dy_mes*-90.6307000000961)/99.9999598705965, 0 + proj_long ), "" )</f>
        <v/>
      </c>
      <c r="BC23" t="str">
        <f ca="1">IFERROR( _xludf.LET( x_mes, INDEX(DATABASE.X:(X),MATCH(1,(DATABASE.DATE:DATE=$A23)*(DATABASE.NO:(NO)="M5"),0)), y_mes, INDEX(DATABASE.Y:(Y),MATCH(1,(DATABASE.DATE:DATE=$A23)*(DATABASE.NO:(NO)="M5"),0)),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BD23" t="str">
        <f>IFERROR( INDEX(DATABASE.Z:(Z),MATCH(1,(DATABASE.DATE:DATE=$A23)*(DATABASE.NO:(NO)="M5"),0)) - -123.621, "" )</f>
        <v/>
      </c>
      <c r="BE23" t="str">
        <f ca="1">IFERROR( _xludf.LET( x_mes, INDEX(DATABASE.X:(X),MATCH(1,(DATABASE.DATE:DATE=$A23)*(DATABASE.NO:(NO)="REF1"),0)), y_mes, INDEX(DATABASE.Y:(Y),MATCH(1,(DATABASE.DATE:DATE=$A23)*(DATABASE.NO:(NO)="REF1"),0)), dx_mes, x_mes-823216.6581, dy_mes, y_mes-1091503.0821, proj_long, (dx_mes*42.2619000000413 + dy_mes*-90.6307000000961)/99.9999598705965, 0 + proj_long ), "" )</f>
        <v/>
      </c>
      <c r="BF23" t="str">
        <f ca="1">IFERROR( _xludf.LET( x_mes, INDEX(DATABASE.X:(X),MATCH(1,(DATABASE.DATE:DATE=$A23)*(DATABASE.NO:(NO)="REF1"),0)), y_mes, INDEX(DATABASE.Y:(Y),MATCH(1,(DATABASE.DATE:DATE=$A23)*(DATABASE.NO:(NO)="REF1"),0)),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BG23" t="str">
        <f>IFERROR( INDEX(DATABASE.Z:(Z),MATCH(1,(DATABASE.DATE:DATE=$A23)*(DATABASE.NO:(NO)="REF1"),0)) - -123.621, "" )</f>
        <v/>
      </c>
      <c r="BH23" t="str">
        <f ca="1">IFERROR( _xludf.LET( x_mes, INDEX(DATABASE.X:(X),MATCH(1,(DATABASE.DATE:DATE=$A23)*(DATABASE.NO:(NO)="REF2"),0)), y_mes, INDEX(DATABASE.Y:(Y),MATCH(1,(DATABASE.DATE:DATE=$A23)*(DATABASE.NO:(NO)="REF2"),0)), dx_mes, x_mes-823216.6581, dy_mes, y_mes-1091503.0821, proj_long, (dx_mes*42.2619000000413 + dy_mes*-90.6307000000961)/99.9999598705965, 0 + proj_long ), "" )</f>
        <v/>
      </c>
      <c r="BI23" t="str">
        <f ca="1">IFERROR( _xludf.LET( x_mes, INDEX(DATABASE.X:(X),MATCH(1,(DATABASE.DATE:DATE=$A23)*(DATABASE.NO:(NO)="REF2"),0)), y_mes, INDEX(DATABASE.Y:(Y),MATCH(1,(DATABASE.DATE:DATE=$A23)*(DATABASE.NO:(NO)="REF2"),0)),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BJ23" t="str">
        <f>IFERROR( INDEX(DATABASE.Z:(Z),MATCH(1,(DATABASE.DATE:DATE=$A23)*(DATABASE.NO:(NO)="REF2"),0)) - -123.621, "" )</f>
        <v/>
      </c>
    </row>
    <row r="24" spans="3:62" x14ac:dyDescent="0.25">
      <c r="C24" t="str">
        <f ca="1">IFERROR( _xludf.LET( x_mes, INDEX(DATABASE.X:(X),MATCH(1,(DATABASE.DATE:DATE=$A24)*(DATABASE.NO:(NO)="V1"),0)), y_mes, INDEX(DATABASE.Y:(Y),MATCH(1,(DATABASE.DATE:DATE=$A24)*(DATABASE.NO:(NO)="V1"),0)), dx_mes, x_mes-823216.6581, dy_mes, y_mes-1091503.0821, proj_long, (dx_mes*42.2619000000413 + dy_mes*-90.6307000000961)/99.9999598705965, 0 + proj_long ), "" )</f>
        <v/>
      </c>
      <c r="D24" t="str">
        <f ca="1">IFERROR( _xludf.LET( x_mes, INDEX(DATABASE.X:(X),MATCH(1,(DATABASE.DATE:DATE=$A24)*(DATABASE.NO:(NO)="V1"),0)), y_mes, INDEX(DATABASE.Y:(Y),MATCH(1,(DATABASE.DATE:DATE=$A24)*(DATABASE.NO:(NO)="V1"),0)),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E24" t="str">
        <f>IFERROR( INDEX(DATABASE.Z:(Z),MATCH(1,(DATABASE.DATE:DATE=$A24)*(DATABASE.NO:(NO)="V1"),0)) - -123.621, "" )</f>
        <v/>
      </c>
      <c r="F24" t="str">
        <f ca="1">IFERROR( _xludf.LET( x_mes, INDEX(DATABASE.X:(X),MATCH(1,(DATABASE.DATE:DATE=$A24)*(DATABASE.NO:(NO)="V2"),0)), y_mes, INDEX(DATABASE.Y:(Y),MATCH(1,(DATABASE.DATE:DATE=$A24)*(DATABASE.NO:(NO)="V2"),0)), dx_mes, x_mes-823216.6581, dy_mes, y_mes-1091503.0821, proj_long, (dx_mes*42.2619000000413 + dy_mes*-90.6307000000961)/99.9999598705965, 0 + proj_long ), "" )</f>
        <v/>
      </c>
      <c r="G24" t="str">
        <f ca="1">IFERROR( _xludf.LET( x_mes, INDEX(DATABASE.X:(X),MATCH(1,(DATABASE.DATE:DATE=$A24)*(DATABASE.NO:(NO)="V2"),0)), y_mes, INDEX(DATABASE.Y:(Y),MATCH(1,(DATABASE.DATE:DATE=$A24)*(DATABASE.NO:(NO)="V2"),0)),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H24" t="str">
        <f>IFERROR( INDEX(DATABASE.Z:(Z),MATCH(1,(DATABASE.DATE:DATE=$A24)*(DATABASE.NO:(NO)="V2"),0)) - -123.621, "" )</f>
        <v/>
      </c>
      <c r="I24" t="str">
        <f ca="1">IFERROR( _xludf.LET( x_mes, INDEX(DATABASE.X:(X),MATCH(1,(DATABASE.DATE:DATE=$A24)*(DATABASE.NO:(NO)="V3"),0)), y_mes, INDEX(DATABASE.Y:(Y),MATCH(1,(DATABASE.DATE:DATE=$A24)*(DATABASE.NO:(NO)="V3"),0)), dx_mes, x_mes-823216.6581, dy_mes, y_mes-1091503.0821, proj_long, (dx_mes*42.2619000000413 + dy_mes*-90.6307000000961)/99.9999598705965, 0 + proj_long ), "" )</f>
        <v/>
      </c>
      <c r="J24" t="str">
        <f ca="1">IFERROR( _xludf.LET( x_mes, INDEX(DATABASE.X:(X),MATCH(1,(DATABASE.DATE:DATE=$A24)*(DATABASE.NO:(NO)="V3"),0)), y_mes, INDEX(DATABASE.Y:(Y),MATCH(1,(DATABASE.DATE:DATE=$A24)*(DATABASE.NO:(NO)="V3"),0)),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K24" t="str">
        <f>IFERROR( INDEX(DATABASE.Z:(Z),MATCH(1,(DATABASE.DATE:DATE=$A24)*(DATABASE.NO:(NO)="V3"),0)) - -123.621, "" )</f>
        <v/>
      </c>
      <c r="L24" t="str">
        <f ca="1">IFERROR( _xludf.LET( x_mes, INDEX(DATABASE.X:(X),MATCH(1,(DATABASE.DATE:DATE=$A24)*(DATABASE.NO:(NO)="H1"),0)), y_mes, INDEX(DATABASE.Y:(Y),MATCH(1,(DATABASE.DATE:DATE=$A24)*(DATABASE.NO:(NO)="H1"),0)), dx_mes, x_mes-823216.6581, dy_mes, y_mes-1091503.0821, proj_long, (dx_mes*42.2619000000413 + dy_mes*-90.6307000000961)/99.9999598705965, 0 + proj_long ), "" )</f>
        <v/>
      </c>
      <c r="M24" t="str">
        <f ca="1">IFERROR( _xludf.LET( x_mes, INDEX(DATABASE.X:(X),MATCH(1,(DATABASE.DATE:DATE=$A24)*(DATABASE.NO:(NO)="H1"),0)), y_mes, INDEX(DATABASE.Y:(Y),MATCH(1,(DATABASE.DATE:DATE=$A24)*(DATABASE.NO:(NO)="H1"),0)),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N24" t="str">
        <f>IFERROR( INDEX(DATABASE.Z:(Z),MATCH(1,(DATABASE.DATE:DATE=$A24)*(DATABASE.NO:(NO)="H1"),0)) - -123.621, "" )</f>
        <v/>
      </c>
      <c r="O24" t="str">
        <f ca="1">IFERROR( _xludf.LET( x_mes, INDEX(DATABASE.X:(X),MATCH(1,(DATABASE.DATE:DATE=$A24)*(DATABASE.NO:(NO)="H2"),0)), y_mes, INDEX(DATABASE.Y:(Y),MATCH(1,(DATABASE.DATE:DATE=$A24)*(DATABASE.NO:(NO)="H2"),0)), dx_mes, x_mes-823216.6581, dy_mes, y_mes-1091503.0821, proj_long, (dx_mes*42.2619000000413 + dy_mes*-90.6307000000961)/99.9999598705965, 0 + proj_long ), "" )</f>
        <v/>
      </c>
      <c r="P24" t="str">
        <f ca="1">IFERROR( _xludf.LET( x_mes, INDEX(DATABASE.X:(X),MATCH(1,(DATABASE.DATE:DATE=$A24)*(DATABASE.NO:(NO)="H2"),0)), y_mes, INDEX(DATABASE.Y:(Y),MATCH(1,(DATABASE.DATE:DATE=$A24)*(DATABASE.NO:(NO)="H2"),0)),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Q24" t="str">
        <f>IFERROR( INDEX(DATABASE.Z:(Z),MATCH(1,(DATABASE.DATE:DATE=$A24)*(DATABASE.NO:(NO)="H2"),0)) - -123.621, "" )</f>
        <v/>
      </c>
      <c r="R24" t="str">
        <f ca="1">IFERROR( _xludf.LET( x_mes, INDEX(DATABASE.X:(X),MATCH(1,(DATABASE.DATE:DATE=$A24)*(DATABASE.NO:(NO)="H3"),0)), y_mes, INDEX(DATABASE.Y:(Y),MATCH(1,(DATABASE.DATE:DATE=$A24)*(DATABASE.NO:(NO)="H3"),0)), dx_mes, x_mes-823216.6581, dy_mes, y_mes-1091503.0821, proj_long, (dx_mes*42.2619000000413 + dy_mes*-90.6307000000961)/99.9999598705965, 0 + proj_long ), "" )</f>
        <v/>
      </c>
      <c r="S24" t="str">
        <f ca="1">IFERROR( _xludf.LET( x_mes, INDEX(DATABASE.X:(X),MATCH(1,(DATABASE.DATE:DATE=$A24)*(DATABASE.NO:(NO)="H3"),0)), y_mes, INDEX(DATABASE.Y:(Y),MATCH(1,(DATABASE.DATE:DATE=$A24)*(DATABASE.NO:(NO)="H3"),0)),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T24" t="str">
        <f>IFERROR( INDEX(DATABASE.Z:(Z),MATCH(1,(DATABASE.DATE:DATE=$A24)*(DATABASE.NO:(NO)="H3"),0)) - -123.621, "" )</f>
        <v/>
      </c>
      <c r="U24" t="str">
        <f ca="1">IFERROR( _xludf.LET( x_mes, INDEX(DATABASE.X:(X),MATCH(1,(DATABASE.DATE:DATE=$A24)*(DATABASE.NO:(NO)="H4"),0)), y_mes, INDEX(DATABASE.Y:(Y),MATCH(1,(DATABASE.DATE:DATE=$A24)*(DATABASE.NO:(NO)="H4"),0)), dx_mes, x_mes-823216.6581, dy_mes, y_mes-1091503.0821, proj_long, (dx_mes*42.2619000000413 + dy_mes*-90.6307000000961)/99.9999598705965, 0 + proj_long ), "" )</f>
        <v/>
      </c>
      <c r="V24" t="str">
        <f ca="1">IFERROR( _xludf.LET( x_mes, INDEX(DATABASE.X:(X),MATCH(1,(DATABASE.DATE:DATE=$A24)*(DATABASE.NO:(NO)="H4"),0)), y_mes, INDEX(DATABASE.Y:(Y),MATCH(1,(DATABASE.DATE:DATE=$A24)*(DATABASE.NO:(NO)="H4"),0)),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W24" t="str">
        <f>IFERROR( INDEX(DATABASE.Z:(Z),MATCH(1,(DATABASE.DATE:DATE=$A24)*(DATABASE.NO:(NO)="H4"),0)) - -123.621, "" )</f>
        <v/>
      </c>
      <c r="X24" t="str">
        <f ca="1">IFERROR( _xludf.LET( x_mes, INDEX(DATABASE.X:(X),MATCH(1,(DATABASE.DATE:DATE=$A24)*(DATABASE.NO:(NO)="H5"),0)), y_mes, INDEX(DATABASE.Y:(Y),MATCH(1,(DATABASE.DATE:DATE=$A24)*(DATABASE.NO:(NO)="H5"),0)), dx_mes, x_mes-823216.6581, dy_mes, y_mes-1091503.0821, proj_long, (dx_mes*42.2619000000413 + dy_mes*-90.6307000000961)/99.9999598705965, 0 + proj_long ), "" )</f>
        <v/>
      </c>
      <c r="Y24" t="str">
        <f ca="1">IFERROR( _xludf.LET( x_mes, INDEX(DATABASE.X:(X),MATCH(1,(DATABASE.DATE:DATE=$A24)*(DATABASE.NO:(NO)="H5"),0)), y_mes, INDEX(DATABASE.Y:(Y),MATCH(1,(DATABASE.DATE:DATE=$A24)*(DATABASE.NO:(NO)="H5"),0)),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Z24" t="str">
        <f>IFERROR( INDEX(DATABASE.Z:(Z),MATCH(1,(DATABASE.DATE:DATE=$A24)*(DATABASE.NO:(NO)="H5"),0)) - -123.621, "" )</f>
        <v/>
      </c>
      <c r="AA24" t="str">
        <f ca="1">IFERROR( _xludf.LET( x_mes, INDEX(DATABASE.X:(X),MATCH(1,(DATABASE.DATE:DATE=$A24)*(DATABASE.NO:(NO)="B1"),0)), y_mes, INDEX(DATABASE.Y:(Y),MATCH(1,(DATABASE.DATE:DATE=$A24)*(DATABASE.NO:(NO)="B1"),0)), dx_mes, x_mes-823216.6581, dy_mes, y_mes-1091503.0821, proj_long, (dx_mes*42.2619000000413 + dy_mes*-90.6307000000961)/99.9999598705965, 0 + proj_long ), "" )</f>
        <v/>
      </c>
      <c r="AB24" t="str">
        <f ca="1">IFERROR( _xludf.LET( x_mes, INDEX(DATABASE.X:(X),MATCH(1,(DATABASE.DATE:DATE=$A24)*(DATABASE.NO:(NO)="B1"),0)), y_mes, INDEX(DATABASE.Y:(Y),MATCH(1,(DATABASE.DATE:DATE=$A24)*(DATABASE.NO:(NO)="B1"),0)),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C24" t="str">
        <f>IFERROR( INDEX(DATABASE.Z:(Z),MATCH(1,(DATABASE.DATE:DATE=$A24)*(DATABASE.NO:(NO)="B1"),0)) - -123.621, "" )</f>
        <v/>
      </c>
      <c r="AD24" t="str">
        <f ca="1">IFERROR( _xludf.LET( x_mes, INDEX(DATABASE.X:(X),MATCH(1,(DATABASE.DATE:DATE=$A24)*(DATABASE.NO:(NO)="B2"),0)), y_mes, INDEX(DATABASE.Y:(Y),MATCH(1,(DATABASE.DATE:DATE=$A24)*(DATABASE.NO:(NO)="B2"),0)), dx_mes, x_mes-823216.6581, dy_mes, y_mes-1091503.0821, proj_long, (dx_mes*42.2619000000413 + dy_mes*-90.6307000000961)/99.9999598705965, 0 + proj_long ), "" )</f>
        <v/>
      </c>
      <c r="AE24" t="str">
        <f ca="1">IFERROR( _xludf.LET( x_mes, INDEX(DATABASE.X:(X),MATCH(1,(DATABASE.DATE:DATE=$A24)*(DATABASE.NO:(NO)="B2"),0)), y_mes, INDEX(DATABASE.Y:(Y),MATCH(1,(DATABASE.DATE:DATE=$A24)*(DATABASE.NO:(NO)="B2"),0)),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F24" t="str">
        <f>IFERROR( INDEX(DATABASE.Z:(Z),MATCH(1,(DATABASE.DATE:DATE=$A24)*(DATABASE.NO:(NO)="B2"),0)) - -123.621, "" )</f>
        <v/>
      </c>
      <c r="AG24" t="str">
        <f ca="1">IFERROR( _xludf.LET( x_mes, INDEX(DATABASE.X:(X),MATCH(1,(DATABASE.DATE:DATE=$A24)*(DATABASE.NO:(NO)="B3"),0)), y_mes, INDEX(DATABASE.Y:(Y),MATCH(1,(DATABASE.DATE:DATE=$A24)*(DATABASE.NO:(NO)="B3"),0)), dx_mes, x_mes-823216.6581, dy_mes, y_mes-1091503.0821, proj_long, (dx_mes*42.2619000000413 + dy_mes*-90.6307000000961)/99.9999598705965, 0 + proj_long ), "" )</f>
        <v/>
      </c>
      <c r="AH24" t="str">
        <f ca="1">IFERROR( _xludf.LET( x_mes, INDEX(DATABASE.X:(X),MATCH(1,(DATABASE.DATE:DATE=$A24)*(DATABASE.NO:(NO)="B3"),0)), y_mes, INDEX(DATABASE.Y:(Y),MATCH(1,(DATABASE.DATE:DATE=$A24)*(DATABASE.NO:(NO)="B3"),0)),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I24" t="str">
        <f>IFERROR( INDEX(DATABASE.Z:(Z),MATCH(1,(DATABASE.DATE:DATE=$A24)*(DATABASE.NO:(NO)="B3"),0)) - -123.621, "" )</f>
        <v/>
      </c>
      <c r="AJ24" t="str">
        <f ca="1">IFERROR( _xludf.LET( x_mes, INDEX(DATABASE.X:(X),MATCH(1,(DATABASE.DATE:DATE=$A24)*(DATABASE.NO:(NO)="B4"),0)), y_mes, INDEX(DATABASE.Y:(Y),MATCH(1,(DATABASE.DATE:DATE=$A24)*(DATABASE.NO:(NO)="B4"),0)), dx_mes, x_mes-823216.6581, dy_mes, y_mes-1091503.0821, proj_long, (dx_mes*42.2619000000413 + dy_mes*-90.6307000000961)/99.9999598705965, 0 + proj_long ), "" )</f>
        <v/>
      </c>
      <c r="AK24" t="str">
        <f ca="1">IFERROR( _xludf.LET( x_mes, INDEX(DATABASE.X:(X),MATCH(1,(DATABASE.DATE:DATE=$A24)*(DATABASE.NO:(NO)="B4"),0)), y_mes, INDEX(DATABASE.Y:(Y),MATCH(1,(DATABASE.DATE:DATE=$A24)*(DATABASE.NO:(NO)="B4"),0)),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L24" t="str">
        <f>IFERROR( INDEX(DATABASE.Z:(Z),MATCH(1,(DATABASE.DATE:DATE=$A24)*(DATABASE.NO:(NO)="B4"),0)) - -123.621, "" )</f>
        <v/>
      </c>
      <c r="AM24" t="str">
        <f ca="1">IFERROR( _xludf.LET( x_mes, INDEX(DATABASE.X:(X),MATCH(1,(DATABASE.DATE:DATE=$A24)*(DATABASE.NO:(NO)="B5"),0)), y_mes, INDEX(DATABASE.Y:(Y),MATCH(1,(DATABASE.DATE:DATE=$A24)*(DATABASE.NO:(NO)="B5"),0)), dx_mes, x_mes-823216.6581, dy_mes, y_mes-1091503.0821, proj_long, (dx_mes*42.2619000000413 + dy_mes*-90.6307000000961)/99.9999598705965, 0 + proj_long ), "" )</f>
        <v/>
      </c>
      <c r="AN24" t="str">
        <f ca="1">IFERROR( _xludf.LET( x_mes, INDEX(DATABASE.X:(X),MATCH(1,(DATABASE.DATE:DATE=$A24)*(DATABASE.NO:(NO)="B5"),0)), y_mes, INDEX(DATABASE.Y:(Y),MATCH(1,(DATABASE.DATE:DATE=$A24)*(DATABASE.NO:(NO)="B5"),0)),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O24" t="str">
        <f>IFERROR( INDEX(DATABASE.Z:(Z),MATCH(1,(DATABASE.DATE:DATE=$A24)*(DATABASE.NO:(NO)="B5"),0)) - -123.621, "" )</f>
        <v/>
      </c>
      <c r="AP24" t="str">
        <f ca="1">IFERROR( _xludf.LET( x_mes, INDEX(DATABASE.X:(X),MATCH(1,(DATABASE.DATE:DATE=$A24)*(DATABASE.NO:(NO)="M1"),0)), y_mes, INDEX(DATABASE.Y:(Y),MATCH(1,(DATABASE.DATE:DATE=$A24)*(DATABASE.NO:(NO)="M1"),0)), dx_mes, x_mes-823216.6581, dy_mes, y_mes-1091503.0821, proj_long, (dx_mes*42.2619000000413 + dy_mes*-90.6307000000961)/99.9999598705965, 0 + proj_long ), "" )</f>
        <v/>
      </c>
      <c r="AQ24" t="str">
        <f ca="1">IFERROR( _xludf.LET( x_mes, INDEX(DATABASE.X:(X),MATCH(1,(DATABASE.DATE:DATE=$A24)*(DATABASE.NO:(NO)="M1"),0)), y_mes, INDEX(DATABASE.Y:(Y),MATCH(1,(DATABASE.DATE:DATE=$A24)*(DATABASE.NO:(NO)="M1"),0)),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R24" t="str">
        <f>IFERROR( INDEX(DATABASE.Z:(Z),MATCH(1,(DATABASE.DATE:DATE=$A24)*(DATABASE.NO:(NO)="M1"),0)) - -123.621, "" )</f>
        <v/>
      </c>
      <c r="AS24" t="str">
        <f ca="1">IFERROR( _xludf.LET( x_mes, INDEX(DATABASE.X:(X),MATCH(1,(DATABASE.DATE:DATE=$A24)*(DATABASE.NO:(NO)="M2"),0)), y_mes, INDEX(DATABASE.Y:(Y),MATCH(1,(DATABASE.DATE:DATE=$A24)*(DATABASE.NO:(NO)="M2"),0)), dx_mes, x_mes-823216.6581, dy_mes, y_mes-1091503.0821, proj_long, (dx_mes*42.2619000000413 + dy_mes*-90.6307000000961)/99.9999598705965, 0 + proj_long ), "" )</f>
        <v/>
      </c>
      <c r="AT24" t="str">
        <f ca="1">IFERROR( _xludf.LET( x_mes, INDEX(DATABASE.X:(X),MATCH(1,(DATABASE.DATE:DATE=$A24)*(DATABASE.NO:(NO)="M2"),0)), y_mes, INDEX(DATABASE.Y:(Y),MATCH(1,(DATABASE.DATE:DATE=$A24)*(DATABASE.NO:(NO)="M2"),0)),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U24" t="str">
        <f>IFERROR( INDEX(DATABASE.Z:(Z),MATCH(1,(DATABASE.DATE:DATE=$A24)*(DATABASE.NO:(NO)="M2"),0)) - -123.621, "" )</f>
        <v/>
      </c>
      <c r="AV24" t="str">
        <f ca="1">IFERROR( _xludf.LET( x_mes, INDEX(DATABASE.X:(X),MATCH(1,(DATABASE.DATE:DATE=$A24)*(DATABASE.NO:(NO)="M3"),0)), y_mes, INDEX(DATABASE.Y:(Y),MATCH(1,(DATABASE.DATE:DATE=$A24)*(DATABASE.NO:(NO)="M3"),0)), dx_mes, x_mes-823216.6581, dy_mes, y_mes-1091503.0821, proj_long, (dx_mes*42.2619000000413 + dy_mes*-90.6307000000961)/99.9999598705965, 0 + proj_long ), "" )</f>
        <v/>
      </c>
      <c r="AW24" t="str">
        <f ca="1">IFERROR( _xludf.LET( x_mes, INDEX(DATABASE.X:(X),MATCH(1,(DATABASE.DATE:DATE=$A24)*(DATABASE.NO:(NO)="M3"),0)), y_mes, INDEX(DATABASE.Y:(Y),MATCH(1,(DATABASE.DATE:DATE=$A24)*(DATABASE.NO:(NO)="M3"),0)),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AX24" t="str">
        <f>IFERROR( INDEX(DATABASE.Z:(Z),MATCH(1,(DATABASE.DATE:DATE=$A24)*(DATABASE.NO:(NO)="M3"),0)) - -123.621, "" )</f>
        <v/>
      </c>
      <c r="AY24" t="str">
        <f ca="1">IFERROR( _xludf.LET( x_mes, INDEX(DATABASE.X:(X),MATCH(1,(DATABASE.DATE:DATE=$A24)*(DATABASE.NO:(NO)="M4"),0)), y_mes, INDEX(DATABASE.Y:(Y),MATCH(1,(DATABASE.DATE:DATE=$A24)*(DATABASE.NO:(NO)="M4"),0)), dx_mes, x_mes-823216.6581, dy_mes, y_mes-1091503.0821, proj_long, (dx_mes*42.2619000000413 + dy_mes*-90.6307000000961)/99.9999598705965, 0 + proj_long ), "" )</f>
        <v/>
      </c>
      <c r="AZ24" t="str">
        <f ca="1">IFERROR( _xludf.LET( x_mes, INDEX(DATABASE.X:(X),MATCH(1,(DATABASE.DATE:DATE=$A24)*(DATABASE.NO:(NO)="M4"),0)), y_mes, INDEX(DATABASE.Y:(Y),MATCH(1,(DATABASE.DATE:DATE=$A24)*(DATABASE.NO:(NO)="M4"),0)),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BA24" t="str">
        <f>IFERROR( INDEX(DATABASE.Z:(Z),MATCH(1,(DATABASE.DATE:DATE=$A24)*(DATABASE.NO:(NO)="M4"),0)) - -123.621, "" )</f>
        <v/>
      </c>
      <c r="BB24" t="str">
        <f ca="1">IFERROR( _xludf.LET( x_mes, INDEX(DATABASE.X:(X),MATCH(1,(DATABASE.DATE:DATE=$A24)*(DATABASE.NO:(NO)="M5"),0)), y_mes, INDEX(DATABASE.Y:(Y),MATCH(1,(DATABASE.DATE:DATE=$A24)*(DATABASE.NO:(NO)="M5"),0)), dx_mes, x_mes-823216.6581, dy_mes, y_mes-1091503.0821, proj_long, (dx_mes*42.2619000000413 + dy_mes*-90.6307000000961)/99.9999598705965, 0 + proj_long ), "" )</f>
        <v/>
      </c>
      <c r="BC24" t="str">
        <f ca="1">IFERROR( _xludf.LET( x_mes, INDEX(DATABASE.X:(X),MATCH(1,(DATABASE.DATE:DATE=$A24)*(DATABASE.NO:(NO)="M5"),0)), y_mes, INDEX(DATABASE.Y:(Y),MATCH(1,(DATABASE.DATE:DATE=$A24)*(DATABASE.NO:(NO)="M5"),0)),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BD24" t="str">
        <f>IFERROR( INDEX(DATABASE.Z:(Z),MATCH(1,(DATABASE.DATE:DATE=$A24)*(DATABASE.NO:(NO)="M5"),0)) - -123.621, "" )</f>
        <v/>
      </c>
      <c r="BE24" t="str">
        <f ca="1">IFERROR( _xludf.LET( x_mes, INDEX(DATABASE.X:(X),MATCH(1,(DATABASE.DATE:DATE=$A24)*(DATABASE.NO:(NO)="REF1"),0)), y_mes, INDEX(DATABASE.Y:(Y),MATCH(1,(DATABASE.DATE:DATE=$A24)*(DATABASE.NO:(NO)="REF1"),0)), dx_mes, x_mes-823216.6581, dy_mes, y_mes-1091503.0821, proj_long, (dx_mes*42.2619000000413 + dy_mes*-90.6307000000961)/99.9999598705965, 0 + proj_long ), "" )</f>
        <v/>
      </c>
      <c r="BF24" t="str">
        <f ca="1">IFERROR( _xludf.LET( x_mes, INDEX(DATABASE.X:(X),MATCH(1,(DATABASE.DATE:DATE=$A24)*(DATABASE.NO:(NO)="REF1"),0)), y_mes, INDEX(DATABASE.Y:(Y),MATCH(1,(DATABASE.DATE:DATE=$A24)*(DATABASE.NO:(NO)="REF1"),0)),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BG24" t="str">
        <f>IFERROR( INDEX(DATABASE.Z:(Z),MATCH(1,(DATABASE.DATE:DATE=$A24)*(DATABASE.NO:(NO)="REF1"),0)) - -123.621, "" )</f>
        <v/>
      </c>
      <c r="BH24" t="str">
        <f ca="1">IFERROR( _xludf.LET( x_mes, INDEX(DATABASE.X:(X),MATCH(1,(DATABASE.DATE:DATE=$A24)*(DATABASE.NO:(NO)="REF2"),0)), y_mes, INDEX(DATABASE.Y:(Y),MATCH(1,(DATABASE.DATE:DATE=$A24)*(DATABASE.NO:(NO)="REF2"),0)), dx_mes, x_mes-823216.6581, dy_mes, y_mes-1091503.0821, proj_long, (dx_mes*42.2619000000413 + dy_mes*-90.6307000000961)/99.9999598705965, 0 + proj_long ), "" )</f>
        <v/>
      </c>
      <c r="BI24" t="str">
        <f ca="1">IFERROR( _xludf.LET( x_mes, INDEX(DATABASE.X:(X),MATCH(1,(DATABASE.DATE:DATE=$A24)*(DATABASE.NO:(NO)="REF2"),0)), y_mes, INDEX(DATABASE.Y:(Y),MATCH(1,(DATABASE.DATE:DATE=$A24)*(DATABASE.NO:(NO)="REF2"),0)), dx_mes, x_mes-823216.6581, dy_mes, y_mes-1091503.0821, proj_long, (dx_mes*42.2619000000413 + dy_mes*-90.6307000000961)/99.9999598705965, ratio, proj_long/99.9999598705965, x_proj, 823216.6581 + ratio*42.2619000000413, y_proj, 1091503.0821 + ratio*-90.6307000000961, dx_trans, x_mes-x_proj, dy_trans, y_mes-y_proj, deport_abs, SQRT(dx_trans^2+dy_trans^2), signe, IF((42.2619000000413*dy_trans - -90.6307000000961*dx_trans)&lt;0, -1, 1), deport_abs * signe ), "" )</f>
        <v/>
      </c>
      <c r="BJ24" t="str">
        <f>IFERROR( INDEX(DATABASE.Z:(Z),MATCH(1,(DATABASE.DATE:DATE=$A24)*(DATABASE.NO:(NO)="REF2"),0)) - -123.621, "" 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DATABASE</vt:lpstr>
      <vt:lpstr>Observations</vt:lpstr>
      <vt:lpstr>PROJECTION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olivier boissard</cp:lastModifiedBy>
  <dcterms:created xsi:type="dcterms:W3CDTF">2025-10-17T08:27:16Z</dcterms:created>
  <dcterms:modified xsi:type="dcterms:W3CDTF">2025-10-17T10:33:27Z</dcterms:modified>
</cp:coreProperties>
</file>