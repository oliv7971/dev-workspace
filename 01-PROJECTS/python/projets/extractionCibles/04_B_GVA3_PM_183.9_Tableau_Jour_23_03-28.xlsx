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ata\11-CHANTIERS\BURE\10-ACTIVITES\2025\11\2025-11-06-b-etude referentiel carrefour GCR\identification cibles GMP104\"/>
    </mc:Choice>
  </mc:AlternateContent>
  <xr:revisionPtr revIDLastSave="0" documentId="8_{C254FEF4-1CA0-4555-A955-A89D8BF9ED71}" xr6:coauthVersionLast="47" xr6:coauthVersionMax="47" xr10:uidLastSave="{00000000-0000-0000-0000-000000000000}"/>
  <bookViews>
    <workbookView xWindow="57480" yWindow="-120" windowWidth="25440" windowHeight="15390" xr2:uid="{00000000-000D-0000-FFFF-FFFF00000000}"/>
  </bookViews>
  <sheets>
    <sheet name="Résultats observations" sheetId="1" r:id="rId1"/>
    <sheet name="Convergences" sheetId="2" r:id="rId2"/>
    <sheet name="Déplacements" sheetId="3" r:id="rId3"/>
    <sheet name="Graphiques" sheetId="4" r:id="rId4"/>
    <sheet name="Graph avancement" sheetId="5" r:id="rId5"/>
    <sheet name="commentaires" sheetId="6" r:id="rId6"/>
  </sheets>
  <definedNames>
    <definedName name="cintre">'Résultats observations'!$W$4</definedName>
    <definedName name="date">'Résultats observations'!$A:$A</definedName>
    <definedName name="DH_BD">'Résultats observations'!$DD:$DD</definedName>
    <definedName name="DH_BG">'Résultats observations'!$CL:$CL</definedName>
    <definedName name="DH_HD">'Résultats observations'!$CX:$CX</definedName>
    <definedName name="DH_HG">'Résultats observations'!$CR:$CR</definedName>
    <definedName name="DH_ID">'Résultats observations'!$DA:$DA</definedName>
    <definedName name="DH_IG">'Résultats observations'!$CO:$CO</definedName>
    <definedName name="DHhaut">'Résultats observations'!$CU:$CU</definedName>
    <definedName name="dist">'Résultats observations'!$D:$D</definedName>
    <definedName name="DPM_BD">'Résultats observations'!$DC:$DC</definedName>
    <definedName name="DPM_BG">'Résultats observations'!$CK:$CK</definedName>
    <definedName name="DPM_HD">'Résultats observations'!$CW:$CW</definedName>
    <definedName name="DPM_HG">'Résultats observations'!$CQ:$CQ</definedName>
    <definedName name="DPM_ID">'Résultats observations'!$CZ:$CZ</definedName>
    <definedName name="DPM_IG">'Résultats observations'!$CN:$CN</definedName>
    <definedName name="DPMhaut">'Résultats observations'!$CT:$CT</definedName>
    <definedName name="DZ_BD">'Résultats observations'!$BM:$BM</definedName>
    <definedName name="DZ_BG">'Résultats observations'!$AU:$AU</definedName>
    <definedName name="DZ_HD">'Résultats observations'!$BG:$BG</definedName>
    <definedName name="DZ_HG">'Résultats observations'!$BA:$BA</definedName>
    <definedName name="DZ_ID">'Résultats observations'!$BJ:$BJ</definedName>
    <definedName name="DZ_IG">'Résultats observations'!$AX:$AX</definedName>
    <definedName name="DZhaut">'Résultats observations'!$BD:$BD</definedName>
    <definedName name="Ecart_BD">'Résultats observations'!$AN:$AN</definedName>
    <definedName name="Ecart_BG">'Résultats observations'!$AI:$AI</definedName>
    <definedName name="Ecart_HD">'Résultats observations'!$AL:$AL</definedName>
    <definedName name="Ecart_HG">'Résultats observations'!$AK:$AK</definedName>
    <definedName name="Ecart_ID">'Résultats observations'!$AM:$AM</definedName>
    <definedName name="Ecart_IG">'Résultats observations'!$AJ:$AJ</definedName>
    <definedName name="Ecart_LB">'Résultats observations'!$AQ:$AQ</definedName>
    <definedName name="Ecart_LH">'Résultats observations'!$AO:$AO</definedName>
    <definedName name="Ecart_LI">'Résultats observations'!$AP:$AP</definedName>
    <definedName name="excav">'Résultats observations'!$A$7</definedName>
    <definedName name="front">'Résultats observations'!$C:$C</definedName>
    <definedName name="galerie">'Résultats observations'!$G$4</definedName>
    <definedName name="_xlnm.Print_Titles" localSheetId="1">Convergences!$1:$9</definedName>
    <definedName name="_xlnm.Print_Titles" localSheetId="2">Déplacements!$1:$9</definedName>
    <definedName name="_xlnm.Print_Titles" localSheetId="0">'Résultats observations'!$1:$9</definedName>
    <definedName name="jours">'Résultats observations'!$B:$B</definedName>
    <definedName name="PM">'Résultats observations'!$W$6</definedName>
    <definedName name="Xbasdroit">'Résultats observations'!$W:$W</definedName>
    <definedName name="Xbasgauche">'Résultats observations'!$E:$E</definedName>
    <definedName name="Xhaut">'Résultats observations'!$N:$N</definedName>
    <definedName name="Xhautdroit">'Résultats observations'!$Q:$Q</definedName>
    <definedName name="Xhautgauche">'Résultats observations'!$K:$K</definedName>
    <definedName name="Xinterdroit">'Résultats observations'!$T:$T</definedName>
    <definedName name="Xintergauche">'Résultats observations'!$H:$H</definedName>
    <definedName name="Ybasdroit">'Résultats observations'!$X:$X</definedName>
    <definedName name="Ybasgauche">'Résultats observations'!$F:$F</definedName>
    <definedName name="Yhaut">'Résultats observations'!$O:$O</definedName>
    <definedName name="Yhautdroit">'Résultats observations'!$R:$R</definedName>
    <definedName name="Yhautgauche">'Résultats observations'!$L:$L</definedName>
    <definedName name="Yinterdroit">'Résultats observations'!$U:$U</definedName>
    <definedName name="Yintergauche">'Résultats observations'!$I:$I</definedName>
    <definedName name="Zbasdroit">'Résultats observations'!$Y:$Y</definedName>
    <definedName name="Zbasgauche">'Résultats observations'!$G:$G</definedName>
    <definedName name="Zhaut">'Résultats observations'!$P:$P</definedName>
    <definedName name="Zhautdroit">'Résultats observations'!$S:$S</definedName>
    <definedName name="Zhautgauche">'Résultats observations'!$M:$M</definedName>
    <definedName name="Zinterdroit">'Résultats observations'!$V:$V</definedName>
    <definedName name="Zintergauche">'Résultats observations'!$J:$J</definedName>
    <definedName name="_xlnm.Print_Area" localSheetId="1">Convergences!$A$1:$Z$91</definedName>
    <definedName name="_xlnm.Print_Area" localSheetId="2">Déplacements!$A$1:$W$91</definedName>
    <definedName name="_xlnm.Print_Area" localSheetId="3">Graphiques!$B$2:$L$34,Graphiques!$N$2:$X$34,Graphiques!$B$36:$L$68,Graphiques!$N$36:$X$68,Graphiques!$B$70:$L$102,Graphiques!$N$70:$X$102</definedName>
    <definedName name="_xlnm.Print_Area" localSheetId="0">'Résultats observations'!$A$1:$AH$10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7" i="3" l="1"/>
  <c r="B107" i="3"/>
  <c r="C107" i="3"/>
  <c r="D107" i="3"/>
  <c r="E107" i="3"/>
  <c r="F107" i="3"/>
  <c r="G107" i="3"/>
  <c r="H107" i="3"/>
  <c r="L107" i="3"/>
  <c r="M107" i="3"/>
  <c r="N107" i="3"/>
  <c r="Y107" i="3" s="1"/>
  <c r="R107" i="3"/>
  <c r="S107" i="3"/>
  <c r="T107" i="3"/>
  <c r="U107" i="3"/>
  <c r="V107" i="3"/>
  <c r="W107" i="3"/>
  <c r="A107" i="2"/>
  <c r="B107" i="2"/>
  <c r="C107" i="2"/>
  <c r="D107" i="2"/>
  <c r="E107" i="2"/>
  <c r="S107" i="2" s="1"/>
  <c r="H107" i="2"/>
  <c r="V107" i="2" s="1"/>
  <c r="I107" i="2"/>
  <c r="K107" i="2"/>
  <c r="L107" i="2"/>
  <c r="R107" i="2"/>
  <c r="T107" i="2"/>
  <c r="U107" i="2"/>
  <c r="W107" i="2"/>
  <c r="X107" i="2"/>
  <c r="Y107" i="2"/>
  <c r="Z107" i="2"/>
  <c r="DE107" i="1"/>
  <c r="DD107" i="1"/>
  <c r="DC107" i="1"/>
  <c r="DB107" i="1"/>
  <c r="DA107" i="1"/>
  <c r="CZ107" i="1"/>
  <c r="CV107" i="1"/>
  <c r="CU107" i="1"/>
  <c r="CT107" i="1"/>
  <c r="CP107" i="1"/>
  <c r="CO107" i="1"/>
  <c r="CN107" i="1"/>
  <c r="CM107" i="1"/>
  <c r="CL107" i="1"/>
  <c r="CK107" i="1"/>
  <c r="BM107" i="1"/>
  <c r="BL107" i="1"/>
  <c r="BK107" i="1"/>
  <c r="BJ107" i="1"/>
  <c r="BI107" i="1"/>
  <c r="BH107" i="1"/>
  <c r="BG107" i="1"/>
  <c r="BF107" i="1"/>
  <c r="BE107" i="1"/>
  <c r="BD107" i="1"/>
  <c r="BC107" i="1"/>
  <c r="BB107" i="1"/>
  <c r="BA107" i="1"/>
  <c r="AZ107" i="1"/>
  <c r="AY107" i="1"/>
  <c r="AX107" i="1"/>
  <c r="AW107" i="1"/>
  <c r="AV107" i="1"/>
  <c r="AU107" i="1"/>
  <c r="AT107" i="1"/>
  <c r="AS107" i="1"/>
  <c r="AL107" i="1"/>
  <c r="AH107" i="1"/>
  <c r="AQ107" i="1" s="1"/>
  <c r="AG107" i="1"/>
  <c r="AP107" i="1" s="1"/>
  <c r="AE107" i="1"/>
  <c r="AN107" i="1" s="1"/>
  <c r="AD107" i="1"/>
  <c r="AM107" i="1" s="1"/>
  <c r="AA107" i="1"/>
  <c r="AJ107" i="1" s="1"/>
  <c r="Z107" i="1"/>
  <c r="AI107" i="1" s="1"/>
  <c r="B107" i="1"/>
  <c r="A106" i="3"/>
  <c r="B106" i="3"/>
  <c r="C106" i="3"/>
  <c r="D106" i="3"/>
  <c r="E106" i="3"/>
  <c r="F106" i="3"/>
  <c r="G106" i="3"/>
  <c r="H106" i="3"/>
  <c r="L106" i="3"/>
  <c r="M106" i="3"/>
  <c r="N106" i="3"/>
  <c r="R106" i="3"/>
  <c r="S106" i="3"/>
  <c r="T106" i="3"/>
  <c r="U106" i="3"/>
  <c r="V106" i="3"/>
  <c r="W106" i="3"/>
  <c r="Y106" i="3"/>
  <c r="A106" i="2"/>
  <c r="B106" i="2"/>
  <c r="C106" i="2"/>
  <c r="D106" i="2"/>
  <c r="R106" i="2" s="1"/>
  <c r="E106" i="2"/>
  <c r="H106" i="2"/>
  <c r="I106" i="2"/>
  <c r="K106" i="2"/>
  <c r="L106" i="2"/>
  <c r="S106" i="2"/>
  <c r="T106" i="2"/>
  <c r="U106" i="2"/>
  <c r="V106" i="2"/>
  <c r="W106" i="2"/>
  <c r="X106" i="2"/>
  <c r="Y106" i="2"/>
  <c r="Z106" i="2"/>
  <c r="DE106" i="1"/>
  <c r="DD106" i="1"/>
  <c r="DC106" i="1"/>
  <c r="DB106" i="1"/>
  <c r="DA106" i="1"/>
  <c r="CZ106" i="1"/>
  <c r="CV106" i="1"/>
  <c r="CU106" i="1"/>
  <c r="CT106" i="1"/>
  <c r="CP106" i="1"/>
  <c r="CO106" i="1"/>
  <c r="CN106" i="1"/>
  <c r="CM106" i="1"/>
  <c r="CL106" i="1"/>
  <c r="CK106" i="1"/>
  <c r="BM106" i="1"/>
  <c r="BL106" i="1"/>
  <c r="BK106" i="1"/>
  <c r="BJ106" i="1"/>
  <c r="BI106" i="1"/>
  <c r="BH106" i="1"/>
  <c r="BG106" i="1"/>
  <c r="BF106" i="1"/>
  <c r="BE106" i="1"/>
  <c r="BD106" i="1"/>
  <c r="BC106" i="1"/>
  <c r="BB106" i="1"/>
  <c r="BA106" i="1"/>
  <c r="AZ106" i="1"/>
  <c r="AY106" i="1"/>
  <c r="AX106" i="1"/>
  <c r="AW106" i="1"/>
  <c r="AV106" i="1"/>
  <c r="AU106" i="1"/>
  <c r="AT106" i="1"/>
  <c r="AS106" i="1"/>
  <c r="AL106" i="1"/>
  <c r="AH106" i="1"/>
  <c r="AQ106" i="1" s="1"/>
  <c r="AG106" i="1"/>
  <c r="AP106" i="1" s="1"/>
  <c r="AE106" i="1"/>
  <c r="AN106" i="1" s="1"/>
  <c r="AD106" i="1"/>
  <c r="AM106" i="1" s="1"/>
  <c r="AA106" i="1"/>
  <c r="AJ106" i="1" s="1"/>
  <c r="Z106" i="1"/>
  <c r="AI106" i="1" s="1"/>
  <c r="B106" i="1"/>
  <c r="A105" i="3"/>
  <c r="B105" i="3"/>
  <c r="C105" i="3"/>
  <c r="D105" i="3"/>
  <c r="E105" i="3"/>
  <c r="F105" i="3"/>
  <c r="G105" i="3"/>
  <c r="H105" i="3"/>
  <c r="L105" i="3"/>
  <c r="M105" i="3"/>
  <c r="N105" i="3"/>
  <c r="Y105" i="3" s="1"/>
  <c r="R105" i="3"/>
  <c r="S105" i="3"/>
  <c r="T105" i="3"/>
  <c r="U105" i="3"/>
  <c r="V105" i="3"/>
  <c r="W105" i="3"/>
  <c r="A105" i="2"/>
  <c r="B105" i="2"/>
  <c r="C105" i="2"/>
  <c r="D105" i="2"/>
  <c r="E105" i="2"/>
  <c r="S105" i="2" s="1"/>
  <c r="H105" i="2"/>
  <c r="I105" i="2"/>
  <c r="K105" i="2"/>
  <c r="L105" i="2"/>
  <c r="R105" i="2"/>
  <c r="T105" i="2"/>
  <c r="U105" i="2"/>
  <c r="V105" i="2"/>
  <c r="W105" i="2"/>
  <c r="X105" i="2"/>
  <c r="Y105" i="2"/>
  <c r="Z105" i="2"/>
  <c r="DE105" i="1"/>
  <c r="DD105" i="1"/>
  <c r="DC105" i="1"/>
  <c r="DB105" i="1"/>
  <c r="DA105" i="1"/>
  <c r="CZ105" i="1"/>
  <c r="CV105" i="1"/>
  <c r="CU105" i="1"/>
  <c r="CT105" i="1"/>
  <c r="CP105" i="1"/>
  <c r="CO105" i="1"/>
  <c r="CN105" i="1"/>
  <c r="CM105" i="1"/>
  <c r="CL105" i="1"/>
  <c r="CK105" i="1"/>
  <c r="BM105" i="1"/>
  <c r="BL105" i="1"/>
  <c r="BK105" i="1"/>
  <c r="BJ105" i="1"/>
  <c r="BI105" i="1"/>
  <c r="BH105" i="1"/>
  <c r="BG105" i="1"/>
  <c r="BF105" i="1"/>
  <c r="BE105" i="1"/>
  <c r="BD105" i="1"/>
  <c r="BC105" i="1"/>
  <c r="BB105" i="1"/>
  <c r="BA105" i="1"/>
  <c r="AZ105" i="1"/>
  <c r="AY105" i="1"/>
  <c r="AX105" i="1"/>
  <c r="AW105" i="1"/>
  <c r="AV105" i="1"/>
  <c r="AU105" i="1"/>
  <c r="AT105" i="1"/>
  <c r="AS105" i="1"/>
  <c r="AL105" i="1"/>
  <c r="AH105" i="1"/>
  <c r="AQ105" i="1" s="1"/>
  <c r="AG105" i="1"/>
  <c r="AP105" i="1" s="1"/>
  <c r="AE105" i="1"/>
  <c r="AN105" i="1" s="1"/>
  <c r="AD105" i="1"/>
  <c r="AM105" i="1" s="1"/>
  <c r="AA105" i="1"/>
  <c r="AJ105" i="1" s="1"/>
  <c r="Z105" i="1"/>
  <c r="AI105" i="1" s="1"/>
  <c r="B105" i="1"/>
  <c r="B104" i="3"/>
  <c r="B104" i="2"/>
  <c r="C104" i="2"/>
  <c r="T104" i="2"/>
  <c r="U104" i="2"/>
  <c r="X104" i="2"/>
  <c r="BG104" i="1"/>
  <c r="BF104" i="1"/>
  <c r="BE104" i="1"/>
  <c r="BA104" i="1"/>
  <c r="AZ104" i="1"/>
  <c r="AY104" i="1"/>
  <c r="AL104" i="1"/>
  <c r="AH104" i="1"/>
  <c r="AG104" i="1"/>
  <c r="AE104" i="1"/>
  <c r="AD104" i="1"/>
  <c r="AA104" i="1"/>
  <c r="Z104" i="1"/>
  <c r="B103" i="3"/>
  <c r="B103" i="2"/>
  <c r="C103" i="2"/>
  <c r="T103" i="2"/>
  <c r="U103" i="2"/>
  <c r="W103" i="2"/>
  <c r="X103" i="2"/>
  <c r="DC103" i="1"/>
  <c r="BM103" i="1"/>
  <c r="BL103" i="1"/>
  <c r="BK103" i="1"/>
  <c r="BG103" i="1"/>
  <c r="BF103" i="1"/>
  <c r="BE103" i="1"/>
  <c r="BA103" i="1"/>
  <c r="AZ103" i="1"/>
  <c r="AY103" i="1"/>
  <c r="AL103" i="1"/>
  <c r="AH103" i="1"/>
  <c r="AQ103" i="1" s="1"/>
  <c r="AG103" i="1"/>
  <c r="AE103" i="1"/>
  <c r="AN103" i="1" s="1"/>
  <c r="AD103" i="1"/>
  <c r="AA103" i="1"/>
  <c r="Z103" i="1"/>
  <c r="Z103" i="2" l="1"/>
  <c r="B102" i="3"/>
  <c r="B102" i="2"/>
  <c r="C102" i="2"/>
  <c r="T102" i="2"/>
  <c r="U102" i="2"/>
  <c r="X102" i="2"/>
  <c r="DC102" i="1" l="1"/>
  <c r="BM102" i="1"/>
  <c r="BL102" i="1"/>
  <c r="BK102" i="1"/>
  <c r="BG102" i="1"/>
  <c r="BF102" i="1"/>
  <c r="BE102" i="1"/>
  <c r="BA102" i="1"/>
  <c r="AZ102" i="1"/>
  <c r="AY102" i="1"/>
  <c r="AL102" i="1"/>
  <c r="AH102" i="1"/>
  <c r="AQ102" i="1" s="1"/>
  <c r="AE102" i="1"/>
  <c r="AN102" i="1" s="1"/>
  <c r="AA102" i="1"/>
  <c r="Z102" i="1"/>
  <c r="B101" i="3"/>
  <c r="B101" i="2"/>
  <c r="C101" i="2"/>
  <c r="T101" i="2"/>
  <c r="U101" i="2"/>
  <c r="X101" i="2"/>
  <c r="BG101" i="1"/>
  <c r="BF101" i="1"/>
  <c r="BE101" i="1"/>
  <c r="BA101" i="1"/>
  <c r="AZ101" i="1"/>
  <c r="AY101" i="1"/>
  <c r="AL101" i="1"/>
  <c r="AH101" i="1"/>
  <c r="AE101" i="1"/>
  <c r="AA101" i="1"/>
  <c r="Z101" i="1"/>
  <c r="B100" i="3" l="1"/>
  <c r="B100" i="2"/>
  <c r="C100" i="2"/>
  <c r="T100" i="2"/>
  <c r="U100" i="2"/>
  <c r="X100" i="2"/>
  <c r="BG100" i="1"/>
  <c r="BF100" i="1"/>
  <c r="BE100" i="1"/>
  <c r="BA100" i="1"/>
  <c r="AZ100" i="1"/>
  <c r="AY100" i="1"/>
  <c r="AL100" i="1"/>
  <c r="AH100" i="1"/>
  <c r="AG100" i="1"/>
  <c r="AE100" i="1"/>
  <c r="AD100" i="1"/>
  <c r="AA100" i="1"/>
  <c r="Z100" i="1"/>
  <c r="B99" i="3" l="1"/>
  <c r="B99" i="2"/>
  <c r="C99" i="2"/>
  <c r="T99" i="2"/>
  <c r="U99" i="2"/>
  <c r="X99" i="2"/>
  <c r="BG99" i="1"/>
  <c r="BF99" i="1"/>
  <c r="BE99" i="1"/>
  <c r="BA99" i="1"/>
  <c r="AZ99" i="1"/>
  <c r="AY99" i="1"/>
  <c r="AL99" i="1"/>
  <c r="AH99" i="1"/>
  <c r="AG99" i="1"/>
  <c r="AE99" i="1"/>
  <c r="AD99" i="1"/>
  <c r="AA99" i="1"/>
  <c r="Z99" i="1"/>
  <c r="B98" i="3" l="1"/>
  <c r="B98" i="2"/>
  <c r="C98" i="2"/>
  <c r="T98" i="2"/>
  <c r="U98" i="2"/>
  <c r="X98" i="2"/>
  <c r="BG98" i="1"/>
  <c r="BF98" i="1"/>
  <c r="BE98" i="1"/>
  <c r="BA98" i="1"/>
  <c r="AZ98" i="1"/>
  <c r="AY98" i="1"/>
  <c r="AL98" i="1"/>
  <c r="AH98" i="1"/>
  <c r="AG98" i="1"/>
  <c r="AE98" i="1"/>
  <c r="AD98" i="1"/>
  <c r="AA98" i="1"/>
  <c r="Z98" i="1"/>
  <c r="B97" i="3" l="1"/>
  <c r="B97" i="2"/>
  <c r="C97" i="2"/>
  <c r="T97" i="2"/>
  <c r="U97" i="2"/>
  <c r="X97" i="2"/>
  <c r="BG97" i="1"/>
  <c r="BF97" i="1"/>
  <c r="BE97" i="1"/>
  <c r="BA97" i="1"/>
  <c r="AZ97" i="1"/>
  <c r="AY97" i="1"/>
  <c r="AL97" i="1"/>
  <c r="AH97" i="1"/>
  <c r="AG97" i="1"/>
  <c r="AE97" i="1"/>
  <c r="AD97" i="1"/>
  <c r="AA97" i="1"/>
  <c r="Z97" i="1"/>
  <c r="B96" i="3" l="1"/>
  <c r="B96" i="2"/>
  <c r="C96" i="2"/>
  <c r="T96" i="2"/>
  <c r="U96" i="2"/>
  <c r="X96" i="2"/>
  <c r="BG96" i="1"/>
  <c r="BF96" i="1"/>
  <c r="BE96" i="1"/>
  <c r="BA96" i="1"/>
  <c r="AZ96" i="1"/>
  <c r="AY96" i="1"/>
  <c r="AL96" i="1"/>
  <c r="AH96" i="1"/>
  <c r="AG96" i="1"/>
  <c r="AE96" i="1"/>
  <c r="AD96" i="1"/>
  <c r="AA96" i="1"/>
  <c r="Z96" i="1"/>
  <c r="B95" i="3"/>
  <c r="B95" i="2"/>
  <c r="C95" i="2"/>
  <c r="T95" i="2"/>
  <c r="U95" i="2"/>
  <c r="X95" i="2"/>
  <c r="BG95" i="1"/>
  <c r="BF95" i="1"/>
  <c r="BE95" i="1"/>
  <c r="BA95" i="1"/>
  <c r="AZ95" i="1"/>
  <c r="AY95" i="1"/>
  <c r="AL95" i="1"/>
  <c r="AH95" i="1"/>
  <c r="AG95" i="1"/>
  <c r="AE95" i="1"/>
  <c r="AD95" i="1"/>
  <c r="AA95" i="1"/>
  <c r="Z95" i="1"/>
  <c r="B94" i="3"/>
  <c r="B94" i="2"/>
  <c r="C94" i="2"/>
  <c r="T94" i="2"/>
  <c r="U94" i="2"/>
  <c r="X94" i="2"/>
  <c r="BG94" i="1"/>
  <c r="BF94" i="1"/>
  <c r="BE94" i="1"/>
  <c r="BA94" i="1"/>
  <c r="AZ94" i="1"/>
  <c r="AY94" i="1"/>
  <c r="AL94" i="1"/>
  <c r="AH94" i="1"/>
  <c r="AG94" i="1"/>
  <c r="AE94" i="1"/>
  <c r="AD94" i="1"/>
  <c r="AA94" i="1"/>
  <c r="Z94" i="1"/>
  <c r="B93" i="3"/>
  <c r="B93" i="2"/>
  <c r="C93" i="2"/>
  <c r="T93" i="2"/>
  <c r="U93" i="2"/>
  <c r="X93" i="2"/>
  <c r="AY93" i="1"/>
  <c r="AZ93" i="1"/>
  <c r="BA93" i="1"/>
  <c r="BE93" i="1"/>
  <c r="BF93" i="1"/>
  <c r="BG93" i="1"/>
  <c r="Z93" i="1"/>
  <c r="AA93" i="1"/>
  <c r="AD93" i="1"/>
  <c r="AE93" i="1"/>
  <c r="AG93" i="1"/>
  <c r="AH93" i="1"/>
  <c r="AL93" i="1"/>
  <c r="B92" i="3" l="1"/>
  <c r="B92" i="2"/>
  <c r="C92" i="2"/>
  <c r="T92" i="2"/>
  <c r="U92" i="2"/>
  <c r="X92" i="2"/>
  <c r="AY92" i="1"/>
  <c r="AZ92" i="1"/>
  <c r="BA92" i="1"/>
  <c r="BE92" i="1"/>
  <c r="BF92" i="1"/>
  <c r="BG92" i="1"/>
  <c r="Z92" i="1"/>
  <c r="AA92" i="1"/>
  <c r="AD92" i="1"/>
  <c r="AE92" i="1"/>
  <c r="AG92" i="1"/>
  <c r="AH92" i="1"/>
  <c r="AL92" i="1"/>
  <c r="B91" i="3" l="1"/>
  <c r="B91" i="2"/>
  <c r="C91" i="2"/>
  <c r="T91" i="2"/>
  <c r="U91" i="2"/>
  <c r="X91" i="2"/>
  <c r="AY91" i="1"/>
  <c r="AZ91" i="1"/>
  <c r="BA91" i="1"/>
  <c r="BE91" i="1"/>
  <c r="BF91" i="1"/>
  <c r="BG91" i="1"/>
  <c r="Z91" i="1"/>
  <c r="AA91" i="1"/>
  <c r="AD91" i="1"/>
  <c r="AE91" i="1"/>
  <c r="AG91" i="1"/>
  <c r="AH91" i="1"/>
  <c r="AL91" i="1"/>
  <c r="B90" i="3" l="1"/>
  <c r="B90" i="2"/>
  <c r="T90" i="2"/>
  <c r="U90" i="2"/>
  <c r="X90" i="2"/>
  <c r="AY90" i="1"/>
  <c r="AZ90" i="1"/>
  <c r="BA90" i="1"/>
  <c r="BE90" i="1"/>
  <c r="BF90" i="1"/>
  <c r="BG90" i="1"/>
  <c r="Z90" i="1"/>
  <c r="AA90" i="1"/>
  <c r="AD90" i="1"/>
  <c r="AE90" i="1"/>
  <c r="AG90" i="1"/>
  <c r="AH90" i="1"/>
  <c r="AL90" i="1"/>
  <c r="D90" i="1"/>
  <c r="C90" i="2" s="1"/>
  <c r="B89" i="3" l="1"/>
  <c r="B89" i="2"/>
  <c r="T89" i="2"/>
  <c r="U89" i="2"/>
  <c r="X89" i="2"/>
  <c r="AY89" i="1"/>
  <c r="AZ89" i="1"/>
  <c r="BA89" i="1"/>
  <c r="BE89" i="1"/>
  <c r="BF89" i="1"/>
  <c r="BG89" i="1"/>
  <c r="AL87" i="1"/>
  <c r="AL88" i="1"/>
  <c r="AL89" i="1"/>
  <c r="Z89" i="1"/>
  <c r="AA89" i="1"/>
  <c r="AD89" i="1"/>
  <c r="AE89" i="1"/>
  <c r="AG89" i="1"/>
  <c r="AH89" i="1"/>
  <c r="D89" i="1"/>
  <c r="C89" i="2" s="1"/>
  <c r="T88" i="2" l="1"/>
  <c r="U88" i="2"/>
  <c r="X88" i="2"/>
  <c r="AY88" i="1"/>
  <c r="AZ88" i="1"/>
  <c r="BA88" i="1"/>
  <c r="BE88" i="1"/>
  <c r="BF88" i="1"/>
  <c r="BG88" i="1"/>
  <c r="Z88" i="1"/>
  <c r="AA88" i="1"/>
  <c r="AD88" i="1"/>
  <c r="AE88" i="1"/>
  <c r="AG88" i="1"/>
  <c r="AH88" i="1"/>
  <c r="D88" i="1"/>
  <c r="C88" i="2" s="1"/>
  <c r="B88" i="3"/>
  <c r="B88" i="2"/>
  <c r="B87" i="3" l="1"/>
  <c r="B87" i="2"/>
  <c r="T87" i="2"/>
  <c r="X87" i="2"/>
  <c r="AY87" i="1"/>
  <c r="AZ87" i="1"/>
  <c r="BA87" i="1"/>
  <c r="BE87" i="1"/>
  <c r="BF87" i="1"/>
  <c r="BG87" i="1"/>
  <c r="Z87" i="1"/>
  <c r="AA87" i="1"/>
  <c r="AD87" i="1"/>
  <c r="AE87" i="1"/>
  <c r="AF87" i="1"/>
  <c r="AG87" i="1"/>
  <c r="AH87" i="1"/>
  <c r="D87" i="1"/>
  <c r="C87" i="2" s="1"/>
  <c r="B86" i="2"/>
  <c r="T86" i="2"/>
  <c r="X86" i="2"/>
  <c r="B86" i="3" l="1"/>
  <c r="AY86" i="1"/>
  <c r="AZ86" i="1"/>
  <c r="BA86" i="1"/>
  <c r="Z86" i="1"/>
  <c r="AA86" i="1"/>
  <c r="AC86" i="1"/>
  <c r="AD86" i="1"/>
  <c r="AE86" i="1"/>
  <c r="AF86" i="1"/>
  <c r="AG86" i="1"/>
  <c r="AH86" i="1"/>
  <c r="D86" i="1"/>
  <c r="C86" i="2" s="1"/>
  <c r="B85" i="3"/>
  <c r="B85" i="2"/>
  <c r="C85" i="2"/>
  <c r="T85" i="2"/>
  <c r="X85" i="2"/>
  <c r="AY85" i="1"/>
  <c r="AZ85" i="1"/>
  <c r="BA85" i="1"/>
  <c r="D85" i="1"/>
  <c r="B84" i="3"/>
  <c r="B84" i="2"/>
  <c r="T84" i="2"/>
  <c r="X84" i="2"/>
  <c r="AY84" i="1"/>
  <c r="D84" i="1"/>
  <c r="C84" i="2" s="1"/>
  <c r="B83" i="3" l="1"/>
  <c r="B83" i="2"/>
  <c r="T83" i="2"/>
  <c r="X83" i="2"/>
  <c r="AO83" i="1"/>
  <c r="D83" i="1"/>
  <c r="C83" i="2" s="1"/>
  <c r="B82" i="3" l="1"/>
  <c r="AK82" i="1"/>
  <c r="AO82" i="1"/>
  <c r="B82" i="2"/>
  <c r="T82" i="2"/>
  <c r="X82" i="2"/>
  <c r="D82" i="1"/>
  <c r="C82" i="2" s="1"/>
  <c r="B81" i="3" l="1"/>
  <c r="B81" i="2"/>
  <c r="T81" i="2"/>
  <c r="X81" i="2"/>
  <c r="AY81" i="1"/>
  <c r="AZ81" i="1"/>
  <c r="BA81" i="1"/>
  <c r="AC81" i="1"/>
  <c r="AD81" i="1"/>
  <c r="AE81" i="1"/>
  <c r="AG81" i="1"/>
  <c r="AH81" i="1"/>
  <c r="AK81" i="1"/>
  <c r="D81" i="1"/>
  <c r="C81" i="2" s="1"/>
  <c r="B80" i="3" l="1"/>
  <c r="AC75" i="1"/>
  <c r="AH80" i="1"/>
  <c r="AH82" i="1"/>
  <c r="AH83" i="1"/>
  <c r="AH84" i="1"/>
  <c r="AH85" i="1"/>
  <c r="B80" i="2"/>
  <c r="T80" i="2"/>
  <c r="X80" i="2"/>
  <c r="D80" i="1"/>
  <c r="C80" i="2" s="1"/>
  <c r="X79" i="2" l="1"/>
  <c r="B79" i="3"/>
  <c r="U79" i="2"/>
  <c r="B79" i="2"/>
  <c r="T79" i="2"/>
  <c r="Z75" i="1"/>
  <c r="AL79" i="1"/>
  <c r="AE75" i="1"/>
  <c r="AH75" i="1"/>
  <c r="D79" i="1"/>
  <c r="C79" i="2" s="1"/>
  <c r="CQ78" i="1" l="1"/>
  <c r="CR78" i="1"/>
  <c r="CS78" i="1"/>
  <c r="AG78" i="1"/>
  <c r="AG79" i="1"/>
  <c r="AG80" i="1"/>
  <c r="AG82" i="1"/>
  <c r="AG83" i="1"/>
  <c r="AG84" i="1"/>
  <c r="AG85" i="1"/>
  <c r="AD78" i="1"/>
  <c r="AD79" i="1"/>
  <c r="AD80" i="1"/>
  <c r="AD82" i="1"/>
  <c r="AD83" i="1"/>
  <c r="AD84" i="1"/>
  <c r="AD85" i="1"/>
  <c r="AA78" i="1"/>
  <c r="AA79" i="1"/>
  <c r="AA80" i="1"/>
  <c r="AA81" i="1"/>
  <c r="AA82" i="1"/>
  <c r="AA83" i="1"/>
  <c r="AA84" i="1"/>
  <c r="AA85" i="1"/>
  <c r="D78" i="1"/>
  <c r="B77" i="3" l="1"/>
  <c r="B77" i="2"/>
  <c r="R77" i="2"/>
  <c r="T77" i="2"/>
  <c r="U77" i="2"/>
  <c r="W77" i="2"/>
  <c r="X77" i="2"/>
  <c r="Z77" i="2"/>
  <c r="CW77" i="1"/>
  <c r="CX77" i="1"/>
  <c r="CY77" i="1"/>
  <c r="AY77" i="1"/>
  <c r="AZ77" i="1"/>
  <c r="BA77" i="1"/>
  <c r="BE77" i="1"/>
  <c r="BF77" i="1"/>
  <c r="BG77" i="1"/>
  <c r="AN77" i="1"/>
  <c r="AG77" i="1"/>
  <c r="AD77" i="1"/>
  <c r="AA77" i="1"/>
  <c r="D77" i="1"/>
  <c r="C77" i="2" s="1"/>
  <c r="B76" i="3" l="1"/>
  <c r="B76" i="2"/>
  <c r="R76" i="2"/>
  <c r="T76" i="2"/>
  <c r="U76" i="2"/>
  <c r="W76" i="2"/>
  <c r="X76" i="2"/>
  <c r="Z76" i="2"/>
  <c r="AG76" i="1"/>
  <c r="AD76" i="1"/>
  <c r="AA76" i="1"/>
  <c r="D76" i="1"/>
  <c r="C76" i="2" s="1"/>
  <c r="S10" i="3"/>
  <c r="R10" i="3"/>
  <c r="B71" i="2"/>
  <c r="B73" i="2"/>
  <c r="T73" i="2"/>
  <c r="X73" i="2"/>
  <c r="U75" i="2"/>
  <c r="B75" i="2"/>
  <c r="T75" i="2"/>
  <c r="W75" i="2"/>
  <c r="X75" i="2"/>
  <c r="R75" i="2"/>
  <c r="Z75" i="2"/>
  <c r="D75" i="1"/>
  <c r="C75" i="2" s="1"/>
  <c r="B73" i="3"/>
  <c r="B75" i="3"/>
  <c r="AG73" i="1"/>
  <c r="AG71" i="1"/>
  <c r="AE73" i="1"/>
  <c r="AD73" i="1"/>
  <c r="AD71" i="1"/>
  <c r="AA71" i="1"/>
  <c r="AA73" i="1"/>
  <c r="AG75" i="1"/>
  <c r="AF75" i="1"/>
  <c r="AD75" i="1"/>
  <c r="AA75" i="1"/>
  <c r="D73" i="1"/>
  <c r="C73" i="2" s="1"/>
  <c r="B71" i="3" l="1"/>
  <c r="D71" i="1"/>
  <c r="C71" i="2" s="1"/>
  <c r="AH70" i="1" l="1"/>
  <c r="AG70" i="1"/>
  <c r="AF70" i="1"/>
  <c r="AE70" i="1"/>
  <c r="AD70" i="1"/>
  <c r="AC70" i="1"/>
  <c r="AB70" i="1"/>
  <c r="AA70" i="1"/>
  <c r="Z70" i="1"/>
  <c r="D70" i="1"/>
  <c r="B69" i="3" l="1"/>
  <c r="B69" i="2"/>
  <c r="AA69" i="1"/>
  <c r="AB69" i="1"/>
  <c r="AC69" i="1"/>
  <c r="AD69" i="1"/>
  <c r="AE69" i="1"/>
  <c r="AF69" i="1"/>
  <c r="AG69" i="1"/>
  <c r="AH69" i="1"/>
  <c r="D69" i="1"/>
  <c r="C69" i="2" s="1"/>
  <c r="B68" i="3" l="1"/>
  <c r="B68" i="2"/>
  <c r="AH68" i="1"/>
  <c r="AG68" i="1"/>
  <c r="AF68" i="1"/>
  <c r="AE68" i="1"/>
  <c r="AD68" i="1"/>
  <c r="AC68" i="1"/>
  <c r="AB68" i="1"/>
  <c r="AA68" i="1"/>
  <c r="Z68" i="1"/>
  <c r="D68" i="1"/>
  <c r="C68" i="2" s="1"/>
  <c r="B67" i="3"/>
  <c r="B67" i="2"/>
  <c r="Z67" i="1"/>
  <c r="AA67" i="1"/>
  <c r="AB67" i="1"/>
  <c r="AC67" i="1"/>
  <c r="AD67" i="1"/>
  <c r="AE67" i="1"/>
  <c r="AF67" i="1"/>
  <c r="AG67" i="1"/>
  <c r="AH67" i="1"/>
  <c r="D67" i="1"/>
  <c r="C67" i="2" s="1"/>
  <c r="B66" i="3"/>
  <c r="B66" i="2"/>
  <c r="Z66" i="1"/>
  <c r="AA66" i="1"/>
  <c r="AB66" i="1"/>
  <c r="AC66" i="1"/>
  <c r="AD66" i="1"/>
  <c r="AE66" i="1"/>
  <c r="AF66" i="1"/>
  <c r="AG66" i="1"/>
  <c r="AH66" i="1"/>
  <c r="D66" i="1"/>
  <c r="C66" i="2" s="1"/>
  <c r="B65" i="3"/>
  <c r="B65" i="2"/>
  <c r="AA65" i="1"/>
  <c r="AB65" i="1"/>
  <c r="AC65" i="1"/>
  <c r="AD65" i="1"/>
  <c r="AE65" i="1"/>
  <c r="AF65" i="1"/>
  <c r="AG65" i="1"/>
  <c r="AH65" i="1"/>
  <c r="D65" i="1"/>
  <c r="C65" i="2" s="1"/>
  <c r="B64" i="3" l="1"/>
  <c r="B64" i="2"/>
  <c r="AH64" i="1"/>
  <c r="AG64" i="1"/>
  <c r="AF64" i="1"/>
  <c r="AE64" i="1"/>
  <c r="AD64" i="1"/>
  <c r="AC64" i="1"/>
  <c r="AB64" i="1"/>
  <c r="AA64" i="1"/>
  <c r="Z64" i="1"/>
  <c r="D64" i="1"/>
  <c r="C64" i="2" s="1"/>
  <c r="AD30" i="4" l="1"/>
  <c r="AD28" i="4"/>
  <c r="AD26" i="4"/>
  <c r="AD25" i="4"/>
  <c r="AD24" i="4"/>
  <c r="AD22" i="4"/>
  <c r="AD18" i="4"/>
  <c r="AD16" i="4"/>
  <c r="B63" i="3" l="1"/>
  <c r="B63" i="2"/>
  <c r="Z63" i="1"/>
  <c r="AA63" i="1"/>
  <c r="AB63" i="1"/>
  <c r="AC63" i="1"/>
  <c r="AD63" i="1"/>
  <c r="AE63" i="1"/>
  <c r="AF63" i="1"/>
  <c r="AG63" i="1"/>
  <c r="AH63" i="1"/>
  <c r="D63" i="1"/>
  <c r="C63" i="2" s="1"/>
  <c r="B62" i="3"/>
  <c r="B62" i="2"/>
  <c r="Z62" i="1"/>
  <c r="AA62" i="1"/>
  <c r="AB62" i="1"/>
  <c r="AC62" i="1"/>
  <c r="AD62" i="1"/>
  <c r="AE62" i="1"/>
  <c r="AF62" i="1"/>
  <c r="AG62" i="1"/>
  <c r="AH62" i="1"/>
  <c r="D62" i="1"/>
  <c r="C62" i="2" s="1"/>
  <c r="B61" i="3"/>
  <c r="B61" i="2"/>
  <c r="Z61" i="1"/>
  <c r="AA61" i="1"/>
  <c r="AB61" i="1"/>
  <c r="AC61" i="1"/>
  <c r="AD61" i="1"/>
  <c r="AE61" i="1"/>
  <c r="AF61" i="1"/>
  <c r="AG61" i="1"/>
  <c r="AH61" i="1"/>
  <c r="D61" i="1"/>
  <c r="C61" i="2" s="1"/>
  <c r="B60" i="3"/>
  <c r="B60" i="2"/>
  <c r="Z60" i="1"/>
  <c r="AA60" i="1"/>
  <c r="AB60" i="1"/>
  <c r="AC60" i="1"/>
  <c r="AD60" i="1"/>
  <c r="AE60" i="1"/>
  <c r="AF60" i="1"/>
  <c r="AG60" i="1"/>
  <c r="AH60" i="1"/>
  <c r="D60" i="1"/>
  <c r="C60" i="2" s="1"/>
  <c r="B59" i="3"/>
  <c r="B59" i="2"/>
  <c r="Z59" i="1"/>
  <c r="AA59" i="1"/>
  <c r="AB59" i="1"/>
  <c r="AC59" i="1"/>
  <c r="AD59" i="1"/>
  <c r="AE59" i="1"/>
  <c r="AF59" i="1"/>
  <c r="AG59" i="1"/>
  <c r="AH59" i="1"/>
  <c r="D59" i="1"/>
  <c r="C59" i="2" s="1"/>
  <c r="B58" i="3"/>
  <c r="B58" i="2"/>
  <c r="Z58" i="1"/>
  <c r="AA58" i="1"/>
  <c r="AB58" i="1"/>
  <c r="AC58" i="1"/>
  <c r="AD58" i="1"/>
  <c r="AE58" i="1"/>
  <c r="AF58" i="1"/>
  <c r="AG58" i="1"/>
  <c r="AH58" i="1"/>
  <c r="D58" i="1"/>
  <c r="C58" i="2" s="1"/>
  <c r="B57" i="3"/>
  <c r="B57" i="2"/>
  <c r="Z57" i="1"/>
  <c r="AA57" i="1"/>
  <c r="AB57" i="1"/>
  <c r="AC57" i="1"/>
  <c r="AD57" i="1"/>
  <c r="AE57" i="1"/>
  <c r="AF57" i="1"/>
  <c r="AG57" i="1"/>
  <c r="AH57" i="1"/>
  <c r="D57" i="1"/>
  <c r="C57" i="2" s="1"/>
  <c r="B57" i="1"/>
  <c r="B56" i="3"/>
  <c r="B56" i="2"/>
  <c r="Z56" i="1"/>
  <c r="AA56" i="1"/>
  <c r="AB56" i="1"/>
  <c r="AC56" i="1"/>
  <c r="AD56" i="1"/>
  <c r="AE56" i="1"/>
  <c r="AF56" i="1"/>
  <c r="AG56" i="1"/>
  <c r="AH56" i="1"/>
  <c r="D56" i="1"/>
  <c r="C56" i="2" s="1"/>
  <c r="B56" i="1"/>
  <c r="B55" i="3"/>
  <c r="B55" i="2"/>
  <c r="AH55" i="1"/>
  <c r="AG55" i="1"/>
  <c r="AF55" i="1"/>
  <c r="AE55" i="1"/>
  <c r="AD55" i="1"/>
  <c r="AC55" i="1"/>
  <c r="AB55" i="1"/>
  <c r="AA55" i="1"/>
  <c r="Z55" i="1"/>
  <c r="D55" i="1"/>
  <c r="C55" i="2" s="1"/>
  <c r="B55" i="1"/>
  <c r="A55" i="3" s="1"/>
  <c r="B54" i="3"/>
  <c r="B54" i="2"/>
  <c r="Z54" i="1"/>
  <c r="AA54" i="1"/>
  <c r="AB54" i="1"/>
  <c r="AC54" i="1"/>
  <c r="AD54" i="1"/>
  <c r="AE54" i="1"/>
  <c r="AF54" i="1"/>
  <c r="AG54" i="1"/>
  <c r="AH54" i="1"/>
  <c r="D54" i="1"/>
  <c r="C54" i="2" s="1"/>
  <c r="B54" i="1"/>
  <c r="B53" i="3"/>
  <c r="B53" i="2"/>
  <c r="Z53" i="1"/>
  <c r="AA53" i="1"/>
  <c r="AB53" i="1"/>
  <c r="AC53" i="1"/>
  <c r="AD53" i="1"/>
  <c r="AE53" i="1"/>
  <c r="AF53" i="1"/>
  <c r="AG53" i="1"/>
  <c r="AH53" i="1"/>
  <c r="D53" i="1"/>
  <c r="C53" i="2" s="1"/>
  <c r="B53" i="1"/>
  <c r="A53" i="3" s="1"/>
  <c r="B52" i="3"/>
  <c r="B52" i="2"/>
  <c r="AF52" i="1"/>
  <c r="AH52" i="1"/>
  <c r="AG52" i="1"/>
  <c r="AE52" i="1"/>
  <c r="AD52" i="1"/>
  <c r="AC52" i="1"/>
  <c r="AB52" i="1"/>
  <c r="Z52" i="1"/>
  <c r="AA52" i="1"/>
  <c r="D52" i="1"/>
  <c r="C52" i="2" s="1"/>
  <c r="B52" i="1"/>
  <c r="A52" i="3" s="1"/>
  <c r="B51" i="3"/>
  <c r="B51" i="2"/>
  <c r="Z51" i="1"/>
  <c r="AA51" i="1"/>
  <c r="AC51" i="1"/>
  <c r="AD51" i="1"/>
  <c r="AE51" i="1"/>
  <c r="AG51" i="1"/>
  <c r="AH51" i="1"/>
  <c r="D51" i="1"/>
  <c r="C51" i="2" s="1"/>
  <c r="B51" i="1"/>
  <c r="A51" i="3" s="1"/>
  <c r="B50" i="3"/>
  <c r="B50" i="2"/>
  <c r="Z50" i="1"/>
  <c r="AA50" i="1"/>
  <c r="AB50" i="1"/>
  <c r="AC50" i="1"/>
  <c r="AD50" i="1"/>
  <c r="AE50" i="1"/>
  <c r="AF50" i="1"/>
  <c r="AG50" i="1"/>
  <c r="AH50" i="1"/>
  <c r="D50" i="1"/>
  <c r="C50" i="2" s="1"/>
  <c r="B50" i="1"/>
  <c r="A50" i="2" s="1"/>
  <c r="B49" i="3"/>
  <c r="B49" i="2"/>
  <c r="Z49" i="1"/>
  <c r="AA49" i="1"/>
  <c r="AB49" i="1"/>
  <c r="AC49" i="1"/>
  <c r="AD49" i="1"/>
  <c r="AE49" i="1"/>
  <c r="AF49" i="1"/>
  <c r="AG49" i="1"/>
  <c r="AH49" i="1"/>
  <c r="D49" i="1"/>
  <c r="C49" i="2" s="1"/>
  <c r="B49" i="1"/>
  <c r="B48" i="3"/>
  <c r="B48" i="2"/>
  <c r="Z48" i="1"/>
  <c r="AA48" i="1"/>
  <c r="AB48" i="1"/>
  <c r="AC48" i="1"/>
  <c r="AD48" i="1"/>
  <c r="AE48" i="1"/>
  <c r="AF48" i="1"/>
  <c r="AG48" i="1"/>
  <c r="AH48" i="1"/>
  <c r="D48" i="1"/>
  <c r="C48" i="2" s="1"/>
  <c r="B48" i="1"/>
  <c r="A48" i="3" s="1"/>
  <c r="B47" i="3"/>
  <c r="B47" i="2"/>
  <c r="Z47" i="1"/>
  <c r="AA47" i="1"/>
  <c r="AB47" i="1"/>
  <c r="AC47" i="1"/>
  <c r="AD47" i="1"/>
  <c r="AE47" i="1"/>
  <c r="AF47" i="1"/>
  <c r="AG47" i="1"/>
  <c r="AH47" i="1"/>
  <c r="D47" i="1"/>
  <c r="C47" i="2" s="1"/>
  <c r="B47" i="1"/>
  <c r="B46" i="3"/>
  <c r="B46" i="2"/>
  <c r="Z46" i="1"/>
  <c r="AA46" i="1"/>
  <c r="AB46" i="1"/>
  <c r="AC46" i="1"/>
  <c r="AD46" i="1"/>
  <c r="AE46" i="1"/>
  <c r="AF46" i="1"/>
  <c r="AG46" i="1"/>
  <c r="AH46" i="1"/>
  <c r="D46" i="1"/>
  <c r="C46" i="2" s="1"/>
  <c r="B46" i="1"/>
  <c r="A46" i="3" s="1"/>
  <c r="B45" i="3"/>
  <c r="B45" i="2"/>
  <c r="Z45" i="1"/>
  <c r="AA45" i="1"/>
  <c r="AB45" i="1"/>
  <c r="AC45" i="1"/>
  <c r="AD45" i="1"/>
  <c r="AE45" i="1"/>
  <c r="AF45" i="1"/>
  <c r="AG45" i="1"/>
  <c r="AH45" i="1"/>
  <c r="D45" i="1"/>
  <c r="C45" i="2" s="1"/>
  <c r="B45" i="1"/>
  <c r="B44" i="3"/>
  <c r="B44" i="2"/>
  <c r="Z44" i="1"/>
  <c r="AA44" i="1"/>
  <c r="AB44" i="1"/>
  <c r="AC44" i="1"/>
  <c r="AD44" i="1"/>
  <c r="AE44" i="1"/>
  <c r="AF44" i="1"/>
  <c r="AG44" i="1"/>
  <c r="AH44" i="1"/>
  <c r="D44" i="1"/>
  <c r="C44" i="2" s="1"/>
  <c r="B44" i="1"/>
  <c r="A44" i="3" s="1"/>
  <c r="B42" i="3"/>
  <c r="B43" i="3"/>
  <c r="B41" i="2"/>
  <c r="B42" i="2"/>
  <c r="B43" i="2"/>
  <c r="Z42" i="1"/>
  <c r="AA42" i="1"/>
  <c r="AB42" i="1"/>
  <c r="AC42" i="1"/>
  <c r="AD42" i="1"/>
  <c r="AE42" i="1"/>
  <c r="AF42" i="1"/>
  <c r="AG42" i="1"/>
  <c r="AH42" i="1"/>
  <c r="Z43" i="1"/>
  <c r="AA43" i="1"/>
  <c r="AB43" i="1"/>
  <c r="AC43" i="1"/>
  <c r="AD43" i="1"/>
  <c r="AE43" i="1"/>
  <c r="AF43" i="1"/>
  <c r="AG43" i="1"/>
  <c r="AH43" i="1"/>
  <c r="D43" i="1"/>
  <c r="C43" i="2" s="1"/>
  <c r="B43" i="1"/>
  <c r="A43" i="3" s="1"/>
  <c r="D42" i="1"/>
  <c r="C42" i="2" s="1"/>
  <c r="B42" i="1"/>
  <c r="N74" i="4"/>
  <c r="B74" i="4"/>
  <c r="B40" i="4"/>
  <c r="N40" i="4"/>
  <c r="N6" i="4"/>
  <c r="B6" i="4"/>
  <c r="B41" i="3"/>
  <c r="Z41" i="1"/>
  <c r="AA41" i="1"/>
  <c r="AB41" i="1"/>
  <c r="AC41" i="1"/>
  <c r="AD41" i="1"/>
  <c r="AE41" i="1"/>
  <c r="AF41" i="1"/>
  <c r="AG41" i="1"/>
  <c r="AH41" i="1"/>
  <c r="D41" i="1"/>
  <c r="C41" i="2" s="1"/>
  <c r="B41" i="1"/>
  <c r="A41" i="2" s="1"/>
  <c r="B40" i="3"/>
  <c r="B40" i="2"/>
  <c r="Z40" i="1"/>
  <c r="AA40" i="1"/>
  <c r="AB40" i="1"/>
  <c r="AC40" i="1"/>
  <c r="AD40" i="1"/>
  <c r="AE40" i="1"/>
  <c r="AF40" i="1"/>
  <c r="AG40" i="1"/>
  <c r="AH40" i="1"/>
  <c r="D40" i="1"/>
  <c r="C40" i="2" s="1"/>
  <c r="B40" i="1"/>
  <c r="A40" i="3" s="1"/>
  <c r="A53" i="2" l="1"/>
  <c r="A50" i="3"/>
  <c r="A46" i="2"/>
  <c r="A51" i="2"/>
  <c r="A48" i="2"/>
  <c r="A55" i="2"/>
  <c r="A44" i="2"/>
  <c r="A45" i="2"/>
  <c r="A45" i="3"/>
  <c r="A40" i="2"/>
  <c r="A42" i="3"/>
  <c r="A42" i="2"/>
  <c r="A41" i="3"/>
  <c r="A47" i="2"/>
  <c r="A47" i="3"/>
  <c r="A43" i="2"/>
  <c r="A56" i="2"/>
  <c r="A56" i="3"/>
  <c r="A49" i="2"/>
  <c r="A49" i="3"/>
  <c r="A54" i="2"/>
  <c r="A54" i="3"/>
  <c r="A52" i="2"/>
  <c r="A57" i="2"/>
  <c r="A57" i="3"/>
  <c r="B39" i="3"/>
  <c r="B39" i="2"/>
  <c r="AH39" i="1" l="1"/>
  <c r="AG39" i="1"/>
  <c r="AF39" i="1"/>
  <c r="AE39" i="1"/>
  <c r="AD39" i="1"/>
  <c r="AC39" i="1"/>
  <c r="AB39" i="1"/>
  <c r="AA39" i="1"/>
  <c r="Z39" i="1"/>
  <c r="D39" i="1"/>
  <c r="C39" i="2" s="1"/>
  <c r="B39" i="1"/>
  <c r="A39" i="3" l="1"/>
  <c r="A39" i="2"/>
  <c r="B38" i="3"/>
  <c r="B38" i="2"/>
  <c r="AH38" i="1" l="1"/>
  <c r="AG38" i="1"/>
  <c r="AF38" i="1"/>
  <c r="AE38" i="1"/>
  <c r="AD38" i="1"/>
  <c r="AC38" i="1"/>
  <c r="AB38" i="1"/>
  <c r="AA38" i="1"/>
  <c r="Z38" i="1"/>
  <c r="D38" i="1"/>
  <c r="C38" i="2" s="1"/>
  <c r="B38" i="1"/>
  <c r="B36" i="3"/>
  <c r="B37" i="3"/>
  <c r="B36" i="2"/>
  <c r="B37" i="2"/>
  <c r="Z36" i="1"/>
  <c r="AA36" i="1"/>
  <c r="AB36" i="1"/>
  <c r="AC36" i="1"/>
  <c r="AD36" i="1"/>
  <c r="AF36" i="1"/>
  <c r="AG36" i="1"/>
  <c r="AH36" i="1"/>
  <c r="Z37" i="1"/>
  <c r="AA37" i="1"/>
  <c r="AB37" i="1"/>
  <c r="AC37" i="1"/>
  <c r="AD37" i="1"/>
  <c r="AE37" i="1"/>
  <c r="AF37" i="1"/>
  <c r="AG37" i="1"/>
  <c r="AH37" i="1"/>
  <c r="D37" i="1"/>
  <c r="C37" i="2" s="1"/>
  <c r="B37" i="1"/>
  <c r="D36" i="1"/>
  <c r="C36" i="2" s="1"/>
  <c r="B36" i="1"/>
  <c r="A36" i="3" s="1"/>
  <c r="B35" i="3"/>
  <c r="B35" i="2"/>
  <c r="Z35" i="1"/>
  <c r="AA35" i="1"/>
  <c r="AB35" i="1"/>
  <c r="AC35" i="1"/>
  <c r="AD35" i="1"/>
  <c r="AE35" i="1"/>
  <c r="AF35" i="1"/>
  <c r="AG35" i="1"/>
  <c r="AH35" i="1"/>
  <c r="D35" i="1"/>
  <c r="C35" i="2" s="1"/>
  <c r="B35" i="1"/>
  <c r="A35" i="2" s="1"/>
  <c r="B34" i="3"/>
  <c r="B34" i="2"/>
  <c r="Z34" i="1"/>
  <c r="AA34" i="1"/>
  <c r="AB34" i="1"/>
  <c r="AC34" i="1"/>
  <c r="AD34" i="1"/>
  <c r="AE34" i="1"/>
  <c r="AF34" i="1"/>
  <c r="AG34" i="1"/>
  <c r="AH34" i="1"/>
  <c r="D34" i="1"/>
  <c r="C34" i="2" s="1"/>
  <c r="B34" i="1"/>
  <c r="A34" i="3" s="1"/>
  <c r="B32" i="3"/>
  <c r="B33" i="3"/>
  <c r="B32" i="2"/>
  <c r="B33" i="2"/>
  <c r="Z32" i="1"/>
  <c r="AA32" i="1"/>
  <c r="AB32" i="1"/>
  <c r="AC32" i="1"/>
  <c r="AD32" i="1"/>
  <c r="AF32" i="1"/>
  <c r="AG32" i="1"/>
  <c r="AH32" i="1"/>
  <c r="Z33" i="1"/>
  <c r="AA33" i="1"/>
  <c r="AB33" i="1"/>
  <c r="AC33" i="1"/>
  <c r="AD33" i="1"/>
  <c r="AE33" i="1"/>
  <c r="AF33" i="1"/>
  <c r="AG33" i="1"/>
  <c r="AH33" i="1"/>
  <c r="D33" i="1"/>
  <c r="C33" i="2" s="1"/>
  <c r="B33" i="1"/>
  <c r="D32" i="1"/>
  <c r="C32" i="2" s="1"/>
  <c r="B32" i="1"/>
  <c r="B31" i="3"/>
  <c r="B31" i="2"/>
  <c r="Z31" i="1"/>
  <c r="AA31" i="1"/>
  <c r="AB31" i="1"/>
  <c r="AC31" i="1"/>
  <c r="AD31" i="1"/>
  <c r="AE31" i="1"/>
  <c r="AF31" i="1"/>
  <c r="AG31" i="1"/>
  <c r="AH31" i="1"/>
  <c r="D31" i="1"/>
  <c r="C31" i="2" s="1"/>
  <c r="B31" i="1"/>
  <c r="A31" i="3" s="1"/>
  <c r="B30" i="3"/>
  <c r="B30" i="2"/>
  <c r="Z30" i="1"/>
  <c r="AA30" i="1"/>
  <c r="AB30" i="1"/>
  <c r="AC30" i="1"/>
  <c r="AD30" i="1"/>
  <c r="AE30" i="1"/>
  <c r="AF30" i="1"/>
  <c r="AG30" i="1"/>
  <c r="AH30" i="1"/>
  <c r="D25" i="1"/>
  <c r="D26" i="1"/>
  <c r="D27" i="1"/>
  <c r="D28" i="1"/>
  <c r="D29" i="1"/>
  <c r="D30" i="1"/>
  <c r="C30" i="2" s="1"/>
  <c r="B23" i="1"/>
  <c r="B24" i="1"/>
  <c r="B25" i="1"/>
  <c r="B26" i="1"/>
  <c r="B27" i="1"/>
  <c r="B28" i="1"/>
  <c r="B29" i="1"/>
  <c r="B30" i="1"/>
  <c r="A30" i="2" s="1"/>
  <c r="A35" i="3" l="1"/>
  <c r="A36" i="2"/>
  <c r="A31" i="2"/>
  <c r="A38" i="2"/>
  <c r="A38" i="3"/>
  <c r="A32" i="2"/>
  <c r="A32" i="3"/>
  <c r="A34" i="2"/>
  <c r="A33" i="3"/>
  <c r="A33" i="2"/>
  <c r="A37" i="3"/>
  <c r="A37" i="2"/>
  <c r="A30" i="3"/>
  <c r="Z28" i="1"/>
  <c r="AA28" i="1"/>
  <c r="AB28" i="1"/>
  <c r="AC28" i="1"/>
  <c r="AD28" i="1"/>
  <c r="AE28" i="1"/>
  <c r="AF28" i="1"/>
  <c r="AG28" i="1"/>
  <c r="AH28" i="1"/>
  <c r="Z29" i="1"/>
  <c r="AA29" i="1"/>
  <c r="AB29" i="1"/>
  <c r="AC29" i="1"/>
  <c r="AD29" i="1"/>
  <c r="AE29" i="1"/>
  <c r="AF29" i="1"/>
  <c r="AG29" i="1"/>
  <c r="AH29" i="1"/>
  <c r="A28" i="3" l="1"/>
  <c r="B28" i="3"/>
  <c r="A29" i="3"/>
  <c r="B29" i="3"/>
  <c r="A28" i="2"/>
  <c r="B28" i="2"/>
  <c r="C28" i="2"/>
  <c r="A29" i="2"/>
  <c r="B29" i="2"/>
  <c r="C29" i="2"/>
  <c r="Y19" i="3" l="1"/>
  <c r="Y20" i="3"/>
  <c r="B27" i="3" l="1"/>
  <c r="B27" i="2"/>
  <c r="Z27" i="1"/>
  <c r="AA27" i="1"/>
  <c r="AB27" i="1"/>
  <c r="AC27" i="1"/>
  <c r="AD27" i="1"/>
  <c r="AE27" i="1"/>
  <c r="AF27" i="1"/>
  <c r="AG27" i="1"/>
  <c r="AH27" i="1"/>
  <c r="C27" i="2"/>
  <c r="A27" i="3"/>
  <c r="B26" i="2"/>
  <c r="B26" i="3"/>
  <c r="Z26" i="1"/>
  <c r="AA26" i="1"/>
  <c r="AB26" i="1"/>
  <c r="AC26" i="1"/>
  <c r="AD26" i="1"/>
  <c r="AE26" i="1"/>
  <c r="AF26" i="1"/>
  <c r="AG26" i="1"/>
  <c r="AH26" i="1"/>
  <c r="A26" i="2"/>
  <c r="C26" i="2"/>
  <c r="A27" i="2" l="1"/>
  <c r="A26" i="3"/>
  <c r="B25" i="3"/>
  <c r="B24" i="3"/>
  <c r="A25" i="2"/>
  <c r="B25" i="2"/>
  <c r="Z25" i="1"/>
  <c r="AA25" i="1"/>
  <c r="AB25" i="1"/>
  <c r="AC25" i="1"/>
  <c r="AD25" i="1"/>
  <c r="AE25" i="1"/>
  <c r="AF25" i="1"/>
  <c r="AG25" i="1"/>
  <c r="AH25" i="1"/>
  <c r="C25" i="2"/>
  <c r="A25" i="3"/>
  <c r="B24" i="2"/>
  <c r="Z24" i="1"/>
  <c r="AA24" i="1"/>
  <c r="AB24" i="1"/>
  <c r="AC24" i="1"/>
  <c r="AD24" i="1"/>
  <c r="AE24" i="1"/>
  <c r="AF24" i="1"/>
  <c r="AG24" i="1"/>
  <c r="AH24" i="1"/>
  <c r="D24" i="1"/>
  <c r="C24" i="2" s="1"/>
  <c r="A24" i="2"/>
  <c r="B23" i="3"/>
  <c r="B23" i="2"/>
  <c r="Z23" i="1"/>
  <c r="AA23" i="1"/>
  <c r="AB23" i="1"/>
  <c r="AC23" i="1"/>
  <c r="AD23" i="1"/>
  <c r="AE23" i="1"/>
  <c r="AF23" i="1"/>
  <c r="AG23" i="1"/>
  <c r="AH23" i="1"/>
  <c r="D23" i="1"/>
  <c r="C23" i="2" s="1"/>
  <c r="A23" i="2"/>
  <c r="B22" i="3"/>
  <c r="B22" i="2"/>
  <c r="Z22" i="1"/>
  <c r="AA22" i="1"/>
  <c r="AB22" i="1"/>
  <c r="AC22" i="1"/>
  <c r="AD22" i="1"/>
  <c r="AE22" i="1"/>
  <c r="AF22" i="1"/>
  <c r="AG22" i="1"/>
  <c r="AH22" i="1"/>
  <c r="D22" i="1"/>
  <c r="C22" i="2" s="1"/>
  <c r="B22" i="1"/>
  <c r="A22" i="3" l="1"/>
  <c r="A22" i="2"/>
  <c r="A23" i="3"/>
  <c r="A24" i="3"/>
  <c r="B18" i="3" l="1"/>
  <c r="B21" i="3"/>
  <c r="B18" i="2"/>
  <c r="B21" i="2"/>
  <c r="AH21" i="1"/>
  <c r="AG21" i="1"/>
  <c r="AF21" i="1"/>
  <c r="AE21" i="1"/>
  <c r="AD21" i="1"/>
  <c r="AC21" i="1"/>
  <c r="AB21" i="1"/>
  <c r="AA21" i="1"/>
  <c r="Z21" i="1"/>
  <c r="AH20" i="1"/>
  <c r="AG20" i="1"/>
  <c r="AF20" i="1"/>
  <c r="AE20" i="1"/>
  <c r="AD20" i="1"/>
  <c r="AC20" i="1"/>
  <c r="AB20" i="1"/>
  <c r="AA20" i="1"/>
  <c r="Z20" i="1"/>
  <c r="D21" i="1"/>
  <c r="C21" i="2" s="1"/>
  <c r="B21" i="1"/>
  <c r="A21" i="2" s="1"/>
  <c r="D20" i="1"/>
  <c r="B20" i="1"/>
  <c r="A21" i="3" l="1"/>
  <c r="CK18" i="1" l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Z18" i="1"/>
  <c r="AA18" i="1"/>
  <c r="AB18" i="1"/>
  <c r="AC18" i="1"/>
  <c r="AD18" i="1"/>
  <c r="AE18" i="1"/>
  <c r="AF18" i="1"/>
  <c r="AG18" i="1"/>
  <c r="AH18" i="1"/>
  <c r="D18" i="1"/>
  <c r="C18" i="2" s="1"/>
  <c r="B18" i="1"/>
  <c r="B17" i="3"/>
  <c r="B17" i="2"/>
  <c r="CK17" i="1"/>
  <c r="C17" i="3" s="1"/>
  <c r="CL17" i="1"/>
  <c r="D17" i="3" s="1"/>
  <c r="CM17" i="1"/>
  <c r="CN17" i="1"/>
  <c r="F17" i="3" s="1"/>
  <c r="CO17" i="1"/>
  <c r="G17" i="3" s="1"/>
  <c r="CP17" i="1"/>
  <c r="CQ17" i="1"/>
  <c r="I17" i="3" s="1"/>
  <c r="CR17" i="1"/>
  <c r="J17" i="3" s="1"/>
  <c r="CS17" i="1"/>
  <c r="CT17" i="1"/>
  <c r="L17" i="3" s="1"/>
  <c r="CU17" i="1"/>
  <c r="M17" i="3" s="1"/>
  <c r="CV17" i="1"/>
  <c r="CW17" i="1"/>
  <c r="CX17" i="1"/>
  <c r="P17" i="3" s="1"/>
  <c r="CY17" i="1"/>
  <c r="CZ17" i="1"/>
  <c r="R17" i="3" s="1"/>
  <c r="DA17" i="1"/>
  <c r="S17" i="3" s="1"/>
  <c r="DB17" i="1"/>
  <c r="DC17" i="1"/>
  <c r="U17" i="3" s="1"/>
  <c r="DD17" i="1"/>
  <c r="V17" i="3" s="1"/>
  <c r="DE17" i="1"/>
  <c r="CS85" i="1" l="1"/>
  <c r="CS86" i="1"/>
  <c r="CR85" i="1"/>
  <c r="CR86" i="1"/>
  <c r="CQ86" i="1"/>
  <c r="CQ85" i="1"/>
  <c r="BC71" i="1"/>
  <c r="BC73" i="1" s="1"/>
  <c r="BC75" i="1" s="1"/>
  <c r="BC70" i="1"/>
  <c r="BC69" i="1"/>
  <c r="BC68" i="1"/>
  <c r="R18" i="3"/>
  <c r="CZ71" i="1"/>
  <c r="CZ70" i="1"/>
  <c r="CZ69" i="1"/>
  <c r="R69" i="3" s="1"/>
  <c r="CZ68" i="1"/>
  <c r="R68" i="3" s="1"/>
  <c r="BB71" i="1"/>
  <c r="BB73" i="1" s="1"/>
  <c r="BB75" i="1" s="1"/>
  <c r="BB70" i="1"/>
  <c r="BB69" i="1"/>
  <c r="BB68" i="1"/>
  <c r="AT71" i="1"/>
  <c r="AT73" i="1" s="1"/>
  <c r="AT75" i="1" s="1"/>
  <c r="AT70" i="1"/>
  <c r="AT69" i="1"/>
  <c r="AT68" i="1"/>
  <c r="CY71" i="1"/>
  <c r="CY73" i="1" s="1"/>
  <c r="CY70" i="1"/>
  <c r="CY69" i="1"/>
  <c r="CY68" i="1"/>
  <c r="CQ70" i="1"/>
  <c r="CQ69" i="1"/>
  <c r="CQ68" i="1"/>
  <c r="I68" i="3" s="1"/>
  <c r="BI71" i="1"/>
  <c r="BI73" i="1" s="1"/>
  <c r="BI75" i="1" s="1"/>
  <c r="BI70" i="1"/>
  <c r="BI69" i="1"/>
  <c r="BI68" i="1"/>
  <c r="BA70" i="1"/>
  <c r="BA69" i="1"/>
  <c r="K69" i="3" s="1"/>
  <c r="BA68" i="1"/>
  <c r="K68" i="3" s="1"/>
  <c r="AS71" i="1"/>
  <c r="AS73" i="1" s="1"/>
  <c r="AS75" i="1" s="1"/>
  <c r="AS70" i="1"/>
  <c r="AS69" i="1"/>
  <c r="AS68" i="1"/>
  <c r="CX71" i="1"/>
  <c r="CX70" i="1"/>
  <c r="CX69" i="1"/>
  <c r="CX68" i="1"/>
  <c r="P68" i="3" s="1"/>
  <c r="CP71" i="1"/>
  <c r="CP73" i="1" s="1"/>
  <c r="CP75" i="1" s="1"/>
  <c r="CP70" i="1"/>
  <c r="CP69" i="1"/>
  <c r="CP68" i="1"/>
  <c r="BH71" i="1"/>
  <c r="BH73" i="1" s="1"/>
  <c r="BH75" i="1" s="1"/>
  <c r="BH70" i="1"/>
  <c r="BH69" i="1"/>
  <c r="BH68" i="1"/>
  <c r="AZ70" i="1"/>
  <c r="AZ69" i="1"/>
  <c r="AZ68" i="1"/>
  <c r="DE71" i="1"/>
  <c r="DE73" i="1" s="1"/>
  <c r="DE75" i="1" s="1"/>
  <c r="DE70" i="1"/>
  <c r="DE69" i="1"/>
  <c r="DE68" i="1"/>
  <c r="CW71" i="1"/>
  <c r="CW70" i="1"/>
  <c r="CW69" i="1"/>
  <c r="CW68" i="1"/>
  <c r="O68" i="3" s="1"/>
  <c r="CO71" i="1"/>
  <c r="CO70" i="1"/>
  <c r="CO69" i="1"/>
  <c r="CO68" i="1"/>
  <c r="G68" i="3" s="1"/>
  <c r="BG71" i="1"/>
  <c r="BG70" i="1"/>
  <c r="BG69" i="1"/>
  <c r="Q69" i="3" s="1"/>
  <c r="BG68" i="1"/>
  <c r="Q68" i="3" s="1"/>
  <c r="AY70" i="1"/>
  <c r="AY69" i="1"/>
  <c r="AY68" i="1"/>
  <c r="DD71" i="1"/>
  <c r="DD70" i="1"/>
  <c r="DD69" i="1"/>
  <c r="DD68" i="1"/>
  <c r="V68" i="3" s="1"/>
  <c r="CV71" i="1"/>
  <c r="CV73" i="1" s="1"/>
  <c r="CV75" i="1" s="1"/>
  <c r="CV70" i="1"/>
  <c r="CV69" i="1"/>
  <c r="CV68" i="1"/>
  <c r="CN71" i="1"/>
  <c r="CN70" i="1"/>
  <c r="CN69" i="1"/>
  <c r="CN68" i="1"/>
  <c r="F68" i="3" s="1"/>
  <c r="BK71" i="1"/>
  <c r="BK73" i="1" s="1"/>
  <c r="BK75" i="1" s="1"/>
  <c r="BK70" i="1"/>
  <c r="BK69" i="1"/>
  <c r="BK68" i="1"/>
  <c r="AU71" i="1"/>
  <c r="AU70" i="1"/>
  <c r="AU69" i="1"/>
  <c r="E69" i="3" s="1"/>
  <c r="AU68" i="1"/>
  <c r="E68" i="3" s="1"/>
  <c r="CR70" i="1"/>
  <c r="CR69" i="1"/>
  <c r="CR68" i="1"/>
  <c r="J68" i="3" s="1"/>
  <c r="BJ71" i="1"/>
  <c r="T18" i="3"/>
  <c r="BJ70" i="1"/>
  <c r="BJ69" i="1"/>
  <c r="T69" i="3" s="1"/>
  <c r="BJ68" i="1"/>
  <c r="T68" i="3" s="1"/>
  <c r="BF71" i="1"/>
  <c r="BF73" i="1" s="1"/>
  <c r="BF70" i="1"/>
  <c r="BF69" i="1"/>
  <c r="BF68" i="1"/>
  <c r="AX71" i="1"/>
  <c r="AX70" i="1"/>
  <c r="AX69" i="1"/>
  <c r="H69" i="3" s="1"/>
  <c r="AX68" i="1"/>
  <c r="H68" i="3" s="1"/>
  <c r="DC71" i="1"/>
  <c r="DC70" i="1"/>
  <c r="DC69" i="1"/>
  <c r="DC68" i="1"/>
  <c r="U68" i="3" s="1"/>
  <c r="CU71" i="1"/>
  <c r="CU70" i="1"/>
  <c r="CU69" i="1"/>
  <c r="CU68" i="1"/>
  <c r="M68" i="3" s="1"/>
  <c r="CM71" i="1"/>
  <c r="CM73" i="1" s="1"/>
  <c r="CM75" i="1" s="1"/>
  <c r="CM70" i="1"/>
  <c r="CM69" i="1"/>
  <c r="CM68" i="1"/>
  <c r="BM71" i="1"/>
  <c r="BM70" i="1"/>
  <c r="BM69" i="1"/>
  <c r="W69" i="3" s="1"/>
  <c r="BM68" i="1"/>
  <c r="W68" i="3" s="1"/>
  <c r="BE71" i="1"/>
  <c r="BE73" i="1" s="1"/>
  <c r="BE70" i="1"/>
  <c r="BE69" i="1"/>
  <c r="BE68" i="1"/>
  <c r="AW71" i="1"/>
  <c r="AW73" i="1" s="1"/>
  <c r="AW75" i="1" s="1"/>
  <c r="AW70" i="1"/>
  <c r="AW69" i="1"/>
  <c r="AW68" i="1"/>
  <c r="DB71" i="1"/>
  <c r="DB73" i="1" s="1"/>
  <c r="DB75" i="1" s="1"/>
  <c r="DB70" i="1"/>
  <c r="DB69" i="1"/>
  <c r="DB68" i="1"/>
  <c r="CT71" i="1"/>
  <c r="CT70" i="1"/>
  <c r="CT69" i="1"/>
  <c r="CT68" i="1"/>
  <c r="L68" i="3" s="1"/>
  <c r="CL71" i="1"/>
  <c r="CL70" i="1"/>
  <c r="CL69" i="1"/>
  <c r="CL68" i="1"/>
  <c r="D68" i="3" s="1"/>
  <c r="BL71" i="1"/>
  <c r="BL73" i="1" s="1"/>
  <c r="BL75" i="1" s="1"/>
  <c r="BL70" i="1"/>
  <c r="BL69" i="1"/>
  <c r="BL68" i="1"/>
  <c r="BD71" i="1"/>
  <c r="BD70" i="1"/>
  <c r="BD69" i="1"/>
  <c r="N69" i="3" s="1"/>
  <c r="Y69" i="3" s="1"/>
  <c r="BD68" i="1"/>
  <c r="N68" i="3" s="1"/>
  <c r="Y68" i="3" s="1"/>
  <c r="AV71" i="1"/>
  <c r="AV73" i="1" s="1"/>
  <c r="AV75" i="1" s="1"/>
  <c r="AV70" i="1"/>
  <c r="AV69" i="1"/>
  <c r="AV68" i="1"/>
  <c r="S18" i="3"/>
  <c r="DA71" i="1"/>
  <c r="DA70" i="1"/>
  <c r="DA69" i="1"/>
  <c r="S69" i="3" s="1"/>
  <c r="DA68" i="1"/>
  <c r="S68" i="3" s="1"/>
  <c r="CS70" i="1"/>
  <c r="CS69" i="1"/>
  <c r="CS68" i="1"/>
  <c r="CK71" i="1"/>
  <c r="CK70" i="1"/>
  <c r="CK69" i="1"/>
  <c r="CK68" i="1"/>
  <c r="C68" i="3" s="1"/>
  <c r="BM66" i="1"/>
  <c r="W66" i="3" s="1"/>
  <c r="BM67" i="1"/>
  <c r="W67" i="3" s="1"/>
  <c r="BM65" i="1"/>
  <c r="W65" i="3" s="1"/>
  <c r="BM64" i="1"/>
  <c r="W64" i="3" s="1"/>
  <c r="AW66" i="1"/>
  <c r="AW65" i="1"/>
  <c r="AW67" i="1"/>
  <c r="AW64" i="1"/>
  <c r="CT66" i="1"/>
  <c r="L66" i="3" s="1"/>
  <c r="CT67" i="1"/>
  <c r="L67" i="3" s="1"/>
  <c r="CT65" i="1"/>
  <c r="L65" i="3" s="1"/>
  <c r="CT64" i="1"/>
  <c r="L64" i="3" s="1"/>
  <c r="BL66" i="1"/>
  <c r="BL65" i="1"/>
  <c r="BL67" i="1"/>
  <c r="BL64" i="1"/>
  <c r="AV66" i="1"/>
  <c r="AV65" i="1"/>
  <c r="AV67" i="1"/>
  <c r="AV64" i="1"/>
  <c r="DA66" i="1"/>
  <c r="S66" i="3" s="1"/>
  <c r="DA65" i="1"/>
  <c r="S65" i="3" s="1"/>
  <c r="DA67" i="1"/>
  <c r="S67" i="3" s="1"/>
  <c r="DA64" i="1"/>
  <c r="S64" i="3" s="1"/>
  <c r="CS66" i="1"/>
  <c r="CS67" i="1"/>
  <c r="CS65" i="1"/>
  <c r="CS64" i="1"/>
  <c r="CK66" i="1"/>
  <c r="C66" i="3" s="1"/>
  <c r="CK65" i="1"/>
  <c r="C65" i="3" s="1"/>
  <c r="CK67" i="1"/>
  <c r="C67" i="3" s="1"/>
  <c r="CK64" i="1"/>
  <c r="C64" i="3" s="1"/>
  <c r="BK67" i="1"/>
  <c r="BK65" i="1"/>
  <c r="BK66" i="1"/>
  <c r="BK64" i="1"/>
  <c r="BC67" i="1"/>
  <c r="BC65" i="1"/>
  <c r="BC66" i="1"/>
  <c r="BC64" i="1"/>
  <c r="AU67" i="1"/>
  <c r="E67" i="3" s="1"/>
  <c r="AU65" i="1"/>
  <c r="E65" i="3" s="1"/>
  <c r="AU66" i="1"/>
  <c r="E66" i="3" s="1"/>
  <c r="AU64" i="1"/>
  <c r="E64" i="3" s="1"/>
  <c r="CZ67" i="1"/>
  <c r="R67" i="3" s="1"/>
  <c r="CZ65" i="1"/>
  <c r="R65" i="3" s="1"/>
  <c r="CZ66" i="1"/>
  <c r="R66" i="3" s="1"/>
  <c r="CZ64" i="1"/>
  <c r="R64" i="3" s="1"/>
  <c r="CR65" i="1"/>
  <c r="J65" i="3" s="1"/>
  <c r="CR67" i="1"/>
  <c r="J67" i="3" s="1"/>
  <c r="CR66" i="1"/>
  <c r="J66" i="3" s="1"/>
  <c r="CR64" i="1"/>
  <c r="J64" i="3" s="1"/>
  <c r="BJ65" i="1"/>
  <c r="T65" i="3" s="1"/>
  <c r="BJ67" i="1"/>
  <c r="T67" i="3" s="1"/>
  <c r="BJ66" i="1"/>
  <c r="T66" i="3" s="1"/>
  <c r="BJ64" i="1"/>
  <c r="T64" i="3" s="1"/>
  <c r="BB67" i="1"/>
  <c r="BB65" i="1"/>
  <c r="BB66" i="1"/>
  <c r="BB64" i="1"/>
  <c r="AT65" i="1"/>
  <c r="AT67" i="1"/>
  <c r="AT66" i="1"/>
  <c r="AT64" i="1"/>
  <c r="CY67" i="1"/>
  <c r="CY65" i="1"/>
  <c r="CY66" i="1"/>
  <c r="CY64" i="1"/>
  <c r="CQ67" i="1"/>
  <c r="I67" i="3" s="1"/>
  <c r="CQ65" i="1"/>
  <c r="I65" i="3" s="1"/>
  <c r="CQ66" i="1"/>
  <c r="I66" i="3" s="1"/>
  <c r="CQ64" i="1"/>
  <c r="I64" i="3" s="1"/>
  <c r="BI67" i="1"/>
  <c r="BI65" i="1"/>
  <c r="BI66" i="1"/>
  <c r="BI64" i="1"/>
  <c r="BA65" i="1"/>
  <c r="K65" i="3" s="1"/>
  <c r="BA67" i="1"/>
  <c r="K67" i="3" s="1"/>
  <c r="BA66" i="1"/>
  <c r="K66" i="3" s="1"/>
  <c r="BA64" i="1"/>
  <c r="K64" i="3" s="1"/>
  <c r="AS67" i="1"/>
  <c r="AS65" i="1"/>
  <c r="AS66" i="1"/>
  <c r="AS64" i="1"/>
  <c r="CX65" i="1"/>
  <c r="CX67" i="1"/>
  <c r="CX66" i="1"/>
  <c r="CX64" i="1"/>
  <c r="CP67" i="1"/>
  <c r="CP65" i="1"/>
  <c r="CP66" i="1"/>
  <c r="CP64" i="1"/>
  <c r="BE66" i="1"/>
  <c r="BE67" i="1"/>
  <c r="BE65" i="1"/>
  <c r="BE64" i="1"/>
  <c r="DB66" i="1"/>
  <c r="DB65" i="1"/>
  <c r="DB67" i="1"/>
  <c r="DB64" i="1"/>
  <c r="CL66" i="1"/>
  <c r="D66" i="3" s="1"/>
  <c r="CL65" i="1"/>
  <c r="D65" i="3" s="1"/>
  <c r="CL67" i="1"/>
  <c r="D67" i="3" s="1"/>
  <c r="CL64" i="1"/>
  <c r="D64" i="3" s="1"/>
  <c r="BD66" i="1"/>
  <c r="N66" i="3" s="1"/>
  <c r="Y66" i="3" s="1"/>
  <c r="BD67" i="1"/>
  <c r="N67" i="3" s="1"/>
  <c r="Y67" i="3" s="1"/>
  <c r="BD65" i="1"/>
  <c r="N65" i="3" s="1"/>
  <c r="Y65" i="3" s="1"/>
  <c r="BD64" i="1"/>
  <c r="N64" i="3" s="1"/>
  <c r="Y64" i="3" s="1"/>
  <c r="BH66" i="1"/>
  <c r="BH67" i="1"/>
  <c r="BH65" i="1"/>
  <c r="BH64" i="1"/>
  <c r="AZ67" i="1"/>
  <c r="AZ65" i="1"/>
  <c r="AZ66" i="1"/>
  <c r="AZ64" i="1"/>
  <c r="DE67" i="1"/>
  <c r="DE65" i="1"/>
  <c r="DE66" i="1"/>
  <c r="DE64" i="1"/>
  <c r="CW66" i="1"/>
  <c r="CW67" i="1"/>
  <c r="CW65" i="1"/>
  <c r="CW64" i="1"/>
  <c r="CO67" i="1"/>
  <c r="G67" i="3" s="1"/>
  <c r="CO65" i="1"/>
  <c r="G65" i="3" s="1"/>
  <c r="CO66" i="1"/>
  <c r="G66" i="3" s="1"/>
  <c r="CO64" i="1"/>
  <c r="G64" i="3" s="1"/>
  <c r="BG67" i="1"/>
  <c r="Q67" i="3" s="1"/>
  <c r="BG65" i="1"/>
  <c r="Q65" i="3" s="1"/>
  <c r="BG66" i="1"/>
  <c r="Q66" i="3" s="1"/>
  <c r="BG64" i="1"/>
  <c r="Q64" i="3" s="1"/>
  <c r="AY67" i="1"/>
  <c r="AY65" i="1"/>
  <c r="AY66" i="1"/>
  <c r="AY64" i="1"/>
  <c r="DD67" i="1"/>
  <c r="V67" i="3" s="1"/>
  <c r="DD65" i="1"/>
  <c r="V65" i="3" s="1"/>
  <c r="DD66" i="1"/>
  <c r="V66" i="3" s="1"/>
  <c r="DD64" i="1"/>
  <c r="V64" i="3" s="1"/>
  <c r="CV67" i="1"/>
  <c r="CV65" i="1"/>
  <c r="CV66" i="1"/>
  <c r="CV64" i="1"/>
  <c r="CN67" i="1"/>
  <c r="F67" i="3" s="1"/>
  <c r="CN65" i="1"/>
  <c r="F65" i="3" s="1"/>
  <c r="CN66" i="1"/>
  <c r="F66" i="3" s="1"/>
  <c r="CN64" i="1"/>
  <c r="F64" i="3" s="1"/>
  <c r="BF66" i="1"/>
  <c r="BF65" i="1"/>
  <c r="BF67" i="1"/>
  <c r="BF64" i="1"/>
  <c r="AX66" i="1"/>
  <c r="H66" i="3" s="1"/>
  <c r="AX67" i="1"/>
  <c r="H67" i="3" s="1"/>
  <c r="AX65" i="1"/>
  <c r="H65" i="3" s="1"/>
  <c r="AX64" i="1"/>
  <c r="H64" i="3" s="1"/>
  <c r="DC66" i="1"/>
  <c r="U66" i="3" s="1"/>
  <c r="DC67" i="1"/>
  <c r="U67" i="3" s="1"/>
  <c r="DC65" i="1"/>
  <c r="U65" i="3" s="1"/>
  <c r="DC64" i="1"/>
  <c r="U64" i="3" s="1"/>
  <c r="CU66" i="1"/>
  <c r="M66" i="3" s="1"/>
  <c r="CU65" i="1"/>
  <c r="M65" i="3" s="1"/>
  <c r="CU67" i="1"/>
  <c r="M67" i="3" s="1"/>
  <c r="CU64" i="1"/>
  <c r="M64" i="3" s="1"/>
  <c r="CM66" i="1"/>
  <c r="CM65" i="1"/>
  <c r="CM67" i="1"/>
  <c r="CM64" i="1"/>
  <c r="BK62" i="1"/>
  <c r="BK63" i="1"/>
  <c r="BK59" i="1"/>
  <c r="BK58" i="1"/>
  <c r="BK60" i="1"/>
  <c r="BK61" i="1"/>
  <c r="BK57" i="1"/>
  <c r="BK55" i="1"/>
  <c r="BK56" i="1"/>
  <c r="BK52" i="1"/>
  <c r="BK50" i="1"/>
  <c r="BK51" i="1"/>
  <c r="BK53" i="1"/>
  <c r="BK49" i="1"/>
  <c r="BK54" i="1"/>
  <c r="BK46" i="1"/>
  <c r="BK44" i="1"/>
  <c r="BK48" i="1"/>
  <c r="BK42" i="1"/>
  <c r="BK47" i="1"/>
  <c r="BK43" i="1"/>
  <c r="BK40" i="1"/>
  <c r="BK45" i="1"/>
  <c r="BK41" i="1"/>
  <c r="BK39" i="1"/>
  <c r="BK38" i="1"/>
  <c r="AY62" i="1"/>
  <c r="AY63" i="1"/>
  <c r="AY61" i="1"/>
  <c r="AY59" i="1"/>
  <c r="AY58" i="1"/>
  <c r="AY60" i="1"/>
  <c r="AY57" i="1"/>
  <c r="AY55" i="1"/>
  <c r="AY56" i="1"/>
  <c r="AY52" i="1"/>
  <c r="AY50" i="1"/>
  <c r="AY53" i="1"/>
  <c r="AY49" i="1"/>
  <c r="AY46" i="1"/>
  <c r="AY44" i="1"/>
  <c r="AY54" i="1"/>
  <c r="AY42" i="1"/>
  <c r="AY48" i="1"/>
  <c r="AY43" i="1"/>
  <c r="AY40" i="1"/>
  <c r="AY47" i="1"/>
  <c r="AY45" i="1"/>
  <c r="AY41" i="1"/>
  <c r="AY39" i="1"/>
  <c r="AY38" i="1"/>
  <c r="CR62" i="1"/>
  <c r="J62" i="3" s="1"/>
  <c r="CR63" i="1"/>
  <c r="J63" i="3" s="1"/>
  <c r="CR60" i="1"/>
  <c r="J60" i="3" s="1"/>
  <c r="CR59" i="1"/>
  <c r="J59" i="3" s="1"/>
  <c r="CR58" i="1"/>
  <c r="J58" i="3" s="1"/>
  <c r="CR61" i="1"/>
  <c r="J61" i="3" s="1"/>
  <c r="CR57" i="1"/>
  <c r="J57" i="3" s="1"/>
  <c r="CR56" i="1"/>
  <c r="J56" i="3" s="1"/>
  <c r="CR50" i="1"/>
  <c r="J50" i="3" s="1"/>
  <c r="CR55" i="1"/>
  <c r="J55" i="3" s="1"/>
  <c r="CR53" i="1"/>
  <c r="J53" i="3" s="1"/>
  <c r="CR52" i="1"/>
  <c r="J52" i="3" s="1"/>
  <c r="CR49" i="1"/>
  <c r="J49" i="3" s="1"/>
  <c r="CR54" i="1"/>
  <c r="J54" i="3" s="1"/>
  <c r="CR46" i="1"/>
  <c r="J46" i="3" s="1"/>
  <c r="CR44" i="1"/>
  <c r="J44" i="3" s="1"/>
  <c r="CR42" i="1"/>
  <c r="CR48" i="1"/>
  <c r="J48" i="3" s="1"/>
  <c r="CR43" i="1"/>
  <c r="J43" i="3" s="1"/>
  <c r="CR47" i="1"/>
  <c r="J47" i="3" s="1"/>
  <c r="CR40" i="1"/>
  <c r="J40" i="3" s="1"/>
  <c r="CR45" i="1"/>
  <c r="J45" i="3" s="1"/>
  <c r="CR41" i="1"/>
  <c r="J41" i="3" s="1"/>
  <c r="CR39" i="1"/>
  <c r="J39" i="3" s="1"/>
  <c r="CR38" i="1"/>
  <c r="J38" i="3" s="1"/>
  <c r="BJ63" i="1"/>
  <c r="T63" i="3" s="1"/>
  <c r="BJ61" i="1"/>
  <c r="T61" i="3" s="1"/>
  <c r="BJ62" i="1"/>
  <c r="T62" i="3" s="1"/>
  <c r="BJ60" i="1"/>
  <c r="T60" i="3" s="1"/>
  <c r="BJ56" i="1"/>
  <c r="T56" i="3" s="1"/>
  <c r="BJ58" i="1"/>
  <c r="T58" i="3" s="1"/>
  <c r="BJ55" i="1"/>
  <c r="T55" i="3" s="1"/>
  <c r="BJ59" i="1"/>
  <c r="T59" i="3" s="1"/>
  <c r="BJ51" i="1"/>
  <c r="T51" i="3" s="1"/>
  <c r="BJ53" i="1"/>
  <c r="T53" i="3" s="1"/>
  <c r="BJ52" i="1"/>
  <c r="T52" i="3" s="1"/>
  <c r="BJ49" i="1"/>
  <c r="T49" i="3" s="1"/>
  <c r="BJ57" i="1"/>
  <c r="T57" i="3" s="1"/>
  <c r="BJ54" i="1"/>
  <c r="T54" i="3" s="1"/>
  <c r="BJ48" i="1"/>
  <c r="T48" i="3" s="1"/>
  <c r="BJ42" i="1"/>
  <c r="T42" i="3" s="1"/>
  <c r="BJ47" i="1"/>
  <c r="T47" i="3" s="1"/>
  <c r="BJ45" i="1"/>
  <c r="T45" i="3" s="1"/>
  <c r="BJ43" i="1"/>
  <c r="T43" i="3" s="1"/>
  <c r="BJ50" i="1"/>
  <c r="T50" i="3" s="1"/>
  <c r="BJ46" i="1"/>
  <c r="T46" i="3" s="1"/>
  <c r="BJ41" i="1"/>
  <c r="T41" i="3" s="1"/>
  <c r="BJ40" i="1"/>
  <c r="T40" i="3" s="1"/>
  <c r="BJ44" i="1"/>
  <c r="T44" i="3" s="1"/>
  <c r="BJ39" i="1"/>
  <c r="T39" i="3" s="1"/>
  <c r="BJ38" i="1"/>
  <c r="T38" i="3" s="1"/>
  <c r="BF63" i="1"/>
  <c r="BF60" i="1"/>
  <c r="BF61" i="1"/>
  <c r="BF58" i="1"/>
  <c r="BF56" i="1"/>
  <c r="BF62" i="1"/>
  <c r="BF59" i="1"/>
  <c r="BF55" i="1"/>
  <c r="BF51" i="1"/>
  <c r="BF57" i="1"/>
  <c r="BF53" i="1"/>
  <c r="BF52" i="1"/>
  <c r="BF49" i="1"/>
  <c r="BF54" i="1"/>
  <c r="BF48" i="1"/>
  <c r="BF42" i="1"/>
  <c r="BF50" i="1"/>
  <c r="BF47" i="1"/>
  <c r="BF45" i="1"/>
  <c r="BF43" i="1"/>
  <c r="BF46" i="1"/>
  <c r="BF40" i="1"/>
  <c r="BF41" i="1"/>
  <c r="BF44" i="1"/>
  <c r="BF39" i="1"/>
  <c r="BF38" i="1"/>
  <c r="BB63" i="1"/>
  <c r="BB60" i="1"/>
  <c r="BB61" i="1"/>
  <c r="BB62" i="1"/>
  <c r="BB58" i="1"/>
  <c r="BB59" i="1"/>
  <c r="BB56" i="1"/>
  <c r="BB55" i="1"/>
  <c r="BB57" i="1"/>
  <c r="BB51" i="1"/>
  <c r="BB53" i="1"/>
  <c r="BB52" i="1"/>
  <c r="BB49" i="1"/>
  <c r="BB54" i="1"/>
  <c r="BB48" i="1"/>
  <c r="BB50" i="1"/>
  <c r="BB42" i="1"/>
  <c r="BB47" i="1"/>
  <c r="BB45" i="1"/>
  <c r="BB43" i="1"/>
  <c r="BB44" i="1"/>
  <c r="BB41" i="1"/>
  <c r="BB46" i="1"/>
  <c r="BB40" i="1"/>
  <c r="BB39" i="1"/>
  <c r="BB38" i="1"/>
  <c r="AX63" i="1"/>
  <c r="H63" i="3" s="1"/>
  <c r="AX60" i="1"/>
  <c r="H60" i="3" s="1"/>
  <c r="AX61" i="1"/>
  <c r="H61" i="3" s="1"/>
  <c r="AX62" i="1"/>
  <c r="H62" i="3" s="1"/>
  <c r="AX59" i="1"/>
  <c r="H59" i="3" s="1"/>
  <c r="AX56" i="1"/>
  <c r="H56" i="3" s="1"/>
  <c r="AX55" i="1"/>
  <c r="H55" i="3" s="1"/>
  <c r="AX58" i="1"/>
  <c r="H58" i="3" s="1"/>
  <c r="AX53" i="1"/>
  <c r="H53" i="3" s="1"/>
  <c r="AX52" i="1"/>
  <c r="H52" i="3" s="1"/>
  <c r="AX49" i="1"/>
  <c r="H49" i="3" s="1"/>
  <c r="AX54" i="1"/>
  <c r="H54" i="3" s="1"/>
  <c r="AX48" i="1"/>
  <c r="H48" i="3" s="1"/>
  <c r="AX57" i="1"/>
  <c r="H57" i="3" s="1"/>
  <c r="AX50" i="1"/>
  <c r="H50" i="3" s="1"/>
  <c r="AX51" i="1"/>
  <c r="H51" i="3" s="1"/>
  <c r="AX42" i="1"/>
  <c r="H42" i="3" s="1"/>
  <c r="AX47" i="1"/>
  <c r="H47" i="3" s="1"/>
  <c r="AX45" i="1"/>
  <c r="H45" i="3" s="1"/>
  <c r="AX43" i="1"/>
  <c r="H43" i="3" s="1"/>
  <c r="AX44" i="1"/>
  <c r="H44" i="3" s="1"/>
  <c r="AX40" i="1"/>
  <c r="H40" i="3" s="1"/>
  <c r="AX41" i="1"/>
  <c r="H41" i="3" s="1"/>
  <c r="AX46" i="1"/>
  <c r="H46" i="3" s="1"/>
  <c r="AX39" i="1"/>
  <c r="H39" i="3" s="1"/>
  <c r="AX38" i="1"/>
  <c r="H38" i="3" s="1"/>
  <c r="AT63" i="1"/>
  <c r="AT60" i="1"/>
  <c r="AT61" i="1"/>
  <c r="AT62" i="1"/>
  <c r="AT56" i="1"/>
  <c r="AT58" i="1"/>
  <c r="AT55" i="1"/>
  <c r="AT53" i="1"/>
  <c r="AT52" i="1"/>
  <c r="AT49" i="1"/>
  <c r="AT57" i="1"/>
  <c r="AT54" i="1"/>
  <c r="AT48" i="1"/>
  <c r="AT51" i="1"/>
  <c r="AT59" i="1"/>
  <c r="AT42" i="1"/>
  <c r="AT47" i="1"/>
  <c r="AT45" i="1"/>
  <c r="AT43" i="1"/>
  <c r="AT44" i="1"/>
  <c r="AT46" i="1"/>
  <c r="AT41" i="1"/>
  <c r="AT50" i="1"/>
  <c r="AT40" i="1"/>
  <c r="AT39" i="1"/>
  <c r="AT38" i="1"/>
  <c r="DC63" i="1"/>
  <c r="U63" i="3" s="1"/>
  <c r="DC60" i="1"/>
  <c r="U60" i="3" s="1"/>
  <c r="DC61" i="1"/>
  <c r="U61" i="3" s="1"/>
  <c r="DC55" i="1"/>
  <c r="U55" i="3" s="1"/>
  <c r="DC62" i="1"/>
  <c r="U62" i="3" s="1"/>
  <c r="DC58" i="1"/>
  <c r="U58" i="3" s="1"/>
  <c r="DC56" i="1"/>
  <c r="U56" i="3" s="1"/>
  <c r="DC59" i="1"/>
  <c r="U59" i="3" s="1"/>
  <c r="DC57" i="1"/>
  <c r="U57" i="3" s="1"/>
  <c r="DC53" i="1"/>
  <c r="U53" i="3" s="1"/>
  <c r="DC49" i="1"/>
  <c r="U49" i="3" s="1"/>
  <c r="DC54" i="1"/>
  <c r="U54" i="3" s="1"/>
  <c r="DC48" i="1"/>
  <c r="U48" i="3" s="1"/>
  <c r="DC42" i="1"/>
  <c r="U42" i="3" s="1"/>
  <c r="DC52" i="1"/>
  <c r="U52" i="3" s="1"/>
  <c r="DC43" i="1"/>
  <c r="U43" i="3" s="1"/>
  <c r="DC50" i="1"/>
  <c r="U50" i="3" s="1"/>
  <c r="DC47" i="1"/>
  <c r="U47" i="3" s="1"/>
  <c r="DC45" i="1"/>
  <c r="U45" i="3" s="1"/>
  <c r="DC46" i="1"/>
  <c r="U46" i="3" s="1"/>
  <c r="DC40" i="1"/>
  <c r="U40" i="3" s="1"/>
  <c r="DC41" i="1"/>
  <c r="U41" i="3" s="1"/>
  <c r="DC51" i="1"/>
  <c r="U51" i="3" s="1"/>
  <c r="DC44" i="1"/>
  <c r="U44" i="3" s="1"/>
  <c r="DC39" i="1"/>
  <c r="U39" i="3" s="1"/>
  <c r="DC38" i="1"/>
  <c r="U38" i="3" s="1"/>
  <c r="CY63" i="1"/>
  <c r="CY60" i="1"/>
  <c r="CY61" i="1"/>
  <c r="CY62" i="1"/>
  <c r="CY58" i="1"/>
  <c r="CY55" i="1"/>
  <c r="CY59" i="1"/>
  <c r="CY56" i="1"/>
  <c r="CY57" i="1"/>
  <c r="CY53" i="1"/>
  <c r="CY49" i="1"/>
  <c r="CY54" i="1"/>
  <c r="CY48" i="1"/>
  <c r="CY42" i="1"/>
  <c r="CY50" i="1"/>
  <c r="CY43" i="1"/>
  <c r="CY52" i="1"/>
  <c r="CY51" i="1"/>
  <c r="CY47" i="1"/>
  <c r="CY45" i="1"/>
  <c r="CY46" i="1"/>
  <c r="CY44" i="1"/>
  <c r="CY41" i="1"/>
  <c r="CY40" i="1"/>
  <c r="CY39" i="1"/>
  <c r="CY38" i="1"/>
  <c r="CU63" i="1"/>
  <c r="M63" i="3" s="1"/>
  <c r="CU60" i="1"/>
  <c r="M60" i="3" s="1"/>
  <c r="CU61" i="1"/>
  <c r="M61" i="3" s="1"/>
  <c r="CU62" i="1"/>
  <c r="M62" i="3" s="1"/>
  <c r="CU59" i="1"/>
  <c r="M59" i="3" s="1"/>
  <c r="CU57" i="1"/>
  <c r="M57" i="3" s="1"/>
  <c r="CU55" i="1"/>
  <c r="M55" i="3" s="1"/>
  <c r="CU56" i="1"/>
  <c r="M56" i="3" s="1"/>
  <c r="CU58" i="1"/>
  <c r="M58" i="3" s="1"/>
  <c r="CU53" i="1"/>
  <c r="M53" i="3" s="1"/>
  <c r="CU49" i="1"/>
  <c r="M49" i="3" s="1"/>
  <c r="CU54" i="1"/>
  <c r="M54" i="3" s="1"/>
  <c r="CU48" i="1"/>
  <c r="M48" i="3" s="1"/>
  <c r="CU50" i="1"/>
  <c r="M50" i="3" s="1"/>
  <c r="CU42" i="1"/>
  <c r="CU51" i="1"/>
  <c r="M51" i="3" s="1"/>
  <c r="CU43" i="1"/>
  <c r="M43" i="3" s="1"/>
  <c r="CU47" i="1"/>
  <c r="M47" i="3" s="1"/>
  <c r="CU45" i="1"/>
  <c r="M45" i="3" s="1"/>
  <c r="CU44" i="1"/>
  <c r="M44" i="3" s="1"/>
  <c r="CU40" i="1"/>
  <c r="M40" i="3" s="1"/>
  <c r="CU41" i="1"/>
  <c r="M41" i="3" s="1"/>
  <c r="CU52" i="1"/>
  <c r="M52" i="3" s="1"/>
  <c r="CU46" i="1"/>
  <c r="M46" i="3" s="1"/>
  <c r="CU39" i="1"/>
  <c r="M39" i="3" s="1"/>
  <c r="CU38" i="1"/>
  <c r="M38" i="3" s="1"/>
  <c r="CQ63" i="1"/>
  <c r="I63" i="3" s="1"/>
  <c r="CQ60" i="1"/>
  <c r="I60" i="3" s="1"/>
  <c r="CQ61" i="1"/>
  <c r="I61" i="3" s="1"/>
  <c r="CQ62" i="1"/>
  <c r="I62" i="3" s="1"/>
  <c r="CQ55" i="1"/>
  <c r="I55" i="3" s="1"/>
  <c r="CQ57" i="1"/>
  <c r="I57" i="3" s="1"/>
  <c r="CQ56" i="1"/>
  <c r="I56" i="3" s="1"/>
  <c r="CQ58" i="1"/>
  <c r="I58" i="3" s="1"/>
  <c r="CQ53" i="1"/>
  <c r="I53" i="3" s="1"/>
  <c r="CQ49" i="1"/>
  <c r="I49" i="3" s="1"/>
  <c r="CQ59" i="1"/>
  <c r="I59" i="3" s="1"/>
  <c r="CQ54" i="1"/>
  <c r="I54" i="3" s="1"/>
  <c r="CQ48" i="1"/>
  <c r="I48" i="3" s="1"/>
  <c r="CQ52" i="1"/>
  <c r="I52" i="3" s="1"/>
  <c r="CQ42" i="1"/>
  <c r="I42" i="3" s="1"/>
  <c r="CQ43" i="1"/>
  <c r="I43" i="3" s="1"/>
  <c r="CQ47" i="1"/>
  <c r="I47" i="3" s="1"/>
  <c r="CQ45" i="1"/>
  <c r="I45" i="3" s="1"/>
  <c r="CQ46" i="1"/>
  <c r="I46" i="3" s="1"/>
  <c r="CQ41" i="1"/>
  <c r="I41" i="3" s="1"/>
  <c r="CQ44" i="1"/>
  <c r="I44" i="3" s="1"/>
  <c r="CQ40" i="1"/>
  <c r="I40" i="3" s="1"/>
  <c r="CQ50" i="1"/>
  <c r="I50" i="3" s="1"/>
  <c r="CQ39" i="1"/>
  <c r="I39" i="3" s="1"/>
  <c r="CQ38" i="1"/>
  <c r="I38" i="3" s="1"/>
  <c r="CM63" i="1"/>
  <c r="CM60" i="1"/>
  <c r="CM61" i="1"/>
  <c r="CM62" i="1"/>
  <c r="CM55" i="1"/>
  <c r="CM58" i="1"/>
  <c r="CM56" i="1"/>
  <c r="CM59" i="1"/>
  <c r="CM57" i="1"/>
  <c r="CM53" i="1"/>
  <c r="CM49" i="1"/>
  <c r="CM54" i="1"/>
  <c r="CM51" i="1"/>
  <c r="CM48" i="1"/>
  <c r="CM42" i="1"/>
  <c r="CM52" i="1"/>
  <c r="CM43" i="1"/>
  <c r="CM50" i="1"/>
  <c r="CM47" i="1"/>
  <c r="CM45" i="1"/>
  <c r="CM46" i="1"/>
  <c r="CM40" i="1"/>
  <c r="CM41" i="1"/>
  <c r="CM44" i="1"/>
  <c r="CM39" i="1"/>
  <c r="CM38" i="1"/>
  <c r="BG62" i="1"/>
  <c r="Q62" i="3" s="1"/>
  <c r="BG63" i="1"/>
  <c r="Q63" i="3" s="1"/>
  <c r="BG59" i="1"/>
  <c r="Q59" i="3" s="1"/>
  <c r="BG58" i="1"/>
  <c r="Q58" i="3" s="1"/>
  <c r="BG61" i="1"/>
  <c r="Q61" i="3" s="1"/>
  <c r="BG60" i="1"/>
  <c r="Q60" i="3" s="1"/>
  <c r="BG57" i="1"/>
  <c r="Q57" i="3" s="1"/>
  <c r="BG55" i="1"/>
  <c r="Q55" i="3" s="1"/>
  <c r="BG56" i="1"/>
  <c r="Q56" i="3" s="1"/>
  <c r="BG52" i="1"/>
  <c r="Q52" i="3" s="1"/>
  <c r="BG50" i="1"/>
  <c r="Q50" i="3" s="1"/>
  <c r="BG51" i="1"/>
  <c r="Q51" i="3" s="1"/>
  <c r="BG53" i="1"/>
  <c r="Q53" i="3" s="1"/>
  <c r="BG49" i="1"/>
  <c r="Q49" i="3" s="1"/>
  <c r="BG46" i="1"/>
  <c r="Q46" i="3" s="1"/>
  <c r="BG44" i="1"/>
  <c r="Q44" i="3" s="1"/>
  <c r="BG48" i="1"/>
  <c r="Q48" i="3" s="1"/>
  <c r="BG42" i="1"/>
  <c r="Q42" i="3" s="1"/>
  <c r="BG40" i="1"/>
  <c r="Q40" i="3" s="1"/>
  <c r="BG45" i="1"/>
  <c r="Q45" i="3" s="1"/>
  <c r="BG54" i="1"/>
  <c r="Q54" i="3" s="1"/>
  <c r="BG43" i="1"/>
  <c r="Q43" i="3" s="1"/>
  <c r="BG41" i="1"/>
  <c r="Q41" i="3" s="1"/>
  <c r="BG47" i="1"/>
  <c r="Q47" i="3" s="1"/>
  <c r="BG39" i="1"/>
  <c r="Q39" i="3" s="1"/>
  <c r="BG38" i="1"/>
  <c r="Q38" i="3" s="1"/>
  <c r="DD62" i="1"/>
  <c r="V62" i="3" s="1"/>
  <c r="DD63" i="1"/>
  <c r="V63" i="3" s="1"/>
  <c r="DD59" i="1"/>
  <c r="V59" i="3" s="1"/>
  <c r="DD58" i="1"/>
  <c r="V58" i="3" s="1"/>
  <c r="DD61" i="1"/>
  <c r="V61" i="3" s="1"/>
  <c r="DD60" i="1"/>
  <c r="V60" i="3" s="1"/>
  <c r="DD57" i="1"/>
  <c r="V57" i="3" s="1"/>
  <c r="DD56" i="1"/>
  <c r="V56" i="3" s="1"/>
  <c r="DD51" i="1"/>
  <c r="V51" i="3" s="1"/>
  <c r="DD50" i="1"/>
  <c r="V50" i="3" s="1"/>
  <c r="DD53" i="1"/>
  <c r="V53" i="3" s="1"/>
  <c r="DD52" i="1"/>
  <c r="V52" i="3" s="1"/>
  <c r="DD49" i="1"/>
  <c r="V49" i="3" s="1"/>
  <c r="DD46" i="1"/>
  <c r="V46" i="3" s="1"/>
  <c r="DD44" i="1"/>
  <c r="V44" i="3" s="1"/>
  <c r="DD48" i="1"/>
  <c r="V48" i="3" s="1"/>
  <c r="DD42" i="1"/>
  <c r="DD43" i="1"/>
  <c r="V43" i="3" s="1"/>
  <c r="DD40" i="1"/>
  <c r="V40" i="3" s="1"/>
  <c r="DD47" i="1"/>
  <c r="V47" i="3" s="1"/>
  <c r="DD55" i="1"/>
  <c r="V55" i="3" s="1"/>
  <c r="DD54" i="1"/>
  <c r="V54" i="3" s="1"/>
  <c r="DD45" i="1"/>
  <c r="V45" i="3" s="1"/>
  <c r="DD41" i="1"/>
  <c r="V41" i="3" s="1"/>
  <c r="DD39" i="1"/>
  <c r="V39" i="3" s="1"/>
  <c r="DD38" i="1"/>
  <c r="V38" i="3" s="1"/>
  <c r="CZ62" i="1"/>
  <c r="R62" i="3" s="1"/>
  <c r="CZ63" i="1"/>
  <c r="R63" i="3" s="1"/>
  <c r="CZ60" i="1"/>
  <c r="R60" i="3" s="1"/>
  <c r="CZ59" i="1"/>
  <c r="R59" i="3" s="1"/>
  <c r="CZ58" i="1"/>
  <c r="R58" i="3" s="1"/>
  <c r="CZ61" i="1"/>
  <c r="R61" i="3" s="1"/>
  <c r="CZ57" i="1"/>
  <c r="R57" i="3" s="1"/>
  <c r="CZ56" i="1"/>
  <c r="R56" i="3" s="1"/>
  <c r="CZ55" i="1"/>
  <c r="R55" i="3" s="1"/>
  <c r="CZ51" i="1"/>
  <c r="R51" i="3" s="1"/>
  <c r="CZ50" i="1"/>
  <c r="R50" i="3" s="1"/>
  <c r="CZ53" i="1"/>
  <c r="R53" i="3" s="1"/>
  <c r="CZ52" i="1"/>
  <c r="R52" i="3" s="1"/>
  <c r="CZ49" i="1"/>
  <c r="R49" i="3" s="1"/>
  <c r="CZ48" i="1"/>
  <c r="R48" i="3" s="1"/>
  <c r="CZ46" i="1"/>
  <c r="R46" i="3" s="1"/>
  <c r="CZ44" i="1"/>
  <c r="R44" i="3" s="1"/>
  <c r="CZ42" i="1"/>
  <c r="R42" i="3" s="1"/>
  <c r="CZ54" i="1"/>
  <c r="R54" i="3" s="1"/>
  <c r="CZ43" i="1"/>
  <c r="R43" i="3" s="1"/>
  <c r="CZ45" i="1"/>
  <c r="R45" i="3" s="1"/>
  <c r="CZ40" i="1"/>
  <c r="R40" i="3" s="1"/>
  <c r="CZ47" i="1"/>
  <c r="R47" i="3" s="1"/>
  <c r="CZ41" i="1"/>
  <c r="R41" i="3" s="1"/>
  <c r="CZ39" i="1"/>
  <c r="R39" i="3" s="1"/>
  <c r="CZ38" i="1"/>
  <c r="R38" i="3" s="1"/>
  <c r="CN62" i="1"/>
  <c r="F62" i="3" s="1"/>
  <c r="CN63" i="1"/>
  <c r="F63" i="3" s="1"/>
  <c r="CN60" i="1"/>
  <c r="F60" i="3" s="1"/>
  <c r="CN59" i="1"/>
  <c r="F59" i="3" s="1"/>
  <c r="CN58" i="1"/>
  <c r="F58" i="3" s="1"/>
  <c r="CN61" i="1"/>
  <c r="F61" i="3" s="1"/>
  <c r="CN56" i="1"/>
  <c r="F56" i="3" s="1"/>
  <c r="CN50" i="1"/>
  <c r="F50" i="3" s="1"/>
  <c r="CN57" i="1"/>
  <c r="F57" i="3" s="1"/>
  <c r="CN53" i="1"/>
  <c r="F53" i="3" s="1"/>
  <c r="CN52" i="1"/>
  <c r="F52" i="3" s="1"/>
  <c r="CN49" i="1"/>
  <c r="F49" i="3" s="1"/>
  <c r="CN55" i="1"/>
  <c r="F55" i="3" s="1"/>
  <c r="CN51" i="1"/>
  <c r="F51" i="3" s="1"/>
  <c r="CN46" i="1"/>
  <c r="F46" i="3" s="1"/>
  <c r="CN44" i="1"/>
  <c r="F44" i="3" s="1"/>
  <c r="CN48" i="1"/>
  <c r="F48" i="3" s="1"/>
  <c r="CN42" i="1"/>
  <c r="F42" i="3" s="1"/>
  <c r="CN43" i="1"/>
  <c r="F43" i="3" s="1"/>
  <c r="CN54" i="1"/>
  <c r="F54" i="3" s="1"/>
  <c r="CN40" i="1"/>
  <c r="F40" i="3" s="1"/>
  <c r="CN45" i="1"/>
  <c r="F45" i="3" s="1"/>
  <c r="CN47" i="1"/>
  <c r="F47" i="3" s="1"/>
  <c r="CN41" i="1"/>
  <c r="F41" i="3" s="1"/>
  <c r="CN39" i="1"/>
  <c r="F39" i="3" s="1"/>
  <c r="CN38" i="1"/>
  <c r="F38" i="3" s="1"/>
  <c r="BM61" i="1"/>
  <c r="W61" i="3" s="1"/>
  <c r="BM62" i="1"/>
  <c r="W62" i="3" s="1"/>
  <c r="BM63" i="1"/>
  <c r="W63" i="3" s="1"/>
  <c r="BM59" i="1"/>
  <c r="W59" i="3" s="1"/>
  <c r="BM58" i="1"/>
  <c r="W58" i="3" s="1"/>
  <c r="BM60" i="1"/>
  <c r="W60" i="3" s="1"/>
  <c r="BM56" i="1"/>
  <c r="W56" i="3" s="1"/>
  <c r="BM57" i="1"/>
  <c r="W57" i="3" s="1"/>
  <c r="BM55" i="1"/>
  <c r="W55" i="3" s="1"/>
  <c r="BM53" i="1"/>
  <c r="W53" i="3" s="1"/>
  <c r="BM49" i="1"/>
  <c r="W49" i="3" s="1"/>
  <c r="BM54" i="1"/>
  <c r="W54" i="3" s="1"/>
  <c r="BM48" i="1"/>
  <c r="W48" i="3" s="1"/>
  <c r="BM52" i="1"/>
  <c r="W52" i="3" s="1"/>
  <c r="BM50" i="1"/>
  <c r="W50" i="3" s="1"/>
  <c r="BM51" i="1"/>
  <c r="W51" i="3" s="1"/>
  <c r="BM42" i="1"/>
  <c r="W42" i="3" s="1"/>
  <c r="BM47" i="1"/>
  <c r="W47" i="3" s="1"/>
  <c r="BM45" i="1"/>
  <c r="W45" i="3" s="1"/>
  <c r="BM43" i="1"/>
  <c r="W43" i="3" s="1"/>
  <c r="BM46" i="1"/>
  <c r="W46" i="3" s="1"/>
  <c r="BM44" i="1"/>
  <c r="W44" i="3" s="1"/>
  <c r="BM41" i="1"/>
  <c r="W41" i="3" s="1"/>
  <c r="BM40" i="1"/>
  <c r="W40" i="3" s="1"/>
  <c r="BM39" i="1"/>
  <c r="W39" i="3" s="1"/>
  <c r="BM38" i="1"/>
  <c r="W38" i="3" s="1"/>
  <c r="BI60" i="1"/>
  <c r="BI61" i="1"/>
  <c r="BI62" i="1"/>
  <c r="BI63" i="1"/>
  <c r="BI59" i="1"/>
  <c r="BI58" i="1"/>
  <c r="BI56" i="1"/>
  <c r="BI57" i="1"/>
  <c r="BI53" i="1"/>
  <c r="BI49" i="1"/>
  <c r="BI55" i="1"/>
  <c r="BI54" i="1"/>
  <c r="BI48" i="1"/>
  <c r="BI52" i="1"/>
  <c r="BI50" i="1"/>
  <c r="BI42" i="1"/>
  <c r="BI47" i="1"/>
  <c r="BI45" i="1"/>
  <c r="BI43" i="1"/>
  <c r="BI46" i="1"/>
  <c r="BI44" i="1"/>
  <c r="BI41" i="1"/>
  <c r="BI40" i="1"/>
  <c r="BI51" i="1"/>
  <c r="BI39" i="1"/>
  <c r="BI38" i="1"/>
  <c r="BE60" i="1"/>
  <c r="BE61" i="1"/>
  <c r="BE62" i="1"/>
  <c r="BE59" i="1"/>
  <c r="BE58" i="1"/>
  <c r="BE56" i="1"/>
  <c r="BE63" i="1"/>
  <c r="BE57" i="1"/>
  <c r="BE53" i="1"/>
  <c r="BE49" i="1"/>
  <c r="BE54" i="1"/>
  <c r="BE48" i="1"/>
  <c r="BE55" i="1"/>
  <c r="BE52" i="1"/>
  <c r="BE50" i="1"/>
  <c r="BE42" i="1"/>
  <c r="BE47" i="1"/>
  <c r="BE45" i="1"/>
  <c r="BE43" i="1"/>
  <c r="BE51" i="1"/>
  <c r="BE46" i="1"/>
  <c r="BE44" i="1"/>
  <c r="BE41" i="1"/>
  <c r="BE40" i="1"/>
  <c r="BE39" i="1"/>
  <c r="BE38" i="1"/>
  <c r="BA60" i="1"/>
  <c r="K60" i="3" s="1"/>
  <c r="BA61" i="1"/>
  <c r="K61" i="3" s="1"/>
  <c r="BA62" i="1"/>
  <c r="K62" i="3" s="1"/>
  <c r="BA63" i="1"/>
  <c r="K63" i="3" s="1"/>
  <c r="BA59" i="1"/>
  <c r="K59" i="3" s="1"/>
  <c r="BA58" i="1"/>
  <c r="K58" i="3" s="1"/>
  <c r="BA56" i="1"/>
  <c r="K56" i="3" s="1"/>
  <c r="BA57" i="1"/>
  <c r="K57" i="3" s="1"/>
  <c r="BA53" i="1"/>
  <c r="K53" i="3" s="1"/>
  <c r="BA49" i="1"/>
  <c r="K49" i="3" s="1"/>
  <c r="BA54" i="1"/>
  <c r="K54" i="3" s="1"/>
  <c r="BA48" i="1"/>
  <c r="K48" i="3" s="1"/>
  <c r="BA52" i="1"/>
  <c r="K52" i="3" s="1"/>
  <c r="BA50" i="1"/>
  <c r="K50" i="3" s="1"/>
  <c r="BA42" i="1"/>
  <c r="K42" i="3" s="1"/>
  <c r="BA55" i="1"/>
  <c r="K55" i="3" s="1"/>
  <c r="BA47" i="1"/>
  <c r="K47" i="3" s="1"/>
  <c r="BA45" i="1"/>
  <c r="K45" i="3" s="1"/>
  <c r="BA43" i="1"/>
  <c r="K43" i="3" s="1"/>
  <c r="BA46" i="1"/>
  <c r="K46" i="3" s="1"/>
  <c r="BA44" i="1"/>
  <c r="K44" i="3" s="1"/>
  <c r="BA41" i="1"/>
  <c r="K41" i="3" s="1"/>
  <c r="BA40" i="1"/>
  <c r="K40" i="3" s="1"/>
  <c r="BA39" i="1"/>
  <c r="K39" i="3" s="1"/>
  <c r="BA38" i="1"/>
  <c r="K38" i="3" s="1"/>
  <c r="AW60" i="1"/>
  <c r="AW61" i="1"/>
  <c r="AW62" i="1"/>
  <c r="AW63" i="1"/>
  <c r="AW59" i="1"/>
  <c r="AW58" i="1"/>
  <c r="AW56" i="1"/>
  <c r="AW57" i="1"/>
  <c r="AW55" i="1"/>
  <c r="AW53" i="1"/>
  <c r="AW49" i="1"/>
  <c r="AW54" i="1"/>
  <c r="AW48" i="1"/>
  <c r="AW52" i="1"/>
  <c r="AW51" i="1"/>
  <c r="AW50" i="1"/>
  <c r="AW42" i="1"/>
  <c r="AW47" i="1"/>
  <c r="AW45" i="1"/>
  <c r="AW43" i="1"/>
  <c r="AW46" i="1"/>
  <c r="AW44" i="1"/>
  <c r="AW41" i="1"/>
  <c r="AW40" i="1"/>
  <c r="AW39" i="1"/>
  <c r="AW38" i="1"/>
  <c r="AS60" i="1"/>
  <c r="AS61" i="1"/>
  <c r="AS62" i="1"/>
  <c r="AS63" i="1"/>
  <c r="AS59" i="1"/>
  <c r="AS58" i="1"/>
  <c r="AS56" i="1"/>
  <c r="AS57" i="1"/>
  <c r="AS53" i="1"/>
  <c r="AS49" i="1"/>
  <c r="AS55" i="1"/>
  <c r="AS54" i="1"/>
  <c r="AS48" i="1"/>
  <c r="AS52" i="1"/>
  <c r="AS51" i="1"/>
  <c r="AS50" i="1"/>
  <c r="AS42" i="1"/>
  <c r="AS47" i="1"/>
  <c r="AS45" i="1"/>
  <c r="AS43" i="1"/>
  <c r="AS46" i="1"/>
  <c r="AS44" i="1"/>
  <c r="AS41" i="1"/>
  <c r="AS40" i="1"/>
  <c r="AS39" i="1"/>
  <c r="AS38" i="1"/>
  <c r="DB60" i="1"/>
  <c r="DB61" i="1"/>
  <c r="DB62" i="1"/>
  <c r="DB59" i="1"/>
  <c r="DB58" i="1"/>
  <c r="DB63" i="1"/>
  <c r="DB56" i="1"/>
  <c r="DB55" i="1"/>
  <c r="DB57" i="1"/>
  <c r="DB53" i="1"/>
  <c r="DB52" i="1"/>
  <c r="DB49" i="1"/>
  <c r="DB54" i="1"/>
  <c r="DB48" i="1"/>
  <c r="DB51" i="1"/>
  <c r="DB50" i="1"/>
  <c r="DB43" i="1"/>
  <c r="DB47" i="1"/>
  <c r="DB45" i="1"/>
  <c r="DB46" i="1"/>
  <c r="DB44" i="1"/>
  <c r="DB41" i="1"/>
  <c r="DB42" i="1"/>
  <c r="DB40" i="1"/>
  <c r="DB39" i="1"/>
  <c r="DB38" i="1"/>
  <c r="CX60" i="1"/>
  <c r="CX61" i="1"/>
  <c r="CX62" i="1"/>
  <c r="CX63" i="1"/>
  <c r="CX59" i="1"/>
  <c r="CX58" i="1"/>
  <c r="CX56" i="1"/>
  <c r="CX55" i="1"/>
  <c r="CX57" i="1"/>
  <c r="CX53" i="1"/>
  <c r="CX52" i="1"/>
  <c r="CX49" i="1"/>
  <c r="CX54" i="1"/>
  <c r="CX48" i="1"/>
  <c r="CX51" i="1"/>
  <c r="CX50" i="1"/>
  <c r="CX43" i="1"/>
  <c r="CX47" i="1"/>
  <c r="CX45" i="1"/>
  <c r="CX46" i="1"/>
  <c r="CX44" i="1"/>
  <c r="CX41" i="1"/>
  <c r="CX40" i="1"/>
  <c r="CX42" i="1"/>
  <c r="CX39" i="1"/>
  <c r="CX38" i="1"/>
  <c r="CT60" i="1"/>
  <c r="L60" i="3" s="1"/>
  <c r="CT61" i="1"/>
  <c r="L61" i="3" s="1"/>
  <c r="CT62" i="1"/>
  <c r="L62" i="3" s="1"/>
  <c r="CT63" i="1"/>
  <c r="L63" i="3" s="1"/>
  <c r="CT59" i="1"/>
  <c r="L59" i="3" s="1"/>
  <c r="CT58" i="1"/>
  <c r="L58" i="3" s="1"/>
  <c r="CT56" i="1"/>
  <c r="L56" i="3" s="1"/>
  <c r="CT55" i="1"/>
  <c r="L55" i="3" s="1"/>
  <c r="CT53" i="1"/>
  <c r="L53" i="3" s="1"/>
  <c r="CT52" i="1"/>
  <c r="L52" i="3" s="1"/>
  <c r="CT49" i="1"/>
  <c r="L49" i="3" s="1"/>
  <c r="CT54" i="1"/>
  <c r="L54" i="3" s="1"/>
  <c r="CT48" i="1"/>
  <c r="L48" i="3" s="1"/>
  <c r="CT51" i="1"/>
  <c r="L51" i="3" s="1"/>
  <c r="CT50" i="1"/>
  <c r="L50" i="3" s="1"/>
  <c r="CT43" i="1"/>
  <c r="L43" i="3" s="1"/>
  <c r="CT47" i="1"/>
  <c r="L47" i="3" s="1"/>
  <c r="CT45" i="1"/>
  <c r="L45" i="3" s="1"/>
  <c r="CT46" i="1"/>
  <c r="L46" i="3" s="1"/>
  <c r="CT44" i="1"/>
  <c r="L44" i="3" s="1"/>
  <c r="CT57" i="1"/>
  <c r="L57" i="3" s="1"/>
  <c r="CT41" i="1"/>
  <c r="L41" i="3" s="1"/>
  <c r="CT42" i="1"/>
  <c r="L42" i="3" s="1"/>
  <c r="CT40" i="1"/>
  <c r="L40" i="3" s="1"/>
  <c r="CT39" i="1"/>
  <c r="L39" i="3" s="1"/>
  <c r="CT38" i="1"/>
  <c r="L38" i="3" s="1"/>
  <c r="CP60" i="1"/>
  <c r="CP61" i="1"/>
  <c r="CP62" i="1"/>
  <c r="CP63" i="1"/>
  <c r="CP59" i="1"/>
  <c r="CP58" i="1"/>
  <c r="CP57" i="1"/>
  <c r="CP56" i="1"/>
  <c r="CP55" i="1"/>
  <c r="CP53" i="1"/>
  <c r="CP52" i="1"/>
  <c r="CP49" i="1"/>
  <c r="CP54" i="1"/>
  <c r="CP51" i="1"/>
  <c r="CP48" i="1"/>
  <c r="CP50" i="1"/>
  <c r="CP43" i="1"/>
  <c r="CP47" i="1"/>
  <c r="CP45" i="1"/>
  <c r="CP46" i="1"/>
  <c r="CP44" i="1"/>
  <c r="CP42" i="1"/>
  <c r="CP41" i="1"/>
  <c r="CP40" i="1"/>
  <c r="CP39" i="1"/>
  <c r="CP38" i="1"/>
  <c r="CL60" i="1"/>
  <c r="D60" i="3" s="1"/>
  <c r="CL61" i="1"/>
  <c r="D61" i="3" s="1"/>
  <c r="CL62" i="1"/>
  <c r="D62" i="3" s="1"/>
  <c r="CL59" i="1"/>
  <c r="D59" i="3" s="1"/>
  <c r="CL58" i="1"/>
  <c r="D58" i="3" s="1"/>
  <c r="CL56" i="1"/>
  <c r="D56" i="3" s="1"/>
  <c r="CL54" i="1"/>
  <c r="D54" i="3" s="1"/>
  <c r="CL57" i="1"/>
  <c r="D57" i="3" s="1"/>
  <c r="CL55" i="1"/>
  <c r="D55" i="3" s="1"/>
  <c r="CL53" i="1"/>
  <c r="D53" i="3" s="1"/>
  <c r="CL52" i="1"/>
  <c r="D52" i="3" s="1"/>
  <c r="CL49" i="1"/>
  <c r="D49" i="3" s="1"/>
  <c r="CL51" i="1"/>
  <c r="D51" i="3" s="1"/>
  <c r="CL48" i="1"/>
  <c r="D48" i="3" s="1"/>
  <c r="CL63" i="1"/>
  <c r="D63" i="3" s="1"/>
  <c r="CL50" i="1"/>
  <c r="D50" i="3" s="1"/>
  <c r="CL43" i="1"/>
  <c r="D43" i="3" s="1"/>
  <c r="CL47" i="1"/>
  <c r="D47" i="3" s="1"/>
  <c r="CL45" i="1"/>
  <c r="D45" i="3" s="1"/>
  <c r="CL46" i="1"/>
  <c r="D46" i="3" s="1"/>
  <c r="CL44" i="1"/>
  <c r="D44" i="3" s="1"/>
  <c r="CL41" i="1"/>
  <c r="D41" i="3" s="1"/>
  <c r="CL42" i="1"/>
  <c r="CL40" i="1"/>
  <c r="D40" i="3" s="1"/>
  <c r="CL39" i="1"/>
  <c r="D39" i="3" s="1"/>
  <c r="CL38" i="1"/>
  <c r="D38" i="3" s="1"/>
  <c r="BC62" i="1"/>
  <c r="BC63" i="1"/>
  <c r="BC60" i="1"/>
  <c r="BC59" i="1"/>
  <c r="BC58" i="1"/>
  <c r="BC61" i="1"/>
  <c r="BC57" i="1"/>
  <c r="BC55" i="1"/>
  <c r="BC56" i="1"/>
  <c r="BC52" i="1"/>
  <c r="BC50" i="1"/>
  <c r="BC51" i="1"/>
  <c r="BC53" i="1"/>
  <c r="BC49" i="1"/>
  <c r="BC48" i="1"/>
  <c r="BC46" i="1"/>
  <c r="BC44" i="1"/>
  <c r="BC54" i="1"/>
  <c r="BC42" i="1"/>
  <c r="BC45" i="1"/>
  <c r="BC40" i="1"/>
  <c r="BC43" i="1"/>
  <c r="BC47" i="1"/>
  <c r="BC41" i="1"/>
  <c r="BC39" i="1"/>
  <c r="BC38" i="1"/>
  <c r="AU62" i="1"/>
  <c r="E62" i="3" s="1"/>
  <c r="AU63" i="1"/>
  <c r="E63" i="3" s="1"/>
  <c r="AU60" i="1"/>
  <c r="E60" i="3" s="1"/>
  <c r="AU59" i="1"/>
  <c r="E59" i="3" s="1"/>
  <c r="AU58" i="1"/>
  <c r="E58" i="3" s="1"/>
  <c r="AU57" i="1"/>
  <c r="E57" i="3" s="1"/>
  <c r="AU55" i="1"/>
  <c r="E55" i="3" s="1"/>
  <c r="AU56" i="1"/>
  <c r="E56" i="3" s="1"/>
  <c r="AU52" i="1"/>
  <c r="E52" i="3" s="1"/>
  <c r="AU51" i="1"/>
  <c r="E51" i="3" s="1"/>
  <c r="AU50" i="1"/>
  <c r="E50" i="3" s="1"/>
  <c r="AU61" i="1"/>
  <c r="E61" i="3" s="1"/>
  <c r="AU53" i="1"/>
  <c r="E53" i="3" s="1"/>
  <c r="AU49" i="1"/>
  <c r="E49" i="3" s="1"/>
  <c r="AU54" i="1"/>
  <c r="E54" i="3" s="1"/>
  <c r="AU46" i="1"/>
  <c r="E46" i="3" s="1"/>
  <c r="AU44" i="1"/>
  <c r="E44" i="3" s="1"/>
  <c r="AU48" i="1"/>
  <c r="E48" i="3" s="1"/>
  <c r="AU42" i="1"/>
  <c r="E42" i="3" s="1"/>
  <c r="AU47" i="1"/>
  <c r="E47" i="3" s="1"/>
  <c r="AU40" i="1"/>
  <c r="E40" i="3" s="1"/>
  <c r="AU45" i="1"/>
  <c r="E45" i="3" s="1"/>
  <c r="AU41" i="1"/>
  <c r="E41" i="3" s="1"/>
  <c r="AU43" i="1"/>
  <c r="E43" i="3" s="1"/>
  <c r="AU39" i="1"/>
  <c r="E39" i="3" s="1"/>
  <c r="AU38" i="1"/>
  <c r="E38" i="3" s="1"/>
  <c r="CV62" i="1"/>
  <c r="CV63" i="1"/>
  <c r="CV61" i="1"/>
  <c r="CV59" i="1"/>
  <c r="CV58" i="1"/>
  <c r="CV60" i="1"/>
  <c r="CV57" i="1"/>
  <c r="CV56" i="1"/>
  <c r="CV51" i="1"/>
  <c r="CV50" i="1"/>
  <c r="CV55" i="1"/>
  <c r="CV53" i="1"/>
  <c r="CV52" i="1"/>
  <c r="CV49" i="1"/>
  <c r="CV46" i="1"/>
  <c r="CV44" i="1"/>
  <c r="CV54" i="1"/>
  <c r="CV42" i="1"/>
  <c r="CV43" i="1"/>
  <c r="CV40" i="1"/>
  <c r="CV45" i="1"/>
  <c r="CV47" i="1"/>
  <c r="CV48" i="1"/>
  <c r="CV41" i="1"/>
  <c r="CV39" i="1"/>
  <c r="CV38" i="1"/>
  <c r="BL61" i="1"/>
  <c r="BL62" i="1"/>
  <c r="BL63" i="1"/>
  <c r="BL59" i="1"/>
  <c r="BL58" i="1"/>
  <c r="BL60" i="1"/>
  <c r="BL55" i="1"/>
  <c r="BL57" i="1"/>
  <c r="BL54" i="1"/>
  <c r="BL48" i="1"/>
  <c r="BL50" i="1"/>
  <c r="BL51" i="1"/>
  <c r="BL49" i="1"/>
  <c r="BL47" i="1"/>
  <c r="BL45" i="1"/>
  <c r="BL46" i="1"/>
  <c r="BL44" i="1"/>
  <c r="BL52" i="1"/>
  <c r="BL53" i="1"/>
  <c r="BL41" i="1"/>
  <c r="BL43" i="1"/>
  <c r="BL40" i="1"/>
  <c r="BL56" i="1"/>
  <c r="BL42" i="1"/>
  <c r="BL39" i="1"/>
  <c r="BL38" i="1"/>
  <c r="BH61" i="1"/>
  <c r="BH62" i="1"/>
  <c r="BH63" i="1"/>
  <c r="BH59" i="1"/>
  <c r="BH58" i="1"/>
  <c r="BH55" i="1"/>
  <c r="BH57" i="1"/>
  <c r="BH54" i="1"/>
  <c r="BH48" i="1"/>
  <c r="BH50" i="1"/>
  <c r="BH56" i="1"/>
  <c r="BH51" i="1"/>
  <c r="BH47" i="1"/>
  <c r="BH45" i="1"/>
  <c r="BH46" i="1"/>
  <c r="BH44" i="1"/>
  <c r="BH53" i="1"/>
  <c r="BH42" i="1"/>
  <c r="BH40" i="1"/>
  <c r="BH43" i="1"/>
  <c r="BH41" i="1"/>
  <c r="BH60" i="1"/>
  <c r="BH49" i="1"/>
  <c r="BH52" i="1"/>
  <c r="BH39" i="1"/>
  <c r="BH38" i="1"/>
  <c r="BD61" i="1"/>
  <c r="N61" i="3" s="1"/>
  <c r="Y61" i="3" s="1"/>
  <c r="BD62" i="1"/>
  <c r="N62" i="3" s="1"/>
  <c r="Y62" i="3" s="1"/>
  <c r="BD63" i="1"/>
  <c r="N63" i="3" s="1"/>
  <c r="Y63" i="3" s="1"/>
  <c r="BD60" i="1"/>
  <c r="N60" i="3" s="1"/>
  <c r="Y60" i="3" s="1"/>
  <c r="BD59" i="1"/>
  <c r="N59" i="3" s="1"/>
  <c r="Y59" i="3" s="1"/>
  <c r="BD58" i="1"/>
  <c r="N58" i="3" s="1"/>
  <c r="Y58" i="3" s="1"/>
  <c r="BD55" i="1"/>
  <c r="N55" i="3" s="1"/>
  <c r="Y55" i="3" s="1"/>
  <c r="BD57" i="1"/>
  <c r="N57" i="3" s="1"/>
  <c r="Y57" i="3" s="1"/>
  <c r="BD54" i="1"/>
  <c r="N54" i="3" s="1"/>
  <c r="Y54" i="3" s="1"/>
  <c r="BD48" i="1"/>
  <c r="N48" i="3" s="1"/>
  <c r="Y48" i="3" s="1"/>
  <c r="BD56" i="1"/>
  <c r="N56" i="3" s="1"/>
  <c r="Y56" i="3" s="1"/>
  <c r="BD50" i="1"/>
  <c r="N50" i="3" s="1"/>
  <c r="Y50" i="3" s="1"/>
  <c r="BD51" i="1"/>
  <c r="N51" i="3" s="1"/>
  <c r="Y51" i="3" s="1"/>
  <c r="BD52" i="1"/>
  <c r="N52" i="3" s="1"/>
  <c r="Y52" i="3" s="1"/>
  <c r="BD47" i="1"/>
  <c r="N47" i="3" s="1"/>
  <c r="Y47" i="3" s="1"/>
  <c r="BD45" i="1"/>
  <c r="N45" i="3" s="1"/>
  <c r="Y45" i="3" s="1"/>
  <c r="BD43" i="1"/>
  <c r="N43" i="3" s="1"/>
  <c r="Y43" i="3" s="1"/>
  <c r="BD53" i="1"/>
  <c r="N53" i="3" s="1"/>
  <c r="Y53" i="3" s="1"/>
  <c r="BD46" i="1"/>
  <c r="N46" i="3" s="1"/>
  <c r="Y46" i="3" s="1"/>
  <c r="BD44" i="1"/>
  <c r="N44" i="3" s="1"/>
  <c r="Y44" i="3" s="1"/>
  <c r="BD49" i="1"/>
  <c r="N49" i="3" s="1"/>
  <c r="Y49" i="3" s="1"/>
  <c r="BD42" i="1"/>
  <c r="N42" i="3" s="1"/>
  <c r="Y42" i="3" s="1"/>
  <c r="BD41" i="1"/>
  <c r="N41" i="3" s="1"/>
  <c r="Y41" i="3" s="1"/>
  <c r="BD40" i="1"/>
  <c r="N40" i="3" s="1"/>
  <c r="Y40" i="3" s="1"/>
  <c r="BD39" i="1"/>
  <c r="N39" i="3" s="1"/>
  <c r="Y39" i="3" s="1"/>
  <c r="BD38" i="1"/>
  <c r="N38" i="3" s="1"/>
  <c r="Y38" i="3" s="1"/>
  <c r="AZ61" i="1"/>
  <c r="AZ62" i="1"/>
  <c r="AZ63" i="1"/>
  <c r="AZ59" i="1"/>
  <c r="AZ58" i="1"/>
  <c r="AZ55" i="1"/>
  <c r="AZ57" i="1"/>
  <c r="AZ60" i="1"/>
  <c r="AZ56" i="1"/>
  <c r="AZ54" i="1"/>
  <c r="AZ48" i="1"/>
  <c r="AZ50" i="1"/>
  <c r="AZ53" i="1"/>
  <c r="AZ47" i="1"/>
  <c r="AZ45" i="1"/>
  <c r="AZ43" i="1"/>
  <c r="AZ52" i="1"/>
  <c r="AZ49" i="1"/>
  <c r="AZ46" i="1"/>
  <c r="AZ44" i="1"/>
  <c r="AZ42" i="1"/>
  <c r="AZ40" i="1"/>
  <c r="AZ41" i="1"/>
  <c r="AZ39" i="1"/>
  <c r="AZ38" i="1"/>
  <c r="AV61" i="1"/>
  <c r="AV62" i="1"/>
  <c r="AV63" i="1"/>
  <c r="AV60" i="1"/>
  <c r="AV59" i="1"/>
  <c r="AV58" i="1"/>
  <c r="AV55" i="1"/>
  <c r="AV57" i="1"/>
  <c r="AV54" i="1"/>
  <c r="AV48" i="1"/>
  <c r="AV51" i="1"/>
  <c r="AV50" i="1"/>
  <c r="AV49" i="1"/>
  <c r="AV47" i="1"/>
  <c r="AV45" i="1"/>
  <c r="AV43" i="1"/>
  <c r="AV46" i="1"/>
  <c r="AV44" i="1"/>
  <c r="AV56" i="1"/>
  <c r="AV52" i="1"/>
  <c r="AV53" i="1"/>
  <c r="AV41" i="1"/>
  <c r="AV40" i="1"/>
  <c r="AV42" i="1"/>
  <c r="AV39" i="1"/>
  <c r="AV38" i="1"/>
  <c r="DE61" i="1"/>
  <c r="DE62" i="1"/>
  <c r="DE63" i="1"/>
  <c r="DE59" i="1"/>
  <c r="DE58" i="1"/>
  <c r="DE60" i="1"/>
  <c r="DE57" i="1"/>
  <c r="DE55" i="1"/>
  <c r="DE54" i="1"/>
  <c r="DE48" i="1"/>
  <c r="DE52" i="1"/>
  <c r="DE51" i="1"/>
  <c r="DE50" i="1"/>
  <c r="DE56" i="1"/>
  <c r="DE47" i="1"/>
  <c r="DE45" i="1"/>
  <c r="DE46" i="1"/>
  <c r="DE44" i="1"/>
  <c r="DE53" i="1"/>
  <c r="DE42" i="1"/>
  <c r="DE49" i="1"/>
  <c r="DE43" i="1"/>
  <c r="DE40" i="1"/>
  <c r="DE41" i="1"/>
  <c r="DE39" i="1"/>
  <c r="DE38" i="1"/>
  <c r="DA61" i="1"/>
  <c r="S61" i="3" s="1"/>
  <c r="DA62" i="1"/>
  <c r="S62" i="3" s="1"/>
  <c r="DA63" i="1"/>
  <c r="S63" i="3" s="1"/>
  <c r="DA60" i="1"/>
  <c r="S60" i="3" s="1"/>
  <c r="DA59" i="1"/>
  <c r="S59" i="3" s="1"/>
  <c r="DA58" i="1"/>
  <c r="S58" i="3" s="1"/>
  <c r="DA57" i="1"/>
  <c r="S57" i="3" s="1"/>
  <c r="DA55" i="1"/>
  <c r="S55" i="3" s="1"/>
  <c r="DA54" i="1"/>
  <c r="S54" i="3" s="1"/>
  <c r="DA48" i="1"/>
  <c r="S48" i="3" s="1"/>
  <c r="DA56" i="1"/>
  <c r="S56" i="3" s="1"/>
  <c r="DA52" i="1"/>
  <c r="S52" i="3" s="1"/>
  <c r="DA51" i="1"/>
  <c r="S51" i="3" s="1"/>
  <c r="DA50" i="1"/>
  <c r="S50" i="3" s="1"/>
  <c r="DA47" i="1"/>
  <c r="S47" i="3" s="1"/>
  <c r="DA45" i="1"/>
  <c r="S45" i="3" s="1"/>
  <c r="DA53" i="1"/>
  <c r="S53" i="3" s="1"/>
  <c r="DA46" i="1"/>
  <c r="S46" i="3" s="1"/>
  <c r="DA44" i="1"/>
  <c r="S44" i="3" s="1"/>
  <c r="DA49" i="1"/>
  <c r="S49" i="3" s="1"/>
  <c r="DA42" i="1"/>
  <c r="S42" i="3" s="1"/>
  <c r="DA43" i="1"/>
  <c r="S43" i="3" s="1"/>
  <c r="DA41" i="1"/>
  <c r="S41" i="3" s="1"/>
  <c r="DA40" i="1"/>
  <c r="S40" i="3" s="1"/>
  <c r="DA39" i="1"/>
  <c r="S39" i="3" s="1"/>
  <c r="DA38" i="1"/>
  <c r="S38" i="3" s="1"/>
  <c r="CW61" i="1"/>
  <c r="CW62" i="1"/>
  <c r="CW63" i="1"/>
  <c r="CW57" i="1"/>
  <c r="CW59" i="1"/>
  <c r="CW58" i="1"/>
  <c r="CW60" i="1"/>
  <c r="CW55" i="1"/>
  <c r="CW56" i="1"/>
  <c r="CW54" i="1"/>
  <c r="CW48" i="1"/>
  <c r="CW52" i="1"/>
  <c r="CW51" i="1"/>
  <c r="CW50" i="1"/>
  <c r="CW53" i="1"/>
  <c r="CW47" i="1"/>
  <c r="CW45" i="1"/>
  <c r="CW49" i="1"/>
  <c r="CW46" i="1"/>
  <c r="CW44" i="1"/>
  <c r="CW42" i="1"/>
  <c r="CW40" i="1"/>
  <c r="CW43" i="1"/>
  <c r="CW41" i="1"/>
  <c r="CW39" i="1"/>
  <c r="CW38" i="1"/>
  <c r="CS61" i="1"/>
  <c r="CS62" i="1"/>
  <c r="CS63" i="1"/>
  <c r="CS57" i="1"/>
  <c r="CS60" i="1"/>
  <c r="CS59" i="1"/>
  <c r="CS58" i="1"/>
  <c r="CS55" i="1"/>
  <c r="CS54" i="1"/>
  <c r="CS48" i="1"/>
  <c r="CS52" i="1"/>
  <c r="CS50" i="1"/>
  <c r="CS49" i="1"/>
  <c r="CS47" i="1"/>
  <c r="CS45" i="1"/>
  <c r="CS56" i="1"/>
  <c r="CS46" i="1"/>
  <c r="CS44" i="1"/>
  <c r="CS42" i="1"/>
  <c r="CS41" i="1"/>
  <c r="CS40" i="1"/>
  <c r="CS53" i="1"/>
  <c r="CS43" i="1"/>
  <c r="CS39" i="1"/>
  <c r="CS38" i="1"/>
  <c r="CO61" i="1"/>
  <c r="G61" i="3" s="1"/>
  <c r="CO62" i="1"/>
  <c r="G62" i="3" s="1"/>
  <c r="CO63" i="1"/>
  <c r="G63" i="3" s="1"/>
  <c r="CO57" i="1"/>
  <c r="G57" i="3" s="1"/>
  <c r="CO59" i="1"/>
  <c r="G59" i="3" s="1"/>
  <c r="CO58" i="1"/>
  <c r="G58" i="3" s="1"/>
  <c r="CO55" i="1"/>
  <c r="G55" i="3" s="1"/>
  <c r="CO54" i="1"/>
  <c r="G54" i="3" s="1"/>
  <c r="CO51" i="1"/>
  <c r="G51" i="3" s="1"/>
  <c r="CO48" i="1"/>
  <c r="G48" i="3" s="1"/>
  <c r="CO52" i="1"/>
  <c r="G52" i="3" s="1"/>
  <c r="CO50" i="1"/>
  <c r="G50" i="3" s="1"/>
  <c r="CO60" i="1"/>
  <c r="G60" i="3" s="1"/>
  <c r="CO56" i="1"/>
  <c r="G56" i="3" s="1"/>
  <c r="CO47" i="1"/>
  <c r="G47" i="3" s="1"/>
  <c r="CO45" i="1"/>
  <c r="G45" i="3" s="1"/>
  <c r="CO46" i="1"/>
  <c r="G46" i="3" s="1"/>
  <c r="CO44" i="1"/>
  <c r="G44" i="3" s="1"/>
  <c r="CO53" i="1"/>
  <c r="G53" i="3" s="1"/>
  <c r="CO42" i="1"/>
  <c r="CO49" i="1"/>
  <c r="G49" i="3" s="1"/>
  <c r="CO43" i="1"/>
  <c r="G43" i="3" s="1"/>
  <c r="CO40" i="1"/>
  <c r="G40" i="3" s="1"/>
  <c r="CO41" i="1"/>
  <c r="G41" i="3" s="1"/>
  <c r="CO39" i="1"/>
  <c r="G39" i="3" s="1"/>
  <c r="CO38" i="1"/>
  <c r="G38" i="3" s="1"/>
  <c r="CK61" i="1"/>
  <c r="C61" i="3" s="1"/>
  <c r="CK62" i="1"/>
  <c r="C62" i="3" s="1"/>
  <c r="CK63" i="1"/>
  <c r="C63" i="3" s="1"/>
  <c r="CK57" i="1"/>
  <c r="C57" i="3" s="1"/>
  <c r="CK59" i="1"/>
  <c r="C59" i="3" s="1"/>
  <c r="CK58" i="1"/>
  <c r="C58" i="3" s="1"/>
  <c r="CK60" i="1"/>
  <c r="C60" i="3" s="1"/>
  <c r="CK55" i="1"/>
  <c r="C55" i="3" s="1"/>
  <c r="CK51" i="1"/>
  <c r="C51" i="3" s="1"/>
  <c r="CK48" i="1"/>
  <c r="C48" i="3" s="1"/>
  <c r="CK56" i="1"/>
  <c r="C56" i="3" s="1"/>
  <c r="CK54" i="1"/>
  <c r="C54" i="3" s="1"/>
  <c r="CK52" i="1"/>
  <c r="C52" i="3" s="1"/>
  <c r="CK50" i="1"/>
  <c r="C50" i="3" s="1"/>
  <c r="CK47" i="1"/>
  <c r="C47" i="3" s="1"/>
  <c r="CK45" i="1"/>
  <c r="C45" i="3" s="1"/>
  <c r="CK53" i="1"/>
  <c r="C53" i="3" s="1"/>
  <c r="CK46" i="1"/>
  <c r="C46" i="3" s="1"/>
  <c r="CK44" i="1"/>
  <c r="C44" i="3" s="1"/>
  <c r="CK49" i="1"/>
  <c r="C49" i="3" s="1"/>
  <c r="CK42" i="1"/>
  <c r="C42" i="3" s="1"/>
  <c r="CK43" i="1"/>
  <c r="C43" i="3" s="1"/>
  <c r="CK41" i="1"/>
  <c r="C41" i="3" s="1"/>
  <c r="CK40" i="1"/>
  <c r="C40" i="3" s="1"/>
  <c r="CK39" i="1"/>
  <c r="C39" i="3" s="1"/>
  <c r="CK38" i="1"/>
  <c r="C38" i="3" s="1"/>
  <c r="BK34" i="1"/>
  <c r="BK33" i="1"/>
  <c r="BK31" i="1"/>
  <c r="BK37" i="1"/>
  <c r="BK30" i="1"/>
  <c r="BK35" i="1"/>
  <c r="BK29" i="1"/>
  <c r="BK28" i="1"/>
  <c r="CZ37" i="1"/>
  <c r="R37" i="3" s="1"/>
  <c r="CZ34" i="1"/>
  <c r="R34" i="3" s="1"/>
  <c r="CZ31" i="1"/>
  <c r="R31" i="3" s="1"/>
  <c r="CZ32" i="1"/>
  <c r="R32" i="3" s="1"/>
  <c r="CZ36" i="1"/>
  <c r="R36" i="3" s="1"/>
  <c r="CZ33" i="1"/>
  <c r="R33" i="3" s="1"/>
  <c r="CZ35" i="1"/>
  <c r="R35" i="3" s="1"/>
  <c r="CZ30" i="1"/>
  <c r="R30" i="3" s="1"/>
  <c r="CZ28" i="1"/>
  <c r="R28" i="3" s="1"/>
  <c r="CZ29" i="1"/>
  <c r="R29" i="3" s="1"/>
  <c r="BJ34" i="1"/>
  <c r="T34" i="3" s="1"/>
  <c r="BJ33" i="1"/>
  <c r="T33" i="3" s="1"/>
  <c r="BJ31" i="1"/>
  <c r="T31" i="3" s="1"/>
  <c r="BJ36" i="1"/>
  <c r="T36" i="3" s="1"/>
  <c r="BJ30" i="1"/>
  <c r="T30" i="3" s="1"/>
  <c r="BJ37" i="1"/>
  <c r="T37" i="3" s="1"/>
  <c r="BJ32" i="1"/>
  <c r="T32" i="3" s="1"/>
  <c r="BJ35" i="1"/>
  <c r="T35" i="3" s="1"/>
  <c r="BJ29" i="1"/>
  <c r="T29" i="3" s="1"/>
  <c r="BJ28" i="1"/>
  <c r="T28" i="3" s="1"/>
  <c r="CQ37" i="1"/>
  <c r="I37" i="3" s="1"/>
  <c r="CQ34" i="1"/>
  <c r="I34" i="3" s="1"/>
  <c r="CQ31" i="1"/>
  <c r="I31" i="3" s="1"/>
  <c r="CQ33" i="1"/>
  <c r="I33" i="3" s="1"/>
  <c r="CQ30" i="1"/>
  <c r="I30" i="3" s="1"/>
  <c r="CQ32" i="1"/>
  <c r="I32" i="3" s="1"/>
  <c r="CQ36" i="1"/>
  <c r="I36" i="3" s="1"/>
  <c r="CQ35" i="1"/>
  <c r="I35" i="3" s="1"/>
  <c r="CQ28" i="1"/>
  <c r="I28" i="3" s="1"/>
  <c r="CQ29" i="1"/>
  <c r="I29" i="3" s="1"/>
  <c r="BI34" i="1"/>
  <c r="BI33" i="1"/>
  <c r="BI31" i="1"/>
  <c r="BI36" i="1"/>
  <c r="BI30" i="1"/>
  <c r="BI32" i="1"/>
  <c r="BI37" i="1"/>
  <c r="BI35" i="1"/>
  <c r="BI29" i="1"/>
  <c r="BI28" i="1"/>
  <c r="CX37" i="1"/>
  <c r="CX34" i="1"/>
  <c r="CX31" i="1"/>
  <c r="CX30" i="1"/>
  <c r="CX33" i="1"/>
  <c r="CX32" i="1"/>
  <c r="CX36" i="1"/>
  <c r="CX35" i="1"/>
  <c r="CX28" i="1"/>
  <c r="CX29" i="1"/>
  <c r="BH30" i="1"/>
  <c r="BH36" i="1"/>
  <c r="BH35" i="1"/>
  <c r="BH37" i="1"/>
  <c r="BH34" i="1"/>
  <c r="BH32" i="1"/>
  <c r="BH33" i="1"/>
  <c r="BH31" i="1"/>
  <c r="BH29" i="1"/>
  <c r="BH28" i="1"/>
  <c r="AZ36" i="1"/>
  <c r="AZ30" i="1"/>
  <c r="AZ35" i="1"/>
  <c r="AZ33" i="1"/>
  <c r="AZ31" i="1"/>
  <c r="AZ37" i="1"/>
  <c r="AZ34" i="1"/>
  <c r="AZ32" i="1"/>
  <c r="AZ28" i="1"/>
  <c r="AZ29" i="1"/>
  <c r="DE37" i="1"/>
  <c r="DE30" i="1"/>
  <c r="DE35" i="1"/>
  <c r="DE34" i="1"/>
  <c r="DE33" i="1"/>
  <c r="DE31" i="1"/>
  <c r="DE29" i="1"/>
  <c r="DE28" i="1"/>
  <c r="CW30" i="1"/>
  <c r="CW36" i="1"/>
  <c r="CW35" i="1"/>
  <c r="CW32" i="1"/>
  <c r="CW31" i="1"/>
  <c r="CW34" i="1"/>
  <c r="CW37" i="1"/>
  <c r="CW33" i="1"/>
  <c r="CW29" i="1"/>
  <c r="CW28" i="1"/>
  <c r="CO30" i="1"/>
  <c r="G30" i="3" s="1"/>
  <c r="CO36" i="1"/>
  <c r="G36" i="3" s="1"/>
  <c r="CO35" i="1"/>
  <c r="G35" i="3" s="1"/>
  <c r="CO32" i="1"/>
  <c r="G32" i="3" s="1"/>
  <c r="CO34" i="1"/>
  <c r="G34" i="3" s="1"/>
  <c r="CO33" i="1"/>
  <c r="G33" i="3" s="1"/>
  <c r="CO31" i="1"/>
  <c r="G31" i="3" s="1"/>
  <c r="CO37" i="1"/>
  <c r="G37" i="3" s="1"/>
  <c r="CO29" i="1"/>
  <c r="G29" i="3" s="1"/>
  <c r="CO28" i="1"/>
  <c r="G28" i="3" s="1"/>
  <c r="BG36" i="1"/>
  <c r="Q36" i="3" s="1"/>
  <c r="BG30" i="1"/>
  <c r="Q30" i="3" s="1"/>
  <c r="BG35" i="1"/>
  <c r="Q35" i="3" s="1"/>
  <c r="BG37" i="1"/>
  <c r="Q37" i="3" s="1"/>
  <c r="BG34" i="1"/>
  <c r="Q34" i="3" s="1"/>
  <c r="BG33" i="1"/>
  <c r="Q33" i="3" s="1"/>
  <c r="BG31" i="1"/>
  <c r="Q31" i="3" s="1"/>
  <c r="BG32" i="1"/>
  <c r="Q32" i="3" s="1"/>
  <c r="BG29" i="1"/>
  <c r="Q29" i="3" s="1"/>
  <c r="BG28" i="1"/>
  <c r="Q28" i="3" s="1"/>
  <c r="AY36" i="1"/>
  <c r="AY30" i="1"/>
  <c r="AY35" i="1"/>
  <c r="AY37" i="1"/>
  <c r="AY34" i="1"/>
  <c r="AY33" i="1"/>
  <c r="AY31" i="1"/>
  <c r="AY32" i="1"/>
  <c r="AY29" i="1"/>
  <c r="AY28" i="1"/>
  <c r="DD30" i="1"/>
  <c r="V30" i="3" s="1"/>
  <c r="DD37" i="1"/>
  <c r="V37" i="3" s="1"/>
  <c r="DD35" i="1"/>
  <c r="V35" i="3" s="1"/>
  <c r="DD34" i="1"/>
  <c r="V34" i="3" s="1"/>
  <c r="DD31" i="1"/>
  <c r="V31" i="3" s="1"/>
  <c r="DD33" i="1"/>
  <c r="V33" i="3" s="1"/>
  <c r="DD28" i="1"/>
  <c r="V28" i="3" s="1"/>
  <c r="DD29" i="1"/>
  <c r="V29" i="3" s="1"/>
  <c r="CV30" i="1"/>
  <c r="CV36" i="1"/>
  <c r="CV35" i="1"/>
  <c r="CV32" i="1"/>
  <c r="CV37" i="1"/>
  <c r="CV34" i="1"/>
  <c r="CV31" i="1"/>
  <c r="CV33" i="1"/>
  <c r="CV28" i="1"/>
  <c r="CV29" i="1"/>
  <c r="CN30" i="1"/>
  <c r="F30" i="3" s="1"/>
  <c r="CN36" i="1"/>
  <c r="F36" i="3" s="1"/>
  <c r="CN35" i="1"/>
  <c r="F35" i="3" s="1"/>
  <c r="CN32" i="1"/>
  <c r="F32" i="3" s="1"/>
  <c r="CN37" i="1"/>
  <c r="F37" i="3" s="1"/>
  <c r="CN34" i="1"/>
  <c r="F34" i="3" s="1"/>
  <c r="CN31" i="1"/>
  <c r="F31" i="3" s="1"/>
  <c r="CN33" i="1"/>
  <c r="F33" i="3" s="1"/>
  <c r="CN29" i="1"/>
  <c r="F29" i="3" s="1"/>
  <c r="CN28" i="1"/>
  <c r="F28" i="3" s="1"/>
  <c r="AU32" i="1"/>
  <c r="E32" i="3" s="1"/>
  <c r="AU34" i="1"/>
  <c r="E34" i="3" s="1"/>
  <c r="AU33" i="1"/>
  <c r="E33" i="3" s="1"/>
  <c r="AU31" i="1"/>
  <c r="E31" i="3" s="1"/>
  <c r="AU37" i="1"/>
  <c r="E37" i="3" s="1"/>
  <c r="AU36" i="1"/>
  <c r="E36" i="3" s="1"/>
  <c r="AU30" i="1"/>
  <c r="E30" i="3" s="1"/>
  <c r="AU35" i="1"/>
  <c r="E35" i="3" s="1"/>
  <c r="AU29" i="1"/>
  <c r="E29" i="3" s="1"/>
  <c r="AU28" i="1"/>
  <c r="E28" i="3" s="1"/>
  <c r="AT34" i="1"/>
  <c r="AT33" i="1"/>
  <c r="AT31" i="1"/>
  <c r="AT36" i="1"/>
  <c r="AT30" i="1"/>
  <c r="AT32" i="1"/>
  <c r="AT37" i="1"/>
  <c r="AT35" i="1"/>
  <c r="AT29" i="1"/>
  <c r="AT28" i="1"/>
  <c r="AS34" i="1"/>
  <c r="AS33" i="1"/>
  <c r="AS31" i="1"/>
  <c r="AS36" i="1"/>
  <c r="AS30" i="1"/>
  <c r="AS32" i="1"/>
  <c r="AS37" i="1"/>
  <c r="AS35" i="1"/>
  <c r="AS29" i="1"/>
  <c r="AS28" i="1"/>
  <c r="BF35" i="1"/>
  <c r="BF37" i="1"/>
  <c r="BF32" i="1"/>
  <c r="BF33" i="1"/>
  <c r="BF31" i="1"/>
  <c r="BF36" i="1"/>
  <c r="BF34" i="1"/>
  <c r="BF30" i="1"/>
  <c r="BF28" i="1"/>
  <c r="BF29" i="1"/>
  <c r="CU36" i="1"/>
  <c r="M36" i="3" s="1"/>
  <c r="CU35" i="1"/>
  <c r="M35" i="3" s="1"/>
  <c r="CU32" i="1"/>
  <c r="M32" i="3" s="1"/>
  <c r="CU33" i="1"/>
  <c r="M33" i="3" s="1"/>
  <c r="CU30" i="1"/>
  <c r="M30" i="3" s="1"/>
  <c r="CU34" i="1"/>
  <c r="M34" i="3" s="1"/>
  <c r="CU37" i="1"/>
  <c r="M37" i="3" s="1"/>
  <c r="CU31" i="1"/>
  <c r="M31" i="3" s="1"/>
  <c r="CU29" i="1"/>
  <c r="M29" i="3" s="1"/>
  <c r="CU28" i="1"/>
  <c r="M28" i="3" s="1"/>
  <c r="BM37" i="1"/>
  <c r="W37" i="3" s="1"/>
  <c r="BM30" i="1"/>
  <c r="W30" i="3" s="1"/>
  <c r="BM35" i="1"/>
  <c r="W35" i="3" s="1"/>
  <c r="BM34" i="1"/>
  <c r="W34" i="3" s="1"/>
  <c r="BM31" i="1"/>
  <c r="W31" i="3" s="1"/>
  <c r="BM33" i="1"/>
  <c r="W33" i="3" s="1"/>
  <c r="BM28" i="1"/>
  <c r="W28" i="3" s="1"/>
  <c r="BM29" i="1"/>
  <c r="W29" i="3" s="1"/>
  <c r="BE37" i="1"/>
  <c r="BE32" i="1"/>
  <c r="BE36" i="1"/>
  <c r="BE30" i="1"/>
  <c r="BE35" i="1"/>
  <c r="BE33" i="1"/>
  <c r="BE31" i="1"/>
  <c r="BE34" i="1"/>
  <c r="BE28" i="1"/>
  <c r="BE29" i="1"/>
  <c r="AW37" i="1"/>
  <c r="AW32" i="1"/>
  <c r="AW36" i="1"/>
  <c r="AW30" i="1"/>
  <c r="AW34" i="1"/>
  <c r="AW35" i="1"/>
  <c r="AW31" i="1"/>
  <c r="AW33" i="1"/>
  <c r="AW28" i="1"/>
  <c r="AW29" i="1"/>
  <c r="DB33" i="1"/>
  <c r="DB30" i="1"/>
  <c r="DB37" i="1"/>
  <c r="DB35" i="1"/>
  <c r="DB32" i="1"/>
  <c r="DB36" i="1"/>
  <c r="DB31" i="1"/>
  <c r="DB34" i="1"/>
  <c r="DB29" i="1"/>
  <c r="DB28" i="1"/>
  <c r="CT33" i="1"/>
  <c r="L33" i="3" s="1"/>
  <c r="CT30" i="1"/>
  <c r="L30" i="3" s="1"/>
  <c r="CT35" i="1"/>
  <c r="L35" i="3" s="1"/>
  <c r="CT34" i="1"/>
  <c r="L34" i="3" s="1"/>
  <c r="CT37" i="1"/>
  <c r="L37" i="3" s="1"/>
  <c r="CT36" i="1"/>
  <c r="L36" i="3" s="1"/>
  <c r="CT31" i="1"/>
  <c r="L31" i="3" s="1"/>
  <c r="CT32" i="1"/>
  <c r="L32" i="3" s="1"/>
  <c r="CT29" i="1"/>
  <c r="L29" i="3" s="1"/>
  <c r="CT28" i="1"/>
  <c r="L28" i="3" s="1"/>
  <c r="CL33" i="1"/>
  <c r="D33" i="3" s="1"/>
  <c r="CL30" i="1"/>
  <c r="D30" i="3" s="1"/>
  <c r="CL37" i="1"/>
  <c r="D37" i="3" s="1"/>
  <c r="CL35" i="1"/>
  <c r="D35" i="3" s="1"/>
  <c r="CL32" i="1"/>
  <c r="D32" i="3" s="1"/>
  <c r="CL36" i="1"/>
  <c r="D36" i="3" s="1"/>
  <c r="CL31" i="1"/>
  <c r="D31" i="3" s="1"/>
  <c r="CL34" i="1"/>
  <c r="D34" i="3" s="1"/>
  <c r="CL29" i="1"/>
  <c r="D29" i="3" s="1"/>
  <c r="CL28" i="1"/>
  <c r="D28" i="3" s="1"/>
  <c r="BC32" i="1"/>
  <c r="BC34" i="1"/>
  <c r="BC33" i="1"/>
  <c r="BC31" i="1"/>
  <c r="BC37" i="1"/>
  <c r="BC36" i="1"/>
  <c r="BC30" i="1"/>
  <c r="BC35" i="1"/>
  <c r="BC29" i="1"/>
  <c r="BC28" i="1"/>
  <c r="CR37" i="1"/>
  <c r="J37" i="3" s="1"/>
  <c r="CR34" i="1"/>
  <c r="J34" i="3" s="1"/>
  <c r="CR31" i="1"/>
  <c r="J31" i="3" s="1"/>
  <c r="CR30" i="1"/>
  <c r="J30" i="3" s="1"/>
  <c r="CR35" i="1"/>
  <c r="J35" i="3" s="1"/>
  <c r="CR32" i="1"/>
  <c r="J32" i="3" s="1"/>
  <c r="CR36" i="1"/>
  <c r="J36" i="3" s="1"/>
  <c r="CR33" i="1"/>
  <c r="J33" i="3" s="1"/>
  <c r="CR28" i="1"/>
  <c r="J28" i="3" s="1"/>
  <c r="CR29" i="1"/>
  <c r="J29" i="3" s="1"/>
  <c r="BB34" i="1"/>
  <c r="BB33" i="1"/>
  <c r="BB31" i="1"/>
  <c r="BB32" i="1"/>
  <c r="BB30" i="1"/>
  <c r="BB36" i="1"/>
  <c r="BB37" i="1"/>
  <c r="BB35" i="1"/>
  <c r="BB28" i="1"/>
  <c r="BB29" i="1"/>
  <c r="CY37" i="1"/>
  <c r="CY34" i="1"/>
  <c r="CY31" i="1"/>
  <c r="CY33" i="1"/>
  <c r="CY36" i="1"/>
  <c r="CY30" i="1"/>
  <c r="CY35" i="1"/>
  <c r="CY32" i="1"/>
  <c r="CY29" i="1"/>
  <c r="CY28" i="1"/>
  <c r="BA34" i="1"/>
  <c r="K34" i="3" s="1"/>
  <c r="BA33" i="1"/>
  <c r="K33" i="3" s="1"/>
  <c r="BA31" i="1"/>
  <c r="K31" i="3" s="1"/>
  <c r="BA36" i="1"/>
  <c r="K36" i="3" s="1"/>
  <c r="BA30" i="1"/>
  <c r="K30" i="3" s="1"/>
  <c r="BA32" i="1"/>
  <c r="K32" i="3" s="1"/>
  <c r="BA37" i="1"/>
  <c r="K37" i="3" s="1"/>
  <c r="BA35" i="1"/>
  <c r="K35" i="3" s="1"/>
  <c r="BA29" i="1"/>
  <c r="K29" i="3" s="1"/>
  <c r="BA28" i="1"/>
  <c r="K28" i="3" s="1"/>
  <c r="CP37" i="1"/>
  <c r="CP34" i="1"/>
  <c r="CP31" i="1"/>
  <c r="CP30" i="1"/>
  <c r="CP33" i="1"/>
  <c r="CP35" i="1"/>
  <c r="CP32" i="1"/>
  <c r="CP36" i="1"/>
  <c r="CP28" i="1"/>
  <c r="CP29" i="1"/>
  <c r="AX35" i="1"/>
  <c r="H35" i="3" s="1"/>
  <c r="AX37" i="1"/>
  <c r="H37" i="3" s="1"/>
  <c r="AX36" i="1"/>
  <c r="H36" i="3" s="1"/>
  <c r="AX34" i="1"/>
  <c r="H34" i="3" s="1"/>
  <c r="AX30" i="1"/>
  <c r="H30" i="3" s="1"/>
  <c r="AX32" i="1"/>
  <c r="H32" i="3" s="1"/>
  <c r="AX31" i="1"/>
  <c r="H31" i="3" s="1"/>
  <c r="AX33" i="1"/>
  <c r="H33" i="3" s="1"/>
  <c r="AX28" i="1"/>
  <c r="H28" i="3" s="1"/>
  <c r="AX29" i="1"/>
  <c r="H29" i="3" s="1"/>
  <c r="DC35" i="1"/>
  <c r="U35" i="3" s="1"/>
  <c r="DC37" i="1"/>
  <c r="U37" i="3" s="1"/>
  <c r="DC33" i="1"/>
  <c r="U33" i="3" s="1"/>
  <c r="DC31" i="1"/>
  <c r="U31" i="3" s="1"/>
  <c r="DC34" i="1"/>
  <c r="U34" i="3" s="1"/>
  <c r="DC30" i="1"/>
  <c r="U30" i="3" s="1"/>
  <c r="DC29" i="1"/>
  <c r="U29" i="3" s="1"/>
  <c r="DC28" i="1"/>
  <c r="U28" i="3" s="1"/>
  <c r="CM36" i="1"/>
  <c r="CM35" i="1"/>
  <c r="CM32" i="1"/>
  <c r="CM33" i="1"/>
  <c r="CM31" i="1"/>
  <c r="CM37" i="1"/>
  <c r="CM34" i="1"/>
  <c r="CM30" i="1"/>
  <c r="CM29" i="1"/>
  <c r="CM28" i="1"/>
  <c r="BL35" i="1"/>
  <c r="BL34" i="1"/>
  <c r="BL37" i="1"/>
  <c r="BL30" i="1"/>
  <c r="BL33" i="1"/>
  <c r="BL31" i="1"/>
  <c r="BL29" i="1"/>
  <c r="BL28" i="1"/>
  <c r="BD32" i="1"/>
  <c r="N32" i="3" s="1"/>
  <c r="Y32" i="3" s="1"/>
  <c r="BD35" i="1"/>
  <c r="N35" i="3" s="1"/>
  <c r="Y35" i="3" s="1"/>
  <c r="BD33" i="1"/>
  <c r="N33" i="3" s="1"/>
  <c r="Y33" i="3" s="1"/>
  <c r="BD31" i="1"/>
  <c r="N31" i="3" s="1"/>
  <c r="Y31" i="3" s="1"/>
  <c r="BD36" i="1"/>
  <c r="N36" i="3" s="1"/>
  <c r="Y36" i="3" s="1"/>
  <c r="BD34" i="1"/>
  <c r="N34" i="3" s="1"/>
  <c r="Y34" i="3" s="1"/>
  <c r="BD37" i="1"/>
  <c r="N37" i="3" s="1"/>
  <c r="Y37" i="3" s="1"/>
  <c r="BD30" i="1"/>
  <c r="N30" i="3" s="1"/>
  <c r="Y30" i="3" s="1"/>
  <c r="BD29" i="1"/>
  <c r="N29" i="3" s="1"/>
  <c r="Y29" i="3" s="1"/>
  <c r="BD28" i="1"/>
  <c r="N28" i="3" s="1"/>
  <c r="Y28" i="3" s="1"/>
  <c r="AV32" i="1"/>
  <c r="AV35" i="1"/>
  <c r="AV36" i="1"/>
  <c r="AV34" i="1"/>
  <c r="AV37" i="1"/>
  <c r="AV30" i="1"/>
  <c r="AV31" i="1"/>
  <c r="AV33" i="1"/>
  <c r="AV29" i="1"/>
  <c r="AV28" i="1"/>
  <c r="DA33" i="1"/>
  <c r="S33" i="3" s="1"/>
  <c r="DA36" i="1"/>
  <c r="S36" i="3" s="1"/>
  <c r="DA35" i="1"/>
  <c r="S35" i="3" s="1"/>
  <c r="DA32" i="1"/>
  <c r="S32" i="3" s="1"/>
  <c r="DA37" i="1"/>
  <c r="S37" i="3" s="1"/>
  <c r="DA31" i="1"/>
  <c r="S31" i="3" s="1"/>
  <c r="DA30" i="1"/>
  <c r="S30" i="3" s="1"/>
  <c r="DA34" i="1"/>
  <c r="S34" i="3" s="1"/>
  <c r="DA29" i="1"/>
  <c r="S29" i="3" s="1"/>
  <c r="DA28" i="1"/>
  <c r="S28" i="3" s="1"/>
  <c r="CS33" i="1"/>
  <c r="CS36" i="1"/>
  <c r="CS35" i="1"/>
  <c r="CS32" i="1"/>
  <c r="CS34" i="1"/>
  <c r="CS30" i="1"/>
  <c r="CS37" i="1"/>
  <c r="CS31" i="1"/>
  <c r="CS29" i="1"/>
  <c r="CS28" i="1"/>
  <c r="CK33" i="1"/>
  <c r="C33" i="3" s="1"/>
  <c r="CK36" i="1"/>
  <c r="C36" i="3" s="1"/>
  <c r="CK35" i="1"/>
  <c r="C35" i="3" s="1"/>
  <c r="CK32" i="1"/>
  <c r="C32" i="3" s="1"/>
  <c r="CK37" i="1"/>
  <c r="C37" i="3" s="1"/>
  <c r="CK31" i="1"/>
  <c r="C31" i="3" s="1"/>
  <c r="CK34" i="1"/>
  <c r="C34" i="3" s="1"/>
  <c r="CK30" i="1"/>
  <c r="C30" i="3" s="1"/>
  <c r="CK29" i="1"/>
  <c r="C29" i="3" s="1"/>
  <c r="CK28" i="1"/>
  <c r="C28" i="3" s="1"/>
  <c r="BG27" i="1"/>
  <c r="Q27" i="3" s="1"/>
  <c r="BG26" i="1"/>
  <c r="Q26" i="3" s="1"/>
  <c r="BG25" i="1"/>
  <c r="Q25" i="3" s="1"/>
  <c r="BG24" i="1"/>
  <c r="Q24" i="3" s="1"/>
  <c r="BG23" i="1"/>
  <c r="Q23" i="3" s="1"/>
  <c r="BG22" i="1"/>
  <c r="Q22" i="3" s="1"/>
  <c r="BG21" i="1"/>
  <c r="Q21" i="3" s="1"/>
  <c r="AU27" i="1"/>
  <c r="E27" i="3" s="1"/>
  <c r="AU26" i="1"/>
  <c r="E26" i="3" s="1"/>
  <c r="AU25" i="1"/>
  <c r="E25" i="3" s="1"/>
  <c r="AU24" i="1"/>
  <c r="E24" i="3" s="1"/>
  <c r="AU23" i="1"/>
  <c r="E23" i="3" s="1"/>
  <c r="AU22" i="1"/>
  <c r="E22" i="3" s="1"/>
  <c r="AU21" i="1"/>
  <c r="E21" i="3" s="1"/>
  <c r="CV27" i="1"/>
  <c r="CV26" i="1"/>
  <c r="CV25" i="1"/>
  <c r="CV24" i="1"/>
  <c r="CV22" i="1"/>
  <c r="CV23" i="1"/>
  <c r="CV21" i="1"/>
  <c r="CN27" i="1"/>
  <c r="F27" i="3" s="1"/>
  <c r="CN26" i="1"/>
  <c r="F26" i="3" s="1"/>
  <c r="CN25" i="1"/>
  <c r="F25" i="3" s="1"/>
  <c r="CN24" i="1"/>
  <c r="F24" i="3" s="1"/>
  <c r="CN22" i="1"/>
  <c r="F22" i="3" s="1"/>
  <c r="CN21" i="1"/>
  <c r="F21" i="3" s="1"/>
  <c r="CN23" i="1"/>
  <c r="F23" i="3" s="1"/>
  <c r="BJ27" i="1"/>
  <c r="T27" i="3" s="1"/>
  <c r="BJ26" i="1"/>
  <c r="T26" i="3" s="1"/>
  <c r="BJ25" i="1"/>
  <c r="T25" i="3" s="1"/>
  <c r="BJ24" i="1"/>
  <c r="T24" i="3" s="1"/>
  <c r="BJ23" i="1"/>
  <c r="T23" i="3" s="1"/>
  <c r="BJ22" i="1"/>
  <c r="T22" i="3" s="1"/>
  <c r="BJ21" i="1"/>
  <c r="T21" i="3" s="1"/>
  <c r="BF27" i="1"/>
  <c r="BF26" i="1"/>
  <c r="BF25" i="1"/>
  <c r="BF24" i="1"/>
  <c r="BF23" i="1"/>
  <c r="BF22" i="1"/>
  <c r="BF21" i="1"/>
  <c r="BB27" i="1"/>
  <c r="BB26" i="1"/>
  <c r="BB25" i="1"/>
  <c r="BB24" i="1"/>
  <c r="BB23" i="1"/>
  <c r="BB22" i="1"/>
  <c r="BB21" i="1"/>
  <c r="AX27" i="1"/>
  <c r="H27" i="3" s="1"/>
  <c r="AX26" i="1"/>
  <c r="H26" i="3" s="1"/>
  <c r="AX25" i="1"/>
  <c r="H25" i="3" s="1"/>
  <c r="AX24" i="1"/>
  <c r="H24" i="3" s="1"/>
  <c r="AX23" i="1"/>
  <c r="H23" i="3" s="1"/>
  <c r="AX22" i="1"/>
  <c r="H22" i="3" s="1"/>
  <c r="AX21" i="1"/>
  <c r="H21" i="3" s="1"/>
  <c r="AT27" i="1"/>
  <c r="AT26" i="1"/>
  <c r="AT25" i="1"/>
  <c r="AT24" i="1"/>
  <c r="AT23" i="1"/>
  <c r="AT22" i="1"/>
  <c r="AT21" i="1"/>
  <c r="DC27" i="1"/>
  <c r="U27" i="3" s="1"/>
  <c r="DC26" i="1"/>
  <c r="U26" i="3" s="1"/>
  <c r="DC25" i="1"/>
  <c r="U25" i="3" s="1"/>
  <c r="DC24" i="1"/>
  <c r="U24" i="3" s="1"/>
  <c r="DC22" i="1"/>
  <c r="U22" i="3" s="1"/>
  <c r="DC21" i="1"/>
  <c r="U21" i="3" s="1"/>
  <c r="DC23" i="1"/>
  <c r="U23" i="3" s="1"/>
  <c r="CY27" i="1"/>
  <c r="CY26" i="1"/>
  <c r="CY25" i="1"/>
  <c r="CY24" i="1"/>
  <c r="CY22" i="1"/>
  <c r="CY21" i="1"/>
  <c r="CY23" i="1"/>
  <c r="CU27" i="1"/>
  <c r="M27" i="3" s="1"/>
  <c r="CU26" i="1"/>
  <c r="M26" i="3" s="1"/>
  <c r="CU25" i="1"/>
  <c r="M25" i="3" s="1"/>
  <c r="CU24" i="1"/>
  <c r="M24" i="3" s="1"/>
  <c r="CU22" i="1"/>
  <c r="M22" i="3" s="1"/>
  <c r="CU21" i="1"/>
  <c r="M21" i="3" s="1"/>
  <c r="CU23" i="1"/>
  <c r="M23" i="3" s="1"/>
  <c r="CQ27" i="1"/>
  <c r="I27" i="3" s="1"/>
  <c r="CQ26" i="1"/>
  <c r="I26" i="3" s="1"/>
  <c r="CQ25" i="1"/>
  <c r="I25" i="3" s="1"/>
  <c r="CQ24" i="1"/>
  <c r="I24" i="3" s="1"/>
  <c r="CQ22" i="1"/>
  <c r="I22" i="3" s="1"/>
  <c r="CQ21" i="1"/>
  <c r="I21" i="3" s="1"/>
  <c r="CQ23" i="1"/>
  <c r="I23" i="3" s="1"/>
  <c r="CM27" i="1"/>
  <c r="CM26" i="1"/>
  <c r="CM25" i="1"/>
  <c r="CM24" i="1"/>
  <c r="CM22" i="1"/>
  <c r="CM21" i="1"/>
  <c r="CM23" i="1"/>
  <c r="BK27" i="1"/>
  <c r="BK26" i="1"/>
  <c r="BK25" i="1"/>
  <c r="BK24" i="1"/>
  <c r="BK23" i="1"/>
  <c r="BK22" i="1"/>
  <c r="BK21" i="1"/>
  <c r="CZ27" i="1"/>
  <c r="R27" i="3" s="1"/>
  <c r="CZ26" i="1"/>
  <c r="R26" i="3" s="1"/>
  <c r="CZ25" i="1"/>
  <c r="R25" i="3" s="1"/>
  <c r="CZ24" i="1"/>
  <c r="R24" i="3" s="1"/>
  <c r="CZ21" i="1"/>
  <c r="R21" i="3" s="1"/>
  <c r="CZ23" i="1"/>
  <c r="R23" i="3" s="1"/>
  <c r="CZ22" i="1"/>
  <c r="R22" i="3" s="1"/>
  <c r="BM27" i="1"/>
  <c r="W27" i="3" s="1"/>
  <c r="BM26" i="1"/>
  <c r="W26" i="3" s="1"/>
  <c r="BM25" i="1"/>
  <c r="W25" i="3" s="1"/>
  <c r="BM24" i="1"/>
  <c r="W24" i="3" s="1"/>
  <c r="BM23" i="1"/>
  <c r="W23" i="3" s="1"/>
  <c r="BM22" i="1"/>
  <c r="W22" i="3" s="1"/>
  <c r="BM21" i="1"/>
  <c r="W21" i="3" s="1"/>
  <c r="BI27" i="1"/>
  <c r="BI26" i="1"/>
  <c r="BI25" i="1"/>
  <c r="BI24" i="1"/>
  <c r="BI23" i="1"/>
  <c r="BI22" i="1"/>
  <c r="BI21" i="1"/>
  <c r="BE27" i="1"/>
  <c r="BE26" i="1"/>
  <c r="BE25" i="1"/>
  <c r="BE24" i="1"/>
  <c r="BE23" i="1"/>
  <c r="BE22" i="1"/>
  <c r="BE21" i="1"/>
  <c r="BA27" i="1"/>
  <c r="K27" i="3" s="1"/>
  <c r="BA26" i="1"/>
  <c r="K26" i="3" s="1"/>
  <c r="BA25" i="1"/>
  <c r="K25" i="3" s="1"/>
  <c r="BA24" i="1"/>
  <c r="K24" i="3" s="1"/>
  <c r="BA23" i="1"/>
  <c r="K23" i="3" s="1"/>
  <c r="BA22" i="1"/>
  <c r="K22" i="3" s="1"/>
  <c r="BA21" i="1"/>
  <c r="K21" i="3" s="1"/>
  <c r="AW27" i="1"/>
  <c r="AW26" i="1"/>
  <c r="AW25" i="1"/>
  <c r="AW24" i="1"/>
  <c r="AW23" i="1"/>
  <c r="AW22" i="1"/>
  <c r="AW21" i="1"/>
  <c r="AS27" i="1"/>
  <c r="AS26" i="1"/>
  <c r="AS25" i="1"/>
  <c r="AS24" i="1"/>
  <c r="AS23" i="1"/>
  <c r="AS22" i="1"/>
  <c r="AS21" i="1"/>
  <c r="DB27" i="1"/>
  <c r="DB26" i="1"/>
  <c r="DB25" i="1"/>
  <c r="DB24" i="1"/>
  <c r="DB22" i="1"/>
  <c r="DB21" i="1"/>
  <c r="DB23" i="1"/>
  <c r="CX27" i="1"/>
  <c r="CX26" i="1"/>
  <c r="CX25" i="1"/>
  <c r="CX24" i="1"/>
  <c r="CX22" i="1"/>
  <c r="CX21" i="1"/>
  <c r="CX23" i="1"/>
  <c r="CT27" i="1"/>
  <c r="L27" i="3" s="1"/>
  <c r="CT26" i="1"/>
  <c r="L26" i="3" s="1"/>
  <c r="CT25" i="1"/>
  <c r="L25" i="3" s="1"/>
  <c r="CT24" i="1"/>
  <c r="L24" i="3" s="1"/>
  <c r="CT22" i="1"/>
  <c r="L22" i="3" s="1"/>
  <c r="CT21" i="1"/>
  <c r="L21" i="3" s="1"/>
  <c r="CT23" i="1"/>
  <c r="L23" i="3" s="1"/>
  <c r="CP27" i="1"/>
  <c r="CP26" i="1"/>
  <c r="CP25" i="1"/>
  <c r="CP24" i="1"/>
  <c r="CP22" i="1"/>
  <c r="CP21" i="1"/>
  <c r="CP23" i="1"/>
  <c r="CL27" i="1"/>
  <c r="D27" i="3" s="1"/>
  <c r="CL26" i="1"/>
  <c r="D26" i="3" s="1"/>
  <c r="CL25" i="1"/>
  <c r="D25" i="3" s="1"/>
  <c r="CL24" i="1"/>
  <c r="D24" i="3" s="1"/>
  <c r="CL22" i="1"/>
  <c r="D22" i="3" s="1"/>
  <c r="CL21" i="1"/>
  <c r="D21" i="3" s="1"/>
  <c r="CL23" i="1"/>
  <c r="D23" i="3" s="1"/>
  <c r="BC27" i="1"/>
  <c r="BC26" i="1"/>
  <c r="BC25" i="1"/>
  <c r="BC24" i="1"/>
  <c r="BC23" i="1"/>
  <c r="BC22" i="1"/>
  <c r="BC21" i="1"/>
  <c r="AY27" i="1"/>
  <c r="AY26" i="1"/>
  <c r="AY25" i="1"/>
  <c r="AY24" i="1"/>
  <c r="AY23" i="1"/>
  <c r="AY22" i="1"/>
  <c r="AY21" i="1"/>
  <c r="DD27" i="1"/>
  <c r="V27" i="3" s="1"/>
  <c r="DD26" i="1"/>
  <c r="V26" i="3" s="1"/>
  <c r="DD25" i="1"/>
  <c r="V25" i="3" s="1"/>
  <c r="DD24" i="1"/>
  <c r="V24" i="3" s="1"/>
  <c r="DD22" i="1"/>
  <c r="V22" i="3" s="1"/>
  <c r="DD23" i="1"/>
  <c r="V23" i="3" s="1"/>
  <c r="DD21" i="1"/>
  <c r="V21" i="3" s="1"/>
  <c r="CR27" i="1"/>
  <c r="J27" i="3" s="1"/>
  <c r="CR26" i="1"/>
  <c r="J26" i="3" s="1"/>
  <c r="CR25" i="1"/>
  <c r="J25" i="3" s="1"/>
  <c r="CR24" i="1"/>
  <c r="J24" i="3" s="1"/>
  <c r="CR22" i="1"/>
  <c r="J22" i="3" s="1"/>
  <c r="CR23" i="1"/>
  <c r="J23" i="3" s="1"/>
  <c r="CR21" i="1"/>
  <c r="J21" i="3" s="1"/>
  <c r="BL27" i="1"/>
  <c r="BL26" i="1"/>
  <c r="BL23" i="1"/>
  <c r="BL22" i="1"/>
  <c r="BL21" i="1"/>
  <c r="BL25" i="1"/>
  <c r="BL24" i="1"/>
  <c r="BH26" i="1"/>
  <c r="BH27" i="1"/>
  <c r="BH23" i="1"/>
  <c r="BH25" i="1"/>
  <c r="BH24" i="1"/>
  <c r="BH22" i="1"/>
  <c r="BH21" i="1"/>
  <c r="BD27" i="1"/>
  <c r="N27" i="3" s="1"/>
  <c r="Y27" i="3" s="1"/>
  <c r="BD26" i="1"/>
  <c r="N26" i="3" s="1"/>
  <c r="Y26" i="3" s="1"/>
  <c r="BD23" i="1"/>
  <c r="N23" i="3" s="1"/>
  <c r="Y23" i="3" s="1"/>
  <c r="BD21" i="1"/>
  <c r="N21" i="3" s="1"/>
  <c r="Y21" i="3" s="1"/>
  <c r="BD24" i="1"/>
  <c r="N24" i="3" s="1"/>
  <c r="Y24" i="3" s="1"/>
  <c r="BD25" i="1"/>
  <c r="N25" i="3" s="1"/>
  <c r="Y25" i="3" s="1"/>
  <c r="BD22" i="1"/>
  <c r="N22" i="3" s="1"/>
  <c r="Y22" i="3" s="1"/>
  <c r="AZ27" i="1"/>
  <c r="AZ26" i="1"/>
  <c r="AZ23" i="1"/>
  <c r="AZ24" i="1"/>
  <c r="AZ22" i="1"/>
  <c r="AZ25" i="1"/>
  <c r="AZ21" i="1"/>
  <c r="AV26" i="1"/>
  <c r="AV27" i="1"/>
  <c r="AV23" i="1"/>
  <c r="AV25" i="1"/>
  <c r="AV21" i="1"/>
  <c r="AV24" i="1"/>
  <c r="AV22" i="1"/>
  <c r="DE27" i="1"/>
  <c r="DE26" i="1"/>
  <c r="DE23" i="1"/>
  <c r="DE25" i="1"/>
  <c r="DE21" i="1"/>
  <c r="DE22" i="1"/>
  <c r="DE24" i="1"/>
  <c r="DA27" i="1"/>
  <c r="S27" i="3" s="1"/>
  <c r="DA26" i="1"/>
  <c r="S26" i="3" s="1"/>
  <c r="DA23" i="1"/>
  <c r="S23" i="3" s="1"/>
  <c r="DA22" i="1"/>
  <c r="S22" i="3" s="1"/>
  <c r="DA24" i="1"/>
  <c r="S24" i="3" s="1"/>
  <c r="DA21" i="1"/>
  <c r="S21" i="3" s="1"/>
  <c r="DA25" i="1"/>
  <c r="S25" i="3" s="1"/>
  <c r="CW26" i="1"/>
  <c r="CW27" i="1"/>
  <c r="CW23" i="1"/>
  <c r="CW24" i="1"/>
  <c r="CW22" i="1"/>
  <c r="CW21" i="1"/>
  <c r="CW25" i="1"/>
  <c r="CS27" i="1"/>
  <c r="CS26" i="1"/>
  <c r="CS23" i="1"/>
  <c r="CS24" i="1"/>
  <c r="CS25" i="1"/>
  <c r="CS21" i="1"/>
  <c r="CS22" i="1"/>
  <c r="CO26" i="1"/>
  <c r="G26" i="3" s="1"/>
  <c r="CO27" i="1"/>
  <c r="G27" i="3" s="1"/>
  <c r="CO23" i="1"/>
  <c r="G23" i="3" s="1"/>
  <c r="CO25" i="1"/>
  <c r="G25" i="3" s="1"/>
  <c r="CO24" i="1"/>
  <c r="G24" i="3" s="1"/>
  <c r="CO22" i="1"/>
  <c r="G22" i="3" s="1"/>
  <c r="CO21" i="1"/>
  <c r="G21" i="3" s="1"/>
  <c r="CK27" i="1"/>
  <c r="C27" i="3" s="1"/>
  <c r="CK26" i="1"/>
  <c r="C26" i="3" s="1"/>
  <c r="CK23" i="1"/>
  <c r="C23" i="3" s="1"/>
  <c r="CK21" i="1"/>
  <c r="C21" i="3" s="1"/>
  <c r="CK25" i="1"/>
  <c r="C25" i="3" s="1"/>
  <c r="CK24" i="1"/>
  <c r="C24" i="3" s="1"/>
  <c r="CK22" i="1"/>
  <c r="C22" i="3" s="1"/>
  <c r="E18" i="3"/>
  <c r="F18" i="3"/>
  <c r="O17" i="3"/>
  <c r="H18" i="3"/>
  <c r="U18" i="3"/>
  <c r="M18" i="3"/>
  <c r="Q18" i="3"/>
  <c r="W18" i="3"/>
  <c r="K18" i="3"/>
  <c r="P18" i="3"/>
  <c r="L18" i="3"/>
  <c r="D18" i="3"/>
  <c r="A18" i="3"/>
  <c r="A18" i="2"/>
  <c r="V18" i="3"/>
  <c r="N18" i="3"/>
  <c r="Y18" i="3" s="1"/>
  <c r="O18" i="3"/>
  <c r="G18" i="3"/>
  <c r="C18" i="3"/>
  <c r="J18" i="3"/>
  <c r="I18" i="3"/>
  <c r="AS17" i="1"/>
  <c r="AT17" i="1"/>
  <c r="AU17" i="1"/>
  <c r="E17" i="3" s="1"/>
  <c r="AV17" i="1"/>
  <c r="AW17" i="1"/>
  <c r="AX17" i="1"/>
  <c r="H17" i="3" s="1"/>
  <c r="AY17" i="1"/>
  <c r="AZ17" i="1"/>
  <c r="BA17" i="1"/>
  <c r="K17" i="3" s="1"/>
  <c r="BB17" i="1"/>
  <c r="BC17" i="1"/>
  <c r="BD17" i="1"/>
  <c r="N17" i="3" s="1"/>
  <c r="Y17" i="3" s="1"/>
  <c r="BE17" i="1"/>
  <c r="BF17" i="1"/>
  <c r="BG17" i="1"/>
  <c r="Q17" i="3" s="1"/>
  <c r="BH17" i="1"/>
  <c r="BI17" i="1"/>
  <c r="BJ17" i="1"/>
  <c r="T17" i="3" s="1"/>
  <c r="BK17" i="1"/>
  <c r="BL17" i="1"/>
  <c r="BM17" i="1"/>
  <c r="W17" i="3" s="1"/>
  <c r="Z17" i="1"/>
  <c r="AA17" i="1"/>
  <c r="AB17" i="1"/>
  <c r="AC17" i="1"/>
  <c r="AD17" i="1"/>
  <c r="AE17" i="1"/>
  <c r="AF17" i="1"/>
  <c r="AG17" i="1"/>
  <c r="AH17" i="1"/>
  <c r="D17" i="1"/>
  <c r="C17" i="2" s="1"/>
  <c r="B17" i="1"/>
  <c r="CV103" i="1" l="1"/>
  <c r="CV104" i="1"/>
  <c r="CV101" i="1"/>
  <c r="CV102" i="1"/>
  <c r="BB103" i="1"/>
  <c r="BB104" i="1"/>
  <c r="BB102" i="1"/>
  <c r="BB101" i="1"/>
  <c r="CP103" i="1"/>
  <c r="CP104" i="1"/>
  <c r="CP102" i="1"/>
  <c r="CP101" i="1"/>
  <c r="AV104" i="1"/>
  <c r="AV103" i="1"/>
  <c r="AV101" i="1"/>
  <c r="AV102" i="1"/>
  <c r="DE104" i="1"/>
  <c r="DE103" i="1"/>
  <c r="DE102" i="1"/>
  <c r="DE101" i="1"/>
  <c r="DB104" i="1"/>
  <c r="DB103" i="1"/>
  <c r="DB102" i="1"/>
  <c r="DB101" i="1"/>
  <c r="CM104" i="1"/>
  <c r="CM103" i="1"/>
  <c r="CM101" i="1"/>
  <c r="CM102" i="1"/>
  <c r="BK104" i="1"/>
  <c r="BK101" i="1"/>
  <c r="BI104" i="1"/>
  <c r="BI103" i="1"/>
  <c r="BI102" i="1"/>
  <c r="BI101" i="1"/>
  <c r="BC103" i="1"/>
  <c r="BC104" i="1"/>
  <c r="BC101" i="1"/>
  <c r="BC102" i="1"/>
  <c r="AS104" i="1"/>
  <c r="AS103" i="1"/>
  <c r="AS102" i="1"/>
  <c r="AS101" i="1"/>
  <c r="BL104" i="1"/>
  <c r="BL101" i="1"/>
  <c r="AW103" i="1"/>
  <c r="AW104" i="1"/>
  <c r="AW101" i="1"/>
  <c r="AW102" i="1"/>
  <c r="AT104" i="1"/>
  <c r="AT103" i="1"/>
  <c r="AT102" i="1"/>
  <c r="AT101" i="1"/>
  <c r="BH103" i="1"/>
  <c r="BH104" i="1"/>
  <c r="BH102" i="1"/>
  <c r="BH101" i="1"/>
  <c r="BL100" i="1"/>
  <c r="BL99" i="1"/>
  <c r="BL98" i="1"/>
  <c r="BL97" i="1"/>
  <c r="BL95" i="1"/>
  <c r="BL96" i="1"/>
  <c r="BL94" i="1"/>
  <c r="DB100" i="1"/>
  <c r="DB99" i="1"/>
  <c r="DB98" i="1"/>
  <c r="DB97" i="1"/>
  <c r="DB95" i="1"/>
  <c r="DB96" i="1"/>
  <c r="DB94" i="1"/>
  <c r="BB100" i="1"/>
  <c r="BB99" i="1"/>
  <c r="BB98" i="1"/>
  <c r="BB97" i="1"/>
  <c r="BB96" i="1"/>
  <c r="BB94" i="1"/>
  <c r="BB95" i="1"/>
  <c r="BI100" i="1"/>
  <c r="BI99" i="1"/>
  <c r="BI98" i="1"/>
  <c r="BI97" i="1"/>
  <c r="BI95" i="1"/>
  <c r="BI96" i="1"/>
  <c r="BI94" i="1"/>
  <c r="BC100" i="1"/>
  <c r="BC99" i="1"/>
  <c r="BC98" i="1"/>
  <c r="BC97" i="1"/>
  <c r="BC96" i="1"/>
  <c r="BC95" i="1"/>
  <c r="BC94" i="1"/>
  <c r="BH100" i="1"/>
  <c r="BH99" i="1"/>
  <c r="BH98" i="1"/>
  <c r="BH97" i="1"/>
  <c r="BH95" i="1"/>
  <c r="BH96" i="1"/>
  <c r="BH94" i="1"/>
  <c r="CP100" i="1"/>
  <c r="CP99" i="1"/>
  <c r="CP98" i="1"/>
  <c r="CP97" i="1"/>
  <c r="CP95" i="1"/>
  <c r="CP94" i="1"/>
  <c r="CP96" i="1"/>
  <c r="AS100" i="1"/>
  <c r="AS99" i="1"/>
  <c r="AS98" i="1"/>
  <c r="AS97" i="1"/>
  <c r="AS95" i="1"/>
  <c r="AS96" i="1"/>
  <c r="AS94" i="1"/>
  <c r="AV100" i="1"/>
  <c r="AV99" i="1"/>
  <c r="AV98" i="1"/>
  <c r="AV97" i="1"/>
  <c r="AV95" i="1"/>
  <c r="AV94" i="1"/>
  <c r="AV96" i="1"/>
  <c r="AW100" i="1"/>
  <c r="AW99" i="1"/>
  <c r="AW98" i="1"/>
  <c r="AW97" i="1"/>
  <c r="AW95" i="1"/>
  <c r="AW96" i="1"/>
  <c r="AW94" i="1"/>
  <c r="CM100" i="1"/>
  <c r="CM99" i="1"/>
  <c r="CM98" i="1"/>
  <c r="CM97" i="1"/>
  <c r="CM95" i="1"/>
  <c r="CM96" i="1"/>
  <c r="CM94" i="1"/>
  <c r="BK100" i="1"/>
  <c r="BK99" i="1"/>
  <c r="BK98" i="1"/>
  <c r="BK97" i="1"/>
  <c r="BK95" i="1"/>
  <c r="BK94" i="1"/>
  <c r="BK96" i="1"/>
  <c r="CV100" i="1"/>
  <c r="CV99" i="1"/>
  <c r="CV98" i="1"/>
  <c r="CV97" i="1"/>
  <c r="CV96" i="1"/>
  <c r="CV94" i="1"/>
  <c r="CV95" i="1"/>
  <c r="AT100" i="1"/>
  <c r="AT99" i="1"/>
  <c r="AT98" i="1"/>
  <c r="AT97" i="1"/>
  <c r="AT96" i="1"/>
  <c r="AT94" i="1"/>
  <c r="AT95" i="1"/>
  <c r="DE100" i="1"/>
  <c r="DE99" i="1"/>
  <c r="DE98" i="1"/>
  <c r="DE97" i="1"/>
  <c r="DE95" i="1"/>
  <c r="DE96" i="1"/>
  <c r="DE94" i="1"/>
  <c r="AV93" i="1"/>
  <c r="AV92" i="1"/>
  <c r="AV91" i="1"/>
  <c r="BL93" i="1"/>
  <c r="BL92" i="1"/>
  <c r="BL91" i="1"/>
  <c r="DB93" i="1"/>
  <c r="DB92" i="1"/>
  <c r="DB91" i="1"/>
  <c r="AW93" i="1"/>
  <c r="AW92" i="1"/>
  <c r="AW91" i="1"/>
  <c r="CM93" i="1"/>
  <c r="CM92" i="1"/>
  <c r="CM91" i="1"/>
  <c r="BK93" i="1"/>
  <c r="BK92" i="1"/>
  <c r="BK91" i="1"/>
  <c r="CV93" i="1"/>
  <c r="CV92" i="1"/>
  <c r="CV91" i="1"/>
  <c r="AT93" i="1"/>
  <c r="AT92" i="1"/>
  <c r="AT91" i="1"/>
  <c r="BB93" i="1"/>
  <c r="BB92" i="1"/>
  <c r="BB91" i="1"/>
  <c r="BI93" i="1"/>
  <c r="BI92" i="1"/>
  <c r="BI91" i="1"/>
  <c r="BC93" i="1"/>
  <c r="BC92" i="1"/>
  <c r="BC91" i="1"/>
  <c r="BH93" i="1"/>
  <c r="BH92" i="1"/>
  <c r="BH91" i="1"/>
  <c r="CP93" i="1"/>
  <c r="CP92" i="1"/>
  <c r="CP91" i="1"/>
  <c r="AS93" i="1"/>
  <c r="AS92" i="1"/>
  <c r="AS91" i="1"/>
  <c r="DE93" i="1"/>
  <c r="DE92" i="1"/>
  <c r="DE91" i="1"/>
  <c r="AW89" i="1"/>
  <c r="AW90" i="1"/>
  <c r="CM89" i="1"/>
  <c r="CM90" i="1"/>
  <c r="BK89" i="1"/>
  <c r="BK90" i="1"/>
  <c r="CV89" i="1"/>
  <c r="CV90" i="1"/>
  <c r="AT89" i="1"/>
  <c r="AT90" i="1"/>
  <c r="BB89" i="1"/>
  <c r="BB90" i="1"/>
  <c r="BI89" i="1"/>
  <c r="BI90" i="1"/>
  <c r="BC89" i="1"/>
  <c r="BC90" i="1"/>
  <c r="AV89" i="1"/>
  <c r="AV90" i="1"/>
  <c r="BH89" i="1"/>
  <c r="BH90" i="1"/>
  <c r="CP89" i="1"/>
  <c r="CP90" i="1"/>
  <c r="AS89" i="1"/>
  <c r="AS90" i="1"/>
  <c r="BL89" i="1"/>
  <c r="BL90" i="1"/>
  <c r="DB89" i="1"/>
  <c r="DB90" i="1"/>
  <c r="DE89" i="1"/>
  <c r="DE90" i="1"/>
  <c r="AV85" i="1"/>
  <c r="AV88" i="1"/>
  <c r="AV87" i="1"/>
  <c r="AV86" i="1"/>
  <c r="BL85" i="1"/>
  <c r="BL88" i="1"/>
  <c r="BL87" i="1"/>
  <c r="BL86" i="1"/>
  <c r="AW85" i="1"/>
  <c r="AW88" i="1"/>
  <c r="AW87" i="1"/>
  <c r="AW86" i="1"/>
  <c r="CM85" i="1"/>
  <c r="CM88" i="1"/>
  <c r="CM87" i="1"/>
  <c r="CM86" i="1"/>
  <c r="CY85" i="1"/>
  <c r="CY86" i="1"/>
  <c r="BB85" i="1"/>
  <c r="BB88" i="1"/>
  <c r="BB87" i="1"/>
  <c r="BB86" i="1"/>
  <c r="DB88" i="1"/>
  <c r="DB87" i="1"/>
  <c r="DB86" i="1"/>
  <c r="DB85" i="1"/>
  <c r="BE85" i="1"/>
  <c r="BE86" i="1"/>
  <c r="BF85" i="1"/>
  <c r="BF86" i="1"/>
  <c r="BK85" i="1"/>
  <c r="BK88" i="1"/>
  <c r="BK87" i="1"/>
  <c r="BK86" i="1"/>
  <c r="CV88" i="1"/>
  <c r="CV87" i="1"/>
  <c r="CV85" i="1"/>
  <c r="CV86" i="1"/>
  <c r="AT85" i="1"/>
  <c r="AT88" i="1"/>
  <c r="AT87" i="1"/>
  <c r="AT86" i="1"/>
  <c r="BC85" i="1"/>
  <c r="BC88" i="1"/>
  <c r="BC87" i="1"/>
  <c r="BC86" i="1"/>
  <c r="BI85" i="1"/>
  <c r="BI88" i="1"/>
  <c r="BI87" i="1"/>
  <c r="BI86" i="1"/>
  <c r="BH85" i="1"/>
  <c r="BH88" i="1"/>
  <c r="BH87" i="1"/>
  <c r="BH86" i="1"/>
  <c r="CP85" i="1"/>
  <c r="CP88" i="1"/>
  <c r="CP87" i="1"/>
  <c r="CP86" i="1"/>
  <c r="AS85" i="1"/>
  <c r="AS88" i="1"/>
  <c r="AS87" i="1"/>
  <c r="AS86" i="1"/>
  <c r="DE88" i="1"/>
  <c r="DE87" i="1"/>
  <c r="DE85" i="1"/>
  <c r="DE86" i="1"/>
  <c r="CP84" i="1"/>
  <c r="CP83" i="1"/>
  <c r="CP82" i="1"/>
  <c r="CP81" i="1"/>
  <c r="CP80" i="1"/>
  <c r="CP79" i="1"/>
  <c r="CP78" i="1"/>
  <c r="CP77" i="1"/>
  <c r="CP76" i="1"/>
  <c r="AS84" i="1"/>
  <c r="AS83" i="1"/>
  <c r="AS82" i="1"/>
  <c r="AS81" i="1"/>
  <c r="AS80" i="1"/>
  <c r="AS79" i="1"/>
  <c r="DE84" i="1"/>
  <c r="DE83" i="1"/>
  <c r="DE82" i="1"/>
  <c r="DE81" i="1"/>
  <c r="DE80" i="1"/>
  <c r="DE79" i="1"/>
  <c r="AV84" i="1"/>
  <c r="AV83" i="1"/>
  <c r="AV82" i="1"/>
  <c r="AV81" i="1"/>
  <c r="AV80" i="1"/>
  <c r="AV79" i="1"/>
  <c r="AV78" i="1"/>
  <c r="AV77" i="1"/>
  <c r="AV76" i="1"/>
  <c r="BL84" i="1"/>
  <c r="BL83" i="1"/>
  <c r="BL82" i="1"/>
  <c r="BL81" i="1"/>
  <c r="BL80" i="1"/>
  <c r="BL79" i="1"/>
  <c r="DB84" i="1"/>
  <c r="DB83" i="1"/>
  <c r="DB82" i="1"/>
  <c r="DB81" i="1"/>
  <c r="DB80" i="1"/>
  <c r="DB79" i="1"/>
  <c r="DB78" i="1"/>
  <c r="DB77" i="1"/>
  <c r="DB76" i="1"/>
  <c r="AW84" i="1"/>
  <c r="AW83" i="1"/>
  <c r="AW82" i="1"/>
  <c r="AW81" i="1"/>
  <c r="AW80" i="1"/>
  <c r="AW79" i="1"/>
  <c r="AW78" i="1"/>
  <c r="AW77" i="1"/>
  <c r="AW76" i="1"/>
  <c r="BE84" i="1"/>
  <c r="BE83" i="1"/>
  <c r="BE82" i="1"/>
  <c r="BE81" i="1"/>
  <c r="BE80" i="1"/>
  <c r="CM84" i="1"/>
  <c r="CM83" i="1"/>
  <c r="CM82" i="1"/>
  <c r="CM81" i="1"/>
  <c r="CM80" i="1"/>
  <c r="CM79" i="1"/>
  <c r="BF84" i="1"/>
  <c r="BF83" i="1"/>
  <c r="BF82" i="1"/>
  <c r="BF81" i="1"/>
  <c r="BF80" i="1"/>
  <c r="BK84" i="1"/>
  <c r="BK83" i="1"/>
  <c r="BK82" i="1"/>
  <c r="BK81" i="1"/>
  <c r="BK80" i="1"/>
  <c r="BK79" i="1"/>
  <c r="CV84" i="1"/>
  <c r="CV83" i="1"/>
  <c r="CV82" i="1"/>
  <c r="CV81" i="1"/>
  <c r="CV80" i="1"/>
  <c r="CV79" i="1"/>
  <c r="CV78" i="1"/>
  <c r="CV77" i="1"/>
  <c r="CV76" i="1"/>
  <c r="CY84" i="1"/>
  <c r="CY83" i="1"/>
  <c r="CY82" i="1"/>
  <c r="CY81" i="1"/>
  <c r="CY80" i="1"/>
  <c r="AT84" i="1"/>
  <c r="AT83" i="1"/>
  <c r="AT82" i="1"/>
  <c r="AT81" i="1"/>
  <c r="AT80" i="1"/>
  <c r="AT79" i="1"/>
  <c r="BB84" i="1"/>
  <c r="BB83" i="1"/>
  <c r="BB82" i="1"/>
  <c r="BB81" i="1"/>
  <c r="BB80" i="1"/>
  <c r="BB78" i="1"/>
  <c r="BB79" i="1"/>
  <c r="BB77" i="1"/>
  <c r="BB76" i="1"/>
  <c r="BH84" i="1"/>
  <c r="BH83" i="1"/>
  <c r="BH82" i="1"/>
  <c r="BH81" i="1"/>
  <c r="BH78" i="1"/>
  <c r="BH80" i="1"/>
  <c r="BH79" i="1"/>
  <c r="BH77" i="1"/>
  <c r="BH76" i="1"/>
  <c r="BI84" i="1"/>
  <c r="BI83" i="1"/>
  <c r="BI82" i="1"/>
  <c r="BI81" i="1"/>
  <c r="BI79" i="1"/>
  <c r="BI78" i="1"/>
  <c r="BI80" i="1"/>
  <c r="BI77" i="1"/>
  <c r="BI76" i="1"/>
  <c r="BC84" i="1"/>
  <c r="BC83" i="1"/>
  <c r="BC82" i="1"/>
  <c r="BC81" i="1"/>
  <c r="BC80" i="1"/>
  <c r="BC79" i="1"/>
  <c r="BC78" i="1"/>
  <c r="BC77" i="1"/>
  <c r="BC76" i="1"/>
  <c r="BG73" i="1"/>
  <c r="Q71" i="3"/>
  <c r="CT73" i="1"/>
  <c r="L71" i="3"/>
  <c r="CU73" i="1"/>
  <c r="M71" i="3"/>
  <c r="AU73" i="1"/>
  <c r="E71" i="3"/>
  <c r="BJ73" i="1"/>
  <c r="T71" i="3"/>
  <c r="CX73" i="1"/>
  <c r="P71" i="3"/>
  <c r="CW73" i="1"/>
  <c r="O71" i="3"/>
  <c r="AX73" i="1"/>
  <c r="H71" i="3"/>
  <c r="CN73" i="1"/>
  <c r="F71" i="3"/>
  <c r="DD73" i="1"/>
  <c r="V71" i="3"/>
  <c r="R71" i="3"/>
  <c r="CZ73" i="1"/>
  <c r="S71" i="3"/>
  <c r="DA73" i="1"/>
  <c r="CO73" i="1"/>
  <c r="G71" i="3"/>
  <c r="CK73" i="1"/>
  <c r="C71" i="3"/>
  <c r="BD73" i="1"/>
  <c r="N71" i="3"/>
  <c r="Y71" i="3" s="1"/>
  <c r="CL73" i="1"/>
  <c r="D71" i="3"/>
  <c r="DC73" i="1"/>
  <c r="U71" i="3"/>
  <c r="BM73" i="1"/>
  <c r="W71" i="3"/>
  <c r="O66" i="3"/>
  <c r="P64" i="3"/>
  <c r="P66" i="3"/>
  <c r="P67" i="3"/>
  <c r="O64" i="3"/>
  <c r="O65" i="3"/>
  <c r="P65" i="3"/>
  <c r="O67" i="3"/>
  <c r="O39" i="3"/>
  <c r="O45" i="3"/>
  <c r="O59" i="3"/>
  <c r="P50" i="3"/>
  <c r="P55" i="3"/>
  <c r="O41" i="3"/>
  <c r="O44" i="3"/>
  <c r="O47" i="3"/>
  <c r="O52" i="3"/>
  <c r="O55" i="3"/>
  <c r="O57" i="3"/>
  <c r="P40" i="3"/>
  <c r="P45" i="3"/>
  <c r="P51" i="3"/>
  <c r="P52" i="3"/>
  <c r="P56" i="3"/>
  <c r="P62" i="3"/>
  <c r="O42" i="3"/>
  <c r="O56" i="3"/>
  <c r="O61" i="3"/>
  <c r="P46" i="3"/>
  <c r="P49" i="3"/>
  <c r="O43" i="3"/>
  <c r="O46" i="3"/>
  <c r="O53" i="3"/>
  <c r="O48" i="3"/>
  <c r="O60" i="3"/>
  <c r="O63" i="3"/>
  <c r="P38" i="3"/>
  <c r="P41" i="3"/>
  <c r="P47" i="3"/>
  <c r="P48" i="3"/>
  <c r="P53" i="3"/>
  <c r="P58" i="3"/>
  <c r="P61" i="3"/>
  <c r="O51" i="3"/>
  <c r="P63" i="3"/>
  <c r="O38" i="3"/>
  <c r="O40" i="3"/>
  <c r="O49" i="3"/>
  <c r="O50" i="3"/>
  <c r="O54" i="3"/>
  <c r="O58" i="3"/>
  <c r="O62" i="3"/>
  <c r="P39" i="3"/>
  <c r="P44" i="3"/>
  <c r="P43" i="3"/>
  <c r="P54" i="3"/>
  <c r="P57" i="3"/>
  <c r="P59" i="3"/>
  <c r="P60" i="3"/>
  <c r="O28" i="3"/>
  <c r="O36" i="3"/>
  <c r="P35" i="3"/>
  <c r="O29" i="3"/>
  <c r="O30" i="3"/>
  <c r="P36" i="3"/>
  <c r="O33" i="3"/>
  <c r="P32" i="3"/>
  <c r="O37" i="3"/>
  <c r="P33" i="3"/>
  <c r="O34" i="3"/>
  <c r="P30" i="3"/>
  <c r="O31" i="3"/>
  <c r="O32" i="3"/>
  <c r="P29" i="3"/>
  <c r="P34" i="3"/>
  <c r="P31" i="3"/>
  <c r="O35" i="3"/>
  <c r="P28" i="3"/>
  <c r="P37" i="3"/>
  <c r="O27" i="3"/>
  <c r="O22" i="3"/>
  <c r="O26" i="3"/>
  <c r="P26" i="3"/>
  <c r="P23" i="3"/>
  <c r="O24" i="3"/>
  <c r="P22" i="3"/>
  <c r="P27" i="3"/>
  <c r="P25" i="3"/>
  <c r="O25" i="3"/>
  <c r="O23" i="3"/>
  <c r="P24" i="3"/>
  <c r="P21" i="3"/>
  <c r="A17" i="3"/>
  <c r="A17" i="2"/>
  <c r="O21" i="3"/>
  <c r="AE22" i="4"/>
  <c r="AE24" i="4" s="1"/>
  <c r="AE17" i="4"/>
  <c r="AE21" i="4" s="1"/>
  <c r="AE23" i="4" s="1"/>
  <c r="CW85" i="1" l="1"/>
  <c r="CW86" i="1"/>
  <c r="BG85" i="1"/>
  <c r="BG86" i="1"/>
  <c r="CX85" i="1"/>
  <c r="CX86" i="1"/>
  <c r="D73" i="3"/>
  <c r="CL75" i="1"/>
  <c r="C73" i="3"/>
  <c r="CK75" i="1"/>
  <c r="V73" i="3"/>
  <c r="DD75" i="1"/>
  <c r="P73" i="3"/>
  <c r="CX84" i="1"/>
  <c r="CX83" i="1"/>
  <c r="CX82" i="1"/>
  <c r="CX81" i="1"/>
  <c r="CX80" i="1"/>
  <c r="W73" i="3"/>
  <c r="BM75" i="1"/>
  <c r="E73" i="3"/>
  <c r="AU75" i="1"/>
  <c r="U73" i="3"/>
  <c r="DC75" i="1"/>
  <c r="O73" i="3"/>
  <c r="CW84" i="1"/>
  <c r="CW83" i="1"/>
  <c r="CW82" i="1"/>
  <c r="CW81" i="1"/>
  <c r="CW80" i="1"/>
  <c r="Q73" i="3"/>
  <c r="BG84" i="1"/>
  <c r="BG83" i="1"/>
  <c r="BG82" i="1"/>
  <c r="BG81" i="1"/>
  <c r="BG80" i="1"/>
  <c r="AX75" i="1"/>
  <c r="H73" i="3"/>
  <c r="CZ75" i="1"/>
  <c r="R73" i="3"/>
  <c r="N73" i="3"/>
  <c r="Y73" i="3" s="1"/>
  <c r="BD75" i="1"/>
  <c r="M73" i="3"/>
  <c r="CU75" i="1"/>
  <c r="S73" i="3"/>
  <c r="DA75" i="1"/>
  <c r="L73" i="3"/>
  <c r="CT75" i="1"/>
  <c r="CO75" i="1"/>
  <c r="G73" i="3"/>
  <c r="F73" i="3"/>
  <c r="CN75" i="1"/>
  <c r="T73" i="3"/>
  <c r="BJ75" i="1"/>
  <c r="AE25" i="4"/>
  <c r="AE28" i="4" s="1"/>
  <c r="AE26" i="4"/>
  <c r="AE30" i="4" s="1"/>
  <c r="B16" i="3"/>
  <c r="B16" i="2"/>
  <c r="J15" i="3"/>
  <c r="CQ16" i="1"/>
  <c r="I16" i="3" s="1"/>
  <c r="CR16" i="1"/>
  <c r="J16" i="3" s="1"/>
  <c r="CS16" i="1"/>
  <c r="CK16" i="1"/>
  <c r="C16" i="3" s="1"/>
  <c r="CL16" i="1"/>
  <c r="D16" i="3" s="1"/>
  <c r="CM16" i="1"/>
  <c r="CN16" i="1"/>
  <c r="F16" i="3" s="1"/>
  <c r="CO16" i="1"/>
  <c r="G16" i="3" s="1"/>
  <c r="CP16" i="1"/>
  <c r="CT16" i="1"/>
  <c r="L16" i="3" s="1"/>
  <c r="CU16" i="1"/>
  <c r="M16" i="3" s="1"/>
  <c r="CV16" i="1"/>
  <c r="CW16" i="1"/>
  <c r="CX16" i="1"/>
  <c r="CY16" i="1"/>
  <c r="CZ16" i="1"/>
  <c r="R16" i="3" s="1"/>
  <c r="DA16" i="1"/>
  <c r="S16" i="3" s="1"/>
  <c r="DB16" i="1"/>
  <c r="DC16" i="1"/>
  <c r="U16" i="3" s="1"/>
  <c r="DD16" i="1"/>
  <c r="V16" i="3" s="1"/>
  <c r="DE16" i="1"/>
  <c r="AS15" i="1"/>
  <c r="AT15" i="1"/>
  <c r="AU15" i="1"/>
  <c r="E15" i="3" s="1"/>
  <c r="AV15" i="1"/>
  <c r="AW15" i="1"/>
  <c r="AX15" i="1"/>
  <c r="H15" i="3" s="1"/>
  <c r="AY15" i="1"/>
  <c r="AZ15" i="1"/>
  <c r="BA15" i="1"/>
  <c r="K15" i="3" s="1"/>
  <c r="BB15" i="1"/>
  <c r="BC15" i="1"/>
  <c r="BD15" i="1"/>
  <c r="N15" i="3" s="1"/>
  <c r="Y15" i="3" s="1"/>
  <c r="BE15" i="1"/>
  <c r="BF15" i="1"/>
  <c r="BG15" i="1"/>
  <c r="Q15" i="3" s="1"/>
  <c r="BH15" i="1"/>
  <c r="BI15" i="1"/>
  <c r="BJ15" i="1"/>
  <c r="T15" i="3" s="1"/>
  <c r="BK15" i="1"/>
  <c r="BL15" i="1"/>
  <c r="BM15" i="1"/>
  <c r="W15" i="3" s="1"/>
  <c r="AS16" i="1"/>
  <c r="AT16" i="1"/>
  <c r="AU16" i="1"/>
  <c r="E16" i="3" s="1"/>
  <c r="AV16" i="1"/>
  <c r="AW16" i="1"/>
  <c r="AX16" i="1"/>
  <c r="H16" i="3" s="1"/>
  <c r="AY16" i="1"/>
  <c r="AZ16" i="1"/>
  <c r="BA16" i="1"/>
  <c r="K16" i="3" s="1"/>
  <c r="BB16" i="1"/>
  <c r="BC16" i="1"/>
  <c r="BD16" i="1"/>
  <c r="N16" i="3" s="1"/>
  <c r="Y16" i="3" s="1"/>
  <c r="BE16" i="1"/>
  <c r="BF16" i="1"/>
  <c r="BG16" i="1"/>
  <c r="Q16" i="3" s="1"/>
  <c r="BH16" i="1"/>
  <c r="BI16" i="1"/>
  <c r="BJ16" i="1"/>
  <c r="T16" i="3" s="1"/>
  <c r="BK16" i="1"/>
  <c r="BL16" i="1"/>
  <c r="BM16" i="1"/>
  <c r="W16" i="3" s="1"/>
  <c r="Z15" i="1"/>
  <c r="AA15" i="1"/>
  <c r="AC15" i="1"/>
  <c r="AD15" i="1"/>
  <c r="AE15" i="1"/>
  <c r="AG15" i="1"/>
  <c r="AH15" i="1"/>
  <c r="AK15" i="1"/>
  <c r="AO15" i="1"/>
  <c r="Z16" i="1"/>
  <c r="AA16" i="1"/>
  <c r="AB16" i="1"/>
  <c r="AC16" i="1"/>
  <c r="AD16" i="1"/>
  <c r="AE16" i="1"/>
  <c r="AF16" i="1"/>
  <c r="AG16" i="1"/>
  <c r="AH16" i="1"/>
  <c r="D16" i="1"/>
  <c r="C16" i="2" s="1"/>
  <c r="B16" i="1"/>
  <c r="A16" i="3" s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T12" i="3" s="1"/>
  <c r="BK12" i="1"/>
  <c r="BL12" i="1"/>
  <c r="BM12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T13" i="3" s="1"/>
  <c r="BK13" i="1"/>
  <c r="BL13" i="1"/>
  <c r="BM13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T14" i="3" s="1"/>
  <c r="BK14" i="1"/>
  <c r="BL14" i="1"/>
  <c r="BM14" i="1"/>
  <c r="Z12" i="1"/>
  <c r="AA12" i="1"/>
  <c r="AB12" i="1"/>
  <c r="AC12" i="1"/>
  <c r="AD12" i="1"/>
  <c r="AE12" i="1"/>
  <c r="AF12" i="1"/>
  <c r="AG12" i="1"/>
  <c r="AH12" i="1"/>
  <c r="Z13" i="1"/>
  <c r="AA13" i="1"/>
  <c r="AB13" i="1"/>
  <c r="AC13" i="1"/>
  <c r="AD13" i="1"/>
  <c r="AE13" i="1"/>
  <c r="AF13" i="1"/>
  <c r="AG13" i="1"/>
  <c r="AH13" i="1"/>
  <c r="Z14" i="1"/>
  <c r="AA14" i="1"/>
  <c r="AB14" i="1"/>
  <c r="AC14" i="1"/>
  <c r="AD14" i="1"/>
  <c r="AE14" i="1"/>
  <c r="AF14" i="1"/>
  <c r="AG14" i="1"/>
  <c r="AH14" i="1"/>
  <c r="CK15" i="1"/>
  <c r="C15" i="3" s="1"/>
  <c r="CL15" i="1"/>
  <c r="D15" i="3" s="1"/>
  <c r="CM15" i="1"/>
  <c r="CN15" i="1"/>
  <c r="F15" i="3" s="1"/>
  <c r="CO15" i="1"/>
  <c r="G15" i="3" s="1"/>
  <c r="CP15" i="1"/>
  <c r="I15" i="3"/>
  <c r="CT15" i="1"/>
  <c r="L15" i="3" s="1"/>
  <c r="CU15" i="1"/>
  <c r="M15" i="3" s="1"/>
  <c r="CV15" i="1"/>
  <c r="CW15" i="1"/>
  <c r="O15" i="3" s="1"/>
  <c r="CX15" i="1"/>
  <c r="P15" i="3" s="1"/>
  <c r="CY15" i="1"/>
  <c r="CZ15" i="1"/>
  <c r="R15" i="3" s="1"/>
  <c r="DA15" i="1"/>
  <c r="S15" i="3" s="1"/>
  <c r="DB15" i="1"/>
  <c r="DC15" i="1"/>
  <c r="U15" i="3" s="1"/>
  <c r="DD15" i="1"/>
  <c r="V15" i="3" s="1"/>
  <c r="DE15" i="1"/>
  <c r="B15" i="3"/>
  <c r="B15" i="2"/>
  <c r="D15" i="1"/>
  <c r="C15" i="2" s="1"/>
  <c r="B15" i="1"/>
  <c r="A15" i="2" s="1"/>
  <c r="DA103" i="1" l="1"/>
  <c r="S103" i="3" s="1"/>
  <c r="DA104" i="1"/>
  <c r="S104" i="3" s="1"/>
  <c r="DA102" i="1"/>
  <c r="S102" i="3" s="1"/>
  <c r="DA101" i="1"/>
  <c r="S101" i="3" s="1"/>
  <c r="CU103" i="1"/>
  <c r="M103" i="3" s="1"/>
  <c r="CU104" i="1"/>
  <c r="M104" i="3" s="1"/>
  <c r="CU101" i="1"/>
  <c r="M101" i="3" s="1"/>
  <c r="CU102" i="1"/>
  <c r="M102" i="3" s="1"/>
  <c r="DD104" i="1"/>
  <c r="V104" i="3" s="1"/>
  <c r="DD103" i="1"/>
  <c r="DD102" i="1"/>
  <c r="DD101" i="1"/>
  <c r="V101" i="3" s="1"/>
  <c r="BD103" i="1"/>
  <c r="N103" i="3" s="1"/>
  <c r="Y103" i="3" s="1"/>
  <c r="BD104" i="1"/>
  <c r="N104" i="3" s="1"/>
  <c r="Y104" i="3" s="1"/>
  <c r="BD102" i="1"/>
  <c r="N102" i="3" s="1"/>
  <c r="Y102" i="3" s="1"/>
  <c r="BD101" i="1"/>
  <c r="N101" i="3" s="1"/>
  <c r="Y101" i="3" s="1"/>
  <c r="CK104" i="1"/>
  <c r="C104" i="3" s="1"/>
  <c r="CK103" i="1"/>
  <c r="C103" i="3" s="1"/>
  <c r="CK101" i="1"/>
  <c r="C101" i="3" s="1"/>
  <c r="CK102" i="1"/>
  <c r="C102" i="3" s="1"/>
  <c r="DC104" i="1"/>
  <c r="U104" i="3" s="1"/>
  <c r="DC101" i="1"/>
  <c r="U101" i="3" s="1"/>
  <c r="CL103" i="1"/>
  <c r="D103" i="3" s="1"/>
  <c r="CL104" i="1"/>
  <c r="D104" i="3" s="1"/>
  <c r="CL101" i="1"/>
  <c r="D101" i="3" s="1"/>
  <c r="CL102" i="1"/>
  <c r="D102" i="3" s="1"/>
  <c r="CT103" i="1"/>
  <c r="L103" i="3" s="1"/>
  <c r="CT104" i="1"/>
  <c r="L104" i="3" s="1"/>
  <c r="CT102" i="1"/>
  <c r="L102" i="3" s="1"/>
  <c r="CT101" i="1"/>
  <c r="L101" i="3" s="1"/>
  <c r="CZ103" i="1"/>
  <c r="R103" i="3" s="1"/>
  <c r="CZ104" i="1"/>
  <c r="R104" i="3" s="1"/>
  <c r="CZ102" i="1"/>
  <c r="R102" i="3" s="1"/>
  <c r="CZ101" i="1"/>
  <c r="R101" i="3" s="1"/>
  <c r="BJ104" i="1"/>
  <c r="T104" i="3" s="1"/>
  <c r="BJ103" i="1"/>
  <c r="T103" i="3" s="1"/>
  <c r="AU104" i="1"/>
  <c r="E104" i="3" s="1"/>
  <c r="AU103" i="1"/>
  <c r="E103" i="3" s="1"/>
  <c r="AU102" i="1"/>
  <c r="E102" i="3" s="1"/>
  <c r="AU101" i="1"/>
  <c r="E101" i="3" s="1"/>
  <c r="CN103" i="1"/>
  <c r="F103" i="3" s="1"/>
  <c r="CN104" i="1"/>
  <c r="F104" i="3" s="1"/>
  <c r="CN101" i="1"/>
  <c r="F101" i="3" s="1"/>
  <c r="CN102" i="1"/>
  <c r="F102" i="3" s="1"/>
  <c r="BM104" i="1"/>
  <c r="W104" i="3" s="1"/>
  <c r="BM101" i="1"/>
  <c r="W101" i="3" s="1"/>
  <c r="AX103" i="1"/>
  <c r="H103" i="3" s="1"/>
  <c r="AX104" i="1"/>
  <c r="H104" i="3" s="1"/>
  <c r="AX101" i="1"/>
  <c r="H101" i="3" s="1"/>
  <c r="AX102" i="1"/>
  <c r="H102" i="3" s="1"/>
  <c r="CO104" i="1"/>
  <c r="G104" i="3" s="1"/>
  <c r="CO103" i="1"/>
  <c r="G103" i="3" s="1"/>
  <c r="CO102" i="1"/>
  <c r="G102" i="3" s="1"/>
  <c r="CO101" i="1"/>
  <c r="G101" i="3" s="1"/>
  <c r="CN100" i="1"/>
  <c r="F100" i="3" s="1"/>
  <c r="CN99" i="1"/>
  <c r="F99" i="3" s="1"/>
  <c r="CN98" i="1"/>
  <c r="F98" i="3" s="1"/>
  <c r="CN97" i="1"/>
  <c r="F97" i="3" s="1"/>
  <c r="CN95" i="1"/>
  <c r="F95" i="3" s="1"/>
  <c r="CN96" i="1"/>
  <c r="F96" i="3" s="1"/>
  <c r="CN94" i="1"/>
  <c r="F94" i="3" s="1"/>
  <c r="CT100" i="1"/>
  <c r="L100" i="3" s="1"/>
  <c r="CT99" i="1"/>
  <c r="L99" i="3" s="1"/>
  <c r="CT98" i="1"/>
  <c r="L98" i="3" s="1"/>
  <c r="CT97" i="1"/>
  <c r="L97" i="3" s="1"/>
  <c r="CT95" i="1"/>
  <c r="L95" i="3" s="1"/>
  <c r="CT94" i="1"/>
  <c r="L94" i="3" s="1"/>
  <c r="CT96" i="1"/>
  <c r="L96" i="3" s="1"/>
  <c r="CU100" i="1"/>
  <c r="M100" i="3" s="1"/>
  <c r="CU99" i="1"/>
  <c r="M99" i="3" s="1"/>
  <c r="CU98" i="1"/>
  <c r="M98" i="3" s="1"/>
  <c r="CU97" i="1"/>
  <c r="M97" i="3" s="1"/>
  <c r="CU95" i="1"/>
  <c r="M95" i="3" s="1"/>
  <c r="CU96" i="1"/>
  <c r="M96" i="3" s="1"/>
  <c r="CU94" i="1"/>
  <c r="M94" i="3" s="1"/>
  <c r="DC100" i="1"/>
  <c r="U100" i="3" s="1"/>
  <c r="DC99" i="1"/>
  <c r="U99" i="3" s="1"/>
  <c r="DC98" i="1"/>
  <c r="U98" i="3" s="1"/>
  <c r="DC97" i="1"/>
  <c r="U97" i="3" s="1"/>
  <c r="DC96" i="1"/>
  <c r="U96" i="3" s="1"/>
  <c r="DC94" i="1"/>
  <c r="U94" i="3" s="1"/>
  <c r="DC95" i="1"/>
  <c r="U95" i="3" s="1"/>
  <c r="DD100" i="1"/>
  <c r="V100" i="3" s="1"/>
  <c r="DD99" i="1"/>
  <c r="V99" i="3" s="1"/>
  <c r="DD98" i="1"/>
  <c r="V98" i="3" s="1"/>
  <c r="DD97" i="1"/>
  <c r="V97" i="3" s="1"/>
  <c r="DD95" i="1"/>
  <c r="V95" i="3" s="1"/>
  <c r="DD94" i="1"/>
  <c r="V94" i="3" s="1"/>
  <c r="DD96" i="1"/>
  <c r="V96" i="3" s="1"/>
  <c r="CZ100" i="1"/>
  <c r="R100" i="3" s="1"/>
  <c r="CZ99" i="1"/>
  <c r="R99" i="3" s="1"/>
  <c r="CZ98" i="1"/>
  <c r="R98" i="3" s="1"/>
  <c r="CZ97" i="1"/>
  <c r="R97" i="3" s="1"/>
  <c r="CZ96" i="1"/>
  <c r="R96" i="3" s="1"/>
  <c r="CZ95" i="1"/>
  <c r="R95" i="3" s="1"/>
  <c r="CZ94" i="1"/>
  <c r="R94" i="3" s="1"/>
  <c r="BJ100" i="1"/>
  <c r="T100" i="3" s="1"/>
  <c r="BJ99" i="1"/>
  <c r="T99" i="3" s="1"/>
  <c r="BJ98" i="1"/>
  <c r="T98" i="3" s="1"/>
  <c r="BJ97" i="1"/>
  <c r="T97" i="3" s="1"/>
  <c r="BJ96" i="1"/>
  <c r="T96" i="3" s="1"/>
  <c r="BJ94" i="1"/>
  <c r="T94" i="3" s="1"/>
  <c r="BJ95" i="1"/>
  <c r="T95" i="3" s="1"/>
  <c r="DA100" i="1"/>
  <c r="S100" i="3" s="1"/>
  <c r="DA99" i="1"/>
  <c r="S99" i="3" s="1"/>
  <c r="DA98" i="1"/>
  <c r="S98" i="3" s="1"/>
  <c r="DA97" i="1"/>
  <c r="S97" i="3" s="1"/>
  <c r="DA95" i="1"/>
  <c r="S95" i="3" s="1"/>
  <c r="DA96" i="1"/>
  <c r="S96" i="3" s="1"/>
  <c r="DA94" i="1"/>
  <c r="S94" i="3" s="1"/>
  <c r="BD100" i="1"/>
  <c r="N100" i="3" s="1"/>
  <c r="Y100" i="3" s="1"/>
  <c r="BD99" i="1"/>
  <c r="N99" i="3" s="1"/>
  <c r="Y99" i="3" s="1"/>
  <c r="BD98" i="1"/>
  <c r="N98" i="3" s="1"/>
  <c r="Y98" i="3" s="1"/>
  <c r="BD97" i="1"/>
  <c r="N97" i="3" s="1"/>
  <c r="Y97" i="3" s="1"/>
  <c r="BD95" i="1"/>
  <c r="N95" i="3" s="1"/>
  <c r="Y95" i="3" s="1"/>
  <c r="BD96" i="1"/>
  <c r="N96" i="3" s="1"/>
  <c r="Y96" i="3" s="1"/>
  <c r="BD94" i="1"/>
  <c r="N94" i="3" s="1"/>
  <c r="Y94" i="3" s="1"/>
  <c r="AU100" i="1"/>
  <c r="E100" i="3" s="1"/>
  <c r="AU99" i="1"/>
  <c r="E99" i="3" s="1"/>
  <c r="AU98" i="1"/>
  <c r="E98" i="3" s="1"/>
  <c r="AU97" i="1"/>
  <c r="E97" i="3" s="1"/>
  <c r="AU94" i="1"/>
  <c r="E94" i="3" s="1"/>
  <c r="AU96" i="1"/>
  <c r="E96" i="3" s="1"/>
  <c r="AU95" i="1"/>
  <c r="E95" i="3" s="1"/>
  <c r="CK100" i="1"/>
  <c r="C100" i="3" s="1"/>
  <c r="CK99" i="1"/>
  <c r="C99" i="3" s="1"/>
  <c r="CK98" i="1"/>
  <c r="C98" i="3" s="1"/>
  <c r="CK97" i="1"/>
  <c r="C97" i="3" s="1"/>
  <c r="CK96" i="1"/>
  <c r="C96" i="3" s="1"/>
  <c r="CK94" i="1"/>
  <c r="C94" i="3" s="1"/>
  <c r="CK95" i="1"/>
  <c r="C95" i="3" s="1"/>
  <c r="BM100" i="1"/>
  <c r="W100" i="3" s="1"/>
  <c r="BM99" i="1"/>
  <c r="W99" i="3" s="1"/>
  <c r="BM98" i="1"/>
  <c r="W98" i="3" s="1"/>
  <c r="BM97" i="1"/>
  <c r="W97" i="3" s="1"/>
  <c r="BM95" i="1"/>
  <c r="W95" i="3" s="1"/>
  <c r="BM96" i="1"/>
  <c r="W96" i="3" s="1"/>
  <c r="BM94" i="1"/>
  <c r="W94" i="3" s="1"/>
  <c r="CL100" i="1"/>
  <c r="D100" i="3" s="1"/>
  <c r="CL99" i="1"/>
  <c r="D99" i="3" s="1"/>
  <c r="CL98" i="1"/>
  <c r="D98" i="3" s="1"/>
  <c r="CL97" i="1"/>
  <c r="D97" i="3" s="1"/>
  <c r="CL96" i="1"/>
  <c r="D96" i="3" s="1"/>
  <c r="CL94" i="1"/>
  <c r="D94" i="3" s="1"/>
  <c r="CL95" i="1"/>
  <c r="D95" i="3" s="1"/>
  <c r="CO100" i="1"/>
  <c r="G100" i="3" s="1"/>
  <c r="CO99" i="1"/>
  <c r="G99" i="3" s="1"/>
  <c r="CO98" i="1"/>
  <c r="G98" i="3" s="1"/>
  <c r="CO97" i="1"/>
  <c r="G97" i="3" s="1"/>
  <c r="CO96" i="1"/>
  <c r="G96" i="3" s="1"/>
  <c r="CO94" i="1"/>
  <c r="G94" i="3" s="1"/>
  <c r="CO95" i="1"/>
  <c r="G95" i="3" s="1"/>
  <c r="AX100" i="1"/>
  <c r="H100" i="3" s="1"/>
  <c r="AX99" i="1"/>
  <c r="H99" i="3" s="1"/>
  <c r="AX98" i="1"/>
  <c r="H98" i="3" s="1"/>
  <c r="AX97" i="1"/>
  <c r="H97" i="3" s="1"/>
  <c r="AX96" i="1"/>
  <c r="H96" i="3" s="1"/>
  <c r="AX94" i="1"/>
  <c r="H94" i="3" s="1"/>
  <c r="AX95" i="1"/>
  <c r="H95" i="3" s="1"/>
  <c r="CN93" i="1"/>
  <c r="F93" i="3" s="1"/>
  <c r="CN92" i="1"/>
  <c r="F92" i="3" s="1"/>
  <c r="CN91" i="1"/>
  <c r="F91" i="3" s="1"/>
  <c r="CU93" i="1"/>
  <c r="M93" i="3" s="1"/>
  <c r="CU92" i="1"/>
  <c r="M92" i="3" s="1"/>
  <c r="CU91" i="1"/>
  <c r="M91" i="3" s="1"/>
  <c r="BM93" i="1"/>
  <c r="W93" i="3" s="1"/>
  <c r="BM92" i="1"/>
  <c r="W92" i="3" s="1"/>
  <c r="BM91" i="1"/>
  <c r="W91" i="3" s="1"/>
  <c r="DD93" i="1"/>
  <c r="V93" i="3" s="1"/>
  <c r="DD92" i="1"/>
  <c r="V92" i="3" s="1"/>
  <c r="DD91" i="1"/>
  <c r="V91" i="3" s="1"/>
  <c r="CL93" i="1"/>
  <c r="D93" i="3" s="1"/>
  <c r="CL92" i="1"/>
  <c r="D92" i="3" s="1"/>
  <c r="CL91" i="1"/>
  <c r="D91" i="3" s="1"/>
  <c r="BJ93" i="1"/>
  <c r="T93" i="3" s="1"/>
  <c r="BJ92" i="1"/>
  <c r="T92" i="3" s="1"/>
  <c r="BJ91" i="1"/>
  <c r="T91" i="3" s="1"/>
  <c r="DA93" i="1"/>
  <c r="S93" i="3" s="1"/>
  <c r="DA92" i="1"/>
  <c r="S92" i="3" s="1"/>
  <c r="DA91" i="1"/>
  <c r="S91" i="3" s="1"/>
  <c r="BD93" i="1"/>
  <c r="N93" i="3" s="1"/>
  <c r="Y93" i="3" s="1"/>
  <c r="BD92" i="1"/>
  <c r="N92" i="3" s="1"/>
  <c r="Y92" i="3" s="1"/>
  <c r="BD91" i="1"/>
  <c r="N91" i="3" s="1"/>
  <c r="Y91" i="3" s="1"/>
  <c r="AU93" i="1"/>
  <c r="E93" i="3" s="1"/>
  <c r="AU92" i="1"/>
  <c r="E92" i="3" s="1"/>
  <c r="AU91" i="1"/>
  <c r="E91" i="3" s="1"/>
  <c r="CK93" i="1"/>
  <c r="C93" i="3" s="1"/>
  <c r="CK92" i="1"/>
  <c r="C92" i="3" s="1"/>
  <c r="CK91" i="1"/>
  <c r="C91" i="3" s="1"/>
  <c r="CT93" i="1"/>
  <c r="L93" i="3" s="1"/>
  <c r="CT92" i="1"/>
  <c r="L92" i="3" s="1"/>
  <c r="CT91" i="1"/>
  <c r="L91" i="3" s="1"/>
  <c r="CT87" i="1"/>
  <c r="L87" i="3" s="1"/>
  <c r="CT88" i="1"/>
  <c r="L88" i="3" s="1"/>
  <c r="CT89" i="1"/>
  <c r="CT90" i="1"/>
  <c r="DC93" i="1"/>
  <c r="U93" i="3" s="1"/>
  <c r="DC92" i="1"/>
  <c r="U92" i="3" s="1"/>
  <c r="DC91" i="1"/>
  <c r="U91" i="3" s="1"/>
  <c r="CZ93" i="1"/>
  <c r="R93" i="3" s="1"/>
  <c r="CZ92" i="1"/>
  <c r="R92" i="3" s="1"/>
  <c r="CZ91" i="1"/>
  <c r="R91" i="3" s="1"/>
  <c r="CO93" i="1"/>
  <c r="G93" i="3" s="1"/>
  <c r="CO92" i="1"/>
  <c r="G92" i="3" s="1"/>
  <c r="CO91" i="1"/>
  <c r="G91" i="3" s="1"/>
  <c r="AX93" i="1"/>
  <c r="H93" i="3" s="1"/>
  <c r="AX92" i="1"/>
  <c r="H92" i="3" s="1"/>
  <c r="AX91" i="1"/>
  <c r="H91" i="3" s="1"/>
  <c r="CN89" i="1"/>
  <c r="F89" i="3" s="1"/>
  <c r="CN90" i="1"/>
  <c r="F90" i="3" s="1"/>
  <c r="L89" i="3"/>
  <c r="L90" i="3"/>
  <c r="CU89" i="1"/>
  <c r="M89" i="3" s="1"/>
  <c r="CU90" i="1"/>
  <c r="M90" i="3" s="1"/>
  <c r="DC89" i="1"/>
  <c r="U89" i="3" s="1"/>
  <c r="DC90" i="1"/>
  <c r="U90" i="3" s="1"/>
  <c r="BM89" i="1"/>
  <c r="W89" i="3" s="1"/>
  <c r="BM90" i="1"/>
  <c r="W90" i="3" s="1"/>
  <c r="DD89" i="1"/>
  <c r="V89" i="3" s="1"/>
  <c r="DD90" i="1"/>
  <c r="V90" i="3" s="1"/>
  <c r="CL89" i="1"/>
  <c r="D89" i="3" s="1"/>
  <c r="CL90" i="1"/>
  <c r="D90" i="3" s="1"/>
  <c r="CZ89" i="1"/>
  <c r="R89" i="3" s="1"/>
  <c r="CZ90" i="1"/>
  <c r="R90" i="3" s="1"/>
  <c r="BJ89" i="1"/>
  <c r="T89" i="3" s="1"/>
  <c r="BJ90" i="1"/>
  <c r="T90" i="3" s="1"/>
  <c r="DA89" i="1"/>
  <c r="S89" i="3" s="1"/>
  <c r="DA90" i="1"/>
  <c r="S90" i="3" s="1"/>
  <c r="BD89" i="1"/>
  <c r="N89" i="3" s="1"/>
  <c r="Y89" i="3" s="1"/>
  <c r="BD90" i="1"/>
  <c r="N90" i="3" s="1"/>
  <c r="Y90" i="3" s="1"/>
  <c r="AU89" i="1"/>
  <c r="E89" i="3" s="1"/>
  <c r="AU90" i="1"/>
  <c r="E90" i="3" s="1"/>
  <c r="CK89" i="1"/>
  <c r="C89" i="3" s="1"/>
  <c r="CK90" i="1"/>
  <c r="C90" i="3" s="1"/>
  <c r="CO89" i="1"/>
  <c r="G89" i="3" s="1"/>
  <c r="CO90" i="1"/>
  <c r="G90" i="3" s="1"/>
  <c r="AX89" i="1"/>
  <c r="H89" i="3" s="1"/>
  <c r="AX90" i="1"/>
  <c r="H90" i="3" s="1"/>
  <c r="CN85" i="1"/>
  <c r="F85" i="3" s="1"/>
  <c r="CN88" i="1"/>
  <c r="F88" i="3" s="1"/>
  <c r="CN87" i="1"/>
  <c r="F87" i="3" s="1"/>
  <c r="CN86" i="1"/>
  <c r="F86" i="3" s="1"/>
  <c r="CL85" i="1"/>
  <c r="D85" i="3" s="1"/>
  <c r="CL88" i="1"/>
  <c r="D88" i="3" s="1"/>
  <c r="CL87" i="1"/>
  <c r="D87" i="3" s="1"/>
  <c r="CL86" i="1"/>
  <c r="D86" i="3" s="1"/>
  <c r="BJ85" i="1"/>
  <c r="T85" i="3" s="1"/>
  <c r="BJ88" i="1"/>
  <c r="T88" i="3" s="1"/>
  <c r="BJ87" i="1"/>
  <c r="T87" i="3" s="1"/>
  <c r="BJ86" i="1"/>
  <c r="T86" i="3" s="1"/>
  <c r="DA88" i="1"/>
  <c r="S88" i="3" s="1"/>
  <c r="DA87" i="1"/>
  <c r="S87" i="3" s="1"/>
  <c r="DA85" i="1"/>
  <c r="S85" i="3" s="1"/>
  <c r="DA86" i="1"/>
  <c r="S86" i="3" s="1"/>
  <c r="BD85" i="1"/>
  <c r="N85" i="3" s="1"/>
  <c r="Y85" i="3" s="1"/>
  <c r="BD88" i="1"/>
  <c r="N88" i="3" s="1"/>
  <c r="Y88" i="3" s="1"/>
  <c r="BD87" i="1"/>
  <c r="N87" i="3" s="1"/>
  <c r="Y87" i="3" s="1"/>
  <c r="BD86" i="1"/>
  <c r="N86" i="3" s="1"/>
  <c r="Y86" i="3" s="1"/>
  <c r="AU85" i="1"/>
  <c r="E85" i="3" s="1"/>
  <c r="AU88" i="1"/>
  <c r="E88" i="3" s="1"/>
  <c r="AU87" i="1"/>
  <c r="E87" i="3" s="1"/>
  <c r="AU86" i="1"/>
  <c r="E86" i="3" s="1"/>
  <c r="CK85" i="1"/>
  <c r="C85" i="3" s="1"/>
  <c r="CK88" i="1"/>
  <c r="C88" i="3" s="1"/>
  <c r="CK87" i="1"/>
  <c r="C87" i="3" s="1"/>
  <c r="CK86" i="1"/>
  <c r="C86" i="3" s="1"/>
  <c r="CT86" i="1"/>
  <c r="L86" i="3" s="1"/>
  <c r="CT85" i="1"/>
  <c r="L85" i="3" s="1"/>
  <c r="CU88" i="1"/>
  <c r="M88" i="3" s="1"/>
  <c r="CU87" i="1"/>
  <c r="M87" i="3" s="1"/>
  <c r="CU86" i="1"/>
  <c r="M86" i="3" s="1"/>
  <c r="CU85" i="1"/>
  <c r="M85" i="3" s="1"/>
  <c r="DC88" i="1"/>
  <c r="U88" i="3" s="1"/>
  <c r="DC87" i="1"/>
  <c r="U87" i="3" s="1"/>
  <c r="DC86" i="1"/>
  <c r="U86" i="3" s="1"/>
  <c r="DC85" i="1"/>
  <c r="U85" i="3" s="1"/>
  <c r="BM85" i="1"/>
  <c r="W85" i="3" s="1"/>
  <c r="BM88" i="1"/>
  <c r="W88" i="3" s="1"/>
  <c r="BM87" i="1"/>
  <c r="W87" i="3" s="1"/>
  <c r="BM86" i="1"/>
  <c r="W86" i="3" s="1"/>
  <c r="DD88" i="1"/>
  <c r="V88" i="3" s="1"/>
  <c r="DD87" i="1"/>
  <c r="V87" i="3" s="1"/>
  <c r="DD85" i="1"/>
  <c r="V85" i="3" s="1"/>
  <c r="DD86" i="1"/>
  <c r="V86" i="3" s="1"/>
  <c r="CZ88" i="1"/>
  <c r="R88" i="3" s="1"/>
  <c r="CZ87" i="1"/>
  <c r="R87" i="3" s="1"/>
  <c r="CZ85" i="1"/>
  <c r="R85" i="3" s="1"/>
  <c r="CZ86" i="1"/>
  <c r="R86" i="3" s="1"/>
  <c r="CO85" i="1"/>
  <c r="G85" i="3" s="1"/>
  <c r="CO88" i="1"/>
  <c r="G88" i="3" s="1"/>
  <c r="CO87" i="1"/>
  <c r="G87" i="3" s="1"/>
  <c r="CO86" i="1"/>
  <c r="G86" i="3" s="1"/>
  <c r="AX85" i="1"/>
  <c r="H85" i="3" s="1"/>
  <c r="AX88" i="1"/>
  <c r="H88" i="3" s="1"/>
  <c r="AX87" i="1"/>
  <c r="H87" i="3" s="1"/>
  <c r="AX86" i="1"/>
  <c r="H86" i="3" s="1"/>
  <c r="G75" i="3"/>
  <c r="CO84" i="1"/>
  <c r="G84" i="3" s="1"/>
  <c r="CO83" i="1"/>
  <c r="G83" i="3" s="1"/>
  <c r="CO82" i="1"/>
  <c r="G82" i="3" s="1"/>
  <c r="CO81" i="1"/>
  <c r="G81" i="3" s="1"/>
  <c r="CO80" i="1"/>
  <c r="G80" i="3" s="1"/>
  <c r="CO79" i="1"/>
  <c r="CO78" i="1"/>
  <c r="CO77" i="1"/>
  <c r="G77" i="3" s="1"/>
  <c r="CO76" i="1"/>
  <c r="G76" i="3" s="1"/>
  <c r="H75" i="3"/>
  <c r="AX84" i="1"/>
  <c r="H84" i="3" s="1"/>
  <c r="AX83" i="1"/>
  <c r="H83" i="3" s="1"/>
  <c r="AX82" i="1"/>
  <c r="H82" i="3" s="1"/>
  <c r="AX81" i="1"/>
  <c r="H81" i="3" s="1"/>
  <c r="AX80" i="1"/>
  <c r="H80" i="3" s="1"/>
  <c r="AX79" i="1"/>
  <c r="H79" i="3" s="1"/>
  <c r="AX78" i="1"/>
  <c r="AX77" i="1"/>
  <c r="H77" i="3" s="1"/>
  <c r="AX76" i="1"/>
  <c r="H76" i="3" s="1"/>
  <c r="F75" i="3"/>
  <c r="CN84" i="1"/>
  <c r="F84" i="3" s="1"/>
  <c r="CN83" i="1"/>
  <c r="F83" i="3" s="1"/>
  <c r="CN82" i="1"/>
  <c r="F82" i="3" s="1"/>
  <c r="CN81" i="1"/>
  <c r="F81" i="3" s="1"/>
  <c r="CN80" i="1"/>
  <c r="F80" i="3" s="1"/>
  <c r="CN79" i="1"/>
  <c r="CN78" i="1"/>
  <c r="CN77" i="1"/>
  <c r="F77" i="3" s="1"/>
  <c r="CN76" i="1"/>
  <c r="F76" i="3" s="1"/>
  <c r="L75" i="3"/>
  <c r="CT84" i="1"/>
  <c r="L84" i="3" s="1"/>
  <c r="CT83" i="1"/>
  <c r="L83" i="3" s="1"/>
  <c r="CT82" i="1"/>
  <c r="L82" i="3" s="1"/>
  <c r="CT81" i="1"/>
  <c r="L81" i="3" s="1"/>
  <c r="CT80" i="1"/>
  <c r="L80" i="3" s="1"/>
  <c r="CT79" i="1"/>
  <c r="CT78" i="1"/>
  <c r="CT77" i="1"/>
  <c r="L77" i="3" s="1"/>
  <c r="CT76" i="1"/>
  <c r="L76" i="3" s="1"/>
  <c r="M75" i="3"/>
  <c r="CU84" i="1"/>
  <c r="M84" i="3" s="1"/>
  <c r="CU83" i="1"/>
  <c r="M83" i="3" s="1"/>
  <c r="CU82" i="1"/>
  <c r="M82" i="3" s="1"/>
  <c r="CU81" i="1"/>
  <c r="M81" i="3" s="1"/>
  <c r="CU80" i="1"/>
  <c r="M80" i="3" s="1"/>
  <c r="CU79" i="1"/>
  <c r="CU78" i="1"/>
  <c r="CU77" i="1"/>
  <c r="M77" i="3" s="1"/>
  <c r="CU76" i="1"/>
  <c r="M76" i="3" s="1"/>
  <c r="DC84" i="1"/>
  <c r="U84" i="3" s="1"/>
  <c r="DC83" i="1"/>
  <c r="U83" i="3" s="1"/>
  <c r="DC82" i="1"/>
  <c r="U82" i="3" s="1"/>
  <c r="DC81" i="1"/>
  <c r="U81" i="3" s="1"/>
  <c r="DC80" i="1"/>
  <c r="U80" i="3" s="1"/>
  <c r="DC79" i="1"/>
  <c r="BM84" i="1"/>
  <c r="W84" i="3" s="1"/>
  <c r="BM83" i="1"/>
  <c r="W83" i="3" s="1"/>
  <c r="BM82" i="1"/>
  <c r="W82" i="3" s="1"/>
  <c r="BM81" i="1"/>
  <c r="W81" i="3" s="1"/>
  <c r="BM80" i="1"/>
  <c r="W80" i="3" s="1"/>
  <c r="BM79" i="1"/>
  <c r="W79" i="3" s="1"/>
  <c r="DD84" i="1"/>
  <c r="V84" i="3" s="1"/>
  <c r="DD83" i="1"/>
  <c r="V83" i="3" s="1"/>
  <c r="DD82" i="1"/>
  <c r="V82" i="3" s="1"/>
  <c r="DD81" i="1"/>
  <c r="V81" i="3" s="1"/>
  <c r="DD80" i="1"/>
  <c r="V80" i="3" s="1"/>
  <c r="DD79" i="1"/>
  <c r="CL84" i="1"/>
  <c r="D84" i="3" s="1"/>
  <c r="CL83" i="1"/>
  <c r="D83" i="3" s="1"/>
  <c r="CL82" i="1"/>
  <c r="D82" i="3" s="1"/>
  <c r="CL81" i="1"/>
  <c r="D81" i="3" s="1"/>
  <c r="CL80" i="1"/>
  <c r="D80" i="3" s="1"/>
  <c r="CL79" i="1"/>
  <c r="R75" i="3"/>
  <c r="CZ84" i="1"/>
  <c r="R84" i="3" s="1"/>
  <c r="CZ83" i="1"/>
  <c r="R83" i="3" s="1"/>
  <c r="CZ82" i="1"/>
  <c r="R82" i="3" s="1"/>
  <c r="CZ81" i="1"/>
  <c r="R81" i="3" s="1"/>
  <c r="CZ80" i="1"/>
  <c r="R80" i="3" s="1"/>
  <c r="CZ79" i="1"/>
  <c r="CZ78" i="1"/>
  <c r="CZ77" i="1"/>
  <c r="R77" i="3" s="1"/>
  <c r="CZ76" i="1"/>
  <c r="R76" i="3" s="1"/>
  <c r="T75" i="3"/>
  <c r="BJ84" i="1"/>
  <c r="T84" i="3" s="1"/>
  <c r="BJ83" i="1"/>
  <c r="T83" i="3" s="1"/>
  <c r="BJ82" i="1"/>
  <c r="T82" i="3" s="1"/>
  <c r="BJ81" i="1"/>
  <c r="T81" i="3" s="1"/>
  <c r="BJ80" i="1"/>
  <c r="T80" i="3" s="1"/>
  <c r="BJ79" i="1"/>
  <c r="T79" i="3" s="1"/>
  <c r="BJ78" i="1"/>
  <c r="BJ77" i="1"/>
  <c r="T77" i="3" s="1"/>
  <c r="BJ76" i="1"/>
  <c r="T76" i="3" s="1"/>
  <c r="S75" i="3"/>
  <c r="DA84" i="1"/>
  <c r="S84" i="3" s="1"/>
  <c r="DA83" i="1"/>
  <c r="S83" i="3" s="1"/>
  <c r="DA82" i="1"/>
  <c r="S82" i="3" s="1"/>
  <c r="DA81" i="1"/>
  <c r="S81" i="3" s="1"/>
  <c r="DA80" i="1"/>
  <c r="S80" i="3" s="1"/>
  <c r="DA79" i="1"/>
  <c r="DA78" i="1"/>
  <c r="DA77" i="1"/>
  <c r="S77" i="3" s="1"/>
  <c r="DA76" i="1"/>
  <c r="S76" i="3" s="1"/>
  <c r="N75" i="3"/>
  <c r="Y75" i="3" s="1"/>
  <c r="BD84" i="1"/>
  <c r="N84" i="3" s="1"/>
  <c r="Y84" i="3" s="1"/>
  <c r="BD83" i="1"/>
  <c r="N83" i="3" s="1"/>
  <c r="Y83" i="3" s="1"/>
  <c r="BD82" i="1"/>
  <c r="N82" i="3" s="1"/>
  <c r="Y82" i="3" s="1"/>
  <c r="BD81" i="1"/>
  <c r="N81" i="3" s="1"/>
  <c r="Y81" i="3" s="1"/>
  <c r="BD80" i="1"/>
  <c r="N80" i="3" s="1"/>
  <c r="Y80" i="3" s="1"/>
  <c r="BD79" i="1"/>
  <c r="N79" i="3" s="1"/>
  <c r="Y79" i="3" s="1"/>
  <c r="BD78" i="1"/>
  <c r="BD77" i="1"/>
  <c r="N77" i="3" s="1"/>
  <c r="Y77" i="3" s="1"/>
  <c r="BD76" i="1"/>
  <c r="N76" i="3" s="1"/>
  <c r="Y76" i="3" s="1"/>
  <c r="AU84" i="1"/>
  <c r="E84" i="3" s="1"/>
  <c r="AU83" i="1"/>
  <c r="E83" i="3" s="1"/>
  <c r="AU82" i="1"/>
  <c r="E82" i="3" s="1"/>
  <c r="AU81" i="1"/>
  <c r="E81" i="3" s="1"/>
  <c r="AU80" i="1"/>
  <c r="E80" i="3" s="1"/>
  <c r="AU79" i="1"/>
  <c r="E79" i="3" s="1"/>
  <c r="CK84" i="1"/>
  <c r="C84" i="3" s="1"/>
  <c r="CK83" i="1"/>
  <c r="C83" i="3" s="1"/>
  <c r="CK82" i="1"/>
  <c r="C82" i="3" s="1"/>
  <c r="CK81" i="1"/>
  <c r="C81" i="3" s="1"/>
  <c r="CK80" i="1"/>
  <c r="C80" i="3" s="1"/>
  <c r="CK79" i="1"/>
  <c r="A15" i="3"/>
  <c r="A16" i="2"/>
  <c r="P16" i="3"/>
  <c r="O16" i="3"/>
  <c r="B14" i="3"/>
  <c r="B14" i="2"/>
  <c r="DE14" i="1" l="1"/>
  <c r="DD14" i="1"/>
  <c r="V14" i="3" s="1"/>
  <c r="DC14" i="1"/>
  <c r="U14" i="3" s="1"/>
  <c r="DB14" i="1"/>
  <c r="DA14" i="1"/>
  <c r="S14" i="3" s="1"/>
  <c r="CZ14" i="1"/>
  <c r="R14" i="3" s="1"/>
  <c r="CY14" i="1"/>
  <c r="CX14" i="1"/>
  <c r="CW14" i="1"/>
  <c r="CV14" i="1"/>
  <c r="CU14" i="1"/>
  <c r="M14" i="3" s="1"/>
  <c r="CT14" i="1"/>
  <c r="L14" i="3" s="1"/>
  <c r="CS14" i="1"/>
  <c r="CR14" i="1"/>
  <c r="J14" i="3" s="1"/>
  <c r="CQ14" i="1"/>
  <c r="I14" i="3" s="1"/>
  <c r="CP14" i="1"/>
  <c r="CO14" i="1"/>
  <c r="G14" i="3" s="1"/>
  <c r="CN14" i="1"/>
  <c r="F14" i="3" s="1"/>
  <c r="CM14" i="1"/>
  <c r="CL14" i="1"/>
  <c r="D14" i="3" s="1"/>
  <c r="CK14" i="1"/>
  <c r="C14" i="3" s="1"/>
  <c r="W14" i="3"/>
  <c r="Q14" i="3"/>
  <c r="N14" i="3"/>
  <c r="Y14" i="3" s="1"/>
  <c r="K14" i="3"/>
  <c r="H14" i="3"/>
  <c r="E14" i="3"/>
  <c r="D14" i="1"/>
  <c r="C14" i="2" s="1"/>
  <c r="B14" i="1"/>
  <c r="A14" i="2" l="1"/>
  <c r="A14" i="3"/>
  <c r="O14" i="3"/>
  <c r="P14" i="3"/>
  <c r="W13" i="3"/>
  <c r="K13" i="3"/>
  <c r="B13" i="3"/>
  <c r="B12" i="3"/>
  <c r="B13" i="2"/>
  <c r="B12" i="2"/>
  <c r="DE13" i="1"/>
  <c r="DD13" i="1"/>
  <c r="V13" i="3" s="1"/>
  <c r="DC13" i="1"/>
  <c r="U13" i="3" s="1"/>
  <c r="DB13" i="1"/>
  <c r="DA13" i="1"/>
  <c r="S13" i="3" s="1"/>
  <c r="CZ13" i="1"/>
  <c r="R13" i="3" s="1"/>
  <c r="CY13" i="1"/>
  <c r="CX13" i="1"/>
  <c r="CW13" i="1"/>
  <c r="CV13" i="1"/>
  <c r="CU13" i="1"/>
  <c r="M13" i="3" s="1"/>
  <c r="CT13" i="1"/>
  <c r="L13" i="3" s="1"/>
  <c r="CS13" i="1"/>
  <c r="CR13" i="1"/>
  <c r="J13" i="3" s="1"/>
  <c r="CQ13" i="1"/>
  <c r="I13" i="3" s="1"/>
  <c r="CP13" i="1"/>
  <c r="CO13" i="1"/>
  <c r="G13" i="3" s="1"/>
  <c r="CN13" i="1"/>
  <c r="F13" i="3" s="1"/>
  <c r="CM13" i="1"/>
  <c r="CL13" i="1"/>
  <c r="D13" i="3" s="1"/>
  <c r="CK13" i="1"/>
  <c r="C13" i="3" s="1"/>
  <c r="DE12" i="1"/>
  <c r="DD12" i="1"/>
  <c r="V12" i="3" s="1"/>
  <c r="DC12" i="1"/>
  <c r="U12" i="3" s="1"/>
  <c r="DB12" i="1"/>
  <c r="DA12" i="1"/>
  <c r="S12" i="3" s="1"/>
  <c r="CZ12" i="1"/>
  <c r="R12" i="3" s="1"/>
  <c r="CY12" i="1"/>
  <c r="CX12" i="1"/>
  <c r="P12" i="3" s="1"/>
  <c r="CW12" i="1"/>
  <c r="O12" i="3" s="1"/>
  <c r="CV12" i="1"/>
  <c r="CU12" i="1"/>
  <c r="M12" i="3" s="1"/>
  <c r="CT12" i="1"/>
  <c r="L12" i="3" s="1"/>
  <c r="CS12" i="1"/>
  <c r="CR12" i="1"/>
  <c r="J12" i="3" s="1"/>
  <c r="CQ12" i="1"/>
  <c r="I12" i="3" s="1"/>
  <c r="CP12" i="1"/>
  <c r="CO12" i="1"/>
  <c r="G12" i="3" s="1"/>
  <c r="CN12" i="1"/>
  <c r="F12" i="3" s="1"/>
  <c r="CM12" i="1"/>
  <c r="CL12" i="1"/>
  <c r="D12" i="3" s="1"/>
  <c r="CK12" i="1"/>
  <c r="C12" i="3" s="1"/>
  <c r="DE11" i="1"/>
  <c r="DD11" i="1"/>
  <c r="DC11" i="1"/>
  <c r="DB11" i="1"/>
  <c r="DA11" i="1"/>
  <c r="S11" i="3" s="1"/>
  <c r="CZ11" i="1"/>
  <c r="R11" i="3" s="1"/>
  <c r="CY11" i="1"/>
  <c r="CX11" i="1"/>
  <c r="CW11" i="1"/>
  <c r="CV11" i="1"/>
  <c r="CU11" i="1"/>
  <c r="CT11" i="1"/>
  <c r="CS11" i="1"/>
  <c r="CR11" i="1"/>
  <c r="CQ11" i="1"/>
  <c r="CP11" i="1"/>
  <c r="CO11" i="1"/>
  <c r="CN11" i="1"/>
  <c r="CM11" i="1"/>
  <c r="CL11" i="1"/>
  <c r="CK11" i="1"/>
  <c r="Q13" i="3"/>
  <c r="N13" i="3"/>
  <c r="Y13" i="3" s="1"/>
  <c r="H13" i="3"/>
  <c r="E13" i="3"/>
  <c r="W12" i="3"/>
  <c r="Q12" i="3"/>
  <c r="N12" i="3"/>
  <c r="Y12" i="3" s="1"/>
  <c r="K12" i="3"/>
  <c r="H12" i="3"/>
  <c r="E12" i="3"/>
  <c r="BM11" i="1"/>
  <c r="BL11" i="1"/>
  <c r="BK11" i="1"/>
  <c r="BJ11" i="1"/>
  <c r="T11" i="3" s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P13" i="3" l="1"/>
  <c r="O13" i="3"/>
  <c r="AH11" i="1"/>
  <c r="AG11" i="1"/>
  <c r="AF11" i="1"/>
  <c r="AE11" i="1"/>
  <c r="AD11" i="1"/>
  <c r="AC11" i="1"/>
  <c r="AB11" i="1"/>
  <c r="AA11" i="1"/>
  <c r="Z11" i="1"/>
  <c r="D13" i="1"/>
  <c r="C13" i="2" s="1"/>
  <c r="B13" i="1"/>
  <c r="D12" i="1"/>
  <c r="C12" i="2" s="1"/>
  <c r="B12" i="1"/>
  <c r="B11" i="1"/>
  <c r="A13" i="2" l="1"/>
  <c r="A13" i="3"/>
  <c r="A12" i="3"/>
  <c r="A12" i="2"/>
  <c r="D11" i="1"/>
  <c r="A5" i="5"/>
  <c r="A5" i="3"/>
  <c r="A5" i="2"/>
  <c r="L37" i="5"/>
  <c r="A37" i="5"/>
  <c r="L5" i="5"/>
  <c r="A7" i="1"/>
  <c r="F1" i="1"/>
  <c r="B103" i="1" l="1"/>
  <c r="B104" i="1"/>
  <c r="B101" i="1"/>
  <c r="B102" i="1"/>
  <c r="B100" i="1"/>
  <c r="B99" i="1"/>
  <c r="B98" i="1"/>
  <c r="B97" i="1"/>
  <c r="B92" i="1"/>
  <c r="B96" i="1"/>
  <c r="B93" i="1"/>
  <c r="B94" i="1"/>
  <c r="B95" i="1"/>
  <c r="B90" i="1"/>
  <c r="B91" i="1"/>
  <c r="B89" i="1"/>
  <c r="A89" i="3" s="1"/>
  <c r="B88" i="1"/>
  <c r="B87" i="1"/>
  <c r="B86" i="1"/>
  <c r="B64" i="1"/>
  <c r="A64" i="2" s="1"/>
  <c r="B73" i="1"/>
  <c r="T10" i="3"/>
  <c r="H10" i="3"/>
  <c r="G10" i="3"/>
  <c r="F10" i="3"/>
  <c r="K10" i="2"/>
  <c r="H10" i="2"/>
  <c r="E10" i="2"/>
  <c r="H11" i="3"/>
  <c r="G79" i="3"/>
  <c r="F79" i="3"/>
  <c r="G69" i="3"/>
  <c r="F69" i="3"/>
  <c r="G11" i="3"/>
  <c r="F11" i="3"/>
  <c r="S79" i="3"/>
  <c r="R79" i="3"/>
  <c r="AH10" i="1"/>
  <c r="AH71" i="1"/>
  <c r="AH73" i="1"/>
  <c r="AH76" i="1"/>
  <c r="AH77" i="1"/>
  <c r="AH78" i="1"/>
  <c r="AH79" i="1"/>
  <c r="AG10" i="1"/>
  <c r="AD10" i="1"/>
  <c r="AA10" i="1"/>
  <c r="A102" i="2" l="1"/>
  <c r="A102" i="3"/>
  <c r="A101" i="3"/>
  <c r="A101" i="2"/>
  <c r="A104" i="2"/>
  <c r="A104" i="3"/>
  <c r="A103" i="2"/>
  <c r="A103" i="3"/>
  <c r="A93" i="3"/>
  <c r="A93" i="2"/>
  <c r="A94" i="3"/>
  <c r="A94" i="2"/>
  <c r="A97" i="2"/>
  <c r="A97" i="3"/>
  <c r="A91" i="3"/>
  <c r="A91" i="2"/>
  <c r="A98" i="2"/>
  <c r="A98" i="3"/>
  <c r="A89" i="2"/>
  <c r="A96" i="3"/>
  <c r="A96" i="2"/>
  <c r="A99" i="3"/>
  <c r="A99" i="2"/>
  <c r="A95" i="3"/>
  <c r="A95" i="2"/>
  <c r="A92" i="3"/>
  <c r="A92" i="2"/>
  <c r="A100" i="3"/>
  <c r="A100" i="2"/>
  <c r="A64" i="3"/>
  <c r="A90" i="3"/>
  <c r="A90" i="2"/>
  <c r="A86" i="2"/>
  <c r="A86" i="3"/>
  <c r="A87" i="3"/>
  <c r="A87" i="2"/>
  <c r="A88" i="2"/>
  <c r="A88" i="3"/>
  <c r="A73" i="2"/>
  <c r="A73" i="3"/>
  <c r="AM18" i="1"/>
  <c r="AM17" i="1"/>
  <c r="H17" i="2" s="1"/>
  <c r="AP18" i="1"/>
  <c r="AP17" i="1"/>
  <c r="K17" i="2" s="1"/>
  <c r="AQ18" i="1"/>
  <c r="AQ73" i="1" s="1"/>
  <c r="AQ17" i="1"/>
  <c r="L17" i="2" s="1"/>
  <c r="AJ18" i="1"/>
  <c r="AJ17" i="1"/>
  <c r="E17" i="2" s="1"/>
  <c r="AP15" i="1"/>
  <c r="K15" i="2" s="1"/>
  <c r="AP16" i="1"/>
  <c r="K16" i="2" s="1"/>
  <c r="AM16" i="1"/>
  <c r="H16" i="2" s="1"/>
  <c r="AM15" i="1"/>
  <c r="H15" i="2" s="1"/>
  <c r="AQ16" i="1"/>
  <c r="L16" i="2" s="1"/>
  <c r="AQ15" i="1"/>
  <c r="L15" i="2" s="1"/>
  <c r="AJ16" i="1"/>
  <c r="E16" i="2" s="1"/>
  <c r="AJ15" i="1"/>
  <c r="E15" i="2" s="1"/>
  <c r="AM13" i="1"/>
  <c r="H13" i="2" s="1"/>
  <c r="AM14" i="1"/>
  <c r="H14" i="2" s="1"/>
  <c r="AM12" i="1"/>
  <c r="H12" i="2" s="1"/>
  <c r="AP14" i="1"/>
  <c r="K14" i="2" s="1"/>
  <c r="AP13" i="1"/>
  <c r="K13" i="2" s="1"/>
  <c r="AP12" i="1"/>
  <c r="K12" i="2" s="1"/>
  <c r="AQ13" i="1"/>
  <c r="L13" i="2" s="1"/>
  <c r="AQ14" i="1"/>
  <c r="L14" i="2" s="1"/>
  <c r="AQ12" i="1"/>
  <c r="L12" i="2" s="1"/>
  <c r="AJ13" i="1"/>
  <c r="E13" i="2" s="1"/>
  <c r="AJ12" i="1"/>
  <c r="E12" i="2" s="1"/>
  <c r="AJ14" i="1"/>
  <c r="E14" i="2" s="1"/>
  <c r="AJ11" i="1"/>
  <c r="E11" i="2" s="1"/>
  <c r="AP11" i="1"/>
  <c r="K11" i="2" s="1"/>
  <c r="AQ11" i="1"/>
  <c r="AM11" i="1"/>
  <c r="H11" i="2" s="1"/>
  <c r="C11" i="2"/>
  <c r="D10" i="1"/>
  <c r="C10" i="2" s="1"/>
  <c r="S17" i="2" l="1"/>
  <c r="Y16" i="2"/>
  <c r="L73" i="2"/>
  <c r="Z73" i="2" s="1"/>
  <c r="AQ75" i="1"/>
  <c r="AP71" i="1"/>
  <c r="K71" i="2" s="1"/>
  <c r="Y71" i="2" s="1"/>
  <c r="AP75" i="1"/>
  <c r="AP73" i="1"/>
  <c r="K73" i="2" s="1"/>
  <c r="Y73" i="2" s="1"/>
  <c r="AP70" i="1"/>
  <c r="AP69" i="1"/>
  <c r="K69" i="2" s="1"/>
  <c r="AP68" i="1"/>
  <c r="K68" i="2" s="1"/>
  <c r="V15" i="2"/>
  <c r="Y17" i="2"/>
  <c r="AM73" i="1"/>
  <c r="AM71" i="1"/>
  <c r="H71" i="2" s="1"/>
  <c r="AM70" i="1"/>
  <c r="AM69" i="1"/>
  <c r="H69" i="2" s="1"/>
  <c r="AM68" i="1"/>
  <c r="H68" i="2" s="1"/>
  <c r="AJ73" i="1"/>
  <c r="AJ71" i="1"/>
  <c r="E71" i="2" s="1"/>
  <c r="AJ70" i="1"/>
  <c r="AJ69" i="1"/>
  <c r="E69" i="2" s="1"/>
  <c r="AJ68" i="1"/>
  <c r="E68" i="2" s="1"/>
  <c r="AQ70" i="1"/>
  <c r="AQ69" i="1"/>
  <c r="L69" i="2" s="1"/>
  <c r="AQ68" i="1"/>
  <c r="L68" i="2" s="1"/>
  <c r="AQ71" i="1"/>
  <c r="L71" i="2" s="1"/>
  <c r="AQ65" i="1"/>
  <c r="L65" i="2" s="1"/>
  <c r="AQ66" i="1"/>
  <c r="L66" i="2" s="1"/>
  <c r="AQ67" i="1"/>
  <c r="L67" i="2" s="1"/>
  <c r="AQ64" i="1"/>
  <c r="L64" i="2" s="1"/>
  <c r="AP66" i="1"/>
  <c r="K66" i="2" s="1"/>
  <c r="AP67" i="1"/>
  <c r="K67" i="2" s="1"/>
  <c r="AP65" i="1"/>
  <c r="K65" i="2" s="1"/>
  <c r="AP64" i="1"/>
  <c r="K64" i="2" s="1"/>
  <c r="AJ67" i="1"/>
  <c r="E67" i="2" s="1"/>
  <c r="AJ65" i="1"/>
  <c r="E65" i="2" s="1"/>
  <c r="AJ66" i="1"/>
  <c r="E66" i="2" s="1"/>
  <c r="AJ64" i="1"/>
  <c r="E64" i="2" s="1"/>
  <c r="AM66" i="1"/>
  <c r="H66" i="2" s="1"/>
  <c r="AM67" i="1"/>
  <c r="H67" i="2" s="1"/>
  <c r="AM65" i="1"/>
  <c r="H65" i="2" s="1"/>
  <c r="AM64" i="1"/>
  <c r="H64" i="2" s="1"/>
  <c r="AJ52" i="1"/>
  <c r="E52" i="2" s="1"/>
  <c r="AJ43" i="1"/>
  <c r="E43" i="2" s="1"/>
  <c r="AJ45" i="1"/>
  <c r="E45" i="2" s="1"/>
  <c r="AJ44" i="1"/>
  <c r="E44" i="2" s="1"/>
  <c r="AJ46" i="1"/>
  <c r="E46" i="2" s="1"/>
  <c r="AJ49" i="1"/>
  <c r="E49" i="2" s="1"/>
  <c r="AJ55" i="1"/>
  <c r="E55" i="2" s="1"/>
  <c r="AJ59" i="1"/>
  <c r="E59" i="2" s="1"/>
  <c r="AJ62" i="1"/>
  <c r="E62" i="2" s="1"/>
  <c r="AJ41" i="1"/>
  <c r="E41" i="2" s="1"/>
  <c r="AJ56" i="1"/>
  <c r="E56" i="2" s="1"/>
  <c r="AJ57" i="1"/>
  <c r="E57" i="2" s="1"/>
  <c r="AJ53" i="1"/>
  <c r="E53" i="2" s="1"/>
  <c r="AJ48" i="1"/>
  <c r="E48" i="2" s="1"/>
  <c r="AJ61" i="1"/>
  <c r="E61" i="2" s="1"/>
  <c r="AJ47" i="1"/>
  <c r="E47" i="2" s="1"/>
  <c r="AJ60" i="1"/>
  <c r="E60" i="2" s="1"/>
  <c r="AJ42" i="1"/>
  <c r="E42" i="2" s="1"/>
  <c r="S42" i="2" s="1"/>
  <c r="AJ51" i="1"/>
  <c r="E51" i="2" s="1"/>
  <c r="AJ50" i="1"/>
  <c r="E50" i="2" s="1"/>
  <c r="AJ58" i="1"/>
  <c r="E58" i="2" s="1"/>
  <c r="AJ63" i="1"/>
  <c r="E63" i="2" s="1"/>
  <c r="AJ40" i="1"/>
  <c r="E40" i="2" s="1"/>
  <c r="AJ54" i="1"/>
  <c r="E54" i="2" s="1"/>
  <c r="AJ39" i="1"/>
  <c r="E39" i="2" s="1"/>
  <c r="AJ38" i="1"/>
  <c r="E38" i="2" s="1"/>
  <c r="AP62" i="1"/>
  <c r="K62" i="2" s="1"/>
  <c r="AP61" i="1"/>
  <c r="K61" i="2" s="1"/>
  <c r="AP56" i="1"/>
  <c r="K56" i="2" s="1"/>
  <c r="AP54" i="1"/>
  <c r="K54" i="2" s="1"/>
  <c r="AP51" i="1"/>
  <c r="K51" i="2" s="1"/>
  <c r="AP49" i="1"/>
  <c r="K49" i="2" s="1"/>
  <c r="AP53" i="1"/>
  <c r="K53" i="2" s="1"/>
  <c r="AP48" i="1"/>
  <c r="K48" i="2" s="1"/>
  <c r="AP44" i="1"/>
  <c r="K44" i="2" s="1"/>
  <c r="AP46" i="1"/>
  <c r="K46" i="2" s="1"/>
  <c r="AP41" i="1"/>
  <c r="K41" i="2" s="1"/>
  <c r="AP47" i="1"/>
  <c r="K47" i="2" s="1"/>
  <c r="AP55" i="1"/>
  <c r="K55" i="2" s="1"/>
  <c r="AP57" i="1"/>
  <c r="K57" i="2" s="1"/>
  <c r="AP43" i="1"/>
  <c r="K43" i="2" s="1"/>
  <c r="AP52" i="1"/>
  <c r="K52" i="2" s="1"/>
  <c r="AP50" i="1"/>
  <c r="K50" i="2" s="1"/>
  <c r="AP58" i="1"/>
  <c r="K58" i="2" s="1"/>
  <c r="AP63" i="1"/>
  <c r="K63" i="2" s="1"/>
  <c r="AP42" i="1"/>
  <c r="K42" i="2" s="1"/>
  <c r="AP60" i="1"/>
  <c r="K60" i="2" s="1"/>
  <c r="AP40" i="1"/>
  <c r="K40" i="2" s="1"/>
  <c r="AP45" i="1"/>
  <c r="K45" i="2" s="1"/>
  <c r="AP59" i="1"/>
  <c r="K59" i="2" s="1"/>
  <c r="AP39" i="1"/>
  <c r="K39" i="2" s="1"/>
  <c r="AP38" i="1"/>
  <c r="K38" i="2" s="1"/>
  <c r="AQ58" i="1"/>
  <c r="L58" i="2" s="1"/>
  <c r="AQ47" i="1"/>
  <c r="L47" i="2" s="1"/>
  <c r="AQ43" i="1"/>
  <c r="L43" i="2" s="1"/>
  <c r="AQ40" i="1"/>
  <c r="L40" i="2" s="1"/>
  <c r="AQ48" i="1"/>
  <c r="L48" i="2" s="1"/>
  <c r="AQ44" i="1"/>
  <c r="L44" i="2" s="1"/>
  <c r="AQ50" i="1"/>
  <c r="L50" i="2" s="1"/>
  <c r="AQ53" i="1"/>
  <c r="L53" i="2" s="1"/>
  <c r="AQ49" i="1"/>
  <c r="L49" i="2" s="1"/>
  <c r="AQ59" i="1"/>
  <c r="L59" i="2" s="1"/>
  <c r="AQ61" i="1"/>
  <c r="L61" i="2" s="1"/>
  <c r="AQ52" i="1"/>
  <c r="L52" i="2" s="1"/>
  <c r="AQ41" i="1"/>
  <c r="L41" i="2" s="1"/>
  <c r="AQ54" i="1"/>
  <c r="L54" i="2" s="1"/>
  <c r="AQ55" i="1"/>
  <c r="L55" i="2" s="1"/>
  <c r="AQ60" i="1"/>
  <c r="L60" i="2" s="1"/>
  <c r="AQ63" i="1"/>
  <c r="L63" i="2" s="1"/>
  <c r="AQ45" i="1"/>
  <c r="L45" i="2" s="1"/>
  <c r="AQ57" i="1"/>
  <c r="L57" i="2" s="1"/>
  <c r="AQ51" i="1"/>
  <c r="L51" i="2" s="1"/>
  <c r="AQ56" i="1"/>
  <c r="L56" i="2" s="1"/>
  <c r="AQ62" i="1"/>
  <c r="L62" i="2" s="1"/>
  <c r="AQ46" i="1"/>
  <c r="L46" i="2" s="1"/>
  <c r="AQ42" i="1"/>
  <c r="L42" i="2" s="1"/>
  <c r="AQ39" i="1"/>
  <c r="L39" i="2" s="1"/>
  <c r="AQ38" i="1"/>
  <c r="L38" i="2" s="1"/>
  <c r="AM58" i="1"/>
  <c r="H58" i="2" s="1"/>
  <c r="AM47" i="1"/>
  <c r="H47" i="2" s="1"/>
  <c r="AM45" i="1"/>
  <c r="H45" i="2" s="1"/>
  <c r="AM46" i="1"/>
  <c r="H46" i="2" s="1"/>
  <c r="AM42" i="1"/>
  <c r="H42" i="2" s="1"/>
  <c r="AM57" i="1"/>
  <c r="H57" i="2" s="1"/>
  <c r="AM55" i="1"/>
  <c r="H55" i="2" s="1"/>
  <c r="AM56" i="1"/>
  <c r="H56" i="2" s="1"/>
  <c r="AM40" i="1"/>
  <c r="H40" i="2" s="1"/>
  <c r="AM48" i="1"/>
  <c r="H48" i="2" s="1"/>
  <c r="AM44" i="1"/>
  <c r="H44" i="2" s="1"/>
  <c r="AM52" i="1"/>
  <c r="H52" i="2" s="1"/>
  <c r="AM50" i="1"/>
  <c r="H50" i="2" s="1"/>
  <c r="AM53" i="1"/>
  <c r="H53" i="2" s="1"/>
  <c r="AM49" i="1"/>
  <c r="H49" i="2" s="1"/>
  <c r="AM59" i="1"/>
  <c r="H59" i="2" s="1"/>
  <c r="AM61" i="1"/>
  <c r="H61" i="2" s="1"/>
  <c r="AM51" i="1"/>
  <c r="H51" i="2" s="1"/>
  <c r="V51" i="2" s="1"/>
  <c r="AM41" i="1"/>
  <c r="H41" i="2" s="1"/>
  <c r="AM43" i="1"/>
  <c r="H43" i="2" s="1"/>
  <c r="AM54" i="1"/>
  <c r="H54" i="2" s="1"/>
  <c r="AM60" i="1"/>
  <c r="H60" i="2" s="1"/>
  <c r="AM63" i="1"/>
  <c r="H63" i="2" s="1"/>
  <c r="AM62" i="1"/>
  <c r="H62" i="2" s="1"/>
  <c r="AM39" i="1"/>
  <c r="H39" i="2" s="1"/>
  <c r="AM38" i="1"/>
  <c r="H38" i="2" s="1"/>
  <c r="AJ33" i="1"/>
  <c r="E33" i="2" s="1"/>
  <c r="AJ31" i="1"/>
  <c r="E31" i="2" s="1"/>
  <c r="AJ34" i="1"/>
  <c r="E34" i="2" s="1"/>
  <c r="AJ37" i="1"/>
  <c r="E37" i="2" s="1"/>
  <c r="AJ35" i="1"/>
  <c r="E35" i="2" s="1"/>
  <c r="AJ30" i="1"/>
  <c r="E30" i="2" s="1"/>
  <c r="AJ32" i="1"/>
  <c r="E32" i="2" s="1"/>
  <c r="AJ36" i="1"/>
  <c r="E36" i="2" s="1"/>
  <c r="AJ29" i="1"/>
  <c r="E29" i="2" s="1"/>
  <c r="AJ28" i="1"/>
  <c r="E28" i="2" s="1"/>
  <c r="AQ30" i="1"/>
  <c r="L30" i="2" s="1"/>
  <c r="AQ37" i="1"/>
  <c r="L37" i="2" s="1"/>
  <c r="AQ28" i="1"/>
  <c r="L28" i="2" s="1"/>
  <c r="AQ31" i="1"/>
  <c r="L31" i="2" s="1"/>
  <c r="AQ33" i="1"/>
  <c r="L33" i="2" s="1"/>
  <c r="AQ34" i="1"/>
  <c r="L34" i="2" s="1"/>
  <c r="AQ35" i="1"/>
  <c r="L35" i="2" s="1"/>
  <c r="AQ29" i="1"/>
  <c r="L29" i="2" s="1"/>
  <c r="AP36" i="1"/>
  <c r="K36" i="2" s="1"/>
  <c r="AP35" i="1"/>
  <c r="K35" i="2" s="1"/>
  <c r="AP30" i="1"/>
  <c r="K30" i="2" s="1"/>
  <c r="AP29" i="1"/>
  <c r="K29" i="2" s="1"/>
  <c r="AP32" i="1"/>
  <c r="K32" i="2" s="1"/>
  <c r="AP28" i="1"/>
  <c r="K28" i="2" s="1"/>
  <c r="AP34" i="1"/>
  <c r="K34" i="2" s="1"/>
  <c r="AP31" i="1"/>
  <c r="K31" i="2" s="1"/>
  <c r="AP33" i="1"/>
  <c r="K33" i="2" s="1"/>
  <c r="AP37" i="1"/>
  <c r="K37" i="2" s="1"/>
  <c r="AM30" i="1"/>
  <c r="H30" i="2" s="1"/>
  <c r="AM35" i="1"/>
  <c r="H35" i="2" s="1"/>
  <c r="AM31" i="1"/>
  <c r="H31" i="2" s="1"/>
  <c r="AM34" i="1"/>
  <c r="H34" i="2" s="1"/>
  <c r="AM36" i="1"/>
  <c r="H36" i="2" s="1"/>
  <c r="AM37" i="1"/>
  <c r="H37" i="2" s="1"/>
  <c r="AM32" i="1"/>
  <c r="H32" i="2" s="1"/>
  <c r="AM28" i="1"/>
  <c r="H28" i="2" s="1"/>
  <c r="AM33" i="1"/>
  <c r="H33" i="2" s="1"/>
  <c r="AM29" i="1"/>
  <c r="H29" i="2" s="1"/>
  <c r="S15" i="2"/>
  <c r="AJ27" i="1"/>
  <c r="E27" i="2" s="1"/>
  <c r="AJ26" i="1"/>
  <c r="E26" i="2" s="1"/>
  <c r="AJ22" i="1"/>
  <c r="E22" i="2" s="1"/>
  <c r="AJ25" i="1"/>
  <c r="E25" i="2" s="1"/>
  <c r="AJ23" i="1"/>
  <c r="E23" i="2" s="1"/>
  <c r="AJ24" i="1"/>
  <c r="E24" i="2" s="1"/>
  <c r="AJ21" i="1"/>
  <c r="E21" i="2" s="1"/>
  <c r="AP27" i="1"/>
  <c r="K27" i="2" s="1"/>
  <c r="AP23" i="1"/>
  <c r="K23" i="2" s="1"/>
  <c r="AP25" i="1"/>
  <c r="K25" i="2" s="1"/>
  <c r="AP24" i="1"/>
  <c r="K24" i="2" s="1"/>
  <c r="AP26" i="1"/>
  <c r="K26" i="2" s="1"/>
  <c r="AP22" i="1"/>
  <c r="K22" i="2" s="1"/>
  <c r="AP21" i="1"/>
  <c r="K21" i="2" s="1"/>
  <c r="AQ26" i="1"/>
  <c r="L26" i="2" s="1"/>
  <c r="AQ27" i="1"/>
  <c r="L27" i="2" s="1"/>
  <c r="AQ24" i="1"/>
  <c r="L24" i="2" s="1"/>
  <c r="AQ22" i="1"/>
  <c r="L22" i="2" s="1"/>
  <c r="AQ23" i="1"/>
  <c r="L23" i="2" s="1"/>
  <c r="AQ25" i="1"/>
  <c r="L25" i="2" s="1"/>
  <c r="AQ21" i="1"/>
  <c r="L21" i="2" s="1"/>
  <c r="AM26" i="1"/>
  <c r="H26" i="2" s="1"/>
  <c r="AM27" i="1"/>
  <c r="H27" i="2" s="1"/>
  <c r="AM24" i="1"/>
  <c r="H24" i="2" s="1"/>
  <c r="AM23" i="1"/>
  <c r="H23" i="2" s="1"/>
  <c r="AM25" i="1"/>
  <c r="H25" i="2" s="1"/>
  <c r="AM22" i="1"/>
  <c r="H22" i="2" s="1"/>
  <c r="AM21" i="1"/>
  <c r="H21" i="2" s="1"/>
  <c r="S16" i="2"/>
  <c r="V16" i="2"/>
  <c r="E18" i="2"/>
  <c r="K18" i="2"/>
  <c r="Z15" i="2"/>
  <c r="Z17" i="2"/>
  <c r="V17" i="2"/>
  <c r="Z16" i="2"/>
  <c r="Y15" i="2"/>
  <c r="L18" i="2"/>
  <c r="H18" i="2"/>
  <c r="S13" i="2"/>
  <c r="V14" i="2"/>
  <c r="S14" i="2"/>
  <c r="Y13" i="2"/>
  <c r="Y14" i="2"/>
  <c r="Z14" i="2"/>
  <c r="Z13" i="2"/>
  <c r="V13" i="2"/>
  <c r="L11" i="3"/>
  <c r="M11" i="3"/>
  <c r="Z10" i="1"/>
  <c r="AB10" i="1"/>
  <c r="AC10" i="1"/>
  <c r="AE10" i="1"/>
  <c r="AF10" i="1"/>
  <c r="A11" i="3"/>
  <c r="B11" i="3"/>
  <c r="B11" i="2"/>
  <c r="C69" i="3"/>
  <c r="D69" i="3"/>
  <c r="CK76" i="1"/>
  <c r="CL76" i="1"/>
  <c r="CM76" i="1"/>
  <c r="CK77" i="1"/>
  <c r="CL77" i="1"/>
  <c r="CM77" i="1"/>
  <c r="CK78" i="1"/>
  <c r="CL78" i="1"/>
  <c r="CM78" i="1"/>
  <c r="C79" i="3"/>
  <c r="D79" i="3"/>
  <c r="W11" i="3"/>
  <c r="V11" i="3"/>
  <c r="U11" i="3"/>
  <c r="Q11" i="3"/>
  <c r="N11" i="3"/>
  <c r="Y11" i="3" s="1"/>
  <c r="K11" i="3"/>
  <c r="J11" i="3"/>
  <c r="I11" i="3"/>
  <c r="E11" i="3"/>
  <c r="D11" i="3"/>
  <c r="C11" i="3"/>
  <c r="D10" i="2"/>
  <c r="B10" i="2"/>
  <c r="X11" i="3"/>
  <c r="X10" i="3"/>
  <c r="B10" i="3"/>
  <c r="A10" i="3"/>
  <c r="K10" i="3"/>
  <c r="J10" i="3"/>
  <c r="I10" i="3"/>
  <c r="Q10" i="3"/>
  <c r="P10" i="3"/>
  <c r="O10" i="3"/>
  <c r="W10" i="3"/>
  <c r="V10" i="3"/>
  <c r="U10" i="3"/>
  <c r="E10" i="3"/>
  <c r="D10" i="3"/>
  <c r="C10" i="3"/>
  <c r="F10" i="2"/>
  <c r="G10" i="2"/>
  <c r="I10" i="2"/>
  <c r="J10" i="2"/>
  <c r="L10" i="2"/>
  <c r="V79" i="3"/>
  <c r="U79" i="3"/>
  <c r="CY79" i="1"/>
  <c r="CX79" i="1"/>
  <c r="CW79" i="1"/>
  <c r="M79" i="3"/>
  <c r="L79" i="3"/>
  <c r="CS79" i="1"/>
  <c r="CR79" i="1"/>
  <c r="CQ79" i="1"/>
  <c r="DE78" i="1"/>
  <c r="DD78" i="1"/>
  <c r="DC78" i="1"/>
  <c r="CY78" i="1"/>
  <c r="CX78" i="1"/>
  <c r="CW78" i="1"/>
  <c r="DE77" i="1"/>
  <c r="DD77" i="1"/>
  <c r="DC77" i="1"/>
  <c r="CS77" i="1"/>
  <c r="CR77" i="1"/>
  <c r="CQ77" i="1"/>
  <c r="DE76" i="1"/>
  <c r="DD76" i="1"/>
  <c r="DC76" i="1"/>
  <c r="CY76" i="1"/>
  <c r="CX76" i="1"/>
  <c r="CW76" i="1"/>
  <c r="CS76" i="1"/>
  <c r="CR76" i="1"/>
  <c r="CQ76" i="1"/>
  <c r="CS75" i="1"/>
  <c r="CR75" i="1"/>
  <c r="CQ75" i="1"/>
  <c r="CS73" i="1"/>
  <c r="CR73" i="1"/>
  <c r="CQ73" i="1"/>
  <c r="V69" i="3"/>
  <c r="U69" i="3"/>
  <c r="M69" i="3"/>
  <c r="L69" i="3"/>
  <c r="J69" i="3"/>
  <c r="I69" i="3"/>
  <c r="BA84" i="1"/>
  <c r="AZ84" i="1"/>
  <c r="BA83" i="1"/>
  <c r="AZ83" i="1"/>
  <c r="AY83" i="1"/>
  <c r="BA82" i="1"/>
  <c r="AZ82" i="1"/>
  <c r="AY82" i="1"/>
  <c r="BA80" i="1"/>
  <c r="AZ80" i="1"/>
  <c r="AY80" i="1"/>
  <c r="BG79" i="1"/>
  <c r="BF79" i="1"/>
  <c r="BE79" i="1"/>
  <c r="BA79" i="1"/>
  <c r="AZ79" i="1"/>
  <c r="AY79" i="1"/>
  <c r="BM78" i="1"/>
  <c r="BL78" i="1"/>
  <c r="BK78" i="1"/>
  <c r="BG78" i="1"/>
  <c r="BF78" i="1"/>
  <c r="BE78" i="1"/>
  <c r="BA78" i="1"/>
  <c r="AZ78" i="1"/>
  <c r="AY78" i="1"/>
  <c r="AU78" i="1"/>
  <c r="AT78" i="1"/>
  <c r="AS78" i="1"/>
  <c r="BM77" i="1"/>
  <c r="BL77" i="1"/>
  <c r="BK77" i="1"/>
  <c r="AU77" i="1"/>
  <c r="AT77" i="1"/>
  <c r="AS77" i="1"/>
  <c r="BM76" i="1"/>
  <c r="BL76" i="1"/>
  <c r="BK76" i="1"/>
  <c r="BG76" i="1"/>
  <c r="BF76" i="1"/>
  <c r="BE76" i="1"/>
  <c r="BA76" i="1"/>
  <c r="AZ76" i="1"/>
  <c r="AY76" i="1"/>
  <c r="AU76" i="1"/>
  <c r="AT76" i="1"/>
  <c r="AS76" i="1"/>
  <c r="BA73" i="1"/>
  <c r="AZ73" i="1"/>
  <c r="AY73" i="1"/>
  <c r="Z65" i="1"/>
  <c r="Z69" i="1"/>
  <c r="Z71" i="1"/>
  <c r="AK71" i="1"/>
  <c r="AC71" i="1"/>
  <c r="AE71" i="1"/>
  <c r="AO71" i="1"/>
  <c r="Z73" i="1"/>
  <c r="AK73" i="1"/>
  <c r="AC73" i="1"/>
  <c r="AO73" i="1"/>
  <c r="AK75" i="1"/>
  <c r="AI76" i="1"/>
  <c r="AK76" i="1"/>
  <c r="AL76" i="1"/>
  <c r="AN76" i="1"/>
  <c r="AO76" i="1"/>
  <c r="AQ76" i="1"/>
  <c r="AI77" i="1"/>
  <c r="AK77" i="1"/>
  <c r="AL77" i="1"/>
  <c r="AF77" i="1"/>
  <c r="AO77" i="1" s="1"/>
  <c r="AQ77" i="1"/>
  <c r="AI78" i="1"/>
  <c r="AK78" i="1"/>
  <c r="AL78" i="1"/>
  <c r="AN78" i="1"/>
  <c r="AF78" i="1"/>
  <c r="AO78" i="1" s="1"/>
  <c r="AQ78" i="1"/>
  <c r="Z79" i="1"/>
  <c r="AK79" i="1"/>
  <c r="AE79" i="1"/>
  <c r="AF79" i="1"/>
  <c r="AO79" i="1" s="1"/>
  <c r="Z80" i="1"/>
  <c r="AK80" i="1"/>
  <c r="AC80" i="1"/>
  <c r="AE80" i="1"/>
  <c r="AO80" i="1"/>
  <c r="Z81" i="1"/>
  <c r="AO81" i="1"/>
  <c r="Z82" i="1"/>
  <c r="AC82" i="1"/>
  <c r="AE82" i="1"/>
  <c r="Z83" i="1"/>
  <c r="AK83" i="1"/>
  <c r="AC83" i="1"/>
  <c r="AE83" i="1"/>
  <c r="Z84" i="1"/>
  <c r="AK84" i="1"/>
  <c r="AC84" i="1"/>
  <c r="AE84" i="1"/>
  <c r="AO84" i="1"/>
  <c r="Z85" i="1"/>
  <c r="AK85" i="1"/>
  <c r="AC85" i="1"/>
  <c r="AE85" i="1"/>
  <c r="AF85" i="1"/>
  <c r="B85" i="1"/>
  <c r="B84" i="1"/>
  <c r="B83" i="1"/>
  <c r="B82" i="1"/>
  <c r="B81" i="1"/>
  <c r="B80" i="1"/>
  <c r="B79" i="1"/>
  <c r="B78" i="1"/>
  <c r="B77" i="1"/>
  <c r="B76" i="1"/>
  <c r="B75" i="1"/>
  <c r="B71" i="1"/>
  <c r="A71" i="2" s="1"/>
  <c r="B70" i="1"/>
  <c r="B69" i="1"/>
  <c r="B68" i="1"/>
  <c r="B67" i="1"/>
  <c r="B66" i="1"/>
  <c r="B65" i="1"/>
  <c r="B63" i="1"/>
  <c r="B62" i="1"/>
  <c r="B61" i="1"/>
  <c r="B60" i="1"/>
  <c r="B59" i="1"/>
  <c r="B58" i="1"/>
  <c r="L10" i="3"/>
  <c r="M10" i="3"/>
  <c r="N10" i="3"/>
  <c r="Y10" i="3" s="1"/>
  <c r="A10" i="2"/>
  <c r="AP104" i="1" l="1"/>
  <c r="K104" i="2" s="1"/>
  <c r="Y104" i="2" s="1"/>
  <c r="AP103" i="1"/>
  <c r="K103" i="2" s="1"/>
  <c r="AQ104" i="1"/>
  <c r="L104" i="2" s="1"/>
  <c r="Z104" i="2" s="1"/>
  <c r="AQ101" i="1"/>
  <c r="L101" i="2" s="1"/>
  <c r="V26" i="2"/>
  <c r="Z34" i="2"/>
  <c r="V48" i="2"/>
  <c r="Z51" i="2"/>
  <c r="AQ100" i="1"/>
  <c r="L100" i="2" s="1"/>
  <c r="AQ99" i="1"/>
  <c r="L99" i="2" s="1"/>
  <c r="AQ98" i="1"/>
  <c r="L98" i="2" s="1"/>
  <c r="AQ97" i="1"/>
  <c r="L97" i="2" s="1"/>
  <c r="AQ96" i="1"/>
  <c r="L96" i="2" s="1"/>
  <c r="AQ95" i="1"/>
  <c r="L95" i="2" s="1"/>
  <c r="AQ94" i="1"/>
  <c r="L94" i="2" s="1"/>
  <c r="AP100" i="1"/>
  <c r="K100" i="2" s="1"/>
  <c r="Y100" i="2" s="1"/>
  <c r="AP99" i="1"/>
  <c r="K99" i="2" s="1"/>
  <c r="AP98" i="1"/>
  <c r="K98" i="2" s="1"/>
  <c r="AP97" i="1"/>
  <c r="K97" i="2" s="1"/>
  <c r="Y97" i="2" s="1"/>
  <c r="AP94" i="1"/>
  <c r="K94" i="2" s="1"/>
  <c r="AP96" i="1"/>
  <c r="K96" i="2" s="1"/>
  <c r="AP95" i="1"/>
  <c r="K95" i="2" s="1"/>
  <c r="AQ90" i="1"/>
  <c r="L90" i="2" s="1"/>
  <c r="AQ93" i="1"/>
  <c r="L93" i="2" s="1"/>
  <c r="AQ92" i="1"/>
  <c r="L92" i="2" s="1"/>
  <c r="AQ91" i="1"/>
  <c r="L91" i="2" s="1"/>
  <c r="AP90" i="1"/>
  <c r="K90" i="2" s="1"/>
  <c r="AP93" i="1"/>
  <c r="K93" i="2" s="1"/>
  <c r="AP92" i="1"/>
  <c r="K92" i="2" s="1"/>
  <c r="AP91" i="1"/>
  <c r="K91" i="2" s="1"/>
  <c r="Y28" i="2"/>
  <c r="Y40" i="2"/>
  <c r="S57" i="2"/>
  <c r="AQ89" i="1"/>
  <c r="L89" i="2" s="1"/>
  <c r="AQ88" i="1"/>
  <c r="L88" i="2" s="1"/>
  <c r="AQ87" i="1"/>
  <c r="L87" i="2" s="1"/>
  <c r="AP89" i="1"/>
  <c r="K89" i="2" s="1"/>
  <c r="AP88" i="1"/>
  <c r="K88" i="2" s="1"/>
  <c r="AP87" i="1"/>
  <c r="K87" i="2" s="1"/>
  <c r="AQ85" i="1"/>
  <c r="L85" i="2" s="1"/>
  <c r="AQ86" i="1"/>
  <c r="L86" i="2" s="1"/>
  <c r="AP85" i="1"/>
  <c r="K85" i="2" s="1"/>
  <c r="AP86" i="1"/>
  <c r="K86" i="2" s="1"/>
  <c r="Y86" i="2" s="1"/>
  <c r="V60" i="2"/>
  <c r="V57" i="2"/>
  <c r="Z60" i="2"/>
  <c r="S50" i="2"/>
  <c r="S64" i="2"/>
  <c r="Y68" i="2"/>
  <c r="A85" i="2"/>
  <c r="A85" i="3"/>
  <c r="Y55" i="2"/>
  <c r="V68" i="2"/>
  <c r="A81" i="3"/>
  <c r="A81" i="2"/>
  <c r="Y23" i="2"/>
  <c r="Z68" i="2"/>
  <c r="A77" i="2"/>
  <c r="A77" i="3"/>
  <c r="K75" i="2"/>
  <c r="Y75" i="2" s="1"/>
  <c r="AP81" i="1"/>
  <c r="K81" i="2" s="1"/>
  <c r="AP78" i="1"/>
  <c r="AP84" i="1"/>
  <c r="K84" i="2" s="1"/>
  <c r="Y85" i="2" s="1"/>
  <c r="AP77" i="1"/>
  <c r="K77" i="2" s="1"/>
  <c r="AP80" i="1"/>
  <c r="K80" i="2" s="1"/>
  <c r="AP79" i="1"/>
  <c r="K79" i="2" s="1"/>
  <c r="Y79" i="2" s="1"/>
  <c r="AP83" i="1"/>
  <c r="K83" i="2" s="1"/>
  <c r="AP82" i="1"/>
  <c r="K82" i="2" s="1"/>
  <c r="AP76" i="1"/>
  <c r="K76" i="2" s="1"/>
  <c r="A82" i="2"/>
  <c r="A82" i="3"/>
  <c r="A79" i="2"/>
  <c r="A79" i="3"/>
  <c r="A83" i="3"/>
  <c r="A83" i="2"/>
  <c r="Y31" i="2"/>
  <c r="V46" i="2"/>
  <c r="Z66" i="2"/>
  <c r="AQ81" i="1"/>
  <c r="L81" i="2" s="1"/>
  <c r="AQ82" i="1"/>
  <c r="L82" i="2" s="1"/>
  <c r="AQ80" i="1"/>
  <c r="L80" i="2" s="1"/>
  <c r="AQ84" i="1"/>
  <c r="L84" i="2" s="1"/>
  <c r="AQ83" i="1"/>
  <c r="L83" i="2" s="1"/>
  <c r="AQ79" i="1"/>
  <c r="L79" i="2" s="1"/>
  <c r="Z79" i="2" s="1"/>
  <c r="A76" i="2"/>
  <c r="A76" i="3"/>
  <c r="A80" i="2"/>
  <c r="A80" i="3"/>
  <c r="A84" i="3"/>
  <c r="A84" i="2"/>
  <c r="S71" i="2"/>
  <c r="S27" i="2"/>
  <c r="V34" i="2"/>
  <c r="S36" i="2"/>
  <c r="V38" i="2"/>
  <c r="V47" i="2"/>
  <c r="Z40" i="2"/>
  <c r="Y57" i="2"/>
  <c r="Y49" i="2"/>
  <c r="S54" i="2"/>
  <c r="S47" i="2"/>
  <c r="S59" i="2"/>
  <c r="V64" i="2"/>
  <c r="Y64" i="2"/>
  <c r="Z71" i="2"/>
  <c r="E73" i="2"/>
  <c r="S73" i="2" s="1"/>
  <c r="AJ75" i="1"/>
  <c r="A68" i="3"/>
  <c r="A68" i="2"/>
  <c r="V31" i="2"/>
  <c r="Y32" i="2"/>
  <c r="S32" i="2"/>
  <c r="Z57" i="2"/>
  <c r="Y60" i="2"/>
  <c r="S40" i="2"/>
  <c r="S61" i="2"/>
  <c r="Y69" i="2"/>
  <c r="A69" i="3"/>
  <c r="A69" i="2"/>
  <c r="V27" i="2"/>
  <c r="Y30" i="2"/>
  <c r="S30" i="2"/>
  <c r="V56" i="2"/>
  <c r="Z45" i="2"/>
  <c r="Z59" i="2"/>
  <c r="Y42" i="2"/>
  <c r="S63" i="2"/>
  <c r="V67" i="2"/>
  <c r="Y67" i="2"/>
  <c r="Z69" i="2"/>
  <c r="V69" i="2"/>
  <c r="Z49" i="2"/>
  <c r="S53" i="2"/>
  <c r="Y35" i="2"/>
  <c r="V53" i="2"/>
  <c r="Z42" i="2"/>
  <c r="Y46" i="2"/>
  <c r="S44" i="2"/>
  <c r="Z64" i="2"/>
  <c r="S68" i="2"/>
  <c r="V71" i="2"/>
  <c r="A75" i="3"/>
  <c r="A75" i="2"/>
  <c r="S26" i="2"/>
  <c r="S34" i="2"/>
  <c r="V50" i="2"/>
  <c r="V42" i="2"/>
  <c r="Z55" i="2"/>
  <c r="Z50" i="2"/>
  <c r="Y44" i="2"/>
  <c r="S66" i="2"/>
  <c r="Z67" i="2"/>
  <c r="S69" i="2"/>
  <c r="AM75" i="1"/>
  <c r="H73" i="2"/>
  <c r="V73" i="2" s="1"/>
  <c r="A71" i="3"/>
  <c r="P69" i="3"/>
  <c r="O69" i="3"/>
  <c r="V65" i="2"/>
  <c r="Y65" i="2"/>
  <c r="A65" i="3"/>
  <c r="A65" i="2"/>
  <c r="A66" i="2"/>
  <c r="A66" i="3"/>
  <c r="V66" i="2"/>
  <c r="Y66" i="2"/>
  <c r="Z46" i="2"/>
  <c r="S56" i="2"/>
  <c r="S65" i="2"/>
  <c r="A67" i="3"/>
  <c r="A67" i="2"/>
  <c r="Y58" i="2"/>
  <c r="Y61" i="2"/>
  <c r="Z48" i="2"/>
  <c r="S67" i="2"/>
  <c r="Z65" i="2"/>
  <c r="A61" i="2"/>
  <c r="A61" i="3"/>
  <c r="Z53" i="2"/>
  <c r="Y27" i="2"/>
  <c r="V39" i="2"/>
  <c r="V54" i="2"/>
  <c r="V61" i="2"/>
  <c r="V40" i="2"/>
  <c r="V58" i="2"/>
  <c r="Z61" i="2"/>
  <c r="Z43" i="2"/>
  <c r="Y39" i="2"/>
  <c r="Y50" i="2"/>
  <c r="Y51" i="2"/>
  <c r="Y62" i="2"/>
  <c r="S51" i="2"/>
  <c r="S55" i="2"/>
  <c r="S45" i="2"/>
  <c r="A58" i="3"/>
  <c r="A58" i="2"/>
  <c r="A63" i="3"/>
  <c r="A63" i="2"/>
  <c r="V29" i="2"/>
  <c r="V62" i="2"/>
  <c r="V43" i="2"/>
  <c r="V59" i="2"/>
  <c r="V52" i="2"/>
  <c r="Z38" i="2"/>
  <c r="Z62" i="2"/>
  <c r="Z54" i="2"/>
  <c r="Z44" i="2"/>
  <c r="Z47" i="2"/>
  <c r="Y59" i="2"/>
  <c r="Y52" i="2"/>
  <c r="Y47" i="2"/>
  <c r="Y48" i="2"/>
  <c r="Y54" i="2"/>
  <c r="S38" i="2"/>
  <c r="S48" i="2"/>
  <c r="S41" i="2"/>
  <c r="S49" i="2"/>
  <c r="S43" i="2"/>
  <c r="Z52" i="2"/>
  <c r="Y38" i="2"/>
  <c r="A62" i="3"/>
  <c r="A62" i="2"/>
  <c r="A59" i="3"/>
  <c r="A59" i="2"/>
  <c r="A60" i="3"/>
  <c r="A60" i="2"/>
  <c r="S25" i="2"/>
  <c r="V33" i="2"/>
  <c r="V30" i="2"/>
  <c r="S35" i="2"/>
  <c r="V63" i="2"/>
  <c r="V41" i="2"/>
  <c r="V49" i="2"/>
  <c r="V44" i="2"/>
  <c r="V55" i="2"/>
  <c r="V45" i="2"/>
  <c r="Z39" i="2"/>
  <c r="Z56" i="2"/>
  <c r="Z63" i="2"/>
  <c r="Z41" i="2"/>
  <c r="Z58" i="2"/>
  <c r="Y45" i="2"/>
  <c r="Y63" i="2"/>
  <c r="Y43" i="2"/>
  <c r="Y41" i="2"/>
  <c r="Y53" i="2"/>
  <c r="Y56" i="2"/>
  <c r="S39" i="2"/>
  <c r="S58" i="2"/>
  <c r="S60" i="2"/>
  <c r="S62" i="2"/>
  <c r="S46" i="2"/>
  <c r="S52" i="2"/>
  <c r="S24" i="2"/>
  <c r="Y37" i="2"/>
  <c r="Z37" i="2"/>
  <c r="S37" i="2"/>
  <c r="V32" i="2"/>
  <c r="Y36" i="2"/>
  <c r="Y33" i="2"/>
  <c r="V35" i="2"/>
  <c r="S28" i="2"/>
  <c r="V23" i="2"/>
  <c r="Y24" i="2"/>
  <c r="V37" i="2"/>
  <c r="S31" i="2"/>
  <c r="Y29" i="2"/>
  <c r="V25" i="2"/>
  <c r="V36" i="2"/>
  <c r="Y34" i="2"/>
  <c r="Z36" i="2"/>
  <c r="Z35" i="2"/>
  <c r="S29" i="2"/>
  <c r="S33" i="2"/>
  <c r="V28" i="2"/>
  <c r="Z22" i="2"/>
  <c r="Y25" i="2"/>
  <c r="S22" i="2"/>
  <c r="Y22" i="2"/>
  <c r="S23" i="2"/>
  <c r="V22" i="2"/>
  <c r="V24" i="2"/>
  <c r="Y26" i="2"/>
  <c r="AO16" i="1"/>
  <c r="J16" i="2" s="1"/>
  <c r="X16" i="2" s="1"/>
  <c r="AO18" i="1"/>
  <c r="AO17" i="1"/>
  <c r="J17" i="2" s="1"/>
  <c r="AI18" i="1"/>
  <c r="AI71" i="1" s="1"/>
  <c r="D71" i="2" s="1"/>
  <c r="AI17" i="1"/>
  <c r="D17" i="2" s="1"/>
  <c r="AK16" i="1"/>
  <c r="F16" i="2" s="1"/>
  <c r="T16" i="2" s="1"/>
  <c r="AK18" i="1"/>
  <c r="AK17" i="1"/>
  <c r="F17" i="2" s="1"/>
  <c r="AN17" i="1"/>
  <c r="I17" i="2" s="1"/>
  <c r="AN18" i="1"/>
  <c r="AL18" i="1"/>
  <c r="AL73" i="1" s="1"/>
  <c r="AL17" i="1"/>
  <c r="G17" i="2" s="1"/>
  <c r="AL16" i="1"/>
  <c r="G16" i="2" s="1"/>
  <c r="AL15" i="1"/>
  <c r="G15" i="2" s="1"/>
  <c r="AI16" i="1"/>
  <c r="D16" i="2" s="1"/>
  <c r="AI15" i="1"/>
  <c r="D15" i="2" s="1"/>
  <c r="S11" i="2"/>
  <c r="AN15" i="1"/>
  <c r="I15" i="2" s="1"/>
  <c r="AN16" i="1"/>
  <c r="I16" i="2" s="1"/>
  <c r="V12" i="2"/>
  <c r="AO14" i="1"/>
  <c r="J14" i="2" s="1"/>
  <c r="X15" i="2" s="1"/>
  <c r="AO12" i="1"/>
  <c r="J12" i="2" s="1"/>
  <c r="AO13" i="1"/>
  <c r="J13" i="2" s="1"/>
  <c r="AI13" i="1"/>
  <c r="D13" i="2" s="1"/>
  <c r="AI12" i="1"/>
  <c r="D12" i="2" s="1"/>
  <c r="AI14" i="1"/>
  <c r="D14" i="2" s="1"/>
  <c r="S12" i="2"/>
  <c r="AK14" i="1"/>
  <c r="F14" i="2" s="1"/>
  <c r="T15" i="2" s="1"/>
  <c r="AK12" i="1"/>
  <c r="F12" i="2" s="1"/>
  <c r="AK13" i="1"/>
  <c r="F13" i="2" s="1"/>
  <c r="AN13" i="1"/>
  <c r="I13" i="2" s="1"/>
  <c r="AN12" i="1"/>
  <c r="I12" i="2" s="1"/>
  <c r="I14" i="2"/>
  <c r="Y12" i="2"/>
  <c r="V11" i="2"/>
  <c r="AL14" i="1"/>
  <c r="G14" i="2" s="1"/>
  <c r="AL13" i="1"/>
  <c r="G13" i="2" s="1"/>
  <c r="AL12" i="1"/>
  <c r="G12" i="2" s="1"/>
  <c r="Y11" i="2"/>
  <c r="AN11" i="1"/>
  <c r="I11" i="2" s="1"/>
  <c r="W11" i="2" s="1"/>
  <c r="AO11" i="1"/>
  <c r="J11" i="2" s="1"/>
  <c r="X11" i="2" s="1"/>
  <c r="AI11" i="1"/>
  <c r="D11" i="2" s="1"/>
  <c r="R11" i="2" s="1"/>
  <c r="AL11" i="1"/>
  <c r="G11" i="2" s="1"/>
  <c r="U11" i="2" s="1"/>
  <c r="AK11" i="1"/>
  <c r="F11" i="2" s="1"/>
  <c r="P11" i="3"/>
  <c r="O11" i="3"/>
  <c r="Z33" i="2"/>
  <c r="L11" i="2"/>
  <c r="Z23" i="2"/>
  <c r="Z30" i="2"/>
  <c r="A11" i="2"/>
  <c r="Z29" i="2"/>
  <c r="Z97" i="2" l="1"/>
  <c r="AJ103" i="1"/>
  <c r="E103" i="2" s="1"/>
  <c r="AJ104" i="1"/>
  <c r="E104" i="2" s="1"/>
  <c r="S104" i="2" s="1"/>
  <c r="AJ102" i="1"/>
  <c r="E102" i="2" s="1"/>
  <c r="AJ101" i="1"/>
  <c r="E101" i="2" s="1"/>
  <c r="AM103" i="1"/>
  <c r="H103" i="2" s="1"/>
  <c r="AM104" i="1"/>
  <c r="H104" i="2" s="1"/>
  <c r="V104" i="2" s="1"/>
  <c r="Y82" i="2"/>
  <c r="Z88" i="2"/>
  <c r="Z102" i="2"/>
  <c r="Z101" i="2"/>
  <c r="AM100" i="1"/>
  <c r="H100" i="2" s="1"/>
  <c r="AM99" i="1"/>
  <c r="H99" i="2" s="1"/>
  <c r="AM98" i="1"/>
  <c r="H98" i="2" s="1"/>
  <c r="AM97" i="1"/>
  <c r="H97" i="2" s="1"/>
  <c r="V97" i="2" s="1"/>
  <c r="AM96" i="1"/>
  <c r="H96" i="2" s="1"/>
  <c r="AM95" i="1"/>
  <c r="H95" i="2" s="1"/>
  <c r="AM94" i="1"/>
  <c r="H94" i="2" s="1"/>
  <c r="Z90" i="2"/>
  <c r="Y91" i="2"/>
  <c r="Z91" i="2"/>
  <c r="Y95" i="2"/>
  <c r="Y98" i="2"/>
  <c r="Z95" i="2"/>
  <c r="Z99" i="2"/>
  <c r="Y94" i="2"/>
  <c r="AJ100" i="1"/>
  <c r="E100" i="2" s="1"/>
  <c r="AJ99" i="1"/>
  <c r="E99" i="2" s="1"/>
  <c r="AJ98" i="1"/>
  <c r="E98" i="2" s="1"/>
  <c r="AJ97" i="1"/>
  <c r="E97" i="2" s="1"/>
  <c r="S97" i="2" s="1"/>
  <c r="AJ95" i="1"/>
  <c r="E95" i="2" s="1"/>
  <c r="S95" i="2" s="1"/>
  <c r="AJ94" i="1"/>
  <c r="E94" i="2" s="1"/>
  <c r="AJ96" i="1"/>
  <c r="E96" i="2" s="1"/>
  <c r="Z94" i="2"/>
  <c r="Z98" i="2"/>
  <c r="Y90" i="2"/>
  <c r="Y92" i="2"/>
  <c r="Z92" i="2"/>
  <c r="Y96" i="2"/>
  <c r="Y99" i="2"/>
  <c r="Z96" i="2"/>
  <c r="Z100" i="2"/>
  <c r="AJ93" i="1"/>
  <c r="E93" i="2" s="1"/>
  <c r="AJ92" i="1"/>
  <c r="E92" i="2" s="1"/>
  <c r="AJ91" i="1"/>
  <c r="E91" i="2" s="1"/>
  <c r="AM90" i="1"/>
  <c r="H90" i="2" s="1"/>
  <c r="AM93" i="1"/>
  <c r="H93" i="2" s="1"/>
  <c r="AM92" i="1"/>
  <c r="H92" i="2" s="1"/>
  <c r="AM91" i="1"/>
  <c r="H91" i="2" s="1"/>
  <c r="Y93" i="2"/>
  <c r="Z93" i="2"/>
  <c r="Z86" i="2"/>
  <c r="Z82" i="2"/>
  <c r="Z89" i="2"/>
  <c r="AJ89" i="1"/>
  <c r="E89" i="2" s="1"/>
  <c r="AJ90" i="1"/>
  <c r="E90" i="2" s="1"/>
  <c r="Y89" i="2"/>
  <c r="AM89" i="1"/>
  <c r="H89" i="2" s="1"/>
  <c r="AM88" i="1"/>
  <c r="H88" i="2" s="1"/>
  <c r="AM87" i="1"/>
  <c r="H87" i="2" s="1"/>
  <c r="Y88" i="2"/>
  <c r="Y76" i="2"/>
  <c r="AM85" i="1"/>
  <c r="H85" i="2" s="1"/>
  <c r="AM86" i="1"/>
  <c r="H86" i="2" s="1"/>
  <c r="AJ85" i="1"/>
  <c r="E85" i="2" s="1"/>
  <c r="AJ88" i="1"/>
  <c r="E88" i="2" s="1"/>
  <c r="AJ87" i="1"/>
  <c r="E87" i="2" s="1"/>
  <c r="AJ86" i="1"/>
  <c r="E86" i="2" s="1"/>
  <c r="AL71" i="1"/>
  <c r="G71" i="2" s="1"/>
  <c r="Z84" i="2"/>
  <c r="Y87" i="2"/>
  <c r="Z87" i="2"/>
  <c r="Z80" i="2"/>
  <c r="Y83" i="2"/>
  <c r="Y84" i="2"/>
  <c r="Z85" i="2"/>
  <c r="Y80" i="2"/>
  <c r="Y81" i="2"/>
  <c r="H75" i="2"/>
  <c r="V75" i="2" s="1"/>
  <c r="AM81" i="1"/>
  <c r="H81" i="2" s="1"/>
  <c r="AM84" i="1"/>
  <c r="H84" i="2" s="1"/>
  <c r="AM82" i="1"/>
  <c r="H82" i="2" s="1"/>
  <c r="AM78" i="1"/>
  <c r="AM79" i="1"/>
  <c r="H79" i="2" s="1"/>
  <c r="V79" i="2" s="1"/>
  <c r="AM83" i="1"/>
  <c r="H83" i="2" s="1"/>
  <c r="AM80" i="1"/>
  <c r="H80" i="2" s="1"/>
  <c r="AM77" i="1"/>
  <c r="H77" i="2" s="1"/>
  <c r="AM76" i="1"/>
  <c r="H76" i="2" s="1"/>
  <c r="E75" i="2"/>
  <c r="S75" i="2" s="1"/>
  <c r="AJ78" i="1"/>
  <c r="AJ79" i="1"/>
  <c r="E79" i="2" s="1"/>
  <c r="S79" i="2" s="1"/>
  <c r="AJ77" i="1"/>
  <c r="E77" i="2" s="1"/>
  <c r="AJ84" i="1"/>
  <c r="E84" i="2" s="1"/>
  <c r="S85" i="2" s="1"/>
  <c r="AJ81" i="1"/>
  <c r="E81" i="2" s="1"/>
  <c r="AJ80" i="1"/>
  <c r="E80" i="2" s="1"/>
  <c r="AJ83" i="1"/>
  <c r="E83" i="2" s="1"/>
  <c r="AJ82" i="1"/>
  <c r="E82" i="2" s="1"/>
  <c r="AJ76" i="1"/>
  <c r="E76" i="2" s="1"/>
  <c r="Z83" i="2"/>
  <c r="Z81" i="2"/>
  <c r="Y77" i="2"/>
  <c r="G73" i="2"/>
  <c r="U73" i="2" s="1"/>
  <c r="AL75" i="1"/>
  <c r="AN73" i="1"/>
  <c r="AN70" i="1"/>
  <c r="AN69" i="1"/>
  <c r="I69" i="2" s="1"/>
  <c r="AN68" i="1"/>
  <c r="I68" i="2" s="1"/>
  <c r="AI69" i="1"/>
  <c r="D69" i="2" s="1"/>
  <c r="AN71" i="1"/>
  <c r="I71" i="2" s="1"/>
  <c r="W71" i="2" s="1"/>
  <c r="AI70" i="1"/>
  <c r="AI68" i="1"/>
  <c r="D68" i="2" s="1"/>
  <c r="AL70" i="1"/>
  <c r="AL69" i="1"/>
  <c r="G69" i="2" s="1"/>
  <c r="AL68" i="1"/>
  <c r="G68" i="2" s="1"/>
  <c r="AO70" i="1"/>
  <c r="AO69" i="1"/>
  <c r="J69" i="2" s="1"/>
  <c r="AO68" i="1"/>
  <c r="J68" i="2" s="1"/>
  <c r="AK70" i="1"/>
  <c r="AK69" i="1"/>
  <c r="F69" i="2" s="1"/>
  <c r="AK68" i="1"/>
  <c r="F68" i="2" s="1"/>
  <c r="AI73" i="1"/>
  <c r="AK67" i="1"/>
  <c r="F67" i="2" s="1"/>
  <c r="AK66" i="1"/>
  <c r="F66" i="2" s="1"/>
  <c r="AK65" i="1"/>
  <c r="F65" i="2" s="1"/>
  <c r="AK64" i="1"/>
  <c r="F64" i="2" s="1"/>
  <c r="AN66" i="1"/>
  <c r="I66" i="2" s="1"/>
  <c r="AN67" i="1"/>
  <c r="I67" i="2" s="1"/>
  <c r="AN65" i="1"/>
  <c r="I65" i="2" s="1"/>
  <c r="AN64" i="1"/>
  <c r="I64" i="2" s="1"/>
  <c r="AI67" i="1"/>
  <c r="D67" i="2" s="1"/>
  <c r="AI66" i="1"/>
  <c r="D66" i="2" s="1"/>
  <c r="AI64" i="1"/>
  <c r="D64" i="2" s="1"/>
  <c r="AO67" i="1"/>
  <c r="J67" i="2" s="1"/>
  <c r="AO65" i="1"/>
  <c r="J65" i="2" s="1"/>
  <c r="AO66" i="1"/>
  <c r="J66" i="2" s="1"/>
  <c r="AO64" i="1"/>
  <c r="J64" i="2" s="1"/>
  <c r="AL65" i="1"/>
  <c r="G65" i="2" s="1"/>
  <c r="AL66" i="1"/>
  <c r="G66" i="2" s="1"/>
  <c r="AL67" i="1"/>
  <c r="G67" i="2" s="1"/>
  <c r="AL64" i="1"/>
  <c r="G64" i="2" s="1"/>
  <c r="AI65" i="1"/>
  <c r="D65" i="2" s="1"/>
  <c r="AI58" i="1"/>
  <c r="D58" i="2" s="1"/>
  <c r="AI45" i="1"/>
  <c r="D45" i="2" s="1"/>
  <c r="AI47" i="1"/>
  <c r="D47" i="2" s="1"/>
  <c r="AI43" i="1"/>
  <c r="D43" i="2" s="1"/>
  <c r="AI40" i="1"/>
  <c r="D40" i="2" s="1"/>
  <c r="AI51" i="1"/>
  <c r="D51" i="2" s="1"/>
  <c r="AI62" i="1"/>
  <c r="D62" i="2" s="1"/>
  <c r="AI46" i="1"/>
  <c r="D46" i="2" s="1"/>
  <c r="AI42" i="1"/>
  <c r="D42" i="2" s="1"/>
  <c r="AI57" i="1"/>
  <c r="D57" i="2" s="1"/>
  <c r="AI56" i="1"/>
  <c r="D56" i="2" s="1"/>
  <c r="AI60" i="1"/>
  <c r="D60" i="2" s="1"/>
  <c r="AI63" i="1"/>
  <c r="D63" i="2" s="1"/>
  <c r="AI48" i="1"/>
  <c r="D48" i="2" s="1"/>
  <c r="AI44" i="1"/>
  <c r="D44" i="2" s="1"/>
  <c r="AI52" i="1"/>
  <c r="D52" i="2" s="1"/>
  <c r="AI50" i="1"/>
  <c r="D50" i="2" s="1"/>
  <c r="AI53" i="1"/>
  <c r="D53" i="2" s="1"/>
  <c r="AI49" i="1"/>
  <c r="D49" i="2" s="1"/>
  <c r="AI59" i="1"/>
  <c r="D59" i="2" s="1"/>
  <c r="AI61" i="1"/>
  <c r="D61" i="2" s="1"/>
  <c r="AI41" i="1"/>
  <c r="D41" i="2" s="1"/>
  <c r="AI54" i="1"/>
  <c r="D54" i="2" s="1"/>
  <c r="AI55" i="1"/>
  <c r="D55" i="2" s="1"/>
  <c r="AI39" i="1"/>
  <c r="D39" i="2" s="1"/>
  <c r="AI38" i="1"/>
  <c r="D38" i="2" s="1"/>
  <c r="W16" i="2"/>
  <c r="AL62" i="1"/>
  <c r="G62" i="2" s="1"/>
  <c r="AL61" i="1"/>
  <c r="G61" i="2" s="1"/>
  <c r="AL53" i="1"/>
  <c r="G53" i="2" s="1"/>
  <c r="AL48" i="1"/>
  <c r="G48" i="2" s="1"/>
  <c r="AL56" i="1"/>
  <c r="G56" i="2" s="1"/>
  <c r="AL55" i="1"/>
  <c r="G55" i="2" s="1"/>
  <c r="AL51" i="1"/>
  <c r="G51" i="2" s="1"/>
  <c r="AL46" i="1"/>
  <c r="G46" i="2" s="1"/>
  <c r="AL44" i="1"/>
  <c r="G44" i="2" s="1"/>
  <c r="AL54" i="1"/>
  <c r="G54" i="2" s="1"/>
  <c r="AL49" i="1"/>
  <c r="G49" i="2" s="1"/>
  <c r="AL42" i="1"/>
  <c r="G42" i="2" s="1"/>
  <c r="AL52" i="1"/>
  <c r="G52" i="2" s="1"/>
  <c r="AL60" i="1"/>
  <c r="G60" i="2" s="1"/>
  <c r="AL45" i="1"/>
  <c r="G45" i="2" s="1"/>
  <c r="AL59" i="1"/>
  <c r="G59" i="2" s="1"/>
  <c r="AL40" i="1"/>
  <c r="G40" i="2" s="1"/>
  <c r="AL41" i="1"/>
  <c r="G41" i="2" s="1"/>
  <c r="AL47" i="1"/>
  <c r="G47" i="2" s="1"/>
  <c r="AL57" i="1"/>
  <c r="G57" i="2" s="1"/>
  <c r="AL43" i="1"/>
  <c r="G43" i="2" s="1"/>
  <c r="AL50" i="1"/>
  <c r="G50" i="2" s="1"/>
  <c r="AL58" i="1"/>
  <c r="G58" i="2" s="1"/>
  <c r="AL63" i="1"/>
  <c r="G63" i="2" s="1"/>
  <c r="AL39" i="1"/>
  <c r="G39" i="2" s="1"/>
  <c r="AL38" i="1"/>
  <c r="G38" i="2" s="1"/>
  <c r="AK63" i="1"/>
  <c r="F63" i="2" s="1"/>
  <c r="AK61" i="1"/>
  <c r="F61" i="2" s="1"/>
  <c r="AK60" i="1"/>
  <c r="F60" i="2" s="1"/>
  <c r="AK58" i="1"/>
  <c r="F58" i="2" s="1"/>
  <c r="AK48" i="1"/>
  <c r="F48" i="2" s="1"/>
  <c r="AK46" i="1"/>
  <c r="F46" i="2" s="1"/>
  <c r="AK44" i="1"/>
  <c r="F44" i="2" s="1"/>
  <c r="AK42" i="1"/>
  <c r="F42" i="2" s="1"/>
  <c r="AK53" i="1"/>
  <c r="F53" i="2" s="1"/>
  <c r="AK43" i="1"/>
  <c r="F43" i="2" s="1"/>
  <c r="AK49" i="1"/>
  <c r="F49" i="2" s="1"/>
  <c r="AK52" i="1"/>
  <c r="F52" i="2" s="1"/>
  <c r="T52" i="2" s="1"/>
  <c r="AK55" i="1"/>
  <c r="F55" i="2" s="1"/>
  <c r="AK57" i="1"/>
  <c r="F57" i="2" s="1"/>
  <c r="AK62" i="1"/>
  <c r="F62" i="2" s="1"/>
  <c r="AK47" i="1"/>
  <c r="F47" i="2" s="1"/>
  <c r="AK50" i="1"/>
  <c r="F50" i="2" s="1"/>
  <c r="AK59" i="1"/>
  <c r="F59" i="2" s="1"/>
  <c r="AK56" i="1"/>
  <c r="F56" i="2" s="1"/>
  <c r="AK54" i="1"/>
  <c r="F54" i="2" s="1"/>
  <c r="AK41" i="1"/>
  <c r="F41" i="2" s="1"/>
  <c r="AK45" i="1"/>
  <c r="F45" i="2" s="1"/>
  <c r="AK40" i="1"/>
  <c r="F40" i="2" s="1"/>
  <c r="AK39" i="1"/>
  <c r="F39" i="2" s="1"/>
  <c r="AK38" i="1"/>
  <c r="F38" i="2" s="1"/>
  <c r="X17" i="2"/>
  <c r="AN53" i="1"/>
  <c r="I53" i="2" s="1"/>
  <c r="AN52" i="1"/>
  <c r="I52" i="2" s="1"/>
  <c r="AN48" i="1"/>
  <c r="I48" i="2" s="1"/>
  <c r="AN61" i="1"/>
  <c r="I61" i="2" s="1"/>
  <c r="AN44" i="1"/>
  <c r="I44" i="2" s="1"/>
  <c r="AN59" i="1"/>
  <c r="I59" i="2" s="1"/>
  <c r="AN42" i="1"/>
  <c r="I42" i="2" s="1"/>
  <c r="AN55" i="1"/>
  <c r="I55" i="2" s="1"/>
  <c r="AN50" i="1"/>
  <c r="I50" i="2" s="1"/>
  <c r="AN58" i="1"/>
  <c r="I58" i="2" s="1"/>
  <c r="AN63" i="1"/>
  <c r="I63" i="2" s="1"/>
  <c r="AN46" i="1"/>
  <c r="I46" i="2" s="1"/>
  <c r="AN41" i="1"/>
  <c r="I41" i="2" s="1"/>
  <c r="AN47" i="1"/>
  <c r="I47" i="2" s="1"/>
  <c r="AN40" i="1"/>
  <c r="I40" i="2" s="1"/>
  <c r="AN54" i="1"/>
  <c r="I54" i="2" s="1"/>
  <c r="AN56" i="1"/>
  <c r="I56" i="2" s="1"/>
  <c r="AN57" i="1"/>
  <c r="I57" i="2" s="1"/>
  <c r="AN60" i="1"/>
  <c r="I60" i="2" s="1"/>
  <c r="AN43" i="1"/>
  <c r="I43" i="2" s="1"/>
  <c r="AN45" i="1"/>
  <c r="I45" i="2" s="1"/>
  <c r="W45" i="2" s="1"/>
  <c r="AN49" i="1"/>
  <c r="I49" i="2" s="1"/>
  <c r="AN51" i="1"/>
  <c r="I51" i="2" s="1"/>
  <c r="AN62" i="1"/>
  <c r="I62" i="2" s="1"/>
  <c r="AN39" i="1"/>
  <c r="I39" i="2" s="1"/>
  <c r="AN38" i="1"/>
  <c r="I38" i="2" s="1"/>
  <c r="AO61" i="1"/>
  <c r="J61" i="2" s="1"/>
  <c r="AO58" i="1"/>
  <c r="J58" i="2" s="1"/>
  <c r="AO55" i="1"/>
  <c r="J55" i="2" s="1"/>
  <c r="AO60" i="1"/>
  <c r="J60" i="2" s="1"/>
  <c r="AO63" i="1"/>
  <c r="J63" i="2" s="1"/>
  <c r="AO48" i="1"/>
  <c r="J48" i="2" s="1"/>
  <c r="AO52" i="1"/>
  <c r="J52" i="2" s="1"/>
  <c r="X52" i="2" s="1"/>
  <c r="AO44" i="1"/>
  <c r="J44" i="2" s="1"/>
  <c r="AO50" i="1"/>
  <c r="J50" i="2" s="1"/>
  <c r="AO59" i="1"/>
  <c r="J59" i="2" s="1"/>
  <c r="X59" i="2" s="1"/>
  <c r="AO42" i="1"/>
  <c r="J42" i="2" s="1"/>
  <c r="AO57" i="1"/>
  <c r="J57" i="2" s="1"/>
  <c r="AO62" i="1"/>
  <c r="J62" i="2" s="1"/>
  <c r="AO41" i="1"/>
  <c r="J41" i="2" s="1"/>
  <c r="AO46" i="1"/>
  <c r="J46" i="2" s="1"/>
  <c r="AO45" i="1"/>
  <c r="J45" i="2" s="1"/>
  <c r="AO40" i="1"/>
  <c r="J40" i="2" s="1"/>
  <c r="AO47" i="1"/>
  <c r="J47" i="2" s="1"/>
  <c r="AO53" i="1"/>
  <c r="J53" i="2" s="1"/>
  <c r="AO56" i="1"/>
  <c r="J56" i="2" s="1"/>
  <c r="AO54" i="1"/>
  <c r="J54" i="2" s="1"/>
  <c r="AO43" i="1"/>
  <c r="J43" i="2" s="1"/>
  <c r="AO49" i="1"/>
  <c r="J49" i="2" s="1"/>
  <c r="AO39" i="1"/>
  <c r="J39" i="2" s="1"/>
  <c r="AO38" i="1"/>
  <c r="J38" i="2" s="1"/>
  <c r="AL32" i="1"/>
  <c r="G32" i="2" s="1"/>
  <c r="AL30" i="1"/>
  <c r="G30" i="2" s="1"/>
  <c r="AL37" i="1"/>
  <c r="G37" i="2" s="1"/>
  <c r="AL31" i="1"/>
  <c r="G31" i="2" s="1"/>
  <c r="AL33" i="1"/>
  <c r="G33" i="2" s="1"/>
  <c r="AL29" i="1"/>
  <c r="G29" i="2" s="1"/>
  <c r="AL36" i="1"/>
  <c r="G36" i="2" s="1"/>
  <c r="AL35" i="1"/>
  <c r="G35" i="2" s="1"/>
  <c r="AL34" i="1"/>
  <c r="G34" i="2" s="1"/>
  <c r="AL28" i="1"/>
  <c r="G28" i="2" s="1"/>
  <c r="AN37" i="1"/>
  <c r="I37" i="2" s="1"/>
  <c r="AN34" i="1"/>
  <c r="I34" i="2" s="1"/>
  <c r="AN31" i="1"/>
  <c r="I31" i="2" s="1"/>
  <c r="W32" i="2" s="1"/>
  <c r="AN33" i="1"/>
  <c r="I33" i="2" s="1"/>
  <c r="W33" i="2" s="1"/>
  <c r="AN35" i="1"/>
  <c r="I35" i="2" s="1"/>
  <c r="AN30" i="1"/>
  <c r="I30" i="2" s="1"/>
  <c r="AN29" i="1"/>
  <c r="I29" i="2" s="1"/>
  <c r="AN28" i="1"/>
  <c r="I28" i="2" s="1"/>
  <c r="AO32" i="1"/>
  <c r="J32" i="2" s="1"/>
  <c r="AO36" i="1"/>
  <c r="J36" i="2" s="1"/>
  <c r="AO35" i="1"/>
  <c r="J35" i="2" s="1"/>
  <c r="AO30" i="1"/>
  <c r="J30" i="2" s="1"/>
  <c r="AO34" i="1"/>
  <c r="J34" i="2" s="1"/>
  <c r="AO33" i="1"/>
  <c r="J33" i="2" s="1"/>
  <c r="AO31" i="1"/>
  <c r="J31" i="2" s="1"/>
  <c r="AO28" i="1"/>
  <c r="J28" i="2" s="1"/>
  <c r="AO37" i="1"/>
  <c r="J37" i="2" s="1"/>
  <c r="AO29" i="1"/>
  <c r="J29" i="2" s="1"/>
  <c r="U16" i="2"/>
  <c r="AI31" i="1"/>
  <c r="D31" i="2" s="1"/>
  <c r="AI28" i="1"/>
  <c r="D28" i="2" s="1"/>
  <c r="AI36" i="1"/>
  <c r="D36" i="2" s="1"/>
  <c r="AI29" i="1"/>
  <c r="D29" i="2" s="1"/>
  <c r="AI37" i="1"/>
  <c r="D37" i="2" s="1"/>
  <c r="AI30" i="1"/>
  <c r="D30" i="2" s="1"/>
  <c r="AI33" i="1"/>
  <c r="D33" i="2" s="1"/>
  <c r="AI32" i="1"/>
  <c r="D32" i="2" s="1"/>
  <c r="AI34" i="1"/>
  <c r="D34" i="2" s="1"/>
  <c r="AI35" i="1"/>
  <c r="D35" i="2" s="1"/>
  <c r="T17" i="2"/>
  <c r="AK35" i="1"/>
  <c r="F35" i="2" s="1"/>
  <c r="AK32" i="1"/>
  <c r="F32" i="2" s="1"/>
  <c r="AK33" i="1"/>
  <c r="F33" i="2" s="1"/>
  <c r="AK34" i="1"/>
  <c r="F34" i="2" s="1"/>
  <c r="AK29" i="1"/>
  <c r="F29" i="2" s="1"/>
  <c r="AK28" i="1"/>
  <c r="F28" i="2" s="1"/>
  <c r="AK31" i="1"/>
  <c r="F31" i="2" s="1"/>
  <c r="AK37" i="1"/>
  <c r="F37" i="2" s="1"/>
  <c r="AK36" i="1"/>
  <c r="F36" i="2" s="1"/>
  <c r="AK30" i="1"/>
  <c r="F30" i="2" s="1"/>
  <c r="AN27" i="1"/>
  <c r="I27" i="2" s="1"/>
  <c r="AN26" i="1"/>
  <c r="I26" i="2" s="1"/>
  <c r="AN22" i="1"/>
  <c r="I22" i="2" s="1"/>
  <c r="AN25" i="1"/>
  <c r="I25" i="2" s="1"/>
  <c r="AN23" i="1"/>
  <c r="I23" i="2" s="1"/>
  <c r="AN24" i="1"/>
  <c r="I24" i="2" s="1"/>
  <c r="AN21" i="1"/>
  <c r="I21" i="2" s="1"/>
  <c r="AO26" i="1"/>
  <c r="J26" i="2" s="1"/>
  <c r="AO27" i="1"/>
  <c r="J27" i="2" s="1"/>
  <c r="AO24" i="1"/>
  <c r="J24" i="2" s="1"/>
  <c r="AO25" i="1"/>
  <c r="J25" i="2" s="1"/>
  <c r="AO22" i="1"/>
  <c r="J22" i="2" s="1"/>
  <c r="AO23" i="1"/>
  <c r="J23" i="2" s="1"/>
  <c r="AO21" i="1"/>
  <c r="J21" i="2" s="1"/>
  <c r="AL27" i="1"/>
  <c r="G27" i="2" s="1"/>
  <c r="AL26" i="1"/>
  <c r="G26" i="2" s="1"/>
  <c r="AL25" i="1"/>
  <c r="G25" i="2" s="1"/>
  <c r="AL24" i="1"/>
  <c r="G24" i="2" s="1"/>
  <c r="AL23" i="1"/>
  <c r="G23" i="2" s="1"/>
  <c r="AL22" i="1"/>
  <c r="G22" i="2" s="1"/>
  <c r="AL21" i="1"/>
  <c r="G21" i="2" s="1"/>
  <c r="AK26" i="1"/>
  <c r="F26" i="2" s="1"/>
  <c r="AK27" i="1"/>
  <c r="F27" i="2" s="1"/>
  <c r="AK23" i="1"/>
  <c r="F23" i="2" s="1"/>
  <c r="AK24" i="1"/>
  <c r="F24" i="2" s="1"/>
  <c r="AK25" i="1"/>
  <c r="F25" i="2" s="1"/>
  <c r="AK22" i="1"/>
  <c r="F22" i="2" s="1"/>
  <c r="AK21" i="1"/>
  <c r="F21" i="2" s="1"/>
  <c r="R15" i="2"/>
  <c r="U17" i="2"/>
  <c r="AI27" i="1"/>
  <c r="D27" i="2" s="1"/>
  <c r="AI26" i="1"/>
  <c r="D26" i="2" s="1"/>
  <c r="AI24" i="1"/>
  <c r="D24" i="2" s="1"/>
  <c r="AI22" i="1"/>
  <c r="D22" i="2" s="1"/>
  <c r="AI23" i="1"/>
  <c r="D23" i="2" s="1"/>
  <c r="AI25" i="1"/>
  <c r="D25" i="2" s="1"/>
  <c r="AI21" i="1"/>
  <c r="D21" i="2" s="1"/>
  <c r="R16" i="2"/>
  <c r="G18" i="2"/>
  <c r="F18" i="2"/>
  <c r="D18" i="2"/>
  <c r="W15" i="2"/>
  <c r="U15" i="2"/>
  <c r="I18" i="2"/>
  <c r="J18" i="2"/>
  <c r="W17" i="2"/>
  <c r="R17" i="2"/>
  <c r="R14" i="2"/>
  <c r="W14" i="2"/>
  <c r="W12" i="2"/>
  <c r="T11" i="2"/>
  <c r="T12" i="2"/>
  <c r="U14" i="2"/>
  <c r="T14" i="2"/>
  <c r="X14" i="2"/>
  <c r="X13" i="2"/>
  <c r="Z11" i="2"/>
  <c r="Z12" i="2"/>
  <c r="R12" i="2"/>
  <c r="R13" i="2"/>
  <c r="X12" i="2"/>
  <c r="U13" i="2"/>
  <c r="W13" i="2"/>
  <c r="U12" i="2"/>
  <c r="T13" i="2"/>
  <c r="Z24" i="2"/>
  <c r="Z27" i="2"/>
  <c r="Z25" i="2"/>
  <c r="Z31" i="2"/>
  <c r="Z26" i="2"/>
  <c r="Z32" i="2"/>
  <c r="Z28" i="2"/>
  <c r="S93" i="2" l="1"/>
  <c r="S100" i="2"/>
  <c r="S101" i="2"/>
  <c r="S102" i="2"/>
  <c r="X45" i="2"/>
  <c r="S103" i="2"/>
  <c r="T36" i="2"/>
  <c r="S80" i="2"/>
  <c r="V85" i="2"/>
  <c r="V94" i="2"/>
  <c r="V98" i="2"/>
  <c r="S96" i="2"/>
  <c r="S98" i="2"/>
  <c r="V95" i="2"/>
  <c r="V99" i="2"/>
  <c r="S90" i="2"/>
  <c r="V92" i="2"/>
  <c r="S92" i="2"/>
  <c r="S94" i="2"/>
  <c r="S99" i="2"/>
  <c r="V96" i="2"/>
  <c r="V100" i="2"/>
  <c r="V91" i="2"/>
  <c r="S91" i="2"/>
  <c r="S89" i="2"/>
  <c r="V93" i="2"/>
  <c r="V89" i="2"/>
  <c r="V86" i="2"/>
  <c r="T25" i="2"/>
  <c r="S87" i="2"/>
  <c r="R29" i="2"/>
  <c r="V90" i="2"/>
  <c r="S76" i="2"/>
  <c r="S88" i="2"/>
  <c r="S83" i="2"/>
  <c r="V76" i="2"/>
  <c r="S86" i="2"/>
  <c r="V87" i="2"/>
  <c r="V88" i="2"/>
  <c r="AL85" i="1"/>
  <c r="G85" i="2" s="1"/>
  <c r="AL86" i="1"/>
  <c r="G86" i="2" s="1"/>
  <c r="X49" i="2"/>
  <c r="W56" i="2"/>
  <c r="T60" i="2"/>
  <c r="U43" i="2"/>
  <c r="R55" i="2"/>
  <c r="R65" i="2"/>
  <c r="S77" i="2"/>
  <c r="V81" i="2"/>
  <c r="R41" i="2"/>
  <c r="U67" i="2"/>
  <c r="X66" i="2"/>
  <c r="W67" i="2"/>
  <c r="V77" i="2"/>
  <c r="R34" i="2"/>
  <c r="R31" i="2"/>
  <c r="X46" i="2"/>
  <c r="W39" i="2"/>
  <c r="W50" i="2"/>
  <c r="W53" i="2"/>
  <c r="T56" i="2"/>
  <c r="T49" i="2"/>
  <c r="U52" i="2"/>
  <c r="U56" i="2"/>
  <c r="R52" i="2"/>
  <c r="R46" i="2"/>
  <c r="X67" i="2"/>
  <c r="T64" i="2"/>
  <c r="D73" i="2"/>
  <c r="R73" i="2" s="1"/>
  <c r="AI75" i="1"/>
  <c r="S81" i="2"/>
  <c r="V80" i="2"/>
  <c r="V82" i="2"/>
  <c r="AL81" i="1"/>
  <c r="G81" i="2" s="1"/>
  <c r="AL84" i="1"/>
  <c r="G84" i="2" s="1"/>
  <c r="AL82" i="1"/>
  <c r="G82" i="2" s="1"/>
  <c r="AL80" i="1"/>
  <c r="G80" i="2" s="1"/>
  <c r="U80" i="2" s="1"/>
  <c r="AL83" i="1"/>
  <c r="G83" i="2" s="1"/>
  <c r="R25" i="2"/>
  <c r="W26" i="2"/>
  <c r="R27" i="2"/>
  <c r="U24" i="2"/>
  <c r="X25" i="2"/>
  <c r="R33" i="2"/>
  <c r="R30" i="2"/>
  <c r="X32" i="2"/>
  <c r="W29" i="2"/>
  <c r="U32" i="2"/>
  <c r="X58" i="2"/>
  <c r="W43" i="2"/>
  <c r="W61" i="2"/>
  <c r="T59" i="2"/>
  <c r="T43" i="2"/>
  <c r="U59" i="2"/>
  <c r="U42" i="2"/>
  <c r="U46" i="2"/>
  <c r="U48" i="2"/>
  <c r="R49" i="2"/>
  <c r="R62" i="2"/>
  <c r="X64" i="2"/>
  <c r="R64" i="2"/>
  <c r="T68" i="2"/>
  <c r="R69" i="2"/>
  <c r="I73" i="2"/>
  <c r="W73" i="2" s="1"/>
  <c r="AN75" i="1"/>
  <c r="S82" i="2"/>
  <c r="S84" i="2"/>
  <c r="V83" i="2"/>
  <c r="V84" i="2"/>
  <c r="X69" i="2"/>
  <c r="X71" i="2"/>
  <c r="U68" i="2"/>
  <c r="W68" i="2"/>
  <c r="T23" i="2"/>
  <c r="X26" i="2"/>
  <c r="T30" i="2"/>
  <c r="X29" i="2"/>
  <c r="W28" i="2"/>
  <c r="U31" i="2"/>
  <c r="X53" i="2"/>
  <c r="X42" i="2"/>
  <c r="X55" i="2"/>
  <c r="W41" i="2"/>
  <c r="W44" i="2"/>
  <c r="T40" i="2"/>
  <c r="T62" i="2"/>
  <c r="T44" i="2"/>
  <c r="U39" i="2"/>
  <c r="U62" i="2"/>
  <c r="R59" i="2"/>
  <c r="R43" i="2"/>
  <c r="U65" i="2"/>
  <c r="W64" i="2"/>
  <c r="U69" i="2"/>
  <c r="W69" i="2"/>
  <c r="X68" i="2"/>
  <c r="T69" i="2"/>
  <c r="U71" i="2"/>
  <c r="X24" i="2"/>
  <c r="W52" i="2"/>
  <c r="T54" i="2"/>
  <c r="U50" i="2"/>
  <c r="T71" i="2"/>
  <c r="R68" i="2"/>
  <c r="R71" i="2"/>
  <c r="W65" i="2"/>
  <c r="X39" i="2"/>
  <c r="X65" i="2"/>
  <c r="W66" i="2"/>
  <c r="X31" i="2"/>
  <c r="X41" i="2"/>
  <c r="W62" i="2"/>
  <c r="R54" i="2"/>
  <c r="U64" i="2"/>
  <c r="T65" i="2"/>
  <c r="X62" i="2"/>
  <c r="R66" i="2"/>
  <c r="T66" i="2"/>
  <c r="U33" i="2"/>
  <c r="U25" i="2"/>
  <c r="W27" i="2"/>
  <c r="T33" i="2"/>
  <c r="W49" i="2"/>
  <c r="T39" i="2"/>
  <c r="T42" i="2"/>
  <c r="U54" i="2"/>
  <c r="U66" i="2"/>
  <c r="R67" i="2"/>
  <c r="T67" i="2"/>
  <c r="U40" i="2"/>
  <c r="U44" i="2"/>
  <c r="U30" i="2"/>
  <c r="R32" i="2"/>
  <c r="T29" i="2"/>
  <c r="X43" i="2"/>
  <c r="X48" i="2"/>
  <c r="W54" i="2"/>
  <c r="W55" i="2"/>
  <c r="T61" i="2"/>
  <c r="U63" i="2"/>
  <c r="U57" i="2"/>
  <c r="R44" i="2"/>
  <c r="R56" i="2"/>
  <c r="R47" i="2"/>
  <c r="T26" i="2"/>
  <c r="W24" i="2"/>
  <c r="R36" i="2"/>
  <c r="X33" i="2"/>
  <c r="W30" i="2"/>
  <c r="U35" i="2"/>
  <c r="X38" i="2"/>
  <c r="X54" i="2"/>
  <c r="X40" i="2"/>
  <c r="X50" i="2"/>
  <c r="X51" i="2"/>
  <c r="X63" i="2"/>
  <c r="X61" i="2"/>
  <c r="W51" i="2"/>
  <c r="W60" i="2"/>
  <c r="W40" i="2"/>
  <c r="W63" i="2"/>
  <c r="W42" i="2"/>
  <c r="W48" i="2"/>
  <c r="T38" i="2"/>
  <c r="T41" i="2"/>
  <c r="T50" i="2"/>
  <c r="T51" i="2"/>
  <c r="T55" i="2"/>
  <c r="T53" i="2"/>
  <c r="T48" i="2"/>
  <c r="T63" i="2"/>
  <c r="U58" i="2"/>
  <c r="U47" i="2"/>
  <c r="U45" i="2"/>
  <c r="U49" i="2"/>
  <c r="U51" i="2"/>
  <c r="U53" i="2"/>
  <c r="R38" i="2"/>
  <c r="R53" i="2"/>
  <c r="R48" i="2"/>
  <c r="R57" i="2"/>
  <c r="R51" i="2"/>
  <c r="R45" i="2"/>
  <c r="U29" i="2"/>
  <c r="R60" i="2"/>
  <c r="U28" i="2"/>
  <c r="X47" i="2"/>
  <c r="W46" i="2"/>
  <c r="T45" i="2"/>
  <c r="T57" i="2"/>
  <c r="T46" i="2"/>
  <c r="X28" i="2"/>
  <c r="W23" i="2"/>
  <c r="T32" i="2"/>
  <c r="R35" i="2"/>
  <c r="R28" i="2"/>
  <c r="X56" i="2"/>
  <c r="X57" i="2"/>
  <c r="X44" i="2"/>
  <c r="X60" i="2"/>
  <c r="W38" i="2"/>
  <c r="W57" i="2"/>
  <c r="W47" i="2"/>
  <c r="W58" i="2"/>
  <c r="W59" i="2"/>
  <c r="T47" i="2"/>
  <c r="T58" i="2"/>
  <c r="U38" i="2"/>
  <c r="U41" i="2"/>
  <c r="U60" i="2"/>
  <c r="U55" i="2"/>
  <c r="U61" i="2"/>
  <c r="R39" i="2"/>
  <c r="R61" i="2"/>
  <c r="R50" i="2"/>
  <c r="R63" i="2"/>
  <c r="R42" i="2"/>
  <c r="R40" i="2"/>
  <c r="R58" i="2"/>
  <c r="U36" i="2"/>
  <c r="W31" i="2"/>
  <c r="X22" i="2"/>
  <c r="X30" i="2"/>
  <c r="R24" i="2"/>
  <c r="X35" i="2"/>
  <c r="T31" i="2"/>
  <c r="T34" i="2"/>
  <c r="X36" i="2"/>
  <c r="W34" i="2"/>
  <c r="T37" i="2"/>
  <c r="W35" i="2"/>
  <c r="W36" i="2"/>
  <c r="T24" i="2"/>
  <c r="U26" i="2"/>
  <c r="R37" i="2"/>
  <c r="T27" i="2"/>
  <c r="X34" i="2"/>
  <c r="X37" i="2"/>
  <c r="W37" i="2"/>
  <c r="U37" i="2"/>
  <c r="R23" i="2"/>
  <c r="R26" i="2"/>
  <c r="T28" i="2"/>
  <c r="T35" i="2"/>
  <c r="U34" i="2"/>
  <c r="W25" i="2"/>
  <c r="T22" i="2"/>
  <c r="W22" i="2"/>
  <c r="U22" i="2"/>
  <c r="U23" i="2"/>
  <c r="X23" i="2"/>
  <c r="R22" i="2"/>
  <c r="U27" i="2"/>
  <c r="X27" i="2"/>
  <c r="AN104" i="1" l="1"/>
  <c r="I104" i="2" s="1"/>
  <c r="W104" i="2" s="1"/>
  <c r="AN101" i="1"/>
  <c r="I101" i="2" s="1"/>
  <c r="AI104" i="1"/>
  <c r="D104" i="2" s="1"/>
  <c r="R104" i="2" s="1"/>
  <c r="AI103" i="1"/>
  <c r="D103" i="2" s="1"/>
  <c r="AI102" i="1"/>
  <c r="D102" i="2" s="1"/>
  <c r="R102" i="2" s="1"/>
  <c r="AI101" i="1"/>
  <c r="D101" i="2" s="1"/>
  <c r="AI100" i="1"/>
  <c r="D100" i="2" s="1"/>
  <c r="AI99" i="1"/>
  <c r="D99" i="2" s="1"/>
  <c r="AI98" i="1"/>
  <c r="D98" i="2" s="1"/>
  <c r="AI97" i="1"/>
  <c r="D97" i="2" s="1"/>
  <c r="R97" i="2" s="1"/>
  <c r="AI94" i="1"/>
  <c r="D94" i="2" s="1"/>
  <c r="AI96" i="1"/>
  <c r="D96" i="2" s="1"/>
  <c r="AI95" i="1"/>
  <c r="D95" i="2" s="1"/>
  <c r="AN100" i="1"/>
  <c r="I100" i="2" s="1"/>
  <c r="AN99" i="1"/>
  <c r="I99" i="2" s="1"/>
  <c r="AN98" i="1"/>
  <c r="I98" i="2" s="1"/>
  <c r="AN97" i="1"/>
  <c r="I97" i="2" s="1"/>
  <c r="W97" i="2" s="1"/>
  <c r="AN95" i="1"/>
  <c r="I95" i="2" s="1"/>
  <c r="AN94" i="1"/>
  <c r="I94" i="2" s="1"/>
  <c r="AN96" i="1"/>
  <c r="I96" i="2" s="1"/>
  <c r="AI93" i="1"/>
  <c r="D93" i="2" s="1"/>
  <c r="AI92" i="1"/>
  <c r="D92" i="2" s="1"/>
  <c r="AI91" i="1"/>
  <c r="D91" i="2" s="1"/>
  <c r="AN90" i="1"/>
  <c r="I90" i="2" s="1"/>
  <c r="W90" i="2" s="1"/>
  <c r="AN93" i="1"/>
  <c r="I93" i="2" s="1"/>
  <c r="AN92" i="1"/>
  <c r="I92" i="2" s="1"/>
  <c r="W92" i="2" s="1"/>
  <c r="AN91" i="1"/>
  <c r="I91" i="2" s="1"/>
  <c r="AI89" i="1"/>
  <c r="D89" i="2" s="1"/>
  <c r="AI90" i="1"/>
  <c r="D90" i="2" s="1"/>
  <c r="AN89" i="1"/>
  <c r="I89" i="2" s="1"/>
  <c r="AN88" i="1"/>
  <c r="I88" i="2" s="1"/>
  <c r="AN87" i="1"/>
  <c r="I87" i="2" s="1"/>
  <c r="AI85" i="1"/>
  <c r="D85" i="2" s="1"/>
  <c r="AI87" i="1"/>
  <c r="D87" i="2" s="1"/>
  <c r="AI88" i="1"/>
  <c r="D88" i="2" s="1"/>
  <c r="AI86" i="1"/>
  <c r="D86" i="2" s="1"/>
  <c r="AN85" i="1"/>
  <c r="I85" i="2" s="1"/>
  <c r="AN86" i="1"/>
  <c r="I86" i="2" s="1"/>
  <c r="U87" i="2"/>
  <c r="U86" i="2"/>
  <c r="U82" i="2"/>
  <c r="U84" i="2"/>
  <c r="U85" i="2"/>
  <c r="AN81" i="1"/>
  <c r="I81" i="2" s="1"/>
  <c r="AN79" i="1"/>
  <c r="I79" i="2" s="1"/>
  <c r="W79" i="2" s="1"/>
  <c r="AN82" i="1"/>
  <c r="I82" i="2" s="1"/>
  <c r="AN83" i="1"/>
  <c r="I83" i="2" s="1"/>
  <c r="AN84" i="1"/>
  <c r="I84" i="2" s="1"/>
  <c r="AN80" i="1"/>
  <c r="I80" i="2" s="1"/>
  <c r="W80" i="2" s="1"/>
  <c r="U83" i="2"/>
  <c r="U81" i="2"/>
  <c r="AI79" i="1"/>
  <c r="D79" i="2" s="1"/>
  <c r="R79" i="2" s="1"/>
  <c r="AI80" i="1"/>
  <c r="D80" i="2" s="1"/>
  <c r="R80" i="2" s="1"/>
  <c r="AI84" i="1"/>
  <c r="D84" i="2" s="1"/>
  <c r="AI82" i="1"/>
  <c r="D82" i="2" s="1"/>
  <c r="AI83" i="1"/>
  <c r="D83" i="2" s="1"/>
  <c r="AI81" i="1"/>
  <c r="D81" i="2" s="1"/>
  <c r="R81" i="2" s="1"/>
  <c r="R95" i="2" l="1"/>
  <c r="W100" i="2"/>
  <c r="R101" i="2"/>
  <c r="R103" i="2"/>
  <c r="W95" i="2"/>
  <c r="W102" i="2"/>
  <c r="W101" i="2"/>
  <c r="R98" i="2"/>
  <c r="W83" i="2"/>
  <c r="W96" i="2"/>
  <c r="W98" i="2"/>
  <c r="R96" i="2"/>
  <c r="R99" i="2"/>
  <c r="R93" i="2"/>
  <c r="R85" i="2"/>
  <c r="W94" i="2"/>
  <c r="W99" i="2"/>
  <c r="R94" i="2"/>
  <c r="R100" i="2"/>
  <c r="W91" i="2"/>
  <c r="R91" i="2"/>
  <c r="R92" i="2"/>
  <c r="W85" i="2"/>
  <c r="W93" i="2"/>
  <c r="W86" i="2"/>
  <c r="R87" i="2"/>
  <c r="W89" i="2"/>
  <c r="R90" i="2"/>
  <c r="R88" i="2"/>
  <c r="R89" i="2"/>
  <c r="W87" i="2"/>
  <c r="W88" i="2"/>
  <c r="W82" i="2"/>
  <c r="R86" i="2"/>
  <c r="R82" i="2"/>
  <c r="R84" i="2"/>
  <c r="R83" i="2"/>
  <c r="W84" i="2"/>
  <c r="W81" i="2"/>
  <c r="AG102" i="1" l="1"/>
  <c r="AP102" i="1" s="1"/>
  <c r="K102" i="2" s="1"/>
  <c r="Y103" i="2" s="1"/>
  <c r="AD102" i="1"/>
  <c r="AM102" i="1" s="1"/>
  <c r="H102" i="2" s="1"/>
  <c r="V103" i="2" s="1"/>
  <c r="BJ102" i="1"/>
  <c r="T102" i="3" s="1"/>
  <c r="Y101" i="2" l="1"/>
  <c r="AG101" i="1"/>
  <c r="AP101" i="1"/>
  <c r="K101" i="2"/>
  <c r="Y102" i="2"/>
  <c r="V102" i="2"/>
  <c r="AD101" i="1"/>
  <c r="AM101" i="1"/>
  <c r="H101" i="2"/>
  <c r="V101" i="2"/>
  <c r="T101" i="3"/>
  <c r="V101" i="1"/>
  <c r="BJ101" i="1"/>
</calcChain>
</file>

<file path=xl/sharedStrings.xml><?xml version="1.0" encoding="utf-8"?>
<sst xmlns="http://schemas.openxmlformats.org/spreadsheetml/2006/main" count="339" uniqueCount="84">
  <si>
    <t>PM</t>
  </si>
  <si>
    <t>Point bas gauche</t>
  </si>
  <si>
    <t>Point centre haut</t>
  </si>
  <si>
    <t>Point bas droit</t>
  </si>
  <si>
    <t>Différences</t>
  </si>
  <si>
    <t>X</t>
  </si>
  <si>
    <t>Y</t>
  </si>
  <si>
    <t>Z</t>
  </si>
  <si>
    <t>H</t>
  </si>
  <si>
    <t>Laboratoire ANDRA - Bure</t>
  </si>
  <si>
    <t>Temps (j)</t>
  </si>
  <si>
    <t>Date</t>
  </si>
  <si>
    <t>Toutes les valeurs de déplacement sont en mm</t>
  </si>
  <si>
    <t>jours écoulés</t>
  </si>
  <si>
    <t>Point haut gauche</t>
  </si>
  <si>
    <t>Point haut droit</t>
  </si>
  <si>
    <t>BG</t>
  </si>
  <si>
    <t>BD</t>
  </si>
  <si>
    <t>LB</t>
  </si>
  <si>
    <t>HG</t>
  </si>
  <si>
    <t>HD</t>
  </si>
  <si>
    <t>LH</t>
  </si>
  <si>
    <t>V</t>
  </si>
  <si>
    <r>
      <t>D</t>
    </r>
    <r>
      <rPr>
        <b/>
        <sz val="12"/>
        <rFont val="Arial"/>
        <family val="2"/>
      </rPr>
      <t>X</t>
    </r>
  </si>
  <si>
    <r>
      <t>D</t>
    </r>
    <r>
      <rPr>
        <b/>
        <sz val="12"/>
        <rFont val="Arial"/>
        <family val="2"/>
      </rPr>
      <t>Y</t>
    </r>
  </si>
  <si>
    <r>
      <t>D</t>
    </r>
    <r>
      <rPr>
        <b/>
        <sz val="12"/>
        <rFont val="Arial"/>
        <family val="2"/>
      </rPr>
      <t>Z</t>
    </r>
  </si>
  <si>
    <r>
      <t>D</t>
    </r>
    <r>
      <rPr>
        <b/>
        <sz val="12"/>
        <rFont val="Arial"/>
        <family val="2"/>
      </rPr>
      <t>H</t>
    </r>
  </si>
  <si>
    <r>
      <t>D</t>
    </r>
    <r>
      <rPr>
        <b/>
        <sz val="12"/>
        <rFont val="Arial"/>
        <family val="2"/>
      </rPr>
      <t>PM</t>
    </r>
  </si>
  <si>
    <r>
      <t>D</t>
    </r>
    <r>
      <rPr>
        <b/>
        <sz val="12"/>
        <rFont val="Arial"/>
        <family val="2"/>
      </rPr>
      <t>PM bas gauche</t>
    </r>
  </si>
  <si>
    <r>
      <t>D</t>
    </r>
    <r>
      <rPr>
        <b/>
        <sz val="12"/>
        <rFont val="Arial"/>
        <family val="2"/>
      </rPr>
      <t>H bas gauche</t>
    </r>
  </si>
  <si>
    <r>
      <t>D</t>
    </r>
    <r>
      <rPr>
        <b/>
        <sz val="12"/>
        <rFont val="Arial"/>
        <family val="2"/>
      </rPr>
      <t>Z bas gauche</t>
    </r>
  </si>
  <si>
    <r>
      <t>D</t>
    </r>
    <r>
      <rPr>
        <b/>
        <sz val="12"/>
        <rFont val="Arial"/>
        <family val="2"/>
      </rPr>
      <t>PM haut gauche</t>
    </r>
  </si>
  <si>
    <r>
      <t>D</t>
    </r>
    <r>
      <rPr>
        <b/>
        <sz val="12"/>
        <rFont val="Arial"/>
        <family val="2"/>
      </rPr>
      <t>H haut gauche</t>
    </r>
  </si>
  <si>
    <r>
      <t>D</t>
    </r>
    <r>
      <rPr>
        <b/>
        <sz val="12"/>
        <rFont val="Arial"/>
        <family val="2"/>
      </rPr>
      <t>Z haut gauche</t>
    </r>
  </si>
  <si>
    <r>
      <t>D</t>
    </r>
    <r>
      <rPr>
        <b/>
        <sz val="12"/>
        <rFont val="Arial"/>
        <family val="2"/>
      </rPr>
      <t>PM centre haut</t>
    </r>
  </si>
  <si>
    <r>
      <t>D</t>
    </r>
    <r>
      <rPr>
        <b/>
        <sz val="12"/>
        <rFont val="Arial"/>
        <family val="2"/>
      </rPr>
      <t>H centre haut</t>
    </r>
  </si>
  <si>
    <r>
      <t>D</t>
    </r>
    <r>
      <rPr>
        <b/>
        <sz val="12"/>
        <rFont val="Arial"/>
        <family val="2"/>
      </rPr>
      <t>Z centre haut</t>
    </r>
  </si>
  <si>
    <r>
      <t>D</t>
    </r>
    <r>
      <rPr>
        <b/>
        <sz val="12"/>
        <rFont val="Arial"/>
        <family val="2"/>
      </rPr>
      <t>PM haut droit</t>
    </r>
  </si>
  <si>
    <r>
      <t>D</t>
    </r>
    <r>
      <rPr>
        <b/>
        <sz val="12"/>
        <rFont val="Arial"/>
        <family val="2"/>
      </rPr>
      <t>H haut droit</t>
    </r>
  </si>
  <si>
    <r>
      <t>D</t>
    </r>
    <r>
      <rPr>
        <b/>
        <sz val="12"/>
        <rFont val="Arial"/>
        <family val="2"/>
      </rPr>
      <t>Z haut droit</t>
    </r>
  </si>
  <si>
    <r>
      <t>D</t>
    </r>
    <r>
      <rPr>
        <b/>
        <sz val="12"/>
        <rFont val="Arial"/>
        <family val="2"/>
      </rPr>
      <t>PM bas droit</t>
    </r>
  </si>
  <si>
    <r>
      <t>D</t>
    </r>
    <r>
      <rPr>
        <b/>
        <sz val="12"/>
        <rFont val="Arial"/>
        <family val="2"/>
      </rPr>
      <t>H bas droit</t>
    </r>
  </si>
  <si>
    <r>
      <t>D</t>
    </r>
    <r>
      <rPr>
        <b/>
        <sz val="12"/>
        <rFont val="Arial"/>
        <family val="2"/>
      </rPr>
      <t>Z bas droit</t>
    </r>
  </si>
  <si>
    <t>Distance au front</t>
  </si>
  <si>
    <t>Jours</t>
  </si>
  <si>
    <t>Front</t>
  </si>
  <si>
    <t>Dist</t>
  </si>
  <si>
    <t>Date point 0</t>
  </si>
  <si>
    <t>PM =</t>
  </si>
  <si>
    <t>Ecarts ( en mm )</t>
  </si>
  <si>
    <t>Vitesse de convergence ( en mm/j )</t>
  </si>
  <si>
    <t>IG</t>
  </si>
  <si>
    <t>ID</t>
  </si>
  <si>
    <t>LI</t>
  </si>
  <si>
    <t>Chantier 4</t>
  </si>
  <si>
    <r>
      <t>D</t>
    </r>
    <r>
      <rPr>
        <b/>
        <sz val="12"/>
        <rFont val="Arial"/>
        <family val="2"/>
      </rPr>
      <t>PM inter gauche</t>
    </r>
  </si>
  <si>
    <r>
      <t>D</t>
    </r>
    <r>
      <rPr>
        <b/>
        <sz val="12"/>
        <rFont val="Arial"/>
        <family val="2"/>
      </rPr>
      <t>H inter gauche</t>
    </r>
  </si>
  <si>
    <r>
      <t>D</t>
    </r>
    <r>
      <rPr>
        <b/>
        <sz val="12"/>
        <rFont val="Arial"/>
        <family val="2"/>
      </rPr>
      <t>Z inter gauche</t>
    </r>
  </si>
  <si>
    <r>
      <t>D</t>
    </r>
    <r>
      <rPr>
        <b/>
        <sz val="12"/>
        <rFont val="Arial"/>
        <family val="2"/>
      </rPr>
      <t>Z inter droit</t>
    </r>
  </si>
  <si>
    <t>Point intermédiaire gauche</t>
  </si>
  <si>
    <t>Point intermédiaire droit</t>
  </si>
  <si>
    <t>-</t>
  </si>
  <si>
    <t>Seuils</t>
  </si>
  <si>
    <t>Convergences verticales à court terme (&lt;2 ans)</t>
  </si>
  <si>
    <t>Convergences horizontales à court terme (&lt;2 ans)</t>
  </si>
  <si>
    <t>Seuil de vigilance CV</t>
  </si>
  <si>
    <t>Seuil de vigilance CH</t>
  </si>
  <si>
    <t>Seuil d'alerte CV</t>
  </si>
  <si>
    <t>Seuil d'alerte CH</t>
  </si>
  <si>
    <t>CHANGEMENT DE SYSTÈME DE CIBLES</t>
  </si>
  <si>
    <t>campagne de bétonnage proche des cibles les 22 et 23 aout</t>
  </si>
  <si>
    <t>les cibles ont pu bouger sous la pression du beton meme si elles étaient protégées au niveau de la cible</t>
  </si>
  <si>
    <t>il semblerait que la cible haut droite ait été touchée …</t>
  </si>
  <si>
    <t>José m'avait prévenu</t>
  </si>
  <si>
    <r>
      <t>D</t>
    </r>
    <r>
      <rPr>
        <b/>
        <sz val="12"/>
        <rFont val="Arial"/>
        <family val="2"/>
      </rPr>
      <t>Z centre haut x2</t>
    </r>
  </si>
  <si>
    <t xml:space="preserve"> </t>
  </si>
  <si>
    <t>cible 7 masquée par matériel geosonic</t>
  </si>
  <si>
    <t>cible HG masquée par renfort carrure GRE</t>
  </si>
  <si>
    <t>cible HG : rasante sur renfort</t>
  </si>
  <si>
    <t>mesure en cours de pose carrure GRE, apres excavation poutre faitiere</t>
  </si>
  <si>
    <t>CHANGEMENT DE SYSTÈME DE COORDONNEES</t>
  </si>
  <si>
    <t>passation andra</t>
  </si>
  <si>
    <r>
      <t>D</t>
    </r>
    <r>
      <rPr>
        <b/>
        <sz val="12"/>
        <rFont val="Arial"/>
        <family val="2"/>
      </rPr>
      <t>PM inter droit</t>
    </r>
  </si>
  <si>
    <r>
      <t>D</t>
    </r>
    <r>
      <rPr>
        <b/>
        <sz val="12"/>
        <rFont val="Arial"/>
        <family val="2"/>
      </rPr>
      <t>H inter droit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</si>
</sst>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\+\ 0.0;\-\ 0.0;\±\ 0.0"/>
    <numFmt numFmtId="165" formatCode="0.0"/>
    <numFmt numFmtId="166" formatCode="0.0000"/>
    <numFmt numFmtId="167" formatCode="0.000"/>
    <numFmt numFmtId="168" formatCode="dd\ /\ mm\ /\ yy"/>
    <numFmt numFmtId="169" formatCode="\+\ 0;\-\ 0;\±\ 0"/>
    <numFmt numFmtId="170" formatCode="\+\ 0.000;\-\ 0.000;\±\ 0.000"/>
    <numFmt numFmtId="171" formatCode="dd\ /\ mm\ /\ yyyy"/>
  </numFmts>
  <fonts count="3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0"/>
      <name val="Arial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8"/>
      <name val="Symbol"/>
      <family val="1"/>
      <charset val="2"/>
    </font>
    <font>
      <sz val="8"/>
      <name val="Arial"/>
      <family val="2"/>
    </font>
    <font>
      <sz val="12"/>
      <name val="Arial"/>
      <family val="2"/>
    </font>
    <font>
      <sz val="12"/>
      <name val="Arial"/>
      <family val="2"/>
    </font>
    <font>
      <b/>
      <sz val="16"/>
      <name val="Arial"/>
      <family val="2"/>
    </font>
    <font>
      <b/>
      <sz val="10"/>
      <color rgb="FFFF0000"/>
      <name val="Arial"/>
      <family val="2"/>
    </font>
    <font>
      <b/>
      <sz val="12"/>
      <color rgb="FFFF0000"/>
      <name val="Arial"/>
      <family val="2"/>
    </font>
    <font>
      <sz val="10"/>
      <color rgb="FF000000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0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0" borderId="0" applyNumberFormat="0" applyFill="0" applyBorder="0" applyAlignment="0" applyProtection="0"/>
    <xf numFmtId="0" fontId="7" fillId="20" borderId="1" applyNumberFormat="0" applyAlignment="0" applyProtection="0"/>
    <xf numFmtId="0" fontId="8" fillId="0" borderId="2" applyNumberFormat="0" applyFill="0" applyAlignment="0" applyProtection="0"/>
    <xf numFmtId="0" fontId="9" fillId="21" borderId="3" applyNumberFormat="0" applyFont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0" fontId="12" fillId="22" borderId="0" applyNumberFormat="0" applyBorder="0" applyAlignment="0" applyProtection="0"/>
    <xf numFmtId="0" fontId="13" fillId="4" borderId="0" applyNumberFormat="0" applyBorder="0" applyAlignment="0" applyProtection="0"/>
    <xf numFmtId="0" fontId="14" fillId="20" borderId="4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19" fillId="0" borderId="0" applyNumberFormat="0" applyFill="0" applyBorder="0" applyAlignment="0" applyProtection="0"/>
    <xf numFmtId="0" fontId="20" fillId="0" borderId="8" applyNumberFormat="0" applyFill="0" applyAlignment="0" applyProtection="0"/>
    <xf numFmtId="0" fontId="21" fillId="23" borderId="9" applyNumberFormat="0" applyAlignment="0" applyProtection="0"/>
    <xf numFmtId="0" fontId="3" fillId="0" borderId="0"/>
    <xf numFmtId="0" fontId="3" fillId="27" borderId="24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2" fillId="0" borderId="0"/>
    <xf numFmtId="0" fontId="2" fillId="27" borderId="24" applyNumberFormat="0" applyFont="0" applyAlignment="0" applyProtection="0"/>
    <xf numFmtId="0" fontId="1" fillId="0" borderId="0"/>
    <xf numFmtId="0" fontId="1" fillId="0" borderId="0"/>
  </cellStyleXfs>
  <cellXfs count="148">
    <xf numFmtId="0" fontId="0" fillId="0" borderId="0" xfId="0"/>
    <xf numFmtId="0" fontId="26" fillId="0" borderId="0" xfId="0" applyFont="1" applyAlignment="1">
      <alignment vertical="center"/>
    </xf>
    <xf numFmtId="0" fontId="0" fillId="0" borderId="0" xfId="0" applyAlignment="1">
      <alignment vertical="center"/>
    </xf>
    <xf numFmtId="0" fontId="23" fillId="0" borderId="0" xfId="0" applyFont="1" applyAlignment="1">
      <alignment horizontal="center"/>
    </xf>
    <xf numFmtId="0" fontId="27" fillId="0" borderId="10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0" xfId="0" applyFont="1" applyAlignment="1">
      <alignment vertical="center"/>
    </xf>
    <xf numFmtId="164" fontId="0" fillId="0" borderId="0" xfId="0" applyNumberFormat="1" applyAlignment="1">
      <alignment horizontal="center" vertical="center"/>
    </xf>
    <xf numFmtId="0" fontId="24" fillId="0" borderId="0" xfId="0" applyFont="1" applyAlignment="1">
      <alignment vertical="center"/>
    </xf>
    <xf numFmtId="0" fontId="30" fillId="0" borderId="12" xfId="0" applyFont="1" applyBorder="1" applyAlignment="1">
      <alignment vertical="center"/>
    </xf>
    <xf numFmtId="0" fontId="27" fillId="0" borderId="11" xfId="0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25" fillId="0" borderId="13" xfId="0" applyFont="1" applyBorder="1" applyAlignment="1">
      <alignment horizontal="center" vertical="center" wrapText="1"/>
    </xf>
    <xf numFmtId="0" fontId="24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167" fontId="0" fillId="0" borderId="0" xfId="0" applyNumberFormat="1" applyAlignment="1">
      <alignment vertical="center"/>
    </xf>
    <xf numFmtId="0" fontId="25" fillId="0" borderId="0" xfId="0" applyFont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68" fontId="0" fillId="0" borderId="0" xfId="0" applyNumberFormat="1" applyAlignment="1">
      <alignment vertical="center"/>
    </xf>
    <xf numFmtId="168" fontId="23" fillId="0" borderId="12" xfId="0" applyNumberFormat="1" applyFont="1" applyBorder="1" applyAlignment="1">
      <alignment vertical="center"/>
    </xf>
    <xf numFmtId="0" fontId="23" fillId="0" borderId="12" xfId="0" applyFont="1" applyBorder="1" applyAlignment="1">
      <alignment vertical="center"/>
    </xf>
    <xf numFmtId="168" fontId="25" fillId="0" borderId="13" xfId="0" applyNumberFormat="1" applyFont="1" applyBorder="1" applyAlignment="1">
      <alignment horizontal="center" vertical="center" wrapText="1"/>
    </xf>
    <xf numFmtId="168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23" fillId="0" borderId="0" xfId="0" applyFont="1" applyAlignment="1">
      <alignment horizontal="center" wrapText="1"/>
    </xf>
    <xf numFmtId="0" fontId="31" fillId="0" borderId="0" xfId="0" applyFont="1" applyAlignment="1">
      <alignment horizontal="center" vertical="center"/>
    </xf>
    <xf numFmtId="171" fontId="0" fillId="0" borderId="0" xfId="0" applyNumberFormat="1" applyAlignment="1">
      <alignment vertical="center"/>
    </xf>
    <xf numFmtId="1" fontId="25" fillId="24" borderId="11" xfId="0" applyNumberFormat="1" applyFont="1" applyFill="1" applyBorder="1" applyAlignment="1">
      <alignment horizontal="center" vertical="center"/>
    </xf>
    <xf numFmtId="168" fontId="9" fillId="24" borderId="11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24" borderId="0" xfId="0" applyFill="1" applyAlignment="1">
      <alignment vertical="center"/>
    </xf>
    <xf numFmtId="0" fontId="0" fillId="24" borderId="0" xfId="0" applyFill="1"/>
    <xf numFmtId="0" fontId="0" fillId="24" borderId="0" xfId="0" applyFill="1" applyAlignment="1">
      <alignment wrapText="1"/>
    </xf>
    <xf numFmtId="165" fontId="23" fillId="24" borderId="14" xfId="0" applyNumberFormat="1" applyFont="1" applyFill="1" applyBorder="1" applyAlignment="1">
      <alignment horizontal="center" vertical="center"/>
    </xf>
    <xf numFmtId="168" fontId="25" fillId="25" borderId="11" xfId="0" applyNumberFormat="1" applyFont="1" applyFill="1" applyBorder="1" applyAlignment="1">
      <alignment horizontal="center" vertical="center"/>
    </xf>
    <xf numFmtId="168" fontId="25" fillId="24" borderId="11" xfId="0" applyNumberFormat="1" applyFont="1" applyFill="1" applyBorder="1" applyAlignment="1">
      <alignment horizontal="center" vertical="center"/>
    </xf>
    <xf numFmtId="165" fontId="25" fillId="24" borderId="11" xfId="0" applyNumberFormat="1" applyFont="1" applyFill="1" applyBorder="1" applyAlignment="1">
      <alignment horizontal="center" vertical="center"/>
    </xf>
    <xf numFmtId="166" fontId="25" fillId="24" borderId="11" xfId="0" applyNumberFormat="1" applyFont="1" applyFill="1" applyBorder="1" applyAlignment="1">
      <alignment horizontal="center" vertical="center"/>
    </xf>
    <xf numFmtId="0" fontId="25" fillId="24" borderId="0" xfId="0" applyFont="1" applyFill="1" applyAlignment="1">
      <alignment vertical="center"/>
    </xf>
    <xf numFmtId="167" fontId="25" fillId="24" borderId="11" xfId="0" applyNumberFormat="1" applyFont="1" applyFill="1" applyBorder="1" applyAlignment="1">
      <alignment horizontal="center" vertical="center"/>
    </xf>
    <xf numFmtId="170" fontId="25" fillId="24" borderId="11" xfId="0" applyNumberFormat="1" applyFont="1" applyFill="1" applyBorder="1" applyAlignment="1">
      <alignment horizontal="center" vertical="center"/>
    </xf>
    <xf numFmtId="164" fontId="25" fillId="24" borderId="11" xfId="0" applyNumberFormat="1" applyFont="1" applyFill="1" applyBorder="1" applyAlignment="1">
      <alignment horizontal="center" vertical="center"/>
    </xf>
    <xf numFmtId="0" fontId="23" fillId="24" borderId="15" xfId="0" applyFont="1" applyFill="1" applyBorder="1" applyAlignment="1">
      <alignment horizontal="center" vertical="center"/>
    </xf>
    <xf numFmtId="1" fontId="25" fillId="25" borderId="11" xfId="0" applyNumberFormat="1" applyFont="1" applyFill="1" applyBorder="1" applyAlignment="1">
      <alignment horizontal="center" vertical="center"/>
    </xf>
    <xf numFmtId="165" fontId="25" fillId="25" borderId="11" xfId="0" applyNumberFormat="1" applyFont="1" applyFill="1" applyBorder="1" applyAlignment="1">
      <alignment horizontal="center" vertical="center"/>
    </xf>
    <xf numFmtId="166" fontId="25" fillId="25" borderId="11" xfId="0" applyNumberFormat="1" applyFont="1" applyFill="1" applyBorder="1" applyAlignment="1">
      <alignment horizontal="center" vertical="center"/>
    </xf>
    <xf numFmtId="169" fontId="25" fillId="25" borderId="10" xfId="0" applyNumberFormat="1" applyFont="1" applyFill="1" applyBorder="1" applyAlignment="1">
      <alignment horizontal="center" vertical="center"/>
    </xf>
    <xf numFmtId="169" fontId="25" fillId="25" borderId="11" xfId="0" applyNumberFormat="1" applyFont="1" applyFill="1" applyBorder="1" applyAlignment="1">
      <alignment horizontal="center" vertical="center"/>
    </xf>
    <xf numFmtId="164" fontId="0" fillId="24" borderId="11" xfId="0" applyNumberFormat="1" applyFill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24" borderId="11" xfId="0" applyFill="1" applyBorder="1" applyAlignment="1">
      <alignment horizontal="center" vertical="center"/>
    </xf>
    <xf numFmtId="168" fontId="0" fillId="24" borderId="11" xfId="0" applyNumberFormat="1" applyFill="1" applyBorder="1" applyAlignment="1">
      <alignment horizontal="center" vertical="center"/>
    </xf>
    <xf numFmtId="165" fontId="0" fillId="24" borderId="11" xfId="0" applyNumberFormat="1" applyFill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168" fontId="0" fillId="0" borderId="17" xfId="0" applyNumberFormat="1" applyBorder="1" applyAlignment="1">
      <alignment horizontal="center" vertical="center" wrapText="1"/>
    </xf>
    <xf numFmtId="166" fontId="32" fillId="25" borderId="11" xfId="0" applyNumberFormat="1" applyFont="1" applyFill="1" applyBorder="1" applyAlignment="1">
      <alignment horizontal="center" vertical="center"/>
    </xf>
    <xf numFmtId="0" fontId="33" fillId="24" borderId="15" xfId="0" applyFont="1" applyFill="1" applyBorder="1" applyAlignment="1">
      <alignment horizontal="center" vertical="center"/>
    </xf>
    <xf numFmtId="0" fontId="23" fillId="24" borderId="18" xfId="0" applyFont="1" applyFill="1" applyBorder="1" applyAlignment="1">
      <alignment horizontal="center" vertical="center"/>
    </xf>
    <xf numFmtId="0" fontId="23" fillId="24" borderId="16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 wrapText="1"/>
    </xf>
    <xf numFmtId="0" fontId="0" fillId="0" borderId="25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7" xfId="0" applyBorder="1" applyAlignment="1">
      <alignment vertical="center"/>
    </xf>
    <xf numFmtId="0" fontId="29" fillId="0" borderId="0" xfId="0" applyFont="1" applyAlignment="1">
      <alignment vertical="center"/>
    </xf>
    <xf numFmtId="0" fontId="0" fillId="0" borderId="28" xfId="0" applyBorder="1" applyAlignment="1">
      <alignment vertical="center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12" xfId="0" applyBorder="1"/>
    <xf numFmtId="0" fontId="0" fillId="0" borderId="22" xfId="0" applyBorder="1"/>
    <xf numFmtId="0" fontId="0" fillId="0" borderId="29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22" xfId="0" applyBorder="1" applyAlignment="1">
      <alignment vertical="center"/>
    </xf>
    <xf numFmtId="0" fontId="9" fillId="0" borderId="0" xfId="0" applyFont="1" applyAlignment="1">
      <alignment vertical="center"/>
    </xf>
    <xf numFmtId="164" fontId="9" fillId="0" borderId="11" xfId="0" applyNumberFormat="1" applyFont="1" applyBorder="1" applyAlignment="1">
      <alignment horizontal="center" vertical="center"/>
    </xf>
    <xf numFmtId="164" fontId="9" fillId="24" borderId="1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9" fillId="0" borderId="0" xfId="0" applyFont="1"/>
    <xf numFmtId="14" fontId="0" fillId="0" borderId="0" xfId="0" applyNumberFormat="1"/>
    <xf numFmtId="168" fontId="32" fillId="28" borderId="0" xfId="0" applyNumberFormat="1" applyFont="1" applyFill="1" applyAlignment="1">
      <alignment vertical="center"/>
    </xf>
    <xf numFmtId="168" fontId="32" fillId="28" borderId="11" xfId="0" applyNumberFormat="1" applyFont="1" applyFill="1" applyBorder="1" applyAlignment="1">
      <alignment vertical="center"/>
    </xf>
    <xf numFmtId="168" fontId="25" fillId="29" borderId="11" xfId="0" applyNumberFormat="1" applyFont="1" applyFill="1" applyBorder="1" applyAlignment="1">
      <alignment horizontal="center" vertical="center"/>
    </xf>
    <xf numFmtId="1" fontId="25" fillId="29" borderId="11" xfId="0" applyNumberFormat="1" applyFont="1" applyFill="1" applyBorder="1" applyAlignment="1">
      <alignment horizontal="center" vertical="center"/>
    </xf>
    <xf numFmtId="165" fontId="25" fillId="29" borderId="11" xfId="0" applyNumberFormat="1" applyFont="1" applyFill="1" applyBorder="1" applyAlignment="1">
      <alignment horizontal="center" vertical="center"/>
    </xf>
    <xf numFmtId="166" fontId="25" fillId="29" borderId="11" xfId="0" applyNumberFormat="1" applyFont="1" applyFill="1" applyBorder="1" applyAlignment="1">
      <alignment horizontal="center" vertical="center"/>
    </xf>
    <xf numFmtId="164" fontId="25" fillId="29" borderId="11" xfId="0" applyNumberFormat="1" applyFont="1" applyFill="1" applyBorder="1" applyAlignment="1">
      <alignment horizontal="center" vertical="center"/>
    </xf>
    <xf numFmtId="0" fontId="25" fillId="29" borderId="0" xfId="0" applyFont="1" applyFill="1" applyAlignment="1">
      <alignment vertical="center"/>
    </xf>
    <xf numFmtId="0" fontId="0" fillId="29" borderId="0" xfId="0" applyFill="1" applyAlignment="1">
      <alignment vertical="center"/>
    </xf>
    <xf numFmtId="0" fontId="0" fillId="28" borderId="11" xfId="0" applyFill="1" applyBorder="1" applyAlignment="1">
      <alignment horizontal="center" vertical="center"/>
    </xf>
    <xf numFmtId="168" fontId="0" fillId="28" borderId="11" xfId="0" applyNumberFormat="1" applyFill="1" applyBorder="1" applyAlignment="1">
      <alignment horizontal="center" vertical="center"/>
    </xf>
    <xf numFmtId="165" fontId="0" fillId="28" borderId="11" xfId="0" applyNumberFormat="1" applyFill="1" applyBorder="1" applyAlignment="1">
      <alignment horizontal="center" vertical="center"/>
    </xf>
    <xf numFmtId="164" fontId="0" fillId="28" borderId="11" xfId="0" applyNumberFormat="1" applyFill="1" applyBorder="1" applyAlignment="1">
      <alignment horizontal="center" vertical="center"/>
    </xf>
    <xf numFmtId="1" fontId="25" fillId="28" borderId="11" xfId="0" applyNumberFormat="1" applyFont="1" applyFill="1" applyBorder="1" applyAlignment="1">
      <alignment horizontal="center" vertical="center"/>
    </xf>
    <xf numFmtId="168" fontId="9" fillId="28" borderId="11" xfId="0" applyNumberFormat="1" applyFont="1" applyFill="1" applyBorder="1" applyAlignment="1">
      <alignment horizontal="center" vertical="center"/>
    </xf>
    <xf numFmtId="164" fontId="9" fillId="28" borderId="11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vertical="center"/>
    </xf>
    <xf numFmtId="165" fontId="0" fillId="0" borderId="0" xfId="0" applyNumberFormat="1"/>
    <xf numFmtId="166" fontId="25" fillId="30" borderId="11" xfId="0" applyNumberFormat="1" applyFont="1" applyFill="1" applyBorder="1" applyAlignment="1">
      <alignment horizontal="center" vertical="center"/>
    </xf>
    <xf numFmtId="167" fontId="25" fillId="30" borderId="11" xfId="0" applyNumberFormat="1" applyFont="1" applyFill="1" applyBorder="1" applyAlignment="1">
      <alignment horizontal="center" vertical="center"/>
    </xf>
    <xf numFmtId="170" fontId="25" fillId="30" borderId="11" xfId="0" applyNumberFormat="1" applyFont="1" applyFill="1" applyBorder="1" applyAlignment="1">
      <alignment horizontal="center" vertical="center"/>
    </xf>
    <xf numFmtId="164" fontId="25" fillId="30" borderId="11" xfId="0" applyNumberFormat="1" applyFont="1" applyFill="1" applyBorder="1" applyAlignment="1">
      <alignment horizontal="center" vertical="center"/>
    </xf>
    <xf numFmtId="0" fontId="0" fillId="28" borderId="0" xfId="0" applyFill="1" applyAlignment="1">
      <alignment vertical="center"/>
    </xf>
    <xf numFmtId="0" fontId="23" fillId="28" borderId="0" xfId="0" applyFont="1" applyFill="1" applyAlignment="1">
      <alignment horizontal="center" vertical="center"/>
    </xf>
    <xf numFmtId="14" fontId="0" fillId="28" borderId="0" xfId="0" applyNumberFormat="1" applyFill="1" applyAlignment="1">
      <alignment horizontal="center" vertical="center"/>
    </xf>
    <xf numFmtId="0" fontId="25" fillId="28" borderId="0" xfId="0" applyFont="1" applyFill="1" applyAlignment="1">
      <alignment horizontal="center" vertical="center"/>
    </xf>
    <xf numFmtId="0" fontId="0" fillId="28" borderId="0" xfId="0" applyFill="1"/>
    <xf numFmtId="0" fontId="0" fillId="28" borderId="27" xfId="0" applyFill="1" applyBorder="1"/>
    <xf numFmtId="0" fontId="0" fillId="28" borderId="28" xfId="0" applyFill="1" applyBorder="1"/>
    <xf numFmtId="0" fontId="23" fillId="28" borderId="26" xfId="0" applyFont="1" applyFill="1" applyBorder="1" applyAlignment="1">
      <alignment horizontal="center" vertical="center"/>
    </xf>
    <xf numFmtId="0" fontId="0" fillId="28" borderId="12" xfId="0" applyFill="1" applyBorder="1"/>
    <xf numFmtId="0" fontId="0" fillId="28" borderId="12" xfId="0" applyFill="1" applyBorder="1" applyAlignment="1">
      <alignment vertical="center"/>
    </xf>
    <xf numFmtId="0" fontId="30" fillId="0" borderId="12" xfId="0" applyFont="1" applyBorder="1" applyAlignment="1">
      <alignment horizontal="center" vertical="center"/>
    </xf>
    <xf numFmtId="168" fontId="30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31" borderId="0" xfId="0" applyFill="1" applyAlignment="1">
      <alignment vertical="center"/>
    </xf>
    <xf numFmtId="0" fontId="23" fillId="0" borderId="18" xfId="0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168" fontId="32" fillId="28" borderId="13" xfId="0" applyNumberFormat="1" applyFont="1" applyFill="1" applyBorder="1" applyAlignment="1">
      <alignment horizontal="center" vertical="center"/>
    </xf>
    <xf numFmtId="168" fontId="32" fillId="28" borderId="17" xfId="0" applyNumberFormat="1" applyFont="1" applyFill="1" applyBorder="1" applyAlignment="1">
      <alignment horizontal="center" vertical="center"/>
    </xf>
    <xf numFmtId="168" fontId="32" fillId="28" borderId="17" xfId="0" applyNumberFormat="1" applyFont="1" applyFill="1" applyBorder="1" applyAlignment="1">
      <alignment horizontal="left" vertical="center"/>
    </xf>
    <xf numFmtId="0" fontId="22" fillId="0" borderId="0" xfId="0" applyFont="1" applyAlignment="1">
      <alignment horizontal="center" vertical="center"/>
    </xf>
    <xf numFmtId="169" fontId="25" fillId="24" borderId="18" xfId="0" applyNumberFormat="1" applyFont="1" applyFill="1" applyBorder="1" applyAlignment="1">
      <alignment horizontal="center" vertical="center"/>
    </xf>
    <xf numFmtId="169" fontId="25" fillId="24" borderId="19" xfId="0" applyNumberFormat="1" applyFont="1" applyFill="1" applyBorder="1" applyAlignment="1">
      <alignment horizontal="center" vertical="center"/>
    </xf>
    <xf numFmtId="169" fontId="25" fillId="24" borderId="20" xfId="0" applyNumberFormat="1" applyFont="1" applyFill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31" fillId="26" borderId="0" xfId="0" applyFont="1" applyFill="1" applyAlignment="1">
      <alignment horizontal="center" vertical="center"/>
    </xf>
    <xf numFmtId="0" fontId="24" fillId="26" borderId="0" xfId="0" applyFont="1" applyFill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25" fillId="26" borderId="27" xfId="0" applyFont="1" applyFill="1" applyBorder="1" applyAlignment="1">
      <alignment horizontal="center" vertical="center"/>
    </xf>
    <xf numFmtId="0" fontId="25" fillId="26" borderId="0" xfId="0" applyFont="1" applyFill="1" applyAlignment="1">
      <alignment horizontal="center" vertical="center"/>
    </xf>
    <xf numFmtId="0" fontId="25" fillId="26" borderId="28" xfId="0" applyFont="1" applyFill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28" xfId="0" applyNumberFormat="1" applyBorder="1" applyAlignment="1">
      <alignment horizontal="center" vertical="center"/>
    </xf>
  </cellXfs>
  <cellStyles count="50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25" builtinId="11" customBuiltin="1"/>
    <cellStyle name="Calcul" xfId="26" builtinId="22" customBuiltin="1"/>
    <cellStyle name="Cellule liée" xfId="27" builtinId="24" customBuiltin="1"/>
    <cellStyle name="Commentaire 2" xfId="43" xr:uid="{00000000-0005-0000-0000-00001C000000}"/>
    <cellStyle name="Commentaire 3" xfId="47" xr:uid="{00000000-0005-0000-0000-00001D000000}"/>
    <cellStyle name="Entrée" xfId="29" builtinId="20" customBuiltin="1"/>
    <cellStyle name="Insatisfaisant" xfId="30" builtinId="27" customBuiltin="1"/>
    <cellStyle name="Neutre" xfId="31" builtinId="28" customBuiltin="1"/>
    <cellStyle name="Normal" xfId="0" builtinId="0"/>
    <cellStyle name="Normal 2" xfId="42" xr:uid="{00000000-0005-0000-0000-000022000000}"/>
    <cellStyle name="Normal 2 2" xfId="44" xr:uid="{00000000-0005-0000-0000-000023000000}"/>
    <cellStyle name="Normal 3" xfId="46" xr:uid="{00000000-0005-0000-0000-000024000000}"/>
    <cellStyle name="Normal 3 2" xfId="49" xr:uid="{00000000-0005-0000-0000-000025000000}"/>
    <cellStyle name="Normal 4" xfId="48" xr:uid="{00000000-0005-0000-0000-000026000000}"/>
    <cellStyle name="Note" xfId="28" builtinId="10" customBuiltin="1"/>
    <cellStyle name="Pourcentage 2" xfId="45" xr:uid="{00000000-0005-0000-0000-000027000000}"/>
    <cellStyle name="Satisfaisant" xfId="32" builtinId="26" customBuiltin="1"/>
    <cellStyle name="Sortie" xfId="33" builtinId="21" customBuiltin="1"/>
    <cellStyle name="Texte explicatif" xfId="34" builtinId="53" customBuiltin="1"/>
    <cellStyle name="Titre" xfId="35" builtinId="15" customBuiltin="1"/>
    <cellStyle name="Titre 1" xfId="36" builtinId="16" customBuiltin="1"/>
    <cellStyle name="Titre 2" xfId="37" builtinId="17" customBuiltin="1"/>
    <cellStyle name="Titre 3" xfId="38" builtinId="18" customBuiltin="1"/>
    <cellStyle name="Titre 4" xfId="39" builtinId="19" customBuiltin="1"/>
    <cellStyle name="Total" xfId="40" builtinId="25" customBuiltin="1"/>
    <cellStyle name="Vérification" xfId="41" builtinId="23" customBuiltin="1"/>
  </cellStyles>
  <dxfs count="0"/>
  <tableStyles count="0" defaultTableStyle="TableStyleMedium9" defaultPivotStyle="PivotStyleLight16"/>
  <colors>
    <mruColors>
      <color rgb="FFFF0000"/>
      <color rgb="FFFF6600"/>
      <color rgb="FFD5A5A4"/>
      <color rgb="FF800000"/>
      <color rgb="FF00FFFF"/>
      <color rgb="FF00FF00"/>
      <color rgb="FF000080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Convergences horizontales</a:t>
            </a:r>
          </a:p>
        </c:rich>
      </c:tx>
      <c:layout>
        <c:manualLayout>
          <c:xMode val="edge"/>
          <c:yMode val="edge"/>
          <c:x val="0.42116532057287082"/>
          <c:y val="9.202358673775652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6758248843572708E-2"/>
          <c:y val="5.7452773560255632E-2"/>
          <c:w val="0.82298957241880533"/>
          <c:h val="0.75375798877158295"/>
        </c:manualLayout>
      </c:layout>
      <c:scatterChart>
        <c:scatterStyle val="lineMarker"/>
        <c:varyColors val="0"/>
        <c:ser>
          <c:idx val="9"/>
          <c:order val="0"/>
          <c:tx>
            <c:strRef>
              <c:f>Convergences!$L$9</c:f>
              <c:strCache>
                <c:ptCount val="1"/>
                <c:pt idx="0">
                  <c:v>LB</c:v>
                </c:pt>
              </c:strCache>
            </c:strRef>
          </c:tx>
          <c:spPr>
            <a:ln w="15875" cap="rnd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4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4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Convergences!$B$10:$B$136</c:f>
              <c:numCache>
                <c:formatCode>dd\ /\ mm\ /\ yy</c:formatCode>
                <c:ptCount val="127"/>
                <c:pt idx="0">
                  <c:v>43658</c:v>
                </c:pt>
                <c:pt idx="1">
                  <c:v>43661</c:v>
                </c:pt>
                <c:pt idx="2">
                  <c:v>43662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11">
                  <c:v>43685</c:v>
                </c:pt>
                <c:pt idx="12">
                  <c:v>43689</c:v>
                </c:pt>
                <c:pt idx="13">
                  <c:v>43690</c:v>
                </c:pt>
                <c:pt idx="14">
                  <c:v>43696</c:v>
                </c:pt>
                <c:pt idx="15">
                  <c:v>43699</c:v>
                </c:pt>
                <c:pt idx="16">
                  <c:v>43704</c:v>
                </c:pt>
                <c:pt idx="17">
                  <c:v>43706</c:v>
                </c:pt>
                <c:pt idx="18">
                  <c:v>43710</c:v>
                </c:pt>
                <c:pt idx="19">
                  <c:v>43713</c:v>
                </c:pt>
                <c:pt idx="20">
                  <c:v>43718</c:v>
                </c:pt>
                <c:pt idx="21">
                  <c:v>43720</c:v>
                </c:pt>
                <c:pt idx="22">
                  <c:v>43724</c:v>
                </c:pt>
                <c:pt idx="23">
                  <c:v>43727</c:v>
                </c:pt>
                <c:pt idx="24">
                  <c:v>43731</c:v>
                </c:pt>
                <c:pt idx="25">
                  <c:v>43734</c:v>
                </c:pt>
                <c:pt idx="26">
                  <c:v>43738</c:v>
                </c:pt>
                <c:pt idx="27">
                  <c:v>43741</c:v>
                </c:pt>
                <c:pt idx="28">
                  <c:v>43746</c:v>
                </c:pt>
                <c:pt idx="29">
                  <c:v>43753</c:v>
                </c:pt>
                <c:pt idx="30">
                  <c:v>43756</c:v>
                </c:pt>
                <c:pt idx="31">
                  <c:v>43760</c:v>
                </c:pt>
                <c:pt idx="32">
                  <c:v>43762</c:v>
                </c:pt>
                <c:pt idx="33">
                  <c:v>43766</c:v>
                </c:pt>
                <c:pt idx="34">
                  <c:v>43769</c:v>
                </c:pt>
                <c:pt idx="35">
                  <c:v>43774</c:v>
                </c:pt>
                <c:pt idx="36">
                  <c:v>43776</c:v>
                </c:pt>
                <c:pt idx="37">
                  <c:v>43781</c:v>
                </c:pt>
                <c:pt idx="38">
                  <c:v>43783</c:v>
                </c:pt>
                <c:pt idx="39">
                  <c:v>43787</c:v>
                </c:pt>
                <c:pt idx="40">
                  <c:v>43790</c:v>
                </c:pt>
                <c:pt idx="41">
                  <c:v>43795</c:v>
                </c:pt>
                <c:pt idx="42">
                  <c:v>43797</c:v>
                </c:pt>
                <c:pt idx="43">
                  <c:v>43798</c:v>
                </c:pt>
                <c:pt idx="44">
                  <c:v>43801</c:v>
                </c:pt>
                <c:pt idx="45">
                  <c:v>43803</c:v>
                </c:pt>
                <c:pt idx="46">
                  <c:v>43808</c:v>
                </c:pt>
                <c:pt idx="47">
                  <c:v>43811</c:v>
                </c:pt>
                <c:pt idx="48">
                  <c:v>43815</c:v>
                </c:pt>
                <c:pt idx="49">
                  <c:v>43818</c:v>
                </c:pt>
                <c:pt idx="50">
                  <c:v>43837</c:v>
                </c:pt>
                <c:pt idx="51">
                  <c:v>43843</c:v>
                </c:pt>
                <c:pt idx="52">
                  <c:v>43850</c:v>
                </c:pt>
                <c:pt idx="53">
                  <c:v>43859</c:v>
                </c:pt>
                <c:pt idx="54">
                  <c:v>43865</c:v>
                </c:pt>
                <c:pt idx="55">
                  <c:v>43886</c:v>
                </c:pt>
                <c:pt idx="56">
                  <c:v>43970</c:v>
                </c:pt>
                <c:pt idx="57">
                  <c:v>43977</c:v>
                </c:pt>
                <c:pt idx="58">
                  <c:v>43999</c:v>
                </c:pt>
                <c:pt idx="59">
                  <c:v>44029</c:v>
                </c:pt>
                <c:pt idx="61">
                  <c:v>44082</c:v>
                </c:pt>
                <c:pt idx="63">
                  <c:v>44082</c:v>
                </c:pt>
                <c:pt idx="65">
                  <c:v>44140</c:v>
                </c:pt>
                <c:pt idx="66">
                  <c:v>44172</c:v>
                </c:pt>
                <c:pt idx="67">
                  <c:v>44229</c:v>
                </c:pt>
                <c:pt idx="69">
                  <c:v>44322</c:v>
                </c:pt>
                <c:pt idx="70">
                  <c:v>44357</c:v>
                </c:pt>
                <c:pt idx="71">
                  <c:v>44362</c:v>
                </c:pt>
                <c:pt idx="72">
                  <c:v>44369</c:v>
                </c:pt>
                <c:pt idx="73">
                  <c:v>44376</c:v>
                </c:pt>
                <c:pt idx="74">
                  <c:v>44400</c:v>
                </c:pt>
                <c:pt idx="75">
                  <c:v>44439</c:v>
                </c:pt>
                <c:pt idx="76">
                  <c:v>44474</c:v>
                </c:pt>
                <c:pt idx="77">
                  <c:v>44522</c:v>
                </c:pt>
                <c:pt idx="78">
                  <c:v>44531</c:v>
                </c:pt>
                <c:pt idx="79">
                  <c:v>44536</c:v>
                </c:pt>
                <c:pt idx="80">
                  <c:v>44543</c:v>
                </c:pt>
                <c:pt idx="81">
                  <c:v>44550</c:v>
                </c:pt>
                <c:pt idx="82">
                  <c:v>44572</c:v>
                </c:pt>
                <c:pt idx="83">
                  <c:v>44578</c:v>
                </c:pt>
                <c:pt idx="84">
                  <c:v>44595</c:v>
                </c:pt>
                <c:pt idx="85">
                  <c:v>44613</c:v>
                </c:pt>
                <c:pt idx="86">
                  <c:v>44648</c:v>
                </c:pt>
                <c:pt idx="87">
                  <c:v>44678</c:v>
                </c:pt>
                <c:pt idx="88">
                  <c:v>44711</c:v>
                </c:pt>
                <c:pt idx="89">
                  <c:v>44740</c:v>
                </c:pt>
                <c:pt idx="90">
                  <c:v>44767</c:v>
                </c:pt>
                <c:pt idx="91">
                  <c:v>44902</c:v>
                </c:pt>
                <c:pt idx="92">
                  <c:v>44915</c:v>
                </c:pt>
                <c:pt idx="93">
                  <c:v>44930</c:v>
                </c:pt>
                <c:pt idx="94">
                  <c:v>44945</c:v>
                </c:pt>
                <c:pt idx="95">
                  <c:v>44957</c:v>
                </c:pt>
                <c:pt idx="96">
                  <c:v>44988</c:v>
                </c:pt>
                <c:pt idx="97">
                  <c:v>45013</c:v>
                </c:pt>
              </c:numCache>
            </c:numRef>
          </c:xVal>
          <c:yVal>
            <c:numRef>
              <c:f>Convergences!$L$10:$L$136</c:f>
              <c:numCache>
                <c:formatCode>\+\ 0.0;\-\ 0.0;\±\ 0.0</c:formatCode>
                <c:ptCount val="127"/>
                <c:pt idx="0">
                  <c:v>0</c:v>
                </c:pt>
                <c:pt idx="1">
                  <c:v>-0.328897405066364</c:v>
                </c:pt>
                <c:pt idx="2">
                  <c:v>-2.1102207253713701</c:v>
                </c:pt>
                <c:pt idx="3">
                  <c:v>-3.515555119186331</c:v>
                </c:pt>
                <c:pt idx="4">
                  <c:v>-5.5004710756874076</c:v>
                </c:pt>
                <c:pt idx="5">
                  <c:v>-9.6760963708995007</c:v>
                </c:pt>
                <c:pt idx="6">
                  <c:v>-10.63118338695368</c:v>
                </c:pt>
                <c:pt idx="7">
                  <c:v>-12.384220769001253</c:v>
                </c:pt>
                <c:pt idx="8">
                  <c:v>-13.206324020437421</c:v>
                </c:pt>
                <c:pt idx="11">
                  <c:v>-12.334384147847821</c:v>
                </c:pt>
                <c:pt idx="12">
                  <c:v>-13.599554594438068</c:v>
                </c:pt>
                <c:pt idx="13">
                  <c:v>-14.038067218592687</c:v>
                </c:pt>
                <c:pt idx="14">
                  <c:v>-14.637981533505595</c:v>
                </c:pt>
                <c:pt idx="15">
                  <c:v>-15.970953924405507</c:v>
                </c:pt>
                <c:pt idx="16">
                  <c:v>-15.770938828596037</c:v>
                </c:pt>
                <c:pt idx="17">
                  <c:v>-16.020299203366228</c:v>
                </c:pt>
                <c:pt idx="18">
                  <c:v>-16.245436940742763</c:v>
                </c:pt>
                <c:pt idx="19">
                  <c:v>-16.033600737795695</c:v>
                </c:pt>
                <c:pt idx="20">
                  <c:v>-16.97905418108725</c:v>
                </c:pt>
                <c:pt idx="21">
                  <c:v>-17.064309712707448</c:v>
                </c:pt>
                <c:pt idx="23">
                  <c:v>-18.433312060822438</c:v>
                </c:pt>
                <c:pt idx="24">
                  <c:v>-19.572664810319829</c:v>
                </c:pt>
                <c:pt idx="25">
                  <c:v>-19.11683270624831</c:v>
                </c:pt>
                <c:pt idx="27">
                  <c:v>-19.157813907845878</c:v>
                </c:pt>
                <c:pt idx="28">
                  <c:v>-18.60293337417751</c:v>
                </c:pt>
                <c:pt idx="29">
                  <c:v>-19.707874323188435</c:v>
                </c:pt>
                <c:pt idx="30">
                  <c:v>-20.058934970181852</c:v>
                </c:pt>
                <c:pt idx="31">
                  <c:v>-20.504868420633926</c:v>
                </c:pt>
                <c:pt idx="32">
                  <c:v>-19.391748995079894</c:v>
                </c:pt>
                <c:pt idx="33">
                  <c:v>-19.759253357810813</c:v>
                </c:pt>
                <c:pt idx="34">
                  <c:v>-19.5666575591531</c:v>
                </c:pt>
                <c:pt idx="35">
                  <c:v>-21.171873194778534</c:v>
                </c:pt>
                <c:pt idx="36">
                  <c:v>-21.318286395231922</c:v>
                </c:pt>
                <c:pt idx="37">
                  <c:v>-21.546753753127312</c:v>
                </c:pt>
                <c:pt idx="38">
                  <c:v>-21.314155478199481</c:v>
                </c:pt>
                <c:pt idx="39">
                  <c:v>-21.363473085593832</c:v>
                </c:pt>
                <c:pt idx="40">
                  <c:v>-21.237187140700442</c:v>
                </c:pt>
                <c:pt idx="41">
                  <c:v>-21.741685051406279</c:v>
                </c:pt>
                <c:pt idx="42">
                  <c:v>-22.329916115484849</c:v>
                </c:pt>
                <c:pt idx="43">
                  <c:v>-22.349190264140617</c:v>
                </c:pt>
                <c:pt idx="44">
                  <c:v>-22.998377427538408</c:v>
                </c:pt>
                <c:pt idx="45">
                  <c:v>-22.87625856145592</c:v>
                </c:pt>
                <c:pt idx="46">
                  <c:v>-22.676311845376773</c:v>
                </c:pt>
                <c:pt idx="47">
                  <c:v>-22.461238336244804</c:v>
                </c:pt>
                <c:pt idx="48">
                  <c:v>-21.965093532438473</c:v>
                </c:pt>
                <c:pt idx="49">
                  <c:v>-22.7939608002794</c:v>
                </c:pt>
                <c:pt idx="50">
                  <c:v>-23.130580223079455</c:v>
                </c:pt>
                <c:pt idx="51">
                  <c:v>-23.373274968796487</c:v>
                </c:pt>
                <c:pt idx="52">
                  <c:v>-23.039374470475771</c:v>
                </c:pt>
                <c:pt idx="53">
                  <c:v>-23.192211501566362</c:v>
                </c:pt>
                <c:pt idx="54">
                  <c:v>-23.387854858746948</c:v>
                </c:pt>
                <c:pt idx="55">
                  <c:v>-23.308296111561155</c:v>
                </c:pt>
                <c:pt idx="56">
                  <c:v>-22.726524337264742</c:v>
                </c:pt>
                <c:pt idx="57">
                  <c:v>-23.447837014317408</c:v>
                </c:pt>
                <c:pt idx="58">
                  <c:v>-23.93477145698597</c:v>
                </c:pt>
                <c:pt idx="59">
                  <c:v>-23.286205284230199</c:v>
                </c:pt>
                <c:pt idx="61">
                  <c:v>-23.936527636312377</c:v>
                </c:pt>
                <c:pt idx="63">
                  <c:v>-23.625067692163881</c:v>
                </c:pt>
                <c:pt idx="69">
                  <c:v>-24.348500892948266</c:v>
                </c:pt>
                <c:pt idx="70">
                  <c:v>-24.709496553210641</c:v>
                </c:pt>
                <c:pt idx="71">
                  <c:v>-24.702874684137122</c:v>
                </c:pt>
                <c:pt idx="72">
                  <c:v>-25.786427654867161</c:v>
                </c:pt>
                <c:pt idx="73">
                  <c:v>-25.927866237529074</c:v>
                </c:pt>
                <c:pt idx="74">
                  <c:v>-26.599840970095379</c:v>
                </c:pt>
                <c:pt idx="75">
                  <c:v>-27.367874738283504</c:v>
                </c:pt>
                <c:pt idx="76">
                  <c:v>-27.313509854738349</c:v>
                </c:pt>
                <c:pt idx="77">
                  <c:v>-28.635557702291869</c:v>
                </c:pt>
                <c:pt idx="78">
                  <c:v>-28.33847123181954</c:v>
                </c:pt>
                <c:pt idx="79">
                  <c:v>-29.246344005948721</c:v>
                </c:pt>
                <c:pt idx="80">
                  <c:v>-28.957612820696532</c:v>
                </c:pt>
                <c:pt idx="81">
                  <c:v>-28.577602601080443</c:v>
                </c:pt>
                <c:pt idx="82">
                  <c:v>-28.867292762319252</c:v>
                </c:pt>
                <c:pt idx="83">
                  <c:v>-28.140830083684953</c:v>
                </c:pt>
                <c:pt idx="84">
                  <c:v>-28.812830536647738</c:v>
                </c:pt>
                <c:pt idx="85">
                  <c:v>-29.424581653365145</c:v>
                </c:pt>
                <c:pt idx="86">
                  <c:v>-29.504829705566671</c:v>
                </c:pt>
                <c:pt idx="87">
                  <c:v>-30.158418806343512</c:v>
                </c:pt>
                <c:pt idx="88">
                  <c:v>-29.870518429398807</c:v>
                </c:pt>
                <c:pt idx="89">
                  <c:v>-30.8033921494415</c:v>
                </c:pt>
                <c:pt idx="90">
                  <c:v>-30.780280296477613</c:v>
                </c:pt>
                <c:pt idx="91">
                  <c:v>-32.147380773128731</c:v>
                </c:pt>
                <c:pt idx="94">
                  <c:v>-32.371668407478182</c:v>
                </c:pt>
                <c:pt idx="95">
                  <c:v>-31.770861734392142</c:v>
                </c:pt>
                <c:pt idx="96">
                  <c:v>-32.016928359952956</c:v>
                </c:pt>
                <c:pt idx="97">
                  <c:v>-32.044451433346666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65-4752-9769-BE8C9C92636B}"/>
            </c:ext>
          </c:extLst>
        </c:ser>
        <c:ser>
          <c:idx val="12"/>
          <c:order val="1"/>
          <c:tx>
            <c:strRef>
              <c:f>Convergences!$J$9</c:f>
              <c:strCache>
                <c:ptCount val="1"/>
                <c:pt idx="0">
                  <c:v>LH</c:v>
                </c:pt>
              </c:strCache>
            </c:strRef>
          </c:tx>
          <c:spPr>
            <a:ln w="158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tint val="50000"/>
                      <a:satMod val="300000"/>
                    </a:schemeClr>
                  </a:gs>
                  <a:gs pos="35000">
                    <a:schemeClr val="accent1">
                      <a:lumMod val="80000"/>
                      <a:lumOff val="20000"/>
                      <a:tint val="37000"/>
                      <a:satMod val="300000"/>
                    </a:schemeClr>
                  </a:gs>
                  <a:gs pos="100000">
                    <a:schemeClr val="accent1">
                      <a:lumMod val="80000"/>
                      <a:lumOff val="2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lumMod val="80000"/>
                    <a:lumOff val="2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Convergences!$B$10:$B$316</c:f>
              <c:numCache>
                <c:formatCode>dd\ /\ mm\ /\ yy</c:formatCode>
                <c:ptCount val="307"/>
                <c:pt idx="0">
                  <c:v>43658</c:v>
                </c:pt>
                <c:pt idx="1">
                  <c:v>43661</c:v>
                </c:pt>
                <c:pt idx="2">
                  <c:v>43662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11">
                  <c:v>43685</c:v>
                </c:pt>
                <c:pt idx="12">
                  <c:v>43689</c:v>
                </c:pt>
                <c:pt idx="13">
                  <c:v>43690</c:v>
                </c:pt>
                <c:pt idx="14">
                  <c:v>43696</c:v>
                </c:pt>
                <c:pt idx="15">
                  <c:v>43699</c:v>
                </c:pt>
                <c:pt idx="16">
                  <c:v>43704</c:v>
                </c:pt>
                <c:pt idx="17">
                  <c:v>43706</c:v>
                </c:pt>
                <c:pt idx="18">
                  <c:v>43710</c:v>
                </c:pt>
                <c:pt idx="19">
                  <c:v>43713</c:v>
                </c:pt>
                <c:pt idx="20">
                  <c:v>43718</c:v>
                </c:pt>
                <c:pt idx="21">
                  <c:v>43720</c:v>
                </c:pt>
                <c:pt idx="22">
                  <c:v>43724</c:v>
                </c:pt>
                <c:pt idx="23">
                  <c:v>43727</c:v>
                </c:pt>
                <c:pt idx="24">
                  <c:v>43731</c:v>
                </c:pt>
                <c:pt idx="25">
                  <c:v>43734</c:v>
                </c:pt>
                <c:pt idx="26">
                  <c:v>43738</c:v>
                </c:pt>
                <c:pt idx="27">
                  <c:v>43741</c:v>
                </c:pt>
                <c:pt idx="28">
                  <c:v>43746</c:v>
                </c:pt>
                <c:pt idx="29">
                  <c:v>43753</c:v>
                </c:pt>
                <c:pt idx="30">
                  <c:v>43756</c:v>
                </c:pt>
                <c:pt idx="31">
                  <c:v>43760</c:v>
                </c:pt>
                <c:pt idx="32">
                  <c:v>43762</c:v>
                </c:pt>
                <c:pt idx="33">
                  <c:v>43766</c:v>
                </c:pt>
                <c:pt idx="34">
                  <c:v>43769</c:v>
                </c:pt>
                <c:pt idx="35">
                  <c:v>43774</c:v>
                </c:pt>
                <c:pt idx="36">
                  <c:v>43776</c:v>
                </c:pt>
                <c:pt idx="37">
                  <c:v>43781</c:v>
                </c:pt>
                <c:pt idx="38">
                  <c:v>43783</c:v>
                </c:pt>
                <c:pt idx="39">
                  <c:v>43787</c:v>
                </c:pt>
                <c:pt idx="40">
                  <c:v>43790</c:v>
                </c:pt>
                <c:pt idx="41">
                  <c:v>43795</c:v>
                </c:pt>
                <c:pt idx="42">
                  <c:v>43797</c:v>
                </c:pt>
                <c:pt idx="43">
                  <c:v>43798</c:v>
                </c:pt>
                <c:pt idx="44">
                  <c:v>43801</c:v>
                </c:pt>
                <c:pt idx="45">
                  <c:v>43803</c:v>
                </c:pt>
                <c:pt idx="46">
                  <c:v>43808</c:v>
                </c:pt>
                <c:pt idx="47">
                  <c:v>43811</c:v>
                </c:pt>
                <c:pt idx="48">
                  <c:v>43815</c:v>
                </c:pt>
                <c:pt idx="49">
                  <c:v>43818</c:v>
                </c:pt>
                <c:pt idx="50">
                  <c:v>43837</c:v>
                </c:pt>
                <c:pt idx="51">
                  <c:v>43843</c:v>
                </c:pt>
                <c:pt idx="52">
                  <c:v>43850</c:v>
                </c:pt>
                <c:pt idx="53">
                  <c:v>43859</c:v>
                </c:pt>
                <c:pt idx="54">
                  <c:v>43865</c:v>
                </c:pt>
                <c:pt idx="55">
                  <c:v>43886</c:v>
                </c:pt>
                <c:pt idx="56">
                  <c:v>43970</c:v>
                </c:pt>
                <c:pt idx="57">
                  <c:v>43977</c:v>
                </c:pt>
                <c:pt idx="58">
                  <c:v>43999</c:v>
                </c:pt>
                <c:pt idx="59">
                  <c:v>44029</c:v>
                </c:pt>
                <c:pt idx="61">
                  <c:v>44082</c:v>
                </c:pt>
                <c:pt idx="63">
                  <c:v>44082</c:v>
                </c:pt>
                <c:pt idx="65">
                  <c:v>44140</c:v>
                </c:pt>
                <c:pt idx="66">
                  <c:v>44172</c:v>
                </c:pt>
                <c:pt idx="67">
                  <c:v>44229</c:v>
                </c:pt>
                <c:pt idx="69">
                  <c:v>44322</c:v>
                </c:pt>
                <c:pt idx="70">
                  <c:v>44357</c:v>
                </c:pt>
                <c:pt idx="71">
                  <c:v>44362</c:v>
                </c:pt>
                <c:pt idx="72">
                  <c:v>44369</c:v>
                </c:pt>
                <c:pt idx="73">
                  <c:v>44376</c:v>
                </c:pt>
                <c:pt idx="74">
                  <c:v>44400</c:v>
                </c:pt>
                <c:pt idx="75">
                  <c:v>44439</c:v>
                </c:pt>
                <c:pt idx="76">
                  <c:v>44474</c:v>
                </c:pt>
                <c:pt idx="77">
                  <c:v>44522</c:v>
                </c:pt>
                <c:pt idx="78">
                  <c:v>44531</c:v>
                </c:pt>
                <c:pt idx="79">
                  <c:v>44536</c:v>
                </c:pt>
                <c:pt idx="80">
                  <c:v>44543</c:v>
                </c:pt>
                <c:pt idx="81">
                  <c:v>44550</c:v>
                </c:pt>
                <c:pt idx="82">
                  <c:v>44572</c:v>
                </c:pt>
                <c:pt idx="83">
                  <c:v>44578</c:v>
                </c:pt>
                <c:pt idx="84">
                  <c:v>44595</c:v>
                </c:pt>
                <c:pt idx="85">
                  <c:v>44613</c:v>
                </c:pt>
                <c:pt idx="86">
                  <c:v>44648</c:v>
                </c:pt>
                <c:pt idx="87">
                  <c:v>44678</c:v>
                </c:pt>
                <c:pt idx="88">
                  <c:v>44711</c:v>
                </c:pt>
                <c:pt idx="89">
                  <c:v>44740</c:v>
                </c:pt>
                <c:pt idx="90">
                  <c:v>44767</c:v>
                </c:pt>
                <c:pt idx="91">
                  <c:v>44902</c:v>
                </c:pt>
                <c:pt idx="92">
                  <c:v>44915</c:v>
                </c:pt>
                <c:pt idx="93">
                  <c:v>44930</c:v>
                </c:pt>
                <c:pt idx="94">
                  <c:v>44945</c:v>
                </c:pt>
                <c:pt idx="95">
                  <c:v>44957</c:v>
                </c:pt>
                <c:pt idx="96">
                  <c:v>44988</c:v>
                </c:pt>
                <c:pt idx="97">
                  <c:v>45013</c:v>
                </c:pt>
              </c:numCache>
            </c:numRef>
          </c:xVal>
          <c:yVal>
            <c:numRef>
              <c:f>Convergences!$J$10:$J$136</c:f>
              <c:numCache>
                <c:formatCode>\+\ 0.0;\-\ 0.0;\±\ 0.0</c:formatCode>
                <c:ptCount val="127"/>
                <c:pt idx="0">
                  <c:v>0</c:v>
                </c:pt>
                <c:pt idx="1">
                  <c:v>-0.97288839341169719</c:v>
                </c:pt>
                <c:pt idx="2">
                  <c:v>-1.495231750157977</c:v>
                </c:pt>
                <c:pt idx="3">
                  <c:v>-2.8821026034662189</c:v>
                </c:pt>
                <c:pt idx="4">
                  <c:v>-4.6545208024957319</c:v>
                </c:pt>
                <c:pt idx="6">
                  <c:v>-11.569012375588272</c:v>
                </c:pt>
                <c:pt idx="7">
                  <c:v>-13.836230911248748</c:v>
                </c:pt>
                <c:pt idx="8">
                  <c:v>-17.38011969286779</c:v>
                </c:pt>
                <c:pt idx="11">
                  <c:v>-18.417032105364939</c:v>
                </c:pt>
                <c:pt idx="12">
                  <c:v>-19.402002575911403</c:v>
                </c:pt>
                <c:pt idx="13">
                  <c:v>-19.517157594520107</c:v>
                </c:pt>
                <c:pt idx="14">
                  <c:v>-20.848952207926708</c:v>
                </c:pt>
                <c:pt idx="15">
                  <c:v>-21.806193017630093</c:v>
                </c:pt>
                <c:pt idx="16">
                  <c:v>-18.25114850710019</c:v>
                </c:pt>
                <c:pt idx="17">
                  <c:v>-17.891569523455164</c:v>
                </c:pt>
                <c:pt idx="18">
                  <c:v>-18.208550667762058</c:v>
                </c:pt>
                <c:pt idx="19">
                  <c:v>-18.330631216342486</c:v>
                </c:pt>
                <c:pt idx="20">
                  <c:v>-18.757303706634865</c:v>
                </c:pt>
                <c:pt idx="21">
                  <c:v>-18.732237216117387</c:v>
                </c:pt>
                <c:pt idx="22">
                  <c:v>-19.482584665324598</c:v>
                </c:pt>
                <c:pt idx="23">
                  <c:v>-20.023001858349598</c:v>
                </c:pt>
                <c:pt idx="24">
                  <c:v>-20.268244639114918</c:v>
                </c:pt>
                <c:pt idx="25">
                  <c:v>-20.707034665472968</c:v>
                </c:pt>
                <c:pt idx="26">
                  <c:v>-20.797055393628305</c:v>
                </c:pt>
                <c:pt idx="27">
                  <c:v>-20.446414004663183</c:v>
                </c:pt>
                <c:pt idx="28">
                  <c:v>-20.601744125361865</c:v>
                </c:pt>
                <c:pt idx="29">
                  <c:v>-21.122014233312392</c:v>
                </c:pt>
                <c:pt idx="30">
                  <c:v>-21.189751471709428</c:v>
                </c:pt>
                <c:pt idx="31">
                  <c:v>-21.656036944853074</c:v>
                </c:pt>
                <c:pt idx="32">
                  <c:v>-21.278338071349712</c:v>
                </c:pt>
                <c:pt idx="33">
                  <c:v>-21.013746344478168</c:v>
                </c:pt>
                <c:pt idx="34">
                  <c:v>-21.265066488184825</c:v>
                </c:pt>
                <c:pt idx="35">
                  <c:v>-22.072464543952286</c:v>
                </c:pt>
                <c:pt idx="36">
                  <c:v>-22.309909616113899</c:v>
                </c:pt>
                <c:pt idx="37">
                  <c:v>-22.670536971918676</c:v>
                </c:pt>
                <c:pt idx="38">
                  <c:v>-22.236566131336843</c:v>
                </c:pt>
                <c:pt idx="39">
                  <c:v>-22.334967700434305</c:v>
                </c:pt>
                <c:pt idx="40">
                  <c:v>-22.44198327308311</c:v>
                </c:pt>
                <c:pt idx="42">
                  <c:v>-25.218285656638528</c:v>
                </c:pt>
                <c:pt idx="43">
                  <c:v>-25.212002036439696</c:v>
                </c:pt>
                <c:pt idx="44">
                  <c:v>-25.432026343180869</c:v>
                </c:pt>
                <c:pt idx="45">
                  <c:v>-25.897956683902379</c:v>
                </c:pt>
                <c:pt idx="46">
                  <c:v>-25.897740647843115</c:v>
                </c:pt>
                <c:pt idx="47">
                  <c:v>-25.630397169236208</c:v>
                </c:pt>
                <c:pt idx="48">
                  <c:v>-25.122209303600318</c:v>
                </c:pt>
                <c:pt idx="49">
                  <c:v>-26.109040157076269</c:v>
                </c:pt>
                <c:pt idx="50">
                  <c:v>-26.340014800950051</c:v>
                </c:pt>
                <c:pt idx="51">
                  <c:v>-27.315690514682522</c:v>
                </c:pt>
                <c:pt idx="52">
                  <c:v>-26.209368177493086</c:v>
                </c:pt>
                <c:pt idx="53">
                  <c:v>-26.462210540572961</c:v>
                </c:pt>
                <c:pt idx="54">
                  <c:v>-26.60940768633635</c:v>
                </c:pt>
                <c:pt idx="55">
                  <c:v>-26.258945567340763</c:v>
                </c:pt>
                <c:pt idx="56">
                  <c:v>-26.399387822957809</c:v>
                </c:pt>
                <c:pt idx="57">
                  <c:v>-26.53114706156634</c:v>
                </c:pt>
                <c:pt idx="58">
                  <c:v>-27.330796017450698</c:v>
                </c:pt>
                <c:pt idx="59">
                  <c:v>-26.815911283480265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B65-4752-9769-BE8C9C92636B}"/>
            </c:ext>
          </c:extLst>
        </c:ser>
        <c:ser>
          <c:idx val="14"/>
          <c:order val="2"/>
          <c:tx>
            <c:strRef>
              <c:f>Convergences!$K$9</c:f>
              <c:strCache>
                <c:ptCount val="1"/>
                <c:pt idx="0">
                  <c:v>LI</c:v>
                </c:pt>
              </c:strCache>
            </c:strRef>
          </c:tx>
          <c:spPr>
            <a:ln w="158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tint val="50000"/>
                      <a:satMod val="300000"/>
                    </a:schemeClr>
                  </a:gs>
                  <a:gs pos="35000">
                    <a:schemeClr val="accent3">
                      <a:lumMod val="80000"/>
                      <a:lumOff val="20000"/>
                      <a:tint val="37000"/>
                      <a:satMod val="300000"/>
                    </a:schemeClr>
                  </a:gs>
                  <a:gs pos="100000">
                    <a:schemeClr val="accent3">
                      <a:lumMod val="80000"/>
                      <a:lumOff val="2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lumMod val="80000"/>
                    <a:lumOff val="2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Convergences!$B$10:$B$136</c:f>
              <c:numCache>
                <c:formatCode>dd\ /\ mm\ /\ yy</c:formatCode>
                <c:ptCount val="127"/>
                <c:pt idx="0">
                  <c:v>43658</c:v>
                </c:pt>
                <c:pt idx="1">
                  <c:v>43661</c:v>
                </c:pt>
                <c:pt idx="2">
                  <c:v>43662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11">
                  <c:v>43685</c:v>
                </c:pt>
                <c:pt idx="12">
                  <c:v>43689</c:v>
                </c:pt>
                <c:pt idx="13">
                  <c:v>43690</c:v>
                </c:pt>
                <c:pt idx="14">
                  <c:v>43696</c:v>
                </c:pt>
                <c:pt idx="15">
                  <c:v>43699</c:v>
                </c:pt>
                <c:pt idx="16">
                  <c:v>43704</c:v>
                </c:pt>
                <c:pt idx="17">
                  <c:v>43706</c:v>
                </c:pt>
                <c:pt idx="18">
                  <c:v>43710</c:v>
                </c:pt>
                <c:pt idx="19">
                  <c:v>43713</c:v>
                </c:pt>
                <c:pt idx="20">
                  <c:v>43718</c:v>
                </c:pt>
                <c:pt idx="21">
                  <c:v>43720</c:v>
                </c:pt>
                <c:pt idx="22">
                  <c:v>43724</c:v>
                </c:pt>
                <c:pt idx="23">
                  <c:v>43727</c:v>
                </c:pt>
                <c:pt idx="24">
                  <c:v>43731</c:v>
                </c:pt>
                <c:pt idx="25">
                  <c:v>43734</c:v>
                </c:pt>
                <c:pt idx="26">
                  <c:v>43738</c:v>
                </c:pt>
                <c:pt idx="27">
                  <c:v>43741</c:v>
                </c:pt>
                <c:pt idx="28">
                  <c:v>43746</c:v>
                </c:pt>
                <c:pt idx="29">
                  <c:v>43753</c:v>
                </c:pt>
                <c:pt idx="30">
                  <c:v>43756</c:v>
                </c:pt>
                <c:pt idx="31">
                  <c:v>43760</c:v>
                </c:pt>
                <c:pt idx="32">
                  <c:v>43762</c:v>
                </c:pt>
                <c:pt idx="33">
                  <c:v>43766</c:v>
                </c:pt>
                <c:pt idx="34">
                  <c:v>43769</c:v>
                </c:pt>
                <c:pt idx="35">
                  <c:v>43774</c:v>
                </c:pt>
                <c:pt idx="36">
                  <c:v>43776</c:v>
                </c:pt>
                <c:pt idx="37">
                  <c:v>43781</c:v>
                </c:pt>
                <c:pt idx="38">
                  <c:v>43783</c:v>
                </c:pt>
                <c:pt idx="39">
                  <c:v>43787</c:v>
                </c:pt>
                <c:pt idx="40">
                  <c:v>43790</c:v>
                </c:pt>
                <c:pt idx="41">
                  <c:v>43795</c:v>
                </c:pt>
                <c:pt idx="42">
                  <c:v>43797</c:v>
                </c:pt>
                <c:pt idx="43">
                  <c:v>43798</c:v>
                </c:pt>
                <c:pt idx="44">
                  <c:v>43801</c:v>
                </c:pt>
                <c:pt idx="45">
                  <c:v>43803</c:v>
                </c:pt>
                <c:pt idx="46">
                  <c:v>43808</c:v>
                </c:pt>
                <c:pt idx="47">
                  <c:v>43811</c:v>
                </c:pt>
                <c:pt idx="48">
                  <c:v>43815</c:v>
                </c:pt>
                <c:pt idx="49">
                  <c:v>43818</c:v>
                </c:pt>
                <c:pt idx="50">
                  <c:v>43837</c:v>
                </c:pt>
                <c:pt idx="51">
                  <c:v>43843</c:v>
                </c:pt>
                <c:pt idx="52">
                  <c:v>43850</c:v>
                </c:pt>
                <c:pt idx="53">
                  <c:v>43859</c:v>
                </c:pt>
                <c:pt idx="54">
                  <c:v>43865</c:v>
                </c:pt>
                <c:pt idx="55">
                  <c:v>43886</c:v>
                </c:pt>
                <c:pt idx="56">
                  <c:v>43970</c:v>
                </c:pt>
                <c:pt idx="57">
                  <c:v>43977</c:v>
                </c:pt>
                <c:pt idx="58">
                  <c:v>43999</c:v>
                </c:pt>
                <c:pt idx="59">
                  <c:v>44029</c:v>
                </c:pt>
                <c:pt idx="61">
                  <c:v>44082</c:v>
                </c:pt>
                <c:pt idx="63">
                  <c:v>44082</c:v>
                </c:pt>
                <c:pt idx="65">
                  <c:v>44140</c:v>
                </c:pt>
                <c:pt idx="66">
                  <c:v>44172</c:v>
                </c:pt>
                <c:pt idx="67">
                  <c:v>44229</c:v>
                </c:pt>
                <c:pt idx="69">
                  <c:v>44322</c:v>
                </c:pt>
                <c:pt idx="70">
                  <c:v>44357</c:v>
                </c:pt>
                <c:pt idx="71">
                  <c:v>44362</c:v>
                </c:pt>
                <c:pt idx="72">
                  <c:v>44369</c:v>
                </c:pt>
                <c:pt idx="73">
                  <c:v>44376</c:v>
                </c:pt>
                <c:pt idx="74">
                  <c:v>44400</c:v>
                </c:pt>
                <c:pt idx="75">
                  <c:v>44439</c:v>
                </c:pt>
                <c:pt idx="76">
                  <c:v>44474</c:v>
                </c:pt>
                <c:pt idx="77">
                  <c:v>44522</c:v>
                </c:pt>
                <c:pt idx="78">
                  <c:v>44531</c:v>
                </c:pt>
                <c:pt idx="79">
                  <c:v>44536</c:v>
                </c:pt>
                <c:pt idx="80">
                  <c:v>44543</c:v>
                </c:pt>
                <c:pt idx="81">
                  <c:v>44550</c:v>
                </c:pt>
                <c:pt idx="82">
                  <c:v>44572</c:v>
                </c:pt>
                <c:pt idx="83">
                  <c:v>44578</c:v>
                </c:pt>
                <c:pt idx="84">
                  <c:v>44595</c:v>
                </c:pt>
                <c:pt idx="85">
                  <c:v>44613</c:v>
                </c:pt>
                <c:pt idx="86">
                  <c:v>44648</c:v>
                </c:pt>
                <c:pt idx="87">
                  <c:v>44678</c:v>
                </c:pt>
                <c:pt idx="88">
                  <c:v>44711</c:v>
                </c:pt>
                <c:pt idx="89">
                  <c:v>44740</c:v>
                </c:pt>
                <c:pt idx="90">
                  <c:v>44767</c:v>
                </c:pt>
                <c:pt idx="91">
                  <c:v>44902</c:v>
                </c:pt>
                <c:pt idx="92">
                  <c:v>44915</c:v>
                </c:pt>
                <c:pt idx="93">
                  <c:v>44930</c:v>
                </c:pt>
                <c:pt idx="94">
                  <c:v>44945</c:v>
                </c:pt>
                <c:pt idx="95">
                  <c:v>44957</c:v>
                </c:pt>
                <c:pt idx="96">
                  <c:v>44988</c:v>
                </c:pt>
                <c:pt idx="97">
                  <c:v>45013</c:v>
                </c:pt>
              </c:numCache>
            </c:numRef>
          </c:xVal>
          <c:yVal>
            <c:numRef>
              <c:f>Convergences!$K$10:$K$136</c:f>
              <c:numCache>
                <c:formatCode>\+\ 0.0;\-\ 0.0;\±\ 0.0</c:formatCode>
                <c:ptCount val="127"/>
                <c:pt idx="0">
                  <c:v>0</c:v>
                </c:pt>
                <c:pt idx="1">
                  <c:v>-1.3786151142278769</c:v>
                </c:pt>
                <c:pt idx="2">
                  <c:v>-2.4908774812466561</c:v>
                </c:pt>
                <c:pt idx="3">
                  <c:v>-4.0069347401736621</c:v>
                </c:pt>
                <c:pt idx="4">
                  <c:v>-8.773181945951336</c:v>
                </c:pt>
                <c:pt idx="5">
                  <c:v>-12.544164319370665</c:v>
                </c:pt>
                <c:pt idx="6">
                  <c:v>-13.983140866692167</c:v>
                </c:pt>
                <c:pt idx="7">
                  <c:v>-15.476771769383113</c:v>
                </c:pt>
                <c:pt idx="8">
                  <c:v>-15.395035106649857</c:v>
                </c:pt>
                <c:pt idx="11">
                  <c:v>-16.303967983814616</c:v>
                </c:pt>
                <c:pt idx="12">
                  <c:v>-16.955853078855831</c:v>
                </c:pt>
                <c:pt idx="13">
                  <c:v>-16.962644506318902</c:v>
                </c:pt>
                <c:pt idx="14">
                  <c:v>-17.975543741663103</c:v>
                </c:pt>
                <c:pt idx="15">
                  <c:v>-19.092246134072788</c:v>
                </c:pt>
                <c:pt idx="16">
                  <c:v>-19.028722775032314</c:v>
                </c:pt>
                <c:pt idx="17">
                  <c:v>-18.910468253237944</c:v>
                </c:pt>
                <c:pt idx="18">
                  <c:v>-19.349240612053897</c:v>
                </c:pt>
                <c:pt idx="19">
                  <c:v>-19.51532016752644</c:v>
                </c:pt>
                <c:pt idx="20">
                  <c:v>-20.139814180263116</c:v>
                </c:pt>
                <c:pt idx="21">
                  <c:v>-20.159754021904952</c:v>
                </c:pt>
                <c:pt idx="22">
                  <c:v>-21.044787003263288</c:v>
                </c:pt>
                <c:pt idx="23">
                  <c:v>-21.380946371500009</c:v>
                </c:pt>
                <c:pt idx="24">
                  <c:v>-21.59625091096018</c:v>
                </c:pt>
                <c:pt idx="25">
                  <c:v>-22.211363598654721</c:v>
                </c:pt>
                <c:pt idx="26">
                  <c:v>-22.665814842411258</c:v>
                </c:pt>
                <c:pt idx="27">
                  <c:v>-22.210677074061103</c:v>
                </c:pt>
                <c:pt idx="28">
                  <c:v>-22.238552787150923</c:v>
                </c:pt>
                <c:pt idx="29">
                  <c:v>-22.857163012137249</c:v>
                </c:pt>
                <c:pt idx="30">
                  <c:v>-23.118883092879905</c:v>
                </c:pt>
                <c:pt idx="31">
                  <c:v>-23.285672907676691</c:v>
                </c:pt>
                <c:pt idx="32">
                  <c:v>-22.128600208575655</c:v>
                </c:pt>
                <c:pt idx="33">
                  <c:v>-22.982125493228978</c:v>
                </c:pt>
                <c:pt idx="34">
                  <c:v>-22.650640763089314</c:v>
                </c:pt>
                <c:pt idx="35">
                  <c:v>-23.795412205443789</c:v>
                </c:pt>
                <c:pt idx="36">
                  <c:v>-24.47891938659108</c:v>
                </c:pt>
                <c:pt idx="37">
                  <c:v>-24.570969660350883</c:v>
                </c:pt>
                <c:pt idx="38">
                  <c:v>-24.257304186274808</c:v>
                </c:pt>
                <c:pt idx="39">
                  <c:v>-24.250531267780318</c:v>
                </c:pt>
                <c:pt idx="40">
                  <c:v>-24.186383335495165</c:v>
                </c:pt>
                <c:pt idx="41">
                  <c:v>-24.872472342300611</c:v>
                </c:pt>
                <c:pt idx="42">
                  <c:v>-25.392568950277195</c:v>
                </c:pt>
                <c:pt idx="43">
                  <c:v>-25.382145922310251</c:v>
                </c:pt>
                <c:pt idx="44">
                  <c:v>-25.317348169149767</c:v>
                </c:pt>
                <c:pt idx="45">
                  <c:v>-25.855186580171718</c:v>
                </c:pt>
                <c:pt idx="46">
                  <c:v>-25.614646904156047</c:v>
                </c:pt>
                <c:pt idx="47">
                  <c:v>-25.598858017153781</c:v>
                </c:pt>
                <c:pt idx="48">
                  <c:v>-25.037202285191462</c:v>
                </c:pt>
                <c:pt idx="49">
                  <c:v>-25.656341892115186</c:v>
                </c:pt>
                <c:pt idx="50">
                  <c:v>-26.302833935677228</c:v>
                </c:pt>
                <c:pt idx="51">
                  <c:v>-26.582956161347759</c:v>
                </c:pt>
                <c:pt idx="52">
                  <c:v>-26.295352851495757</c:v>
                </c:pt>
                <c:pt idx="53">
                  <c:v>-25.937897528400811</c:v>
                </c:pt>
                <c:pt idx="54">
                  <c:v>-26.097885791131148</c:v>
                </c:pt>
                <c:pt idx="55">
                  <c:v>-25.828406053086006</c:v>
                </c:pt>
                <c:pt idx="56">
                  <c:v>-25.972106845847165</c:v>
                </c:pt>
                <c:pt idx="57">
                  <c:v>-26.643924643658501</c:v>
                </c:pt>
                <c:pt idx="58">
                  <c:v>-26.676723272470504</c:v>
                </c:pt>
                <c:pt idx="59">
                  <c:v>-26.364439132489537</c:v>
                </c:pt>
                <c:pt idx="61">
                  <c:v>-27.047788287249297</c:v>
                </c:pt>
                <c:pt idx="63">
                  <c:v>-26.787422820881091</c:v>
                </c:pt>
                <c:pt idx="65">
                  <c:v>-28.508782677812761</c:v>
                </c:pt>
                <c:pt idx="66">
                  <c:v>-27.800176297712476</c:v>
                </c:pt>
                <c:pt idx="67">
                  <c:v>-28.04281415892973</c:v>
                </c:pt>
                <c:pt idx="69">
                  <c:v>-27.756422204181952</c:v>
                </c:pt>
                <c:pt idx="70">
                  <c:v>-28.219860384500528</c:v>
                </c:pt>
                <c:pt idx="71">
                  <c:v>-28.135805554603266</c:v>
                </c:pt>
                <c:pt idx="72">
                  <c:v>-29.051567958952695</c:v>
                </c:pt>
                <c:pt idx="73">
                  <c:v>-29.225842432458293</c:v>
                </c:pt>
                <c:pt idx="74">
                  <c:v>-29.909876406362557</c:v>
                </c:pt>
                <c:pt idx="75">
                  <c:v>-30.982735971821995</c:v>
                </c:pt>
                <c:pt idx="76">
                  <c:v>-31.422189859852345</c:v>
                </c:pt>
                <c:pt idx="77">
                  <c:v>-31.982491882415864</c:v>
                </c:pt>
                <c:pt idx="78">
                  <c:v>-31.959320715527539</c:v>
                </c:pt>
                <c:pt idx="79">
                  <c:v>-32.63581790778769</c:v>
                </c:pt>
                <c:pt idx="80">
                  <c:v>-32.52240373434212</c:v>
                </c:pt>
                <c:pt idx="81">
                  <c:v>-32.430966773739911</c:v>
                </c:pt>
                <c:pt idx="82">
                  <c:v>-32.94268629051178</c:v>
                </c:pt>
                <c:pt idx="83">
                  <c:v>-32.345319671422068</c:v>
                </c:pt>
                <c:pt idx="84">
                  <c:v>-32.691773759205844</c:v>
                </c:pt>
                <c:pt idx="85">
                  <c:v>-33.090257649232235</c:v>
                </c:pt>
                <c:pt idx="86">
                  <c:v>-33.587107353847401</c:v>
                </c:pt>
                <c:pt idx="87">
                  <c:v>-33.725743454474433</c:v>
                </c:pt>
                <c:pt idx="88">
                  <c:v>-32.858577545059831</c:v>
                </c:pt>
                <c:pt idx="89">
                  <c:v>-34.312756478205308</c:v>
                </c:pt>
                <c:pt idx="90">
                  <c:v>-34.230071167918652</c:v>
                </c:pt>
                <c:pt idx="91">
                  <c:v>-35.436882526203028</c:v>
                </c:pt>
                <c:pt idx="92">
                  <c:v>-34.907218679241403</c:v>
                </c:pt>
                <c:pt idx="93">
                  <c:v>-35.626813192389584</c:v>
                </c:pt>
                <c:pt idx="94">
                  <c:v>-35.717692808290735</c:v>
                </c:pt>
                <c:pt idx="95">
                  <c:v>-34.907934802077101</c:v>
                </c:pt>
                <c:pt idx="96">
                  <c:v>-35.305721607775453</c:v>
                </c:pt>
                <c:pt idx="97">
                  <c:v>-35.305721607775453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B65-4752-9769-BE8C9C92636B}"/>
            </c:ext>
          </c:extLst>
        </c:ser>
        <c:ser>
          <c:idx val="3"/>
          <c:order val="4"/>
          <c:tx>
            <c:strRef>
              <c:f>Graphiques!$AC$21</c:f>
              <c:strCache>
                <c:ptCount val="1"/>
                <c:pt idx="0">
                  <c:v>Seuil de vigilance CH</c:v>
                </c:pt>
              </c:strCache>
            </c:strRef>
          </c:tx>
          <c:spPr>
            <a:ln w="15875" cap="rnd">
              <a:solidFill>
                <a:srgbClr val="FFC000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Graphiques!$AE$21:$AE$22</c:f>
              <c:numCache>
                <c:formatCode>m/d/yyyy</c:formatCode>
                <c:ptCount val="2"/>
                <c:pt idx="0">
                  <c:v>43654</c:v>
                </c:pt>
                <c:pt idx="1">
                  <c:v>44927</c:v>
                </c:pt>
              </c:numCache>
            </c:numRef>
          </c:xVal>
          <c:yVal>
            <c:numRef>
              <c:f>Graphiques!$AD$21:$AD$22</c:f>
              <c:numCache>
                <c:formatCode>General</c:formatCode>
                <c:ptCount val="2"/>
                <c:pt idx="0">
                  <c:v>-58</c:v>
                </c:pt>
                <c:pt idx="1">
                  <c:v>-58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B65-4752-9769-BE8C9C92636B}"/>
            </c:ext>
          </c:extLst>
        </c:ser>
        <c:ser>
          <c:idx val="4"/>
          <c:order val="5"/>
          <c:tx>
            <c:strRef>
              <c:f>Graphiques!$AC$23</c:f>
              <c:strCache>
                <c:ptCount val="1"/>
                <c:pt idx="0">
                  <c:v>Seuil d'alerte CH</c:v>
                </c:pt>
              </c:strCache>
            </c:strRef>
          </c:tx>
          <c:spPr>
            <a:ln w="15875" cap="rnd">
              <a:solidFill>
                <a:srgbClr val="FF0000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Graphiques!$AE$23:$AE$24</c:f>
              <c:numCache>
                <c:formatCode>m/d/yyyy</c:formatCode>
                <c:ptCount val="2"/>
                <c:pt idx="0">
                  <c:v>43654</c:v>
                </c:pt>
                <c:pt idx="1">
                  <c:v>44927</c:v>
                </c:pt>
              </c:numCache>
            </c:numRef>
          </c:xVal>
          <c:yVal>
            <c:numRef>
              <c:f>Graphiques!$AD$23:$AD$24</c:f>
              <c:numCache>
                <c:formatCode>General</c:formatCode>
                <c:ptCount val="2"/>
                <c:pt idx="0">
                  <c:v>-72</c:v>
                </c:pt>
                <c:pt idx="1">
                  <c:v>-72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B65-4752-9769-BE8C9C92636B}"/>
            </c:ext>
          </c:extLst>
        </c:ser>
        <c:ser>
          <c:idx val="5"/>
          <c:order val="6"/>
          <c:tx>
            <c:strRef>
              <c:f>Graphiques!$AB$36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xVal>
            <c:numRef>
              <c:f>Graphiques!$AD$37:$AD$71</c:f>
              <c:numCache>
                <c:formatCode>m/d/yyyy</c:formatCode>
                <c:ptCount val="35"/>
              </c:numCache>
            </c:numRef>
          </c:xVal>
          <c:yVal>
            <c:numRef>
              <c:f>Graphiques!$AE$37:$AE$71</c:f>
              <c:numCache>
                <c:formatCode>General</c:formatCode>
                <c:ptCount val="3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B65-4752-9769-BE8C9C9263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509120"/>
        <c:axId val="604509512"/>
        <c:extLst>
          <c:ext xmlns:c15="http://schemas.microsoft.com/office/drawing/2012/chart" uri="{02D57815-91ED-43cb-92C2-25804820EDAC}">
            <c15:filteredScatte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Convergences!$D$9</c15:sqref>
                        </c15:formulaRef>
                      </c:ext>
                    </c:extLst>
                    <c:strCache>
                      <c:ptCount val="1"/>
                      <c:pt idx="0">
                        <c:v>BG</c:v>
                      </c:pt>
                    </c:strCache>
                  </c:strRef>
                </c:tx>
                <c:spPr>
                  <a:ln w="158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>
                    <a:outerShdw blurRad="40000" dist="20000" dir="5400000" rotWithShape="0">
                      <a:srgbClr val="000000">
                        <a:alpha val="38000"/>
                      </a:srgbClr>
                    </a:outerShdw>
                  </a:effectLst>
                </c:spPr>
                <c:marker>
                  <c:symbol val="circle"/>
                  <c:size val="5"/>
                  <c:spPr>
                    <a:gradFill rotWithShape="1">
                      <a:gsLst>
                        <a:gs pos="0">
                          <a:schemeClr val="accent2">
                            <a:lumMod val="60000"/>
                            <a:tint val="50000"/>
                            <a:satMod val="300000"/>
                          </a:schemeClr>
                        </a:gs>
                        <a:gs pos="35000">
                          <a:schemeClr val="accent2">
                            <a:lumMod val="60000"/>
                            <a:tint val="37000"/>
                            <a:satMod val="300000"/>
                          </a:schemeClr>
                        </a:gs>
                        <a:gs pos="100000">
                          <a:schemeClr val="accent2">
                            <a:lumMod val="60000"/>
                            <a:tint val="15000"/>
                            <a:satMod val="350000"/>
                          </a:schemeClr>
                        </a:gs>
                      </a:gsLst>
                      <a:lin ang="16200000" scaled="1"/>
                    </a:gradFill>
                    <a:ln w="9525" cap="flat" cmpd="sng" algn="ctr">
                      <a:solidFill>
                        <a:schemeClr val="accent2">
                          <a:lumMod val="60000"/>
                          <a:shade val="95000"/>
                        </a:schemeClr>
                      </a:solidFill>
                      <a:round/>
                    </a:ln>
                    <a:effectLst>
                      <a:outerShdw blurRad="40000" dist="20000" dir="5400000" rotWithShape="0">
                        <a:srgbClr val="000000">
                          <a:alpha val="38000"/>
                        </a:srgbClr>
                      </a:outerShdw>
                    </a:effectLst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Convergences!$B$10:$B$36</c15:sqref>
                        </c15:formulaRef>
                      </c:ext>
                    </c:extLst>
                    <c:numCache>
                      <c:formatCode>dd\ /\ mm\ /\ yy</c:formatCode>
                      <c:ptCount val="27"/>
                      <c:pt idx="0">
                        <c:v>43658</c:v>
                      </c:pt>
                      <c:pt idx="1">
                        <c:v>43661</c:v>
                      </c:pt>
                      <c:pt idx="2">
                        <c:v>43662</c:v>
                      </c:pt>
                      <c:pt idx="3">
                        <c:v>43663</c:v>
                      </c:pt>
                      <c:pt idx="4">
                        <c:v>43669</c:v>
                      </c:pt>
                      <c:pt idx="5">
                        <c:v>43675</c:v>
                      </c:pt>
                      <c:pt idx="6">
                        <c:v>43679</c:v>
                      </c:pt>
                      <c:pt idx="7">
                        <c:v>43682</c:v>
                      </c:pt>
                      <c:pt idx="8">
                        <c:v>43684</c:v>
                      </c:pt>
                      <c:pt idx="11">
                        <c:v>43685</c:v>
                      </c:pt>
                      <c:pt idx="12">
                        <c:v>43689</c:v>
                      </c:pt>
                      <c:pt idx="13">
                        <c:v>43690</c:v>
                      </c:pt>
                      <c:pt idx="14">
                        <c:v>43696</c:v>
                      </c:pt>
                      <c:pt idx="15">
                        <c:v>43699</c:v>
                      </c:pt>
                      <c:pt idx="16">
                        <c:v>43704</c:v>
                      </c:pt>
                      <c:pt idx="17">
                        <c:v>43706</c:v>
                      </c:pt>
                      <c:pt idx="18">
                        <c:v>43710</c:v>
                      </c:pt>
                      <c:pt idx="19">
                        <c:v>43713</c:v>
                      </c:pt>
                      <c:pt idx="20">
                        <c:v>43718</c:v>
                      </c:pt>
                      <c:pt idx="21">
                        <c:v>43720</c:v>
                      </c:pt>
                      <c:pt idx="22">
                        <c:v>43724</c:v>
                      </c:pt>
                      <c:pt idx="23">
                        <c:v>43727</c:v>
                      </c:pt>
                      <c:pt idx="24">
                        <c:v>43731</c:v>
                      </c:pt>
                      <c:pt idx="25">
                        <c:v>43734</c:v>
                      </c:pt>
                      <c:pt idx="26">
                        <c:v>43738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Convergences!$D$10:$D$36</c15:sqref>
                        </c15:formulaRef>
                      </c:ext>
                    </c:extLst>
                    <c:numCache>
                      <c:formatCode>\+\ 0.0;\-\ 0.0;\±\ 0.0</c:formatCode>
                      <c:ptCount val="27"/>
                      <c:pt idx="0">
                        <c:v>0</c:v>
                      </c:pt>
                      <c:pt idx="1">
                        <c:v>-3.3861598929387782</c:v>
                      </c:pt>
                      <c:pt idx="2">
                        <c:v>-6.2870565709856052</c:v>
                      </c:pt>
                      <c:pt idx="3">
                        <c:v>-9.9229837758638695</c:v>
                      </c:pt>
                      <c:pt idx="4">
                        <c:v>-19.79429363937335</c:v>
                      </c:pt>
                      <c:pt idx="5">
                        <c:v>-29.699711664441963</c:v>
                      </c:pt>
                      <c:pt idx="6">
                        <c:v>-33.771906097574522</c:v>
                      </c:pt>
                      <c:pt idx="7">
                        <c:v>-37.294385031607646</c:v>
                      </c:pt>
                      <c:pt idx="8">
                        <c:v>-39.035275795256119</c:v>
                      </c:pt>
                      <c:pt idx="11">
                        <c:v>-38.821662918817168</c:v>
                      </c:pt>
                      <c:pt idx="12">
                        <c:v>-42.548994855922118</c:v>
                      </c:pt>
                      <c:pt idx="13">
                        <c:v>-42.838061004795591</c:v>
                      </c:pt>
                      <c:pt idx="14">
                        <c:v>-45.762990946581539</c:v>
                      </c:pt>
                      <c:pt idx="15">
                        <c:v>-47.75328785513544</c:v>
                      </c:pt>
                      <c:pt idx="16">
                        <c:v>-48.854923844510623</c:v>
                      </c:pt>
                      <c:pt idx="17">
                        <c:v>-48.992036540123074</c:v>
                      </c:pt>
                      <c:pt idx="18">
                        <c:v>-49.688226700596694</c:v>
                      </c:pt>
                      <c:pt idx="19">
                        <c:v>-50.321646660178132</c:v>
                      </c:pt>
                      <c:pt idx="20">
                        <c:v>-51.272257965250922</c:v>
                      </c:pt>
                      <c:pt idx="21">
                        <c:v>-51.642935329772044</c:v>
                      </c:pt>
                      <c:pt idx="22">
                        <c:v>-52.635834081730337</c:v>
                      </c:pt>
                      <c:pt idx="23">
                        <c:v>-53.454128126629641</c:v>
                      </c:pt>
                      <c:pt idx="24">
                        <c:v>-54.899640057374022</c:v>
                      </c:pt>
                      <c:pt idx="25">
                        <c:v>-54.830667426932322</c:v>
                      </c:pt>
                      <c:pt idx="26">
                        <c:v>-55.137326655941621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FB65-4752-9769-BE8C9C92636B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Convergences!$I$9</c15:sqref>
                        </c15:formulaRef>
                      </c:ext>
                    </c:extLst>
                    <c:strCache>
                      <c:ptCount val="1"/>
                      <c:pt idx="0">
                        <c:v>BD</c:v>
                      </c:pt>
                    </c:strCache>
                  </c:strRef>
                </c:tx>
                <c:spPr>
                  <a:ln w="158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>
                    <a:outerShdw blurRad="40000" dist="20000" dir="5400000" rotWithShape="0">
                      <a:srgbClr val="000000">
                        <a:alpha val="38000"/>
                      </a:srgbClr>
                    </a:outerShdw>
                  </a:effectLst>
                </c:spPr>
                <c:marker>
                  <c:symbol val="circle"/>
                  <c:size val="5"/>
                  <c:spPr>
                    <a:gradFill rotWithShape="1">
                      <a:gsLst>
                        <a:gs pos="0">
                          <a:schemeClr val="accent3">
                            <a:lumMod val="60000"/>
                            <a:tint val="50000"/>
                            <a:satMod val="300000"/>
                          </a:schemeClr>
                        </a:gs>
                        <a:gs pos="35000">
                          <a:schemeClr val="accent3">
                            <a:lumMod val="60000"/>
                            <a:tint val="37000"/>
                            <a:satMod val="300000"/>
                          </a:schemeClr>
                        </a:gs>
                        <a:gs pos="100000">
                          <a:schemeClr val="accent3">
                            <a:lumMod val="60000"/>
                            <a:tint val="15000"/>
                            <a:satMod val="350000"/>
                          </a:schemeClr>
                        </a:gs>
                      </a:gsLst>
                      <a:lin ang="16200000" scaled="1"/>
                    </a:gradFill>
                    <a:ln w="9525" cap="flat" cmpd="sng" algn="ctr">
                      <a:solidFill>
                        <a:schemeClr val="accent3">
                          <a:lumMod val="60000"/>
                          <a:shade val="95000"/>
                        </a:schemeClr>
                      </a:solidFill>
                      <a:round/>
                    </a:ln>
                    <a:effectLst>
                      <a:outerShdw blurRad="40000" dist="20000" dir="5400000" rotWithShape="0">
                        <a:srgbClr val="000000">
                          <a:alpha val="38000"/>
                        </a:srgbClr>
                      </a:outerShdw>
                    </a:effectLst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Convergences!$B$10:$B$36</c15:sqref>
                        </c15:formulaRef>
                      </c:ext>
                    </c:extLst>
                    <c:numCache>
                      <c:formatCode>dd\ /\ mm\ /\ yy</c:formatCode>
                      <c:ptCount val="27"/>
                      <c:pt idx="0">
                        <c:v>43658</c:v>
                      </c:pt>
                      <c:pt idx="1">
                        <c:v>43661</c:v>
                      </c:pt>
                      <c:pt idx="2">
                        <c:v>43662</c:v>
                      </c:pt>
                      <c:pt idx="3">
                        <c:v>43663</c:v>
                      </c:pt>
                      <c:pt idx="4">
                        <c:v>43669</c:v>
                      </c:pt>
                      <c:pt idx="5">
                        <c:v>43675</c:v>
                      </c:pt>
                      <c:pt idx="6">
                        <c:v>43679</c:v>
                      </c:pt>
                      <c:pt idx="7">
                        <c:v>43682</c:v>
                      </c:pt>
                      <c:pt idx="8">
                        <c:v>43684</c:v>
                      </c:pt>
                      <c:pt idx="11">
                        <c:v>43685</c:v>
                      </c:pt>
                      <c:pt idx="12">
                        <c:v>43689</c:v>
                      </c:pt>
                      <c:pt idx="13">
                        <c:v>43690</c:v>
                      </c:pt>
                      <c:pt idx="14">
                        <c:v>43696</c:v>
                      </c:pt>
                      <c:pt idx="15">
                        <c:v>43699</c:v>
                      </c:pt>
                      <c:pt idx="16">
                        <c:v>43704</c:v>
                      </c:pt>
                      <c:pt idx="17">
                        <c:v>43706</c:v>
                      </c:pt>
                      <c:pt idx="18">
                        <c:v>43710</c:v>
                      </c:pt>
                      <c:pt idx="19">
                        <c:v>43713</c:v>
                      </c:pt>
                      <c:pt idx="20">
                        <c:v>43718</c:v>
                      </c:pt>
                      <c:pt idx="21">
                        <c:v>43720</c:v>
                      </c:pt>
                      <c:pt idx="22">
                        <c:v>43724</c:v>
                      </c:pt>
                      <c:pt idx="23">
                        <c:v>43727</c:v>
                      </c:pt>
                      <c:pt idx="24">
                        <c:v>43731</c:v>
                      </c:pt>
                      <c:pt idx="25">
                        <c:v>43734</c:v>
                      </c:pt>
                      <c:pt idx="26">
                        <c:v>43738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Convergences!$I$10:$I$36</c15:sqref>
                        </c15:formulaRef>
                      </c:ext>
                    </c:extLst>
                    <c:numCache>
                      <c:formatCode>\+\ 0.0;\-\ 0.0;\±\ 0.0</c:formatCode>
                      <c:ptCount val="27"/>
                      <c:pt idx="0">
                        <c:v>0</c:v>
                      </c:pt>
                      <c:pt idx="1">
                        <c:v>-3.4759715933869728</c:v>
                      </c:pt>
                      <c:pt idx="2">
                        <c:v>-7.3156898894382039</c:v>
                      </c:pt>
                      <c:pt idx="3">
                        <c:v>-11.102121895008921</c:v>
                      </c:pt>
                      <c:pt idx="4">
                        <c:v>0</c:v>
                      </c:pt>
                      <c:pt idx="5">
                        <c:v>-4.1570054842123838</c:v>
                      </c:pt>
                      <c:pt idx="6">
                        <c:v>-11.097913267517967</c:v>
                      </c:pt>
                      <c:pt idx="7">
                        <c:v>-15.095207300314328</c:v>
                      </c:pt>
                      <c:pt idx="8">
                        <c:v>-17.01105770440936</c:v>
                      </c:pt>
                      <c:pt idx="11">
                        <c:v>-17.388472417135148</c:v>
                      </c:pt>
                      <c:pt idx="12">
                        <c:v>-20.300814399096367</c:v>
                      </c:pt>
                      <c:pt idx="13">
                        <c:v>-21.057473299481266</c:v>
                      </c:pt>
                      <c:pt idx="14">
                        <c:v>-23.267872960357927</c:v>
                      </c:pt>
                      <c:pt idx="15">
                        <c:v>-24.892777605102445</c:v>
                      </c:pt>
                      <c:pt idx="16">
                        <c:v>-26.581531179000528</c:v>
                      </c:pt>
                      <c:pt idx="17">
                        <c:v>-26.962364245949111</c:v>
                      </c:pt>
                      <c:pt idx="18">
                        <c:v>-27.696400722714287</c:v>
                      </c:pt>
                      <c:pt idx="19">
                        <c:v>-28.245104484067696</c:v>
                      </c:pt>
                      <c:pt idx="20">
                        <c:v>-29.051688512576668</c:v>
                      </c:pt>
                      <c:pt idx="21">
                        <c:v>-29.48108891102752</c:v>
                      </c:pt>
                      <c:pt idx="23">
                        <c:v>-31.114230587306224</c:v>
                      </c:pt>
                      <c:pt idx="24">
                        <c:v>-32.123671063523318</c:v>
                      </c:pt>
                      <c:pt idx="25">
                        <c:v>-32.567552929086752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B65-4752-9769-BE8C9C92636B}"/>
                  </c:ext>
                </c:extLst>
              </c15:ser>
            </c15:filteredScatterSeries>
            <c15:filteredScatterSeries>
              <c15:ser>
                <c:idx val="10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Convergences!$F$9</c15:sqref>
                        </c15:formulaRef>
                      </c:ext>
                    </c:extLst>
                    <c:strCache>
                      <c:ptCount val="1"/>
                      <c:pt idx="0">
                        <c:v>HG</c:v>
                      </c:pt>
                    </c:strCache>
                  </c:strRef>
                </c:tx>
                <c:spPr>
                  <a:ln w="158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>
                    <a:outerShdw blurRad="40000" dist="20000" dir="5400000" rotWithShape="0">
                      <a:srgbClr val="000000">
                        <a:alpha val="38000"/>
                      </a:srgbClr>
                    </a:outerShdw>
                  </a:effectLst>
                </c:spPr>
                <c:marker>
                  <c:symbol val="circle"/>
                  <c:size val="5"/>
                  <c:spPr>
                    <a:gradFill rotWithShape="1">
                      <a:gsLst>
                        <a:gs pos="0">
                          <a:schemeClr val="accent5">
                            <a:lumMod val="60000"/>
                            <a:tint val="50000"/>
                            <a:satMod val="300000"/>
                          </a:schemeClr>
                        </a:gs>
                        <a:gs pos="35000">
                          <a:schemeClr val="accent5">
                            <a:lumMod val="60000"/>
                            <a:tint val="37000"/>
                            <a:satMod val="300000"/>
                          </a:schemeClr>
                        </a:gs>
                        <a:gs pos="100000">
                          <a:schemeClr val="accent5">
                            <a:lumMod val="60000"/>
                            <a:tint val="15000"/>
                            <a:satMod val="350000"/>
                          </a:schemeClr>
                        </a:gs>
                      </a:gsLst>
                      <a:lin ang="16200000" scaled="1"/>
                    </a:gradFill>
                    <a:ln w="9525" cap="flat" cmpd="sng" algn="ctr">
                      <a:solidFill>
                        <a:schemeClr val="accent5">
                          <a:lumMod val="60000"/>
                          <a:shade val="95000"/>
                        </a:schemeClr>
                      </a:solidFill>
                      <a:round/>
                    </a:ln>
                    <a:effectLst>
                      <a:outerShdw blurRad="40000" dist="20000" dir="5400000" rotWithShape="0">
                        <a:srgbClr val="000000">
                          <a:alpha val="38000"/>
                        </a:srgbClr>
                      </a:outerShdw>
                    </a:effectLst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Convergences!$B$10:$B$36</c15:sqref>
                        </c15:formulaRef>
                      </c:ext>
                    </c:extLst>
                    <c:numCache>
                      <c:formatCode>dd\ /\ mm\ /\ yy</c:formatCode>
                      <c:ptCount val="27"/>
                      <c:pt idx="0">
                        <c:v>43658</c:v>
                      </c:pt>
                      <c:pt idx="1">
                        <c:v>43661</c:v>
                      </c:pt>
                      <c:pt idx="2">
                        <c:v>43662</c:v>
                      </c:pt>
                      <c:pt idx="3">
                        <c:v>43663</c:v>
                      </c:pt>
                      <c:pt idx="4">
                        <c:v>43669</c:v>
                      </c:pt>
                      <c:pt idx="5">
                        <c:v>43675</c:v>
                      </c:pt>
                      <c:pt idx="6">
                        <c:v>43679</c:v>
                      </c:pt>
                      <c:pt idx="7">
                        <c:v>43682</c:v>
                      </c:pt>
                      <c:pt idx="8">
                        <c:v>43684</c:v>
                      </c:pt>
                      <c:pt idx="11">
                        <c:v>43685</c:v>
                      </c:pt>
                      <c:pt idx="12">
                        <c:v>43689</c:v>
                      </c:pt>
                      <c:pt idx="13">
                        <c:v>43690</c:v>
                      </c:pt>
                      <c:pt idx="14">
                        <c:v>43696</c:v>
                      </c:pt>
                      <c:pt idx="15">
                        <c:v>43699</c:v>
                      </c:pt>
                      <c:pt idx="16">
                        <c:v>43704</c:v>
                      </c:pt>
                      <c:pt idx="17">
                        <c:v>43706</c:v>
                      </c:pt>
                      <c:pt idx="18">
                        <c:v>43710</c:v>
                      </c:pt>
                      <c:pt idx="19">
                        <c:v>43713</c:v>
                      </c:pt>
                      <c:pt idx="20">
                        <c:v>43718</c:v>
                      </c:pt>
                      <c:pt idx="21">
                        <c:v>43720</c:v>
                      </c:pt>
                      <c:pt idx="22">
                        <c:v>43724</c:v>
                      </c:pt>
                      <c:pt idx="23">
                        <c:v>43727</c:v>
                      </c:pt>
                      <c:pt idx="24">
                        <c:v>43731</c:v>
                      </c:pt>
                      <c:pt idx="25">
                        <c:v>43734</c:v>
                      </c:pt>
                      <c:pt idx="26">
                        <c:v>43738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Convergences!$F$10:$F$36</c15:sqref>
                        </c15:formulaRef>
                      </c:ext>
                    </c:extLst>
                    <c:numCache>
                      <c:formatCode>\+\ 0.0;\-\ 0.0;\±\ 0.0</c:formatCode>
                      <c:ptCount val="27"/>
                      <c:pt idx="0">
                        <c:v>0</c:v>
                      </c:pt>
                      <c:pt idx="1">
                        <c:v>-2.2412707867007775</c:v>
                      </c:pt>
                      <c:pt idx="2">
                        <c:v>-3.132955882261701</c:v>
                      </c:pt>
                      <c:pt idx="3">
                        <c:v>-5.0672580853650118</c:v>
                      </c:pt>
                      <c:pt idx="4">
                        <c:v>-9.1104497175948929</c:v>
                      </c:pt>
                      <c:pt idx="6">
                        <c:v>-15.643332080867767</c:v>
                      </c:pt>
                      <c:pt idx="7">
                        <c:v>-17.385591301754211</c:v>
                      </c:pt>
                      <c:pt idx="8">
                        <c:v>-19.674394205298597</c:v>
                      </c:pt>
                      <c:pt idx="11">
                        <c:v>-19.745018418819928</c:v>
                      </c:pt>
                      <c:pt idx="12">
                        <c:v>-21.962369299894704</c:v>
                      </c:pt>
                      <c:pt idx="13">
                        <c:v>-22.367276517116565</c:v>
                      </c:pt>
                      <c:pt idx="14">
                        <c:v>-24.06079221625146</c:v>
                      </c:pt>
                      <c:pt idx="15">
                        <c:v>-25.11802293690635</c:v>
                      </c:pt>
                      <c:pt idx="16">
                        <c:v>-25.788591815847585</c:v>
                      </c:pt>
                      <c:pt idx="17">
                        <c:v>-25.59561922615017</c:v>
                      </c:pt>
                      <c:pt idx="18">
                        <c:v>-25.952196205908386</c:v>
                      </c:pt>
                      <c:pt idx="19">
                        <c:v>-26.276989563467136</c:v>
                      </c:pt>
                      <c:pt idx="20">
                        <c:v>-26.544421336270887</c:v>
                      </c:pt>
                      <c:pt idx="21">
                        <c:v>-26.764918557547148</c:v>
                      </c:pt>
                      <c:pt idx="22">
                        <c:v>-27.266788465775573</c:v>
                      </c:pt>
                      <c:pt idx="23">
                        <c:v>-27.971003231267446</c:v>
                      </c:pt>
                      <c:pt idx="24">
                        <c:v>-28.44402136858837</c:v>
                      </c:pt>
                      <c:pt idx="25">
                        <c:v>-28.923638693794775</c:v>
                      </c:pt>
                      <c:pt idx="26">
                        <c:v>-28.792318131293683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FB65-4752-9769-BE8C9C92636B}"/>
                  </c:ext>
                </c:extLst>
              </c15:ser>
            </c15:filteredScatterSeries>
            <c15:filteredScatterSeries>
              <c15:ser>
                <c:idx val="11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Convergences!$G$9</c15:sqref>
                        </c15:formulaRef>
                      </c:ext>
                    </c:extLst>
                    <c:strCache>
                      <c:ptCount val="1"/>
                      <c:pt idx="0">
                        <c:v>HD</c:v>
                      </c:pt>
                    </c:strCache>
                  </c:strRef>
                </c:tx>
                <c:spPr>
                  <a:ln w="158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>
                    <a:outerShdw blurRad="40000" dist="20000" dir="5400000" rotWithShape="0">
                      <a:srgbClr val="000000">
                        <a:alpha val="38000"/>
                      </a:srgbClr>
                    </a:outerShdw>
                  </a:effectLst>
                </c:spPr>
                <c:marker>
                  <c:symbol val="circle"/>
                  <c:size val="5"/>
                  <c:spPr>
                    <a:gradFill rotWithShape="1">
                      <a:gsLst>
                        <a:gs pos="0">
                          <a:schemeClr val="accent6">
                            <a:lumMod val="60000"/>
                            <a:tint val="50000"/>
                            <a:satMod val="300000"/>
                          </a:schemeClr>
                        </a:gs>
                        <a:gs pos="35000">
                          <a:schemeClr val="accent6">
                            <a:lumMod val="60000"/>
                            <a:tint val="37000"/>
                            <a:satMod val="300000"/>
                          </a:schemeClr>
                        </a:gs>
                        <a:gs pos="100000">
                          <a:schemeClr val="accent6">
                            <a:lumMod val="60000"/>
                            <a:tint val="15000"/>
                            <a:satMod val="350000"/>
                          </a:schemeClr>
                        </a:gs>
                      </a:gsLst>
                      <a:lin ang="16200000" scaled="1"/>
                    </a:gradFill>
                    <a:ln w="9525" cap="flat" cmpd="sng" algn="ctr">
                      <a:solidFill>
                        <a:schemeClr val="accent6">
                          <a:lumMod val="60000"/>
                          <a:shade val="95000"/>
                        </a:schemeClr>
                      </a:solidFill>
                      <a:round/>
                    </a:ln>
                    <a:effectLst>
                      <a:outerShdw blurRad="40000" dist="20000" dir="5400000" rotWithShape="0">
                        <a:srgbClr val="000000">
                          <a:alpha val="38000"/>
                        </a:srgbClr>
                      </a:outerShdw>
                    </a:effectLst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Convergences!$B$10:$B$36</c15:sqref>
                        </c15:formulaRef>
                      </c:ext>
                    </c:extLst>
                    <c:numCache>
                      <c:formatCode>dd\ /\ mm\ /\ yy</c:formatCode>
                      <c:ptCount val="27"/>
                      <c:pt idx="0">
                        <c:v>43658</c:v>
                      </c:pt>
                      <c:pt idx="1">
                        <c:v>43661</c:v>
                      </c:pt>
                      <c:pt idx="2">
                        <c:v>43662</c:v>
                      </c:pt>
                      <c:pt idx="3">
                        <c:v>43663</c:v>
                      </c:pt>
                      <c:pt idx="4">
                        <c:v>43669</c:v>
                      </c:pt>
                      <c:pt idx="5">
                        <c:v>43675</c:v>
                      </c:pt>
                      <c:pt idx="6">
                        <c:v>43679</c:v>
                      </c:pt>
                      <c:pt idx="7">
                        <c:v>43682</c:v>
                      </c:pt>
                      <c:pt idx="8">
                        <c:v>43684</c:v>
                      </c:pt>
                      <c:pt idx="11">
                        <c:v>43685</c:v>
                      </c:pt>
                      <c:pt idx="12">
                        <c:v>43689</c:v>
                      </c:pt>
                      <c:pt idx="13">
                        <c:v>43690</c:v>
                      </c:pt>
                      <c:pt idx="14">
                        <c:v>43696</c:v>
                      </c:pt>
                      <c:pt idx="15">
                        <c:v>43699</c:v>
                      </c:pt>
                      <c:pt idx="16">
                        <c:v>43704</c:v>
                      </c:pt>
                      <c:pt idx="17">
                        <c:v>43706</c:v>
                      </c:pt>
                      <c:pt idx="18">
                        <c:v>43710</c:v>
                      </c:pt>
                      <c:pt idx="19">
                        <c:v>43713</c:v>
                      </c:pt>
                      <c:pt idx="20">
                        <c:v>43718</c:v>
                      </c:pt>
                      <c:pt idx="21">
                        <c:v>43720</c:v>
                      </c:pt>
                      <c:pt idx="22">
                        <c:v>43724</c:v>
                      </c:pt>
                      <c:pt idx="23">
                        <c:v>43727</c:v>
                      </c:pt>
                      <c:pt idx="24">
                        <c:v>43731</c:v>
                      </c:pt>
                      <c:pt idx="25">
                        <c:v>43734</c:v>
                      </c:pt>
                      <c:pt idx="26">
                        <c:v>43738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Convergences!$G$10:$G$36</c15:sqref>
                        </c15:formulaRef>
                      </c:ext>
                    </c:extLst>
                    <c:numCache>
                      <c:formatCode>\+\ 0.0;\-\ 0.0;\±\ 0.0</c:formatCode>
                      <c:ptCount val="27"/>
                      <c:pt idx="0">
                        <c:v>0</c:v>
                      </c:pt>
                      <c:pt idx="1">
                        <c:v>-0.78323330531504531</c:v>
                      </c:pt>
                      <c:pt idx="2">
                        <c:v>-1.7363126222160741</c:v>
                      </c:pt>
                      <c:pt idx="3">
                        <c:v>-2.8214405081936622</c:v>
                      </c:pt>
                      <c:pt idx="4">
                        <c:v>-5.336098170271919</c:v>
                      </c:pt>
                      <c:pt idx="5">
                        <c:v>-8.7989674370088089</c:v>
                      </c:pt>
                      <c:pt idx="6">
                        <c:v>-12.888754040982997</c:v>
                      </c:pt>
                      <c:pt idx="7">
                        <c:v>-15.245143915110893</c:v>
                      </c:pt>
                      <c:pt idx="8">
                        <c:v>-17.795136219741934</c:v>
                      </c:pt>
                      <c:pt idx="11">
                        <c:v>-18.930237794595236</c:v>
                      </c:pt>
                      <c:pt idx="12">
                        <c:v>-19.396682385435902</c:v>
                      </c:pt>
                      <c:pt idx="13">
                        <c:v>-19.254993292896039</c:v>
                      </c:pt>
                      <c:pt idx="14">
                        <c:v>-20.065804698703225</c:v>
                      </c:pt>
                      <c:pt idx="15">
                        <c:v>-20.647980549946208</c:v>
                      </c:pt>
                      <c:pt idx="16">
                        <c:v>-13.418220616602248</c:v>
                      </c:pt>
                      <c:pt idx="17">
                        <c:v>-13.548801601496184</c:v>
                      </c:pt>
                      <c:pt idx="18">
                        <c:v>-13.788957567158143</c:v>
                      </c:pt>
                      <c:pt idx="19">
                        <c:v>-13.829187726146939</c:v>
                      </c:pt>
                      <c:pt idx="20">
                        <c:v>-14.338604172213552</c:v>
                      </c:pt>
                      <c:pt idx="21">
                        <c:v>-14.339582229073276</c:v>
                      </c:pt>
                      <c:pt idx="22">
                        <c:v>-15.060861839492954</c:v>
                      </c:pt>
                      <c:pt idx="23">
                        <c:v>-15.053343550537555</c:v>
                      </c:pt>
                      <c:pt idx="24">
                        <c:v>-15.089006235209144</c:v>
                      </c:pt>
                      <c:pt idx="25">
                        <c:v>-15.281394145179926</c:v>
                      </c:pt>
                      <c:pt idx="26">
                        <c:v>-15.61414445246556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FB65-4752-9769-BE8C9C92636B}"/>
                  </c:ext>
                </c:extLst>
              </c15:ser>
            </c15:filteredScatterSeries>
            <c15:filteredScatterSeries>
              <c15:ser>
                <c:idx val="13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Convergences!$E$9</c15:sqref>
                        </c15:formulaRef>
                      </c:ext>
                    </c:extLst>
                    <c:strCache>
                      <c:ptCount val="1"/>
                      <c:pt idx="0">
                        <c:v>IG</c:v>
                      </c:pt>
                    </c:strCache>
                  </c:strRef>
                </c:tx>
                <c:spPr>
                  <a:ln w="158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>
                    <a:outerShdw blurRad="40000" dist="20000" dir="5400000" rotWithShape="0">
                      <a:srgbClr val="000000">
                        <a:alpha val="38000"/>
                      </a:srgbClr>
                    </a:outerShdw>
                  </a:effectLst>
                </c:spPr>
                <c:marker>
                  <c:symbol val="circle"/>
                  <c:size val="5"/>
                  <c:spPr>
                    <a:gradFill rotWithShape="1">
                      <a:gsLst>
                        <a:gs pos="0">
                          <a:schemeClr val="accent2">
                            <a:lumMod val="80000"/>
                            <a:lumOff val="20000"/>
                            <a:tint val="50000"/>
                            <a:satMod val="300000"/>
                          </a:schemeClr>
                        </a:gs>
                        <a:gs pos="35000">
                          <a:schemeClr val="accent2">
                            <a:lumMod val="80000"/>
                            <a:lumOff val="20000"/>
                            <a:tint val="37000"/>
                            <a:satMod val="300000"/>
                          </a:schemeClr>
                        </a:gs>
                        <a:gs pos="100000">
                          <a:schemeClr val="accent2">
                            <a:lumMod val="80000"/>
                            <a:lumOff val="20000"/>
                            <a:tint val="15000"/>
                            <a:satMod val="350000"/>
                          </a:schemeClr>
                        </a:gs>
                      </a:gsLst>
                      <a:lin ang="16200000" scaled="1"/>
                    </a:gradFill>
                    <a:ln w="9525" cap="flat" cmpd="sng" algn="ctr">
                      <a:solidFill>
                        <a:schemeClr val="accent2">
                          <a:lumMod val="80000"/>
                          <a:lumOff val="20000"/>
                          <a:shade val="95000"/>
                        </a:schemeClr>
                      </a:solidFill>
                      <a:round/>
                    </a:ln>
                    <a:effectLst>
                      <a:outerShdw blurRad="40000" dist="20000" dir="5400000" rotWithShape="0">
                        <a:srgbClr val="000000">
                          <a:alpha val="38000"/>
                        </a:srgbClr>
                      </a:outerShdw>
                    </a:effectLst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Convergences!$B$10:$B$36</c15:sqref>
                        </c15:formulaRef>
                      </c:ext>
                    </c:extLst>
                    <c:numCache>
                      <c:formatCode>dd\ /\ mm\ /\ yy</c:formatCode>
                      <c:ptCount val="27"/>
                      <c:pt idx="0">
                        <c:v>43658</c:v>
                      </c:pt>
                      <c:pt idx="1">
                        <c:v>43661</c:v>
                      </c:pt>
                      <c:pt idx="2">
                        <c:v>43662</c:v>
                      </c:pt>
                      <c:pt idx="3">
                        <c:v>43663</c:v>
                      </c:pt>
                      <c:pt idx="4">
                        <c:v>43669</c:v>
                      </c:pt>
                      <c:pt idx="5">
                        <c:v>43675</c:v>
                      </c:pt>
                      <c:pt idx="6">
                        <c:v>43679</c:v>
                      </c:pt>
                      <c:pt idx="7">
                        <c:v>43682</c:v>
                      </c:pt>
                      <c:pt idx="8">
                        <c:v>43684</c:v>
                      </c:pt>
                      <c:pt idx="11">
                        <c:v>43685</c:v>
                      </c:pt>
                      <c:pt idx="12">
                        <c:v>43689</c:v>
                      </c:pt>
                      <c:pt idx="13">
                        <c:v>43690</c:v>
                      </c:pt>
                      <c:pt idx="14">
                        <c:v>43696</c:v>
                      </c:pt>
                      <c:pt idx="15">
                        <c:v>43699</c:v>
                      </c:pt>
                      <c:pt idx="16">
                        <c:v>43704</c:v>
                      </c:pt>
                      <c:pt idx="17">
                        <c:v>43706</c:v>
                      </c:pt>
                      <c:pt idx="18">
                        <c:v>43710</c:v>
                      </c:pt>
                      <c:pt idx="19">
                        <c:v>43713</c:v>
                      </c:pt>
                      <c:pt idx="20">
                        <c:v>43718</c:v>
                      </c:pt>
                      <c:pt idx="21">
                        <c:v>43720</c:v>
                      </c:pt>
                      <c:pt idx="22">
                        <c:v>43724</c:v>
                      </c:pt>
                      <c:pt idx="23">
                        <c:v>43727</c:v>
                      </c:pt>
                      <c:pt idx="24">
                        <c:v>43731</c:v>
                      </c:pt>
                      <c:pt idx="25">
                        <c:v>43734</c:v>
                      </c:pt>
                      <c:pt idx="26">
                        <c:v>43738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Convergences!$E$10:$E$36</c15:sqref>
                        </c15:formulaRef>
                      </c:ext>
                    </c:extLst>
                    <c:numCache>
                      <c:formatCode>\+\ 0.0;\-\ 0.0;\±\ 0.0</c:formatCode>
                      <c:ptCount val="27"/>
                      <c:pt idx="0">
                        <c:v>0</c:v>
                      </c:pt>
                      <c:pt idx="1">
                        <c:v>-3.2880461720137255</c:v>
                      </c:pt>
                      <c:pt idx="2">
                        <c:v>-5.399668439002081</c:v>
                      </c:pt>
                      <c:pt idx="3">
                        <c:v>-8.4988295520465051</c:v>
                      </c:pt>
                      <c:pt idx="4">
                        <c:v>-16.867969949094341</c:v>
                      </c:pt>
                      <c:pt idx="5">
                        <c:v>-25.180447141104345</c:v>
                      </c:pt>
                      <c:pt idx="6">
                        <c:v>-28.188657568936737</c:v>
                      </c:pt>
                      <c:pt idx="7">
                        <c:v>-31.394687220394069</c:v>
                      </c:pt>
                      <c:pt idx="8">
                        <c:v>-32.867686724067369</c:v>
                      </c:pt>
                      <c:pt idx="11">
                        <c:v>-32.932116189466228</c:v>
                      </c:pt>
                      <c:pt idx="12">
                        <c:v>-36.170742512409149</c:v>
                      </c:pt>
                      <c:pt idx="13">
                        <c:v>-36.451970471715889</c:v>
                      </c:pt>
                      <c:pt idx="14">
                        <c:v>-38.766849677605023</c:v>
                      </c:pt>
                      <c:pt idx="15">
                        <c:v>-40.646144974466395</c:v>
                      </c:pt>
                      <c:pt idx="16">
                        <c:v>-41.430325421527584</c:v>
                      </c:pt>
                      <c:pt idx="17">
                        <c:v>-41.367216230823622</c:v>
                      </c:pt>
                      <c:pt idx="18">
                        <c:v>-42.08975627170819</c:v>
                      </c:pt>
                      <c:pt idx="19">
                        <c:v>-42.71692333634158</c:v>
                      </c:pt>
                      <c:pt idx="20">
                        <c:v>-43.188998278321122</c:v>
                      </c:pt>
                      <c:pt idx="21">
                        <c:v>-43.437466883351036</c:v>
                      </c:pt>
                      <c:pt idx="22">
                        <c:v>-44.387046048838918</c:v>
                      </c:pt>
                      <c:pt idx="23">
                        <c:v>-45.114949194713816</c:v>
                      </c:pt>
                      <c:pt idx="24">
                        <c:v>-45.878354724540941</c:v>
                      </c:pt>
                      <c:pt idx="25">
                        <c:v>-46.303627684064708</c:v>
                      </c:pt>
                      <c:pt idx="26">
                        <c:v>-46.555656598699088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FB65-4752-9769-BE8C9C92636B}"/>
                  </c:ext>
                </c:extLst>
              </c15:ser>
            </c15:filteredScatterSeries>
          </c:ext>
        </c:extLst>
      </c:scatterChart>
      <c:scatterChart>
        <c:scatterStyle val="lineMarker"/>
        <c:varyColors val="0"/>
        <c:ser>
          <c:idx val="0"/>
          <c:order val="3"/>
          <c:tx>
            <c:v>PM Front</c:v>
          </c:tx>
          <c:spPr>
            <a:ln w="15875" cap="rnd">
              <a:solidFill>
                <a:schemeClr val="accent1"/>
              </a:solidFill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xVal>
            <c:strRef>
              <c:f>('Résultats observations'!$A$10:$A$18,'Résultats observations'!$A$20:$A$99)</c:f>
              <c:strCache>
                <c:ptCount val="89"/>
                <c:pt idx="0">
                  <c:v>12 / 07 / 19</c:v>
                </c:pt>
                <c:pt idx="1">
                  <c:v>15 / 07 / 19</c:v>
                </c:pt>
                <c:pt idx="2">
                  <c:v>16 / 07 / 19</c:v>
                </c:pt>
                <c:pt idx="3">
                  <c:v>17 / 07 / 19</c:v>
                </c:pt>
                <c:pt idx="4">
                  <c:v>23 / 07 / 19</c:v>
                </c:pt>
                <c:pt idx="5">
                  <c:v>29 / 07 / 19</c:v>
                </c:pt>
                <c:pt idx="6">
                  <c:v>02 / 08 / 19</c:v>
                </c:pt>
                <c:pt idx="7">
                  <c:v>05 / 08 / 19</c:v>
                </c:pt>
                <c:pt idx="8">
                  <c:v>07 / 08 / 19</c:v>
                </c:pt>
                <c:pt idx="9">
                  <c:v>07 / 08 / 19</c:v>
                </c:pt>
                <c:pt idx="10">
                  <c:v>08 / 08 / 19</c:v>
                </c:pt>
                <c:pt idx="11">
                  <c:v>12 / 08 / 19</c:v>
                </c:pt>
                <c:pt idx="12">
                  <c:v>13 / 08 / 19</c:v>
                </c:pt>
                <c:pt idx="13">
                  <c:v>19 / 08 / 19</c:v>
                </c:pt>
                <c:pt idx="14">
                  <c:v>22 / 08 / 19</c:v>
                </c:pt>
                <c:pt idx="15">
                  <c:v>27 / 08 / 19</c:v>
                </c:pt>
                <c:pt idx="16">
                  <c:v>29 / 08 / 19</c:v>
                </c:pt>
                <c:pt idx="17">
                  <c:v>02 / 09 / 19</c:v>
                </c:pt>
                <c:pt idx="18">
                  <c:v>05 / 09 / 19</c:v>
                </c:pt>
                <c:pt idx="19">
                  <c:v>10 / 09 / 19</c:v>
                </c:pt>
                <c:pt idx="20">
                  <c:v>12 / 09 / 19</c:v>
                </c:pt>
                <c:pt idx="21">
                  <c:v>16 / 09 / 19</c:v>
                </c:pt>
                <c:pt idx="22">
                  <c:v>19 / 09 / 19</c:v>
                </c:pt>
                <c:pt idx="23">
                  <c:v>23 / 09 / 19</c:v>
                </c:pt>
                <c:pt idx="24">
                  <c:v>26 / 09 / 19</c:v>
                </c:pt>
                <c:pt idx="25">
                  <c:v>30 / 09 / 19</c:v>
                </c:pt>
                <c:pt idx="26">
                  <c:v>03 / 10 / 19</c:v>
                </c:pt>
                <c:pt idx="27">
                  <c:v>08 / 10 / 19</c:v>
                </c:pt>
                <c:pt idx="28">
                  <c:v>15 / 10 / 19</c:v>
                </c:pt>
                <c:pt idx="29">
                  <c:v>18 / 10 / 19</c:v>
                </c:pt>
                <c:pt idx="30">
                  <c:v>22 / 10 / 19</c:v>
                </c:pt>
                <c:pt idx="31">
                  <c:v>24 / 10 / 19</c:v>
                </c:pt>
                <c:pt idx="32">
                  <c:v>28 / 10 / 19</c:v>
                </c:pt>
                <c:pt idx="33">
                  <c:v>31 / 10 / 19</c:v>
                </c:pt>
                <c:pt idx="34">
                  <c:v>05 / 11 / 19</c:v>
                </c:pt>
                <c:pt idx="35">
                  <c:v>07 / 11 / 19</c:v>
                </c:pt>
                <c:pt idx="36">
                  <c:v>12 / 11 / 19</c:v>
                </c:pt>
                <c:pt idx="37">
                  <c:v>14 / 11 / 19</c:v>
                </c:pt>
                <c:pt idx="38">
                  <c:v>18 / 11 / 19</c:v>
                </c:pt>
                <c:pt idx="39">
                  <c:v>21 / 11 / 19</c:v>
                </c:pt>
                <c:pt idx="40">
                  <c:v>26 / 11 / 19</c:v>
                </c:pt>
                <c:pt idx="41">
                  <c:v>28 / 11 / 19</c:v>
                </c:pt>
                <c:pt idx="42">
                  <c:v>29 / 11 / 19</c:v>
                </c:pt>
                <c:pt idx="43">
                  <c:v>02 / 12 / 19</c:v>
                </c:pt>
                <c:pt idx="44">
                  <c:v>04 / 12 / 19</c:v>
                </c:pt>
                <c:pt idx="45">
                  <c:v>09 / 12 / 19</c:v>
                </c:pt>
                <c:pt idx="46">
                  <c:v>12 / 12 / 19</c:v>
                </c:pt>
                <c:pt idx="47">
                  <c:v>16 / 12 / 19</c:v>
                </c:pt>
                <c:pt idx="48">
                  <c:v>19 / 12 / 19</c:v>
                </c:pt>
                <c:pt idx="49">
                  <c:v>07 / 01 / 20</c:v>
                </c:pt>
                <c:pt idx="50">
                  <c:v>13 / 01 / 20</c:v>
                </c:pt>
                <c:pt idx="51">
                  <c:v>20 / 01 / 20</c:v>
                </c:pt>
                <c:pt idx="52">
                  <c:v>29 / 01 / 20</c:v>
                </c:pt>
                <c:pt idx="53">
                  <c:v>04 / 02 / 20</c:v>
                </c:pt>
                <c:pt idx="54">
                  <c:v>25 / 02 / 20</c:v>
                </c:pt>
                <c:pt idx="55">
                  <c:v>19 / 05 / 20</c:v>
                </c:pt>
                <c:pt idx="56">
                  <c:v>26 / 05 / 20</c:v>
                </c:pt>
                <c:pt idx="57">
                  <c:v>17 / 06 / 20</c:v>
                </c:pt>
                <c:pt idx="58">
                  <c:v>17 / 07 / 20</c:v>
                </c:pt>
                <c:pt idx="59">
                  <c:v>12 / 08 / 20</c:v>
                </c:pt>
                <c:pt idx="60">
                  <c:v>08 / 09 / 20</c:v>
                </c:pt>
                <c:pt idx="61">
                  <c:v>CHANGEMENT DE SYSTÈME DE COORDONNEES</c:v>
                </c:pt>
                <c:pt idx="62">
                  <c:v>08 / 09 / 20</c:v>
                </c:pt>
                <c:pt idx="63">
                  <c:v>passation andra</c:v>
                </c:pt>
                <c:pt idx="64">
                  <c:v>05 / 11 / 20</c:v>
                </c:pt>
                <c:pt idx="65">
                  <c:v>07 / 12 / 20</c:v>
                </c:pt>
                <c:pt idx="66">
                  <c:v>02 / 02 / 21</c:v>
                </c:pt>
                <c:pt idx="67">
                  <c:v>18 / 03 / 21</c:v>
                </c:pt>
                <c:pt idx="68">
                  <c:v>06 / 05 / 21</c:v>
                </c:pt>
                <c:pt idx="69">
                  <c:v>10 / 06 / 21</c:v>
                </c:pt>
                <c:pt idx="70">
                  <c:v>15 / 06 / 21</c:v>
                </c:pt>
                <c:pt idx="71">
                  <c:v>22 / 06 / 21</c:v>
                </c:pt>
                <c:pt idx="72">
                  <c:v>29 / 06 / 21</c:v>
                </c:pt>
                <c:pt idx="73">
                  <c:v>23 / 07 / 21</c:v>
                </c:pt>
                <c:pt idx="74">
                  <c:v>31 / 08 / 21</c:v>
                </c:pt>
                <c:pt idx="75">
                  <c:v>05 / 10 / 21</c:v>
                </c:pt>
                <c:pt idx="76">
                  <c:v>22 / 11 / 21</c:v>
                </c:pt>
                <c:pt idx="77">
                  <c:v>01 / 12 / 21</c:v>
                </c:pt>
                <c:pt idx="78">
                  <c:v>06 / 12 / 21</c:v>
                </c:pt>
                <c:pt idx="79">
                  <c:v>13 / 12 / 21</c:v>
                </c:pt>
                <c:pt idx="80">
                  <c:v>20 / 12 / 21</c:v>
                </c:pt>
                <c:pt idx="81">
                  <c:v>11 / 01 / 22</c:v>
                </c:pt>
                <c:pt idx="82">
                  <c:v>17 / 01 / 22</c:v>
                </c:pt>
                <c:pt idx="83">
                  <c:v>03 / 02 / 22</c:v>
                </c:pt>
                <c:pt idx="84">
                  <c:v>21 / 02 / 22</c:v>
                </c:pt>
                <c:pt idx="85">
                  <c:v>28 / 03 / 22</c:v>
                </c:pt>
                <c:pt idx="86">
                  <c:v>27 / 04 / 22</c:v>
                </c:pt>
                <c:pt idx="87">
                  <c:v>30 / 05 / 22</c:v>
                </c:pt>
                <c:pt idx="88">
                  <c:v>28 / 06 / 22</c:v>
                </c:pt>
              </c:strCache>
            </c:strRef>
          </c:xVal>
          <c:yVal>
            <c:numRef>
              <c:f>('Résultats observations'!$C$10:$C$18,'Résultats observations'!$C$20:$C$99)</c:f>
              <c:numCache>
                <c:formatCode>0.0</c:formatCode>
                <c:ptCount val="89"/>
                <c:pt idx="0">
                  <c:v>186.15</c:v>
                </c:pt>
                <c:pt idx="1">
                  <c:v>186.15</c:v>
                </c:pt>
                <c:pt idx="2">
                  <c:v>187.2</c:v>
                </c:pt>
                <c:pt idx="3">
                  <c:v>188.17</c:v>
                </c:pt>
                <c:pt idx="4">
                  <c:v>189.23</c:v>
                </c:pt>
                <c:pt idx="5">
                  <c:v>191.5</c:v>
                </c:pt>
                <c:pt idx="6">
                  <c:v>193.04</c:v>
                </c:pt>
                <c:pt idx="7">
                  <c:v>193.04</c:v>
                </c:pt>
                <c:pt idx="8">
                  <c:v>193.66</c:v>
                </c:pt>
                <c:pt idx="9">
                  <c:v>193.66</c:v>
                </c:pt>
                <c:pt idx="10">
                  <c:v>193.66</c:v>
                </c:pt>
                <c:pt idx="11">
                  <c:v>194.8</c:v>
                </c:pt>
                <c:pt idx="12">
                  <c:v>194.8</c:v>
                </c:pt>
                <c:pt idx="13">
                  <c:v>195.4</c:v>
                </c:pt>
                <c:pt idx="14">
                  <c:v>196.35</c:v>
                </c:pt>
                <c:pt idx="15">
                  <c:v>197.2</c:v>
                </c:pt>
                <c:pt idx="16">
                  <c:v>198.3</c:v>
                </c:pt>
                <c:pt idx="17">
                  <c:v>199.4</c:v>
                </c:pt>
                <c:pt idx="18">
                  <c:v>200.6</c:v>
                </c:pt>
                <c:pt idx="19">
                  <c:v>202.58</c:v>
                </c:pt>
                <c:pt idx="20">
                  <c:v>203.6</c:v>
                </c:pt>
                <c:pt idx="21">
                  <c:v>203.6</c:v>
                </c:pt>
                <c:pt idx="22">
                  <c:v>206.32</c:v>
                </c:pt>
                <c:pt idx="23">
                  <c:v>206.32</c:v>
                </c:pt>
                <c:pt idx="24">
                  <c:v>206.32</c:v>
                </c:pt>
                <c:pt idx="25">
                  <c:v>206.32</c:v>
                </c:pt>
                <c:pt idx="26">
                  <c:v>207.2</c:v>
                </c:pt>
                <c:pt idx="27">
                  <c:v>208.3</c:v>
                </c:pt>
                <c:pt idx="28">
                  <c:v>211.45</c:v>
                </c:pt>
                <c:pt idx="29">
                  <c:v>213.5</c:v>
                </c:pt>
                <c:pt idx="30">
                  <c:v>213.98</c:v>
                </c:pt>
                <c:pt idx="31">
                  <c:v>215</c:v>
                </c:pt>
                <c:pt idx="32">
                  <c:v>215.56</c:v>
                </c:pt>
                <c:pt idx="33">
                  <c:v>216.87</c:v>
                </c:pt>
                <c:pt idx="34">
                  <c:v>217.87</c:v>
                </c:pt>
                <c:pt idx="35">
                  <c:v>218.9</c:v>
                </c:pt>
                <c:pt idx="36">
                  <c:v>218.9</c:v>
                </c:pt>
                <c:pt idx="37">
                  <c:v>220.5</c:v>
                </c:pt>
                <c:pt idx="38">
                  <c:v>221.7</c:v>
                </c:pt>
                <c:pt idx="39">
                  <c:v>222.9</c:v>
                </c:pt>
                <c:pt idx="40">
                  <c:v>222.9</c:v>
                </c:pt>
                <c:pt idx="41">
                  <c:v>222.9</c:v>
                </c:pt>
                <c:pt idx="42">
                  <c:v>222.9</c:v>
                </c:pt>
                <c:pt idx="43">
                  <c:v>222.9</c:v>
                </c:pt>
                <c:pt idx="44">
                  <c:v>222.9</c:v>
                </c:pt>
                <c:pt idx="45">
                  <c:v>222.9</c:v>
                </c:pt>
                <c:pt idx="46">
                  <c:v>222.9</c:v>
                </c:pt>
                <c:pt idx="47">
                  <c:v>222.9</c:v>
                </c:pt>
                <c:pt idx="48">
                  <c:v>222.9</c:v>
                </c:pt>
                <c:pt idx="49">
                  <c:v>222.9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222.9</c:v>
                </c:pt>
                <c:pt idx="60">
                  <c:v>222.9</c:v>
                </c:pt>
                <c:pt idx="62">
                  <c:v>222.9</c:v>
                </c:pt>
                <c:pt idx="64">
                  <c:v>222.9</c:v>
                </c:pt>
                <c:pt idx="65">
                  <c:v>222.9</c:v>
                </c:pt>
                <c:pt idx="66">
                  <c:v>222.9</c:v>
                </c:pt>
                <c:pt idx="67">
                  <c:v>222.9</c:v>
                </c:pt>
                <c:pt idx="68">
                  <c:v>222.9</c:v>
                </c:pt>
                <c:pt idx="69">
                  <c:v>222.9</c:v>
                </c:pt>
                <c:pt idx="70">
                  <c:v>222.9</c:v>
                </c:pt>
                <c:pt idx="71">
                  <c:v>222.9</c:v>
                </c:pt>
                <c:pt idx="72">
                  <c:v>222.9</c:v>
                </c:pt>
                <c:pt idx="73">
                  <c:v>222.9</c:v>
                </c:pt>
                <c:pt idx="74">
                  <c:v>222.9</c:v>
                </c:pt>
                <c:pt idx="75">
                  <c:v>222.9</c:v>
                </c:pt>
                <c:pt idx="76">
                  <c:v>222.9</c:v>
                </c:pt>
                <c:pt idx="77">
                  <c:v>222.9</c:v>
                </c:pt>
                <c:pt idx="78">
                  <c:v>222.9</c:v>
                </c:pt>
                <c:pt idx="79">
                  <c:v>222.9</c:v>
                </c:pt>
                <c:pt idx="80">
                  <c:v>222.9</c:v>
                </c:pt>
                <c:pt idx="81">
                  <c:v>222.9</c:v>
                </c:pt>
                <c:pt idx="82">
                  <c:v>222.9</c:v>
                </c:pt>
                <c:pt idx="83">
                  <c:v>222.9</c:v>
                </c:pt>
                <c:pt idx="84">
                  <c:v>222.9</c:v>
                </c:pt>
                <c:pt idx="85">
                  <c:v>222.9</c:v>
                </c:pt>
                <c:pt idx="86">
                  <c:v>222.9</c:v>
                </c:pt>
                <c:pt idx="87">
                  <c:v>222.9</c:v>
                </c:pt>
                <c:pt idx="88">
                  <c:v>222.9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B65-4752-9769-BE8C9C9263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510296"/>
        <c:axId val="604509904"/>
      </c:scatterChart>
      <c:valAx>
        <c:axId val="604509120"/>
        <c:scaling>
          <c:orientation val="minMax"/>
          <c:max val="45043"/>
          <c:min val="4365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Date</a:t>
                </a:r>
              </a:p>
            </c:rich>
          </c:tx>
          <c:layout>
            <c:manualLayout>
              <c:xMode val="edge"/>
              <c:yMode val="edge"/>
              <c:x val="0.88909976285118764"/>
              <c:y val="0.864887774678397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dd\ /\ mm\ /\ yy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509512"/>
        <c:crossesAt val="0"/>
        <c:crossBetween val="midCat"/>
        <c:majorUnit val="30"/>
      </c:valAx>
      <c:valAx>
        <c:axId val="604509512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Convergence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\+\ 0.0;\-\ 0.0;\±\ 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509120"/>
        <c:crosses val="autoZero"/>
        <c:crossBetween val="midCat"/>
        <c:majorUnit val="5"/>
        <c:minorUnit val="1"/>
      </c:valAx>
      <c:valAx>
        <c:axId val="604509904"/>
        <c:scaling>
          <c:orientation val="minMax"/>
          <c:max val="225"/>
          <c:min val="185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PM Front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510296"/>
        <c:crosses val="max"/>
        <c:crossBetween val="midCat"/>
      </c:valAx>
      <c:valAx>
        <c:axId val="604510296"/>
        <c:scaling>
          <c:orientation val="minMax"/>
        </c:scaling>
        <c:delete val="0"/>
        <c:axPos val="t"/>
        <c:numFmt formatCode="dd\ /\ mm\ /\ yy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509904"/>
        <c:crosses val="max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42985330378128223"/>
          <c:y val="0.64158467038239519"/>
          <c:w val="0.37320317531278563"/>
          <c:h val="4.8434797190558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0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 alignWithMargins="0"/>
    <c:pageMargins b="0.98425196899999956" l="0.78740157499999996" r="0.78740157499999996" t="0.98425196899999956" header="0.4921259845000045" footer="0.492125984500004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Déplacement en Z</a:t>
            </a:r>
          </a:p>
        </c:rich>
      </c:tx>
      <c:layout>
        <c:manualLayout>
          <c:xMode val="edge"/>
          <c:yMode val="edge"/>
          <c:x val="0.42116532057287082"/>
          <c:y val="9.202358673775652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6758248843572708E-2"/>
          <c:y val="5.7452773560255632E-2"/>
          <c:w val="0.82298957241880533"/>
          <c:h val="0.75375798877158295"/>
        </c:manualLayout>
      </c:layout>
      <c:scatterChart>
        <c:scatterStyle val="lineMarker"/>
        <c:varyColors val="0"/>
        <c:ser>
          <c:idx val="9"/>
          <c:order val="0"/>
          <c:tx>
            <c:strRef>
              <c:f>Déplacements!$E$9</c:f>
              <c:strCache>
                <c:ptCount val="1"/>
                <c:pt idx="0">
                  <c:v>DZ bas gauche</c:v>
                </c:pt>
              </c:strCache>
            </c:strRef>
          </c:tx>
          <c:spPr>
            <a:ln w="15875" cap="rnd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4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4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Déplacements!$B$10:$B$132</c:f>
              <c:numCache>
                <c:formatCode>dd\ /\ mm\ /\ yy</c:formatCode>
                <c:ptCount val="123"/>
                <c:pt idx="0">
                  <c:v>43658</c:v>
                </c:pt>
                <c:pt idx="1">
                  <c:v>43661</c:v>
                </c:pt>
                <c:pt idx="2">
                  <c:v>43662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11">
                  <c:v>43685</c:v>
                </c:pt>
                <c:pt idx="12">
                  <c:v>43689</c:v>
                </c:pt>
                <c:pt idx="13">
                  <c:v>43690</c:v>
                </c:pt>
                <c:pt idx="14">
                  <c:v>43696</c:v>
                </c:pt>
                <c:pt idx="15">
                  <c:v>43699</c:v>
                </c:pt>
                <c:pt idx="16">
                  <c:v>43704</c:v>
                </c:pt>
                <c:pt idx="17">
                  <c:v>43706</c:v>
                </c:pt>
                <c:pt idx="18">
                  <c:v>43710</c:v>
                </c:pt>
                <c:pt idx="19">
                  <c:v>43713</c:v>
                </c:pt>
                <c:pt idx="20">
                  <c:v>43718</c:v>
                </c:pt>
                <c:pt idx="21">
                  <c:v>43720</c:v>
                </c:pt>
                <c:pt idx="22">
                  <c:v>43724</c:v>
                </c:pt>
                <c:pt idx="23">
                  <c:v>43727</c:v>
                </c:pt>
                <c:pt idx="24">
                  <c:v>43731</c:v>
                </c:pt>
                <c:pt idx="25">
                  <c:v>43734</c:v>
                </c:pt>
                <c:pt idx="26">
                  <c:v>43738</c:v>
                </c:pt>
                <c:pt idx="27">
                  <c:v>43741</c:v>
                </c:pt>
                <c:pt idx="28">
                  <c:v>43746</c:v>
                </c:pt>
                <c:pt idx="29">
                  <c:v>43753</c:v>
                </c:pt>
                <c:pt idx="30">
                  <c:v>43756</c:v>
                </c:pt>
                <c:pt idx="31">
                  <c:v>43760</c:v>
                </c:pt>
                <c:pt idx="32">
                  <c:v>43762</c:v>
                </c:pt>
                <c:pt idx="33">
                  <c:v>43766</c:v>
                </c:pt>
                <c:pt idx="34">
                  <c:v>43769</c:v>
                </c:pt>
                <c:pt idx="35">
                  <c:v>43774</c:v>
                </c:pt>
                <c:pt idx="36">
                  <c:v>43776</c:v>
                </c:pt>
                <c:pt idx="37">
                  <c:v>43781</c:v>
                </c:pt>
                <c:pt idx="38">
                  <c:v>43783</c:v>
                </c:pt>
                <c:pt idx="39">
                  <c:v>43787</c:v>
                </c:pt>
                <c:pt idx="40">
                  <c:v>43790</c:v>
                </c:pt>
                <c:pt idx="41">
                  <c:v>43795</c:v>
                </c:pt>
                <c:pt idx="42">
                  <c:v>43797</c:v>
                </c:pt>
                <c:pt idx="43">
                  <c:v>43798</c:v>
                </c:pt>
                <c:pt idx="44">
                  <c:v>43801</c:v>
                </c:pt>
                <c:pt idx="45">
                  <c:v>43803</c:v>
                </c:pt>
                <c:pt idx="46">
                  <c:v>43808</c:v>
                </c:pt>
                <c:pt idx="47">
                  <c:v>43811</c:v>
                </c:pt>
                <c:pt idx="48">
                  <c:v>43815</c:v>
                </c:pt>
                <c:pt idx="49">
                  <c:v>43818</c:v>
                </c:pt>
                <c:pt idx="50">
                  <c:v>43837</c:v>
                </c:pt>
                <c:pt idx="51">
                  <c:v>43843</c:v>
                </c:pt>
                <c:pt idx="52">
                  <c:v>43850</c:v>
                </c:pt>
                <c:pt idx="53">
                  <c:v>43859</c:v>
                </c:pt>
                <c:pt idx="54">
                  <c:v>43865</c:v>
                </c:pt>
                <c:pt idx="55">
                  <c:v>43886</c:v>
                </c:pt>
                <c:pt idx="56">
                  <c:v>43970</c:v>
                </c:pt>
                <c:pt idx="57">
                  <c:v>43977</c:v>
                </c:pt>
                <c:pt idx="58">
                  <c:v>43999</c:v>
                </c:pt>
                <c:pt idx="59">
                  <c:v>44029</c:v>
                </c:pt>
                <c:pt idx="61">
                  <c:v>44082</c:v>
                </c:pt>
                <c:pt idx="63">
                  <c:v>44082</c:v>
                </c:pt>
                <c:pt idx="65">
                  <c:v>44140</c:v>
                </c:pt>
                <c:pt idx="66">
                  <c:v>44172</c:v>
                </c:pt>
                <c:pt idx="67">
                  <c:v>44229</c:v>
                </c:pt>
                <c:pt idx="69">
                  <c:v>44322</c:v>
                </c:pt>
                <c:pt idx="70">
                  <c:v>44357</c:v>
                </c:pt>
                <c:pt idx="71">
                  <c:v>44362</c:v>
                </c:pt>
                <c:pt idx="72">
                  <c:v>44369</c:v>
                </c:pt>
                <c:pt idx="73">
                  <c:v>44376</c:v>
                </c:pt>
                <c:pt idx="74">
                  <c:v>44400</c:v>
                </c:pt>
                <c:pt idx="75">
                  <c:v>44439</c:v>
                </c:pt>
                <c:pt idx="76">
                  <c:v>44474</c:v>
                </c:pt>
                <c:pt idx="77">
                  <c:v>44522</c:v>
                </c:pt>
                <c:pt idx="78">
                  <c:v>44531</c:v>
                </c:pt>
                <c:pt idx="79">
                  <c:v>44536</c:v>
                </c:pt>
                <c:pt idx="80">
                  <c:v>44543</c:v>
                </c:pt>
                <c:pt idx="81">
                  <c:v>44550</c:v>
                </c:pt>
                <c:pt idx="82">
                  <c:v>44572</c:v>
                </c:pt>
                <c:pt idx="83">
                  <c:v>44578</c:v>
                </c:pt>
                <c:pt idx="84">
                  <c:v>44595</c:v>
                </c:pt>
                <c:pt idx="85">
                  <c:v>44613</c:v>
                </c:pt>
                <c:pt idx="86">
                  <c:v>44648</c:v>
                </c:pt>
                <c:pt idx="87">
                  <c:v>44678</c:v>
                </c:pt>
                <c:pt idx="88">
                  <c:v>44711</c:v>
                </c:pt>
                <c:pt idx="89">
                  <c:v>44740</c:v>
                </c:pt>
                <c:pt idx="90">
                  <c:v>44767</c:v>
                </c:pt>
                <c:pt idx="91">
                  <c:v>44902</c:v>
                </c:pt>
                <c:pt idx="92">
                  <c:v>44915</c:v>
                </c:pt>
                <c:pt idx="93">
                  <c:v>44930</c:v>
                </c:pt>
                <c:pt idx="94">
                  <c:v>44945</c:v>
                </c:pt>
                <c:pt idx="95">
                  <c:v>44957</c:v>
                </c:pt>
                <c:pt idx="96">
                  <c:v>44988</c:v>
                </c:pt>
                <c:pt idx="97">
                  <c:v>45013</c:v>
                </c:pt>
              </c:numCache>
            </c:numRef>
          </c:xVal>
          <c:yVal>
            <c:numRef>
              <c:f>Déplacements!$E$10:$E$132</c:f>
              <c:numCache>
                <c:formatCode>\+\ 0.0;\-\ 0.0;\±\ 0.0</c:formatCode>
                <c:ptCount val="123"/>
                <c:pt idx="0">
                  <c:v>0</c:v>
                </c:pt>
                <c:pt idx="1">
                  <c:v>0.56666666667126719</c:v>
                </c:pt>
                <c:pt idx="2">
                  <c:v>1.1000000000080945</c:v>
                </c:pt>
                <c:pt idx="3">
                  <c:v>1.5999999999962711</c:v>
                </c:pt>
                <c:pt idx="4">
                  <c:v>4.5999999999963848</c:v>
                </c:pt>
                <c:pt idx="5">
                  <c:v>1.90000000000623</c:v>
                </c:pt>
                <c:pt idx="6">
                  <c:v>0.20000000000663931</c:v>
                </c:pt>
                <c:pt idx="7">
                  <c:v>1.0000000000047748</c:v>
                </c:pt>
                <c:pt idx="8">
                  <c:v>1.1000000000080945</c:v>
                </c:pt>
                <c:pt idx="11">
                  <c:v>1.300000000000523</c:v>
                </c:pt>
                <c:pt idx="12">
                  <c:v>1.300000000000523</c:v>
                </c:pt>
                <c:pt idx="13">
                  <c:v>2.0000000000095497</c:v>
                </c:pt>
                <c:pt idx="14">
                  <c:v>2.3000000000052978</c:v>
                </c:pt>
                <c:pt idx="15">
                  <c:v>1.6999999999995907</c:v>
                </c:pt>
                <c:pt idx="16">
                  <c:v>1.6000000000104819</c:v>
                </c:pt>
                <c:pt idx="17">
                  <c:v>2.4000000000086175</c:v>
                </c:pt>
                <c:pt idx="18">
                  <c:v>2.0000000000095497</c:v>
                </c:pt>
                <c:pt idx="19">
                  <c:v>3.0000000000001137</c:v>
                </c:pt>
                <c:pt idx="20">
                  <c:v>2.6000000000010459</c:v>
                </c:pt>
                <c:pt idx="21">
                  <c:v>2.0999999999986585</c:v>
                </c:pt>
                <c:pt idx="22">
                  <c:v>1.90000000000623</c:v>
                </c:pt>
                <c:pt idx="23">
                  <c:v>2.6000000000010459</c:v>
                </c:pt>
                <c:pt idx="24">
                  <c:v>3.200000000006753</c:v>
                </c:pt>
                <c:pt idx="25">
                  <c:v>2.2000000000019782</c:v>
                </c:pt>
                <c:pt idx="26">
                  <c:v>2.5000000000119371</c:v>
                </c:pt>
                <c:pt idx="27">
                  <c:v>2.7000000000043656</c:v>
                </c:pt>
                <c:pt idx="28">
                  <c:v>2.9666666666656738</c:v>
                </c:pt>
                <c:pt idx="29">
                  <c:v>2.6833333333371456</c:v>
                </c:pt>
                <c:pt idx="30">
                  <c:v>2.7000000000043656</c:v>
                </c:pt>
                <c:pt idx="31">
                  <c:v>2.7000000000043656</c:v>
                </c:pt>
                <c:pt idx="32">
                  <c:v>2.5000000000119371</c:v>
                </c:pt>
                <c:pt idx="33">
                  <c:v>2.3000000000052978</c:v>
                </c:pt>
                <c:pt idx="34">
                  <c:v>2.8000000000076852</c:v>
                </c:pt>
                <c:pt idx="35">
                  <c:v>3.3000000000100727</c:v>
                </c:pt>
                <c:pt idx="36">
                  <c:v>2.5000000000119371</c:v>
                </c:pt>
                <c:pt idx="37">
                  <c:v>2.9000000000110049</c:v>
                </c:pt>
                <c:pt idx="38">
                  <c:v>3.3999999999991815</c:v>
                </c:pt>
                <c:pt idx="39">
                  <c:v>3.5000000000025011</c:v>
                </c:pt>
                <c:pt idx="40">
                  <c:v>3.1000000000034333</c:v>
                </c:pt>
                <c:pt idx="41">
                  <c:v>3.1000000000034333</c:v>
                </c:pt>
                <c:pt idx="42">
                  <c:v>3.0000000000001137</c:v>
                </c:pt>
                <c:pt idx="43">
                  <c:v>3.3000000000100727</c:v>
                </c:pt>
                <c:pt idx="44">
                  <c:v>2.9000000000110049</c:v>
                </c:pt>
                <c:pt idx="45">
                  <c:v>3.3000000000100727</c:v>
                </c:pt>
                <c:pt idx="46">
                  <c:v>3.3999999999991815</c:v>
                </c:pt>
                <c:pt idx="47">
                  <c:v>3.6000000000058208</c:v>
                </c:pt>
                <c:pt idx="48">
                  <c:v>3.3999999999991815</c:v>
                </c:pt>
                <c:pt idx="49">
                  <c:v>3.5000000000025011</c:v>
                </c:pt>
                <c:pt idx="50">
                  <c:v>3.9000000000015689</c:v>
                </c:pt>
                <c:pt idx="51">
                  <c:v>3.7000000000091404</c:v>
                </c:pt>
                <c:pt idx="52">
                  <c:v>4.1000000000082082</c:v>
                </c:pt>
                <c:pt idx="53">
                  <c:v>1.6999999999995907</c:v>
                </c:pt>
                <c:pt idx="54">
                  <c:v>2.5000000000119371</c:v>
                </c:pt>
                <c:pt idx="55">
                  <c:v>3.3999999999991815</c:v>
                </c:pt>
                <c:pt idx="56">
                  <c:v>3.6000000000058208</c:v>
                </c:pt>
                <c:pt idx="57">
                  <c:v>3.3999999999991815</c:v>
                </c:pt>
                <c:pt idx="58">
                  <c:v>3.9000000000015689</c:v>
                </c:pt>
                <c:pt idx="59">
                  <c:v>4.0000000000048885</c:v>
                </c:pt>
                <c:pt idx="61">
                  <c:v>3.3999999999991815</c:v>
                </c:pt>
                <c:pt idx="63">
                  <c:v>3.3999999999991815</c:v>
                </c:pt>
                <c:pt idx="69">
                  <c:v>3.9000000000015689</c:v>
                </c:pt>
                <c:pt idx="70">
                  <c:v>3.1000000000034333</c:v>
                </c:pt>
                <c:pt idx="71">
                  <c:v>2.2000000000019782</c:v>
                </c:pt>
                <c:pt idx="72">
                  <c:v>2.6999999999901547</c:v>
                </c:pt>
                <c:pt idx="73">
                  <c:v>2.7999999999934744</c:v>
                </c:pt>
                <c:pt idx="74">
                  <c:v>2.899999999996794</c:v>
                </c:pt>
                <c:pt idx="75">
                  <c:v>4.9999999999954525</c:v>
                </c:pt>
                <c:pt idx="76">
                  <c:v>3.6999999999949296</c:v>
                </c:pt>
                <c:pt idx="77">
                  <c:v>3.5999999999916099</c:v>
                </c:pt>
                <c:pt idx="78">
                  <c:v>3.9000000000015689</c:v>
                </c:pt>
                <c:pt idx="79">
                  <c:v>3.0000000000001137</c:v>
                </c:pt>
                <c:pt idx="80">
                  <c:v>3.6999999999949296</c:v>
                </c:pt>
                <c:pt idx="81">
                  <c:v>3.3999999999991815</c:v>
                </c:pt>
                <c:pt idx="82">
                  <c:v>3.3999999999991815</c:v>
                </c:pt>
                <c:pt idx="83">
                  <c:v>3.9999999999906777</c:v>
                </c:pt>
                <c:pt idx="84">
                  <c:v>2.299999999991087</c:v>
                </c:pt>
                <c:pt idx="85">
                  <c:v>3.5000000000025011</c:v>
                </c:pt>
                <c:pt idx="86">
                  <c:v>3.2999999999958618</c:v>
                </c:pt>
                <c:pt idx="87">
                  <c:v>3.5999999999916099</c:v>
                </c:pt>
                <c:pt idx="88">
                  <c:v>3.2999999999958618</c:v>
                </c:pt>
                <c:pt idx="89">
                  <c:v>3.5000000000025011</c:v>
                </c:pt>
                <c:pt idx="90">
                  <c:v>4.0666666666737683</c:v>
                </c:pt>
                <c:pt idx="91">
                  <c:v>4.5999999999963848</c:v>
                </c:pt>
                <c:pt idx="92">
                  <c:v>4.0999999999939973</c:v>
                </c:pt>
                <c:pt idx="93">
                  <c:v>4.199999999997317</c:v>
                </c:pt>
                <c:pt idx="94">
                  <c:v>3.7999999999982492</c:v>
                </c:pt>
                <c:pt idx="95">
                  <c:v>3.9000000000015689</c:v>
                </c:pt>
                <c:pt idx="96">
                  <c:v>3.6999999999949296</c:v>
                </c:pt>
                <c:pt idx="97">
                  <c:v>3.1999999999925421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4C-454F-9CCA-E9BC667E20AD}"/>
            </c:ext>
          </c:extLst>
        </c:ser>
        <c:ser>
          <c:idx val="12"/>
          <c:order val="1"/>
          <c:tx>
            <c:strRef>
              <c:f>Déplacements!$H$9</c:f>
              <c:strCache>
                <c:ptCount val="1"/>
                <c:pt idx="0">
                  <c:v>DZ inter gauche</c:v>
                </c:pt>
              </c:strCache>
            </c:strRef>
          </c:tx>
          <c:spPr>
            <a:ln w="158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tint val="50000"/>
                      <a:satMod val="300000"/>
                    </a:schemeClr>
                  </a:gs>
                  <a:gs pos="35000">
                    <a:schemeClr val="accent1">
                      <a:lumMod val="80000"/>
                      <a:lumOff val="20000"/>
                      <a:tint val="37000"/>
                      <a:satMod val="300000"/>
                    </a:schemeClr>
                  </a:gs>
                  <a:gs pos="100000">
                    <a:schemeClr val="accent1">
                      <a:lumMod val="80000"/>
                      <a:lumOff val="2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lumMod val="80000"/>
                    <a:lumOff val="2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Déplacements!$B$10:$B$132</c:f>
              <c:numCache>
                <c:formatCode>dd\ /\ mm\ /\ yy</c:formatCode>
                <c:ptCount val="123"/>
                <c:pt idx="0">
                  <c:v>43658</c:v>
                </c:pt>
                <c:pt idx="1">
                  <c:v>43661</c:v>
                </c:pt>
                <c:pt idx="2">
                  <c:v>43662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11">
                  <c:v>43685</c:v>
                </c:pt>
                <c:pt idx="12">
                  <c:v>43689</c:v>
                </c:pt>
                <c:pt idx="13">
                  <c:v>43690</c:v>
                </c:pt>
                <c:pt idx="14">
                  <c:v>43696</c:v>
                </c:pt>
                <c:pt idx="15">
                  <c:v>43699</c:v>
                </c:pt>
                <c:pt idx="16">
                  <c:v>43704</c:v>
                </c:pt>
                <c:pt idx="17">
                  <c:v>43706</c:v>
                </c:pt>
                <c:pt idx="18">
                  <c:v>43710</c:v>
                </c:pt>
                <c:pt idx="19">
                  <c:v>43713</c:v>
                </c:pt>
                <c:pt idx="20">
                  <c:v>43718</c:v>
                </c:pt>
                <c:pt idx="21">
                  <c:v>43720</c:v>
                </c:pt>
                <c:pt idx="22">
                  <c:v>43724</c:v>
                </c:pt>
                <c:pt idx="23">
                  <c:v>43727</c:v>
                </c:pt>
                <c:pt idx="24">
                  <c:v>43731</c:v>
                </c:pt>
                <c:pt idx="25">
                  <c:v>43734</c:v>
                </c:pt>
                <c:pt idx="26">
                  <c:v>43738</c:v>
                </c:pt>
                <c:pt idx="27">
                  <c:v>43741</c:v>
                </c:pt>
                <c:pt idx="28">
                  <c:v>43746</c:v>
                </c:pt>
                <c:pt idx="29">
                  <c:v>43753</c:v>
                </c:pt>
                <c:pt idx="30">
                  <c:v>43756</c:v>
                </c:pt>
                <c:pt idx="31">
                  <c:v>43760</c:v>
                </c:pt>
                <c:pt idx="32">
                  <c:v>43762</c:v>
                </c:pt>
                <c:pt idx="33">
                  <c:v>43766</c:v>
                </c:pt>
                <c:pt idx="34">
                  <c:v>43769</c:v>
                </c:pt>
                <c:pt idx="35">
                  <c:v>43774</c:v>
                </c:pt>
                <c:pt idx="36">
                  <c:v>43776</c:v>
                </c:pt>
                <c:pt idx="37">
                  <c:v>43781</c:v>
                </c:pt>
                <c:pt idx="38">
                  <c:v>43783</c:v>
                </c:pt>
                <c:pt idx="39">
                  <c:v>43787</c:v>
                </c:pt>
                <c:pt idx="40">
                  <c:v>43790</c:v>
                </c:pt>
                <c:pt idx="41">
                  <c:v>43795</c:v>
                </c:pt>
                <c:pt idx="42">
                  <c:v>43797</c:v>
                </c:pt>
                <c:pt idx="43">
                  <c:v>43798</c:v>
                </c:pt>
                <c:pt idx="44">
                  <c:v>43801</c:v>
                </c:pt>
                <c:pt idx="45">
                  <c:v>43803</c:v>
                </c:pt>
                <c:pt idx="46">
                  <c:v>43808</c:v>
                </c:pt>
                <c:pt idx="47">
                  <c:v>43811</c:v>
                </c:pt>
                <c:pt idx="48">
                  <c:v>43815</c:v>
                </c:pt>
                <c:pt idx="49">
                  <c:v>43818</c:v>
                </c:pt>
                <c:pt idx="50">
                  <c:v>43837</c:v>
                </c:pt>
                <c:pt idx="51">
                  <c:v>43843</c:v>
                </c:pt>
                <c:pt idx="52">
                  <c:v>43850</c:v>
                </c:pt>
                <c:pt idx="53">
                  <c:v>43859</c:v>
                </c:pt>
                <c:pt idx="54">
                  <c:v>43865</c:v>
                </c:pt>
                <c:pt idx="55">
                  <c:v>43886</c:v>
                </c:pt>
                <c:pt idx="56">
                  <c:v>43970</c:v>
                </c:pt>
                <c:pt idx="57">
                  <c:v>43977</c:v>
                </c:pt>
                <c:pt idx="58">
                  <c:v>43999</c:v>
                </c:pt>
                <c:pt idx="59">
                  <c:v>44029</c:v>
                </c:pt>
                <c:pt idx="61">
                  <c:v>44082</c:v>
                </c:pt>
                <c:pt idx="63">
                  <c:v>44082</c:v>
                </c:pt>
                <c:pt idx="65">
                  <c:v>44140</c:v>
                </c:pt>
                <c:pt idx="66">
                  <c:v>44172</c:v>
                </c:pt>
                <c:pt idx="67">
                  <c:v>44229</c:v>
                </c:pt>
                <c:pt idx="69">
                  <c:v>44322</c:v>
                </c:pt>
                <c:pt idx="70">
                  <c:v>44357</c:v>
                </c:pt>
                <c:pt idx="71">
                  <c:v>44362</c:v>
                </c:pt>
                <c:pt idx="72">
                  <c:v>44369</c:v>
                </c:pt>
                <c:pt idx="73">
                  <c:v>44376</c:v>
                </c:pt>
                <c:pt idx="74">
                  <c:v>44400</c:v>
                </c:pt>
                <c:pt idx="75">
                  <c:v>44439</c:v>
                </c:pt>
                <c:pt idx="76">
                  <c:v>44474</c:v>
                </c:pt>
                <c:pt idx="77">
                  <c:v>44522</c:v>
                </c:pt>
                <c:pt idx="78">
                  <c:v>44531</c:v>
                </c:pt>
                <c:pt idx="79">
                  <c:v>44536</c:v>
                </c:pt>
                <c:pt idx="80">
                  <c:v>44543</c:v>
                </c:pt>
                <c:pt idx="81">
                  <c:v>44550</c:v>
                </c:pt>
                <c:pt idx="82">
                  <c:v>44572</c:v>
                </c:pt>
                <c:pt idx="83">
                  <c:v>44578</c:v>
                </c:pt>
                <c:pt idx="84">
                  <c:v>44595</c:v>
                </c:pt>
                <c:pt idx="85">
                  <c:v>44613</c:v>
                </c:pt>
                <c:pt idx="86">
                  <c:v>44648</c:v>
                </c:pt>
                <c:pt idx="87">
                  <c:v>44678</c:v>
                </c:pt>
                <c:pt idx="88">
                  <c:v>44711</c:v>
                </c:pt>
                <c:pt idx="89">
                  <c:v>44740</c:v>
                </c:pt>
                <c:pt idx="90">
                  <c:v>44767</c:v>
                </c:pt>
                <c:pt idx="91">
                  <c:v>44902</c:v>
                </c:pt>
                <c:pt idx="92">
                  <c:v>44915</c:v>
                </c:pt>
                <c:pt idx="93">
                  <c:v>44930</c:v>
                </c:pt>
                <c:pt idx="94">
                  <c:v>44945</c:v>
                </c:pt>
                <c:pt idx="95">
                  <c:v>44957</c:v>
                </c:pt>
                <c:pt idx="96">
                  <c:v>44988</c:v>
                </c:pt>
                <c:pt idx="97">
                  <c:v>45013</c:v>
                </c:pt>
              </c:numCache>
            </c:numRef>
          </c:xVal>
          <c:yVal>
            <c:numRef>
              <c:f>Déplacements!$H$10:$H$111</c:f>
              <c:numCache>
                <c:formatCode>\+\ 0.0;\-\ 0.0;\±\ 0.0</c:formatCode>
                <c:ptCount val="102"/>
                <c:pt idx="0">
                  <c:v>0</c:v>
                </c:pt>
                <c:pt idx="1">
                  <c:v>0.4500000000007276</c:v>
                </c:pt>
                <c:pt idx="2">
                  <c:v>1.1500000000097543</c:v>
                </c:pt>
                <c:pt idx="3">
                  <c:v>1.3500000000021828</c:v>
                </c:pt>
                <c:pt idx="4">
                  <c:v>4.0500000000065484</c:v>
                </c:pt>
                <c:pt idx="5">
                  <c:v>1.1500000000097543</c:v>
                </c:pt>
                <c:pt idx="6">
                  <c:v>-0.4500000000007276</c:v>
                </c:pt>
                <c:pt idx="7">
                  <c:v>0.34999999999740794</c:v>
                </c:pt>
                <c:pt idx="8">
                  <c:v>0.55000000000404725</c:v>
                </c:pt>
                <c:pt idx="11">
                  <c:v>0.55000000000404725</c:v>
                </c:pt>
                <c:pt idx="12">
                  <c:v>0.55000000000404725</c:v>
                </c:pt>
                <c:pt idx="13">
                  <c:v>1.1500000000097543</c:v>
                </c:pt>
                <c:pt idx="14">
                  <c:v>1.2499999999988631</c:v>
                </c:pt>
                <c:pt idx="15">
                  <c:v>0.65000000000736691</c:v>
                </c:pt>
                <c:pt idx="16">
                  <c:v>0.65000000000736691</c:v>
                </c:pt>
                <c:pt idx="17">
                  <c:v>1.4500000000055024</c:v>
                </c:pt>
                <c:pt idx="18">
                  <c:v>1.1500000000097543</c:v>
                </c:pt>
                <c:pt idx="19">
                  <c:v>2.0500000000112095</c:v>
                </c:pt>
                <c:pt idx="20">
                  <c:v>1.4500000000055024</c:v>
                </c:pt>
                <c:pt idx="21">
                  <c:v>0.75000000001068656</c:v>
                </c:pt>
                <c:pt idx="22">
                  <c:v>0.75000000001068656</c:v>
                </c:pt>
                <c:pt idx="23">
                  <c:v>1.4500000000055024</c:v>
                </c:pt>
                <c:pt idx="24">
                  <c:v>1.5500000000088221</c:v>
                </c:pt>
                <c:pt idx="25">
                  <c:v>0.84999999999979536</c:v>
                </c:pt>
                <c:pt idx="26">
                  <c:v>1.0500000000064347</c:v>
                </c:pt>
                <c:pt idx="27">
                  <c:v>1.3500000000021828</c:v>
                </c:pt>
                <c:pt idx="28">
                  <c:v>1.7333333333482415</c:v>
                </c:pt>
                <c:pt idx="29">
                  <c:v>1.2999999999863121</c:v>
                </c:pt>
                <c:pt idx="30">
                  <c:v>1.0500000000064347</c:v>
                </c:pt>
                <c:pt idx="31">
                  <c:v>0.95000000000311502</c:v>
                </c:pt>
                <c:pt idx="32">
                  <c:v>1.4500000000055024</c:v>
                </c:pt>
                <c:pt idx="33">
                  <c:v>1.1500000000097543</c:v>
                </c:pt>
                <c:pt idx="34">
                  <c:v>1.7500000000012506</c:v>
                </c:pt>
                <c:pt idx="35">
                  <c:v>1.8500000000045702</c:v>
                </c:pt>
                <c:pt idx="36">
                  <c:v>0.75000000001068656</c:v>
                </c:pt>
                <c:pt idx="37">
                  <c:v>1.2499999999988631</c:v>
                </c:pt>
                <c:pt idx="38">
                  <c:v>1.8500000000045702</c:v>
                </c:pt>
                <c:pt idx="39">
                  <c:v>1.7500000000012506</c:v>
                </c:pt>
                <c:pt idx="40">
                  <c:v>1.4500000000055024</c:v>
                </c:pt>
                <c:pt idx="41">
                  <c:v>1.1500000000097543</c:v>
                </c:pt>
                <c:pt idx="42">
                  <c:v>1.1500000000097543</c:v>
                </c:pt>
                <c:pt idx="43">
                  <c:v>1.4500000000055024</c:v>
                </c:pt>
                <c:pt idx="44">
                  <c:v>1.0500000000064347</c:v>
                </c:pt>
                <c:pt idx="45">
                  <c:v>1.3500000000021828</c:v>
                </c:pt>
                <c:pt idx="46">
                  <c:v>1.5500000000088221</c:v>
                </c:pt>
                <c:pt idx="47">
                  <c:v>1.4500000000055024</c:v>
                </c:pt>
                <c:pt idx="48">
                  <c:v>1.6500000000121418</c:v>
                </c:pt>
                <c:pt idx="49">
                  <c:v>1.4500000000055024</c:v>
                </c:pt>
                <c:pt idx="50">
                  <c:v>1.7500000000012506</c:v>
                </c:pt>
                <c:pt idx="51">
                  <c:v>1.4500000000055024</c:v>
                </c:pt>
                <c:pt idx="52">
                  <c:v>1.8500000000045702</c:v>
                </c:pt>
                <c:pt idx="53">
                  <c:v>1.8500000000045702</c:v>
                </c:pt>
                <c:pt idx="54">
                  <c:v>1.5500000000088221</c:v>
                </c:pt>
                <c:pt idx="55">
                  <c:v>2.1500000000003183</c:v>
                </c:pt>
                <c:pt idx="56">
                  <c:v>1.4500000000055024</c:v>
                </c:pt>
                <c:pt idx="57">
                  <c:v>1.0500000000064347</c:v>
                </c:pt>
                <c:pt idx="58">
                  <c:v>1.5500000000088221</c:v>
                </c:pt>
                <c:pt idx="59">
                  <c:v>1.5500000000088221</c:v>
                </c:pt>
                <c:pt idx="61">
                  <c:v>1.0500000000064347</c:v>
                </c:pt>
                <c:pt idx="63">
                  <c:v>1.0500000000064347</c:v>
                </c:pt>
                <c:pt idx="65">
                  <c:v>1.1499999999955435</c:v>
                </c:pt>
                <c:pt idx="66">
                  <c:v>0.4500000000007276</c:v>
                </c:pt>
                <c:pt idx="67">
                  <c:v>1.4500000000055024</c:v>
                </c:pt>
                <c:pt idx="69">
                  <c:v>0.95000000000311502</c:v>
                </c:pt>
                <c:pt idx="70">
                  <c:v>5.0000000001659828E-2</c:v>
                </c:pt>
                <c:pt idx="71">
                  <c:v>-0.95000000000311502</c:v>
                </c:pt>
                <c:pt idx="72">
                  <c:v>-0.64999999999315605</c:v>
                </c:pt>
                <c:pt idx="73">
                  <c:v>-0.55000000000404725</c:v>
                </c:pt>
                <c:pt idx="74">
                  <c:v>-0.4500000000007276</c:v>
                </c:pt>
                <c:pt idx="75">
                  <c:v>1.3500000000021828</c:v>
                </c:pt>
                <c:pt idx="76">
                  <c:v>5.0000000001659828E-2</c:v>
                </c:pt>
                <c:pt idx="77">
                  <c:v>-0.4500000000007276</c:v>
                </c:pt>
                <c:pt idx="78">
                  <c:v>-0.15000000000497948</c:v>
                </c:pt>
                <c:pt idx="79">
                  <c:v>-1.0500000000064347</c:v>
                </c:pt>
                <c:pt idx="80">
                  <c:v>-0.34999999999740794</c:v>
                </c:pt>
                <c:pt idx="81">
                  <c:v>-0.4500000000007276</c:v>
                </c:pt>
                <c:pt idx="82">
                  <c:v>-0.64999999999315605</c:v>
                </c:pt>
                <c:pt idx="83">
                  <c:v>-0.15000000000497948</c:v>
                </c:pt>
                <c:pt idx="84">
                  <c:v>-1.7500000000012506</c:v>
                </c:pt>
                <c:pt idx="85">
                  <c:v>-0.64999999999315605</c:v>
                </c:pt>
                <c:pt idx="86">
                  <c:v>-1.0500000000064347</c:v>
                </c:pt>
                <c:pt idx="87">
                  <c:v>-0.74999999999647571</c:v>
                </c:pt>
                <c:pt idx="88">
                  <c:v>-0.95000000000311502</c:v>
                </c:pt>
                <c:pt idx="89">
                  <c:v>-1.1499999999955435</c:v>
                </c:pt>
                <c:pt idx="90">
                  <c:v>-0.42999999998016847</c:v>
                </c:pt>
                <c:pt idx="91">
                  <c:v>-0.34999999999740794</c:v>
                </c:pt>
                <c:pt idx="92">
                  <c:v>-0.74999999999647571</c:v>
                </c:pt>
                <c:pt idx="93">
                  <c:v>-0.74999999999647571</c:v>
                </c:pt>
                <c:pt idx="94">
                  <c:v>-1.2499999999988631</c:v>
                </c:pt>
                <c:pt idx="95">
                  <c:v>-1.0500000000064347</c:v>
                </c:pt>
                <c:pt idx="96">
                  <c:v>-1.2499999999988631</c:v>
                </c:pt>
                <c:pt idx="97">
                  <c:v>-1.949999999993679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4C-454F-9CCA-E9BC667E20AD}"/>
            </c:ext>
          </c:extLst>
        </c:ser>
        <c:ser>
          <c:idx val="14"/>
          <c:order val="2"/>
          <c:tx>
            <c:strRef>
              <c:f>Déplacements!$K$9</c:f>
              <c:strCache>
                <c:ptCount val="1"/>
                <c:pt idx="0">
                  <c:v>DZ haut gauche</c:v>
                </c:pt>
              </c:strCache>
            </c:strRef>
          </c:tx>
          <c:spPr>
            <a:ln w="158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tint val="50000"/>
                      <a:satMod val="300000"/>
                    </a:schemeClr>
                  </a:gs>
                  <a:gs pos="35000">
                    <a:schemeClr val="accent3">
                      <a:lumMod val="80000"/>
                      <a:lumOff val="20000"/>
                      <a:tint val="37000"/>
                      <a:satMod val="300000"/>
                    </a:schemeClr>
                  </a:gs>
                  <a:gs pos="100000">
                    <a:schemeClr val="accent3">
                      <a:lumMod val="80000"/>
                      <a:lumOff val="2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lumMod val="80000"/>
                    <a:lumOff val="2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Déplacements!$B$10:$B$132</c:f>
              <c:numCache>
                <c:formatCode>dd\ /\ mm\ /\ yy</c:formatCode>
                <c:ptCount val="123"/>
                <c:pt idx="0">
                  <c:v>43658</c:v>
                </c:pt>
                <c:pt idx="1">
                  <c:v>43661</c:v>
                </c:pt>
                <c:pt idx="2">
                  <c:v>43662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11">
                  <c:v>43685</c:v>
                </c:pt>
                <c:pt idx="12">
                  <c:v>43689</c:v>
                </c:pt>
                <c:pt idx="13">
                  <c:v>43690</c:v>
                </c:pt>
                <c:pt idx="14">
                  <c:v>43696</c:v>
                </c:pt>
                <c:pt idx="15">
                  <c:v>43699</c:v>
                </c:pt>
                <c:pt idx="16">
                  <c:v>43704</c:v>
                </c:pt>
                <c:pt idx="17">
                  <c:v>43706</c:v>
                </c:pt>
                <c:pt idx="18">
                  <c:v>43710</c:v>
                </c:pt>
                <c:pt idx="19">
                  <c:v>43713</c:v>
                </c:pt>
                <c:pt idx="20">
                  <c:v>43718</c:v>
                </c:pt>
                <c:pt idx="21">
                  <c:v>43720</c:v>
                </c:pt>
                <c:pt idx="22">
                  <c:v>43724</c:v>
                </c:pt>
                <c:pt idx="23">
                  <c:v>43727</c:v>
                </c:pt>
                <c:pt idx="24">
                  <c:v>43731</c:v>
                </c:pt>
                <c:pt idx="25">
                  <c:v>43734</c:v>
                </c:pt>
                <c:pt idx="26">
                  <c:v>43738</c:v>
                </c:pt>
                <c:pt idx="27">
                  <c:v>43741</c:v>
                </c:pt>
                <c:pt idx="28">
                  <c:v>43746</c:v>
                </c:pt>
                <c:pt idx="29">
                  <c:v>43753</c:v>
                </c:pt>
                <c:pt idx="30">
                  <c:v>43756</c:v>
                </c:pt>
                <c:pt idx="31">
                  <c:v>43760</c:v>
                </c:pt>
                <c:pt idx="32">
                  <c:v>43762</c:v>
                </c:pt>
                <c:pt idx="33">
                  <c:v>43766</c:v>
                </c:pt>
                <c:pt idx="34">
                  <c:v>43769</c:v>
                </c:pt>
                <c:pt idx="35">
                  <c:v>43774</c:v>
                </c:pt>
                <c:pt idx="36">
                  <c:v>43776</c:v>
                </c:pt>
                <c:pt idx="37">
                  <c:v>43781</c:v>
                </c:pt>
                <c:pt idx="38">
                  <c:v>43783</c:v>
                </c:pt>
                <c:pt idx="39">
                  <c:v>43787</c:v>
                </c:pt>
                <c:pt idx="40">
                  <c:v>43790</c:v>
                </c:pt>
                <c:pt idx="41">
                  <c:v>43795</c:v>
                </c:pt>
                <c:pt idx="42">
                  <c:v>43797</c:v>
                </c:pt>
                <c:pt idx="43">
                  <c:v>43798</c:v>
                </c:pt>
                <c:pt idx="44">
                  <c:v>43801</c:v>
                </c:pt>
                <c:pt idx="45">
                  <c:v>43803</c:v>
                </c:pt>
                <c:pt idx="46">
                  <c:v>43808</c:v>
                </c:pt>
                <c:pt idx="47">
                  <c:v>43811</c:v>
                </c:pt>
                <c:pt idx="48">
                  <c:v>43815</c:v>
                </c:pt>
                <c:pt idx="49">
                  <c:v>43818</c:v>
                </c:pt>
                <c:pt idx="50">
                  <c:v>43837</c:v>
                </c:pt>
                <c:pt idx="51">
                  <c:v>43843</c:v>
                </c:pt>
                <c:pt idx="52">
                  <c:v>43850</c:v>
                </c:pt>
                <c:pt idx="53">
                  <c:v>43859</c:v>
                </c:pt>
                <c:pt idx="54">
                  <c:v>43865</c:v>
                </c:pt>
                <c:pt idx="55">
                  <c:v>43886</c:v>
                </c:pt>
                <c:pt idx="56">
                  <c:v>43970</c:v>
                </c:pt>
                <c:pt idx="57">
                  <c:v>43977</c:v>
                </c:pt>
                <c:pt idx="58">
                  <c:v>43999</c:v>
                </c:pt>
                <c:pt idx="59">
                  <c:v>44029</c:v>
                </c:pt>
                <c:pt idx="61">
                  <c:v>44082</c:v>
                </c:pt>
                <c:pt idx="63">
                  <c:v>44082</c:v>
                </c:pt>
                <c:pt idx="65">
                  <c:v>44140</c:v>
                </c:pt>
                <c:pt idx="66">
                  <c:v>44172</c:v>
                </c:pt>
                <c:pt idx="67">
                  <c:v>44229</c:v>
                </c:pt>
                <c:pt idx="69">
                  <c:v>44322</c:v>
                </c:pt>
                <c:pt idx="70">
                  <c:v>44357</c:v>
                </c:pt>
                <c:pt idx="71">
                  <c:v>44362</c:v>
                </c:pt>
                <c:pt idx="72">
                  <c:v>44369</c:v>
                </c:pt>
                <c:pt idx="73">
                  <c:v>44376</c:v>
                </c:pt>
                <c:pt idx="74">
                  <c:v>44400</c:v>
                </c:pt>
                <c:pt idx="75">
                  <c:v>44439</c:v>
                </c:pt>
                <c:pt idx="76">
                  <c:v>44474</c:v>
                </c:pt>
                <c:pt idx="77">
                  <c:v>44522</c:v>
                </c:pt>
                <c:pt idx="78">
                  <c:v>44531</c:v>
                </c:pt>
                <c:pt idx="79">
                  <c:v>44536</c:v>
                </c:pt>
                <c:pt idx="80">
                  <c:v>44543</c:v>
                </c:pt>
                <c:pt idx="81">
                  <c:v>44550</c:v>
                </c:pt>
                <c:pt idx="82">
                  <c:v>44572</c:v>
                </c:pt>
                <c:pt idx="83">
                  <c:v>44578</c:v>
                </c:pt>
                <c:pt idx="84">
                  <c:v>44595</c:v>
                </c:pt>
                <c:pt idx="85">
                  <c:v>44613</c:v>
                </c:pt>
                <c:pt idx="86">
                  <c:v>44648</c:v>
                </c:pt>
                <c:pt idx="87">
                  <c:v>44678</c:v>
                </c:pt>
                <c:pt idx="88">
                  <c:v>44711</c:v>
                </c:pt>
                <c:pt idx="89">
                  <c:v>44740</c:v>
                </c:pt>
                <c:pt idx="90">
                  <c:v>44767</c:v>
                </c:pt>
                <c:pt idx="91">
                  <c:v>44902</c:v>
                </c:pt>
                <c:pt idx="92">
                  <c:v>44915</c:v>
                </c:pt>
                <c:pt idx="93">
                  <c:v>44930</c:v>
                </c:pt>
                <c:pt idx="94">
                  <c:v>44945</c:v>
                </c:pt>
                <c:pt idx="95">
                  <c:v>44957</c:v>
                </c:pt>
                <c:pt idx="96">
                  <c:v>44988</c:v>
                </c:pt>
                <c:pt idx="97">
                  <c:v>45013</c:v>
                </c:pt>
              </c:numCache>
            </c:numRef>
          </c:xVal>
          <c:yVal>
            <c:numRef>
              <c:f>Déplacements!$K$10:$K$132</c:f>
              <c:numCache>
                <c:formatCode>\+\ 0.0;\-\ 0.0;\±\ 0.0</c:formatCode>
                <c:ptCount val="123"/>
                <c:pt idx="0">
                  <c:v>0</c:v>
                </c:pt>
                <c:pt idx="1">
                  <c:v>0</c:v>
                </c:pt>
                <c:pt idx="2">
                  <c:v>0.10000000000331966</c:v>
                </c:pt>
                <c:pt idx="3">
                  <c:v>0.10000000000331966</c:v>
                </c:pt>
                <c:pt idx="4">
                  <c:v>3.200000000006753</c:v>
                </c:pt>
                <c:pt idx="5">
                  <c:v>0</c:v>
                </c:pt>
                <c:pt idx="6">
                  <c:v>-6.1999999999926558</c:v>
                </c:pt>
                <c:pt idx="7">
                  <c:v>-5.8999999999969077</c:v>
                </c:pt>
                <c:pt idx="8">
                  <c:v>-5.7999999999935881</c:v>
                </c:pt>
                <c:pt idx="11">
                  <c:v>-5.6999999999902684</c:v>
                </c:pt>
                <c:pt idx="12">
                  <c:v>-6.0999999999893362</c:v>
                </c:pt>
                <c:pt idx="13">
                  <c:v>-5.4999999999836291</c:v>
                </c:pt>
                <c:pt idx="14">
                  <c:v>-5.8999999999826969</c:v>
                </c:pt>
                <c:pt idx="15">
                  <c:v>-6.6999999999950433</c:v>
                </c:pt>
                <c:pt idx="16">
                  <c:v>-6.8999999999874717</c:v>
                </c:pt>
                <c:pt idx="17">
                  <c:v>-6.0999999999893362</c:v>
                </c:pt>
                <c:pt idx="18">
                  <c:v>-6.7999999999841521</c:v>
                </c:pt>
                <c:pt idx="19">
                  <c:v>-6.2999999999817646</c:v>
                </c:pt>
                <c:pt idx="20">
                  <c:v>-6.8999999999874717</c:v>
                </c:pt>
                <c:pt idx="21">
                  <c:v>-7.4999999999931788</c:v>
                </c:pt>
                <c:pt idx="22">
                  <c:v>-7.8999999999922466</c:v>
                </c:pt>
                <c:pt idx="23">
                  <c:v>-7.2999999999865395</c:v>
                </c:pt>
                <c:pt idx="24">
                  <c:v>-7.5999999999822876</c:v>
                </c:pt>
                <c:pt idx="25">
                  <c:v>-8.399999999994634</c:v>
                </c:pt>
                <c:pt idx="26">
                  <c:v>-8.2999999999913143</c:v>
                </c:pt>
                <c:pt idx="27">
                  <c:v>-7.9999999999955662</c:v>
                </c:pt>
                <c:pt idx="28">
                  <c:v>-7.4999999999789679</c:v>
                </c:pt>
                <c:pt idx="29">
                  <c:v>-8.3499999999929742</c:v>
                </c:pt>
                <c:pt idx="30">
                  <c:v>-8.7999999999937017</c:v>
                </c:pt>
                <c:pt idx="31">
                  <c:v>-8.9999999999861302</c:v>
                </c:pt>
                <c:pt idx="32">
                  <c:v>-8.6999999999903821</c:v>
                </c:pt>
                <c:pt idx="33">
                  <c:v>-8.6999999999903821</c:v>
                </c:pt>
                <c:pt idx="34">
                  <c:v>-8.1999999999879947</c:v>
                </c:pt>
                <c:pt idx="35">
                  <c:v>-8.6999999999903821</c:v>
                </c:pt>
                <c:pt idx="36">
                  <c:v>-9.5999999999918373</c:v>
                </c:pt>
                <c:pt idx="37">
                  <c:v>-9.1999999999927695</c:v>
                </c:pt>
                <c:pt idx="38">
                  <c:v>-8.6999999999903821</c:v>
                </c:pt>
                <c:pt idx="39">
                  <c:v>-8.7999999999937017</c:v>
                </c:pt>
                <c:pt idx="40">
                  <c:v>-8.9999999999861302</c:v>
                </c:pt>
                <c:pt idx="42">
                  <c:v>-8.7999999999937017</c:v>
                </c:pt>
                <c:pt idx="43">
                  <c:v>-8.399999999994634</c:v>
                </c:pt>
                <c:pt idx="44">
                  <c:v>-8.9999999999861302</c:v>
                </c:pt>
                <c:pt idx="45">
                  <c:v>-8.7999999999937017</c:v>
                </c:pt>
                <c:pt idx="46">
                  <c:v>-8.8999999999828106</c:v>
                </c:pt>
                <c:pt idx="47">
                  <c:v>-8.6999999999903821</c:v>
                </c:pt>
                <c:pt idx="48">
                  <c:v>-8.5999999999870624</c:v>
                </c:pt>
                <c:pt idx="49">
                  <c:v>-8.6999999999903821</c:v>
                </c:pt>
                <c:pt idx="50">
                  <c:v>-8.8999999999828106</c:v>
                </c:pt>
                <c:pt idx="51">
                  <c:v>-8.6999999999903821</c:v>
                </c:pt>
                <c:pt idx="52">
                  <c:v>-8.7999999999937017</c:v>
                </c:pt>
                <c:pt idx="53">
                  <c:v>-9.399999999985198</c:v>
                </c:pt>
                <c:pt idx="54">
                  <c:v>-9.5999999999918373</c:v>
                </c:pt>
                <c:pt idx="55">
                  <c:v>-8.9999999999861302</c:v>
                </c:pt>
                <c:pt idx="56">
                  <c:v>-9.9999999999909051</c:v>
                </c:pt>
                <c:pt idx="57">
                  <c:v>-10.199999999983334</c:v>
                </c:pt>
                <c:pt idx="58">
                  <c:v>-9.9999999999909051</c:v>
                </c:pt>
                <c:pt idx="59">
                  <c:v>-9.8999999999875854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4C-454F-9CCA-E9BC667E20AD}"/>
            </c:ext>
          </c:extLst>
        </c:ser>
        <c:ser>
          <c:idx val="0"/>
          <c:order val="3"/>
          <c:tx>
            <c:strRef>
              <c:f>Déplacements!$N$9</c:f>
              <c:strCache>
                <c:ptCount val="1"/>
                <c:pt idx="0">
                  <c:v>DZ centre haut</c:v>
                </c:pt>
              </c:strCache>
            </c:strRef>
          </c:tx>
          <c:spPr>
            <a:ln w="15875" cap="rnd">
              <a:solidFill>
                <a:schemeClr val="accent1"/>
              </a:solidFill>
              <a:prstDash val="solid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Déplacements!$B$10:$B$132</c:f>
              <c:numCache>
                <c:formatCode>dd\ /\ mm\ /\ yy</c:formatCode>
                <c:ptCount val="123"/>
                <c:pt idx="0">
                  <c:v>43658</c:v>
                </c:pt>
                <c:pt idx="1">
                  <c:v>43661</c:v>
                </c:pt>
                <c:pt idx="2">
                  <c:v>43662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11">
                  <c:v>43685</c:v>
                </c:pt>
                <c:pt idx="12">
                  <c:v>43689</c:v>
                </c:pt>
                <c:pt idx="13">
                  <c:v>43690</c:v>
                </c:pt>
                <c:pt idx="14">
                  <c:v>43696</c:v>
                </c:pt>
                <c:pt idx="15">
                  <c:v>43699</c:v>
                </c:pt>
                <c:pt idx="16">
                  <c:v>43704</c:v>
                </c:pt>
                <c:pt idx="17">
                  <c:v>43706</c:v>
                </c:pt>
                <c:pt idx="18">
                  <c:v>43710</c:v>
                </c:pt>
                <c:pt idx="19">
                  <c:v>43713</c:v>
                </c:pt>
                <c:pt idx="20">
                  <c:v>43718</c:v>
                </c:pt>
                <c:pt idx="21">
                  <c:v>43720</c:v>
                </c:pt>
                <c:pt idx="22">
                  <c:v>43724</c:v>
                </c:pt>
                <c:pt idx="23">
                  <c:v>43727</c:v>
                </c:pt>
                <c:pt idx="24">
                  <c:v>43731</c:v>
                </c:pt>
                <c:pt idx="25">
                  <c:v>43734</c:v>
                </c:pt>
                <c:pt idx="26">
                  <c:v>43738</c:v>
                </c:pt>
                <c:pt idx="27">
                  <c:v>43741</c:v>
                </c:pt>
                <c:pt idx="28">
                  <c:v>43746</c:v>
                </c:pt>
                <c:pt idx="29">
                  <c:v>43753</c:v>
                </c:pt>
                <c:pt idx="30">
                  <c:v>43756</c:v>
                </c:pt>
                <c:pt idx="31">
                  <c:v>43760</c:v>
                </c:pt>
                <c:pt idx="32">
                  <c:v>43762</c:v>
                </c:pt>
                <c:pt idx="33">
                  <c:v>43766</c:v>
                </c:pt>
                <c:pt idx="34">
                  <c:v>43769</c:v>
                </c:pt>
                <c:pt idx="35">
                  <c:v>43774</c:v>
                </c:pt>
                <c:pt idx="36">
                  <c:v>43776</c:v>
                </c:pt>
                <c:pt idx="37">
                  <c:v>43781</c:v>
                </c:pt>
                <c:pt idx="38">
                  <c:v>43783</c:v>
                </c:pt>
                <c:pt idx="39">
                  <c:v>43787</c:v>
                </c:pt>
                <c:pt idx="40">
                  <c:v>43790</c:v>
                </c:pt>
                <c:pt idx="41">
                  <c:v>43795</c:v>
                </c:pt>
                <c:pt idx="42">
                  <c:v>43797</c:v>
                </c:pt>
                <c:pt idx="43">
                  <c:v>43798</c:v>
                </c:pt>
                <c:pt idx="44">
                  <c:v>43801</c:v>
                </c:pt>
                <c:pt idx="45">
                  <c:v>43803</c:v>
                </c:pt>
                <c:pt idx="46">
                  <c:v>43808</c:v>
                </c:pt>
                <c:pt idx="47">
                  <c:v>43811</c:v>
                </c:pt>
                <c:pt idx="48">
                  <c:v>43815</c:v>
                </c:pt>
                <c:pt idx="49">
                  <c:v>43818</c:v>
                </c:pt>
                <c:pt idx="50">
                  <c:v>43837</c:v>
                </c:pt>
                <c:pt idx="51">
                  <c:v>43843</c:v>
                </c:pt>
                <c:pt idx="52">
                  <c:v>43850</c:v>
                </c:pt>
                <c:pt idx="53">
                  <c:v>43859</c:v>
                </c:pt>
                <c:pt idx="54">
                  <c:v>43865</c:v>
                </c:pt>
                <c:pt idx="55">
                  <c:v>43886</c:v>
                </c:pt>
                <c:pt idx="56">
                  <c:v>43970</c:v>
                </c:pt>
                <c:pt idx="57">
                  <c:v>43977</c:v>
                </c:pt>
                <c:pt idx="58">
                  <c:v>43999</c:v>
                </c:pt>
                <c:pt idx="59">
                  <c:v>44029</c:v>
                </c:pt>
                <c:pt idx="61">
                  <c:v>44082</c:v>
                </c:pt>
                <c:pt idx="63">
                  <c:v>44082</c:v>
                </c:pt>
                <c:pt idx="65">
                  <c:v>44140</c:v>
                </c:pt>
                <c:pt idx="66">
                  <c:v>44172</c:v>
                </c:pt>
                <c:pt idx="67">
                  <c:v>44229</c:v>
                </c:pt>
                <c:pt idx="69">
                  <c:v>44322</c:v>
                </c:pt>
                <c:pt idx="70">
                  <c:v>44357</c:v>
                </c:pt>
                <c:pt idx="71">
                  <c:v>44362</c:v>
                </c:pt>
                <c:pt idx="72">
                  <c:v>44369</c:v>
                </c:pt>
                <c:pt idx="73">
                  <c:v>44376</c:v>
                </c:pt>
                <c:pt idx="74">
                  <c:v>44400</c:v>
                </c:pt>
                <c:pt idx="75">
                  <c:v>44439</c:v>
                </c:pt>
                <c:pt idx="76">
                  <c:v>44474</c:v>
                </c:pt>
                <c:pt idx="77">
                  <c:v>44522</c:v>
                </c:pt>
                <c:pt idx="78">
                  <c:v>44531</c:v>
                </c:pt>
                <c:pt idx="79">
                  <c:v>44536</c:v>
                </c:pt>
                <c:pt idx="80">
                  <c:v>44543</c:v>
                </c:pt>
                <c:pt idx="81">
                  <c:v>44550</c:v>
                </c:pt>
                <c:pt idx="82">
                  <c:v>44572</c:v>
                </c:pt>
                <c:pt idx="83">
                  <c:v>44578</c:v>
                </c:pt>
                <c:pt idx="84">
                  <c:v>44595</c:v>
                </c:pt>
                <c:pt idx="85">
                  <c:v>44613</c:v>
                </c:pt>
                <c:pt idx="86">
                  <c:v>44648</c:v>
                </c:pt>
                <c:pt idx="87">
                  <c:v>44678</c:v>
                </c:pt>
                <c:pt idx="88">
                  <c:v>44711</c:v>
                </c:pt>
                <c:pt idx="89">
                  <c:v>44740</c:v>
                </c:pt>
                <c:pt idx="90">
                  <c:v>44767</c:v>
                </c:pt>
                <c:pt idx="91">
                  <c:v>44902</c:v>
                </c:pt>
                <c:pt idx="92">
                  <c:v>44915</c:v>
                </c:pt>
                <c:pt idx="93">
                  <c:v>44930</c:v>
                </c:pt>
                <c:pt idx="94">
                  <c:v>44945</c:v>
                </c:pt>
                <c:pt idx="95">
                  <c:v>44957</c:v>
                </c:pt>
                <c:pt idx="96">
                  <c:v>44988</c:v>
                </c:pt>
                <c:pt idx="97">
                  <c:v>45013</c:v>
                </c:pt>
              </c:numCache>
            </c:numRef>
          </c:xVal>
          <c:yVal>
            <c:numRef>
              <c:f>Déplacements!$N$10:$N$132</c:f>
              <c:numCache>
                <c:formatCode>\+\ 0.0;\-\ 0.0;\±\ 0.0</c:formatCode>
                <c:ptCount val="123"/>
                <c:pt idx="0">
                  <c:v>0</c:v>
                </c:pt>
                <c:pt idx="1">
                  <c:v>-3.6500000000074806</c:v>
                </c:pt>
                <c:pt idx="2">
                  <c:v>-6.5500000000042746</c:v>
                </c:pt>
                <c:pt idx="3">
                  <c:v>-10.249999999999204</c:v>
                </c:pt>
                <c:pt idx="4">
                  <c:v>-18.34999999999809</c:v>
                </c:pt>
                <c:pt idx="5">
                  <c:v>-32.350000000008095</c:v>
                </c:pt>
                <c:pt idx="6">
                  <c:v>-40.350000000003661</c:v>
                </c:pt>
                <c:pt idx="7">
                  <c:v>-43.450000000007094</c:v>
                </c:pt>
                <c:pt idx="8">
                  <c:v>-45.249999999995794</c:v>
                </c:pt>
                <c:pt idx="11">
                  <c:v>-45.450000000002433</c:v>
                </c:pt>
                <c:pt idx="12">
                  <c:v>-49.049999999994043</c:v>
                </c:pt>
                <c:pt idx="13">
                  <c:v>-48.749999999998295</c:v>
                </c:pt>
                <c:pt idx="14">
                  <c:v>-51.55000000000598</c:v>
                </c:pt>
                <c:pt idx="15">
                  <c:v>-53.849999999997067</c:v>
                </c:pt>
                <c:pt idx="16">
                  <c:v>-55.649999999999977</c:v>
                </c:pt>
                <c:pt idx="17">
                  <c:v>-55.14999999999759</c:v>
                </c:pt>
                <c:pt idx="18">
                  <c:v>-56.250000000005684</c:v>
                </c:pt>
                <c:pt idx="19">
                  <c:v>-56.150000000002365</c:v>
                </c:pt>
                <c:pt idx="20">
                  <c:v>-57.450000000002888</c:v>
                </c:pt>
                <c:pt idx="21">
                  <c:v>-58.450000000007662</c:v>
                </c:pt>
                <c:pt idx="22">
                  <c:v>-59.650000000004866</c:v>
                </c:pt>
                <c:pt idx="23">
                  <c:v>-59.550000000001546</c:v>
                </c:pt>
                <c:pt idx="24">
                  <c:v>-60.349999999999682</c:v>
                </c:pt>
                <c:pt idx="25">
                  <c:v>-61.450000000007776</c:v>
                </c:pt>
                <c:pt idx="26">
                  <c:v>-61.549999999996885</c:v>
                </c:pt>
                <c:pt idx="27">
                  <c:v>-61.549999999996885</c:v>
                </c:pt>
                <c:pt idx="28">
                  <c:v>-61.733333333322093</c:v>
                </c:pt>
                <c:pt idx="29">
                  <c:v>-63.033333333351038</c:v>
                </c:pt>
                <c:pt idx="30">
                  <c:v>-63.450000000003115</c:v>
                </c:pt>
                <c:pt idx="31">
                  <c:v>-64.149999999997931</c:v>
                </c:pt>
                <c:pt idx="32">
                  <c:v>-64.049999999994611</c:v>
                </c:pt>
                <c:pt idx="33">
                  <c:v>-64.750000000003638</c:v>
                </c:pt>
                <c:pt idx="34">
                  <c:v>-64.049999999994611</c:v>
                </c:pt>
                <c:pt idx="35">
                  <c:v>-64.750000000003638</c:v>
                </c:pt>
                <c:pt idx="36">
                  <c:v>-66.150000000007481</c:v>
                </c:pt>
                <c:pt idx="37">
                  <c:v>-65.950000000000841</c:v>
                </c:pt>
                <c:pt idx="38">
                  <c:v>-65.550000000001774</c:v>
                </c:pt>
                <c:pt idx="39">
                  <c:v>-65.849999999997522</c:v>
                </c:pt>
                <c:pt idx="40">
                  <c:v>-66.249999999996589</c:v>
                </c:pt>
                <c:pt idx="41">
                  <c:v>-67.049999999994725</c:v>
                </c:pt>
                <c:pt idx="42">
                  <c:v>-68.150000000002819</c:v>
                </c:pt>
                <c:pt idx="43">
                  <c:v>-68.650000000005207</c:v>
                </c:pt>
                <c:pt idx="44">
                  <c:v>-69.450000000003342</c:v>
                </c:pt>
                <c:pt idx="45">
                  <c:v>-69.95000000000573</c:v>
                </c:pt>
                <c:pt idx="46">
                  <c:v>-70.549999999997226</c:v>
                </c:pt>
                <c:pt idx="47">
                  <c:v>-70.250000000001478</c:v>
                </c:pt>
                <c:pt idx="48">
                  <c:v>-70.350000000004798</c:v>
                </c:pt>
                <c:pt idx="49">
                  <c:v>-70.949999999996294</c:v>
                </c:pt>
                <c:pt idx="50">
                  <c:v>-71.650000000005321</c:v>
                </c:pt>
                <c:pt idx="51">
                  <c:v>-72.749999999999204</c:v>
                </c:pt>
                <c:pt idx="52">
                  <c:v>-72.150000000007708</c:v>
                </c:pt>
                <c:pt idx="53">
                  <c:v>-72.649999999995885</c:v>
                </c:pt>
                <c:pt idx="54">
                  <c:v>-73.350000000004911</c:v>
                </c:pt>
                <c:pt idx="55">
                  <c:v>-73.250000000001592</c:v>
                </c:pt>
                <c:pt idx="56">
                  <c:v>-74.749999999994543</c:v>
                </c:pt>
                <c:pt idx="57">
                  <c:v>-76.250000000001705</c:v>
                </c:pt>
                <c:pt idx="58">
                  <c:v>-75.649999999995998</c:v>
                </c:pt>
                <c:pt idx="59">
                  <c:v>-75.550000000006889</c:v>
                </c:pt>
                <c:pt idx="61">
                  <c:v>-76.750000000004093</c:v>
                </c:pt>
                <c:pt idx="63">
                  <c:v>-76.750000000004093</c:v>
                </c:pt>
                <c:pt idx="65">
                  <c:v>-76.750000000004093</c:v>
                </c:pt>
                <c:pt idx="66">
                  <c:v>-77.249999999992269</c:v>
                </c:pt>
                <c:pt idx="67">
                  <c:v>-77.349999999995589</c:v>
                </c:pt>
                <c:pt idx="69">
                  <c:v>-78.649999999996112</c:v>
                </c:pt>
                <c:pt idx="70">
                  <c:v>-79.749999999989996</c:v>
                </c:pt>
                <c:pt idx="71">
                  <c:v>-80.84999999999809</c:v>
                </c:pt>
                <c:pt idx="72">
                  <c:v>-80.84999999999809</c:v>
                </c:pt>
                <c:pt idx="73">
                  <c:v>-81.050000000004729</c:v>
                </c:pt>
                <c:pt idx="74">
                  <c:v>-81.749999999999545</c:v>
                </c:pt>
                <c:pt idx="75">
                  <c:v>-80.649999999991451</c:v>
                </c:pt>
                <c:pt idx="76">
                  <c:v>-82.349999999991041</c:v>
                </c:pt>
                <c:pt idx="77">
                  <c:v>-83.749999999994884</c:v>
                </c:pt>
                <c:pt idx="78">
                  <c:v>-83.249999999992497</c:v>
                </c:pt>
                <c:pt idx="79">
                  <c:v>-84.450000000003911</c:v>
                </c:pt>
                <c:pt idx="80">
                  <c:v>-84.050000000004843</c:v>
                </c:pt>
                <c:pt idx="81">
                  <c:v>-84.149999999993952</c:v>
                </c:pt>
                <c:pt idx="82">
                  <c:v>-84.749999999999659</c:v>
                </c:pt>
                <c:pt idx="83">
                  <c:v>-84.050000000004843</c:v>
                </c:pt>
                <c:pt idx="84">
                  <c:v>-85.650000000001114</c:v>
                </c:pt>
                <c:pt idx="85">
                  <c:v>-84.949999999992087</c:v>
                </c:pt>
                <c:pt idx="86">
                  <c:v>-85.349999999991155</c:v>
                </c:pt>
                <c:pt idx="87">
                  <c:v>-85.349999999991155</c:v>
                </c:pt>
                <c:pt idx="88">
                  <c:v>-85.650000000001114</c:v>
                </c:pt>
                <c:pt idx="89">
                  <c:v>-86.050000000000182</c:v>
                </c:pt>
                <c:pt idx="90">
                  <c:v>-85.790000000002919</c:v>
                </c:pt>
                <c:pt idx="91">
                  <c:v>-87.149999999994066</c:v>
                </c:pt>
                <c:pt idx="92">
                  <c:v>-87.749999999999773</c:v>
                </c:pt>
                <c:pt idx="93">
                  <c:v>-87.749999999999773</c:v>
                </c:pt>
                <c:pt idx="94">
                  <c:v>-88.349999999991269</c:v>
                </c:pt>
                <c:pt idx="95">
                  <c:v>-88.14999999999884</c:v>
                </c:pt>
                <c:pt idx="96">
                  <c:v>-88.650000000001228</c:v>
                </c:pt>
                <c:pt idx="97">
                  <c:v>-89.649999999991792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4C-454F-9CCA-E9BC667E20AD}"/>
            </c:ext>
          </c:extLst>
        </c:ser>
        <c:ser>
          <c:idx val="3"/>
          <c:order val="4"/>
          <c:tx>
            <c:strRef>
              <c:f>Déplacements!$Q$9</c:f>
              <c:strCache>
                <c:ptCount val="1"/>
                <c:pt idx="0">
                  <c:v>DZ haut droit</c:v>
                </c:pt>
              </c:strCache>
            </c:strRef>
          </c:tx>
          <c:spPr>
            <a:ln w="15875" cap="rnd">
              <a:solidFill>
                <a:srgbClr val="FFC000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tint val="50000"/>
                      <a:satMod val="300000"/>
                    </a:schemeClr>
                  </a:gs>
                  <a:gs pos="35000">
                    <a:schemeClr val="accent4">
                      <a:tint val="37000"/>
                      <a:satMod val="300000"/>
                    </a:schemeClr>
                  </a:gs>
                  <a:gs pos="100000">
                    <a:schemeClr val="accent4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Déplacements!$B$10:$B$132</c:f>
              <c:numCache>
                <c:formatCode>dd\ /\ mm\ /\ yy</c:formatCode>
                <c:ptCount val="123"/>
                <c:pt idx="0">
                  <c:v>43658</c:v>
                </c:pt>
                <c:pt idx="1">
                  <c:v>43661</c:v>
                </c:pt>
                <c:pt idx="2">
                  <c:v>43662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11">
                  <c:v>43685</c:v>
                </c:pt>
                <c:pt idx="12">
                  <c:v>43689</c:v>
                </c:pt>
                <c:pt idx="13">
                  <c:v>43690</c:v>
                </c:pt>
                <c:pt idx="14">
                  <c:v>43696</c:v>
                </c:pt>
                <c:pt idx="15">
                  <c:v>43699</c:v>
                </c:pt>
                <c:pt idx="16">
                  <c:v>43704</c:v>
                </c:pt>
                <c:pt idx="17">
                  <c:v>43706</c:v>
                </c:pt>
                <c:pt idx="18">
                  <c:v>43710</c:v>
                </c:pt>
                <c:pt idx="19">
                  <c:v>43713</c:v>
                </c:pt>
                <c:pt idx="20">
                  <c:v>43718</c:v>
                </c:pt>
                <c:pt idx="21">
                  <c:v>43720</c:v>
                </c:pt>
                <c:pt idx="22">
                  <c:v>43724</c:v>
                </c:pt>
                <c:pt idx="23">
                  <c:v>43727</c:v>
                </c:pt>
                <c:pt idx="24">
                  <c:v>43731</c:v>
                </c:pt>
                <c:pt idx="25">
                  <c:v>43734</c:v>
                </c:pt>
                <c:pt idx="26">
                  <c:v>43738</c:v>
                </c:pt>
                <c:pt idx="27">
                  <c:v>43741</c:v>
                </c:pt>
                <c:pt idx="28">
                  <c:v>43746</c:v>
                </c:pt>
                <c:pt idx="29">
                  <c:v>43753</c:v>
                </c:pt>
                <c:pt idx="30">
                  <c:v>43756</c:v>
                </c:pt>
                <c:pt idx="31">
                  <c:v>43760</c:v>
                </c:pt>
                <c:pt idx="32">
                  <c:v>43762</c:v>
                </c:pt>
                <c:pt idx="33">
                  <c:v>43766</c:v>
                </c:pt>
                <c:pt idx="34">
                  <c:v>43769</c:v>
                </c:pt>
                <c:pt idx="35">
                  <c:v>43774</c:v>
                </c:pt>
                <c:pt idx="36">
                  <c:v>43776</c:v>
                </c:pt>
                <c:pt idx="37">
                  <c:v>43781</c:v>
                </c:pt>
                <c:pt idx="38">
                  <c:v>43783</c:v>
                </c:pt>
                <c:pt idx="39">
                  <c:v>43787</c:v>
                </c:pt>
                <c:pt idx="40">
                  <c:v>43790</c:v>
                </c:pt>
                <c:pt idx="41">
                  <c:v>43795</c:v>
                </c:pt>
                <c:pt idx="42">
                  <c:v>43797</c:v>
                </c:pt>
                <c:pt idx="43">
                  <c:v>43798</c:v>
                </c:pt>
                <c:pt idx="44">
                  <c:v>43801</c:v>
                </c:pt>
                <c:pt idx="45">
                  <c:v>43803</c:v>
                </c:pt>
                <c:pt idx="46">
                  <c:v>43808</c:v>
                </c:pt>
                <c:pt idx="47">
                  <c:v>43811</c:v>
                </c:pt>
                <c:pt idx="48">
                  <c:v>43815</c:v>
                </c:pt>
                <c:pt idx="49">
                  <c:v>43818</c:v>
                </c:pt>
                <c:pt idx="50">
                  <c:v>43837</c:v>
                </c:pt>
                <c:pt idx="51">
                  <c:v>43843</c:v>
                </c:pt>
                <c:pt idx="52">
                  <c:v>43850</c:v>
                </c:pt>
                <c:pt idx="53">
                  <c:v>43859</c:v>
                </c:pt>
                <c:pt idx="54">
                  <c:v>43865</c:v>
                </c:pt>
                <c:pt idx="55">
                  <c:v>43886</c:v>
                </c:pt>
                <c:pt idx="56">
                  <c:v>43970</c:v>
                </c:pt>
                <c:pt idx="57">
                  <c:v>43977</c:v>
                </c:pt>
                <c:pt idx="58">
                  <c:v>43999</c:v>
                </c:pt>
                <c:pt idx="59">
                  <c:v>44029</c:v>
                </c:pt>
                <c:pt idx="61">
                  <c:v>44082</c:v>
                </c:pt>
                <c:pt idx="63">
                  <c:v>44082</c:v>
                </c:pt>
                <c:pt idx="65">
                  <c:v>44140</c:v>
                </c:pt>
                <c:pt idx="66">
                  <c:v>44172</c:v>
                </c:pt>
                <c:pt idx="67">
                  <c:v>44229</c:v>
                </c:pt>
                <c:pt idx="69">
                  <c:v>44322</c:v>
                </c:pt>
                <c:pt idx="70">
                  <c:v>44357</c:v>
                </c:pt>
                <c:pt idx="71">
                  <c:v>44362</c:v>
                </c:pt>
                <c:pt idx="72">
                  <c:v>44369</c:v>
                </c:pt>
                <c:pt idx="73">
                  <c:v>44376</c:v>
                </c:pt>
                <c:pt idx="74">
                  <c:v>44400</c:v>
                </c:pt>
                <c:pt idx="75">
                  <c:v>44439</c:v>
                </c:pt>
                <c:pt idx="76">
                  <c:v>44474</c:v>
                </c:pt>
                <c:pt idx="77">
                  <c:v>44522</c:v>
                </c:pt>
                <c:pt idx="78">
                  <c:v>44531</c:v>
                </c:pt>
                <c:pt idx="79">
                  <c:v>44536</c:v>
                </c:pt>
                <c:pt idx="80">
                  <c:v>44543</c:v>
                </c:pt>
                <c:pt idx="81">
                  <c:v>44550</c:v>
                </c:pt>
                <c:pt idx="82">
                  <c:v>44572</c:v>
                </c:pt>
                <c:pt idx="83">
                  <c:v>44578</c:v>
                </c:pt>
                <c:pt idx="84">
                  <c:v>44595</c:v>
                </c:pt>
                <c:pt idx="85">
                  <c:v>44613</c:v>
                </c:pt>
                <c:pt idx="86">
                  <c:v>44648</c:v>
                </c:pt>
                <c:pt idx="87">
                  <c:v>44678</c:v>
                </c:pt>
                <c:pt idx="88">
                  <c:v>44711</c:v>
                </c:pt>
                <c:pt idx="89">
                  <c:v>44740</c:v>
                </c:pt>
                <c:pt idx="90">
                  <c:v>44767</c:v>
                </c:pt>
                <c:pt idx="91">
                  <c:v>44902</c:v>
                </c:pt>
                <c:pt idx="92">
                  <c:v>44915</c:v>
                </c:pt>
                <c:pt idx="93">
                  <c:v>44930</c:v>
                </c:pt>
                <c:pt idx="94">
                  <c:v>44945</c:v>
                </c:pt>
                <c:pt idx="95">
                  <c:v>44957</c:v>
                </c:pt>
                <c:pt idx="96">
                  <c:v>44988</c:v>
                </c:pt>
                <c:pt idx="97">
                  <c:v>45013</c:v>
                </c:pt>
              </c:numCache>
            </c:numRef>
          </c:xVal>
          <c:yVal>
            <c:numRef>
              <c:f>Déplacements!$Q$10:$Q$132</c:f>
              <c:numCache>
                <c:formatCode>\+\ 0.0;\-\ 0.0;\±\ 0.0</c:formatCode>
                <c:ptCount val="123"/>
                <c:pt idx="0">
                  <c:v>0</c:v>
                </c:pt>
                <c:pt idx="1">
                  <c:v>-0.65000000000736691</c:v>
                </c:pt>
                <c:pt idx="2">
                  <c:v>-2.250000000003638</c:v>
                </c:pt>
                <c:pt idx="3">
                  <c:v>-4.1499999999956572</c:v>
                </c:pt>
                <c:pt idx="4">
                  <c:v>-7.5500000000090495</c:v>
                </c:pt>
                <c:pt idx="5">
                  <c:v>-14.849999999995589</c:v>
                </c:pt>
                <c:pt idx="6">
                  <c:v>-18.34999999999809</c:v>
                </c:pt>
                <c:pt idx="7">
                  <c:v>-18.650000000008049</c:v>
                </c:pt>
                <c:pt idx="8">
                  <c:v>-17.750000000006594</c:v>
                </c:pt>
                <c:pt idx="11">
                  <c:v>-17.750000000006594</c:v>
                </c:pt>
                <c:pt idx="12">
                  <c:v>-18.650000000008049</c:v>
                </c:pt>
                <c:pt idx="13">
                  <c:v>-18.250000000008981</c:v>
                </c:pt>
                <c:pt idx="14">
                  <c:v>-18.950000000003797</c:v>
                </c:pt>
                <c:pt idx="15">
                  <c:v>-20.25000000000432</c:v>
                </c:pt>
                <c:pt idx="16">
                  <c:v>-28.750000000002274</c:v>
                </c:pt>
                <c:pt idx="17">
                  <c:v>-27.75000000001171</c:v>
                </c:pt>
                <c:pt idx="18">
                  <c:v>-28.350000000003206</c:v>
                </c:pt>
                <c:pt idx="19">
                  <c:v>-27.850000000000819</c:v>
                </c:pt>
                <c:pt idx="20">
                  <c:v>-28.750000000002274</c:v>
                </c:pt>
                <c:pt idx="21">
                  <c:v>-29.350000000007981</c:v>
                </c:pt>
                <c:pt idx="22">
                  <c:v>-29.750000000007049</c:v>
                </c:pt>
                <c:pt idx="23">
                  <c:v>-29.4500000000113</c:v>
                </c:pt>
                <c:pt idx="24">
                  <c:v>-29.750000000007049</c:v>
                </c:pt>
                <c:pt idx="25">
                  <c:v>-30.350000000012756</c:v>
                </c:pt>
                <c:pt idx="26">
                  <c:v>-30.350000000012756</c:v>
                </c:pt>
                <c:pt idx="27">
                  <c:v>-30.050000000002797</c:v>
                </c:pt>
                <c:pt idx="28">
                  <c:v>-29.850000000010368</c:v>
                </c:pt>
                <c:pt idx="29">
                  <c:v>-30.533333333352175</c:v>
                </c:pt>
                <c:pt idx="30">
                  <c:v>-30.950000000004252</c:v>
                </c:pt>
                <c:pt idx="31">
                  <c:v>-31.450000000006639</c:v>
                </c:pt>
                <c:pt idx="32">
                  <c:v>-30.850000000000932</c:v>
                </c:pt>
                <c:pt idx="33">
                  <c:v>-31.35000000000332</c:v>
                </c:pt>
                <c:pt idx="34">
                  <c:v>-30.850000000000932</c:v>
                </c:pt>
                <c:pt idx="35">
                  <c:v>-31.150000000010891</c:v>
                </c:pt>
                <c:pt idx="36">
                  <c:v>-32.250000000004775</c:v>
                </c:pt>
                <c:pt idx="37">
                  <c:v>-32.050000000012346</c:v>
                </c:pt>
                <c:pt idx="38">
                  <c:v>-31.25</c:v>
                </c:pt>
                <c:pt idx="39">
                  <c:v>-31.450000000006639</c:v>
                </c:pt>
                <c:pt idx="40">
                  <c:v>-31.850000000005707</c:v>
                </c:pt>
                <c:pt idx="41">
                  <c:v>-32.550000000000523</c:v>
                </c:pt>
                <c:pt idx="42">
                  <c:v>-33.05000000000291</c:v>
                </c:pt>
                <c:pt idx="43">
                  <c:v>-32.650000000003843</c:v>
                </c:pt>
                <c:pt idx="44">
                  <c:v>-33.349999999998658</c:v>
                </c:pt>
                <c:pt idx="45">
                  <c:v>-33.25000000000955</c:v>
                </c:pt>
                <c:pt idx="46">
                  <c:v>-33.450000000001978</c:v>
                </c:pt>
                <c:pt idx="47">
                  <c:v>-33.349999999998658</c:v>
                </c:pt>
                <c:pt idx="48">
                  <c:v>-32.850000000010482</c:v>
                </c:pt>
                <c:pt idx="49">
                  <c:v>-33.349999999998658</c:v>
                </c:pt>
                <c:pt idx="50">
                  <c:v>-33.650000000008617</c:v>
                </c:pt>
                <c:pt idx="51">
                  <c:v>-34.250000000000114</c:v>
                </c:pt>
                <c:pt idx="52">
                  <c:v>-33.650000000008617</c:v>
                </c:pt>
                <c:pt idx="53">
                  <c:v>-33.950000000004366</c:v>
                </c:pt>
                <c:pt idx="54">
                  <c:v>-34.350000000003433</c:v>
                </c:pt>
                <c:pt idx="55">
                  <c:v>-33.650000000008617</c:v>
                </c:pt>
                <c:pt idx="56">
                  <c:v>-35.05000000001246</c:v>
                </c:pt>
                <c:pt idx="57">
                  <c:v>-35.650000000003956</c:v>
                </c:pt>
                <c:pt idx="58">
                  <c:v>-35.450000000011528</c:v>
                </c:pt>
                <c:pt idx="59">
                  <c:v>-35.150000000001569</c:v>
                </c:pt>
                <c:pt idx="61">
                  <c:v>-36.250000000009663</c:v>
                </c:pt>
                <c:pt idx="63">
                  <c:v>-36.250000000009663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54C-454F-9CCA-E9BC667E20AD}"/>
            </c:ext>
          </c:extLst>
        </c:ser>
        <c:ser>
          <c:idx val="4"/>
          <c:order val="5"/>
          <c:tx>
            <c:strRef>
              <c:f>Déplacements!$T$9</c:f>
              <c:strCache>
                <c:ptCount val="1"/>
                <c:pt idx="0">
                  <c:v>DZ inter droit</c:v>
                </c:pt>
              </c:strCache>
            </c:strRef>
          </c:tx>
          <c:spPr>
            <a:ln w="15875" cap="rnd">
              <a:solidFill>
                <a:srgbClr val="FF0000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xVal>
            <c:numRef>
              <c:f>Déplacements!$B$10:$B$132</c:f>
              <c:numCache>
                <c:formatCode>dd\ /\ mm\ /\ yy</c:formatCode>
                <c:ptCount val="123"/>
                <c:pt idx="0">
                  <c:v>43658</c:v>
                </c:pt>
                <c:pt idx="1">
                  <c:v>43661</c:v>
                </c:pt>
                <c:pt idx="2">
                  <c:v>43662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11">
                  <c:v>43685</c:v>
                </c:pt>
                <c:pt idx="12">
                  <c:v>43689</c:v>
                </c:pt>
                <c:pt idx="13">
                  <c:v>43690</c:v>
                </c:pt>
                <c:pt idx="14">
                  <c:v>43696</c:v>
                </c:pt>
                <c:pt idx="15">
                  <c:v>43699</c:v>
                </c:pt>
                <c:pt idx="16">
                  <c:v>43704</c:v>
                </c:pt>
                <c:pt idx="17">
                  <c:v>43706</c:v>
                </c:pt>
                <c:pt idx="18">
                  <c:v>43710</c:v>
                </c:pt>
                <c:pt idx="19">
                  <c:v>43713</c:v>
                </c:pt>
                <c:pt idx="20">
                  <c:v>43718</c:v>
                </c:pt>
                <c:pt idx="21">
                  <c:v>43720</c:v>
                </c:pt>
                <c:pt idx="22">
                  <c:v>43724</c:v>
                </c:pt>
                <c:pt idx="23">
                  <c:v>43727</c:v>
                </c:pt>
                <c:pt idx="24">
                  <c:v>43731</c:v>
                </c:pt>
                <c:pt idx="25">
                  <c:v>43734</c:v>
                </c:pt>
                <c:pt idx="26">
                  <c:v>43738</c:v>
                </c:pt>
                <c:pt idx="27">
                  <c:v>43741</c:v>
                </c:pt>
                <c:pt idx="28">
                  <c:v>43746</c:v>
                </c:pt>
                <c:pt idx="29">
                  <c:v>43753</c:v>
                </c:pt>
                <c:pt idx="30">
                  <c:v>43756</c:v>
                </c:pt>
                <c:pt idx="31">
                  <c:v>43760</c:v>
                </c:pt>
                <c:pt idx="32">
                  <c:v>43762</c:v>
                </c:pt>
                <c:pt idx="33">
                  <c:v>43766</c:v>
                </c:pt>
                <c:pt idx="34">
                  <c:v>43769</c:v>
                </c:pt>
                <c:pt idx="35">
                  <c:v>43774</c:v>
                </c:pt>
                <c:pt idx="36">
                  <c:v>43776</c:v>
                </c:pt>
                <c:pt idx="37">
                  <c:v>43781</c:v>
                </c:pt>
                <c:pt idx="38">
                  <c:v>43783</c:v>
                </c:pt>
                <c:pt idx="39">
                  <c:v>43787</c:v>
                </c:pt>
                <c:pt idx="40">
                  <c:v>43790</c:v>
                </c:pt>
                <c:pt idx="41">
                  <c:v>43795</c:v>
                </c:pt>
                <c:pt idx="42">
                  <c:v>43797</c:v>
                </c:pt>
                <c:pt idx="43">
                  <c:v>43798</c:v>
                </c:pt>
                <c:pt idx="44">
                  <c:v>43801</c:v>
                </c:pt>
                <c:pt idx="45">
                  <c:v>43803</c:v>
                </c:pt>
                <c:pt idx="46">
                  <c:v>43808</c:v>
                </c:pt>
                <c:pt idx="47">
                  <c:v>43811</c:v>
                </c:pt>
                <c:pt idx="48">
                  <c:v>43815</c:v>
                </c:pt>
                <c:pt idx="49">
                  <c:v>43818</c:v>
                </c:pt>
                <c:pt idx="50">
                  <c:v>43837</c:v>
                </c:pt>
                <c:pt idx="51">
                  <c:v>43843</c:v>
                </c:pt>
                <c:pt idx="52">
                  <c:v>43850</c:v>
                </c:pt>
                <c:pt idx="53">
                  <c:v>43859</c:v>
                </c:pt>
                <c:pt idx="54">
                  <c:v>43865</c:v>
                </c:pt>
                <c:pt idx="55">
                  <c:v>43886</c:v>
                </c:pt>
                <c:pt idx="56">
                  <c:v>43970</c:v>
                </c:pt>
                <c:pt idx="57">
                  <c:v>43977</c:v>
                </c:pt>
                <c:pt idx="58">
                  <c:v>43999</c:v>
                </c:pt>
                <c:pt idx="59">
                  <c:v>44029</c:v>
                </c:pt>
                <c:pt idx="61">
                  <c:v>44082</c:v>
                </c:pt>
                <c:pt idx="63">
                  <c:v>44082</c:v>
                </c:pt>
                <c:pt idx="65">
                  <c:v>44140</c:v>
                </c:pt>
                <c:pt idx="66">
                  <c:v>44172</c:v>
                </c:pt>
                <c:pt idx="67">
                  <c:v>44229</c:v>
                </c:pt>
                <c:pt idx="69">
                  <c:v>44322</c:v>
                </c:pt>
                <c:pt idx="70">
                  <c:v>44357</c:v>
                </c:pt>
                <c:pt idx="71">
                  <c:v>44362</c:v>
                </c:pt>
                <c:pt idx="72">
                  <c:v>44369</c:v>
                </c:pt>
                <c:pt idx="73">
                  <c:v>44376</c:v>
                </c:pt>
                <c:pt idx="74">
                  <c:v>44400</c:v>
                </c:pt>
                <c:pt idx="75">
                  <c:v>44439</c:v>
                </c:pt>
                <c:pt idx="76">
                  <c:v>44474</c:v>
                </c:pt>
                <c:pt idx="77">
                  <c:v>44522</c:v>
                </c:pt>
                <c:pt idx="78">
                  <c:v>44531</c:v>
                </c:pt>
                <c:pt idx="79">
                  <c:v>44536</c:v>
                </c:pt>
                <c:pt idx="80">
                  <c:v>44543</c:v>
                </c:pt>
                <c:pt idx="81">
                  <c:v>44550</c:v>
                </c:pt>
                <c:pt idx="82">
                  <c:v>44572</c:v>
                </c:pt>
                <c:pt idx="83">
                  <c:v>44578</c:v>
                </c:pt>
                <c:pt idx="84">
                  <c:v>44595</c:v>
                </c:pt>
                <c:pt idx="85">
                  <c:v>44613</c:v>
                </c:pt>
                <c:pt idx="86">
                  <c:v>44648</c:v>
                </c:pt>
                <c:pt idx="87">
                  <c:v>44678</c:v>
                </c:pt>
                <c:pt idx="88">
                  <c:v>44711</c:v>
                </c:pt>
                <c:pt idx="89">
                  <c:v>44740</c:v>
                </c:pt>
                <c:pt idx="90">
                  <c:v>44767</c:v>
                </c:pt>
                <c:pt idx="91">
                  <c:v>44902</c:v>
                </c:pt>
                <c:pt idx="92">
                  <c:v>44915</c:v>
                </c:pt>
                <c:pt idx="93">
                  <c:v>44930</c:v>
                </c:pt>
                <c:pt idx="94">
                  <c:v>44945</c:v>
                </c:pt>
                <c:pt idx="95">
                  <c:v>44957</c:v>
                </c:pt>
                <c:pt idx="96">
                  <c:v>44988</c:v>
                </c:pt>
                <c:pt idx="97">
                  <c:v>45013</c:v>
                </c:pt>
              </c:numCache>
            </c:numRef>
          </c:xVal>
          <c:yVal>
            <c:numRef>
              <c:f>Déplacements!$T$10:$T$132</c:f>
              <c:numCache>
                <c:formatCode>\+\ 0.0;\-\ 0.0;\±\ 0.0</c:formatCode>
                <c:ptCount val="123"/>
                <c:pt idx="0">
                  <c:v>0</c:v>
                </c:pt>
                <c:pt idx="1">
                  <c:v>0</c:v>
                </c:pt>
                <c:pt idx="2">
                  <c:v>0.79999999999813554</c:v>
                </c:pt>
                <c:pt idx="3">
                  <c:v>1.0000000000047748</c:v>
                </c:pt>
                <c:pt idx="4">
                  <c:v>3.6000000000058208</c:v>
                </c:pt>
                <c:pt idx="5">
                  <c:v>0.79999999999813554</c:v>
                </c:pt>
                <c:pt idx="6">
                  <c:v>-0.69999999999481588</c:v>
                </c:pt>
                <c:pt idx="7">
                  <c:v>0.20000000000663931</c:v>
                </c:pt>
                <c:pt idx="8">
                  <c:v>0.20000000000663931</c:v>
                </c:pt>
                <c:pt idx="11">
                  <c:v>0.20000000000663931</c:v>
                </c:pt>
                <c:pt idx="12">
                  <c:v>0.30000000000995897</c:v>
                </c:pt>
                <c:pt idx="13">
                  <c:v>0.80000000001234639</c:v>
                </c:pt>
                <c:pt idx="14">
                  <c:v>1.1000000000080945</c:v>
                </c:pt>
                <c:pt idx="15">
                  <c:v>0.40000000001327862</c:v>
                </c:pt>
                <c:pt idx="16">
                  <c:v>0.50000000001659828</c:v>
                </c:pt>
                <c:pt idx="17">
                  <c:v>1.2000000000114142</c:v>
                </c:pt>
                <c:pt idx="18">
                  <c:v>0.80000000001234639</c:v>
                </c:pt>
                <c:pt idx="19">
                  <c:v>1.6000000000104819</c:v>
                </c:pt>
                <c:pt idx="20">
                  <c:v>1.0000000000189857</c:v>
                </c:pt>
                <c:pt idx="21">
                  <c:v>0.40000000001327862</c:v>
                </c:pt>
                <c:pt idx="22">
                  <c:v>0.20000000000663931</c:v>
                </c:pt>
                <c:pt idx="23">
                  <c:v>0.80000000001234639</c:v>
                </c:pt>
                <c:pt idx="24">
                  <c:v>0.80000000001234639</c:v>
                </c:pt>
                <c:pt idx="25">
                  <c:v>0.30000000000995897</c:v>
                </c:pt>
                <c:pt idx="26">
                  <c:v>0.50000000001659828</c:v>
                </c:pt>
                <c:pt idx="27">
                  <c:v>0.70000000000902673</c:v>
                </c:pt>
                <c:pt idx="28">
                  <c:v>0.90000000001566605</c:v>
                </c:pt>
                <c:pt idx="29">
                  <c:v>0.43333333336192936</c:v>
                </c:pt>
                <c:pt idx="30">
                  <c:v>0.30000000000995897</c:v>
                </c:pt>
                <c:pt idx="31">
                  <c:v>0.20000000000663931</c:v>
                </c:pt>
                <c:pt idx="32">
                  <c:v>0.40000000001327862</c:v>
                </c:pt>
                <c:pt idx="33">
                  <c:v>-0.19999999999242846</c:v>
                </c:pt>
                <c:pt idx="34">
                  <c:v>0.60000000000570708</c:v>
                </c:pt>
                <c:pt idx="35">
                  <c:v>0.90000000001566605</c:v>
                </c:pt>
                <c:pt idx="36">
                  <c:v>1.4210854715202004E-11</c:v>
                </c:pt>
                <c:pt idx="37">
                  <c:v>0.20000000000663931</c:v>
                </c:pt>
                <c:pt idx="38">
                  <c:v>0.90000000001566605</c:v>
                </c:pt>
                <c:pt idx="39">
                  <c:v>0.90000000001566605</c:v>
                </c:pt>
                <c:pt idx="40">
                  <c:v>0.60000000000570708</c:v>
                </c:pt>
                <c:pt idx="41">
                  <c:v>0.40000000001327862</c:v>
                </c:pt>
                <c:pt idx="42">
                  <c:v>1.4210854715202004E-11</c:v>
                </c:pt>
                <c:pt idx="43">
                  <c:v>0.50000000001659828</c:v>
                </c:pt>
                <c:pt idx="44">
                  <c:v>1.4210854715202004E-11</c:v>
                </c:pt>
                <c:pt idx="45">
                  <c:v>0.30000000000995897</c:v>
                </c:pt>
                <c:pt idx="46">
                  <c:v>0.20000000000663931</c:v>
                </c:pt>
                <c:pt idx="47">
                  <c:v>0.60000000000570708</c:v>
                </c:pt>
                <c:pt idx="48">
                  <c:v>0.60000000000570708</c:v>
                </c:pt>
                <c:pt idx="49">
                  <c:v>0.60000000000570708</c:v>
                </c:pt>
                <c:pt idx="50">
                  <c:v>0.80000000001234639</c:v>
                </c:pt>
                <c:pt idx="51">
                  <c:v>0.50000000001659828</c:v>
                </c:pt>
                <c:pt idx="52">
                  <c:v>0.90000000001566605</c:v>
                </c:pt>
                <c:pt idx="53">
                  <c:v>0.70000000000902673</c:v>
                </c:pt>
                <c:pt idx="54">
                  <c:v>0.50000000001659828</c:v>
                </c:pt>
                <c:pt idx="55">
                  <c:v>1.1000000000080945</c:v>
                </c:pt>
                <c:pt idx="56">
                  <c:v>0.30000000000995897</c:v>
                </c:pt>
                <c:pt idx="57">
                  <c:v>0.10000000001753051</c:v>
                </c:pt>
                <c:pt idx="58">
                  <c:v>0.40000000001327862</c:v>
                </c:pt>
                <c:pt idx="59">
                  <c:v>0.70000000000902673</c:v>
                </c:pt>
                <c:pt idx="61">
                  <c:v>-9.9999999989108801E-2</c:v>
                </c:pt>
                <c:pt idx="63">
                  <c:v>-9.9999999989108801E-2</c:v>
                </c:pt>
                <c:pt idx="65">
                  <c:v>-0.29999999998153726</c:v>
                </c:pt>
                <c:pt idx="66">
                  <c:v>-0.49999999998817657</c:v>
                </c:pt>
                <c:pt idx="67">
                  <c:v>1.4210854715202004E-11</c:v>
                </c:pt>
                <c:pt idx="69">
                  <c:v>-0.29999999998153726</c:v>
                </c:pt>
                <c:pt idx="70">
                  <c:v>-0.99999999997635314</c:v>
                </c:pt>
                <c:pt idx="71">
                  <c:v>-2.0999999999844476</c:v>
                </c:pt>
                <c:pt idx="72">
                  <c:v>-1.8999999999778083</c:v>
                </c:pt>
                <c:pt idx="73">
                  <c:v>-1.7999999999886995</c:v>
                </c:pt>
                <c:pt idx="74">
                  <c:v>-1.8999999999778083</c:v>
                </c:pt>
                <c:pt idx="75">
                  <c:v>-0.49999999998817657</c:v>
                </c:pt>
                <c:pt idx="76">
                  <c:v>-1.7999999999886995</c:v>
                </c:pt>
                <c:pt idx="77">
                  <c:v>-2.2999999999768761</c:v>
                </c:pt>
                <c:pt idx="78">
                  <c:v>-2.0999999999844476</c:v>
                </c:pt>
                <c:pt idx="79">
                  <c:v>-3.1999999999783313</c:v>
                </c:pt>
                <c:pt idx="80">
                  <c:v>-2.4999999999835154</c:v>
                </c:pt>
                <c:pt idx="81">
                  <c:v>-2.4999999999835154</c:v>
                </c:pt>
                <c:pt idx="82">
                  <c:v>-2.7999999999792635</c:v>
                </c:pt>
                <c:pt idx="83">
                  <c:v>-2.0999999999844476</c:v>
                </c:pt>
                <c:pt idx="84">
                  <c:v>-3.9999999999764668</c:v>
                </c:pt>
                <c:pt idx="85">
                  <c:v>-2.7999999999792635</c:v>
                </c:pt>
                <c:pt idx="86">
                  <c:v>-3.0999999999892225</c:v>
                </c:pt>
                <c:pt idx="87">
                  <c:v>-2.9999999999859028</c:v>
                </c:pt>
                <c:pt idx="88">
                  <c:v>-3.1999999999783313</c:v>
                </c:pt>
                <c:pt idx="89">
                  <c:v>-3.3999999999849706</c:v>
                </c:pt>
                <c:pt idx="90">
                  <c:v>-2.6999999999901547</c:v>
                </c:pt>
                <c:pt idx="91">
                  <c:v>-2.6999999999759439</c:v>
                </c:pt>
                <c:pt idx="92">
                  <c:v>-2.9999999999859028</c:v>
                </c:pt>
                <c:pt idx="93">
                  <c:v>-2.9999999999859028</c:v>
                </c:pt>
                <c:pt idx="94">
                  <c:v>-3.4999999999882903</c:v>
                </c:pt>
                <c:pt idx="95">
                  <c:v>-3.1999999999783313</c:v>
                </c:pt>
                <c:pt idx="96">
                  <c:v>-3.3999999999849706</c:v>
                </c:pt>
                <c:pt idx="97">
                  <c:v>-4.0999999999797865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54C-454F-9CCA-E9BC667E20AD}"/>
            </c:ext>
          </c:extLst>
        </c:ser>
        <c:ser>
          <c:idx val="5"/>
          <c:order val="6"/>
          <c:tx>
            <c:strRef>
              <c:f>Déplacements!$W$9</c:f>
              <c:strCache>
                <c:ptCount val="1"/>
                <c:pt idx="0">
                  <c:v>DZ bas droit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xVal>
            <c:numRef>
              <c:f>Déplacements!$B$10:$B$132</c:f>
              <c:numCache>
                <c:formatCode>dd\ /\ mm\ /\ yy</c:formatCode>
                <c:ptCount val="123"/>
                <c:pt idx="0">
                  <c:v>43658</c:v>
                </c:pt>
                <c:pt idx="1">
                  <c:v>43661</c:v>
                </c:pt>
                <c:pt idx="2">
                  <c:v>43662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11">
                  <c:v>43685</c:v>
                </c:pt>
                <c:pt idx="12">
                  <c:v>43689</c:v>
                </c:pt>
                <c:pt idx="13">
                  <c:v>43690</c:v>
                </c:pt>
                <c:pt idx="14">
                  <c:v>43696</c:v>
                </c:pt>
                <c:pt idx="15">
                  <c:v>43699</c:v>
                </c:pt>
                <c:pt idx="16">
                  <c:v>43704</c:v>
                </c:pt>
                <c:pt idx="17">
                  <c:v>43706</c:v>
                </c:pt>
                <c:pt idx="18">
                  <c:v>43710</c:v>
                </c:pt>
                <c:pt idx="19">
                  <c:v>43713</c:v>
                </c:pt>
                <c:pt idx="20">
                  <c:v>43718</c:v>
                </c:pt>
                <c:pt idx="21">
                  <c:v>43720</c:v>
                </c:pt>
                <c:pt idx="22">
                  <c:v>43724</c:v>
                </c:pt>
                <c:pt idx="23">
                  <c:v>43727</c:v>
                </c:pt>
                <c:pt idx="24">
                  <c:v>43731</c:v>
                </c:pt>
                <c:pt idx="25">
                  <c:v>43734</c:v>
                </c:pt>
                <c:pt idx="26">
                  <c:v>43738</c:v>
                </c:pt>
                <c:pt idx="27">
                  <c:v>43741</c:v>
                </c:pt>
                <c:pt idx="28">
                  <c:v>43746</c:v>
                </c:pt>
                <c:pt idx="29">
                  <c:v>43753</c:v>
                </c:pt>
                <c:pt idx="30">
                  <c:v>43756</c:v>
                </c:pt>
                <c:pt idx="31">
                  <c:v>43760</c:v>
                </c:pt>
                <c:pt idx="32">
                  <c:v>43762</c:v>
                </c:pt>
                <c:pt idx="33">
                  <c:v>43766</c:v>
                </c:pt>
                <c:pt idx="34">
                  <c:v>43769</c:v>
                </c:pt>
                <c:pt idx="35">
                  <c:v>43774</c:v>
                </c:pt>
                <c:pt idx="36">
                  <c:v>43776</c:v>
                </c:pt>
                <c:pt idx="37">
                  <c:v>43781</c:v>
                </c:pt>
                <c:pt idx="38">
                  <c:v>43783</c:v>
                </c:pt>
                <c:pt idx="39">
                  <c:v>43787</c:v>
                </c:pt>
                <c:pt idx="40">
                  <c:v>43790</c:v>
                </c:pt>
                <c:pt idx="41">
                  <c:v>43795</c:v>
                </c:pt>
                <c:pt idx="42">
                  <c:v>43797</c:v>
                </c:pt>
                <c:pt idx="43">
                  <c:v>43798</c:v>
                </c:pt>
                <c:pt idx="44">
                  <c:v>43801</c:v>
                </c:pt>
                <c:pt idx="45">
                  <c:v>43803</c:v>
                </c:pt>
                <c:pt idx="46">
                  <c:v>43808</c:v>
                </c:pt>
                <c:pt idx="47">
                  <c:v>43811</c:v>
                </c:pt>
                <c:pt idx="48">
                  <c:v>43815</c:v>
                </c:pt>
                <c:pt idx="49">
                  <c:v>43818</c:v>
                </c:pt>
                <c:pt idx="50">
                  <c:v>43837</c:v>
                </c:pt>
                <c:pt idx="51">
                  <c:v>43843</c:v>
                </c:pt>
                <c:pt idx="52">
                  <c:v>43850</c:v>
                </c:pt>
                <c:pt idx="53">
                  <c:v>43859</c:v>
                </c:pt>
                <c:pt idx="54">
                  <c:v>43865</c:v>
                </c:pt>
                <c:pt idx="55">
                  <c:v>43886</c:v>
                </c:pt>
                <c:pt idx="56">
                  <c:v>43970</c:v>
                </c:pt>
                <c:pt idx="57">
                  <c:v>43977</c:v>
                </c:pt>
                <c:pt idx="58">
                  <c:v>43999</c:v>
                </c:pt>
                <c:pt idx="59">
                  <c:v>44029</c:v>
                </c:pt>
                <c:pt idx="61">
                  <c:v>44082</c:v>
                </c:pt>
                <c:pt idx="63">
                  <c:v>44082</c:v>
                </c:pt>
                <c:pt idx="65">
                  <c:v>44140</c:v>
                </c:pt>
                <c:pt idx="66">
                  <c:v>44172</c:v>
                </c:pt>
                <c:pt idx="67">
                  <c:v>44229</c:v>
                </c:pt>
                <c:pt idx="69">
                  <c:v>44322</c:v>
                </c:pt>
                <c:pt idx="70">
                  <c:v>44357</c:v>
                </c:pt>
                <c:pt idx="71">
                  <c:v>44362</c:v>
                </c:pt>
                <c:pt idx="72">
                  <c:v>44369</c:v>
                </c:pt>
                <c:pt idx="73">
                  <c:v>44376</c:v>
                </c:pt>
                <c:pt idx="74">
                  <c:v>44400</c:v>
                </c:pt>
                <c:pt idx="75">
                  <c:v>44439</c:v>
                </c:pt>
                <c:pt idx="76">
                  <c:v>44474</c:v>
                </c:pt>
                <c:pt idx="77">
                  <c:v>44522</c:v>
                </c:pt>
                <c:pt idx="78">
                  <c:v>44531</c:v>
                </c:pt>
                <c:pt idx="79">
                  <c:v>44536</c:v>
                </c:pt>
                <c:pt idx="80">
                  <c:v>44543</c:v>
                </c:pt>
                <c:pt idx="81">
                  <c:v>44550</c:v>
                </c:pt>
                <c:pt idx="82">
                  <c:v>44572</c:v>
                </c:pt>
                <c:pt idx="83">
                  <c:v>44578</c:v>
                </c:pt>
                <c:pt idx="84">
                  <c:v>44595</c:v>
                </c:pt>
                <c:pt idx="85">
                  <c:v>44613</c:v>
                </c:pt>
                <c:pt idx="86">
                  <c:v>44648</c:v>
                </c:pt>
                <c:pt idx="87">
                  <c:v>44678</c:v>
                </c:pt>
                <c:pt idx="88">
                  <c:v>44711</c:v>
                </c:pt>
                <c:pt idx="89">
                  <c:v>44740</c:v>
                </c:pt>
                <c:pt idx="90">
                  <c:v>44767</c:v>
                </c:pt>
                <c:pt idx="91">
                  <c:v>44902</c:v>
                </c:pt>
                <c:pt idx="92">
                  <c:v>44915</c:v>
                </c:pt>
                <c:pt idx="93">
                  <c:v>44930</c:v>
                </c:pt>
                <c:pt idx="94">
                  <c:v>44945</c:v>
                </c:pt>
                <c:pt idx="95">
                  <c:v>44957</c:v>
                </c:pt>
                <c:pt idx="96">
                  <c:v>44988</c:v>
                </c:pt>
                <c:pt idx="97">
                  <c:v>45013</c:v>
                </c:pt>
              </c:numCache>
            </c:numRef>
          </c:xVal>
          <c:yVal>
            <c:numRef>
              <c:f>Déplacements!$W$10:$W$132</c:f>
              <c:numCache>
                <c:formatCode>\+\ 0.0;\-\ 0.0;\±\ 0.0</c:formatCode>
                <c:ptCount val="123"/>
                <c:pt idx="0">
                  <c:v>0</c:v>
                </c:pt>
                <c:pt idx="1">
                  <c:v>0.29999999999574811</c:v>
                </c:pt>
                <c:pt idx="2">
                  <c:v>0.90000000000145519</c:v>
                </c:pt>
                <c:pt idx="3">
                  <c:v>1.0999999999938836</c:v>
                </c:pt>
                <c:pt idx="4">
                  <c:v>-30.200000000007776</c:v>
                </c:pt>
                <c:pt idx="5">
                  <c:v>-32.700000000005502</c:v>
                </c:pt>
                <c:pt idx="6">
                  <c:v>-34.300000000001774</c:v>
                </c:pt>
                <c:pt idx="7">
                  <c:v>-33.299999999996999</c:v>
                </c:pt>
                <c:pt idx="8">
                  <c:v>-33.10000000000457</c:v>
                </c:pt>
                <c:pt idx="11">
                  <c:v>-33.000000000001251</c:v>
                </c:pt>
                <c:pt idx="12">
                  <c:v>-32.799999999994611</c:v>
                </c:pt>
                <c:pt idx="13">
                  <c:v>-31.999999999996476</c:v>
                </c:pt>
                <c:pt idx="14">
                  <c:v>-31.899999999993156</c:v>
                </c:pt>
                <c:pt idx="15">
                  <c:v>-32.299999999992224</c:v>
                </c:pt>
                <c:pt idx="16">
                  <c:v>-32.299999999992224</c:v>
                </c:pt>
                <c:pt idx="17">
                  <c:v>-31.700000000000728</c:v>
                </c:pt>
                <c:pt idx="18">
                  <c:v>-31.899999999993156</c:v>
                </c:pt>
                <c:pt idx="19">
                  <c:v>-31.099999999995021</c:v>
                </c:pt>
                <c:pt idx="20">
                  <c:v>-31.899999999993156</c:v>
                </c:pt>
                <c:pt idx="21">
                  <c:v>-32.499999999998863</c:v>
                </c:pt>
                <c:pt idx="23">
                  <c:v>-31.899999999993156</c:v>
                </c:pt>
                <c:pt idx="24">
                  <c:v>-31.899999999993156</c:v>
                </c:pt>
                <c:pt idx="25">
                  <c:v>-32.299999999992224</c:v>
                </c:pt>
                <c:pt idx="27">
                  <c:v>-31.800000000004047</c:v>
                </c:pt>
                <c:pt idx="28">
                  <c:v>-31.733333333320957</c:v>
                </c:pt>
                <c:pt idx="29">
                  <c:v>-31.983333333329256</c:v>
                </c:pt>
                <c:pt idx="30">
                  <c:v>-31.999999999996476</c:v>
                </c:pt>
                <c:pt idx="31">
                  <c:v>-32.099999999999795</c:v>
                </c:pt>
                <c:pt idx="32">
                  <c:v>-32.299999999992224</c:v>
                </c:pt>
                <c:pt idx="33">
                  <c:v>-32.799999999994611</c:v>
                </c:pt>
                <c:pt idx="34">
                  <c:v>-31.800000000004047</c:v>
                </c:pt>
                <c:pt idx="35">
                  <c:v>-31.400000000004979</c:v>
                </c:pt>
                <c:pt idx="36">
                  <c:v>-32.099999999999795</c:v>
                </c:pt>
                <c:pt idx="37">
                  <c:v>-31.700000000000728</c:v>
                </c:pt>
                <c:pt idx="38">
                  <c:v>-31.19999999999834</c:v>
                </c:pt>
                <c:pt idx="39">
                  <c:v>-31.19999999999834</c:v>
                </c:pt>
                <c:pt idx="40">
                  <c:v>-31.400000000004979</c:v>
                </c:pt>
                <c:pt idx="41">
                  <c:v>-31.599999999997408</c:v>
                </c:pt>
                <c:pt idx="42">
                  <c:v>-31.700000000000728</c:v>
                </c:pt>
                <c:pt idx="43">
                  <c:v>-31.30000000000166</c:v>
                </c:pt>
                <c:pt idx="44">
                  <c:v>-31.999999999996476</c:v>
                </c:pt>
                <c:pt idx="45">
                  <c:v>-31.499999999994088</c:v>
                </c:pt>
                <c:pt idx="46">
                  <c:v>-31.30000000000166</c:v>
                </c:pt>
                <c:pt idx="47">
                  <c:v>-31.19999999999834</c:v>
                </c:pt>
                <c:pt idx="48">
                  <c:v>-31.30000000000166</c:v>
                </c:pt>
                <c:pt idx="49">
                  <c:v>-31.19999999999834</c:v>
                </c:pt>
                <c:pt idx="50">
                  <c:v>-30.999999999991701</c:v>
                </c:pt>
                <c:pt idx="51">
                  <c:v>-31.099999999995021</c:v>
                </c:pt>
                <c:pt idx="52">
                  <c:v>-30.799999999999272</c:v>
                </c:pt>
                <c:pt idx="53">
                  <c:v>-30.799999999999272</c:v>
                </c:pt>
                <c:pt idx="54">
                  <c:v>-31.099999999995021</c:v>
                </c:pt>
                <c:pt idx="55">
                  <c:v>-30.500000000003524</c:v>
                </c:pt>
                <c:pt idx="56">
                  <c:v>-31.099999999995021</c:v>
                </c:pt>
                <c:pt idx="57">
                  <c:v>-31.19999999999834</c:v>
                </c:pt>
                <c:pt idx="58">
                  <c:v>-30.799999999999272</c:v>
                </c:pt>
                <c:pt idx="59">
                  <c:v>-30.799999999999272</c:v>
                </c:pt>
                <c:pt idx="61">
                  <c:v>-31.099999999995021</c:v>
                </c:pt>
                <c:pt idx="63">
                  <c:v>-31.099999999995021</c:v>
                </c:pt>
                <c:pt idx="69">
                  <c:v>-30.699999999995953</c:v>
                </c:pt>
                <c:pt idx="70">
                  <c:v>-31.499999999979877</c:v>
                </c:pt>
                <c:pt idx="71">
                  <c:v>-32.099999999985585</c:v>
                </c:pt>
                <c:pt idx="72">
                  <c:v>-31.799999999989836</c:v>
                </c:pt>
                <c:pt idx="73">
                  <c:v>-31.699999999986517</c:v>
                </c:pt>
                <c:pt idx="74">
                  <c:v>-31.399999999990769</c:v>
                </c:pt>
                <c:pt idx="75">
                  <c:v>-29.599999999987858</c:v>
                </c:pt>
                <c:pt idx="76">
                  <c:v>-30.899999999988381</c:v>
                </c:pt>
                <c:pt idx="77">
                  <c:v>-30.999999999991701</c:v>
                </c:pt>
                <c:pt idx="78">
                  <c:v>-30.799999999985062</c:v>
                </c:pt>
                <c:pt idx="79">
                  <c:v>-31.599999999983197</c:v>
                </c:pt>
                <c:pt idx="80">
                  <c:v>-31.099999999995021</c:v>
                </c:pt>
                <c:pt idx="81">
                  <c:v>-31.099999999995021</c:v>
                </c:pt>
                <c:pt idx="82">
                  <c:v>-31.299999999987449</c:v>
                </c:pt>
                <c:pt idx="83">
                  <c:v>-30.899999999988381</c:v>
                </c:pt>
                <c:pt idx="84">
                  <c:v>-32.399999999995543</c:v>
                </c:pt>
                <c:pt idx="85">
                  <c:v>-31.099999999995021</c:v>
                </c:pt>
                <c:pt idx="86">
                  <c:v>-31.499999999994088</c:v>
                </c:pt>
                <c:pt idx="87">
                  <c:v>-30.999999999991701</c:v>
                </c:pt>
                <c:pt idx="88">
                  <c:v>-31.399999999990769</c:v>
                </c:pt>
                <c:pt idx="89">
                  <c:v>-31.399999999990769</c:v>
                </c:pt>
                <c:pt idx="90">
                  <c:v>-30.474999999981378</c:v>
                </c:pt>
                <c:pt idx="91">
                  <c:v>-29.899999999983606</c:v>
                </c:pt>
                <c:pt idx="94">
                  <c:v>-30.599999999992633</c:v>
                </c:pt>
                <c:pt idx="95">
                  <c:v>-30.399999999985994</c:v>
                </c:pt>
                <c:pt idx="96">
                  <c:v>-30.599999999992633</c:v>
                </c:pt>
                <c:pt idx="97">
                  <c:v>-31.099999999995021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54C-454F-9CCA-E9BC667E20AD}"/>
            </c:ext>
          </c:extLst>
        </c:ser>
        <c:ser>
          <c:idx val="2"/>
          <c:order val="8"/>
          <c:tx>
            <c:strRef>
              <c:f>Graphiques!$AB$36</c:f>
              <c:strCache>
                <c:ptCount val="1"/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tint val="50000"/>
                      <a:satMod val="300000"/>
                    </a:schemeClr>
                  </a:gs>
                  <a:gs pos="35000">
                    <a:schemeClr val="accent3">
                      <a:tint val="37000"/>
                      <a:satMod val="300000"/>
                    </a:schemeClr>
                  </a:gs>
                  <a:gs pos="100000">
                    <a:schemeClr val="accent3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Graphiques!$AD$37:$AD$71</c:f>
              <c:numCache>
                <c:formatCode>m/d/yyyy</c:formatCode>
                <c:ptCount val="35"/>
              </c:numCache>
            </c:numRef>
          </c:xVal>
          <c:yVal>
            <c:numRef>
              <c:f>Graphiques!$AE$37:$AE$71</c:f>
              <c:numCache>
                <c:formatCode>General</c:formatCode>
                <c:ptCount val="3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54C-454F-9CCA-E9BC667E2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511472"/>
        <c:axId val="604511864"/>
      </c:scatterChart>
      <c:scatterChart>
        <c:scatterStyle val="lineMarker"/>
        <c:varyColors val="0"/>
        <c:ser>
          <c:idx val="1"/>
          <c:order val="7"/>
          <c:tx>
            <c:v>PM Front</c:v>
          </c:tx>
          <c:spPr>
            <a:ln w="15875" cap="rnd">
              <a:solidFill>
                <a:schemeClr val="accent2"/>
              </a:solidFill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</a:schemeClr>
                  </a:gs>
                  <a:gs pos="35000">
                    <a:schemeClr val="accent2">
                      <a:tint val="37000"/>
                      <a:satMod val="300000"/>
                    </a:schemeClr>
                  </a:gs>
                  <a:gs pos="100000">
                    <a:schemeClr val="accent2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strRef>
              <c:f>('Résultats observations'!$A$10:$A$18,'Résultats observations'!$A$20:$A$99)</c:f>
              <c:strCache>
                <c:ptCount val="89"/>
                <c:pt idx="0">
                  <c:v>12 / 07 / 19</c:v>
                </c:pt>
                <c:pt idx="1">
                  <c:v>15 / 07 / 19</c:v>
                </c:pt>
                <c:pt idx="2">
                  <c:v>16 / 07 / 19</c:v>
                </c:pt>
                <c:pt idx="3">
                  <c:v>17 / 07 / 19</c:v>
                </c:pt>
                <c:pt idx="4">
                  <c:v>23 / 07 / 19</c:v>
                </c:pt>
                <c:pt idx="5">
                  <c:v>29 / 07 / 19</c:v>
                </c:pt>
                <c:pt idx="6">
                  <c:v>02 / 08 / 19</c:v>
                </c:pt>
                <c:pt idx="7">
                  <c:v>05 / 08 / 19</c:v>
                </c:pt>
                <c:pt idx="8">
                  <c:v>07 / 08 / 19</c:v>
                </c:pt>
                <c:pt idx="9">
                  <c:v>07 / 08 / 19</c:v>
                </c:pt>
                <c:pt idx="10">
                  <c:v>08 / 08 / 19</c:v>
                </c:pt>
                <c:pt idx="11">
                  <c:v>12 / 08 / 19</c:v>
                </c:pt>
                <c:pt idx="12">
                  <c:v>13 / 08 / 19</c:v>
                </c:pt>
                <c:pt idx="13">
                  <c:v>19 / 08 / 19</c:v>
                </c:pt>
                <c:pt idx="14">
                  <c:v>22 / 08 / 19</c:v>
                </c:pt>
                <c:pt idx="15">
                  <c:v>27 / 08 / 19</c:v>
                </c:pt>
                <c:pt idx="16">
                  <c:v>29 / 08 / 19</c:v>
                </c:pt>
                <c:pt idx="17">
                  <c:v>02 / 09 / 19</c:v>
                </c:pt>
                <c:pt idx="18">
                  <c:v>05 / 09 / 19</c:v>
                </c:pt>
                <c:pt idx="19">
                  <c:v>10 / 09 / 19</c:v>
                </c:pt>
                <c:pt idx="20">
                  <c:v>12 / 09 / 19</c:v>
                </c:pt>
                <c:pt idx="21">
                  <c:v>16 / 09 / 19</c:v>
                </c:pt>
                <c:pt idx="22">
                  <c:v>19 / 09 / 19</c:v>
                </c:pt>
                <c:pt idx="23">
                  <c:v>23 / 09 / 19</c:v>
                </c:pt>
                <c:pt idx="24">
                  <c:v>26 / 09 / 19</c:v>
                </c:pt>
                <c:pt idx="25">
                  <c:v>30 / 09 / 19</c:v>
                </c:pt>
                <c:pt idx="26">
                  <c:v>03 / 10 / 19</c:v>
                </c:pt>
                <c:pt idx="27">
                  <c:v>08 / 10 / 19</c:v>
                </c:pt>
                <c:pt idx="28">
                  <c:v>15 / 10 / 19</c:v>
                </c:pt>
                <c:pt idx="29">
                  <c:v>18 / 10 / 19</c:v>
                </c:pt>
                <c:pt idx="30">
                  <c:v>22 / 10 / 19</c:v>
                </c:pt>
                <c:pt idx="31">
                  <c:v>24 / 10 / 19</c:v>
                </c:pt>
                <c:pt idx="32">
                  <c:v>28 / 10 / 19</c:v>
                </c:pt>
                <c:pt idx="33">
                  <c:v>31 / 10 / 19</c:v>
                </c:pt>
                <c:pt idx="34">
                  <c:v>05 / 11 / 19</c:v>
                </c:pt>
                <c:pt idx="35">
                  <c:v>07 / 11 / 19</c:v>
                </c:pt>
                <c:pt idx="36">
                  <c:v>12 / 11 / 19</c:v>
                </c:pt>
                <c:pt idx="37">
                  <c:v>14 / 11 / 19</c:v>
                </c:pt>
                <c:pt idx="38">
                  <c:v>18 / 11 / 19</c:v>
                </c:pt>
                <c:pt idx="39">
                  <c:v>21 / 11 / 19</c:v>
                </c:pt>
                <c:pt idx="40">
                  <c:v>26 / 11 / 19</c:v>
                </c:pt>
                <c:pt idx="41">
                  <c:v>28 / 11 / 19</c:v>
                </c:pt>
                <c:pt idx="42">
                  <c:v>29 / 11 / 19</c:v>
                </c:pt>
                <c:pt idx="43">
                  <c:v>02 / 12 / 19</c:v>
                </c:pt>
                <c:pt idx="44">
                  <c:v>04 / 12 / 19</c:v>
                </c:pt>
                <c:pt idx="45">
                  <c:v>09 / 12 / 19</c:v>
                </c:pt>
                <c:pt idx="46">
                  <c:v>12 / 12 / 19</c:v>
                </c:pt>
                <c:pt idx="47">
                  <c:v>16 / 12 / 19</c:v>
                </c:pt>
                <c:pt idx="48">
                  <c:v>19 / 12 / 19</c:v>
                </c:pt>
                <c:pt idx="49">
                  <c:v>07 / 01 / 20</c:v>
                </c:pt>
                <c:pt idx="50">
                  <c:v>13 / 01 / 20</c:v>
                </c:pt>
                <c:pt idx="51">
                  <c:v>20 / 01 / 20</c:v>
                </c:pt>
                <c:pt idx="52">
                  <c:v>29 / 01 / 20</c:v>
                </c:pt>
                <c:pt idx="53">
                  <c:v>04 / 02 / 20</c:v>
                </c:pt>
                <c:pt idx="54">
                  <c:v>25 / 02 / 20</c:v>
                </c:pt>
                <c:pt idx="55">
                  <c:v>19 / 05 / 20</c:v>
                </c:pt>
                <c:pt idx="56">
                  <c:v>26 / 05 / 20</c:v>
                </c:pt>
                <c:pt idx="57">
                  <c:v>17 / 06 / 20</c:v>
                </c:pt>
                <c:pt idx="58">
                  <c:v>17 / 07 / 20</c:v>
                </c:pt>
                <c:pt idx="59">
                  <c:v>12 / 08 / 20</c:v>
                </c:pt>
                <c:pt idx="60">
                  <c:v>08 / 09 / 20</c:v>
                </c:pt>
                <c:pt idx="61">
                  <c:v>CHANGEMENT DE SYSTÈME DE COORDONNEES</c:v>
                </c:pt>
                <c:pt idx="62">
                  <c:v>08 / 09 / 20</c:v>
                </c:pt>
                <c:pt idx="63">
                  <c:v>passation andra</c:v>
                </c:pt>
                <c:pt idx="64">
                  <c:v>05 / 11 / 20</c:v>
                </c:pt>
                <c:pt idx="65">
                  <c:v>07 / 12 / 20</c:v>
                </c:pt>
                <c:pt idx="66">
                  <c:v>02 / 02 / 21</c:v>
                </c:pt>
                <c:pt idx="67">
                  <c:v>18 / 03 / 21</c:v>
                </c:pt>
                <c:pt idx="68">
                  <c:v>06 / 05 / 21</c:v>
                </c:pt>
                <c:pt idx="69">
                  <c:v>10 / 06 / 21</c:v>
                </c:pt>
                <c:pt idx="70">
                  <c:v>15 / 06 / 21</c:v>
                </c:pt>
                <c:pt idx="71">
                  <c:v>22 / 06 / 21</c:v>
                </c:pt>
                <c:pt idx="72">
                  <c:v>29 / 06 / 21</c:v>
                </c:pt>
                <c:pt idx="73">
                  <c:v>23 / 07 / 21</c:v>
                </c:pt>
                <c:pt idx="74">
                  <c:v>31 / 08 / 21</c:v>
                </c:pt>
                <c:pt idx="75">
                  <c:v>05 / 10 / 21</c:v>
                </c:pt>
                <c:pt idx="76">
                  <c:v>22 / 11 / 21</c:v>
                </c:pt>
                <c:pt idx="77">
                  <c:v>01 / 12 / 21</c:v>
                </c:pt>
                <c:pt idx="78">
                  <c:v>06 / 12 / 21</c:v>
                </c:pt>
                <c:pt idx="79">
                  <c:v>13 / 12 / 21</c:v>
                </c:pt>
                <c:pt idx="80">
                  <c:v>20 / 12 / 21</c:v>
                </c:pt>
                <c:pt idx="81">
                  <c:v>11 / 01 / 22</c:v>
                </c:pt>
                <c:pt idx="82">
                  <c:v>17 / 01 / 22</c:v>
                </c:pt>
                <c:pt idx="83">
                  <c:v>03 / 02 / 22</c:v>
                </c:pt>
                <c:pt idx="84">
                  <c:v>21 / 02 / 22</c:v>
                </c:pt>
                <c:pt idx="85">
                  <c:v>28 / 03 / 22</c:v>
                </c:pt>
                <c:pt idx="86">
                  <c:v>27 / 04 / 22</c:v>
                </c:pt>
                <c:pt idx="87">
                  <c:v>30 / 05 / 22</c:v>
                </c:pt>
                <c:pt idx="88">
                  <c:v>28 / 06 / 22</c:v>
                </c:pt>
              </c:strCache>
            </c:strRef>
          </c:xVal>
          <c:yVal>
            <c:numRef>
              <c:f>('Résultats observations'!$C$10:$C$18,'Résultats observations'!$C$20:$C$99)</c:f>
              <c:numCache>
                <c:formatCode>0.0</c:formatCode>
                <c:ptCount val="89"/>
                <c:pt idx="0">
                  <c:v>186.15</c:v>
                </c:pt>
                <c:pt idx="1">
                  <c:v>186.15</c:v>
                </c:pt>
                <c:pt idx="2">
                  <c:v>187.2</c:v>
                </c:pt>
                <c:pt idx="3">
                  <c:v>188.17</c:v>
                </c:pt>
                <c:pt idx="4">
                  <c:v>189.23</c:v>
                </c:pt>
                <c:pt idx="5">
                  <c:v>191.5</c:v>
                </c:pt>
                <c:pt idx="6">
                  <c:v>193.04</c:v>
                </c:pt>
                <c:pt idx="7">
                  <c:v>193.04</c:v>
                </c:pt>
                <c:pt idx="8">
                  <c:v>193.66</c:v>
                </c:pt>
                <c:pt idx="9">
                  <c:v>193.66</c:v>
                </c:pt>
                <c:pt idx="10">
                  <c:v>193.66</c:v>
                </c:pt>
                <c:pt idx="11">
                  <c:v>194.8</c:v>
                </c:pt>
                <c:pt idx="12">
                  <c:v>194.8</c:v>
                </c:pt>
                <c:pt idx="13">
                  <c:v>195.4</c:v>
                </c:pt>
                <c:pt idx="14">
                  <c:v>196.35</c:v>
                </c:pt>
                <c:pt idx="15">
                  <c:v>197.2</c:v>
                </c:pt>
                <c:pt idx="16">
                  <c:v>198.3</c:v>
                </c:pt>
                <c:pt idx="17">
                  <c:v>199.4</c:v>
                </c:pt>
                <c:pt idx="18">
                  <c:v>200.6</c:v>
                </c:pt>
                <c:pt idx="19">
                  <c:v>202.58</c:v>
                </c:pt>
                <c:pt idx="20">
                  <c:v>203.6</c:v>
                </c:pt>
                <c:pt idx="21">
                  <c:v>203.6</c:v>
                </c:pt>
                <c:pt idx="22">
                  <c:v>206.32</c:v>
                </c:pt>
                <c:pt idx="23">
                  <c:v>206.32</c:v>
                </c:pt>
                <c:pt idx="24">
                  <c:v>206.32</c:v>
                </c:pt>
                <c:pt idx="25">
                  <c:v>206.32</c:v>
                </c:pt>
                <c:pt idx="26">
                  <c:v>207.2</c:v>
                </c:pt>
                <c:pt idx="27">
                  <c:v>208.3</c:v>
                </c:pt>
                <c:pt idx="28">
                  <c:v>211.45</c:v>
                </c:pt>
                <c:pt idx="29">
                  <c:v>213.5</c:v>
                </c:pt>
                <c:pt idx="30">
                  <c:v>213.98</c:v>
                </c:pt>
                <c:pt idx="31">
                  <c:v>215</c:v>
                </c:pt>
                <c:pt idx="32">
                  <c:v>215.56</c:v>
                </c:pt>
                <c:pt idx="33">
                  <c:v>216.87</c:v>
                </c:pt>
                <c:pt idx="34">
                  <c:v>217.87</c:v>
                </c:pt>
                <c:pt idx="35">
                  <c:v>218.9</c:v>
                </c:pt>
                <c:pt idx="36">
                  <c:v>218.9</c:v>
                </c:pt>
                <c:pt idx="37">
                  <c:v>220.5</c:v>
                </c:pt>
                <c:pt idx="38">
                  <c:v>221.7</c:v>
                </c:pt>
                <c:pt idx="39">
                  <c:v>222.9</c:v>
                </c:pt>
                <c:pt idx="40">
                  <c:v>222.9</c:v>
                </c:pt>
                <c:pt idx="41">
                  <c:v>222.9</c:v>
                </c:pt>
                <c:pt idx="42">
                  <c:v>222.9</c:v>
                </c:pt>
                <c:pt idx="43">
                  <c:v>222.9</c:v>
                </c:pt>
                <c:pt idx="44">
                  <c:v>222.9</c:v>
                </c:pt>
                <c:pt idx="45">
                  <c:v>222.9</c:v>
                </c:pt>
                <c:pt idx="46">
                  <c:v>222.9</c:v>
                </c:pt>
                <c:pt idx="47">
                  <c:v>222.9</c:v>
                </c:pt>
                <c:pt idx="48">
                  <c:v>222.9</c:v>
                </c:pt>
                <c:pt idx="49">
                  <c:v>222.9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222.9</c:v>
                </c:pt>
                <c:pt idx="60">
                  <c:v>222.9</c:v>
                </c:pt>
                <c:pt idx="62">
                  <c:v>222.9</c:v>
                </c:pt>
                <c:pt idx="64">
                  <c:v>222.9</c:v>
                </c:pt>
                <c:pt idx="65">
                  <c:v>222.9</c:v>
                </c:pt>
                <c:pt idx="66">
                  <c:v>222.9</c:v>
                </c:pt>
                <c:pt idx="67">
                  <c:v>222.9</c:v>
                </c:pt>
                <c:pt idx="68">
                  <c:v>222.9</c:v>
                </c:pt>
                <c:pt idx="69">
                  <c:v>222.9</c:v>
                </c:pt>
                <c:pt idx="70">
                  <c:v>222.9</c:v>
                </c:pt>
                <c:pt idx="71">
                  <c:v>222.9</c:v>
                </c:pt>
                <c:pt idx="72">
                  <c:v>222.9</c:v>
                </c:pt>
                <c:pt idx="73">
                  <c:v>222.9</c:v>
                </c:pt>
                <c:pt idx="74">
                  <c:v>222.9</c:v>
                </c:pt>
                <c:pt idx="75">
                  <c:v>222.9</c:v>
                </c:pt>
                <c:pt idx="76">
                  <c:v>222.9</c:v>
                </c:pt>
                <c:pt idx="77">
                  <c:v>222.9</c:v>
                </c:pt>
                <c:pt idx="78">
                  <c:v>222.9</c:v>
                </c:pt>
                <c:pt idx="79">
                  <c:v>222.9</c:v>
                </c:pt>
                <c:pt idx="80">
                  <c:v>222.9</c:v>
                </c:pt>
                <c:pt idx="81">
                  <c:v>222.9</c:v>
                </c:pt>
                <c:pt idx="82">
                  <c:v>222.9</c:v>
                </c:pt>
                <c:pt idx="83">
                  <c:v>222.9</c:v>
                </c:pt>
                <c:pt idx="84">
                  <c:v>222.9</c:v>
                </c:pt>
                <c:pt idx="85">
                  <c:v>222.9</c:v>
                </c:pt>
                <c:pt idx="86">
                  <c:v>222.9</c:v>
                </c:pt>
                <c:pt idx="87">
                  <c:v>222.9</c:v>
                </c:pt>
                <c:pt idx="88">
                  <c:v>222.9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54C-454F-9CCA-E9BC667E2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512648"/>
        <c:axId val="604512256"/>
      </c:scatterChart>
      <c:valAx>
        <c:axId val="604511472"/>
        <c:scaling>
          <c:orientation val="minMax"/>
          <c:max val="45043"/>
          <c:min val="4365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Date</a:t>
                </a:r>
              </a:p>
            </c:rich>
          </c:tx>
          <c:layout>
            <c:manualLayout>
              <c:xMode val="edge"/>
              <c:yMode val="edge"/>
              <c:x val="0.88909976285118764"/>
              <c:y val="0.864887774678397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dd\ /\ mm\ /\ yy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511864"/>
        <c:crossesAt val="0"/>
        <c:crossBetween val="midCat"/>
        <c:majorUnit val="30"/>
      </c:valAx>
      <c:valAx>
        <c:axId val="604511864"/>
        <c:scaling>
          <c:orientation val="minMax"/>
          <c:max val="10"/>
          <c:min val="-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Convergence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\+\ 0.0;\-\ 0.0;\±\ 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511472"/>
        <c:crosses val="autoZero"/>
        <c:crossBetween val="midCat"/>
        <c:majorUnit val="5"/>
        <c:minorUnit val="1"/>
      </c:valAx>
      <c:valAx>
        <c:axId val="604512256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512648"/>
        <c:crosses val="max"/>
        <c:crossBetween val="midCat"/>
      </c:valAx>
      <c:valAx>
        <c:axId val="604512648"/>
        <c:scaling>
          <c:orientation val="minMax"/>
        </c:scaling>
        <c:delete val="1"/>
        <c:axPos val="b"/>
        <c:majorTickMark val="out"/>
        <c:minorTickMark val="none"/>
        <c:tickLblPos val="nextTo"/>
        <c:crossAx val="604512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>
        <c:manualLayout>
          <c:xMode val="edge"/>
          <c:yMode val="edge"/>
          <c:x val="0.15748693889815135"/>
          <c:y val="0.72476579656964946"/>
          <c:w val="0.67538584910197075"/>
          <c:h val="5.2259955200318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0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 alignWithMargins="0"/>
    <c:pageMargins b="0.98425196899999956" l="0.78740157499999996" r="0.78740157499999996" t="0.98425196899999956" header="0.4921259845000045" footer="0.4921259845000045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Déplacement en PM</a:t>
            </a:r>
          </a:p>
        </c:rich>
      </c:tx>
      <c:layout>
        <c:manualLayout>
          <c:xMode val="edge"/>
          <c:yMode val="edge"/>
          <c:x val="0.38461156123600965"/>
          <c:y val="9.331536260670172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2477892510627204E-2"/>
          <c:y val="5.4611383036579891E-2"/>
          <c:w val="0.82723288802382844"/>
          <c:h val="0.74389893830839937"/>
        </c:manualLayout>
      </c:layout>
      <c:scatterChart>
        <c:scatterStyle val="lineMarker"/>
        <c:varyColors val="0"/>
        <c:ser>
          <c:idx val="0"/>
          <c:order val="0"/>
          <c:tx>
            <c:strRef>
              <c:f>Déplacements!$C$9</c:f>
              <c:strCache>
                <c:ptCount val="1"/>
                <c:pt idx="0">
                  <c:v>DPM bas gauche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Déplacements!$B$10:$B$32</c:f>
              <c:numCache>
                <c:formatCode>dd\ /\ mm\ /\ yy</c:formatCode>
                <c:ptCount val="23"/>
                <c:pt idx="0">
                  <c:v>43658</c:v>
                </c:pt>
                <c:pt idx="1">
                  <c:v>43661</c:v>
                </c:pt>
                <c:pt idx="2">
                  <c:v>43662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11">
                  <c:v>43685</c:v>
                </c:pt>
                <c:pt idx="12">
                  <c:v>43689</c:v>
                </c:pt>
                <c:pt idx="13">
                  <c:v>43690</c:v>
                </c:pt>
                <c:pt idx="14">
                  <c:v>43696</c:v>
                </c:pt>
                <c:pt idx="15">
                  <c:v>43699</c:v>
                </c:pt>
                <c:pt idx="16">
                  <c:v>43704</c:v>
                </c:pt>
                <c:pt idx="17">
                  <c:v>43706</c:v>
                </c:pt>
                <c:pt idx="18">
                  <c:v>43710</c:v>
                </c:pt>
                <c:pt idx="19">
                  <c:v>43713</c:v>
                </c:pt>
                <c:pt idx="20">
                  <c:v>43718</c:v>
                </c:pt>
                <c:pt idx="21">
                  <c:v>43720</c:v>
                </c:pt>
                <c:pt idx="22">
                  <c:v>43724</c:v>
                </c:pt>
              </c:numCache>
            </c:numRef>
          </c:xVal>
          <c:yVal>
            <c:numRef>
              <c:f>Déplacements!$C$10:$C$32</c:f>
              <c:numCache>
                <c:formatCode>\+\ 0.0;\-\ 0.0;\±\ 0.0</c:formatCode>
                <c:ptCount val="23"/>
                <c:pt idx="0">
                  <c:v>0</c:v>
                </c:pt>
                <c:pt idx="1">
                  <c:v>2.5071236418909848</c:v>
                </c:pt>
                <c:pt idx="2">
                  <c:v>2.2775013930242949</c:v>
                </c:pt>
                <c:pt idx="3">
                  <c:v>3.4805026640185588</c:v>
                </c:pt>
                <c:pt idx="4">
                  <c:v>1.4570189365770148</c:v>
                </c:pt>
                <c:pt idx="5">
                  <c:v>-0.28280590231588576</c:v>
                </c:pt>
                <c:pt idx="6">
                  <c:v>-0.46577964334915123</c:v>
                </c:pt>
                <c:pt idx="7">
                  <c:v>-0.98515003344346042</c:v>
                </c:pt>
                <c:pt idx="8">
                  <c:v>-0.84707964336416808</c:v>
                </c:pt>
                <c:pt idx="11">
                  <c:v>-0.64707964335752877</c:v>
                </c:pt>
                <c:pt idx="12">
                  <c:v>-1.8440098424434836</c:v>
                </c:pt>
                <c:pt idx="13">
                  <c:v>-1.4030796433530668</c:v>
                </c:pt>
                <c:pt idx="14">
                  <c:v>-0.54707964335420911</c:v>
                </c:pt>
                <c:pt idx="15">
                  <c:v>-0.74707964336084842</c:v>
                </c:pt>
                <c:pt idx="16">
                  <c:v>-0.39351610377025281</c:v>
                </c:pt>
                <c:pt idx="17">
                  <c:v>1.1529203566453816</c:v>
                </c:pt>
                <c:pt idx="18">
                  <c:v>-4.7079643366032542E-2</c:v>
                </c:pt>
                <c:pt idx="19">
                  <c:v>1.3529203566235992</c:v>
                </c:pt>
                <c:pt idx="20">
                  <c:v>-4.7079643366032542E-2</c:v>
                </c:pt>
                <c:pt idx="21">
                  <c:v>0.15292035664060677</c:v>
                </c:pt>
                <c:pt idx="22">
                  <c:v>5.2920356637287114E-2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CA-4BFA-B5AB-BE48E379AAC6}"/>
            </c:ext>
          </c:extLst>
        </c:ser>
        <c:ser>
          <c:idx val="5"/>
          <c:order val="1"/>
          <c:tx>
            <c:strRef>
              <c:f>Déplacements!$F$9</c:f>
              <c:strCache>
                <c:ptCount val="1"/>
                <c:pt idx="0">
                  <c:v>DPM inter gauche</c:v>
                </c:pt>
              </c:strCache>
            </c:strRef>
          </c:tx>
          <c:spPr>
            <a:ln w="15875" cap="rnd">
              <a:solidFill>
                <a:schemeClr val="accent6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tint val="50000"/>
                      <a:satMod val="300000"/>
                    </a:schemeClr>
                  </a:gs>
                  <a:gs pos="35000">
                    <a:schemeClr val="accent6">
                      <a:tint val="37000"/>
                      <a:satMod val="300000"/>
                    </a:schemeClr>
                  </a:gs>
                  <a:gs pos="100000">
                    <a:schemeClr val="accent6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Déplacements!$B$10:$B$132</c:f>
              <c:numCache>
                <c:formatCode>dd\ /\ mm\ /\ yy</c:formatCode>
                <c:ptCount val="123"/>
                <c:pt idx="0">
                  <c:v>43658</c:v>
                </c:pt>
                <c:pt idx="1">
                  <c:v>43661</c:v>
                </c:pt>
                <c:pt idx="2">
                  <c:v>43662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11">
                  <c:v>43685</c:v>
                </c:pt>
                <c:pt idx="12">
                  <c:v>43689</c:v>
                </c:pt>
                <c:pt idx="13">
                  <c:v>43690</c:v>
                </c:pt>
                <c:pt idx="14">
                  <c:v>43696</c:v>
                </c:pt>
                <c:pt idx="15">
                  <c:v>43699</c:v>
                </c:pt>
                <c:pt idx="16">
                  <c:v>43704</c:v>
                </c:pt>
                <c:pt idx="17">
                  <c:v>43706</c:v>
                </c:pt>
                <c:pt idx="18">
                  <c:v>43710</c:v>
                </c:pt>
                <c:pt idx="19">
                  <c:v>43713</c:v>
                </c:pt>
                <c:pt idx="20">
                  <c:v>43718</c:v>
                </c:pt>
                <c:pt idx="21">
                  <c:v>43720</c:v>
                </c:pt>
                <c:pt idx="22">
                  <c:v>43724</c:v>
                </c:pt>
                <c:pt idx="23">
                  <c:v>43727</c:v>
                </c:pt>
                <c:pt idx="24">
                  <c:v>43731</c:v>
                </c:pt>
                <c:pt idx="25">
                  <c:v>43734</c:v>
                </c:pt>
                <c:pt idx="26">
                  <c:v>43738</c:v>
                </c:pt>
                <c:pt idx="27">
                  <c:v>43741</c:v>
                </c:pt>
                <c:pt idx="28">
                  <c:v>43746</c:v>
                </c:pt>
                <c:pt idx="29">
                  <c:v>43753</c:v>
                </c:pt>
                <c:pt idx="30">
                  <c:v>43756</c:v>
                </c:pt>
                <c:pt idx="31">
                  <c:v>43760</c:v>
                </c:pt>
                <c:pt idx="32">
                  <c:v>43762</c:v>
                </c:pt>
                <c:pt idx="33">
                  <c:v>43766</c:v>
                </c:pt>
                <c:pt idx="34">
                  <c:v>43769</c:v>
                </c:pt>
                <c:pt idx="35">
                  <c:v>43774</c:v>
                </c:pt>
                <c:pt idx="36">
                  <c:v>43776</c:v>
                </c:pt>
                <c:pt idx="37">
                  <c:v>43781</c:v>
                </c:pt>
                <c:pt idx="38">
                  <c:v>43783</c:v>
                </c:pt>
                <c:pt idx="39">
                  <c:v>43787</c:v>
                </c:pt>
                <c:pt idx="40">
                  <c:v>43790</c:v>
                </c:pt>
                <c:pt idx="41">
                  <c:v>43795</c:v>
                </c:pt>
                <c:pt idx="42">
                  <c:v>43797</c:v>
                </c:pt>
                <c:pt idx="43">
                  <c:v>43798</c:v>
                </c:pt>
                <c:pt idx="44">
                  <c:v>43801</c:v>
                </c:pt>
                <c:pt idx="45">
                  <c:v>43803</c:v>
                </c:pt>
                <c:pt idx="46">
                  <c:v>43808</c:v>
                </c:pt>
                <c:pt idx="47">
                  <c:v>43811</c:v>
                </c:pt>
                <c:pt idx="48">
                  <c:v>43815</c:v>
                </c:pt>
                <c:pt idx="49">
                  <c:v>43818</c:v>
                </c:pt>
                <c:pt idx="50">
                  <c:v>43837</c:v>
                </c:pt>
                <c:pt idx="51">
                  <c:v>43843</c:v>
                </c:pt>
                <c:pt idx="52">
                  <c:v>43850</c:v>
                </c:pt>
                <c:pt idx="53">
                  <c:v>43859</c:v>
                </c:pt>
                <c:pt idx="54">
                  <c:v>43865</c:v>
                </c:pt>
                <c:pt idx="55">
                  <c:v>43886</c:v>
                </c:pt>
                <c:pt idx="56">
                  <c:v>43970</c:v>
                </c:pt>
                <c:pt idx="57">
                  <c:v>43977</c:v>
                </c:pt>
                <c:pt idx="58">
                  <c:v>43999</c:v>
                </c:pt>
                <c:pt idx="59">
                  <c:v>44029</c:v>
                </c:pt>
                <c:pt idx="61">
                  <c:v>44082</c:v>
                </c:pt>
                <c:pt idx="63">
                  <c:v>44082</c:v>
                </c:pt>
                <c:pt idx="65">
                  <c:v>44140</c:v>
                </c:pt>
                <c:pt idx="66">
                  <c:v>44172</c:v>
                </c:pt>
                <c:pt idx="67">
                  <c:v>44229</c:v>
                </c:pt>
                <c:pt idx="69">
                  <c:v>44322</c:v>
                </c:pt>
                <c:pt idx="70">
                  <c:v>44357</c:v>
                </c:pt>
                <c:pt idx="71">
                  <c:v>44362</c:v>
                </c:pt>
                <c:pt idx="72">
                  <c:v>44369</c:v>
                </c:pt>
                <c:pt idx="73">
                  <c:v>44376</c:v>
                </c:pt>
                <c:pt idx="74">
                  <c:v>44400</c:v>
                </c:pt>
                <c:pt idx="75">
                  <c:v>44439</c:v>
                </c:pt>
                <c:pt idx="76">
                  <c:v>44474</c:v>
                </c:pt>
                <c:pt idx="77">
                  <c:v>44522</c:v>
                </c:pt>
                <c:pt idx="78">
                  <c:v>44531</c:v>
                </c:pt>
                <c:pt idx="79">
                  <c:v>44536</c:v>
                </c:pt>
                <c:pt idx="80">
                  <c:v>44543</c:v>
                </c:pt>
                <c:pt idx="81">
                  <c:v>44550</c:v>
                </c:pt>
                <c:pt idx="82">
                  <c:v>44572</c:v>
                </c:pt>
                <c:pt idx="83">
                  <c:v>44578</c:v>
                </c:pt>
                <c:pt idx="84">
                  <c:v>44595</c:v>
                </c:pt>
                <c:pt idx="85">
                  <c:v>44613</c:v>
                </c:pt>
                <c:pt idx="86">
                  <c:v>44648</c:v>
                </c:pt>
                <c:pt idx="87">
                  <c:v>44678</c:v>
                </c:pt>
                <c:pt idx="88">
                  <c:v>44711</c:v>
                </c:pt>
                <c:pt idx="89">
                  <c:v>44740</c:v>
                </c:pt>
                <c:pt idx="90">
                  <c:v>44767</c:v>
                </c:pt>
                <c:pt idx="91">
                  <c:v>44902</c:v>
                </c:pt>
                <c:pt idx="92">
                  <c:v>44915</c:v>
                </c:pt>
                <c:pt idx="93">
                  <c:v>44930</c:v>
                </c:pt>
                <c:pt idx="94">
                  <c:v>44945</c:v>
                </c:pt>
                <c:pt idx="95">
                  <c:v>44957</c:v>
                </c:pt>
                <c:pt idx="96">
                  <c:v>44988</c:v>
                </c:pt>
                <c:pt idx="97">
                  <c:v>45013</c:v>
                </c:pt>
              </c:numCache>
            </c:numRef>
          </c:xVal>
          <c:yVal>
            <c:numRef>
              <c:f>Déplacements!$F$10:$F$132</c:f>
              <c:numCache>
                <c:formatCode>\+\ 0.0;\-\ 0.0;\±\ 0.0</c:formatCode>
                <c:ptCount val="123"/>
                <c:pt idx="0">
                  <c:v>0</c:v>
                </c:pt>
                <c:pt idx="1">
                  <c:v>1.3655367868068424</c:v>
                </c:pt>
                <c:pt idx="2">
                  <c:v>2.3258652163633542</c:v>
                </c:pt>
                <c:pt idx="3">
                  <c:v>3.0879181003911071</c:v>
                </c:pt>
                <c:pt idx="4">
                  <c:v>1.4208525086019108</c:v>
                </c:pt>
                <c:pt idx="5">
                  <c:v>-1.091832740485188E-2</c:v>
                </c:pt>
                <c:pt idx="6">
                  <c:v>3.574410231976799E-2</c:v>
                </c:pt>
                <c:pt idx="7">
                  <c:v>-0.79779291374393324</c:v>
                </c:pt>
                <c:pt idx="8">
                  <c:v>-0.3375558976586035</c:v>
                </c:pt>
                <c:pt idx="11">
                  <c:v>-0.13755589765196419</c:v>
                </c:pt>
                <c:pt idx="12">
                  <c:v>-1.2872994215342715</c:v>
                </c:pt>
                <c:pt idx="13">
                  <c:v>-1.0276558976443084</c:v>
                </c:pt>
                <c:pt idx="14">
                  <c:v>-0.23755589765528384</c:v>
                </c:pt>
                <c:pt idx="15">
                  <c:v>-0.3375558976586035</c:v>
                </c:pt>
                <c:pt idx="16">
                  <c:v>-0.33221700934404907</c:v>
                </c:pt>
                <c:pt idx="17">
                  <c:v>0.762444102349491</c:v>
                </c:pt>
                <c:pt idx="18">
                  <c:v>0.36244410233621238</c:v>
                </c:pt>
                <c:pt idx="19">
                  <c:v>1.3624441023409872</c:v>
                </c:pt>
                <c:pt idx="20">
                  <c:v>0.56244410234285169</c:v>
                </c:pt>
                <c:pt idx="21">
                  <c:v>0.762444102349491</c:v>
                </c:pt>
                <c:pt idx="22">
                  <c:v>0.36244410233621238</c:v>
                </c:pt>
                <c:pt idx="23">
                  <c:v>-0.13755589765196419</c:v>
                </c:pt>
                <c:pt idx="24">
                  <c:v>-0.53755589766524281</c:v>
                </c:pt>
                <c:pt idx="25">
                  <c:v>-0.43755589766192315</c:v>
                </c:pt>
                <c:pt idx="26">
                  <c:v>-0.83755589764678007</c:v>
                </c:pt>
                <c:pt idx="27">
                  <c:v>0.46244410233953204</c:v>
                </c:pt>
                <c:pt idx="28">
                  <c:v>-1.5986160725844911</c:v>
                </c:pt>
                <c:pt idx="29">
                  <c:v>-0.74295567037552246</c:v>
                </c:pt>
                <c:pt idx="30">
                  <c:v>-0.30782169818621696</c:v>
                </c:pt>
                <c:pt idx="31">
                  <c:v>-0.14485979124856385</c:v>
                </c:pt>
                <c:pt idx="32">
                  <c:v>1.8315390823602229</c:v>
                </c:pt>
                <c:pt idx="33">
                  <c:v>0.50698814587235574</c:v>
                </c:pt>
                <c:pt idx="34">
                  <c:v>1.3296026635316593</c:v>
                </c:pt>
                <c:pt idx="35">
                  <c:v>-0.33264340046912366</c:v>
                </c:pt>
                <c:pt idx="36">
                  <c:v>0.762444102349491</c:v>
                </c:pt>
                <c:pt idx="37">
                  <c:v>-1.5375558976700177</c:v>
                </c:pt>
                <c:pt idx="38">
                  <c:v>-0.43755589766192315</c:v>
                </c:pt>
                <c:pt idx="39">
                  <c:v>-0.43755589766192315</c:v>
                </c:pt>
                <c:pt idx="40">
                  <c:v>0.46244410233953204</c:v>
                </c:pt>
                <c:pt idx="41">
                  <c:v>-1.3375558976633783</c:v>
                </c:pt>
                <c:pt idx="42">
                  <c:v>-1.8375558976515549</c:v>
                </c:pt>
                <c:pt idx="43">
                  <c:v>-1.8546171073410278</c:v>
                </c:pt>
                <c:pt idx="44">
                  <c:v>-1.437555897666698</c:v>
                </c:pt>
                <c:pt idx="45">
                  <c:v>-1.3375558976633783</c:v>
                </c:pt>
                <c:pt idx="46">
                  <c:v>-1.137555897656739</c:v>
                </c:pt>
                <c:pt idx="47">
                  <c:v>-0.83755589764678007</c:v>
                </c:pt>
                <c:pt idx="48">
                  <c:v>0.46244410233953204</c:v>
                </c:pt>
                <c:pt idx="49">
                  <c:v>0.762444102349491</c:v>
                </c:pt>
                <c:pt idx="50">
                  <c:v>-0.93755589765009972</c:v>
                </c:pt>
                <c:pt idx="51">
                  <c:v>-1.5375558976700177</c:v>
                </c:pt>
                <c:pt idx="52">
                  <c:v>-0.23755589765528384</c:v>
                </c:pt>
                <c:pt idx="53">
                  <c:v>-0.3375558976586035</c:v>
                </c:pt>
                <c:pt idx="54">
                  <c:v>0.96244410235613032</c:v>
                </c:pt>
                <c:pt idx="55">
                  <c:v>-0.63755589766856247</c:v>
                </c:pt>
                <c:pt idx="56">
                  <c:v>0.36244410233621238</c:v>
                </c:pt>
                <c:pt idx="57">
                  <c:v>-0.13755589765196419</c:v>
                </c:pt>
                <c:pt idx="58">
                  <c:v>0.63463671648378295</c:v>
                </c:pt>
                <c:pt idx="59">
                  <c:v>0.94878942061882299</c:v>
                </c:pt>
                <c:pt idx="61">
                  <c:v>0.34445263005977722</c:v>
                </c:pt>
                <c:pt idx="63">
                  <c:v>0.34445263005977722</c:v>
                </c:pt>
                <c:pt idx="65">
                  <c:v>-0.15554736992839935</c:v>
                </c:pt>
                <c:pt idx="66">
                  <c:v>0.62295847064319787</c:v>
                </c:pt>
                <c:pt idx="67">
                  <c:v>0.79811798391915545</c:v>
                </c:pt>
                <c:pt idx="69">
                  <c:v>0.66522359981036061</c:v>
                </c:pt>
                <c:pt idx="70">
                  <c:v>1.2150976548070958</c:v>
                </c:pt>
                <c:pt idx="71">
                  <c:v>0.42992883695092132</c:v>
                </c:pt>
                <c:pt idx="72">
                  <c:v>-0.43409802051996849</c:v>
                </c:pt>
                <c:pt idx="73">
                  <c:v>-0.63932526057897121</c:v>
                </c:pt>
                <c:pt idx="74">
                  <c:v>-0.46416554337724847</c:v>
                </c:pt>
                <c:pt idx="75">
                  <c:v>-0.58486242656385912</c:v>
                </c:pt>
                <c:pt idx="76">
                  <c:v>-0.52430089135668823</c:v>
                </c:pt>
                <c:pt idx="77">
                  <c:v>-2.1133613242056981</c:v>
                </c:pt>
                <c:pt idx="78">
                  <c:v>-1.2859272787579812</c:v>
                </c:pt>
                <c:pt idx="79">
                  <c:v>-1.7451720788415059</c:v>
                </c:pt>
                <c:pt idx="80">
                  <c:v>-1.4915809099420585</c:v>
                </c:pt>
                <c:pt idx="81">
                  <c:v>-2.9416481519319859</c:v>
                </c:pt>
                <c:pt idx="82">
                  <c:v>-2.125558930600846</c:v>
                </c:pt>
                <c:pt idx="83">
                  <c:v>-1.6602152253426539</c:v>
                </c:pt>
                <c:pt idx="84">
                  <c:v>-0.65152286694569739</c:v>
                </c:pt>
                <c:pt idx="85">
                  <c:v>-2.5364396962856972</c:v>
                </c:pt>
                <c:pt idx="86">
                  <c:v>-2.355181277863494</c:v>
                </c:pt>
                <c:pt idx="87">
                  <c:v>-2.9412217608069113</c:v>
                </c:pt>
                <c:pt idx="88">
                  <c:v>-0.5547948053390428</c:v>
                </c:pt>
                <c:pt idx="89">
                  <c:v>-1.9564981184885255</c:v>
                </c:pt>
                <c:pt idx="90">
                  <c:v>-1.0416677011164666</c:v>
                </c:pt>
                <c:pt idx="91">
                  <c:v>-1.09247125394063</c:v>
                </c:pt>
                <c:pt idx="92">
                  <c:v>-1.1831005158740027</c:v>
                </c:pt>
                <c:pt idx="93">
                  <c:v>-2.0649972898354463</c:v>
                </c:pt>
                <c:pt idx="94">
                  <c:v>-1.8837388713848213</c:v>
                </c:pt>
                <c:pt idx="95">
                  <c:v>-2.0893925025973203</c:v>
                </c:pt>
                <c:pt idx="96">
                  <c:v>-2.2885208374816557</c:v>
                </c:pt>
                <c:pt idx="97">
                  <c:v>-1.8475724505151447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CA-4BFA-B5AB-BE48E379AAC6}"/>
            </c:ext>
          </c:extLst>
        </c:ser>
        <c:ser>
          <c:idx val="3"/>
          <c:order val="2"/>
          <c:tx>
            <c:strRef>
              <c:f>Déplacements!$I$9</c:f>
              <c:strCache>
                <c:ptCount val="1"/>
                <c:pt idx="0">
                  <c:v>DPM haut gauche</c:v>
                </c:pt>
              </c:strCache>
            </c:strRef>
          </c:tx>
          <c:spPr>
            <a:ln w="15875" cap="rnd">
              <a:solidFill>
                <a:schemeClr val="accent4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tint val="50000"/>
                      <a:satMod val="300000"/>
                    </a:schemeClr>
                  </a:gs>
                  <a:gs pos="35000">
                    <a:schemeClr val="accent4">
                      <a:tint val="37000"/>
                      <a:satMod val="300000"/>
                    </a:schemeClr>
                  </a:gs>
                  <a:gs pos="100000">
                    <a:schemeClr val="accent4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Déplacements!$B$10:$B$312</c:f>
              <c:numCache>
                <c:formatCode>dd\ /\ mm\ /\ yy</c:formatCode>
                <c:ptCount val="303"/>
                <c:pt idx="0">
                  <c:v>43658</c:v>
                </c:pt>
                <c:pt idx="1">
                  <c:v>43661</c:v>
                </c:pt>
                <c:pt idx="2">
                  <c:v>43662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11">
                  <c:v>43685</c:v>
                </c:pt>
                <c:pt idx="12">
                  <c:v>43689</c:v>
                </c:pt>
                <c:pt idx="13">
                  <c:v>43690</c:v>
                </c:pt>
                <c:pt idx="14">
                  <c:v>43696</c:v>
                </c:pt>
                <c:pt idx="15">
                  <c:v>43699</c:v>
                </c:pt>
                <c:pt idx="16">
                  <c:v>43704</c:v>
                </c:pt>
                <c:pt idx="17">
                  <c:v>43706</c:v>
                </c:pt>
                <c:pt idx="18">
                  <c:v>43710</c:v>
                </c:pt>
                <c:pt idx="19">
                  <c:v>43713</c:v>
                </c:pt>
                <c:pt idx="20">
                  <c:v>43718</c:v>
                </c:pt>
                <c:pt idx="21">
                  <c:v>43720</c:v>
                </c:pt>
                <c:pt idx="22">
                  <c:v>43724</c:v>
                </c:pt>
                <c:pt idx="23">
                  <c:v>43727</c:v>
                </c:pt>
                <c:pt idx="24">
                  <c:v>43731</c:v>
                </c:pt>
                <c:pt idx="25">
                  <c:v>43734</c:v>
                </c:pt>
                <c:pt idx="26">
                  <c:v>43738</c:v>
                </c:pt>
                <c:pt idx="27">
                  <c:v>43741</c:v>
                </c:pt>
                <c:pt idx="28">
                  <c:v>43746</c:v>
                </c:pt>
                <c:pt idx="29">
                  <c:v>43753</c:v>
                </c:pt>
                <c:pt idx="30">
                  <c:v>43756</c:v>
                </c:pt>
                <c:pt idx="31">
                  <c:v>43760</c:v>
                </c:pt>
                <c:pt idx="32">
                  <c:v>43762</c:v>
                </c:pt>
                <c:pt idx="33">
                  <c:v>43766</c:v>
                </c:pt>
                <c:pt idx="34">
                  <c:v>43769</c:v>
                </c:pt>
                <c:pt idx="35">
                  <c:v>43774</c:v>
                </c:pt>
                <c:pt idx="36">
                  <c:v>43776</c:v>
                </c:pt>
                <c:pt idx="37">
                  <c:v>43781</c:v>
                </c:pt>
                <c:pt idx="38">
                  <c:v>43783</c:v>
                </c:pt>
                <c:pt idx="39">
                  <c:v>43787</c:v>
                </c:pt>
                <c:pt idx="40">
                  <c:v>43790</c:v>
                </c:pt>
                <c:pt idx="41">
                  <c:v>43795</c:v>
                </c:pt>
                <c:pt idx="42">
                  <c:v>43797</c:v>
                </c:pt>
                <c:pt idx="43">
                  <c:v>43798</c:v>
                </c:pt>
                <c:pt idx="44">
                  <c:v>43801</c:v>
                </c:pt>
                <c:pt idx="45">
                  <c:v>43803</c:v>
                </c:pt>
                <c:pt idx="46">
                  <c:v>43808</c:v>
                </c:pt>
                <c:pt idx="47">
                  <c:v>43811</c:v>
                </c:pt>
                <c:pt idx="48">
                  <c:v>43815</c:v>
                </c:pt>
                <c:pt idx="49">
                  <c:v>43818</c:v>
                </c:pt>
                <c:pt idx="50">
                  <c:v>43837</c:v>
                </c:pt>
                <c:pt idx="51">
                  <c:v>43843</c:v>
                </c:pt>
                <c:pt idx="52">
                  <c:v>43850</c:v>
                </c:pt>
                <c:pt idx="53">
                  <c:v>43859</c:v>
                </c:pt>
                <c:pt idx="54">
                  <c:v>43865</c:v>
                </c:pt>
                <c:pt idx="55">
                  <c:v>43886</c:v>
                </c:pt>
                <c:pt idx="56">
                  <c:v>43970</c:v>
                </c:pt>
                <c:pt idx="57">
                  <c:v>43977</c:v>
                </c:pt>
                <c:pt idx="58">
                  <c:v>43999</c:v>
                </c:pt>
                <c:pt idx="59">
                  <c:v>44029</c:v>
                </c:pt>
                <c:pt idx="61">
                  <c:v>44082</c:v>
                </c:pt>
                <c:pt idx="63">
                  <c:v>44082</c:v>
                </c:pt>
                <c:pt idx="65">
                  <c:v>44140</c:v>
                </c:pt>
                <c:pt idx="66">
                  <c:v>44172</c:v>
                </c:pt>
                <c:pt idx="67">
                  <c:v>44229</c:v>
                </c:pt>
                <c:pt idx="69">
                  <c:v>44322</c:v>
                </c:pt>
                <c:pt idx="70">
                  <c:v>44357</c:v>
                </c:pt>
                <c:pt idx="71">
                  <c:v>44362</c:v>
                </c:pt>
                <c:pt idx="72">
                  <c:v>44369</c:v>
                </c:pt>
                <c:pt idx="73">
                  <c:v>44376</c:v>
                </c:pt>
                <c:pt idx="74">
                  <c:v>44400</c:v>
                </c:pt>
                <c:pt idx="75">
                  <c:v>44439</c:v>
                </c:pt>
                <c:pt idx="76">
                  <c:v>44474</c:v>
                </c:pt>
                <c:pt idx="77">
                  <c:v>44522</c:v>
                </c:pt>
                <c:pt idx="78">
                  <c:v>44531</c:v>
                </c:pt>
                <c:pt idx="79">
                  <c:v>44536</c:v>
                </c:pt>
                <c:pt idx="80">
                  <c:v>44543</c:v>
                </c:pt>
                <c:pt idx="81">
                  <c:v>44550</c:v>
                </c:pt>
                <c:pt idx="82">
                  <c:v>44572</c:v>
                </c:pt>
                <c:pt idx="83">
                  <c:v>44578</c:v>
                </c:pt>
                <c:pt idx="84">
                  <c:v>44595</c:v>
                </c:pt>
                <c:pt idx="85">
                  <c:v>44613</c:v>
                </c:pt>
                <c:pt idx="86">
                  <c:v>44648</c:v>
                </c:pt>
                <c:pt idx="87">
                  <c:v>44678</c:v>
                </c:pt>
                <c:pt idx="88">
                  <c:v>44711</c:v>
                </c:pt>
                <c:pt idx="89">
                  <c:v>44740</c:v>
                </c:pt>
                <c:pt idx="90">
                  <c:v>44767</c:v>
                </c:pt>
                <c:pt idx="91">
                  <c:v>44902</c:v>
                </c:pt>
                <c:pt idx="92">
                  <c:v>44915</c:v>
                </c:pt>
                <c:pt idx="93">
                  <c:v>44930</c:v>
                </c:pt>
                <c:pt idx="94">
                  <c:v>44945</c:v>
                </c:pt>
                <c:pt idx="95">
                  <c:v>44957</c:v>
                </c:pt>
                <c:pt idx="96">
                  <c:v>44988</c:v>
                </c:pt>
                <c:pt idx="97">
                  <c:v>45013</c:v>
                </c:pt>
              </c:numCache>
            </c:numRef>
          </c:xVal>
          <c:yVal>
            <c:numRef>
              <c:f>Déplacements!$I$10:$I$132</c:f>
              <c:numCache>
                <c:formatCode>\+\ 0.0;\-\ 0.0;\±\ 0.0</c:formatCode>
                <c:ptCount val="123"/>
                <c:pt idx="0">
                  <c:v>0</c:v>
                </c:pt>
                <c:pt idx="1">
                  <c:v>1.8186829840090013</c:v>
                </c:pt>
                <c:pt idx="2">
                  <c:v>2.1145393805568347</c:v>
                </c:pt>
                <c:pt idx="3">
                  <c:v>2.7859630025943716</c:v>
                </c:pt>
                <c:pt idx="4">
                  <c:v>1.7467765263177171</c:v>
                </c:pt>
                <c:pt idx="5">
                  <c:v>0</c:v>
                </c:pt>
                <c:pt idx="6">
                  <c:v>-2.7789854914601619</c:v>
                </c:pt>
                <c:pt idx="7">
                  <c:v>-3.4373845485902166</c:v>
                </c:pt>
                <c:pt idx="8">
                  <c:v>-2.3448854914533968</c:v>
                </c:pt>
                <c:pt idx="11">
                  <c:v>-1.9448854914685398</c:v>
                </c:pt>
                <c:pt idx="12">
                  <c:v>-3.2145122737290421</c:v>
                </c:pt>
                <c:pt idx="13">
                  <c:v>-2.6406854914569067</c:v>
                </c:pt>
                <c:pt idx="14">
                  <c:v>-2.2448854914784988</c:v>
                </c:pt>
                <c:pt idx="15">
                  <c:v>-2.5448854914600361</c:v>
                </c:pt>
                <c:pt idx="16">
                  <c:v>-2.2411333499974262</c:v>
                </c:pt>
                <c:pt idx="17">
                  <c:v>-1.5448854914552612</c:v>
                </c:pt>
                <c:pt idx="18">
                  <c:v>-1.5448854914552612</c:v>
                </c:pt>
                <c:pt idx="19">
                  <c:v>-0.84488549146044534</c:v>
                </c:pt>
                <c:pt idx="20">
                  <c:v>-1.5448854914552612</c:v>
                </c:pt>
                <c:pt idx="21">
                  <c:v>-1.5448854914552612</c:v>
                </c:pt>
                <c:pt idx="22">
                  <c:v>-1.9448854914685398</c:v>
                </c:pt>
                <c:pt idx="23">
                  <c:v>-2.1448854914751792</c:v>
                </c:pt>
                <c:pt idx="24">
                  <c:v>-3.0448854914766343</c:v>
                </c:pt>
                <c:pt idx="25">
                  <c:v>-3.0448854914766343</c:v>
                </c:pt>
                <c:pt idx="26">
                  <c:v>-3.144885491479954</c:v>
                </c:pt>
                <c:pt idx="27">
                  <c:v>-2.0448854914718595</c:v>
                </c:pt>
                <c:pt idx="28">
                  <c:v>-3.7752120241236753</c:v>
                </c:pt>
                <c:pt idx="29">
                  <c:v>-3.0766991283144307</c:v>
                </c:pt>
                <c:pt idx="30">
                  <c:v>-2.8328461430362495</c:v>
                </c:pt>
                <c:pt idx="31">
                  <c:v>-2.621520201785188</c:v>
                </c:pt>
                <c:pt idx="32">
                  <c:v>-0.98934175900922128</c:v>
                </c:pt>
                <c:pt idx="33">
                  <c:v>-2.3622566243659548</c:v>
                </c:pt>
                <c:pt idx="34">
                  <c:v>-1.4551117498911026</c:v>
                </c:pt>
                <c:pt idx="35">
                  <c:v>-3.1657218482337157</c:v>
                </c:pt>
                <c:pt idx="36">
                  <c:v>-2.0448854914718595</c:v>
                </c:pt>
                <c:pt idx="37">
                  <c:v>-3.9448854914780895</c:v>
                </c:pt>
                <c:pt idx="38">
                  <c:v>-3.0448854914766343</c:v>
                </c:pt>
                <c:pt idx="39">
                  <c:v>-3.2448854914548519</c:v>
                </c:pt>
                <c:pt idx="40">
                  <c:v>-2.4448854914567164</c:v>
                </c:pt>
                <c:pt idx="42">
                  <c:v>-1.0448854914670846</c:v>
                </c:pt>
                <c:pt idx="43">
                  <c:v>-1.1954216758169878</c:v>
                </c:pt>
                <c:pt idx="44">
                  <c:v>-0.94488549146376499</c:v>
                </c:pt>
                <c:pt idx="45">
                  <c:v>-0.64488549145380603</c:v>
                </c:pt>
                <c:pt idx="46">
                  <c:v>-0.74488549145712568</c:v>
                </c:pt>
                <c:pt idx="47">
                  <c:v>-0.34488549147226877</c:v>
                </c:pt>
                <c:pt idx="48">
                  <c:v>0.75511450853582573</c:v>
                </c:pt>
                <c:pt idx="49">
                  <c:v>1.0551145085457847</c:v>
                </c:pt>
                <c:pt idx="50">
                  <c:v>-0.44488549147558842</c:v>
                </c:pt>
                <c:pt idx="51">
                  <c:v>-0.94488549146376499</c:v>
                </c:pt>
                <c:pt idx="52">
                  <c:v>0.55511450852918642</c:v>
                </c:pt>
                <c:pt idx="53">
                  <c:v>-0.74488549145712568</c:v>
                </c:pt>
                <c:pt idx="54">
                  <c:v>0.85511450853914539</c:v>
                </c:pt>
                <c:pt idx="55">
                  <c:v>-0.24488549146894911</c:v>
                </c:pt>
                <c:pt idx="56">
                  <c:v>0.25511450851922746</c:v>
                </c:pt>
                <c:pt idx="57">
                  <c:v>0.35511450852254711</c:v>
                </c:pt>
                <c:pt idx="58">
                  <c:v>0.68382284345602784</c:v>
                </c:pt>
                <c:pt idx="59">
                  <c:v>1.0886048024474348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6CA-4BFA-B5AB-BE48E379AAC6}"/>
            </c:ext>
          </c:extLst>
        </c:ser>
        <c:ser>
          <c:idx val="1"/>
          <c:order val="3"/>
          <c:tx>
            <c:strRef>
              <c:f>Déplacements!$L$9</c:f>
              <c:strCache>
                <c:ptCount val="1"/>
                <c:pt idx="0">
                  <c:v>DPM centre haut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</a:schemeClr>
                  </a:gs>
                  <a:gs pos="35000">
                    <a:schemeClr val="accent2">
                      <a:tint val="37000"/>
                      <a:satMod val="300000"/>
                    </a:schemeClr>
                  </a:gs>
                  <a:gs pos="100000">
                    <a:schemeClr val="accent2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Déplacements!$B$10:$B$132</c:f>
              <c:numCache>
                <c:formatCode>dd\ /\ mm\ /\ yy</c:formatCode>
                <c:ptCount val="123"/>
                <c:pt idx="0">
                  <c:v>43658</c:v>
                </c:pt>
                <c:pt idx="1">
                  <c:v>43661</c:v>
                </c:pt>
                <c:pt idx="2">
                  <c:v>43662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11">
                  <c:v>43685</c:v>
                </c:pt>
                <c:pt idx="12">
                  <c:v>43689</c:v>
                </c:pt>
                <c:pt idx="13">
                  <c:v>43690</c:v>
                </c:pt>
                <c:pt idx="14">
                  <c:v>43696</c:v>
                </c:pt>
                <c:pt idx="15">
                  <c:v>43699</c:v>
                </c:pt>
                <c:pt idx="16">
                  <c:v>43704</c:v>
                </c:pt>
                <c:pt idx="17">
                  <c:v>43706</c:v>
                </c:pt>
                <c:pt idx="18">
                  <c:v>43710</c:v>
                </c:pt>
                <c:pt idx="19">
                  <c:v>43713</c:v>
                </c:pt>
                <c:pt idx="20">
                  <c:v>43718</c:v>
                </c:pt>
                <c:pt idx="21">
                  <c:v>43720</c:v>
                </c:pt>
                <c:pt idx="22">
                  <c:v>43724</c:v>
                </c:pt>
                <c:pt idx="23">
                  <c:v>43727</c:v>
                </c:pt>
                <c:pt idx="24">
                  <c:v>43731</c:v>
                </c:pt>
                <c:pt idx="25">
                  <c:v>43734</c:v>
                </c:pt>
                <c:pt idx="26">
                  <c:v>43738</c:v>
                </c:pt>
                <c:pt idx="27">
                  <c:v>43741</c:v>
                </c:pt>
                <c:pt idx="28">
                  <c:v>43746</c:v>
                </c:pt>
                <c:pt idx="29">
                  <c:v>43753</c:v>
                </c:pt>
                <c:pt idx="30">
                  <c:v>43756</c:v>
                </c:pt>
                <c:pt idx="31">
                  <c:v>43760</c:v>
                </c:pt>
                <c:pt idx="32">
                  <c:v>43762</c:v>
                </c:pt>
                <c:pt idx="33">
                  <c:v>43766</c:v>
                </c:pt>
                <c:pt idx="34">
                  <c:v>43769</c:v>
                </c:pt>
                <c:pt idx="35">
                  <c:v>43774</c:v>
                </c:pt>
                <c:pt idx="36">
                  <c:v>43776</c:v>
                </c:pt>
                <c:pt idx="37">
                  <c:v>43781</c:v>
                </c:pt>
                <c:pt idx="38">
                  <c:v>43783</c:v>
                </c:pt>
                <c:pt idx="39">
                  <c:v>43787</c:v>
                </c:pt>
                <c:pt idx="40">
                  <c:v>43790</c:v>
                </c:pt>
                <c:pt idx="41">
                  <c:v>43795</c:v>
                </c:pt>
                <c:pt idx="42">
                  <c:v>43797</c:v>
                </c:pt>
                <c:pt idx="43">
                  <c:v>43798</c:v>
                </c:pt>
                <c:pt idx="44">
                  <c:v>43801</c:v>
                </c:pt>
                <c:pt idx="45">
                  <c:v>43803</c:v>
                </c:pt>
                <c:pt idx="46">
                  <c:v>43808</c:v>
                </c:pt>
                <c:pt idx="47">
                  <c:v>43811</c:v>
                </c:pt>
                <c:pt idx="48">
                  <c:v>43815</c:v>
                </c:pt>
                <c:pt idx="49">
                  <c:v>43818</c:v>
                </c:pt>
                <c:pt idx="50">
                  <c:v>43837</c:v>
                </c:pt>
                <c:pt idx="51">
                  <c:v>43843</c:v>
                </c:pt>
                <c:pt idx="52">
                  <c:v>43850</c:v>
                </c:pt>
                <c:pt idx="53">
                  <c:v>43859</c:v>
                </c:pt>
                <c:pt idx="54">
                  <c:v>43865</c:v>
                </c:pt>
                <c:pt idx="55">
                  <c:v>43886</c:v>
                </c:pt>
                <c:pt idx="56">
                  <c:v>43970</c:v>
                </c:pt>
                <c:pt idx="57">
                  <c:v>43977</c:v>
                </c:pt>
                <c:pt idx="58">
                  <c:v>43999</c:v>
                </c:pt>
                <c:pt idx="59">
                  <c:v>44029</c:v>
                </c:pt>
                <c:pt idx="61">
                  <c:v>44082</c:v>
                </c:pt>
                <c:pt idx="63">
                  <c:v>44082</c:v>
                </c:pt>
                <c:pt idx="65">
                  <c:v>44140</c:v>
                </c:pt>
                <c:pt idx="66">
                  <c:v>44172</c:v>
                </c:pt>
                <c:pt idx="67">
                  <c:v>44229</c:v>
                </c:pt>
                <c:pt idx="69">
                  <c:v>44322</c:v>
                </c:pt>
                <c:pt idx="70">
                  <c:v>44357</c:v>
                </c:pt>
                <c:pt idx="71">
                  <c:v>44362</c:v>
                </c:pt>
                <c:pt idx="72">
                  <c:v>44369</c:v>
                </c:pt>
                <c:pt idx="73">
                  <c:v>44376</c:v>
                </c:pt>
                <c:pt idx="74">
                  <c:v>44400</c:v>
                </c:pt>
                <c:pt idx="75">
                  <c:v>44439</c:v>
                </c:pt>
                <c:pt idx="76">
                  <c:v>44474</c:v>
                </c:pt>
                <c:pt idx="77">
                  <c:v>44522</c:v>
                </c:pt>
                <c:pt idx="78">
                  <c:v>44531</c:v>
                </c:pt>
                <c:pt idx="79">
                  <c:v>44536</c:v>
                </c:pt>
                <c:pt idx="80">
                  <c:v>44543</c:v>
                </c:pt>
                <c:pt idx="81">
                  <c:v>44550</c:v>
                </c:pt>
                <c:pt idx="82">
                  <c:v>44572</c:v>
                </c:pt>
                <c:pt idx="83">
                  <c:v>44578</c:v>
                </c:pt>
                <c:pt idx="84">
                  <c:v>44595</c:v>
                </c:pt>
                <c:pt idx="85">
                  <c:v>44613</c:v>
                </c:pt>
                <c:pt idx="86">
                  <c:v>44648</c:v>
                </c:pt>
                <c:pt idx="87">
                  <c:v>44678</c:v>
                </c:pt>
                <c:pt idx="88">
                  <c:v>44711</c:v>
                </c:pt>
                <c:pt idx="89">
                  <c:v>44740</c:v>
                </c:pt>
                <c:pt idx="90">
                  <c:v>44767</c:v>
                </c:pt>
                <c:pt idx="91">
                  <c:v>44902</c:v>
                </c:pt>
                <c:pt idx="92">
                  <c:v>44915</c:v>
                </c:pt>
                <c:pt idx="93">
                  <c:v>44930</c:v>
                </c:pt>
                <c:pt idx="94">
                  <c:v>44945</c:v>
                </c:pt>
                <c:pt idx="95">
                  <c:v>44957</c:v>
                </c:pt>
                <c:pt idx="96">
                  <c:v>44988</c:v>
                </c:pt>
                <c:pt idx="97">
                  <c:v>45013</c:v>
                </c:pt>
              </c:numCache>
            </c:numRef>
          </c:xVal>
          <c:yVal>
            <c:numRef>
              <c:f>Déplacements!$L$10:$L$132</c:f>
              <c:numCache>
                <c:formatCode>\+\ 0.0;\-\ 0.0;\±\ 0.0</c:formatCode>
                <c:ptCount val="123"/>
                <c:pt idx="0">
                  <c:v>0</c:v>
                </c:pt>
                <c:pt idx="1">
                  <c:v>1.0814517110304678</c:v>
                </c:pt>
                <c:pt idx="2">
                  <c:v>0.76120010174918207</c:v>
                </c:pt>
                <c:pt idx="3">
                  <c:v>-1.1344718586769886E-2</c:v>
                </c:pt>
                <c:pt idx="4">
                  <c:v>-3.4064641379245586</c:v>
                </c:pt>
                <c:pt idx="5">
                  <c:v>-7.4965495043102237</c:v>
                </c:pt>
                <c:pt idx="6">
                  <c:v>-9.0202024441907724</c:v>
                </c:pt>
                <c:pt idx="7">
                  <c:v>-10.838485368651618</c:v>
                </c:pt>
                <c:pt idx="8">
                  <c:v>-11.18120244419174</c:v>
                </c:pt>
                <c:pt idx="11">
                  <c:v>-10.481202444196924</c:v>
                </c:pt>
                <c:pt idx="12">
                  <c:v>-12.413679079486428</c:v>
                </c:pt>
                <c:pt idx="13">
                  <c:v>-11.658602444185817</c:v>
                </c:pt>
                <c:pt idx="14">
                  <c:v>-12.581202444181372</c:v>
                </c:pt>
                <c:pt idx="15">
                  <c:v>-13.381202444179507</c:v>
                </c:pt>
                <c:pt idx="16">
                  <c:v>-13.585333548746803</c:v>
                </c:pt>
                <c:pt idx="17">
                  <c:v>-12.581202444181372</c:v>
                </c:pt>
                <c:pt idx="18">
                  <c:v>-12.781202444188011</c:v>
                </c:pt>
                <c:pt idx="19">
                  <c:v>-12.181202444196515</c:v>
                </c:pt>
                <c:pt idx="20">
                  <c:v>-12.481202444178052</c:v>
                </c:pt>
                <c:pt idx="21">
                  <c:v>-12.581202444181372</c:v>
                </c:pt>
                <c:pt idx="22">
                  <c:v>-13.381202444179507</c:v>
                </c:pt>
                <c:pt idx="23">
                  <c:v>-13.581202444186147</c:v>
                </c:pt>
                <c:pt idx="24">
                  <c:v>-14.381202444184282</c:v>
                </c:pt>
                <c:pt idx="25">
                  <c:v>-14.581202444190922</c:v>
                </c:pt>
                <c:pt idx="26">
                  <c:v>-14.881202444200881</c:v>
                </c:pt>
                <c:pt idx="27">
                  <c:v>-13.781202444192786</c:v>
                </c:pt>
                <c:pt idx="28">
                  <c:v>-15.04722166839656</c:v>
                </c:pt>
                <c:pt idx="29">
                  <c:v>-14.638750571691617</c:v>
                </c:pt>
                <c:pt idx="30">
                  <c:v>-14.177472838440508</c:v>
                </c:pt>
                <c:pt idx="31">
                  <c:v>-14.413193985348016</c:v>
                </c:pt>
                <c:pt idx="32">
                  <c:v>-13.052903117483083</c:v>
                </c:pt>
                <c:pt idx="33">
                  <c:v>-14.558712472449997</c:v>
                </c:pt>
                <c:pt idx="34">
                  <c:v>-14.050250757321692</c:v>
                </c:pt>
                <c:pt idx="35">
                  <c:v>-14.836698854082897</c:v>
                </c:pt>
                <c:pt idx="36">
                  <c:v>-14.381202444184282</c:v>
                </c:pt>
                <c:pt idx="37">
                  <c:v>-15.681202444199016</c:v>
                </c:pt>
                <c:pt idx="38">
                  <c:v>-14.681202444194241</c:v>
                </c:pt>
                <c:pt idx="39">
                  <c:v>-15.081202444179098</c:v>
                </c:pt>
                <c:pt idx="40">
                  <c:v>-14.481202444187602</c:v>
                </c:pt>
                <c:pt idx="41">
                  <c:v>-15.881202444177234</c:v>
                </c:pt>
                <c:pt idx="42">
                  <c:v>-17.081202444188648</c:v>
                </c:pt>
                <c:pt idx="43">
                  <c:v>-17.053638606341792</c:v>
                </c:pt>
                <c:pt idx="44">
                  <c:v>-16.781202444178689</c:v>
                </c:pt>
                <c:pt idx="45">
                  <c:v>-16.681202444175369</c:v>
                </c:pt>
                <c:pt idx="46">
                  <c:v>-17.281202444195287</c:v>
                </c:pt>
                <c:pt idx="47">
                  <c:v>-16.381202444193832</c:v>
                </c:pt>
                <c:pt idx="48">
                  <c:v>-15.481202444192377</c:v>
                </c:pt>
                <c:pt idx="49">
                  <c:v>-15.981202444180553</c:v>
                </c:pt>
                <c:pt idx="50">
                  <c:v>-16.981202444185328</c:v>
                </c:pt>
                <c:pt idx="51">
                  <c:v>-17.481202444173505</c:v>
                </c:pt>
                <c:pt idx="52">
                  <c:v>-16.281202444190512</c:v>
                </c:pt>
                <c:pt idx="53">
                  <c:v>-16.481202444197152</c:v>
                </c:pt>
                <c:pt idx="54">
                  <c:v>-15.781202444173914</c:v>
                </c:pt>
                <c:pt idx="55">
                  <c:v>-16.781202444178689</c:v>
                </c:pt>
                <c:pt idx="56">
                  <c:v>-15.681202444199016</c:v>
                </c:pt>
                <c:pt idx="57">
                  <c:v>-17.381202444198607</c:v>
                </c:pt>
                <c:pt idx="58">
                  <c:v>-16.237975776107305</c:v>
                </c:pt>
                <c:pt idx="59">
                  <c:v>-15.645836486442022</c:v>
                </c:pt>
                <c:pt idx="61">
                  <c:v>-15.404442825513343</c:v>
                </c:pt>
                <c:pt idx="63">
                  <c:v>-15.404442825513343</c:v>
                </c:pt>
                <c:pt idx="65">
                  <c:v>-15.404442825513343</c:v>
                </c:pt>
                <c:pt idx="66">
                  <c:v>-14.482022654817683</c:v>
                </c:pt>
                <c:pt idx="67">
                  <c:v>-13.908179883770799</c:v>
                </c:pt>
                <c:pt idx="69">
                  <c:v>-13.714723858925026</c:v>
                </c:pt>
                <c:pt idx="70">
                  <c:v>-13.128683375953187</c:v>
                </c:pt>
                <c:pt idx="71">
                  <c:v>-13.780957802651983</c:v>
                </c:pt>
                <c:pt idx="72">
                  <c:v>-14.258499008747094</c:v>
                </c:pt>
                <c:pt idx="73">
                  <c:v>-14.548256703989182</c:v>
                </c:pt>
                <c:pt idx="74">
                  <c:v>-14.705546300888273</c:v>
                </c:pt>
                <c:pt idx="75">
                  <c:v>-14.524287882409226</c:v>
                </c:pt>
                <c:pt idx="76">
                  <c:v>-14.161771151037783</c:v>
                </c:pt>
                <c:pt idx="77">
                  <c:v>-15.363919534252091</c:v>
                </c:pt>
                <c:pt idx="78">
                  <c:v>-14.935168753652306</c:v>
                </c:pt>
                <c:pt idx="79">
                  <c:v>-15.044094323229729</c:v>
                </c:pt>
                <c:pt idx="80">
                  <c:v>-15.364345925405587</c:v>
                </c:pt>
                <c:pt idx="81">
                  <c:v>-16.065410777571287</c:v>
                </c:pt>
                <c:pt idx="82">
                  <c:v>-15.877627168322306</c:v>
                </c:pt>
                <c:pt idx="83">
                  <c:v>-15.188759922551753</c:v>
                </c:pt>
                <c:pt idx="84">
                  <c:v>-14.047172969043231</c:v>
                </c:pt>
                <c:pt idx="85">
                  <c:v>-16.071083193168079</c:v>
                </c:pt>
                <c:pt idx="86">
                  <c:v>-15.448876282221136</c:v>
                </c:pt>
                <c:pt idx="87">
                  <c:v>-16.312903146825875</c:v>
                </c:pt>
                <c:pt idx="88">
                  <c:v>-14.524287882409226</c:v>
                </c:pt>
                <c:pt idx="89">
                  <c:v>-15.098557051715034</c:v>
                </c:pt>
                <c:pt idx="90">
                  <c:v>-14.422936635469341</c:v>
                </c:pt>
                <c:pt idx="91">
                  <c:v>-13.811025423876799</c:v>
                </c:pt>
                <c:pt idx="92">
                  <c:v>-14.294239045568702</c:v>
                </c:pt>
                <c:pt idx="93">
                  <c:v>-14.650657075719664</c:v>
                </c:pt>
                <c:pt idx="94">
                  <c:v>-14.469398657297461</c:v>
                </c:pt>
                <c:pt idx="95">
                  <c:v>-14.705119811281975</c:v>
                </c:pt>
                <c:pt idx="96">
                  <c:v>-15.043241435449772</c:v>
                </c:pt>
                <c:pt idx="97">
                  <c:v>-14.874180623394295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6CA-4BFA-B5AB-BE48E379AAC6}"/>
            </c:ext>
          </c:extLst>
        </c:ser>
        <c:ser>
          <c:idx val="4"/>
          <c:order val="4"/>
          <c:tx>
            <c:strRef>
              <c:f>Déplacements!$O$9</c:f>
              <c:strCache>
                <c:ptCount val="1"/>
                <c:pt idx="0">
                  <c:v>DPM haut droit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tint val="50000"/>
                      <a:satMod val="300000"/>
                    </a:schemeClr>
                  </a:gs>
                  <a:gs pos="35000">
                    <a:schemeClr val="accent5">
                      <a:tint val="37000"/>
                      <a:satMod val="300000"/>
                    </a:schemeClr>
                  </a:gs>
                  <a:gs pos="100000">
                    <a:schemeClr val="accent5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Déplacements!$B$10:$B$32</c:f>
              <c:numCache>
                <c:formatCode>dd\ /\ mm\ /\ yy</c:formatCode>
                <c:ptCount val="23"/>
                <c:pt idx="0">
                  <c:v>43658</c:v>
                </c:pt>
                <c:pt idx="1">
                  <c:v>43661</c:v>
                </c:pt>
                <c:pt idx="2">
                  <c:v>43662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11">
                  <c:v>43685</c:v>
                </c:pt>
                <c:pt idx="12">
                  <c:v>43689</c:v>
                </c:pt>
                <c:pt idx="13">
                  <c:v>43690</c:v>
                </c:pt>
                <c:pt idx="14">
                  <c:v>43696</c:v>
                </c:pt>
                <c:pt idx="15">
                  <c:v>43699</c:v>
                </c:pt>
                <c:pt idx="16">
                  <c:v>43704</c:v>
                </c:pt>
                <c:pt idx="17">
                  <c:v>43706</c:v>
                </c:pt>
                <c:pt idx="18">
                  <c:v>43710</c:v>
                </c:pt>
                <c:pt idx="19">
                  <c:v>43713</c:v>
                </c:pt>
                <c:pt idx="20">
                  <c:v>43718</c:v>
                </c:pt>
                <c:pt idx="21">
                  <c:v>43720</c:v>
                </c:pt>
                <c:pt idx="22">
                  <c:v>43724</c:v>
                </c:pt>
              </c:numCache>
            </c:numRef>
          </c:xVal>
          <c:yVal>
            <c:numRef>
              <c:f>Déplacements!$O$10:$O$32</c:f>
              <c:numCache>
                <c:formatCode>\+\ 0.0;\-\ 0.0;\±\ 0.0</c:formatCode>
                <c:ptCount val="23"/>
                <c:pt idx="0">
                  <c:v>0</c:v>
                </c:pt>
                <c:pt idx="1">
                  <c:v>1.7942875674066272</c:v>
                </c:pt>
                <c:pt idx="2">
                  <c:v>1.4557395521137551</c:v>
                </c:pt>
                <c:pt idx="3">
                  <c:v>1.3354692639495624</c:v>
                </c:pt>
                <c:pt idx="4">
                  <c:v>-0.26578887369055337</c:v>
                </c:pt>
                <c:pt idx="5">
                  <c:v>-2.9789926362866481</c:v>
                </c:pt>
                <c:pt idx="6">
                  <c:v>-3.0656521362288913</c:v>
                </c:pt>
                <c:pt idx="7">
                  <c:v>-3.2351423559475734</c:v>
                </c:pt>
                <c:pt idx="8">
                  <c:v>-4.0936521362198164</c:v>
                </c:pt>
                <c:pt idx="11">
                  <c:v>-3.9936521362449184</c:v>
                </c:pt>
                <c:pt idx="12">
                  <c:v>-4.6530288741166714</c:v>
                </c:pt>
                <c:pt idx="13">
                  <c:v>-4.2604521362363812</c:v>
                </c:pt>
                <c:pt idx="14">
                  <c:v>-3.7936521362382791</c:v>
                </c:pt>
                <c:pt idx="15">
                  <c:v>-4.2936521362264557</c:v>
                </c:pt>
                <c:pt idx="16">
                  <c:v>9.5090959528363328</c:v>
                </c:pt>
                <c:pt idx="17">
                  <c:v>11.2063478637765</c:v>
                </c:pt>
                <c:pt idx="18">
                  <c:v>10.406347863778365</c:v>
                </c:pt>
                <c:pt idx="19">
                  <c:v>10.806347863763222</c:v>
                </c:pt>
                <c:pt idx="20">
                  <c:v>10.806347863763222</c:v>
                </c:pt>
                <c:pt idx="21">
                  <c:v>10.206347863771725</c:v>
                </c:pt>
                <c:pt idx="22">
                  <c:v>9.8063478637584467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6CA-4BFA-B5AB-BE48E379AAC6}"/>
            </c:ext>
          </c:extLst>
        </c:ser>
        <c:ser>
          <c:idx val="6"/>
          <c:order val="5"/>
          <c:tx>
            <c:strRef>
              <c:f>Déplacements!$R$9</c:f>
              <c:strCache>
                <c:ptCount val="1"/>
                <c:pt idx="0">
                  <c:v>DPM inter droit</c:v>
                </c:pt>
              </c:strCache>
            </c:strRef>
          </c:tx>
          <c:spPr>
            <a:ln w="1587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1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1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Déplacements!$B$10:$B$132</c:f>
              <c:numCache>
                <c:formatCode>dd\ /\ mm\ /\ yy</c:formatCode>
                <c:ptCount val="123"/>
                <c:pt idx="0">
                  <c:v>43658</c:v>
                </c:pt>
                <c:pt idx="1">
                  <c:v>43661</c:v>
                </c:pt>
                <c:pt idx="2">
                  <c:v>43662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11">
                  <c:v>43685</c:v>
                </c:pt>
                <c:pt idx="12">
                  <c:v>43689</c:v>
                </c:pt>
                <c:pt idx="13">
                  <c:v>43690</c:v>
                </c:pt>
                <c:pt idx="14">
                  <c:v>43696</c:v>
                </c:pt>
                <c:pt idx="15">
                  <c:v>43699</c:v>
                </c:pt>
                <c:pt idx="16">
                  <c:v>43704</c:v>
                </c:pt>
                <c:pt idx="17">
                  <c:v>43706</c:v>
                </c:pt>
                <c:pt idx="18">
                  <c:v>43710</c:v>
                </c:pt>
                <c:pt idx="19">
                  <c:v>43713</c:v>
                </c:pt>
                <c:pt idx="20">
                  <c:v>43718</c:v>
                </c:pt>
                <c:pt idx="21">
                  <c:v>43720</c:v>
                </c:pt>
                <c:pt idx="22">
                  <c:v>43724</c:v>
                </c:pt>
                <c:pt idx="23">
                  <c:v>43727</c:v>
                </c:pt>
                <c:pt idx="24">
                  <c:v>43731</c:v>
                </c:pt>
                <c:pt idx="25">
                  <c:v>43734</c:v>
                </c:pt>
                <c:pt idx="26">
                  <c:v>43738</c:v>
                </c:pt>
                <c:pt idx="27">
                  <c:v>43741</c:v>
                </c:pt>
                <c:pt idx="28">
                  <c:v>43746</c:v>
                </c:pt>
                <c:pt idx="29">
                  <c:v>43753</c:v>
                </c:pt>
                <c:pt idx="30">
                  <c:v>43756</c:v>
                </c:pt>
                <c:pt idx="31">
                  <c:v>43760</c:v>
                </c:pt>
                <c:pt idx="32">
                  <c:v>43762</c:v>
                </c:pt>
                <c:pt idx="33">
                  <c:v>43766</c:v>
                </c:pt>
                <c:pt idx="34">
                  <c:v>43769</c:v>
                </c:pt>
                <c:pt idx="35">
                  <c:v>43774</c:v>
                </c:pt>
                <c:pt idx="36">
                  <c:v>43776</c:v>
                </c:pt>
                <c:pt idx="37">
                  <c:v>43781</c:v>
                </c:pt>
                <c:pt idx="38">
                  <c:v>43783</c:v>
                </c:pt>
                <c:pt idx="39">
                  <c:v>43787</c:v>
                </c:pt>
                <c:pt idx="40">
                  <c:v>43790</c:v>
                </c:pt>
                <c:pt idx="41">
                  <c:v>43795</c:v>
                </c:pt>
                <c:pt idx="42">
                  <c:v>43797</c:v>
                </c:pt>
                <c:pt idx="43">
                  <c:v>43798</c:v>
                </c:pt>
                <c:pt idx="44">
                  <c:v>43801</c:v>
                </c:pt>
                <c:pt idx="45">
                  <c:v>43803</c:v>
                </c:pt>
                <c:pt idx="46">
                  <c:v>43808</c:v>
                </c:pt>
                <c:pt idx="47">
                  <c:v>43811</c:v>
                </c:pt>
                <c:pt idx="48">
                  <c:v>43815</c:v>
                </c:pt>
                <c:pt idx="49">
                  <c:v>43818</c:v>
                </c:pt>
                <c:pt idx="50">
                  <c:v>43837</c:v>
                </c:pt>
                <c:pt idx="51">
                  <c:v>43843</c:v>
                </c:pt>
                <c:pt idx="52">
                  <c:v>43850</c:v>
                </c:pt>
                <c:pt idx="53">
                  <c:v>43859</c:v>
                </c:pt>
                <c:pt idx="54">
                  <c:v>43865</c:v>
                </c:pt>
                <c:pt idx="55">
                  <c:v>43886</c:v>
                </c:pt>
                <c:pt idx="56">
                  <c:v>43970</c:v>
                </c:pt>
                <c:pt idx="57">
                  <c:v>43977</c:v>
                </c:pt>
                <c:pt idx="58">
                  <c:v>43999</c:v>
                </c:pt>
                <c:pt idx="59">
                  <c:v>44029</c:v>
                </c:pt>
                <c:pt idx="61">
                  <c:v>44082</c:v>
                </c:pt>
                <c:pt idx="63">
                  <c:v>44082</c:v>
                </c:pt>
                <c:pt idx="65">
                  <c:v>44140</c:v>
                </c:pt>
                <c:pt idx="66">
                  <c:v>44172</c:v>
                </c:pt>
                <c:pt idx="67">
                  <c:v>44229</c:v>
                </c:pt>
                <c:pt idx="69">
                  <c:v>44322</c:v>
                </c:pt>
                <c:pt idx="70">
                  <c:v>44357</c:v>
                </c:pt>
                <c:pt idx="71">
                  <c:v>44362</c:v>
                </c:pt>
                <c:pt idx="72">
                  <c:v>44369</c:v>
                </c:pt>
                <c:pt idx="73">
                  <c:v>44376</c:v>
                </c:pt>
                <c:pt idx="74">
                  <c:v>44400</c:v>
                </c:pt>
                <c:pt idx="75">
                  <c:v>44439</c:v>
                </c:pt>
                <c:pt idx="76">
                  <c:v>44474</c:v>
                </c:pt>
                <c:pt idx="77">
                  <c:v>44522</c:v>
                </c:pt>
                <c:pt idx="78">
                  <c:v>44531</c:v>
                </c:pt>
                <c:pt idx="79">
                  <c:v>44536</c:v>
                </c:pt>
                <c:pt idx="80">
                  <c:v>44543</c:v>
                </c:pt>
                <c:pt idx="81">
                  <c:v>44550</c:v>
                </c:pt>
                <c:pt idx="82">
                  <c:v>44572</c:v>
                </c:pt>
                <c:pt idx="83">
                  <c:v>44578</c:v>
                </c:pt>
                <c:pt idx="84">
                  <c:v>44595</c:v>
                </c:pt>
                <c:pt idx="85">
                  <c:v>44613</c:v>
                </c:pt>
                <c:pt idx="86">
                  <c:v>44648</c:v>
                </c:pt>
                <c:pt idx="87">
                  <c:v>44678</c:v>
                </c:pt>
                <c:pt idx="88">
                  <c:v>44711</c:v>
                </c:pt>
                <c:pt idx="89">
                  <c:v>44740</c:v>
                </c:pt>
                <c:pt idx="90">
                  <c:v>44767</c:v>
                </c:pt>
                <c:pt idx="91">
                  <c:v>44902</c:v>
                </c:pt>
                <c:pt idx="92">
                  <c:v>44915</c:v>
                </c:pt>
                <c:pt idx="93">
                  <c:v>44930</c:v>
                </c:pt>
                <c:pt idx="94">
                  <c:v>44945</c:v>
                </c:pt>
                <c:pt idx="95">
                  <c:v>44957</c:v>
                </c:pt>
                <c:pt idx="96">
                  <c:v>44988</c:v>
                </c:pt>
                <c:pt idx="97">
                  <c:v>45013</c:v>
                </c:pt>
              </c:numCache>
            </c:numRef>
          </c:xVal>
          <c:yVal>
            <c:numRef>
              <c:f>Déplacements!$R$10:$R$312</c:f>
              <c:numCache>
                <c:formatCode>\+\ 0.0;\-\ 0.0;\±\ 0.0</c:formatCode>
                <c:ptCount val="303"/>
                <c:pt idx="0">
                  <c:v>0</c:v>
                </c:pt>
                <c:pt idx="1">
                  <c:v>1.2383148112178333</c:v>
                </c:pt>
                <c:pt idx="2">
                  <c:v>1.9446256806929796</c:v>
                </c:pt>
                <c:pt idx="3">
                  <c:v>2.5310924563655135</c:v>
                </c:pt>
                <c:pt idx="4">
                  <c:v>1.76294087111728</c:v>
                </c:pt>
                <c:pt idx="5">
                  <c:v>0.7651666362562537</c:v>
                </c:pt>
                <c:pt idx="6">
                  <c:v>0.99876686869038167</c:v>
                </c:pt>
                <c:pt idx="7">
                  <c:v>0.79310219629746825</c:v>
                </c:pt>
                <c:pt idx="8">
                  <c:v>0.3344668686793284</c:v>
                </c:pt>
                <c:pt idx="11">
                  <c:v>0.63446686866086566</c:v>
                </c:pt>
                <c:pt idx="12">
                  <c:v>0.24850531301012779</c:v>
                </c:pt>
                <c:pt idx="13">
                  <c:v>0.81626686866798082</c:v>
                </c:pt>
                <c:pt idx="14">
                  <c:v>1.0344668686741443</c:v>
                </c:pt>
                <c:pt idx="15">
                  <c:v>0.83446686866750497</c:v>
                </c:pt>
                <c:pt idx="16">
                  <c:v>0.29686924187899422</c:v>
                </c:pt>
                <c:pt idx="17">
                  <c:v>2.3344668686604564</c:v>
                </c:pt>
                <c:pt idx="18">
                  <c:v>1.2344668686807836</c:v>
                </c:pt>
                <c:pt idx="19">
                  <c:v>1.9344668686755995</c:v>
                </c:pt>
                <c:pt idx="20">
                  <c:v>2.3344668686604564</c:v>
                </c:pt>
                <c:pt idx="21">
                  <c:v>2.3344668686604564</c:v>
                </c:pt>
                <c:pt idx="22">
                  <c:v>1.1344668686774639</c:v>
                </c:pt>
                <c:pt idx="23">
                  <c:v>1.3344668686556815</c:v>
                </c:pt>
                <c:pt idx="24">
                  <c:v>1.0344668686741443</c:v>
                </c:pt>
                <c:pt idx="25">
                  <c:v>0.43446686868264806</c:v>
                </c:pt>
                <c:pt idx="26">
                  <c:v>0.23446686867600874</c:v>
                </c:pt>
                <c:pt idx="27">
                  <c:v>1.3344668686556815</c:v>
                </c:pt>
                <c:pt idx="28">
                  <c:v>1.5156084736247522</c:v>
                </c:pt>
                <c:pt idx="29">
                  <c:v>1.0269355827006166</c:v>
                </c:pt>
                <c:pt idx="30">
                  <c:v>1.0149512281714124</c:v>
                </c:pt>
                <c:pt idx="31">
                  <c:v>0.81539650216200243</c:v>
                </c:pt>
                <c:pt idx="32">
                  <c:v>1.7046712563058009</c:v>
                </c:pt>
                <c:pt idx="33">
                  <c:v>1.878125204996195</c:v>
                </c:pt>
                <c:pt idx="34">
                  <c:v>0.78575527203383899</c:v>
                </c:pt>
                <c:pt idx="35">
                  <c:v>1.195356758842081</c:v>
                </c:pt>
                <c:pt idx="36">
                  <c:v>1.2344668686807836</c:v>
                </c:pt>
                <c:pt idx="37">
                  <c:v>0.43446686868264806</c:v>
                </c:pt>
                <c:pt idx="38">
                  <c:v>1.5344668686623208</c:v>
                </c:pt>
                <c:pt idx="39">
                  <c:v>1.2344668686807836</c:v>
                </c:pt>
                <c:pt idx="40">
                  <c:v>1.6344668686656405</c:v>
                </c:pt>
                <c:pt idx="41">
                  <c:v>0.23446686867600874</c:v>
                </c:pt>
                <c:pt idx="42">
                  <c:v>-0.66553313132544645</c:v>
                </c:pt>
                <c:pt idx="43">
                  <c:v>0.30126237851391124</c:v>
                </c:pt>
                <c:pt idx="44">
                  <c:v>0.13446686867268909</c:v>
                </c:pt>
                <c:pt idx="45">
                  <c:v>0.3344668686793284</c:v>
                </c:pt>
                <c:pt idx="46">
                  <c:v>3.4466868669369433E-2</c:v>
                </c:pt>
                <c:pt idx="47">
                  <c:v>1.1344668686774639</c:v>
                </c:pt>
                <c:pt idx="48">
                  <c:v>1.7344668686689602</c:v>
                </c:pt>
                <c:pt idx="49">
                  <c:v>0.43446686868264806</c:v>
                </c:pt>
                <c:pt idx="50">
                  <c:v>0.73446686866418531</c:v>
                </c:pt>
                <c:pt idx="51">
                  <c:v>0.43446686868264806</c:v>
                </c:pt>
                <c:pt idx="52">
                  <c:v>1.1344668686774639</c:v>
                </c:pt>
                <c:pt idx="53">
                  <c:v>1.1344668686774639</c:v>
                </c:pt>
                <c:pt idx="54">
                  <c:v>1.8344668686722798</c:v>
                </c:pt>
                <c:pt idx="55">
                  <c:v>1.5344668686623208</c:v>
                </c:pt>
                <c:pt idx="56">
                  <c:v>1.4344668686590012</c:v>
                </c:pt>
                <c:pt idx="57">
                  <c:v>0.93446686867082462</c:v>
                </c:pt>
                <c:pt idx="58">
                  <c:v>1.4127816052678099</c:v>
                </c:pt>
                <c:pt idx="59">
                  <c:v>1.6907680853250895</c:v>
                </c:pt>
                <c:pt idx="61">
                  <c:v>1.5151819769698704</c:v>
                </c:pt>
                <c:pt idx="63">
                  <c:v>1.5151819769698704</c:v>
                </c:pt>
                <c:pt idx="65">
                  <c:v>0.41518197699019765</c:v>
                </c:pt>
                <c:pt idx="66">
                  <c:v>1.2610687376763963</c:v>
                </c:pt>
                <c:pt idx="67">
                  <c:v>1.1151819769850135</c:v>
                </c:pt>
                <c:pt idx="69">
                  <c:v>1.3939630233323896</c:v>
                </c:pt>
                <c:pt idx="70">
                  <c:v>2.3786866656223538</c:v>
                </c:pt>
                <c:pt idx="71">
                  <c:v>1.7747762662168043</c:v>
                </c:pt>
                <c:pt idx="72">
                  <c:v>1.5569251341958079</c:v>
                </c:pt>
                <c:pt idx="73">
                  <c:v>1.2127046049101864</c:v>
                </c:pt>
                <c:pt idx="74">
                  <c:v>1.8166151027116939</c:v>
                </c:pt>
                <c:pt idx="75">
                  <c:v>1.7560534690801433</c:v>
                </c:pt>
                <c:pt idx="76">
                  <c:v>1.5808938502743786</c:v>
                </c:pt>
                <c:pt idx="77">
                  <c:v>0.69247178004161469</c:v>
                </c:pt>
                <c:pt idx="78">
                  <c:v>0.84933498573036559</c:v>
                </c:pt>
                <c:pt idx="79">
                  <c:v>0.59531742570584356</c:v>
                </c:pt>
                <c:pt idx="80">
                  <c:v>0.13607252722636076</c:v>
                </c:pt>
                <c:pt idx="81">
                  <c:v>1.2837582803513214</c:v>
                </c:pt>
                <c:pt idx="82">
                  <c:v>2.7573348774012629E-2</c:v>
                </c:pt>
                <c:pt idx="83">
                  <c:v>1.3146785854871723</c:v>
                </c:pt>
                <c:pt idx="84">
                  <c:v>2.0453846677241927</c:v>
                </c:pt>
                <c:pt idx="85">
                  <c:v>1.5375742407286452E-2</c:v>
                </c:pt>
                <c:pt idx="86">
                  <c:v>0.31733094567698572</c:v>
                </c:pt>
                <c:pt idx="87">
                  <c:v>-9.354982009313062E-2</c:v>
                </c:pt>
                <c:pt idx="88">
                  <c:v>1.7795957940336393</c:v>
                </c:pt>
                <c:pt idx="89">
                  <c:v>1.0541357291629083</c:v>
                </c:pt>
                <c:pt idx="90">
                  <c:v>1.9085751438296938</c:v>
                </c:pt>
                <c:pt idx="91">
                  <c:v>2.1111922203260747</c:v>
                </c:pt>
                <c:pt idx="92">
                  <c:v>2.2140190886545952</c:v>
                </c:pt>
                <c:pt idx="93">
                  <c:v>1.4467201872605528</c:v>
                </c:pt>
                <c:pt idx="94">
                  <c:v>1.670243833331142</c:v>
                </c:pt>
                <c:pt idx="95">
                  <c:v>1.3077269964583138</c:v>
                </c:pt>
                <c:pt idx="96">
                  <c:v>0.96350657267407769</c:v>
                </c:pt>
                <c:pt idx="97">
                  <c:v>1.4044549596405886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6CA-4BFA-B5AB-BE48E379AAC6}"/>
            </c:ext>
          </c:extLst>
        </c:ser>
        <c:ser>
          <c:idx val="2"/>
          <c:order val="6"/>
          <c:tx>
            <c:strRef>
              <c:f>Déplacements!$U$9</c:f>
              <c:strCache>
                <c:ptCount val="1"/>
                <c:pt idx="0">
                  <c:v>DPM bas droit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tint val="50000"/>
                      <a:satMod val="300000"/>
                    </a:schemeClr>
                  </a:gs>
                  <a:gs pos="35000">
                    <a:schemeClr val="accent3">
                      <a:tint val="37000"/>
                      <a:satMod val="300000"/>
                    </a:schemeClr>
                  </a:gs>
                  <a:gs pos="100000">
                    <a:schemeClr val="accent3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Déplacements!$B$10:$B$132</c:f>
              <c:numCache>
                <c:formatCode>dd\ /\ mm\ /\ yy</c:formatCode>
                <c:ptCount val="123"/>
                <c:pt idx="0">
                  <c:v>43658</c:v>
                </c:pt>
                <c:pt idx="1">
                  <c:v>43661</c:v>
                </c:pt>
                <c:pt idx="2">
                  <c:v>43662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11">
                  <c:v>43685</c:v>
                </c:pt>
                <c:pt idx="12">
                  <c:v>43689</c:v>
                </c:pt>
                <c:pt idx="13">
                  <c:v>43690</c:v>
                </c:pt>
                <c:pt idx="14">
                  <c:v>43696</c:v>
                </c:pt>
                <c:pt idx="15">
                  <c:v>43699</c:v>
                </c:pt>
                <c:pt idx="16">
                  <c:v>43704</c:v>
                </c:pt>
                <c:pt idx="17">
                  <c:v>43706</c:v>
                </c:pt>
                <c:pt idx="18">
                  <c:v>43710</c:v>
                </c:pt>
                <c:pt idx="19">
                  <c:v>43713</c:v>
                </c:pt>
                <c:pt idx="20">
                  <c:v>43718</c:v>
                </c:pt>
                <c:pt idx="21">
                  <c:v>43720</c:v>
                </c:pt>
                <c:pt idx="22">
                  <c:v>43724</c:v>
                </c:pt>
                <c:pt idx="23">
                  <c:v>43727</c:v>
                </c:pt>
                <c:pt idx="24">
                  <c:v>43731</c:v>
                </c:pt>
                <c:pt idx="25">
                  <c:v>43734</c:v>
                </c:pt>
                <c:pt idx="26">
                  <c:v>43738</c:v>
                </c:pt>
                <c:pt idx="27">
                  <c:v>43741</c:v>
                </c:pt>
                <c:pt idx="28">
                  <c:v>43746</c:v>
                </c:pt>
                <c:pt idx="29">
                  <c:v>43753</c:v>
                </c:pt>
                <c:pt idx="30">
                  <c:v>43756</c:v>
                </c:pt>
                <c:pt idx="31">
                  <c:v>43760</c:v>
                </c:pt>
                <c:pt idx="32">
                  <c:v>43762</c:v>
                </c:pt>
                <c:pt idx="33">
                  <c:v>43766</c:v>
                </c:pt>
                <c:pt idx="34">
                  <c:v>43769</c:v>
                </c:pt>
                <c:pt idx="35">
                  <c:v>43774</c:v>
                </c:pt>
                <c:pt idx="36">
                  <c:v>43776</c:v>
                </c:pt>
                <c:pt idx="37">
                  <c:v>43781</c:v>
                </c:pt>
                <c:pt idx="38">
                  <c:v>43783</c:v>
                </c:pt>
                <c:pt idx="39">
                  <c:v>43787</c:v>
                </c:pt>
                <c:pt idx="40">
                  <c:v>43790</c:v>
                </c:pt>
                <c:pt idx="41">
                  <c:v>43795</c:v>
                </c:pt>
                <c:pt idx="42">
                  <c:v>43797</c:v>
                </c:pt>
                <c:pt idx="43">
                  <c:v>43798</c:v>
                </c:pt>
                <c:pt idx="44">
                  <c:v>43801</c:v>
                </c:pt>
                <c:pt idx="45">
                  <c:v>43803</c:v>
                </c:pt>
                <c:pt idx="46">
                  <c:v>43808</c:v>
                </c:pt>
                <c:pt idx="47">
                  <c:v>43811</c:v>
                </c:pt>
                <c:pt idx="48">
                  <c:v>43815</c:v>
                </c:pt>
                <c:pt idx="49">
                  <c:v>43818</c:v>
                </c:pt>
                <c:pt idx="50">
                  <c:v>43837</c:v>
                </c:pt>
                <c:pt idx="51">
                  <c:v>43843</c:v>
                </c:pt>
                <c:pt idx="52">
                  <c:v>43850</c:v>
                </c:pt>
                <c:pt idx="53">
                  <c:v>43859</c:v>
                </c:pt>
                <c:pt idx="54">
                  <c:v>43865</c:v>
                </c:pt>
                <c:pt idx="55">
                  <c:v>43886</c:v>
                </c:pt>
                <c:pt idx="56">
                  <c:v>43970</c:v>
                </c:pt>
                <c:pt idx="57">
                  <c:v>43977</c:v>
                </c:pt>
                <c:pt idx="58">
                  <c:v>43999</c:v>
                </c:pt>
                <c:pt idx="59">
                  <c:v>44029</c:v>
                </c:pt>
                <c:pt idx="61">
                  <c:v>44082</c:v>
                </c:pt>
                <c:pt idx="63">
                  <c:v>44082</c:v>
                </c:pt>
                <c:pt idx="65">
                  <c:v>44140</c:v>
                </c:pt>
                <c:pt idx="66">
                  <c:v>44172</c:v>
                </c:pt>
                <c:pt idx="67">
                  <c:v>44229</c:v>
                </c:pt>
                <c:pt idx="69">
                  <c:v>44322</c:v>
                </c:pt>
                <c:pt idx="70">
                  <c:v>44357</c:v>
                </c:pt>
                <c:pt idx="71">
                  <c:v>44362</c:v>
                </c:pt>
                <c:pt idx="72">
                  <c:v>44369</c:v>
                </c:pt>
                <c:pt idx="73">
                  <c:v>44376</c:v>
                </c:pt>
                <c:pt idx="74">
                  <c:v>44400</c:v>
                </c:pt>
                <c:pt idx="75">
                  <c:v>44439</c:v>
                </c:pt>
                <c:pt idx="76">
                  <c:v>44474</c:v>
                </c:pt>
                <c:pt idx="77">
                  <c:v>44522</c:v>
                </c:pt>
                <c:pt idx="78">
                  <c:v>44531</c:v>
                </c:pt>
                <c:pt idx="79">
                  <c:v>44536</c:v>
                </c:pt>
                <c:pt idx="80">
                  <c:v>44543</c:v>
                </c:pt>
                <c:pt idx="81">
                  <c:v>44550</c:v>
                </c:pt>
                <c:pt idx="82">
                  <c:v>44572</c:v>
                </c:pt>
                <c:pt idx="83">
                  <c:v>44578</c:v>
                </c:pt>
                <c:pt idx="84">
                  <c:v>44595</c:v>
                </c:pt>
                <c:pt idx="85">
                  <c:v>44613</c:v>
                </c:pt>
                <c:pt idx="86">
                  <c:v>44648</c:v>
                </c:pt>
                <c:pt idx="87">
                  <c:v>44678</c:v>
                </c:pt>
                <c:pt idx="88">
                  <c:v>44711</c:v>
                </c:pt>
                <c:pt idx="89">
                  <c:v>44740</c:v>
                </c:pt>
                <c:pt idx="90">
                  <c:v>44767</c:v>
                </c:pt>
                <c:pt idx="91">
                  <c:v>44902</c:v>
                </c:pt>
                <c:pt idx="92">
                  <c:v>44915</c:v>
                </c:pt>
                <c:pt idx="93">
                  <c:v>44930</c:v>
                </c:pt>
                <c:pt idx="94">
                  <c:v>44945</c:v>
                </c:pt>
                <c:pt idx="95">
                  <c:v>44957</c:v>
                </c:pt>
                <c:pt idx="96">
                  <c:v>44988</c:v>
                </c:pt>
                <c:pt idx="97">
                  <c:v>45013</c:v>
                </c:pt>
              </c:numCache>
            </c:numRef>
          </c:xVal>
          <c:yVal>
            <c:numRef>
              <c:f>Déplacements!$U$10:$U$312</c:f>
              <c:numCache>
                <c:formatCode>\+\ 0.0;\-\ 0.0;\±\ 0.0</c:formatCode>
                <c:ptCount val="303"/>
                <c:pt idx="0">
                  <c:v>0</c:v>
                </c:pt>
                <c:pt idx="1">
                  <c:v>2.3197665150860303</c:v>
                </c:pt>
                <c:pt idx="2">
                  <c:v>1.817829997833087</c:v>
                </c:pt>
                <c:pt idx="3">
                  <c:v>2.1324092970189668</c:v>
                </c:pt>
                <c:pt idx="4">
                  <c:v>14.414010325737081</c:v>
                </c:pt>
                <c:pt idx="5">
                  <c:v>13.186613842037787</c:v>
                </c:pt>
                <c:pt idx="6">
                  <c:v>13.643745617684999</c:v>
                </c:pt>
                <c:pt idx="7">
                  <c:v>13.305178460086609</c:v>
                </c:pt>
                <c:pt idx="8">
                  <c:v>12.42634561768341</c:v>
                </c:pt>
                <c:pt idx="11">
                  <c:v>12.42634561768341</c:v>
                </c:pt>
                <c:pt idx="12">
                  <c:v>12.458211461449764</c:v>
                </c:pt>
                <c:pt idx="13">
                  <c:v>12.663445617675961</c:v>
                </c:pt>
                <c:pt idx="14">
                  <c:v>12.926345617671586</c:v>
                </c:pt>
                <c:pt idx="15">
                  <c:v>12.42634561768341</c:v>
                </c:pt>
                <c:pt idx="16">
                  <c:v>12.28305174421962</c:v>
                </c:pt>
                <c:pt idx="17">
                  <c:v>13.626345617666402</c:v>
                </c:pt>
                <c:pt idx="18">
                  <c:v>13.326345617684865</c:v>
                </c:pt>
                <c:pt idx="19">
                  <c:v>13.926345617676361</c:v>
                </c:pt>
                <c:pt idx="20">
                  <c:v>13.826345617673041</c:v>
                </c:pt>
                <c:pt idx="21">
                  <c:v>13.626345617666402</c:v>
                </c:pt>
                <c:pt idx="23">
                  <c:v>12.726345617693369</c:v>
                </c:pt>
                <c:pt idx="24">
                  <c:v>12.526345617686729</c:v>
                </c:pt>
                <c:pt idx="25">
                  <c:v>11.726345617688594</c:v>
                </c:pt>
                <c:pt idx="27">
                  <c:v>12.626345617690049</c:v>
                </c:pt>
                <c:pt idx="28">
                  <c:v>13.266283066712958</c:v>
                </c:pt>
                <c:pt idx="29">
                  <c:v>12.393889732635444</c:v>
                </c:pt>
                <c:pt idx="30">
                  <c:v>12.233835033129026</c:v>
                </c:pt>
                <c:pt idx="31">
                  <c:v>12.390698238789355</c:v>
                </c:pt>
                <c:pt idx="32">
                  <c:v>13.370602254866526</c:v>
                </c:pt>
                <c:pt idx="33">
                  <c:v>13.423359418794689</c:v>
                </c:pt>
                <c:pt idx="34">
                  <c:v>12.548414226756677</c:v>
                </c:pt>
                <c:pt idx="35">
                  <c:v>12.58940007704723</c:v>
                </c:pt>
                <c:pt idx="36">
                  <c:v>13.026345617674906</c:v>
                </c:pt>
                <c:pt idx="37">
                  <c:v>11.826345617691914</c:v>
                </c:pt>
                <c:pt idx="38">
                  <c:v>13.126345617678226</c:v>
                </c:pt>
                <c:pt idx="39">
                  <c:v>12.826345617668267</c:v>
                </c:pt>
                <c:pt idx="40">
                  <c:v>13.026345617674906</c:v>
                </c:pt>
                <c:pt idx="41">
                  <c:v>11.726345617688594</c:v>
                </c:pt>
                <c:pt idx="42">
                  <c:v>11.126345617668676</c:v>
                </c:pt>
                <c:pt idx="43">
                  <c:v>11.828200080799434</c:v>
                </c:pt>
                <c:pt idx="44">
                  <c:v>11.926345617666811</c:v>
                </c:pt>
                <c:pt idx="45">
                  <c:v>12.126345617673451</c:v>
                </c:pt>
                <c:pt idx="46">
                  <c:v>11.726345617688594</c:v>
                </c:pt>
                <c:pt idx="47">
                  <c:v>12.526345617686729</c:v>
                </c:pt>
                <c:pt idx="48">
                  <c:v>13.526345617691504</c:v>
                </c:pt>
                <c:pt idx="49">
                  <c:v>12.026345617670131</c:v>
                </c:pt>
                <c:pt idx="50">
                  <c:v>12.42634561768341</c:v>
                </c:pt>
                <c:pt idx="51">
                  <c:v>11.926345617666811</c:v>
                </c:pt>
                <c:pt idx="52">
                  <c:v>13.026345617674906</c:v>
                </c:pt>
                <c:pt idx="53">
                  <c:v>12.926345617671586</c:v>
                </c:pt>
                <c:pt idx="54">
                  <c:v>13.526345617691504</c:v>
                </c:pt>
                <c:pt idx="55">
                  <c:v>13.226345617681545</c:v>
                </c:pt>
                <c:pt idx="56">
                  <c:v>13.326345617684865</c:v>
                </c:pt>
                <c:pt idx="57">
                  <c:v>12.926345617671586</c:v>
                </c:pt>
                <c:pt idx="58">
                  <c:v>13.078712596779951</c:v>
                </c:pt>
                <c:pt idx="59">
                  <c:v>13.405063012783103</c:v>
                </c:pt>
                <c:pt idx="61">
                  <c:v>13.320106159312672</c:v>
                </c:pt>
                <c:pt idx="63">
                  <c:v>13.320106159312672</c:v>
                </c:pt>
                <c:pt idx="69">
                  <c:v>13.211932638995449</c:v>
                </c:pt>
                <c:pt idx="70">
                  <c:v>14.559173118186663</c:v>
                </c:pt>
                <c:pt idx="71">
                  <c:v>13.683375143841658</c:v>
                </c:pt>
                <c:pt idx="72">
                  <c:v>13.103007076495032</c:v>
                </c:pt>
                <c:pt idx="73">
                  <c:v>12.98840899292486</c:v>
                </c:pt>
                <c:pt idx="74">
                  <c:v>13.278166688223791</c:v>
                </c:pt>
                <c:pt idx="75">
                  <c:v>13.314333116198895</c:v>
                </c:pt>
                <c:pt idx="76">
                  <c:v>14.051564290838314</c:v>
                </c:pt>
                <c:pt idx="77">
                  <c:v>12.069493008738164</c:v>
                </c:pt>
                <c:pt idx="78">
                  <c:v>12.951389782671185</c:v>
                </c:pt>
                <c:pt idx="79">
                  <c:v>12.105232940058386</c:v>
                </c:pt>
                <c:pt idx="80">
                  <c:v>12.552280232199564</c:v>
                </c:pt>
                <c:pt idx="81">
                  <c:v>13.162289431221552</c:v>
                </c:pt>
                <c:pt idx="82">
                  <c:v>12.268621442018457</c:v>
                </c:pt>
                <c:pt idx="83">
                  <c:v>13.827614253642651</c:v>
                </c:pt>
                <c:pt idx="84">
                  <c:v>14.286432760997059</c:v>
                </c:pt>
                <c:pt idx="85">
                  <c:v>12.069066617584667</c:v>
                </c:pt>
                <c:pt idx="86">
                  <c:v>12.691273423001803</c:v>
                </c:pt>
                <c:pt idx="87">
                  <c:v>11.682154567949965</c:v>
                </c:pt>
                <c:pt idx="88">
                  <c:v>13.645929444038529</c:v>
                </c:pt>
                <c:pt idx="89">
                  <c:v>12.745309865863419</c:v>
                </c:pt>
                <c:pt idx="90">
                  <c:v>13.459883777727555</c:v>
                </c:pt>
                <c:pt idx="91">
                  <c:v>13.482114649349342</c:v>
                </c:pt>
                <c:pt idx="94">
                  <c:v>12.727013354350447</c:v>
                </c:pt>
                <c:pt idx="95">
                  <c:v>12.992802228012579</c:v>
                </c:pt>
                <c:pt idx="96">
                  <c:v>12.376694123815923</c:v>
                </c:pt>
                <c:pt idx="97">
                  <c:v>13.047264963631733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6CA-4BFA-B5AB-BE48E379A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513432"/>
        <c:axId val="604513824"/>
      </c:scatterChart>
      <c:scatterChart>
        <c:scatterStyle val="lineMarker"/>
        <c:varyColors val="0"/>
        <c:ser>
          <c:idx val="8"/>
          <c:order val="7"/>
          <c:tx>
            <c:v>PM Front</c:v>
          </c:tx>
          <c:spPr>
            <a:ln w="15875" cap="rnd">
              <a:solidFill>
                <a:schemeClr val="accent3">
                  <a:lumMod val="60000"/>
                </a:schemeClr>
              </a:solidFill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xVal>
            <c:strRef>
              <c:f>('Résultats observations'!$A$10:$A$18,'Résultats observations'!$A$20:$A$99)</c:f>
              <c:strCache>
                <c:ptCount val="89"/>
                <c:pt idx="0">
                  <c:v>12 / 07 / 19</c:v>
                </c:pt>
                <c:pt idx="1">
                  <c:v>15 / 07 / 19</c:v>
                </c:pt>
                <c:pt idx="2">
                  <c:v>16 / 07 / 19</c:v>
                </c:pt>
                <c:pt idx="3">
                  <c:v>17 / 07 / 19</c:v>
                </c:pt>
                <c:pt idx="4">
                  <c:v>23 / 07 / 19</c:v>
                </c:pt>
                <c:pt idx="5">
                  <c:v>29 / 07 / 19</c:v>
                </c:pt>
                <c:pt idx="6">
                  <c:v>02 / 08 / 19</c:v>
                </c:pt>
                <c:pt idx="7">
                  <c:v>05 / 08 / 19</c:v>
                </c:pt>
                <c:pt idx="8">
                  <c:v>07 / 08 / 19</c:v>
                </c:pt>
                <c:pt idx="9">
                  <c:v>07 / 08 / 19</c:v>
                </c:pt>
                <c:pt idx="10">
                  <c:v>08 / 08 / 19</c:v>
                </c:pt>
                <c:pt idx="11">
                  <c:v>12 / 08 / 19</c:v>
                </c:pt>
                <c:pt idx="12">
                  <c:v>13 / 08 / 19</c:v>
                </c:pt>
                <c:pt idx="13">
                  <c:v>19 / 08 / 19</c:v>
                </c:pt>
                <c:pt idx="14">
                  <c:v>22 / 08 / 19</c:v>
                </c:pt>
                <c:pt idx="15">
                  <c:v>27 / 08 / 19</c:v>
                </c:pt>
                <c:pt idx="16">
                  <c:v>29 / 08 / 19</c:v>
                </c:pt>
                <c:pt idx="17">
                  <c:v>02 / 09 / 19</c:v>
                </c:pt>
                <c:pt idx="18">
                  <c:v>05 / 09 / 19</c:v>
                </c:pt>
                <c:pt idx="19">
                  <c:v>10 / 09 / 19</c:v>
                </c:pt>
                <c:pt idx="20">
                  <c:v>12 / 09 / 19</c:v>
                </c:pt>
                <c:pt idx="21">
                  <c:v>16 / 09 / 19</c:v>
                </c:pt>
                <c:pt idx="22">
                  <c:v>19 / 09 / 19</c:v>
                </c:pt>
                <c:pt idx="23">
                  <c:v>23 / 09 / 19</c:v>
                </c:pt>
                <c:pt idx="24">
                  <c:v>26 / 09 / 19</c:v>
                </c:pt>
                <c:pt idx="25">
                  <c:v>30 / 09 / 19</c:v>
                </c:pt>
                <c:pt idx="26">
                  <c:v>03 / 10 / 19</c:v>
                </c:pt>
                <c:pt idx="27">
                  <c:v>08 / 10 / 19</c:v>
                </c:pt>
                <c:pt idx="28">
                  <c:v>15 / 10 / 19</c:v>
                </c:pt>
                <c:pt idx="29">
                  <c:v>18 / 10 / 19</c:v>
                </c:pt>
                <c:pt idx="30">
                  <c:v>22 / 10 / 19</c:v>
                </c:pt>
                <c:pt idx="31">
                  <c:v>24 / 10 / 19</c:v>
                </c:pt>
                <c:pt idx="32">
                  <c:v>28 / 10 / 19</c:v>
                </c:pt>
                <c:pt idx="33">
                  <c:v>31 / 10 / 19</c:v>
                </c:pt>
                <c:pt idx="34">
                  <c:v>05 / 11 / 19</c:v>
                </c:pt>
                <c:pt idx="35">
                  <c:v>07 / 11 / 19</c:v>
                </c:pt>
                <c:pt idx="36">
                  <c:v>12 / 11 / 19</c:v>
                </c:pt>
                <c:pt idx="37">
                  <c:v>14 / 11 / 19</c:v>
                </c:pt>
                <c:pt idx="38">
                  <c:v>18 / 11 / 19</c:v>
                </c:pt>
                <c:pt idx="39">
                  <c:v>21 / 11 / 19</c:v>
                </c:pt>
                <c:pt idx="40">
                  <c:v>26 / 11 / 19</c:v>
                </c:pt>
                <c:pt idx="41">
                  <c:v>28 / 11 / 19</c:v>
                </c:pt>
                <c:pt idx="42">
                  <c:v>29 / 11 / 19</c:v>
                </c:pt>
                <c:pt idx="43">
                  <c:v>02 / 12 / 19</c:v>
                </c:pt>
                <c:pt idx="44">
                  <c:v>04 / 12 / 19</c:v>
                </c:pt>
                <c:pt idx="45">
                  <c:v>09 / 12 / 19</c:v>
                </c:pt>
                <c:pt idx="46">
                  <c:v>12 / 12 / 19</c:v>
                </c:pt>
                <c:pt idx="47">
                  <c:v>16 / 12 / 19</c:v>
                </c:pt>
                <c:pt idx="48">
                  <c:v>19 / 12 / 19</c:v>
                </c:pt>
                <c:pt idx="49">
                  <c:v>07 / 01 / 20</c:v>
                </c:pt>
                <c:pt idx="50">
                  <c:v>13 / 01 / 20</c:v>
                </c:pt>
                <c:pt idx="51">
                  <c:v>20 / 01 / 20</c:v>
                </c:pt>
                <c:pt idx="52">
                  <c:v>29 / 01 / 20</c:v>
                </c:pt>
                <c:pt idx="53">
                  <c:v>04 / 02 / 20</c:v>
                </c:pt>
                <c:pt idx="54">
                  <c:v>25 / 02 / 20</c:v>
                </c:pt>
                <c:pt idx="55">
                  <c:v>19 / 05 / 20</c:v>
                </c:pt>
                <c:pt idx="56">
                  <c:v>26 / 05 / 20</c:v>
                </c:pt>
                <c:pt idx="57">
                  <c:v>17 / 06 / 20</c:v>
                </c:pt>
                <c:pt idx="58">
                  <c:v>17 / 07 / 20</c:v>
                </c:pt>
                <c:pt idx="59">
                  <c:v>12 / 08 / 20</c:v>
                </c:pt>
                <c:pt idx="60">
                  <c:v>08 / 09 / 20</c:v>
                </c:pt>
                <c:pt idx="61">
                  <c:v>CHANGEMENT DE SYSTÈME DE COORDONNEES</c:v>
                </c:pt>
                <c:pt idx="62">
                  <c:v>08 / 09 / 20</c:v>
                </c:pt>
                <c:pt idx="63">
                  <c:v>passation andra</c:v>
                </c:pt>
                <c:pt idx="64">
                  <c:v>05 / 11 / 20</c:v>
                </c:pt>
                <c:pt idx="65">
                  <c:v>07 / 12 / 20</c:v>
                </c:pt>
                <c:pt idx="66">
                  <c:v>02 / 02 / 21</c:v>
                </c:pt>
                <c:pt idx="67">
                  <c:v>18 / 03 / 21</c:v>
                </c:pt>
                <c:pt idx="68">
                  <c:v>06 / 05 / 21</c:v>
                </c:pt>
                <c:pt idx="69">
                  <c:v>10 / 06 / 21</c:v>
                </c:pt>
                <c:pt idx="70">
                  <c:v>15 / 06 / 21</c:v>
                </c:pt>
                <c:pt idx="71">
                  <c:v>22 / 06 / 21</c:v>
                </c:pt>
                <c:pt idx="72">
                  <c:v>29 / 06 / 21</c:v>
                </c:pt>
                <c:pt idx="73">
                  <c:v>23 / 07 / 21</c:v>
                </c:pt>
                <c:pt idx="74">
                  <c:v>31 / 08 / 21</c:v>
                </c:pt>
                <c:pt idx="75">
                  <c:v>05 / 10 / 21</c:v>
                </c:pt>
                <c:pt idx="76">
                  <c:v>22 / 11 / 21</c:v>
                </c:pt>
                <c:pt idx="77">
                  <c:v>01 / 12 / 21</c:v>
                </c:pt>
                <c:pt idx="78">
                  <c:v>06 / 12 / 21</c:v>
                </c:pt>
                <c:pt idx="79">
                  <c:v>13 / 12 / 21</c:v>
                </c:pt>
                <c:pt idx="80">
                  <c:v>20 / 12 / 21</c:v>
                </c:pt>
                <c:pt idx="81">
                  <c:v>11 / 01 / 22</c:v>
                </c:pt>
                <c:pt idx="82">
                  <c:v>17 / 01 / 22</c:v>
                </c:pt>
                <c:pt idx="83">
                  <c:v>03 / 02 / 22</c:v>
                </c:pt>
                <c:pt idx="84">
                  <c:v>21 / 02 / 22</c:v>
                </c:pt>
                <c:pt idx="85">
                  <c:v>28 / 03 / 22</c:v>
                </c:pt>
                <c:pt idx="86">
                  <c:v>27 / 04 / 22</c:v>
                </c:pt>
                <c:pt idx="87">
                  <c:v>30 / 05 / 22</c:v>
                </c:pt>
                <c:pt idx="88">
                  <c:v>28 / 06 / 22</c:v>
                </c:pt>
              </c:strCache>
            </c:strRef>
          </c:xVal>
          <c:yVal>
            <c:numRef>
              <c:f>('Résultats observations'!$C$10:$C$18,'Résultats observations'!$C$20:$C$99)</c:f>
              <c:numCache>
                <c:formatCode>0.0</c:formatCode>
                <c:ptCount val="89"/>
                <c:pt idx="0">
                  <c:v>186.15</c:v>
                </c:pt>
                <c:pt idx="1">
                  <c:v>186.15</c:v>
                </c:pt>
                <c:pt idx="2">
                  <c:v>187.2</c:v>
                </c:pt>
                <c:pt idx="3">
                  <c:v>188.17</c:v>
                </c:pt>
                <c:pt idx="4">
                  <c:v>189.23</c:v>
                </c:pt>
                <c:pt idx="5">
                  <c:v>191.5</c:v>
                </c:pt>
                <c:pt idx="6">
                  <c:v>193.04</c:v>
                </c:pt>
                <c:pt idx="7">
                  <c:v>193.04</c:v>
                </c:pt>
                <c:pt idx="8">
                  <c:v>193.66</c:v>
                </c:pt>
                <c:pt idx="9">
                  <c:v>193.66</c:v>
                </c:pt>
                <c:pt idx="10">
                  <c:v>193.66</c:v>
                </c:pt>
                <c:pt idx="11">
                  <c:v>194.8</c:v>
                </c:pt>
                <c:pt idx="12">
                  <c:v>194.8</c:v>
                </c:pt>
                <c:pt idx="13">
                  <c:v>195.4</c:v>
                </c:pt>
                <c:pt idx="14">
                  <c:v>196.35</c:v>
                </c:pt>
                <c:pt idx="15">
                  <c:v>197.2</c:v>
                </c:pt>
                <c:pt idx="16">
                  <c:v>198.3</c:v>
                </c:pt>
                <c:pt idx="17">
                  <c:v>199.4</c:v>
                </c:pt>
                <c:pt idx="18">
                  <c:v>200.6</c:v>
                </c:pt>
                <c:pt idx="19">
                  <c:v>202.58</c:v>
                </c:pt>
                <c:pt idx="20">
                  <c:v>203.6</c:v>
                </c:pt>
                <c:pt idx="21">
                  <c:v>203.6</c:v>
                </c:pt>
                <c:pt idx="22">
                  <c:v>206.32</c:v>
                </c:pt>
                <c:pt idx="23">
                  <c:v>206.32</c:v>
                </c:pt>
                <c:pt idx="24">
                  <c:v>206.32</c:v>
                </c:pt>
                <c:pt idx="25">
                  <c:v>206.32</c:v>
                </c:pt>
                <c:pt idx="26">
                  <c:v>207.2</c:v>
                </c:pt>
                <c:pt idx="27">
                  <c:v>208.3</c:v>
                </c:pt>
                <c:pt idx="28">
                  <c:v>211.45</c:v>
                </c:pt>
                <c:pt idx="29">
                  <c:v>213.5</c:v>
                </c:pt>
                <c:pt idx="30">
                  <c:v>213.98</c:v>
                </c:pt>
                <c:pt idx="31">
                  <c:v>215</c:v>
                </c:pt>
                <c:pt idx="32">
                  <c:v>215.56</c:v>
                </c:pt>
                <c:pt idx="33">
                  <c:v>216.87</c:v>
                </c:pt>
                <c:pt idx="34">
                  <c:v>217.87</c:v>
                </c:pt>
                <c:pt idx="35">
                  <c:v>218.9</c:v>
                </c:pt>
                <c:pt idx="36">
                  <c:v>218.9</c:v>
                </c:pt>
                <c:pt idx="37">
                  <c:v>220.5</c:v>
                </c:pt>
                <c:pt idx="38">
                  <c:v>221.7</c:v>
                </c:pt>
                <c:pt idx="39">
                  <c:v>222.9</c:v>
                </c:pt>
                <c:pt idx="40">
                  <c:v>222.9</c:v>
                </c:pt>
                <c:pt idx="41">
                  <c:v>222.9</c:v>
                </c:pt>
                <c:pt idx="42">
                  <c:v>222.9</c:v>
                </c:pt>
                <c:pt idx="43">
                  <c:v>222.9</c:v>
                </c:pt>
                <c:pt idx="44">
                  <c:v>222.9</c:v>
                </c:pt>
                <c:pt idx="45">
                  <c:v>222.9</c:v>
                </c:pt>
                <c:pt idx="46">
                  <c:v>222.9</c:v>
                </c:pt>
                <c:pt idx="47">
                  <c:v>222.9</c:v>
                </c:pt>
                <c:pt idx="48">
                  <c:v>222.9</c:v>
                </c:pt>
                <c:pt idx="49">
                  <c:v>222.9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222.9</c:v>
                </c:pt>
                <c:pt idx="60">
                  <c:v>222.9</c:v>
                </c:pt>
                <c:pt idx="62">
                  <c:v>222.9</c:v>
                </c:pt>
                <c:pt idx="64">
                  <c:v>222.9</c:v>
                </c:pt>
                <c:pt idx="65">
                  <c:v>222.9</c:v>
                </c:pt>
                <c:pt idx="66">
                  <c:v>222.9</c:v>
                </c:pt>
                <c:pt idx="67">
                  <c:v>222.9</c:v>
                </c:pt>
                <c:pt idx="68">
                  <c:v>222.9</c:v>
                </c:pt>
                <c:pt idx="69">
                  <c:v>222.9</c:v>
                </c:pt>
                <c:pt idx="70">
                  <c:v>222.9</c:v>
                </c:pt>
                <c:pt idx="71">
                  <c:v>222.9</c:v>
                </c:pt>
                <c:pt idx="72">
                  <c:v>222.9</c:v>
                </c:pt>
                <c:pt idx="73">
                  <c:v>222.9</c:v>
                </c:pt>
                <c:pt idx="74">
                  <c:v>222.9</c:v>
                </c:pt>
                <c:pt idx="75">
                  <c:v>222.9</c:v>
                </c:pt>
                <c:pt idx="76">
                  <c:v>222.9</c:v>
                </c:pt>
                <c:pt idx="77">
                  <c:v>222.9</c:v>
                </c:pt>
                <c:pt idx="78">
                  <c:v>222.9</c:v>
                </c:pt>
                <c:pt idx="79">
                  <c:v>222.9</c:v>
                </c:pt>
                <c:pt idx="80">
                  <c:v>222.9</c:v>
                </c:pt>
                <c:pt idx="81">
                  <c:v>222.9</c:v>
                </c:pt>
                <c:pt idx="82">
                  <c:v>222.9</c:v>
                </c:pt>
                <c:pt idx="83">
                  <c:v>222.9</c:v>
                </c:pt>
                <c:pt idx="84">
                  <c:v>222.9</c:v>
                </c:pt>
                <c:pt idx="85">
                  <c:v>222.9</c:v>
                </c:pt>
                <c:pt idx="86">
                  <c:v>222.9</c:v>
                </c:pt>
                <c:pt idx="87">
                  <c:v>222.9</c:v>
                </c:pt>
                <c:pt idx="88">
                  <c:v>222.9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6CA-4BFA-B5AB-BE48E379AAC6}"/>
            </c:ext>
          </c:extLst>
        </c:ser>
        <c:ser>
          <c:idx val="7"/>
          <c:order val="8"/>
          <c:tx>
            <c:strRef>
              <c:f>Graphiques!$AB$36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xVal>
            <c:numRef>
              <c:f>Graphiques!$AD$37:$AD$71</c:f>
              <c:numCache>
                <c:formatCode>m/d/yyyy</c:formatCode>
                <c:ptCount val="35"/>
              </c:numCache>
            </c:numRef>
          </c:xVal>
          <c:yVal>
            <c:numRef>
              <c:f>Graphiques!$AE$37:$AE$71</c:f>
              <c:numCache>
                <c:formatCode>General</c:formatCode>
                <c:ptCount val="3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6CA-4BFA-B5AB-BE48E379A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514608"/>
        <c:axId val="604514216"/>
      </c:scatterChart>
      <c:valAx>
        <c:axId val="604513432"/>
        <c:scaling>
          <c:orientation val="minMax"/>
          <c:max val="45043"/>
          <c:min val="4365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  <a:endParaRPr lang="fr-FR"/>
              </a:p>
            </c:rich>
          </c:tx>
          <c:layout>
            <c:manualLayout>
              <c:xMode val="edge"/>
              <c:yMode val="edge"/>
              <c:x val="0.88542330759379761"/>
              <c:y val="0.849264146035799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dd\ /\ mm\ /\ yy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513824"/>
        <c:crossesAt val="0"/>
        <c:crossBetween val="midCat"/>
        <c:majorUnit val="30"/>
      </c:valAx>
      <c:valAx>
        <c:axId val="604513824"/>
        <c:scaling>
          <c:orientation val="minMax"/>
          <c:max val="40"/>
          <c:min val="-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Déplacement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\+\ 0.0;\-\ 0.0;\±\ 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513432"/>
        <c:crosses val="autoZero"/>
        <c:crossBetween val="midCat"/>
        <c:majorUnit val="10"/>
        <c:minorUnit val="2"/>
      </c:valAx>
      <c:valAx>
        <c:axId val="604514216"/>
        <c:scaling>
          <c:orientation val="minMax"/>
          <c:max val="225"/>
          <c:min val="185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PM Front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514608"/>
        <c:crosses val="max"/>
        <c:crossBetween val="midCat"/>
      </c:valAx>
      <c:valAx>
        <c:axId val="604514608"/>
        <c:scaling>
          <c:orientation val="minMax"/>
        </c:scaling>
        <c:delete val="0"/>
        <c:axPos val="b"/>
        <c:numFmt formatCode="dd\ /\ mm\ /\ yy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5142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8"/>
        <c:delete val="1"/>
      </c:legendEntry>
      <c:layout>
        <c:manualLayout>
          <c:xMode val="edge"/>
          <c:yMode val="edge"/>
          <c:x val="0.21614093207695165"/>
          <c:y val="0.64902851177564813"/>
          <c:w val="0.64018972304129584"/>
          <c:h val="9.99460467336311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 alignWithMargins="0"/>
    <c:pageMargins b="0.98425196899999956" l="0.78740157499999996" r="0.78740157499999996" t="0.98425196899999956" header="0.4921259845000045" footer="0.492125984500004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Déplacement en déport</a:t>
            </a:r>
          </a:p>
        </c:rich>
      </c:tx>
      <c:layout>
        <c:manualLayout>
          <c:xMode val="edge"/>
          <c:yMode val="edge"/>
          <c:x val="0.38461156123600965"/>
          <c:y val="9.331536260670172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2477892510627204E-2"/>
          <c:y val="5.4611383036579891E-2"/>
          <c:w val="0.82723288802382844"/>
          <c:h val="0.74389893830839937"/>
        </c:manualLayout>
      </c:layout>
      <c:scatterChart>
        <c:scatterStyle val="lineMarker"/>
        <c:varyColors val="0"/>
        <c:ser>
          <c:idx val="0"/>
          <c:order val="0"/>
          <c:tx>
            <c:strRef>
              <c:f>Déplacements!$D$9</c:f>
              <c:strCache>
                <c:ptCount val="1"/>
                <c:pt idx="0">
                  <c:v>DH bas gauche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Déplacements!$B$10:$B$132</c:f>
              <c:numCache>
                <c:formatCode>dd\ /\ mm\ /\ yy</c:formatCode>
                <c:ptCount val="123"/>
                <c:pt idx="0">
                  <c:v>43658</c:v>
                </c:pt>
                <c:pt idx="1">
                  <c:v>43661</c:v>
                </c:pt>
                <c:pt idx="2">
                  <c:v>43662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11">
                  <c:v>43685</c:v>
                </c:pt>
                <c:pt idx="12">
                  <c:v>43689</c:v>
                </c:pt>
                <c:pt idx="13">
                  <c:v>43690</c:v>
                </c:pt>
                <c:pt idx="14">
                  <c:v>43696</c:v>
                </c:pt>
                <c:pt idx="15">
                  <c:v>43699</c:v>
                </c:pt>
                <c:pt idx="16">
                  <c:v>43704</c:v>
                </c:pt>
                <c:pt idx="17">
                  <c:v>43706</c:v>
                </c:pt>
                <c:pt idx="18">
                  <c:v>43710</c:v>
                </c:pt>
                <c:pt idx="19">
                  <c:v>43713</c:v>
                </c:pt>
                <c:pt idx="20">
                  <c:v>43718</c:v>
                </c:pt>
                <c:pt idx="21">
                  <c:v>43720</c:v>
                </c:pt>
                <c:pt idx="22">
                  <c:v>43724</c:v>
                </c:pt>
                <c:pt idx="23">
                  <c:v>43727</c:v>
                </c:pt>
                <c:pt idx="24">
                  <c:v>43731</c:v>
                </c:pt>
                <c:pt idx="25">
                  <c:v>43734</c:v>
                </c:pt>
                <c:pt idx="26">
                  <c:v>43738</c:v>
                </c:pt>
                <c:pt idx="27">
                  <c:v>43741</c:v>
                </c:pt>
                <c:pt idx="28">
                  <c:v>43746</c:v>
                </c:pt>
                <c:pt idx="29">
                  <c:v>43753</c:v>
                </c:pt>
                <c:pt idx="30">
                  <c:v>43756</c:v>
                </c:pt>
                <c:pt idx="31">
                  <c:v>43760</c:v>
                </c:pt>
                <c:pt idx="32">
                  <c:v>43762</c:v>
                </c:pt>
                <c:pt idx="33">
                  <c:v>43766</c:v>
                </c:pt>
                <c:pt idx="34">
                  <c:v>43769</c:v>
                </c:pt>
                <c:pt idx="35">
                  <c:v>43774</c:v>
                </c:pt>
                <c:pt idx="36">
                  <c:v>43776</c:v>
                </c:pt>
                <c:pt idx="37">
                  <c:v>43781</c:v>
                </c:pt>
                <c:pt idx="38">
                  <c:v>43783</c:v>
                </c:pt>
                <c:pt idx="39">
                  <c:v>43787</c:v>
                </c:pt>
                <c:pt idx="40">
                  <c:v>43790</c:v>
                </c:pt>
                <c:pt idx="41">
                  <c:v>43795</c:v>
                </c:pt>
                <c:pt idx="42">
                  <c:v>43797</c:v>
                </c:pt>
                <c:pt idx="43">
                  <c:v>43798</c:v>
                </c:pt>
                <c:pt idx="44">
                  <c:v>43801</c:v>
                </c:pt>
                <c:pt idx="45">
                  <c:v>43803</c:v>
                </c:pt>
                <c:pt idx="46">
                  <c:v>43808</c:v>
                </c:pt>
                <c:pt idx="47">
                  <c:v>43811</c:v>
                </c:pt>
                <c:pt idx="48">
                  <c:v>43815</c:v>
                </c:pt>
                <c:pt idx="49">
                  <c:v>43818</c:v>
                </c:pt>
                <c:pt idx="50">
                  <c:v>43837</c:v>
                </c:pt>
                <c:pt idx="51">
                  <c:v>43843</c:v>
                </c:pt>
                <c:pt idx="52">
                  <c:v>43850</c:v>
                </c:pt>
                <c:pt idx="53">
                  <c:v>43859</c:v>
                </c:pt>
                <c:pt idx="54">
                  <c:v>43865</c:v>
                </c:pt>
                <c:pt idx="55">
                  <c:v>43886</c:v>
                </c:pt>
                <c:pt idx="56">
                  <c:v>43970</c:v>
                </c:pt>
                <c:pt idx="57">
                  <c:v>43977</c:v>
                </c:pt>
                <c:pt idx="58">
                  <c:v>43999</c:v>
                </c:pt>
                <c:pt idx="59">
                  <c:v>44029</c:v>
                </c:pt>
                <c:pt idx="61">
                  <c:v>44082</c:v>
                </c:pt>
                <c:pt idx="63">
                  <c:v>44082</c:v>
                </c:pt>
                <c:pt idx="65">
                  <c:v>44140</c:v>
                </c:pt>
                <c:pt idx="66">
                  <c:v>44172</c:v>
                </c:pt>
                <c:pt idx="67">
                  <c:v>44229</c:v>
                </c:pt>
                <c:pt idx="69">
                  <c:v>44322</c:v>
                </c:pt>
                <c:pt idx="70">
                  <c:v>44357</c:v>
                </c:pt>
                <c:pt idx="71">
                  <c:v>44362</c:v>
                </c:pt>
                <c:pt idx="72">
                  <c:v>44369</c:v>
                </c:pt>
                <c:pt idx="73">
                  <c:v>44376</c:v>
                </c:pt>
                <c:pt idx="74">
                  <c:v>44400</c:v>
                </c:pt>
                <c:pt idx="75">
                  <c:v>44439</c:v>
                </c:pt>
                <c:pt idx="76">
                  <c:v>44474</c:v>
                </c:pt>
                <c:pt idx="77">
                  <c:v>44522</c:v>
                </c:pt>
                <c:pt idx="78">
                  <c:v>44531</c:v>
                </c:pt>
                <c:pt idx="79">
                  <c:v>44536</c:v>
                </c:pt>
                <c:pt idx="80">
                  <c:v>44543</c:v>
                </c:pt>
                <c:pt idx="81">
                  <c:v>44550</c:v>
                </c:pt>
                <c:pt idx="82">
                  <c:v>44572</c:v>
                </c:pt>
                <c:pt idx="83">
                  <c:v>44578</c:v>
                </c:pt>
                <c:pt idx="84">
                  <c:v>44595</c:v>
                </c:pt>
                <c:pt idx="85">
                  <c:v>44613</c:v>
                </c:pt>
                <c:pt idx="86">
                  <c:v>44648</c:v>
                </c:pt>
                <c:pt idx="87">
                  <c:v>44678</c:v>
                </c:pt>
                <c:pt idx="88">
                  <c:v>44711</c:v>
                </c:pt>
                <c:pt idx="89">
                  <c:v>44740</c:v>
                </c:pt>
                <c:pt idx="90">
                  <c:v>44767</c:v>
                </c:pt>
                <c:pt idx="91">
                  <c:v>44902</c:v>
                </c:pt>
                <c:pt idx="92">
                  <c:v>44915</c:v>
                </c:pt>
                <c:pt idx="93">
                  <c:v>44930</c:v>
                </c:pt>
                <c:pt idx="94">
                  <c:v>44945</c:v>
                </c:pt>
                <c:pt idx="95">
                  <c:v>44957</c:v>
                </c:pt>
                <c:pt idx="96">
                  <c:v>44988</c:v>
                </c:pt>
                <c:pt idx="97">
                  <c:v>45013</c:v>
                </c:pt>
              </c:numCache>
            </c:numRef>
          </c:xVal>
          <c:yVal>
            <c:numRef>
              <c:f>Déplacements!$D$10:$D$132</c:f>
              <c:numCache>
                <c:formatCode>\+\ 0.0;\-\ 0.0;\±\ 0.0</c:formatCode>
                <c:ptCount val="123"/>
                <c:pt idx="0">
                  <c:v>0</c:v>
                </c:pt>
                <c:pt idx="1">
                  <c:v>6.5807869110479089E-2</c:v>
                </c:pt>
                <c:pt idx="2">
                  <c:v>-0.15161718834288962</c:v>
                </c:pt>
                <c:pt idx="3">
                  <c:v>2.9472193941697533</c:v>
                </c:pt>
                <c:pt idx="4">
                  <c:v>4.2103559639743438</c:v>
                </c:pt>
                <c:pt idx="5">
                  <c:v>4.3920406680597601</c:v>
                </c:pt>
                <c:pt idx="6">
                  <c:v>-2.3136680317925595</c:v>
                </c:pt>
                <c:pt idx="7">
                  <c:v>-1.6731644477396834</c:v>
                </c:pt>
                <c:pt idx="8">
                  <c:v>-0.17236603179249244</c:v>
                </c:pt>
                <c:pt idx="11">
                  <c:v>0.52763396820765252</c:v>
                </c:pt>
                <c:pt idx="12">
                  <c:v>-0.75707618413467515</c:v>
                </c:pt>
                <c:pt idx="13">
                  <c:v>-0.99279703179222523</c:v>
                </c:pt>
                <c:pt idx="14">
                  <c:v>-0.17236603179249244</c:v>
                </c:pt>
                <c:pt idx="15">
                  <c:v>0.22763396820746351</c:v>
                </c:pt>
                <c:pt idx="16">
                  <c:v>1.5744615462311984</c:v>
                </c:pt>
                <c:pt idx="17">
                  <c:v>0.82763396820739743</c:v>
                </c:pt>
                <c:pt idx="18">
                  <c:v>1.2276339682073534</c:v>
                </c:pt>
                <c:pt idx="19">
                  <c:v>2.8276339682076213</c:v>
                </c:pt>
                <c:pt idx="20">
                  <c:v>-0.17236603179249244</c:v>
                </c:pt>
                <c:pt idx="21">
                  <c:v>1.8276339682077314</c:v>
                </c:pt>
                <c:pt idx="22">
                  <c:v>2.1276339682074763</c:v>
                </c:pt>
                <c:pt idx="23">
                  <c:v>1.4276339682077754</c:v>
                </c:pt>
                <c:pt idx="24">
                  <c:v>0.52763396820765252</c:v>
                </c:pt>
                <c:pt idx="25">
                  <c:v>1.6276339682077534</c:v>
                </c:pt>
                <c:pt idx="26">
                  <c:v>1.7276339682075204</c:v>
                </c:pt>
                <c:pt idx="27">
                  <c:v>1.8276339682077314</c:v>
                </c:pt>
                <c:pt idx="28">
                  <c:v>-1.3914808069128703</c:v>
                </c:pt>
                <c:pt idx="29">
                  <c:v>1.9140258206240546</c:v>
                </c:pt>
                <c:pt idx="30">
                  <c:v>2.4262908044399012</c:v>
                </c:pt>
                <c:pt idx="31">
                  <c:v>2.0637739675453126</c:v>
                </c:pt>
                <c:pt idx="33">
                  <c:v>-0.18975860382397514</c:v>
                </c:pt>
                <c:pt idx="34">
                  <c:v>3.6402102973536188</c:v>
                </c:pt>
                <c:pt idx="35">
                  <c:v>0.16098712330769871</c:v>
                </c:pt>
                <c:pt idx="36">
                  <c:v>3.8276339682075111</c:v>
                </c:pt>
                <c:pt idx="37">
                  <c:v>1.1276339682075864</c:v>
                </c:pt>
                <c:pt idx="38">
                  <c:v>1.1276339682075864</c:v>
                </c:pt>
                <c:pt idx="39">
                  <c:v>1.2276339682073534</c:v>
                </c:pt>
                <c:pt idx="40">
                  <c:v>1.2276339682073534</c:v>
                </c:pt>
                <c:pt idx="41">
                  <c:v>2.0276339682077094</c:v>
                </c:pt>
                <c:pt idx="42">
                  <c:v>3.6276339682075331</c:v>
                </c:pt>
                <c:pt idx="43">
                  <c:v>1.3090990073783004</c:v>
                </c:pt>
                <c:pt idx="44">
                  <c:v>2.3276339682074543</c:v>
                </c:pt>
                <c:pt idx="45">
                  <c:v>2.4276339682076653</c:v>
                </c:pt>
                <c:pt idx="46">
                  <c:v>2.5276339682074322</c:v>
                </c:pt>
                <c:pt idx="47">
                  <c:v>1.2276339682073534</c:v>
                </c:pt>
                <c:pt idx="48">
                  <c:v>1.5276339682075424</c:v>
                </c:pt>
                <c:pt idx="49">
                  <c:v>5.027633968207379</c:v>
                </c:pt>
                <c:pt idx="50">
                  <c:v>2.0276339682077094</c:v>
                </c:pt>
                <c:pt idx="51">
                  <c:v>1.6276339682077534</c:v>
                </c:pt>
                <c:pt idx="52">
                  <c:v>2.1276339682074763</c:v>
                </c:pt>
                <c:pt idx="53">
                  <c:v>2.2276339682076873</c:v>
                </c:pt>
                <c:pt idx="54">
                  <c:v>3.4276339682075552</c:v>
                </c:pt>
                <c:pt idx="55">
                  <c:v>0.42763396820744148</c:v>
                </c:pt>
                <c:pt idx="56">
                  <c:v>1.0276339682073754</c:v>
                </c:pt>
                <c:pt idx="57">
                  <c:v>2.0276339682077094</c:v>
                </c:pt>
                <c:pt idx="58">
                  <c:v>2.8249739637660198</c:v>
                </c:pt>
                <c:pt idx="59">
                  <c:v>2.6676843106514525</c:v>
                </c:pt>
                <c:pt idx="61">
                  <c:v>1.834151571051823</c:v>
                </c:pt>
                <c:pt idx="63">
                  <c:v>1.834151571051823</c:v>
                </c:pt>
                <c:pt idx="69">
                  <c:v>2.9595052153816859</c:v>
                </c:pt>
                <c:pt idx="70">
                  <c:v>3.4910828643330838</c:v>
                </c:pt>
                <c:pt idx="71">
                  <c:v>4.1799502156125712</c:v>
                </c:pt>
                <c:pt idx="72">
                  <c:v>3.6666689234774452</c:v>
                </c:pt>
                <c:pt idx="73">
                  <c:v>4.5245970868110774</c:v>
                </c:pt>
                <c:pt idx="74">
                  <c:v>4.3372398687329117</c:v>
                </c:pt>
                <c:pt idx="75">
                  <c:v>4.7903857566056196</c:v>
                </c:pt>
                <c:pt idx="76">
                  <c:v>5.5093205744172202</c:v>
                </c:pt>
                <c:pt idx="77">
                  <c:v>4.7001831459794197</c:v>
                </c:pt>
                <c:pt idx="78">
                  <c:v>3.9267853886530979</c:v>
                </c:pt>
                <c:pt idx="79">
                  <c:v>3.3468437053341127</c:v>
                </c:pt>
                <c:pt idx="80">
                  <c:v>3.038789758765148</c:v>
                </c:pt>
                <c:pt idx="81">
                  <c:v>2.0361960452910388</c:v>
                </c:pt>
                <c:pt idx="82">
                  <c:v>4.0296121514935557</c:v>
                </c:pt>
                <c:pt idx="83">
                  <c:v>4.6818865289424139</c:v>
                </c:pt>
                <c:pt idx="84">
                  <c:v>4.1320125231756322</c:v>
                </c:pt>
                <c:pt idx="85">
                  <c:v>3.8243850169767946</c:v>
                </c:pt>
                <c:pt idx="86">
                  <c:v>3.7577245765980649</c:v>
                </c:pt>
                <c:pt idx="87">
                  <c:v>3.5041333584713286</c:v>
                </c:pt>
                <c:pt idx="88">
                  <c:v>4.6757878840271161</c:v>
                </c:pt>
                <c:pt idx="89">
                  <c:v>3.7577245765980649</c:v>
                </c:pt>
                <c:pt idx="90">
                  <c:v>4.5086177528697036</c:v>
                </c:pt>
                <c:pt idx="91">
                  <c:v>4.2287406411301021</c:v>
                </c:pt>
                <c:pt idx="92">
                  <c:v>4.5128257168656205</c:v>
                </c:pt>
                <c:pt idx="93">
                  <c:v>4.6579179183448005</c:v>
                </c:pt>
                <c:pt idx="94">
                  <c:v>4.6518190624267319</c:v>
                </c:pt>
                <c:pt idx="95">
                  <c:v>3.9450817454729226</c:v>
                </c:pt>
                <c:pt idx="96">
                  <c:v>4.5733875123183942</c:v>
                </c:pt>
                <c:pt idx="97">
                  <c:v>4.5733875123183942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02-481E-A4B3-FBC4E5761E36}"/>
            </c:ext>
          </c:extLst>
        </c:ser>
        <c:ser>
          <c:idx val="5"/>
          <c:order val="1"/>
          <c:tx>
            <c:strRef>
              <c:f>Déplacements!$G$9</c:f>
              <c:strCache>
                <c:ptCount val="1"/>
                <c:pt idx="0">
                  <c:v>DH inter gauche</c:v>
                </c:pt>
              </c:strCache>
            </c:strRef>
          </c:tx>
          <c:spPr>
            <a:ln w="15875" cap="rnd">
              <a:solidFill>
                <a:schemeClr val="accent6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tint val="50000"/>
                      <a:satMod val="300000"/>
                    </a:schemeClr>
                  </a:gs>
                  <a:gs pos="35000">
                    <a:schemeClr val="accent6">
                      <a:tint val="37000"/>
                      <a:satMod val="300000"/>
                    </a:schemeClr>
                  </a:gs>
                  <a:gs pos="100000">
                    <a:schemeClr val="accent6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Déplacements!$B$10:$B$132</c:f>
              <c:numCache>
                <c:formatCode>dd\ /\ mm\ /\ yy</c:formatCode>
                <c:ptCount val="123"/>
                <c:pt idx="0">
                  <c:v>43658</c:v>
                </c:pt>
                <c:pt idx="1">
                  <c:v>43661</c:v>
                </c:pt>
                <c:pt idx="2">
                  <c:v>43662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11">
                  <c:v>43685</c:v>
                </c:pt>
                <c:pt idx="12">
                  <c:v>43689</c:v>
                </c:pt>
                <c:pt idx="13">
                  <c:v>43690</c:v>
                </c:pt>
                <c:pt idx="14">
                  <c:v>43696</c:v>
                </c:pt>
                <c:pt idx="15">
                  <c:v>43699</c:v>
                </c:pt>
                <c:pt idx="16">
                  <c:v>43704</c:v>
                </c:pt>
                <c:pt idx="17">
                  <c:v>43706</c:v>
                </c:pt>
                <c:pt idx="18">
                  <c:v>43710</c:v>
                </c:pt>
                <c:pt idx="19">
                  <c:v>43713</c:v>
                </c:pt>
                <c:pt idx="20">
                  <c:v>43718</c:v>
                </c:pt>
                <c:pt idx="21">
                  <c:v>43720</c:v>
                </c:pt>
                <c:pt idx="22">
                  <c:v>43724</c:v>
                </c:pt>
                <c:pt idx="23">
                  <c:v>43727</c:v>
                </c:pt>
                <c:pt idx="24">
                  <c:v>43731</c:v>
                </c:pt>
                <c:pt idx="25">
                  <c:v>43734</c:v>
                </c:pt>
                <c:pt idx="26">
                  <c:v>43738</c:v>
                </c:pt>
                <c:pt idx="27">
                  <c:v>43741</c:v>
                </c:pt>
                <c:pt idx="28">
                  <c:v>43746</c:v>
                </c:pt>
                <c:pt idx="29">
                  <c:v>43753</c:v>
                </c:pt>
                <c:pt idx="30">
                  <c:v>43756</c:v>
                </c:pt>
                <c:pt idx="31">
                  <c:v>43760</c:v>
                </c:pt>
                <c:pt idx="32">
                  <c:v>43762</c:v>
                </c:pt>
                <c:pt idx="33">
                  <c:v>43766</c:v>
                </c:pt>
                <c:pt idx="34">
                  <c:v>43769</c:v>
                </c:pt>
                <c:pt idx="35">
                  <c:v>43774</c:v>
                </c:pt>
                <c:pt idx="36">
                  <c:v>43776</c:v>
                </c:pt>
                <c:pt idx="37">
                  <c:v>43781</c:v>
                </c:pt>
                <c:pt idx="38">
                  <c:v>43783</c:v>
                </c:pt>
                <c:pt idx="39">
                  <c:v>43787</c:v>
                </c:pt>
                <c:pt idx="40">
                  <c:v>43790</c:v>
                </c:pt>
                <c:pt idx="41">
                  <c:v>43795</c:v>
                </c:pt>
                <c:pt idx="42">
                  <c:v>43797</c:v>
                </c:pt>
                <c:pt idx="43">
                  <c:v>43798</c:v>
                </c:pt>
                <c:pt idx="44">
                  <c:v>43801</c:v>
                </c:pt>
                <c:pt idx="45">
                  <c:v>43803</c:v>
                </c:pt>
                <c:pt idx="46">
                  <c:v>43808</c:v>
                </c:pt>
                <c:pt idx="47">
                  <c:v>43811</c:v>
                </c:pt>
                <c:pt idx="48">
                  <c:v>43815</c:v>
                </c:pt>
                <c:pt idx="49">
                  <c:v>43818</c:v>
                </c:pt>
                <c:pt idx="50">
                  <c:v>43837</c:v>
                </c:pt>
                <c:pt idx="51">
                  <c:v>43843</c:v>
                </c:pt>
                <c:pt idx="52">
                  <c:v>43850</c:v>
                </c:pt>
                <c:pt idx="53">
                  <c:v>43859</c:v>
                </c:pt>
                <c:pt idx="54">
                  <c:v>43865</c:v>
                </c:pt>
                <c:pt idx="55">
                  <c:v>43886</c:v>
                </c:pt>
                <c:pt idx="56">
                  <c:v>43970</c:v>
                </c:pt>
                <c:pt idx="57">
                  <c:v>43977</c:v>
                </c:pt>
                <c:pt idx="58">
                  <c:v>43999</c:v>
                </c:pt>
                <c:pt idx="59">
                  <c:v>44029</c:v>
                </c:pt>
                <c:pt idx="61">
                  <c:v>44082</c:v>
                </c:pt>
                <c:pt idx="63">
                  <c:v>44082</c:v>
                </c:pt>
                <c:pt idx="65">
                  <c:v>44140</c:v>
                </c:pt>
                <c:pt idx="66">
                  <c:v>44172</c:v>
                </c:pt>
                <c:pt idx="67">
                  <c:v>44229</c:v>
                </c:pt>
                <c:pt idx="69">
                  <c:v>44322</c:v>
                </c:pt>
                <c:pt idx="70">
                  <c:v>44357</c:v>
                </c:pt>
                <c:pt idx="71">
                  <c:v>44362</c:v>
                </c:pt>
                <c:pt idx="72">
                  <c:v>44369</c:v>
                </c:pt>
                <c:pt idx="73">
                  <c:v>44376</c:v>
                </c:pt>
                <c:pt idx="74">
                  <c:v>44400</c:v>
                </c:pt>
                <c:pt idx="75">
                  <c:v>44439</c:v>
                </c:pt>
                <c:pt idx="76">
                  <c:v>44474</c:v>
                </c:pt>
                <c:pt idx="77">
                  <c:v>44522</c:v>
                </c:pt>
                <c:pt idx="78">
                  <c:v>44531</c:v>
                </c:pt>
                <c:pt idx="79">
                  <c:v>44536</c:v>
                </c:pt>
                <c:pt idx="80">
                  <c:v>44543</c:v>
                </c:pt>
                <c:pt idx="81">
                  <c:v>44550</c:v>
                </c:pt>
                <c:pt idx="82">
                  <c:v>44572</c:v>
                </c:pt>
                <c:pt idx="83">
                  <c:v>44578</c:v>
                </c:pt>
                <c:pt idx="84">
                  <c:v>44595</c:v>
                </c:pt>
                <c:pt idx="85">
                  <c:v>44613</c:v>
                </c:pt>
                <c:pt idx="86">
                  <c:v>44648</c:v>
                </c:pt>
                <c:pt idx="87">
                  <c:v>44678</c:v>
                </c:pt>
                <c:pt idx="88">
                  <c:v>44711</c:v>
                </c:pt>
                <c:pt idx="89">
                  <c:v>44740</c:v>
                </c:pt>
                <c:pt idx="90">
                  <c:v>44767</c:v>
                </c:pt>
                <c:pt idx="91">
                  <c:v>44902</c:v>
                </c:pt>
                <c:pt idx="92">
                  <c:v>44915</c:v>
                </c:pt>
                <c:pt idx="93">
                  <c:v>44930</c:v>
                </c:pt>
                <c:pt idx="94">
                  <c:v>44945</c:v>
                </c:pt>
                <c:pt idx="95">
                  <c:v>44957</c:v>
                </c:pt>
                <c:pt idx="96">
                  <c:v>44988</c:v>
                </c:pt>
                <c:pt idx="97">
                  <c:v>45013</c:v>
                </c:pt>
              </c:numCache>
            </c:numRef>
          </c:xVal>
          <c:yVal>
            <c:numRef>
              <c:f>Déplacements!$G$10:$G$111</c:f>
              <c:numCache>
                <c:formatCode>\+\ 0.0;\-\ 0.0;\±\ 0.0</c:formatCode>
                <c:ptCount val="102"/>
                <c:pt idx="0">
                  <c:v>0</c:v>
                </c:pt>
                <c:pt idx="1">
                  <c:v>0.85750172299592364</c:v>
                </c:pt>
                <c:pt idx="2">
                  <c:v>-1.8722797157533222E-2</c:v>
                </c:pt>
                <c:pt idx="3">
                  <c:v>3.3158350377728851</c:v>
                </c:pt>
                <c:pt idx="4">
                  <c:v>4.5245087172842702</c:v>
                </c:pt>
                <c:pt idx="5">
                  <c:v>4.5188362524744008</c:v>
                </c:pt>
                <c:pt idx="6">
                  <c:v>-1.9694473930993439</c:v>
                </c:pt>
                <c:pt idx="7">
                  <c:v>-1.3651103393583774</c:v>
                </c:pt>
                <c:pt idx="8">
                  <c:v>-2.2486393099541147E-2</c:v>
                </c:pt>
                <c:pt idx="11">
                  <c:v>0.87751360690058178</c:v>
                </c:pt>
                <c:pt idx="12">
                  <c:v>-0.37329214844694647</c:v>
                </c:pt>
                <c:pt idx="13">
                  <c:v>-0.69354339309946056</c:v>
                </c:pt>
                <c:pt idx="14">
                  <c:v>0.17751360690043683</c:v>
                </c:pt>
                <c:pt idx="15">
                  <c:v>0.47751360690062583</c:v>
                </c:pt>
                <c:pt idx="16">
                  <c:v>1.8375488041830756</c:v>
                </c:pt>
                <c:pt idx="17">
                  <c:v>0.97751360690079281</c:v>
                </c:pt>
                <c:pt idx="18">
                  <c:v>1.3775136069007488</c:v>
                </c:pt>
                <c:pt idx="19">
                  <c:v>3.2775136069007615</c:v>
                </c:pt>
                <c:pt idx="20">
                  <c:v>-2.2486393099541147E-2</c:v>
                </c:pt>
                <c:pt idx="21">
                  <c:v>1.9775136069006827</c:v>
                </c:pt>
                <c:pt idx="22">
                  <c:v>2.2775136069004276</c:v>
                </c:pt>
                <c:pt idx="23">
                  <c:v>1.4775136069005157</c:v>
                </c:pt>
                <c:pt idx="24">
                  <c:v>0.77751360690081484</c:v>
                </c:pt>
                <c:pt idx="25">
                  <c:v>1.7775136069007047</c:v>
                </c:pt>
                <c:pt idx="26">
                  <c:v>2.0775136069004496</c:v>
                </c:pt>
                <c:pt idx="27">
                  <c:v>2.0775136069004496</c:v>
                </c:pt>
                <c:pt idx="28">
                  <c:v>-1.1253439908740503</c:v>
                </c:pt>
                <c:pt idx="29">
                  <c:v>2.0873587096326141</c:v>
                </c:pt>
                <c:pt idx="30">
                  <c:v>2.7316430789730006</c:v>
                </c:pt>
                <c:pt idx="31">
                  <c:v>2.1456027015438472</c:v>
                </c:pt>
                <c:pt idx="33">
                  <c:v>-0.1985589208057803</c:v>
                </c:pt>
                <c:pt idx="34">
                  <c:v>3.715940386428418</c:v>
                </c:pt>
                <c:pt idx="35">
                  <c:v>0.18225432210883241</c:v>
                </c:pt>
                <c:pt idx="36">
                  <c:v>3.9775136069004624</c:v>
                </c:pt>
                <c:pt idx="37">
                  <c:v>1.3775136069007488</c:v>
                </c:pt>
                <c:pt idx="38">
                  <c:v>1.2775136069005377</c:v>
                </c:pt>
                <c:pt idx="39">
                  <c:v>1.1775136069007708</c:v>
                </c:pt>
                <c:pt idx="40">
                  <c:v>1.2775136069005377</c:v>
                </c:pt>
                <c:pt idx="41">
                  <c:v>2.1775136069006606</c:v>
                </c:pt>
                <c:pt idx="42">
                  <c:v>3.8775136069006955</c:v>
                </c:pt>
                <c:pt idx="43">
                  <c:v>1.7896111117403635</c:v>
                </c:pt>
                <c:pt idx="44">
                  <c:v>2.2775136069004276</c:v>
                </c:pt>
                <c:pt idx="45">
                  <c:v>2.6775136069008276</c:v>
                </c:pt>
                <c:pt idx="46">
                  <c:v>2.6775136069008276</c:v>
                </c:pt>
                <c:pt idx="47">
                  <c:v>1.4775136069005157</c:v>
                </c:pt>
                <c:pt idx="48">
                  <c:v>1.5775136069007267</c:v>
                </c:pt>
                <c:pt idx="49">
                  <c:v>5.1775136069007743</c:v>
                </c:pt>
                <c:pt idx="50">
                  <c:v>2.3775136069006386</c:v>
                </c:pt>
                <c:pt idx="51">
                  <c:v>1.9775136069006827</c:v>
                </c:pt>
                <c:pt idx="52">
                  <c:v>2.3775136069006386</c:v>
                </c:pt>
                <c:pt idx="53">
                  <c:v>1.7775136069007047</c:v>
                </c:pt>
                <c:pt idx="54">
                  <c:v>3.2775136069007615</c:v>
                </c:pt>
                <c:pt idx="55">
                  <c:v>0.27751360690064786</c:v>
                </c:pt>
                <c:pt idx="56">
                  <c:v>1.1775136069007708</c:v>
                </c:pt>
                <c:pt idx="57">
                  <c:v>2.3775136069006386</c:v>
                </c:pt>
                <c:pt idx="58">
                  <c:v>2.84014230663443</c:v>
                </c:pt>
                <c:pt idx="59">
                  <c:v>2.876308840114028</c:v>
                </c:pt>
                <c:pt idx="61">
                  <c:v>2.0427759386931754</c:v>
                </c:pt>
                <c:pt idx="63">
                  <c:v>2.0427759386931754</c:v>
                </c:pt>
                <c:pt idx="65">
                  <c:v>3.7427759386932102</c:v>
                </c:pt>
                <c:pt idx="66">
                  <c:v>3.4954900047958759</c:v>
                </c:pt>
                <c:pt idx="67">
                  <c:v>3.3564968702970432</c:v>
                </c:pt>
                <c:pt idx="69">
                  <c:v>3.4048609538488428</c:v>
                </c:pt>
                <c:pt idx="70">
                  <c:v>3.8819756632917368</c:v>
                </c:pt>
                <c:pt idx="71">
                  <c:v>4.6192068379280471</c:v>
                </c:pt>
                <c:pt idx="72">
                  <c:v>4.1059258059781278</c:v>
                </c:pt>
                <c:pt idx="73">
                  <c:v>4.7825953961937451</c:v>
                </c:pt>
                <c:pt idx="74">
                  <c:v>4.6436020998887884</c:v>
                </c:pt>
                <c:pt idx="75">
                  <c:v>5.1390133771378466</c:v>
                </c:pt>
                <c:pt idx="76">
                  <c:v>5.7189550604390682</c:v>
                </c:pt>
                <c:pt idx="77">
                  <c:v>4.8675521933576604</c:v>
                </c:pt>
                <c:pt idx="78">
                  <c:v>4.0396917567875334</c:v>
                </c:pt>
                <c:pt idx="79">
                  <c:v>3.6048420147167803</c:v>
                </c:pt>
                <c:pt idx="80">
                  <c:v>3.061066864886719</c:v>
                </c:pt>
                <c:pt idx="81">
                  <c:v>2.3848236658472466</c:v>
                </c:pt>
                <c:pt idx="82">
                  <c:v>4.4205049504530969</c:v>
                </c:pt>
                <c:pt idx="83">
                  <c:v>5.0788782330499771</c:v>
                </c:pt>
                <c:pt idx="84">
                  <c:v>4.335548153271862</c:v>
                </c:pt>
                <c:pt idx="85">
                  <c:v>4.1185496979969649</c:v>
                </c:pt>
                <c:pt idx="86">
                  <c:v>4.2030801040455756</c:v>
                </c:pt>
                <c:pt idx="87">
                  <c:v>4.0401181478908477</c:v>
                </c:pt>
                <c:pt idx="88">
                  <c:v>4.6013368722293002</c:v>
                </c:pt>
                <c:pt idx="89">
                  <c:v>4.0579881135776041</c:v>
                </c:pt>
                <c:pt idx="90">
                  <c:v>4.7935732398038944</c:v>
                </c:pt>
                <c:pt idx="91">
                  <c:v>4.5712694057029601</c:v>
                </c:pt>
                <c:pt idx="92">
                  <c:v>4.5290041780954304</c:v>
                </c:pt>
                <c:pt idx="93">
                  <c:v>5.0004466829478567</c:v>
                </c:pt>
                <c:pt idx="94">
                  <c:v>5.0849770889951351</c:v>
                </c:pt>
                <c:pt idx="95">
                  <c:v>4.1063521971320682</c:v>
                </c:pt>
                <c:pt idx="96">
                  <c:v>5.0065453279111161</c:v>
                </c:pt>
                <c:pt idx="97">
                  <c:v>4.7708240754813502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02-481E-A4B3-FBC4E5761E36}"/>
            </c:ext>
          </c:extLst>
        </c:ser>
        <c:ser>
          <c:idx val="3"/>
          <c:order val="2"/>
          <c:tx>
            <c:strRef>
              <c:f>Déplacements!$J$9</c:f>
              <c:strCache>
                <c:ptCount val="1"/>
                <c:pt idx="0">
                  <c:v>DH haut gauche</c:v>
                </c:pt>
              </c:strCache>
            </c:strRef>
          </c:tx>
          <c:spPr>
            <a:ln w="15875" cap="rnd">
              <a:solidFill>
                <a:schemeClr val="accent4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tint val="50000"/>
                      <a:satMod val="300000"/>
                    </a:schemeClr>
                  </a:gs>
                  <a:gs pos="35000">
                    <a:schemeClr val="accent4">
                      <a:tint val="37000"/>
                      <a:satMod val="300000"/>
                    </a:schemeClr>
                  </a:gs>
                  <a:gs pos="100000">
                    <a:schemeClr val="accent4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Déplacements!$B$10:$B$132</c:f>
              <c:numCache>
                <c:formatCode>dd\ /\ mm\ /\ yy</c:formatCode>
                <c:ptCount val="123"/>
                <c:pt idx="0">
                  <c:v>43658</c:v>
                </c:pt>
                <c:pt idx="1">
                  <c:v>43661</c:v>
                </c:pt>
                <c:pt idx="2">
                  <c:v>43662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11">
                  <c:v>43685</c:v>
                </c:pt>
                <c:pt idx="12">
                  <c:v>43689</c:v>
                </c:pt>
                <c:pt idx="13">
                  <c:v>43690</c:v>
                </c:pt>
                <c:pt idx="14">
                  <c:v>43696</c:v>
                </c:pt>
                <c:pt idx="15">
                  <c:v>43699</c:v>
                </c:pt>
                <c:pt idx="16">
                  <c:v>43704</c:v>
                </c:pt>
                <c:pt idx="17">
                  <c:v>43706</c:v>
                </c:pt>
                <c:pt idx="18">
                  <c:v>43710</c:v>
                </c:pt>
                <c:pt idx="19">
                  <c:v>43713</c:v>
                </c:pt>
                <c:pt idx="20">
                  <c:v>43718</c:v>
                </c:pt>
                <c:pt idx="21">
                  <c:v>43720</c:v>
                </c:pt>
                <c:pt idx="22">
                  <c:v>43724</c:v>
                </c:pt>
                <c:pt idx="23">
                  <c:v>43727</c:v>
                </c:pt>
                <c:pt idx="24">
                  <c:v>43731</c:v>
                </c:pt>
                <c:pt idx="25">
                  <c:v>43734</c:v>
                </c:pt>
                <c:pt idx="26">
                  <c:v>43738</c:v>
                </c:pt>
                <c:pt idx="27">
                  <c:v>43741</c:v>
                </c:pt>
                <c:pt idx="28">
                  <c:v>43746</c:v>
                </c:pt>
                <c:pt idx="29">
                  <c:v>43753</c:v>
                </c:pt>
                <c:pt idx="30">
                  <c:v>43756</c:v>
                </c:pt>
                <c:pt idx="31">
                  <c:v>43760</c:v>
                </c:pt>
                <c:pt idx="32">
                  <c:v>43762</c:v>
                </c:pt>
                <c:pt idx="33">
                  <c:v>43766</c:v>
                </c:pt>
                <c:pt idx="34">
                  <c:v>43769</c:v>
                </c:pt>
                <c:pt idx="35">
                  <c:v>43774</c:v>
                </c:pt>
                <c:pt idx="36">
                  <c:v>43776</c:v>
                </c:pt>
                <c:pt idx="37">
                  <c:v>43781</c:v>
                </c:pt>
                <c:pt idx="38">
                  <c:v>43783</c:v>
                </c:pt>
                <c:pt idx="39">
                  <c:v>43787</c:v>
                </c:pt>
                <c:pt idx="40">
                  <c:v>43790</c:v>
                </c:pt>
                <c:pt idx="41">
                  <c:v>43795</c:v>
                </c:pt>
                <c:pt idx="42">
                  <c:v>43797</c:v>
                </c:pt>
                <c:pt idx="43">
                  <c:v>43798</c:v>
                </c:pt>
                <c:pt idx="44">
                  <c:v>43801</c:v>
                </c:pt>
                <c:pt idx="45">
                  <c:v>43803</c:v>
                </c:pt>
                <c:pt idx="46">
                  <c:v>43808</c:v>
                </c:pt>
                <c:pt idx="47">
                  <c:v>43811</c:v>
                </c:pt>
                <c:pt idx="48">
                  <c:v>43815</c:v>
                </c:pt>
                <c:pt idx="49">
                  <c:v>43818</c:v>
                </c:pt>
                <c:pt idx="50">
                  <c:v>43837</c:v>
                </c:pt>
                <c:pt idx="51">
                  <c:v>43843</c:v>
                </c:pt>
                <c:pt idx="52">
                  <c:v>43850</c:v>
                </c:pt>
                <c:pt idx="53">
                  <c:v>43859</c:v>
                </c:pt>
                <c:pt idx="54">
                  <c:v>43865</c:v>
                </c:pt>
                <c:pt idx="55">
                  <c:v>43886</c:v>
                </c:pt>
                <c:pt idx="56">
                  <c:v>43970</c:v>
                </c:pt>
                <c:pt idx="57">
                  <c:v>43977</c:v>
                </c:pt>
                <c:pt idx="58">
                  <c:v>43999</c:v>
                </c:pt>
                <c:pt idx="59">
                  <c:v>44029</c:v>
                </c:pt>
                <c:pt idx="61">
                  <c:v>44082</c:v>
                </c:pt>
                <c:pt idx="63">
                  <c:v>44082</c:v>
                </c:pt>
                <c:pt idx="65">
                  <c:v>44140</c:v>
                </c:pt>
                <c:pt idx="66">
                  <c:v>44172</c:v>
                </c:pt>
                <c:pt idx="67">
                  <c:v>44229</c:v>
                </c:pt>
                <c:pt idx="69">
                  <c:v>44322</c:v>
                </c:pt>
                <c:pt idx="70">
                  <c:v>44357</c:v>
                </c:pt>
                <c:pt idx="71">
                  <c:v>44362</c:v>
                </c:pt>
                <c:pt idx="72">
                  <c:v>44369</c:v>
                </c:pt>
                <c:pt idx="73">
                  <c:v>44376</c:v>
                </c:pt>
                <c:pt idx="74">
                  <c:v>44400</c:v>
                </c:pt>
                <c:pt idx="75">
                  <c:v>44439</c:v>
                </c:pt>
                <c:pt idx="76">
                  <c:v>44474</c:v>
                </c:pt>
                <c:pt idx="77">
                  <c:v>44522</c:v>
                </c:pt>
                <c:pt idx="78">
                  <c:v>44531</c:v>
                </c:pt>
                <c:pt idx="79">
                  <c:v>44536</c:v>
                </c:pt>
                <c:pt idx="80">
                  <c:v>44543</c:v>
                </c:pt>
                <c:pt idx="81">
                  <c:v>44550</c:v>
                </c:pt>
                <c:pt idx="82">
                  <c:v>44572</c:v>
                </c:pt>
                <c:pt idx="83">
                  <c:v>44578</c:v>
                </c:pt>
                <c:pt idx="84">
                  <c:v>44595</c:v>
                </c:pt>
                <c:pt idx="85">
                  <c:v>44613</c:v>
                </c:pt>
                <c:pt idx="86">
                  <c:v>44648</c:v>
                </c:pt>
                <c:pt idx="87">
                  <c:v>44678</c:v>
                </c:pt>
                <c:pt idx="88">
                  <c:v>44711</c:v>
                </c:pt>
                <c:pt idx="89">
                  <c:v>44740</c:v>
                </c:pt>
                <c:pt idx="90">
                  <c:v>44767</c:v>
                </c:pt>
                <c:pt idx="91">
                  <c:v>44902</c:v>
                </c:pt>
                <c:pt idx="92">
                  <c:v>44915</c:v>
                </c:pt>
                <c:pt idx="93">
                  <c:v>44930</c:v>
                </c:pt>
                <c:pt idx="94">
                  <c:v>44945</c:v>
                </c:pt>
                <c:pt idx="95">
                  <c:v>44957</c:v>
                </c:pt>
                <c:pt idx="96">
                  <c:v>44988</c:v>
                </c:pt>
                <c:pt idx="97">
                  <c:v>45013</c:v>
                </c:pt>
              </c:numCache>
            </c:numRef>
          </c:xVal>
          <c:yVal>
            <c:numRef>
              <c:f>Déplacements!$J$10:$J$132</c:f>
              <c:numCache>
                <c:formatCode>\+\ 0.0;\-\ 0.0;\±\ 0.0</c:formatCode>
                <c:ptCount val="123"/>
                <c:pt idx="0">
                  <c:v>0</c:v>
                </c:pt>
                <c:pt idx="1">
                  <c:v>1.0688275516614887</c:v>
                </c:pt>
                <c:pt idx="2">
                  <c:v>0.43442313988650838</c:v>
                </c:pt>
                <c:pt idx="3">
                  <c:v>3.7267157471982948</c:v>
                </c:pt>
                <c:pt idx="4">
                  <c:v>3.352427800622948</c:v>
                </c:pt>
                <c:pt idx="5">
                  <c:v>0</c:v>
                </c:pt>
                <c:pt idx="6">
                  <c:v>-0.19260301455936713</c:v>
                </c:pt>
                <c:pt idx="7">
                  <c:v>0.27274035719182521</c:v>
                </c:pt>
                <c:pt idx="8">
                  <c:v>2.5724709854406669</c:v>
                </c:pt>
                <c:pt idx="11">
                  <c:v>3.2724709854403677</c:v>
                </c:pt>
                <c:pt idx="12">
                  <c:v>2.2674116335688055</c:v>
                </c:pt>
                <c:pt idx="13">
                  <c:v>1.98332698544057</c:v>
                </c:pt>
                <c:pt idx="14">
                  <c:v>3.3724709854405788</c:v>
                </c:pt>
                <c:pt idx="15">
                  <c:v>3.1724709854406008</c:v>
                </c:pt>
                <c:pt idx="16">
                  <c:v>5.1488233696668217</c:v>
                </c:pt>
                <c:pt idx="17">
                  <c:v>3.5724709854405567</c:v>
                </c:pt>
                <c:pt idx="18">
                  <c:v>4.6724709854406576</c:v>
                </c:pt>
                <c:pt idx="19">
                  <c:v>6.6724709854404374</c:v>
                </c:pt>
                <c:pt idx="20">
                  <c:v>3.3724709854405788</c:v>
                </c:pt>
                <c:pt idx="21">
                  <c:v>5.5724709854407806</c:v>
                </c:pt>
                <c:pt idx="22">
                  <c:v>5.6724709854405475</c:v>
                </c:pt>
                <c:pt idx="23">
                  <c:v>4.9724709854404026</c:v>
                </c:pt>
                <c:pt idx="24">
                  <c:v>4.2724709854407017</c:v>
                </c:pt>
                <c:pt idx="25">
                  <c:v>5.5724709854407806</c:v>
                </c:pt>
                <c:pt idx="26">
                  <c:v>5.4724709854405695</c:v>
                </c:pt>
                <c:pt idx="27">
                  <c:v>5.6724709854405475</c:v>
                </c:pt>
                <c:pt idx="28">
                  <c:v>2.7599155487276761</c:v>
                </c:pt>
                <c:pt idx="29">
                  <c:v>5.678652484453206</c:v>
                </c:pt>
                <c:pt idx="30">
                  <c:v>6.4176321932536418</c:v>
                </c:pt>
                <c:pt idx="31">
                  <c:v>5.964486305391592</c:v>
                </c:pt>
                <c:pt idx="33">
                  <c:v>3.9889401648536271</c:v>
                </c:pt>
                <c:pt idx="34">
                  <c:v>7.7221811591816625</c:v>
                </c:pt>
                <c:pt idx="35">
                  <c:v>4.0556006052150373</c:v>
                </c:pt>
                <c:pt idx="36">
                  <c:v>7.8724709854407493</c:v>
                </c:pt>
                <c:pt idx="37">
                  <c:v>5.2724709854405916</c:v>
                </c:pt>
                <c:pt idx="38">
                  <c:v>5.1724709854403805</c:v>
                </c:pt>
                <c:pt idx="39">
                  <c:v>5.1724709854403805</c:v>
                </c:pt>
                <c:pt idx="40">
                  <c:v>5.2724709854405916</c:v>
                </c:pt>
                <c:pt idx="42">
                  <c:v>9.4724709854405731</c:v>
                </c:pt>
                <c:pt idx="43">
                  <c:v>7.4019295499119231</c:v>
                </c:pt>
                <c:pt idx="44">
                  <c:v>8.2724709854407052</c:v>
                </c:pt>
                <c:pt idx="45">
                  <c:v>8.5724709854404502</c:v>
                </c:pt>
                <c:pt idx="46">
                  <c:v>8.5724709854404502</c:v>
                </c:pt>
                <c:pt idx="47">
                  <c:v>7.3724709854405823</c:v>
                </c:pt>
                <c:pt idx="48">
                  <c:v>7.8724709854407493</c:v>
                </c:pt>
                <c:pt idx="49">
                  <c:v>11.272470985440375</c:v>
                </c:pt>
                <c:pt idx="50">
                  <c:v>8.4724709854406832</c:v>
                </c:pt>
                <c:pt idx="51">
                  <c:v>8.5724709854404502</c:v>
                </c:pt>
                <c:pt idx="52">
                  <c:v>8.4724709854406832</c:v>
                </c:pt>
                <c:pt idx="53">
                  <c:v>8.2724709854407052</c:v>
                </c:pt>
                <c:pt idx="54">
                  <c:v>9.4724709854405731</c:v>
                </c:pt>
                <c:pt idx="55">
                  <c:v>6.5724709854406704</c:v>
                </c:pt>
                <c:pt idx="56">
                  <c:v>7.5724709854405603</c:v>
                </c:pt>
                <c:pt idx="57">
                  <c:v>8.3724709854404722</c:v>
                </c:pt>
                <c:pt idx="58">
                  <c:v>9.0506987849150455</c:v>
                </c:pt>
                <c:pt idx="59">
                  <c:v>9.1291302857765544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E02-481E-A4B3-FBC4E5761E36}"/>
            </c:ext>
          </c:extLst>
        </c:ser>
        <c:ser>
          <c:idx val="1"/>
          <c:order val="3"/>
          <c:tx>
            <c:strRef>
              <c:f>Déplacements!$M$9</c:f>
              <c:strCache>
                <c:ptCount val="1"/>
                <c:pt idx="0">
                  <c:v>DH centre haut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</a:schemeClr>
                  </a:gs>
                  <a:gs pos="35000">
                    <a:schemeClr val="accent2">
                      <a:tint val="37000"/>
                      <a:satMod val="300000"/>
                    </a:schemeClr>
                  </a:gs>
                  <a:gs pos="100000">
                    <a:schemeClr val="accent2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Déplacements!$B$10:$B$132</c:f>
              <c:numCache>
                <c:formatCode>dd\ /\ mm\ /\ yy</c:formatCode>
                <c:ptCount val="123"/>
                <c:pt idx="0">
                  <c:v>43658</c:v>
                </c:pt>
                <c:pt idx="1">
                  <c:v>43661</c:v>
                </c:pt>
                <c:pt idx="2">
                  <c:v>43662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11">
                  <c:v>43685</c:v>
                </c:pt>
                <c:pt idx="12">
                  <c:v>43689</c:v>
                </c:pt>
                <c:pt idx="13">
                  <c:v>43690</c:v>
                </c:pt>
                <c:pt idx="14">
                  <c:v>43696</c:v>
                </c:pt>
                <c:pt idx="15">
                  <c:v>43699</c:v>
                </c:pt>
                <c:pt idx="16">
                  <c:v>43704</c:v>
                </c:pt>
                <c:pt idx="17">
                  <c:v>43706</c:v>
                </c:pt>
                <c:pt idx="18">
                  <c:v>43710</c:v>
                </c:pt>
                <c:pt idx="19">
                  <c:v>43713</c:v>
                </c:pt>
                <c:pt idx="20">
                  <c:v>43718</c:v>
                </c:pt>
                <c:pt idx="21">
                  <c:v>43720</c:v>
                </c:pt>
                <c:pt idx="22">
                  <c:v>43724</c:v>
                </c:pt>
                <c:pt idx="23">
                  <c:v>43727</c:v>
                </c:pt>
                <c:pt idx="24">
                  <c:v>43731</c:v>
                </c:pt>
                <c:pt idx="25">
                  <c:v>43734</c:v>
                </c:pt>
                <c:pt idx="26">
                  <c:v>43738</c:v>
                </c:pt>
                <c:pt idx="27">
                  <c:v>43741</c:v>
                </c:pt>
                <c:pt idx="28">
                  <c:v>43746</c:v>
                </c:pt>
                <c:pt idx="29">
                  <c:v>43753</c:v>
                </c:pt>
                <c:pt idx="30">
                  <c:v>43756</c:v>
                </c:pt>
                <c:pt idx="31">
                  <c:v>43760</c:v>
                </c:pt>
                <c:pt idx="32">
                  <c:v>43762</c:v>
                </c:pt>
                <c:pt idx="33">
                  <c:v>43766</c:v>
                </c:pt>
                <c:pt idx="34">
                  <c:v>43769</c:v>
                </c:pt>
                <c:pt idx="35">
                  <c:v>43774</c:v>
                </c:pt>
                <c:pt idx="36">
                  <c:v>43776</c:v>
                </c:pt>
                <c:pt idx="37">
                  <c:v>43781</c:v>
                </c:pt>
                <c:pt idx="38">
                  <c:v>43783</c:v>
                </c:pt>
                <c:pt idx="39">
                  <c:v>43787</c:v>
                </c:pt>
                <c:pt idx="40">
                  <c:v>43790</c:v>
                </c:pt>
                <c:pt idx="41">
                  <c:v>43795</c:v>
                </c:pt>
                <c:pt idx="42">
                  <c:v>43797</c:v>
                </c:pt>
                <c:pt idx="43">
                  <c:v>43798</c:v>
                </c:pt>
                <c:pt idx="44">
                  <c:v>43801</c:v>
                </c:pt>
                <c:pt idx="45">
                  <c:v>43803</c:v>
                </c:pt>
                <c:pt idx="46">
                  <c:v>43808</c:v>
                </c:pt>
                <c:pt idx="47">
                  <c:v>43811</c:v>
                </c:pt>
                <c:pt idx="48">
                  <c:v>43815</c:v>
                </c:pt>
                <c:pt idx="49">
                  <c:v>43818</c:v>
                </c:pt>
                <c:pt idx="50">
                  <c:v>43837</c:v>
                </c:pt>
                <c:pt idx="51">
                  <c:v>43843</c:v>
                </c:pt>
                <c:pt idx="52">
                  <c:v>43850</c:v>
                </c:pt>
                <c:pt idx="53">
                  <c:v>43859</c:v>
                </c:pt>
                <c:pt idx="54">
                  <c:v>43865</c:v>
                </c:pt>
                <c:pt idx="55">
                  <c:v>43886</c:v>
                </c:pt>
                <c:pt idx="56">
                  <c:v>43970</c:v>
                </c:pt>
                <c:pt idx="57">
                  <c:v>43977</c:v>
                </c:pt>
                <c:pt idx="58">
                  <c:v>43999</c:v>
                </c:pt>
                <c:pt idx="59">
                  <c:v>44029</c:v>
                </c:pt>
                <c:pt idx="61">
                  <c:v>44082</c:v>
                </c:pt>
                <c:pt idx="63">
                  <c:v>44082</c:v>
                </c:pt>
                <c:pt idx="65">
                  <c:v>44140</c:v>
                </c:pt>
                <c:pt idx="66">
                  <c:v>44172</c:v>
                </c:pt>
                <c:pt idx="67">
                  <c:v>44229</c:v>
                </c:pt>
                <c:pt idx="69">
                  <c:v>44322</c:v>
                </c:pt>
                <c:pt idx="70">
                  <c:v>44357</c:v>
                </c:pt>
                <c:pt idx="71">
                  <c:v>44362</c:v>
                </c:pt>
                <c:pt idx="72">
                  <c:v>44369</c:v>
                </c:pt>
                <c:pt idx="73">
                  <c:v>44376</c:v>
                </c:pt>
                <c:pt idx="74">
                  <c:v>44400</c:v>
                </c:pt>
                <c:pt idx="75">
                  <c:v>44439</c:v>
                </c:pt>
                <c:pt idx="76">
                  <c:v>44474</c:v>
                </c:pt>
                <c:pt idx="77">
                  <c:v>44522</c:v>
                </c:pt>
                <c:pt idx="78">
                  <c:v>44531</c:v>
                </c:pt>
                <c:pt idx="79">
                  <c:v>44536</c:v>
                </c:pt>
                <c:pt idx="80">
                  <c:v>44543</c:v>
                </c:pt>
                <c:pt idx="81">
                  <c:v>44550</c:v>
                </c:pt>
                <c:pt idx="82">
                  <c:v>44572</c:v>
                </c:pt>
                <c:pt idx="83">
                  <c:v>44578</c:v>
                </c:pt>
                <c:pt idx="84">
                  <c:v>44595</c:v>
                </c:pt>
                <c:pt idx="85">
                  <c:v>44613</c:v>
                </c:pt>
                <c:pt idx="86">
                  <c:v>44648</c:v>
                </c:pt>
                <c:pt idx="87">
                  <c:v>44678</c:v>
                </c:pt>
                <c:pt idx="88">
                  <c:v>44711</c:v>
                </c:pt>
                <c:pt idx="89">
                  <c:v>44740</c:v>
                </c:pt>
                <c:pt idx="90">
                  <c:v>44767</c:v>
                </c:pt>
                <c:pt idx="91">
                  <c:v>44902</c:v>
                </c:pt>
                <c:pt idx="92">
                  <c:v>44915</c:v>
                </c:pt>
                <c:pt idx="93">
                  <c:v>44930</c:v>
                </c:pt>
                <c:pt idx="94">
                  <c:v>44945</c:v>
                </c:pt>
                <c:pt idx="95">
                  <c:v>44957</c:v>
                </c:pt>
                <c:pt idx="96">
                  <c:v>44988</c:v>
                </c:pt>
                <c:pt idx="97">
                  <c:v>45013</c:v>
                </c:pt>
              </c:numCache>
            </c:numRef>
          </c:xVal>
          <c:yVal>
            <c:numRef>
              <c:f>Déplacements!$M$10:$M$132</c:f>
              <c:numCache>
                <c:formatCode>\+\ 0.0;\-\ 0.0;\±\ 0.0</c:formatCode>
                <c:ptCount val="123"/>
                <c:pt idx="0">
                  <c:v>0</c:v>
                </c:pt>
                <c:pt idx="1">
                  <c:v>0.28365894488230348</c:v>
                </c:pt>
                <c:pt idx="2">
                  <c:v>2.3968870838192435E-2</c:v>
                </c:pt>
                <c:pt idx="3">
                  <c:v>2.8635417704219179</c:v>
                </c:pt>
                <c:pt idx="4">
                  <c:v>3.0456530766666265</c:v>
                </c:pt>
                <c:pt idx="5">
                  <c:v>2.3519663031018325</c:v>
                </c:pt>
                <c:pt idx="6">
                  <c:v>-2.6618549710806794</c:v>
                </c:pt>
                <c:pt idx="7">
                  <c:v>-2.0753879051646775</c:v>
                </c:pt>
                <c:pt idx="8">
                  <c:v>-1.0811089710806854</c:v>
                </c:pt>
                <c:pt idx="11">
                  <c:v>-0.28110897108066246</c:v>
                </c:pt>
                <c:pt idx="12">
                  <c:v>-2.1440354578944607</c:v>
                </c:pt>
                <c:pt idx="13">
                  <c:v>-2.3435899710806671</c:v>
                </c:pt>
                <c:pt idx="14">
                  <c:v>-2.0811089710806865</c:v>
                </c:pt>
                <c:pt idx="15">
                  <c:v>-2.8811089710806534</c:v>
                </c:pt>
                <c:pt idx="16">
                  <c:v>-0.81466483885875296</c:v>
                </c:pt>
                <c:pt idx="17">
                  <c:v>-1.3811089710806523</c:v>
                </c:pt>
                <c:pt idx="18">
                  <c:v>-1.0811089710806854</c:v>
                </c:pt>
                <c:pt idx="19">
                  <c:v>0.71889102891933843</c:v>
                </c:pt>
                <c:pt idx="20">
                  <c:v>-2.4811089710806424</c:v>
                </c:pt>
                <c:pt idx="21">
                  <c:v>-1.3811089710806523</c:v>
                </c:pt>
                <c:pt idx="22">
                  <c:v>-0.48110897108064044</c:v>
                </c:pt>
                <c:pt idx="23">
                  <c:v>-1.6811089710806748</c:v>
                </c:pt>
                <c:pt idx="24">
                  <c:v>-2.6811089710806755</c:v>
                </c:pt>
                <c:pt idx="25">
                  <c:v>-1.7811089710806638</c:v>
                </c:pt>
                <c:pt idx="26">
                  <c:v>-1.5811089710806858</c:v>
                </c:pt>
                <c:pt idx="27">
                  <c:v>-1.4811089710806413</c:v>
                </c:pt>
                <c:pt idx="28">
                  <c:v>-4.3836429023194903</c:v>
                </c:pt>
                <c:pt idx="29">
                  <c:v>-1.7105081190636751</c:v>
                </c:pt>
                <c:pt idx="30">
                  <c:v>-1.2011505465491512</c:v>
                </c:pt>
                <c:pt idx="31">
                  <c:v>-1.642098884339499</c:v>
                </c:pt>
                <c:pt idx="33">
                  <c:v>-3.6960765749708138</c:v>
                </c:pt>
                <c:pt idx="34">
                  <c:v>0.18225640982258429</c:v>
                </c:pt>
                <c:pt idx="35">
                  <c:v>-4.0463959109872381</c:v>
                </c:pt>
                <c:pt idx="36">
                  <c:v>-0.38110897108065145</c:v>
                </c:pt>
                <c:pt idx="37">
                  <c:v>-3.1811089710806764</c:v>
                </c:pt>
                <c:pt idx="38">
                  <c:v>-3.1811089710806764</c:v>
                </c:pt>
                <c:pt idx="39">
                  <c:v>-2.8811089710806534</c:v>
                </c:pt>
                <c:pt idx="40">
                  <c:v>-2.8811089710806534</c:v>
                </c:pt>
                <c:pt idx="41">
                  <c:v>-2.4811089710806424</c:v>
                </c:pt>
                <c:pt idx="42">
                  <c:v>-1.0811089710806854</c:v>
                </c:pt>
                <c:pt idx="43">
                  <c:v>-3.3148369901402628</c:v>
                </c:pt>
                <c:pt idx="44">
                  <c:v>-2.4811089710806424</c:v>
                </c:pt>
                <c:pt idx="45">
                  <c:v>-2.3811089710806534</c:v>
                </c:pt>
                <c:pt idx="46">
                  <c:v>-2.5811089710806865</c:v>
                </c:pt>
                <c:pt idx="47">
                  <c:v>-3.6811089710806764</c:v>
                </c:pt>
                <c:pt idx="48">
                  <c:v>-3.0811089710806874</c:v>
                </c:pt>
                <c:pt idx="49">
                  <c:v>-8.1108971080684489E-2</c:v>
                </c:pt>
                <c:pt idx="50">
                  <c:v>-3.0811089710806874</c:v>
                </c:pt>
                <c:pt idx="51">
                  <c:v>-3.7811089710806653</c:v>
                </c:pt>
                <c:pt idx="52">
                  <c:v>-2.9811089710806424</c:v>
                </c:pt>
                <c:pt idx="53">
                  <c:v>-3.4811089710806433</c:v>
                </c:pt>
                <c:pt idx="54">
                  <c:v>-2.2811089710806645</c:v>
                </c:pt>
                <c:pt idx="55">
                  <c:v>-4.9811089710806442</c:v>
                </c:pt>
                <c:pt idx="56">
                  <c:v>-3.9811089710806433</c:v>
                </c:pt>
                <c:pt idx="57">
                  <c:v>-3.2811089710806653</c:v>
                </c:pt>
                <c:pt idx="58">
                  <c:v>-2.9344501875578635</c:v>
                </c:pt>
                <c:pt idx="59">
                  <c:v>-2.5479644798853949</c:v>
                </c:pt>
                <c:pt idx="61">
                  <c:v>-3.5387870836322275</c:v>
                </c:pt>
                <c:pt idx="63">
                  <c:v>-3.5387870836322275</c:v>
                </c:pt>
                <c:pt idx="65">
                  <c:v>-3.5387870836322275</c:v>
                </c:pt>
                <c:pt idx="66">
                  <c:v>-3.1891238396624111</c:v>
                </c:pt>
                <c:pt idx="67">
                  <c:v>-3.4732091756842216</c:v>
                </c:pt>
                <c:pt idx="69">
                  <c:v>-2.9416315267105642</c:v>
                </c:pt>
                <c:pt idx="70">
                  <c:v>-2.7786695705670494</c:v>
                </c:pt>
                <c:pt idx="71">
                  <c:v>-2.0898022192977481</c:v>
                </c:pt>
                <c:pt idx="72">
                  <c:v>-3.195222695597105</c:v>
                </c:pt>
                <c:pt idx="73">
                  <c:v>-2.3372945814406076</c:v>
                </c:pt>
                <c:pt idx="74">
                  <c:v>-3.1830249837395126</c:v>
                </c:pt>
                <c:pt idx="75">
                  <c:v>-3.0984945777077497</c:v>
                </c:pt>
                <c:pt idx="76">
                  <c:v>-2.9294338148186378</c:v>
                </c:pt>
                <c:pt idx="77">
                  <c:v>-2.7176813840237841</c:v>
                </c:pt>
                <c:pt idx="78">
                  <c:v>-3.4004498793719913</c:v>
                </c:pt>
                <c:pt idx="79">
                  <c:v>-4.1132860522440362</c:v>
                </c:pt>
                <c:pt idx="80">
                  <c:v>-4.3729758660581979</c:v>
                </c:pt>
                <c:pt idx="81">
                  <c:v>-5.4722974864218061</c:v>
                </c:pt>
                <c:pt idx="82">
                  <c:v>-3.5089491070045828</c:v>
                </c:pt>
                <c:pt idx="83">
                  <c:v>-2.8566747295458437</c:v>
                </c:pt>
                <c:pt idx="84">
                  <c:v>-3.6483687944673102</c:v>
                </c:pt>
                <c:pt idx="85">
                  <c:v>-4.0405267559317775</c:v>
                </c:pt>
                <c:pt idx="86">
                  <c:v>-4.1917175531591688</c:v>
                </c:pt>
                <c:pt idx="87">
                  <c:v>-4.7049988452901594</c:v>
                </c:pt>
                <c:pt idx="88">
                  <c:v>-3.0984945777077497</c:v>
                </c:pt>
                <c:pt idx="89">
                  <c:v>-4.4697039839868005</c:v>
                </c:pt>
                <c:pt idx="90">
                  <c:v>-3.6470637127113124</c:v>
                </c:pt>
                <c:pt idx="91">
                  <c:v>-1.5521257143956688</c:v>
                </c:pt>
                <c:pt idx="92">
                  <c:v>-1.2257754602083835</c:v>
                </c:pt>
                <c:pt idx="93">
                  <c:v>-1.1713125207142845</c:v>
                </c:pt>
                <c:pt idx="94">
                  <c:v>-1.0867821146739454</c:v>
                </c:pt>
                <c:pt idx="95">
                  <c:v>-1.527730712652053</c:v>
                </c:pt>
                <c:pt idx="96">
                  <c:v>-0.80269703890900601</c:v>
                </c:pt>
                <c:pt idx="97">
                  <c:v>-1.165213875782861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E02-481E-A4B3-FBC4E5761E36}"/>
            </c:ext>
          </c:extLst>
        </c:ser>
        <c:ser>
          <c:idx val="4"/>
          <c:order val="4"/>
          <c:tx>
            <c:strRef>
              <c:f>Déplacements!$S$9</c:f>
              <c:strCache>
                <c:ptCount val="1"/>
                <c:pt idx="0">
                  <c:v>DH inter droit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tint val="50000"/>
                      <a:satMod val="300000"/>
                    </a:schemeClr>
                  </a:gs>
                  <a:gs pos="35000">
                    <a:schemeClr val="accent5">
                      <a:tint val="37000"/>
                      <a:satMod val="300000"/>
                    </a:schemeClr>
                  </a:gs>
                  <a:gs pos="100000">
                    <a:schemeClr val="accent5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Déplacements!$B$10:$B$132</c:f>
              <c:numCache>
                <c:formatCode>dd\ /\ mm\ /\ yy</c:formatCode>
                <c:ptCount val="123"/>
                <c:pt idx="0">
                  <c:v>43658</c:v>
                </c:pt>
                <c:pt idx="1">
                  <c:v>43661</c:v>
                </c:pt>
                <c:pt idx="2">
                  <c:v>43662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11">
                  <c:v>43685</c:v>
                </c:pt>
                <c:pt idx="12">
                  <c:v>43689</c:v>
                </c:pt>
                <c:pt idx="13">
                  <c:v>43690</c:v>
                </c:pt>
                <c:pt idx="14">
                  <c:v>43696</c:v>
                </c:pt>
                <c:pt idx="15">
                  <c:v>43699</c:v>
                </c:pt>
                <c:pt idx="16">
                  <c:v>43704</c:v>
                </c:pt>
                <c:pt idx="17">
                  <c:v>43706</c:v>
                </c:pt>
                <c:pt idx="18">
                  <c:v>43710</c:v>
                </c:pt>
                <c:pt idx="19">
                  <c:v>43713</c:v>
                </c:pt>
                <c:pt idx="20">
                  <c:v>43718</c:v>
                </c:pt>
                <c:pt idx="21">
                  <c:v>43720</c:v>
                </c:pt>
                <c:pt idx="22">
                  <c:v>43724</c:v>
                </c:pt>
                <c:pt idx="23">
                  <c:v>43727</c:v>
                </c:pt>
                <c:pt idx="24">
                  <c:v>43731</c:v>
                </c:pt>
                <c:pt idx="25">
                  <c:v>43734</c:v>
                </c:pt>
                <c:pt idx="26">
                  <c:v>43738</c:v>
                </c:pt>
                <c:pt idx="27">
                  <c:v>43741</c:v>
                </c:pt>
                <c:pt idx="28">
                  <c:v>43746</c:v>
                </c:pt>
                <c:pt idx="29">
                  <c:v>43753</c:v>
                </c:pt>
                <c:pt idx="30">
                  <c:v>43756</c:v>
                </c:pt>
                <c:pt idx="31">
                  <c:v>43760</c:v>
                </c:pt>
                <c:pt idx="32">
                  <c:v>43762</c:v>
                </c:pt>
                <c:pt idx="33">
                  <c:v>43766</c:v>
                </c:pt>
                <c:pt idx="34">
                  <c:v>43769</c:v>
                </c:pt>
                <c:pt idx="35">
                  <c:v>43774</c:v>
                </c:pt>
                <c:pt idx="36">
                  <c:v>43776</c:v>
                </c:pt>
                <c:pt idx="37">
                  <c:v>43781</c:v>
                </c:pt>
                <c:pt idx="38">
                  <c:v>43783</c:v>
                </c:pt>
                <c:pt idx="39">
                  <c:v>43787</c:v>
                </c:pt>
                <c:pt idx="40">
                  <c:v>43790</c:v>
                </c:pt>
                <c:pt idx="41">
                  <c:v>43795</c:v>
                </c:pt>
                <c:pt idx="42">
                  <c:v>43797</c:v>
                </c:pt>
                <c:pt idx="43">
                  <c:v>43798</c:v>
                </c:pt>
                <c:pt idx="44">
                  <c:v>43801</c:v>
                </c:pt>
                <c:pt idx="45">
                  <c:v>43803</c:v>
                </c:pt>
                <c:pt idx="46">
                  <c:v>43808</c:v>
                </c:pt>
                <c:pt idx="47">
                  <c:v>43811</c:v>
                </c:pt>
                <c:pt idx="48">
                  <c:v>43815</c:v>
                </c:pt>
                <c:pt idx="49">
                  <c:v>43818</c:v>
                </c:pt>
                <c:pt idx="50">
                  <c:v>43837</c:v>
                </c:pt>
                <c:pt idx="51">
                  <c:v>43843</c:v>
                </c:pt>
                <c:pt idx="52">
                  <c:v>43850</c:v>
                </c:pt>
                <c:pt idx="53">
                  <c:v>43859</c:v>
                </c:pt>
                <c:pt idx="54">
                  <c:v>43865</c:v>
                </c:pt>
                <c:pt idx="55">
                  <c:v>43886</c:v>
                </c:pt>
                <c:pt idx="56">
                  <c:v>43970</c:v>
                </c:pt>
                <c:pt idx="57">
                  <c:v>43977</c:v>
                </c:pt>
                <c:pt idx="58">
                  <c:v>43999</c:v>
                </c:pt>
                <c:pt idx="59">
                  <c:v>44029</c:v>
                </c:pt>
                <c:pt idx="61">
                  <c:v>44082</c:v>
                </c:pt>
                <c:pt idx="63">
                  <c:v>44082</c:v>
                </c:pt>
                <c:pt idx="65">
                  <c:v>44140</c:v>
                </c:pt>
                <c:pt idx="66">
                  <c:v>44172</c:v>
                </c:pt>
                <c:pt idx="67">
                  <c:v>44229</c:v>
                </c:pt>
                <c:pt idx="69">
                  <c:v>44322</c:v>
                </c:pt>
                <c:pt idx="70">
                  <c:v>44357</c:v>
                </c:pt>
                <c:pt idx="71">
                  <c:v>44362</c:v>
                </c:pt>
                <c:pt idx="72">
                  <c:v>44369</c:v>
                </c:pt>
                <c:pt idx="73">
                  <c:v>44376</c:v>
                </c:pt>
                <c:pt idx="74">
                  <c:v>44400</c:v>
                </c:pt>
                <c:pt idx="75">
                  <c:v>44439</c:v>
                </c:pt>
                <c:pt idx="76">
                  <c:v>44474</c:v>
                </c:pt>
                <c:pt idx="77">
                  <c:v>44522</c:v>
                </c:pt>
                <c:pt idx="78">
                  <c:v>44531</c:v>
                </c:pt>
                <c:pt idx="79">
                  <c:v>44536</c:v>
                </c:pt>
                <c:pt idx="80">
                  <c:v>44543</c:v>
                </c:pt>
                <c:pt idx="81">
                  <c:v>44550</c:v>
                </c:pt>
                <c:pt idx="82">
                  <c:v>44572</c:v>
                </c:pt>
                <c:pt idx="83">
                  <c:v>44578</c:v>
                </c:pt>
                <c:pt idx="84">
                  <c:v>44595</c:v>
                </c:pt>
                <c:pt idx="85">
                  <c:v>44613</c:v>
                </c:pt>
                <c:pt idx="86">
                  <c:v>44648</c:v>
                </c:pt>
                <c:pt idx="87">
                  <c:v>44678</c:v>
                </c:pt>
                <c:pt idx="88">
                  <c:v>44711</c:v>
                </c:pt>
                <c:pt idx="89">
                  <c:v>44740</c:v>
                </c:pt>
                <c:pt idx="90">
                  <c:v>44767</c:v>
                </c:pt>
                <c:pt idx="91">
                  <c:v>44902</c:v>
                </c:pt>
                <c:pt idx="92">
                  <c:v>44915</c:v>
                </c:pt>
                <c:pt idx="93">
                  <c:v>44930</c:v>
                </c:pt>
                <c:pt idx="94">
                  <c:v>44945</c:v>
                </c:pt>
                <c:pt idx="95">
                  <c:v>44957</c:v>
                </c:pt>
                <c:pt idx="96">
                  <c:v>44988</c:v>
                </c:pt>
                <c:pt idx="97">
                  <c:v>45013</c:v>
                </c:pt>
              </c:numCache>
            </c:numRef>
          </c:xVal>
          <c:yVal>
            <c:numRef>
              <c:f>Déplacements!$S$10:$S$132</c:f>
              <c:numCache>
                <c:formatCode>\+\ 0.0;\-\ 0.0;\±\ 0.0</c:formatCode>
                <c:ptCount val="123"/>
                <c:pt idx="0">
                  <c:v>0</c:v>
                </c:pt>
                <c:pt idx="1">
                  <c:v>-0.52590518413309084</c:v>
                </c:pt>
                <c:pt idx="2">
                  <c:v>-2.5136490365862407</c:v>
                </c:pt>
                <c:pt idx="3">
                  <c:v>-0.69539238736782139</c:v>
                </c:pt>
                <c:pt idx="4">
                  <c:v>-4.253473924666018</c:v>
                </c:pt>
                <c:pt idx="5">
                  <c:v>-8.0289799355948155</c:v>
                </c:pt>
                <c:pt idx="6">
                  <c:v>-15.864504093085596</c:v>
                </c:pt>
                <c:pt idx="7">
                  <c:v>-16.84312890001527</c:v>
                </c:pt>
                <c:pt idx="8">
                  <c:v>-16.024604093085593</c:v>
                </c:pt>
                <c:pt idx="11">
                  <c:v>-15.324604093085448</c:v>
                </c:pt>
                <c:pt idx="12">
                  <c:v>-17.324436359146489</c:v>
                </c:pt>
                <c:pt idx="13">
                  <c:v>-17.832045093085558</c:v>
                </c:pt>
                <c:pt idx="14">
                  <c:v>-17.724604093085627</c:v>
                </c:pt>
                <c:pt idx="15">
                  <c:v>-18.624604093085306</c:v>
                </c:pt>
                <c:pt idx="16">
                  <c:v>-17.191541918749831</c:v>
                </c:pt>
                <c:pt idx="17">
                  <c:v>-18.324604093085561</c:v>
                </c:pt>
                <c:pt idx="18">
                  <c:v>-18.024604093085372</c:v>
                </c:pt>
                <c:pt idx="19">
                  <c:v>-16.224604093085571</c:v>
                </c:pt>
                <c:pt idx="20">
                  <c:v>-20.124604093085363</c:v>
                </c:pt>
                <c:pt idx="21">
                  <c:v>-18.324604093085561</c:v>
                </c:pt>
                <c:pt idx="22">
                  <c:v>-18.824604093085284</c:v>
                </c:pt>
                <c:pt idx="23">
                  <c:v>-19.924604093085385</c:v>
                </c:pt>
                <c:pt idx="24">
                  <c:v>-21.324604093085675</c:v>
                </c:pt>
                <c:pt idx="25">
                  <c:v>-20.424604093085552</c:v>
                </c:pt>
                <c:pt idx="26">
                  <c:v>-20.62460409308553</c:v>
                </c:pt>
                <c:pt idx="27">
                  <c:v>-20.124604093085363</c:v>
                </c:pt>
                <c:pt idx="28">
                  <c:v>-23.353901283362344</c:v>
                </c:pt>
                <c:pt idx="29">
                  <c:v>-20.768132952138085</c:v>
                </c:pt>
                <c:pt idx="30">
                  <c:v>-20.387532799303276</c:v>
                </c:pt>
                <c:pt idx="31">
                  <c:v>-21.142634150632666</c:v>
                </c:pt>
                <c:pt idx="32">
                  <c:v>-16.42466945771659</c:v>
                </c:pt>
                <c:pt idx="33">
                  <c:v>-23.184840520515504</c:v>
                </c:pt>
                <c:pt idx="34">
                  <c:v>-18.949663163695174</c:v>
                </c:pt>
                <c:pt idx="35">
                  <c:v>-23.61359140661845</c:v>
                </c:pt>
                <c:pt idx="36">
                  <c:v>-20.524604093085319</c:v>
                </c:pt>
                <c:pt idx="37">
                  <c:v>-23.224604093085688</c:v>
                </c:pt>
                <c:pt idx="38">
                  <c:v>-23.02460409308571</c:v>
                </c:pt>
                <c:pt idx="39">
                  <c:v>-23.02460409308571</c:v>
                </c:pt>
                <c:pt idx="40">
                  <c:v>-22.824604093085288</c:v>
                </c:pt>
                <c:pt idx="41">
                  <c:v>-22.724604093085521</c:v>
                </c:pt>
                <c:pt idx="42">
                  <c:v>-21.524604093085653</c:v>
                </c:pt>
                <c:pt idx="43">
                  <c:v>-23.589196144676361</c:v>
                </c:pt>
                <c:pt idx="44">
                  <c:v>-23.02460409308571</c:v>
                </c:pt>
                <c:pt idx="45">
                  <c:v>-23.124604093085477</c:v>
                </c:pt>
                <c:pt idx="46">
                  <c:v>-22.924604093085499</c:v>
                </c:pt>
                <c:pt idx="47">
                  <c:v>-24.124604093085367</c:v>
                </c:pt>
                <c:pt idx="48">
                  <c:v>-23.524604093085433</c:v>
                </c:pt>
                <c:pt idx="49">
                  <c:v>-20.424604093085552</c:v>
                </c:pt>
                <c:pt idx="50">
                  <c:v>-23.924604093085389</c:v>
                </c:pt>
                <c:pt idx="51">
                  <c:v>-24.624604093085534</c:v>
                </c:pt>
                <c:pt idx="52">
                  <c:v>-23.924604093085389</c:v>
                </c:pt>
                <c:pt idx="53">
                  <c:v>-24.124604093085367</c:v>
                </c:pt>
                <c:pt idx="54">
                  <c:v>-22.824604093085288</c:v>
                </c:pt>
                <c:pt idx="55">
                  <c:v>-25.524604093085657</c:v>
                </c:pt>
                <c:pt idx="56">
                  <c:v>-24.824604093085512</c:v>
                </c:pt>
                <c:pt idx="57">
                  <c:v>-24.324604093085345</c:v>
                </c:pt>
                <c:pt idx="58">
                  <c:v>-23.843213753922843</c:v>
                </c:pt>
                <c:pt idx="59">
                  <c:v>-23.492894628928784</c:v>
                </c:pt>
                <c:pt idx="61">
                  <c:v>-25.009195814669649</c:v>
                </c:pt>
                <c:pt idx="63">
                  <c:v>-25.009195814669649</c:v>
                </c:pt>
                <c:pt idx="65">
                  <c:v>-25.109195814669416</c:v>
                </c:pt>
                <c:pt idx="66">
                  <c:v>-24.567109407011234</c:v>
                </c:pt>
                <c:pt idx="67">
                  <c:v>-25.009195814669649</c:v>
                </c:pt>
                <c:pt idx="69">
                  <c:v>-24.615473279569144</c:v>
                </c:pt>
                <c:pt idx="70">
                  <c:v>-24.597603313929461</c:v>
                </c:pt>
                <c:pt idx="71">
                  <c:v>-23.775841733262748</c:v>
                </c:pt>
                <c:pt idx="72">
                  <c:v>-25.201513818816412</c:v>
                </c:pt>
                <c:pt idx="73">
                  <c:v>-24.700003685597327</c:v>
                </c:pt>
                <c:pt idx="74">
                  <c:v>-25.52176547727214</c:v>
                </c:pt>
                <c:pt idx="75">
                  <c:v>-26.101706949586134</c:v>
                </c:pt>
                <c:pt idx="76">
                  <c:v>-25.96271386428084</c:v>
                </c:pt>
                <c:pt idx="77">
                  <c:v>-27.370089381994589</c:v>
                </c:pt>
                <c:pt idx="78">
                  <c:v>-28.179653461795517</c:v>
                </c:pt>
                <c:pt idx="79">
                  <c:v>-29.291172794078335</c:v>
                </c:pt>
                <c:pt idx="80">
                  <c:v>-29.7260223250988</c:v>
                </c:pt>
                <c:pt idx="81">
                  <c:v>-30.294192898657979</c:v>
                </c:pt>
                <c:pt idx="82">
                  <c:v>-28.783564015941732</c:v>
                </c:pt>
                <c:pt idx="83">
                  <c:v>-27.521280228423706</c:v>
                </c:pt>
                <c:pt idx="84">
                  <c:v>-28.614929595022875</c:v>
                </c:pt>
                <c:pt idx="85">
                  <c:v>-29.230611258849848</c:v>
                </c:pt>
                <c:pt idx="86">
                  <c:v>-29.64149191905241</c:v>
                </c:pt>
                <c:pt idx="87">
                  <c:v>-29.943447171493887</c:v>
                </c:pt>
                <c:pt idx="88">
                  <c:v>-28.518201477081728</c:v>
                </c:pt>
                <c:pt idx="89">
                  <c:v>-30.511617583292683</c:v>
                </c:pt>
                <c:pt idx="90">
                  <c:v>-29.69385646144751</c:v>
                </c:pt>
                <c:pt idx="91">
                  <c:v>-31.122053384467829</c:v>
                </c:pt>
                <c:pt idx="92">
                  <c:v>-30.632740913938861</c:v>
                </c:pt>
                <c:pt idx="93">
                  <c:v>-30.8802332760858</c:v>
                </c:pt>
                <c:pt idx="94">
                  <c:v>-30.886332132062488</c:v>
                </c:pt>
                <c:pt idx="95">
                  <c:v>-31.055392944129068</c:v>
                </c:pt>
                <c:pt idx="96">
                  <c:v>-30.553882761711559</c:v>
                </c:pt>
                <c:pt idx="97">
                  <c:v>-30.789604014134664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E02-481E-A4B3-FBC4E5761E36}"/>
            </c:ext>
          </c:extLst>
        </c:ser>
        <c:ser>
          <c:idx val="6"/>
          <c:order val="5"/>
          <c:tx>
            <c:strRef>
              <c:f>Déplacements!$P$9</c:f>
              <c:strCache>
                <c:ptCount val="1"/>
                <c:pt idx="0">
                  <c:v>DH haut droit</c:v>
                </c:pt>
              </c:strCache>
            </c:strRef>
          </c:tx>
          <c:spPr>
            <a:ln w="1587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1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1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Déplacements!$B$10:$B$132</c:f>
              <c:numCache>
                <c:formatCode>dd\ /\ mm\ /\ yy</c:formatCode>
                <c:ptCount val="123"/>
                <c:pt idx="0">
                  <c:v>43658</c:v>
                </c:pt>
                <c:pt idx="1">
                  <c:v>43661</c:v>
                </c:pt>
                <c:pt idx="2">
                  <c:v>43662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11">
                  <c:v>43685</c:v>
                </c:pt>
                <c:pt idx="12">
                  <c:v>43689</c:v>
                </c:pt>
                <c:pt idx="13">
                  <c:v>43690</c:v>
                </c:pt>
                <c:pt idx="14">
                  <c:v>43696</c:v>
                </c:pt>
                <c:pt idx="15">
                  <c:v>43699</c:v>
                </c:pt>
                <c:pt idx="16">
                  <c:v>43704</c:v>
                </c:pt>
                <c:pt idx="17">
                  <c:v>43706</c:v>
                </c:pt>
                <c:pt idx="18">
                  <c:v>43710</c:v>
                </c:pt>
                <c:pt idx="19">
                  <c:v>43713</c:v>
                </c:pt>
                <c:pt idx="20">
                  <c:v>43718</c:v>
                </c:pt>
                <c:pt idx="21">
                  <c:v>43720</c:v>
                </c:pt>
                <c:pt idx="22">
                  <c:v>43724</c:v>
                </c:pt>
                <c:pt idx="23">
                  <c:v>43727</c:v>
                </c:pt>
                <c:pt idx="24">
                  <c:v>43731</c:v>
                </c:pt>
                <c:pt idx="25">
                  <c:v>43734</c:v>
                </c:pt>
                <c:pt idx="26">
                  <c:v>43738</c:v>
                </c:pt>
                <c:pt idx="27">
                  <c:v>43741</c:v>
                </c:pt>
                <c:pt idx="28">
                  <c:v>43746</c:v>
                </c:pt>
                <c:pt idx="29">
                  <c:v>43753</c:v>
                </c:pt>
                <c:pt idx="30">
                  <c:v>43756</c:v>
                </c:pt>
                <c:pt idx="31">
                  <c:v>43760</c:v>
                </c:pt>
                <c:pt idx="32">
                  <c:v>43762</c:v>
                </c:pt>
                <c:pt idx="33">
                  <c:v>43766</c:v>
                </c:pt>
                <c:pt idx="34">
                  <c:v>43769</c:v>
                </c:pt>
                <c:pt idx="35">
                  <c:v>43774</c:v>
                </c:pt>
                <c:pt idx="36">
                  <c:v>43776</c:v>
                </c:pt>
                <c:pt idx="37">
                  <c:v>43781</c:v>
                </c:pt>
                <c:pt idx="38">
                  <c:v>43783</c:v>
                </c:pt>
                <c:pt idx="39">
                  <c:v>43787</c:v>
                </c:pt>
                <c:pt idx="40">
                  <c:v>43790</c:v>
                </c:pt>
                <c:pt idx="41">
                  <c:v>43795</c:v>
                </c:pt>
                <c:pt idx="42">
                  <c:v>43797</c:v>
                </c:pt>
                <c:pt idx="43">
                  <c:v>43798</c:v>
                </c:pt>
                <c:pt idx="44">
                  <c:v>43801</c:v>
                </c:pt>
                <c:pt idx="45">
                  <c:v>43803</c:v>
                </c:pt>
                <c:pt idx="46">
                  <c:v>43808</c:v>
                </c:pt>
                <c:pt idx="47">
                  <c:v>43811</c:v>
                </c:pt>
                <c:pt idx="48">
                  <c:v>43815</c:v>
                </c:pt>
                <c:pt idx="49">
                  <c:v>43818</c:v>
                </c:pt>
                <c:pt idx="50">
                  <c:v>43837</c:v>
                </c:pt>
                <c:pt idx="51">
                  <c:v>43843</c:v>
                </c:pt>
                <c:pt idx="52">
                  <c:v>43850</c:v>
                </c:pt>
                <c:pt idx="53">
                  <c:v>43859</c:v>
                </c:pt>
                <c:pt idx="54">
                  <c:v>43865</c:v>
                </c:pt>
                <c:pt idx="55">
                  <c:v>43886</c:v>
                </c:pt>
                <c:pt idx="56">
                  <c:v>43970</c:v>
                </c:pt>
                <c:pt idx="57">
                  <c:v>43977</c:v>
                </c:pt>
                <c:pt idx="58">
                  <c:v>43999</c:v>
                </c:pt>
                <c:pt idx="59">
                  <c:v>44029</c:v>
                </c:pt>
                <c:pt idx="61">
                  <c:v>44082</c:v>
                </c:pt>
                <c:pt idx="63">
                  <c:v>44082</c:v>
                </c:pt>
                <c:pt idx="65">
                  <c:v>44140</c:v>
                </c:pt>
                <c:pt idx="66">
                  <c:v>44172</c:v>
                </c:pt>
                <c:pt idx="67">
                  <c:v>44229</c:v>
                </c:pt>
                <c:pt idx="69">
                  <c:v>44322</c:v>
                </c:pt>
                <c:pt idx="70">
                  <c:v>44357</c:v>
                </c:pt>
                <c:pt idx="71">
                  <c:v>44362</c:v>
                </c:pt>
                <c:pt idx="72">
                  <c:v>44369</c:v>
                </c:pt>
                <c:pt idx="73">
                  <c:v>44376</c:v>
                </c:pt>
                <c:pt idx="74">
                  <c:v>44400</c:v>
                </c:pt>
                <c:pt idx="75">
                  <c:v>44439</c:v>
                </c:pt>
                <c:pt idx="76">
                  <c:v>44474</c:v>
                </c:pt>
                <c:pt idx="77">
                  <c:v>44522</c:v>
                </c:pt>
                <c:pt idx="78">
                  <c:v>44531</c:v>
                </c:pt>
                <c:pt idx="79">
                  <c:v>44536</c:v>
                </c:pt>
                <c:pt idx="80">
                  <c:v>44543</c:v>
                </c:pt>
                <c:pt idx="81">
                  <c:v>44550</c:v>
                </c:pt>
                <c:pt idx="82">
                  <c:v>44572</c:v>
                </c:pt>
                <c:pt idx="83">
                  <c:v>44578</c:v>
                </c:pt>
                <c:pt idx="84">
                  <c:v>44595</c:v>
                </c:pt>
                <c:pt idx="85">
                  <c:v>44613</c:v>
                </c:pt>
                <c:pt idx="86">
                  <c:v>44648</c:v>
                </c:pt>
                <c:pt idx="87">
                  <c:v>44678</c:v>
                </c:pt>
                <c:pt idx="88">
                  <c:v>44711</c:v>
                </c:pt>
                <c:pt idx="89">
                  <c:v>44740</c:v>
                </c:pt>
                <c:pt idx="90">
                  <c:v>44767</c:v>
                </c:pt>
                <c:pt idx="91">
                  <c:v>44902</c:v>
                </c:pt>
                <c:pt idx="92">
                  <c:v>44915</c:v>
                </c:pt>
                <c:pt idx="93">
                  <c:v>44930</c:v>
                </c:pt>
                <c:pt idx="94">
                  <c:v>44945</c:v>
                </c:pt>
                <c:pt idx="95">
                  <c:v>44957</c:v>
                </c:pt>
                <c:pt idx="96">
                  <c:v>44988</c:v>
                </c:pt>
                <c:pt idx="97">
                  <c:v>45013</c:v>
                </c:pt>
              </c:numCache>
            </c:numRef>
          </c:xVal>
          <c:yVal>
            <c:numRef>
              <c:f>Déplacements!$P$10:$P$132</c:f>
              <c:numCache>
                <c:formatCode>\+\ 0.0;\-\ 0.0;\±\ 0.0</c:formatCode>
                <c:ptCount val="123"/>
                <c:pt idx="0">
                  <c:v>0</c:v>
                </c:pt>
                <c:pt idx="1">
                  <c:v>0.17473322764360866</c:v>
                </c:pt>
                <c:pt idx="2">
                  <c:v>-0.75552758066366188</c:v>
                </c:pt>
                <c:pt idx="3">
                  <c:v>1.3951780168945938</c:v>
                </c:pt>
                <c:pt idx="4">
                  <c:v>9.6728117908728706E-2</c:v>
                </c:pt>
                <c:pt idx="5">
                  <c:v>-2.6029989140889942</c:v>
                </c:pt>
                <c:pt idx="6">
                  <c:v>-10.69821284717376</c:v>
                </c:pt>
                <c:pt idx="7">
                  <c:v>-11.990990494892495</c:v>
                </c:pt>
                <c:pt idx="8">
                  <c:v>-12.629753847173797</c:v>
                </c:pt>
                <c:pt idx="11">
                  <c:v>-11.929753847173874</c:v>
                </c:pt>
                <c:pt idx="12">
                  <c:v>-14.246947761137552</c:v>
                </c:pt>
                <c:pt idx="13">
                  <c:v>-14.615563847173885</c:v>
                </c:pt>
                <c:pt idx="14">
                  <c:v>-14.52975384717381</c:v>
                </c:pt>
                <c:pt idx="15">
                  <c:v>-15.629753847173911</c:v>
                </c:pt>
                <c:pt idx="16">
                  <c:v>-8.4147763819995003</c:v>
                </c:pt>
                <c:pt idx="17">
                  <c:v>-9.0297538471739713</c:v>
                </c:pt>
                <c:pt idx="18">
                  <c:v>-8.9297538471739824</c:v>
                </c:pt>
                <c:pt idx="19">
                  <c:v>-7.0297538471739696</c:v>
                </c:pt>
                <c:pt idx="20">
                  <c:v>-10.729753847174006</c:v>
                </c:pt>
                <c:pt idx="21">
                  <c:v>-9.0297538471739713</c:v>
                </c:pt>
                <c:pt idx="22">
                  <c:v>-9.2297538471739493</c:v>
                </c:pt>
                <c:pt idx="23">
                  <c:v>-10.329753847173828</c:v>
                </c:pt>
                <c:pt idx="24">
                  <c:v>-11.229753847173951</c:v>
                </c:pt>
                <c:pt idx="25">
                  <c:v>-10.529753847173806</c:v>
                </c:pt>
                <c:pt idx="26">
                  <c:v>-10.629753847173795</c:v>
                </c:pt>
                <c:pt idx="27">
                  <c:v>-10.029753847173861</c:v>
                </c:pt>
                <c:pt idx="28">
                  <c:v>-13.087639787077388</c:v>
                </c:pt>
                <c:pt idx="29">
                  <c:v>-10.734542580562723</c:v>
                </c:pt>
                <c:pt idx="30">
                  <c:v>-10.070070913259732</c:v>
                </c:pt>
                <c:pt idx="31">
                  <c:v>-10.951967637996551</c:v>
                </c:pt>
                <c:pt idx="33">
                  <c:v>-12.23297422264924</c:v>
                </c:pt>
                <c:pt idx="34">
                  <c:v>-8.7711943629518174</c:v>
                </c:pt>
                <c:pt idx="35">
                  <c:v>-13.277833114566651</c:v>
                </c:pt>
                <c:pt idx="36">
                  <c:v>-9.6297538471739053</c:v>
                </c:pt>
                <c:pt idx="37">
                  <c:v>-12.629753847173797</c:v>
                </c:pt>
                <c:pt idx="38">
                  <c:v>-12.32975384717383</c:v>
                </c:pt>
                <c:pt idx="39">
                  <c:v>-12.32975384717383</c:v>
                </c:pt>
                <c:pt idx="40">
                  <c:v>-12.32975384717383</c:v>
                </c:pt>
                <c:pt idx="41">
                  <c:v>-11.829753847173885</c:v>
                </c:pt>
                <c:pt idx="42">
                  <c:v>-10.829753847173995</c:v>
                </c:pt>
                <c:pt idx="43">
                  <c:v>-12.842556981370823</c:v>
                </c:pt>
                <c:pt idx="44">
                  <c:v>-12.129753847173852</c:v>
                </c:pt>
                <c:pt idx="45">
                  <c:v>-12.32975384717383</c:v>
                </c:pt>
                <c:pt idx="46">
                  <c:v>-12.32975384717383</c:v>
                </c:pt>
                <c:pt idx="47">
                  <c:v>-13.229753847173953</c:v>
                </c:pt>
                <c:pt idx="48">
                  <c:v>-12.229753847173841</c:v>
                </c:pt>
                <c:pt idx="49">
                  <c:v>-9.5297538471739163</c:v>
                </c:pt>
                <c:pt idx="50">
                  <c:v>-12.829753847173997</c:v>
                </c:pt>
                <c:pt idx="51">
                  <c:v>-13.52975384717392</c:v>
                </c:pt>
                <c:pt idx="52">
                  <c:v>-12.729753847174008</c:v>
                </c:pt>
                <c:pt idx="53">
                  <c:v>-13.229753847173953</c:v>
                </c:pt>
                <c:pt idx="54">
                  <c:v>-12.129753847173852</c:v>
                </c:pt>
                <c:pt idx="55">
                  <c:v>-14.72975384717401</c:v>
                </c:pt>
                <c:pt idx="56">
                  <c:v>-13.729753847173898</c:v>
                </c:pt>
                <c:pt idx="57">
                  <c:v>-13.029753847173975</c:v>
                </c:pt>
                <c:pt idx="58">
                  <c:v>-13.144938624962244</c:v>
                </c:pt>
                <c:pt idx="59">
                  <c:v>-12.577194653522916</c:v>
                </c:pt>
                <c:pt idx="61">
                  <c:v>-13.912237526366722</c:v>
                </c:pt>
                <c:pt idx="63">
                  <c:v>-13.912237526366722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E02-481E-A4B3-FBC4E5761E36}"/>
            </c:ext>
          </c:extLst>
        </c:ser>
        <c:ser>
          <c:idx val="2"/>
          <c:order val="6"/>
          <c:tx>
            <c:strRef>
              <c:f>Déplacements!$V$9</c:f>
              <c:strCache>
                <c:ptCount val="1"/>
                <c:pt idx="0">
                  <c:v>DH bas droit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tint val="50000"/>
                      <a:satMod val="300000"/>
                    </a:schemeClr>
                  </a:gs>
                  <a:gs pos="35000">
                    <a:schemeClr val="accent3">
                      <a:tint val="37000"/>
                      <a:satMod val="300000"/>
                    </a:schemeClr>
                  </a:gs>
                  <a:gs pos="100000">
                    <a:schemeClr val="accent3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Déplacements!$B$10:$B$142</c:f>
              <c:numCache>
                <c:formatCode>dd\ /\ mm\ /\ yy</c:formatCode>
                <c:ptCount val="133"/>
                <c:pt idx="0">
                  <c:v>43658</c:v>
                </c:pt>
                <c:pt idx="1">
                  <c:v>43661</c:v>
                </c:pt>
                <c:pt idx="2">
                  <c:v>43662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11">
                  <c:v>43685</c:v>
                </c:pt>
                <c:pt idx="12">
                  <c:v>43689</c:v>
                </c:pt>
                <c:pt idx="13">
                  <c:v>43690</c:v>
                </c:pt>
                <c:pt idx="14">
                  <c:v>43696</c:v>
                </c:pt>
                <c:pt idx="15">
                  <c:v>43699</c:v>
                </c:pt>
                <c:pt idx="16">
                  <c:v>43704</c:v>
                </c:pt>
                <c:pt idx="17">
                  <c:v>43706</c:v>
                </c:pt>
                <c:pt idx="18">
                  <c:v>43710</c:v>
                </c:pt>
                <c:pt idx="19">
                  <c:v>43713</c:v>
                </c:pt>
                <c:pt idx="20">
                  <c:v>43718</c:v>
                </c:pt>
                <c:pt idx="21">
                  <c:v>43720</c:v>
                </c:pt>
                <c:pt idx="22">
                  <c:v>43724</c:v>
                </c:pt>
                <c:pt idx="23">
                  <c:v>43727</c:v>
                </c:pt>
                <c:pt idx="24">
                  <c:v>43731</c:v>
                </c:pt>
                <c:pt idx="25">
                  <c:v>43734</c:v>
                </c:pt>
                <c:pt idx="26">
                  <c:v>43738</c:v>
                </c:pt>
                <c:pt idx="27">
                  <c:v>43741</c:v>
                </c:pt>
                <c:pt idx="28">
                  <c:v>43746</c:v>
                </c:pt>
                <c:pt idx="29">
                  <c:v>43753</c:v>
                </c:pt>
                <c:pt idx="30">
                  <c:v>43756</c:v>
                </c:pt>
                <c:pt idx="31">
                  <c:v>43760</c:v>
                </c:pt>
                <c:pt idx="32">
                  <c:v>43762</c:v>
                </c:pt>
                <c:pt idx="33">
                  <c:v>43766</c:v>
                </c:pt>
                <c:pt idx="34">
                  <c:v>43769</c:v>
                </c:pt>
                <c:pt idx="35">
                  <c:v>43774</c:v>
                </c:pt>
                <c:pt idx="36">
                  <c:v>43776</c:v>
                </c:pt>
                <c:pt idx="37">
                  <c:v>43781</c:v>
                </c:pt>
                <c:pt idx="38">
                  <c:v>43783</c:v>
                </c:pt>
                <c:pt idx="39">
                  <c:v>43787</c:v>
                </c:pt>
                <c:pt idx="40">
                  <c:v>43790</c:v>
                </c:pt>
                <c:pt idx="41">
                  <c:v>43795</c:v>
                </c:pt>
                <c:pt idx="42">
                  <c:v>43797</c:v>
                </c:pt>
                <c:pt idx="43">
                  <c:v>43798</c:v>
                </c:pt>
                <c:pt idx="44">
                  <c:v>43801</c:v>
                </c:pt>
                <c:pt idx="45">
                  <c:v>43803</c:v>
                </c:pt>
                <c:pt idx="46">
                  <c:v>43808</c:v>
                </c:pt>
                <c:pt idx="47">
                  <c:v>43811</c:v>
                </c:pt>
                <c:pt idx="48">
                  <c:v>43815</c:v>
                </c:pt>
                <c:pt idx="49">
                  <c:v>43818</c:v>
                </c:pt>
                <c:pt idx="50">
                  <c:v>43837</c:v>
                </c:pt>
                <c:pt idx="51">
                  <c:v>43843</c:v>
                </c:pt>
                <c:pt idx="52">
                  <c:v>43850</c:v>
                </c:pt>
                <c:pt idx="53">
                  <c:v>43859</c:v>
                </c:pt>
                <c:pt idx="54">
                  <c:v>43865</c:v>
                </c:pt>
                <c:pt idx="55">
                  <c:v>43886</c:v>
                </c:pt>
                <c:pt idx="56">
                  <c:v>43970</c:v>
                </c:pt>
                <c:pt idx="57">
                  <c:v>43977</c:v>
                </c:pt>
                <c:pt idx="58">
                  <c:v>43999</c:v>
                </c:pt>
                <c:pt idx="59">
                  <c:v>44029</c:v>
                </c:pt>
                <c:pt idx="61">
                  <c:v>44082</c:v>
                </c:pt>
                <c:pt idx="63">
                  <c:v>44082</c:v>
                </c:pt>
                <c:pt idx="65">
                  <c:v>44140</c:v>
                </c:pt>
                <c:pt idx="66">
                  <c:v>44172</c:v>
                </c:pt>
                <c:pt idx="67">
                  <c:v>44229</c:v>
                </c:pt>
                <c:pt idx="69">
                  <c:v>44322</c:v>
                </c:pt>
                <c:pt idx="70">
                  <c:v>44357</c:v>
                </c:pt>
                <c:pt idx="71">
                  <c:v>44362</c:v>
                </c:pt>
                <c:pt idx="72">
                  <c:v>44369</c:v>
                </c:pt>
                <c:pt idx="73">
                  <c:v>44376</c:v>
                </c:pt>
                <c:pt idx="74">
                  <c:v>44400</c:v>
                </c:pt>
                <c:pt idx="75">
                  <c:v>44439</c:v>
                </c:pt>
                <c:pt idx="76">
                  <c:v>44474</c:v>
                </c:pt>
                <c:pt idx="77">
                  <c:v>44522</c:v>
                </c:pt>
                <c:pt idx="78">
                  <c:v>44531</c:v>
                </c:pt>
                <c:pt idx="79">
                  <c:v>44536</c:v>
                </c:pt>
                <c:pt idx="80">
                  <c:v>44543</c:v>
                </c:pt>
                <c:pt idx="81">
                  <c:v>44550</c:v>
                </c:pt>
                <c:pt idx="82">
                  <c:v>44572</c:v>
                </c:pt>
                <c:pt idx="83">
                  <c:v>44578</c:v>
                </c:pt>
                <c:pt idx="84">
                  <c:v>44595</c:v>
                </c:pt>
                <c:pt idx="85">
                  <c:v>44613</c:v>
                </c:pt>
                <c:pt idx="86">
                  <c:v>44648</c:v>
                </c:pt>
                <c:pt idx="87">
                  <c:v>44678</c:v>
                </c:pt>
                <c:pt idx="88">
                  <c:v>44711</c:v>
                </c:pt>
                <c:pt idx="89">
                  <c:v>44740</c:v>
                </c:pt>
                <c:pt idx="90">
                  <c:v>44767</c:v>
                </c:pt>
                <c:pt idx="91">
                  <c:v>44902</c:v>
                </c:pt>
                <c:pt idx="92">
                  <c:v>44915</c:v>
                </c:pt>
                <c:pt idx="93">
                  <c:v>44930</c:v>
                </c:pt>
                <c:pt idx="94">
                  <c:v>44945</c:v>
                </c:pt>
                <c:pt idx="95">
                  <c:v>44957</c:v>
                </c:pt>
                <c:pt idx="96">
                  <c:v>44988</c:v>
                </c:pt>
                <c:pt idx="97">
                  <c:v>45013</c:v>
                </c:pt>
              </c:numCache>
            </c:numRef>
          </c:xVal>
          <c:yVal>
            <c:numRef>
              <c:f>Déplacements!$V$10:$V$312</c:f>
              <c:numCache>
                <c:formatCode>\+\ 0.0;\-\ 0.0;\±\ 0.0</c:formatCode>
                <c:ptCount val="303"/>
                <c:pt idx="0">
                  <c:v>0</c:v>
                </c:pt>
                <c:pt idx="1">
                  <c:v>-0.2422464995341933</c:v>
                </c:pt>
                <c:pt idx="2">
                  <c:v>-2.2417612506617779</c:v>
                </c:pt>
                <c:pt idx="3">
                  <c:v>-0.55030039691938981</c:v>
                </c:pt>
                <c:pt idx="4">
                  <c:v>-1.3327817481689763</c:v>
                </c:pt>
                <c:pt idx="5">
                  <c:v>-5.3257128165116185</c:v>
                </c:pt>
                <c:pt idx="6">
                  <c:v>-13.167335174446126</c:v>
                </c:pt>
                <c:pt idx="7">
                  <c:v>-14.097596391519307</c:v>
                </c:pt>
                <c:pt idx="8">
                  <c:v>-13.364695174446162</c:v>
                </c:pt>
                <c:pt idx="11">
                  <c:v>-12.364695174446272</c:v>
                </c:pt>
                <c:pt idx="12">
                  <c:v>-14.631653456852245</c:v>
                </c:pt>
                <c:pt idx="13">
                  <c:v>-15.308323174446414</c:v>
                </c:pt>
                <c:pt idx="14">
                  <c:v>-15.064695174446197</c:v>
                </c:pt>
                <c:pt idx="15">
                  <c:v>-16.064695174446086</c:v>
                </c:pt>
                <c:pt idx="16">
                  <c:v>-14.492660160518422</c:v>
                </c:pt>
                <c:pt idx="17">
                  <c:v>-15.66469517444613</c:v>
                </c:pt>
                <c:pt idx="18">
                  <c:v>-15.364695174446386</c:v>
                </c:pt>
                <c:pt idx="19">
                  <c:v>-13.464695174446373</c:v>
                </c:pt>
                <c:pt idx="20">
                  <c:v>-17.364695174446165</c:v>
                </c:pt>
                <c:pt idx="21">
                  <c:v>-15.66469517444613</c:v>
                </c:pt>
                <c:pt idx="23">
                  <c:v>-17.264695174446398</c:v>
                </c:pt>
                <c:pt idx="24">
                  <c:v>-18.564695174446477</c:v>
                </c:pt>
                <c:pt idx="25">
                  <c:v>-17.864695174446332</c:v>
                </c:pt>
                <c:pt idx="27">
                  <c:v>-17.664695174446354</c:v>
                </c:pt>
                <c:pt idx="28">
                  <c:v>-20.268320987574473</c:v>
                </c:pt>
                <c:pt idx="29">
                  <c:v>-18.082181131557018</c:v>
                </c:pt>
                <c:pt idx="30">
                  <c:v>-17.936143565024043</c:v>
                </c:pt>
                <c:pt idx="31">
                  <c:v>-18.745707644821863</c:v>
                </c:pt>
                <c:pt idx="33">
                  <c:v>-20.250237720856656</c:v>
                </c:pt>
                <c:pt idx="34">
                  <c:v>-16.244682760488516</c:v>
                </c:pt>
                <c:pt idx="35">
                  <c:v>-21.301195306843379</c:v>
                </c:pt>
                <c:pt idx="36">
                  <c:v>-17.764695174446121</c:v>
                </c:pt>
                <c:pt idx="37">
                  <c:v>-20.664695174446468</c:v>
                </c:pt>
                <c:pt idx="38">
                  <c:v>-20.464695174446046</c:v>
                </c:pt>
                <c:pt idx="39">
                  <c:v>-20.364695174446279</c:v>
                </c:pt>
                <c:pt idx="40">
                  <c:v>-20.364695174446279</c:v>
                </c:pt>
                <c:pt idx="41">
                  <c:v>-20.06469517444609</c:v>
                </c:pt>
                <c:pt idx="42">
                  <c:v>-19.0646951744462</c:v>
                </c:pt>
                <c:pt idx="43">
                  <c:v>-21.325164128473961</c:v>
                </c:pt>
                <c:pt idx="44">
                  <c:v>-20.964695174446213</c:v>
                </c:pt>
                <c:pt idx="45">
                  <c:v>-20.764695174446235</c:v>
                </c:pt>
                <c:pt idx="46">
                  <c:v>-20.464695174446046</c:v>
                </c:pt>
                <c:pt idx="47">
                  <c:v>-21.564695174446147</c:v>
                </c:pt>
                <c:pt idx="48">
                  <c:v>-20.764695174446235</c:v>
                </c:pt>
                <c:pt idx="49">
                  <c:v>-18.06469517444631</c:v>
                </c:pt>
                <c:pt idx="50">
                  <c:v>-21.364695174446169</c:v>
                </c:pt>
                <c:pt idx="51">
                  <c:v>-22.064695174446314</c:v>
                </c:pt>
                <c:pt idx="52">
                  <c:v>-21.264695174446402</c:v>
                </c:pt>
                <c:pt idx="53">
                  <c:v>-21.564695174446147</c:v>
                </c:pt>
                <c:pt idx="54">
                  <c:v>-20.264695174446068</c:v>
                </c:pt>
                <c:pt idx="55">
                  <c:v>-23.164695174446415</c:v>
                </c:pt>
                <c:pt idx="56">
                  <c:v>-22.064695174446314</c:v>
                </c:pt>
                <c:pt idx="57">
                  <c:v>-21.664695174446358</c:v>
                </c:pt>
                <c:pt idx="58">
                  <c:v>-21.404022280720802</c:v>
                </c:pt>
                <c:pt idx="59">
                  <c:v>-20.920808455120454</c:v>
                </c:pt>
                <c:pt idx="61">
                  <c:v>-22.394844673448766</c:v>
                </c:pt>
                <c:pt idx="63">
                  <c:v>-22.394844673448766</c:v>
                </c:pt>
                <c:pt idx="69">
                  <c:v>-21.946679915801237</c:v>
                </c:pt>
                <c:pt idx="70">
                  <c:v>-21.759749138047013</c:v>
                </c:pt>
                <c:pt idx="71">
                  <c:v>-21.06478314184379</c:v>
                </c:pt>
                <c:pt idx="72">
                  <c:v>-22.659515828469701</c:v>
                </c:pt>
                <c:pt idx="73">
                  <c:v>-21.940581059859188</c:v>
                </c:pt>
                <c:pt idx="74">
                  <c:v>-22.798509173993509</c:v>
                </c:pt>
                <c:pt idx="75">
                  <c:v>-23.112661927328304</c:v>
                </c:pt>
                <c:pt idx="76">
                  <c:v>-22.327493109486785</c:v>
                </c:pt>
                <c:pt idx="77">
                  <c:v>-24.465574765776932</c:v>
                </c:pt>
                <c:pt idx="78">
                  <c:v>-24.937017270653339</c:v>
                </c:pt>
                <c:pt idx="79">
                  <c:v>-26.435022050376844</c:v>
                </c:pt>
                <c:pt idx="80">
                  <c:v>-26.44721976227693</c:v>
                </c:pt>
                <c:pt idx="81">
                  <c:v>-27.045457851594179</c:v>
                </c:pt>
                <c:pt idx="82">
                  <c:v>-25.36576810755431</c:v>
                </c:pt>
                <c:pt idx="83">
                  <c:v>-23.976688735592777</c:v>
                </c:pt>
                <c:pt idx="84">
                  <c:v>-25.197133686644335</c:v>
                </c:pt>
                <c:pt idx="85">
                  <c:v>-26.120869247857392</c:v>
                </c:pt>
                <c:pt idx="86">
                  <c:v>-26.272060094234551</c:v>
                </c:pt>
                <c:pt idx="87">
                  <c:v>-27.184024545775731</c:v>
                </c:pt>
                <c:pt idx="88">
                  <c:v>-25.716513623698756</c:v>
                </c:pt>
                <c:pt idx="89">
                  <c:v>-27.570936595367801</c:v>
                </c:pt>
                <c:pt idx="90">
                  <c:v>-26.796334059854043</c:v>
                </c:pt>
                <c:pt idx="91">
                  <c:v>-28.441062259627614</c:v>
                </c:pt>
                <c:pt idx="94">
                  <c:v>-28.241507378871322</c:v>
                </c:pt>
                <c:pt idx="95">
                  <c:v>-28.33823549675385</c:v>
                </c:pt>
                <c:pt idx="96">
                  <c:v>-27.963520947996923</c:v>
                </c:pt>
                <c:pt idx="97">
                  <c:v>-27.9818173048203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E02-481E-A4B3-FBC4E5761E36}"/>
            </c:ext>
          </c:extLst>
        </c:ser>
        <c:ser>
          <c:idx val="7"/>
          <c:order val="8"/>
          <c:tx>
            <c:strRef>
              <c:f>Graphiques!$AB$36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xVal>
            <c:numRef>
              <c:f>Graphiques!$AD$37:$AD$71</c:f>
              <c:numCache>
                <c:formatCode>m/d/yyyy</c:formatCode>
                <c:ptCount val="35"/>
              </c:numCache>
            </c:numRef>
          </c:xVal>
          <c:yVal>
            <c:numRef>
              <c:f>Graphiques!$AE$37:$AE$71</c:f>
              <c:numCache>
                <c:formatCode>General</c:formatCode>
                <c:ptCount val="3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E02-481E-A4B3-FBC4E5761E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266128"/>
        <c:axId val="593262208"/>
      </c:scatterChart>
      <c:scatterChart>
        <c:scatterStyle val="lineMarker"/>
        <c:varyColors val="0"/>
        <c:ser>
          <c:idx val="8"/>
          <c:order val="7"/>
          <c:tx>
            <c:v>PM Front</c:v>
          </c:tx>
          <c:spPr>
            <a:ln w="15875" cap="rnd">
              <a:solidFill>
                <a:schemeClr val="accent3">
                  <a:lumMod val="60000"/>
                </a:schemeClr>
              </a:solidFill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xVal>
            <c:strRef>
              <c:f>('Résultats observations'!$A$10:$A$18,'Résultats observations'!$A$20:$A$99)</c:f>
              <c:strCache>
                <c:ptCount val="89"/>
                <c:pt idx="0">
                  <c:v>12 / 07 / 19</c:v>
                </c:pt>
                <c:pt idx="1">
                  <c:v>15 / 07 / 19</c:v>
                </c:pt>
                <c:pt idx="2">
                  <c:v>16 / 07 / 19</c:v>
                </c:pt>
                <c:pt idx="3">
                  <c:v>17 / 07 / 19</c:v>
                </c:pt>
                <c:pt idx="4">
                  <c:v>23 / 07 / 19</c:v>
                </c:pt>
                <c:pt idx="5">
                  <c:v>29 / 07 / 19</c:v>
                </c:pt>
                <c:pt idx="6">
                  <c:v>02 / 08 / 19</c:v>
                </c:pt>
                <c:pt idx="7">
                  <c:v>05 / 08 / 19</c:v>
                </c:pt>
                <c:pt idx="8">
                  <c:v>07 / 08 / 19</c:v>
                </c:pt>
                <c:pt idx="9">
                  <c:v>07 / 08 / 19</c:v>
                </c:pt>
                <c:pt idx="10">
                  <c:v>08 / 08 / 19</c:v>
                </c:pt>
                <c:pt idx="11">
                  <c:v>12 / 08 / 19</c:v>
                </c:pt>
                <c:pt idx="12">
                  <c:v>13 / 08 / 19</c:v>
                </c:pt>
                <c:pt idx="13">
                  <c:v>19 / 08 / 19</c:v>
                </c:pt>
                <c:pt idx="14">
                  <c:v>22 / 08 / 19</c:v>
                </c:pt>
                <c:pt idx="15">
                  <c:v>27 / 08 / 19</c:v>
                </c:pt>
                <c:pt idx="16">
                  <c:v>29 / 08 / 19</c:v>
                </c:pt>
                <c:pt idx="17">
                  <c:v>02 / 09 / 19</c:v>
                </c:pt>
                <c:pt idx="18">
                  <c:v>05 / 09 / 19</c:v>
                </c:pt>
                <c:pt idx="19">
                  <c:v>10 / 09 / 19</c:v>
                </c:pt>
                <c:pt idx="20">
                  <c:v>12 / 09 / 19</c:v>
                </c:pt>
                <c:pt idx="21">
                  <c:v>16 / 09 / 19</c:v>
                </c:pt>
                <c:pt idx="22">
                  <c:v>19 / 09 / 19</c:v>
                </c:pt>
                <c:pt idx="23">
                  <c:v>23 / 09 / 19</c:v>
                </c:pt>
                <c:pt idx="24">
                  <c:v>26 / 09 / 19</c:v>
                </c:pt>
                <c:pt idx="25">
                  <c:v>30 / 09 / 19</c:v>
                </c:pt>
                <c:pt idx="26">
                  <c:v>03 / 10 / 19</c:v>
                </c:pt>
                <c:pt idx="27">
                  <c:v>08 / 10 / 19</c:v>
                </c:pt>
                <c:pt idx="28">
                  <c:v>15 / 10 / 19</c:v>
                </c:pt>
                <c:pt idx="29">
                  <c:v>18 / 10 / 19</c:v>
                </c:pt>
                <c:pt idx="30">
                  <c:v>22 / 10 / 19</c:v>
                </c:pt>
                <c:pt idx="31">
                  <c:v>24 / 10 / 19</c:v>
                </c:pt>
                <c:pt idx="32">
                  <c:v>28 / 10 / 19</c:v>
                </c:pt>
                <c:pt idx="33">
                  <c:v>31 / 10 / 19</c:v>
                </c:pt>
                <c:pt idx="34">
                  <c:v>05 / 11 / 19</c:v>
                </c:pt>
                <c:pt idx="35">
                  <c:v>07 / 11 / 19</c:v>
                </c:pt>
                <c:pt idx="36">
                  <c:v>12 / 11 / 19</c:v>
                </c:pt>
                <c:pt idx="37">
                  <c:v>14 / 11 / 19</c:v>
                </c:pt>
                <c:pt idx="38">
                  <c:v>18 / 11 / 19</c:v>
                </c:pt>
                <c:pt idx="39">
                  <c:v>21 / 11 / 19</c:v>
                </c:pt>
                <c:pt idx="40">
                  <c:v>26 / 11 / 19</c:v>
                </c:pt>
                <c:pt idx="41">
                  <c:v>28 / 11 / 19</c:v>
                </c:pt>
                <c:pt idx="42">
                  <c:v>29 / 11 / 19</c:v>
                </c:pt>
                <c:pt idx="43">
                  <c:v>02 / 12 / 19</c:v>
                </c:pt>
                <c:pt idx="44">
                  <c:v>04 / 12 / 19</c:v>
                </c:pt>
                <c:pt idx="45">
                  <c:v>09 / 12 / 19</c:v>
                </c:pt>
                <c:pt idx="46">
                  <c:v>12 / 12 / 19</c:v>
                </c:pt>
                <c:pt idx="47">
                  <c:v>16 / 12 / 19</c:v>
                </c:pt>
                <c:pt idx="48">
                  <c:v>19 / 12 / 19</c:v>
                </c:pt>
                <c:pt idx="49">
                  <c:v>07 / 01 / 20</c:v>
                </c:pt>
                <c:pt idx="50">
                  <c:v>13 / 01 / 20</c:v>
                </c:pt>
                <c:pt idx="51">
                  <c:v>20 / 01 / 20</c:v>
                </c:pt>
                <c:pt idx="52">
                  <c:v>29 / 01 / 20</c:v>
                </c:pt>
                <c:pt idx="53">
                  <c:v>04 / 02 / 20</c:v>
                </c:pt>
                <c:pt idx="54">
                  <c:v>25 / 02 / 20</c:v>
                </c:pt>
                <c:pt idx="55">
                  <c:v>19 / 05 / 20</c:v>
                </c:pt>
                <c:pt idx="56">
                  <c:v>26 / 05 / 20</c:v>
                </c:pt>
                <c:pt idx="57">
                  <c:v>17 / 06 / 20</c:v>
                </c:pt>
                <c:pt idx="58">
                  <c:v>17 / 07 / 20</c:v>
                </c:pt>
                <c:pt idx="59">
                  <c:v>12 / 08 / 20</c:v>
                </c:pt>
                <c:pt idx="60">
                  <c:v>08 / 09 / 20</c:v>
                </c:pt>
                <c:pt idx="61">
                  <c:v>CHANGEMENT DE SYSTÈME DE COORDONNEES</c:v>
                </c:pt>
                <c:pt idx="62">
                  <c:v>08 / 09 / 20</c:v>
                </c:pt>
                <c:pt idx="63">
                  <c:v>passation andra</c:v>
                </c:pt>
                <c:pt idx="64">
                  <c:v>05 / 11 / 20</c:v>
                </c:pt>
                <c:pt idx="65">
                  <c:v>07 / 12 / 20</c:v>
                </c:pt>
                <c:pt idx="66">
                  <c:v>02 / 02 / 21</c:v>
                </c:pt>
                <c:pt idx="67">
                  <c:v>18 / 03 / 21</c:v>
                </c:pt>
                <c:pt idx="68">
                  <c:v>06 / 05 / 21</c:v>
                </c:pt>
                <c:pt idx="69">
                  <c:v>10 / 06 / 21</c:v>
                </c:pt>
                <c:pt idx="70">
                  <c:v>15 / 06 / 21</c:v>
                </c:pt>
                <c:pt idx="71">
                  <c:v>22 / 06 / 21</c:v>
                </c:pt>
                <c:pt idx="72">
                  <c:v>29 / 06 / 21</c:v>
                </c:pt>
                <c:pt idx="73">
                  <c:v>23 / 07 / 21</c:v>
                </c:pt>
                <c:pt idx="74">
                  <c:v>31 / 08 / 21</c:v>
                </c:pt>
                <c:pt idx="75">
                  <c:v>05 / 10 / 21</c:v>
                </c:pt>
                <c:pt idx="76">
                  <c:v>22 / 11 / 21</c:v>
                </c:pt>
                <c:pt idx="77">
                  <c:v>01 / 12 / 21</c:v>
                </c:pt>
                <c:pt idx="78">
                  <c:v>06 / 12 / 21</c:v>
                </c:pt>
                <c:pt idx="79">
                  <c:v>13 / 12 / 21</c:v>
                </c:pt>
                <c:pt idx="80">
                  <c:v>20 / 12 / 21</c:v>
                </c:pt>
                <c:pt idx="81">
                  <c:v>11 / 01 / 22</c:v>
                </c:pt>
                <c:pt idx="82">
                  <c:v>17 / 01 / 22</c:v>
                </c:pt>
                <c:pt idx="83">
                  <c:v>03 / 02 / 22</c:v>
                </c:pt>
                <c:pt idx="84">
                  <c:v>21 / 02 / 22</c:v>
                </c:pt>
                <c:pt idx="85">
                  <c:v>28 / 03 / 22</c:v>
                </c:pt>
                <c:pt idx="86">
                  <c:v>27 / 04 / 22</c:v>
                </c:pt>
                <c:pt idx="87">
                  <c:v>30 / 05 / 22</c:v>
                </c:pt>
                <c:pt idx="88">
                  <c:v>28 / 06 / 22</c:v>
                </c:pt>
              </c:strCache>
            </c:strRef>
          </c:xVal>
          <c:yVal>
            <c:numRef>
              <c:f>('Résultats observations'!$C$10:$C$18,'Résultats observations'!$C$20:$C$99)</c:f>
              <c:numCache>
                <c:formatCode>0.0</c:formatCode>
                <c:ptCount val="89"/>
                <c:pt idx="0">
                  <c:v>186.15</c:v>
                </c:pt>
                <c:pt idx="1">
                  <c:v>186.15</c:v>
                </c:pt>
                <c:pt idx="2">
                  <c:v>187.2</c:v>
                </c:pt>
                <c:pt idx="3">
                  <c:v>188.17</c:v>
                </c:pt>
                <c:pt idx="4">
                  <c:v>189.23</c:v>
                </c:pt>
                <c:pt idx="5">
                  <c:v>191.5</c:v>
                </c:pt>
                <c:pt idx="6">
                  <c:v>193.04</c:v>
                </c:pt>
                <c:pt idx="7">
                  <c:v>193.04</c:v>
                </c:pt>
                <c:pt idx="8">
                  <c:v>193.66</c:v>
                </c:pt>
                <c:pt idx="9">
                  <c:v>193.66</c:v>
                </c:pt>
                <c:pt idx="10">
                  <c:v>193.66</c:v>
                </c:pt>
                <c:pt idx="11">
                  <c:v>194.8</c:v>
                </c:pt>
                <c:pt idx="12">
                  <c:v>194.8</c:v>
                </c:pt>
                <c:pt idx="13">
                  <c:v>195.4</c:v>
                </c:pt>
                <c:pt idx="14">
                  <c:v>196.35</c:v>
                </c:pt>
                <c:pt idx="15">
                  <c:v>197.2</c:v>
                </c:pt>
                <c:pt idx="16">
                  <c:v>198.3</c:v>
                </c:pt>
                <c:pt idx="17">
                  <c:v>199.4</c:v>
                </c:pt>
                <c:pt idx="18">
                  <c:v>200.6</c:v>
                </c:pt>
                <c:pt idx="19">
                  <c:v>202.58</c:v>
                </c:pt>
                <c:pt idx="20">
                  <c:v>203.6</c:v>
                </c:pt>
                <c:pt idx="21">
                  <c:v>203.6</c:v>
                </c:pt>
                <c:pt idx="22">
                  <c:v>206.32</c:v>
                </c:pt>
                <c:pt idx="23">
                  <c:v>206.32</c:v>
                </c:pt>
                <c:pt idx="24">
                  <c:v>206.32</c:v>
                </c:pt>
                <c:pt idx="25">
                  <c:v>206.32</c:v>
                </c:pt>
                <c:pt idx="26">
                  <c:v>207.2</c:v>
                </c:pt>
                <c:pt idx="27">
                  <c:v>208.3</c:v>
                </c:pt>
                <c:pt idx="28">
                  <c:v>211.45</c:v>
                </c:pt>
                <c:pt idx="29">
                  <c:v>213.5</c:v>
                </c:pt>
                <c:pt idx="30">
                  <c:v>213.98</c:v>
                </c:pt>
                <c:pt idx="31">
                  <c:v>215</c:v>
                </c:pt>
                <c:pt idx="32">
                  <c:v>215.56</c:v>
                </c:pt>
                <c:pt idx="33">
                  <c:v>216.87</c:v>
                </c:pt>
                <c:pt idx="34">
                  <c:v>217.87</c:v>
                </c:pt>
                <c:pt idx="35">
                  <c:v>218.9</c:v>
                </c:pt>
                <c:pt idx="36">
                  <c:v>218.9</c:v>
                </c:pt>
                <c:pt idx="37">
                  <c:v>220.5</c:v>
                </c:pt>
                <c:pt idx="38">
                  <c:v>221.7</c:v>
                </c:pt>
                <c:pt idx="39">
                  <c:v>222.9</c:v>
                </c:pt>
                <c:pt idx="40">
                  <c:v>222.9</c:v>
                </c:pt>
                <c:pt idx="41">
                  <c:v>222.9</c:v>
                </c:pt>
                <c:pt idx="42">
                  <c:v>222.9</c:v>
                </c:pt>
                <c:pt idx="43">
                  <c:v>222.9</c:v>
                </c:pt>
                <c:pt idx="44">
                  <c:v>222.9</c:v>
                </c:pt>
                <c:pt idx="45">
                  <c:v>222.9</c:v>
                </c:pt>
                <c:pt idx="46">
                  <c:v>222.9</c:v>
                </c:pt>
                <c:pt idx="47">
                  <c:v>222.9</c:v>
                </c:pt>
                <c:pt idx="48">
                  <c:v>222.9</c:v>
                </c:pt>
                <c:pt idx="49">
                  <c:v>222.9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222.9</c:v>
                </c:pt>
                <c:pt idx="60">
                  <c:v>222.9</c:v>
                </c:pt>
                <c:pt idx="62">
                  <c:v>222.9</c:v>
                </c:pt>
                <c:pt idx="64">
                  <c:v>222.9</c:v>
                </c:pt>
                <c:pt idx="65">
                  <c:v>222.9</c:v>
                </c:pt>
                <c:pt idx="66">
                  <c:v>222.9</c:v>
                </c:pt>
                <c:pt idx="67">
                  <c:v>222.9</c:v>
                </c:pt>
                <c:pt idx="68">
                  <c:v>222.9</c:v>
                </c:pt>
                <c:pt idx="69">
                  <c:v>222.9</c:v>
                </c:pt>
                <c:pt idx="70">
                  <c:v>222.9</c:v>
                </c:pt>
                <c:pt idx="71">
                  <c:v>222.9</c:v>
                </c:pt>
                <c:pt idx="72">
                  <c:v>222.9</c:v>
                </c:pt>
                <c:pt idx="73">
                  <c:v>222.9</c:v>
                </c:pt>
                <c:pt idx="74">
                  <c:v>222.9</c:v>
                </c:pt>
                <c:pt idx="75">
                  <c:v>222.9</c:v>
                </c:pt>
                <c:pt idx="76">
                  <c:v>222.9</c:v>
                </c:pt>
                <c:pt idx="77">
                  <c:v>222.9</c:v>
                </c:pt>
                <c:pt idx="78">
                  <c:v>222.9</c:v>
                </c:pt>
                <c:pt idx="79">
                  <c:v>222.9</c:v>
                </c:pt>
                <c:pt idx="80">
                  <c:v>222.9</c:v>
                </c:pt>
                <c:pt idx="81">
                  <c:v>222.9</c:v>
                </c:pt>
                <c:pt idx="82">
                  <c:v>222.9</c:v>
                </c:pt>
                <c:pt idx="83">
                  <c:v>222.9</c:v>
                </c:pt>
                <c:pt idx="84">
                  <c:v>222.9</c:v>
                </c:pt>
                <c:pt idx="85">
                  <c:v>222.9</c:v>
                </c:pt>
                <c:pt idx="86">
                  <c:v>222.9</c:v>
                </c:pt>
                <c:pt idx="87">
                  <c:v>222.9</c:v>
                </c:pt>
                <c:pt idx="88">
                  <c:v>222.9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E02-481E-A4B3-FBC4E5761E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264560"/>
        <c:axId val="593265736"/>
      </c:scatterChart>
      <c:valAx>
        <c:axId val="593266128"/>
        <c:scaling>
          <c:orientation val="minMax"/>
          <c:max val="45043"/>
          <c:min val="4365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  <a:endParaRPr lang="fr-FR"/>
              </a:p>
            </c:rich>
          </c:tx>
          <c:layout>
            <c:manualLayout>
              <c:xMode val="edge"/>
              <c:yMode val="edge"/>
              <c:x val="0.88542330759379761"/>
              <c:y val="0.849264146035799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dd\ /\ mm\ /\ yy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93262208"/>
        <c:crossesAt val="0"/>
        <c:crossBetween val="midCat"/>
        <c:majorUnit val="30"/>
      </c:valAx>
      <c:valAx>
        <c:axId val="593262208"/>
        <c:scaling>
          <c:orientation val="minMax"/>
          <c:max val="40"/>
          <c:min val="-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Déplacement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\+\ 0.0;\-\ 0.0;\±\ 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93266128"/>
        <c:crosses val="autoZero"/>
        <c:crossBetween val="midCat"/>
        <c:majorUnit val="10"/>
        <c:minorUnit val="2"/>
      </c:valAx>
      <c:valAx>
        <c:axId val="593265736"/>
        <c:scaling>
          <c:orientation val="minMax"/>
          <c:max val="225"/>
          <c:min val="185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PM Front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93264560"/>
        <c:crosses val="max"/>
        <c:crossBetween val="midCat"/>
      </c:valAx>
      <c:valAx>
        <c:axId val="593264560"/>
        <c:scaling>
          <c:orientation val="minMax"/>
        </c:scaling>
        <c:delete val="0"/>
        <c:axPos val="b"/>
        <c:numFmt formatCode="dd\ /\ mm\ /\ yy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93265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7"/>
        <c:delete val="1"/>
      </c:legendEntry>
      <c:layout>
        <c:manualLayout>
          <c:xMode val="edge"/>
          <c:yMode val="edge"/>
          <c:x val="0.21614093207695165"/>
          <c:y val="0.64902851177564813"/>
          <c:w val="0.64018972304129584"/>
          <c:h val="9.99460467336311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 alignWithMargins="0"/>
    <c:pageMargins b="0.98425196899999956" l="0.78740157499999996" r="0.78740157499999996" t="0.98425196899999956" header="0.4921259845000045" footer="0.4921259845000045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Convergences</a:t>
            </a:r>
          </a:p>
        </c:rich>
      </c:tx>
      <c:layout>
        <c:manualLayout>
          <c:xMode val="edge"/>
          <c:yMode val="edge"/>
          <c:x val="0.42116532057287082"/>
          <c:y val="9.202358673775652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6758248843572708E-2"/>
          <c:y val="5.7452773560255632E-2"/>
          <c:w val="0.82298957241880533"/>
          <c:h val="0.75375798877158295"/>
        </c:manualLayout>
      </c:layout>
      <c:scatterChart>
        <c:scatterStyle val="lineMarker"/>
        <c:varyColors val="0"/>
        <c:ser>
          <c:idx val="9"/>
          <c:order val="0"/>
          <c:tx>
            <c:strRef>
              <c:f>Convergences!$D$9</c:f>
              <c:strCache>
                <c:ptCount val="1"/>
                <c:pt idx="0">
                  <c:v>BG</c:v>
                </c:pt>
              </c:strCache>
            </c:strRef>
          </c:tx>
          <c:spPr>
            <a:ln w="15875" cap="rnd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4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4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Convergences!$B$10:$B$136</c:f>
              <c:numCache>
                <c:formatCode>dd\ /\ mm\ /\ yy</c:formatCode>
                <c:ptCount val="127"/>
                <c:pt idx="0">
                  <c:v>43658</c:v>
                </c:pt>
                <c:pt idx="1">
                  <c:v>43661</c:v>
                </c:pt>
                <c:pt idx="2">
                  <c:v>43662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11">
                  <c:v>43685</c:v>
                </c:pt>
                <c:pt idx="12">
                  <c:v>43689</c:v>
                </c:pt>
                <c:pt idx="13">
                  <c:v>43690</c:v>
                </c:pt>
                <c:pt idx="14">
                  <c:v>43696</c:v>
                </c:pt>
                <c:pt idx="15">
                  <c:v>43699</c:v>
                </c:pt>
                <c:pt idx="16">
                  <c:v>43704</c:v>
                </c:pt>
                <c:pt idx="17">
                  <c:v>43706</c:v>
                </c:pt>
                <c:pt idx="18">
                  <c:v>43710</c:v>
                </c:pt>
                <c:pt idx="19">
                  <c:v>43713</c:v>
                </c:pt>
                <c:pt idx="20">
                  <c:v>43718</c:v>
                </c:pt>
                <c:pt idx="21">
                  <c:v>43720</c:v>
                </c:pt>
                <c:pt idx="22">
                  <c:v>43724</c:v>
                </c:pt>
                <c:pt idx="23">
                  <c:v>43727</c:v>
                </c:pt>
                <c:pt idx="24">
                  <c:v>43731</c:v>
                </c:pt>
                <c:pt idx="25">
                  <c:v>43734</c:v>
                </c:pt>
                <c:pt idx="26">
                  <c:v>43738</c:v>
                </c:pt>
                <c:pt idx="27">
                  <c:v>43741</c:v>
                </c:pt>
                <c:pt idx="28">
                  <c:v>43746</c:v>
                </c:pt>
                <c:pt idx="29">
                  <c:v>43753</c:v>
                </c:pt>
                <c:pt idx="30">
                  <c:v>43756</c:v>
                </c:pt>
                <c:pt idx="31">
                  <c:v>43760</c:v>
                </c:pt>
                <c:pt idx="32">
                  <c:v>43762</c:v>
                </c:pt>
                <c:pt idx="33">
                  <c:v>43766</c:v>
                </c:pt>
                <c:pt idx="34">
                  <c:v>43769</c:v>
                </c:pt>
                <c:pt idx="35">
                  <c:v>43774</c:v>
                </c:pt>
                <c:pt idx="36">
                  <c:v>43776</c:v>
                </c:pt>
                <c:pt idx="37">
                  <c:v>43781</c:v>
                </c:pt>
                <c:pt idx="38">
                  <c:v>43783</c:v>
                </c:pt>
                <c:pt idx="39">
                  <c:v>43787</c:v>
                </c:pt>
                <c:pt idx="40">
                  <c:v>43790</c:v>
                </c:pt>
                <c:pt idx="41">
                  <c:v>43795</c:v>
                </c:pt>
                <c:pt idx="42">
                  <c:v>43797</c:v>
                </c:pt>
                <c:pt idx="43">
                  <c:v>43798</c:v>
                </c:pt>
                <c:pt idx="44">
                  <c:v>43801</c:v>
                </c:pt>
                <c:pt idx="45">
                  <c:v>43803</c:v>
                </c:pt>
                <c:pt idx="46">
                  <c:v>43808</c:v>
                </c:pt>
                <c:pt idx="47">
                  <c:v>43811</c:v>
                </c:pt>
                <c:pt idx="48">
                  <c:v>43815</c:v>
                </c:pt>
                <c:pt idx="49">
                  <c:v>43818</c:v>
                </c:pt>
                <c:pt idx="50">
                  <c:v>43837</c:v>
                </c:pt>
                <c:pt idx="51">
                  <c:v>43843</c:v>
                </c:pt>
                <c:pt idx="52">
                  <c:v>43850</c:v>
                </c:pt>
                <c:pt idx="53">
                  <c:v>43859</c:v>
                </c:pt>
                <c:pt idx="54">
                  <c:v>43865</c:v>
                </c:pt>
                <c:pt idx="55">
                  <c:v>43886</c:v>
                </c:pt>
                <c:pt idx="56">
                  <c:v>43970</c:v>
                </c:pt>
                <c:pt idx="57">
                  <c:v>43977</c:v>
                </c:pt>
                <c:pt idx="58">
                  <c:v>43999</c:v>
                </c:pt>
                <c:pt idx="59">
                  <c:v>44029</c:v>
                </c:pt>
                <c:pt idx="61">
                  <c:v>44082</c:v>
                </c:pt>
                <c:pt idx="63">
                  <c:v>44082</c:v>
                </c:pt>
                <c:pt idx="65">
                  <c:v>44140</c:v>
                </c:pt>
                <c:pt idx="66">
                  <c:v>44172</c:v>
                </c:pt>
                <c:pt idx="67">
                  <c:v>44229</c:v>
                </c:pt>
                <c:pt idx="69">
                  <c:v>44322</c:v>
                </c:pt>
                <c:pt idx="70">
                  <c:v>44357</c:v>
                </c:pt>
                <c:pt idx="71">
                  <c:v>44362</c:v>
                </c:pt>
                <c:pt idx="72">
                  <c:v>44369</c:v>
                </c:pt>
                <c:pt idx="73">
                  <c:v>44376</c:v>
                </c:pt>
                <c:pt idx="74">
                  <c:v>44400</c:v>
                </c:pt>
                <c:pt idx="75">
                  <c:v>44439</c:v>
                </c:pt>
                <c:pt idx="76">
                  <c:v>44474</c:v>
                </c:pt>
                <c:pt idx="77">
                  <c:v>44522</c:v>
                </c:pt>
                <c:pt idx="78">
                  <c:v>44531</c:v>
                </c:pt>
                <c:pt idx="79">
                  <c:v>44536</c:v>
                </c:pt>
                <c:pt idx="80">
                  <c:v>44543</c:v>
                </c:pt>
                <c:pt idx="81">
                  <c:v>44550</c:v>
                </c:pt>
                <c:pt idx="82">
                  <c:v>44572</c:v>
                </c:pt>
                <c:pt idx="83">
                  <c:v>44578</c:v>
                </c:pt>
                <c:pt idx="84">
                  <c:v>44595</c:v>
                </c:pt>
                <c:pt idx="85">
                  <c:v>44613</c:v>
                </c:pt>
                <c:pt idx="86">
                  <c:v>44648</c:v>
                </c:pt>
                <c:pt idx="87">
                  <c:v>44678</c:v>
                </c:pt>
                <c:pt idx="88">
                  <c:v>44711</c:v>
                </c:pt>
                <c:pt idx="89">
                  <c:v>44740</c:v>
                </c:pt>
                <c:pt idx="90">
                  <c:v>44767</c:v>
                </c:pt>
                <c:pt idx="91">
                  <c:v>44902</c:v>
                </c:pt>
                <c:pt idx="92">
                  <c:v>44915</c:v>
                </c:pt>
                <c:pt idx="93">
                  <c:v>44930</c:v>
                </c:pt>
                <c:pt idx="94">
                  <c:v>44945</c:v>
                </c:pt>
                <c:pt idx="95">
                  <c:v>44957</c:v>
                </c:pt>
                <c:pt idx="96">
                  <c:v>44988</c:v>
                </c:pt>
                <c:pt idx="97">
                  <c:v>45013</c:v>
                </c:pt>
              </c:numCache>
            </c:numRef>
          </c:xVal>
          <c:yVal>
            <c:numRef>
              <c:f>Convergences!$D$10:$D$136</c:f>
              <c:numCache>
                <c:formatCode>\+\ 0.0;\-\ 0.0;\±\ 0.0</c:formatCode>
                <c:ptCount val="127"/>
                <c:pt idx="0">
                  <c:v>0</c:v>
                </c:pt>
                <c:pt idx="1">
                  <c:v>-3.3861598929387782</c:v>
                </c:pt>
                <c:pt idx="2">
                  <c:v>-6.2870565709856052</c:v>
                </c:pt>
                <c:pt idx="3">
                  <c:v>-9.9229837758638695</c:v>
                </c:pt>
                <c:pt idx="4">
                  <c:v>-19.79429363937335</c:v>
                </c:pt>
                <c:pt idx="5">
                  <c:v>-29.699711664441963</c:v>
                </c:pt>
                <c:pt idx="6">
                  <c:v>-33.771906097574522</c:v>
                </c:pt>
                <c:pt idx="7">
                  <c:v>-37.294385031607646</c:v>
                </c:pt>
                <c:pt idx="8">
                  <c:v>-39.035275795256119</c:v>
                </c:pt>
                <c:pt idx="11">
                  <c:v>-38.821662918817168</c:v>
                </c:pt>
                <c:pt idx="12">
                  <c:v>-42.548994855922118</c:v>
                </c:pt>
                <c:pt idx="13">
                  <c:v>-42.838061004795591</c:v>
                </c:pt>
                <c:pt idx="14">
                  <c:v>-45.762990946581539</c:v>
                </c:pt>
                <c:pt idx="15">
                  <c:v>-47.75328785513544</c:v>
                </c:pt>
                <c:pt idx="16">
                  <c:v>-48.854923844510623</c:v>
                </c:pt>
                <c:pt idx="17">
                  <c:v>-48.992036540123074</c:v>
                </c:pt>
                <c:pt idx="18">
                  <c:v>-49.688226700596694</c:v>
                </c:pt>
                <c:pt idx="19">
                  <c:v>-50.321646660178132</c:v>
                </c:pt>
                <c:pt idx="20">
                  <c:v>-51.272257965250922</c:v>
                </c:pt>
                <c:pt idx="21">
                  <c:v>-51.642935329772044</c:v>
                </c:pt>
                <c:pt idx="22">
                  <c:v>-52.635834081730337</c:v>
                </c:pt>
                <c:pt idx="23">
                  <c:v>-53.454128126629641</c:v>
                </c:pt>
                <c:pt idx="24">
                  <c:v>-54.899640057374022</c:v>
                </c:pt>
                <c:pt idx="25">
                  <c:v>-54.830667426932322</c:v>
                </c:pt>
                <c:pt idx="26">
                  <c:v>-55.137326655941621</c:v>
                </c:pt>
                <c:pt idx="27">
                  <c:v>-55.282054088763743</c:v>
                </c:pt>
                <c:pt idx="28">
                  <c:v>-55.52580595508072</c:v>
                </c:pt>
                <c:pt idx="29">
                  <c:v>-56.731698619636006</c:v>
                </c:pt>
                <c:pt idx="30">
                  <c:v>-57.084107550318564</c:v>
                </c:pt>
                <c:pt idx="31">
                  <c:v>-57.705092431954874</c:v>
                </c:pt>
                <c:pt idx="32">
                  <c:v>-57.276008597828998</c:v>
                </c:pt>
                <c:pt idx="33">
                  <c:v>-57.739074404755897</c:v>
                </c:pt>
                <c:pt idx="34">
                  <c:v>-57.537061455496641</c:v>
                </c:pt>
                <c:pt idx="35">
                  <c:v>-59.005759347104281</c:v>
                </c:pt>
                <c:pt idx="36">
                  <c:v>-59.496997820260411</c:v>
                </c:pt>
                <c:pt idx="37">
                  <c:v>-59.800479360470504</c:v>
                </c:pt>
                <c:pt idx="38">
                  <c:v>-59.810929473937513</c:v>
                </c:pt>
                <c:pt idx="39">
                  <c:v>-60.037815244644577</c:v>
                </c:pt>
                <c:pt idx="40">
                  <c:v>-60.029139862054492</c:v>
                </c:pt>
                <c:pt idx="41">
                  <c:v>-60.90807888477201</c:v>
                </c:pt>
                <c:pt idx="42">
                  <c:v>-61.834125194071277</c:v>
                </c:pt>
                <c:pt idx="43">
                  <c:v>-62.50488691521916</c:v>
                </c:pt>
                <c:pt idx="44">
                  <c:v>-62.966563932909558</c:v>
                </c:pt>
                <c:pt idx="45">
                  <c:v>-63.700548922425604</c:v>
                </c:pt>
                <c:pt idx="46">
                  <c:v>-64.392085225223994</c:v>
                </c:pt>
                <c:pt idx="47">
                  <c:v>-64.217949499272294</c:v>
                </c:pt>
                <c:pt idx="48">
                  <c:v>-63.9728854060575</c:v>
                </c:pt>
                <c:pt idx="49">
                  <c:v>-64.859356006658146</c:v>
                </c:pt>
                <c:pt idx="50">
                  <c:v>-65.777559146496856</c:v>
                </c:pt>
                <c:pt idx="51">
                  <c:v>-66.706501632850745</c:v>
                </c:pt>
                <c:pt idx="52">
                  <c:v>-66.375897522049428</c:v>
                </c:pt>
                <c:pt idx="53">
                  <c:v>-65.243719832657206</c:v>
                </c:pt>
                <c:pt idx="54">
                  <c:v>-66.30436631564595</c:v>
                </c:pt>
                <c:pt idx="55">
                  <c:v>-66.864142467670362</c:v>
                </c:pt>
                <c:pt idx="56">
                  <c:v>-68.135240653934829</c:v>
                </c:pt>
                <c:pt idx="57">
                  <c:v>-69.343600690236144</c:v>
                </c:pt>
                <c:pt idx="58">
                  <c:v>-69.542285812052455</c:v>
                </c:pt>
                <c:pt idx="59">
                  <c:v>-69.249419060929185</c:v>
                </c:pt>
                <c:pt idx="61">
                  <c:v>-69.881997568649552</c:v>
                </c:pt>
                <c:pt idx="63">
                  <c:v>-69.874255059626307</c:v>
                </c:pt>
                <c:pt idx="69">
                  <c:v>-72.104118746809235</c:v>
                </c:pt>
                <c:pt idx="70">
                  <c:v>-72.576512397546367</c:v>
                </c:pt>
                <c:pt idx="71">
                  <c:v>-72.731316481217334</c:v>
                </c:pt>
                <c:pt idx="72">
                  <c:v>-73.499846087285562</c:v>
                </c:pt>
                <c:pt idx="73">
                  <c:v>-73.732051859892067</c:v>
                </c:pt>
                <c:pt idx="74">
                  <c:v>-74.759840441125831</c:v>
                </c:pt>
                <c:pt idx="75">
                  <c:v>-75.774001520436229</c:v>
                </c:pt>
                <c:pt idx="76">
                  <c:v>-76.439941232341553</c:v>
                </c:pt>
                <c:pt idx="77">
                  <c:v>-76.804731682349484</c:v>
                </c:pt>
                <c:pt idx="78">
                  <c:v>-76.591861567288262</c:v>
                </c:pt>
                <c:pt idx="79">
                  <c:v>-76.907306383763085</c:v>
                </c:pt>
                <c:pt idx="80">
                  <c:v>-77.106494917307714</c:v>
                </c:pt>
                <c:pt idx="81">
                  <c:v>-77.017600519134533</c:v>
                </c:pt>
                <c:pt idx="82">
                  <c:v>-77.491559451220667</c:v>
                </c:pt>
                <c:pt idx="83">
                  <c:v>-77.414191525140737</c:v>
                </c:pt>
                <c:pt idx="84">
                  <c:v>-77.50145797928721</c:v>
                </c:pt>
                <c:pt idx="85">
                  <c:v>-77.938720497212628</c:v>
                </c:pt>
                <c:pt idx="86">
                  <c:v>-78.143861084304163</c:v>
                </c:pt>
                <c:pt idx="87">
                  <c:v>-78.534883902564815</c:v>
                </c:pt>
                <c:pt idx="88">
                  <c:v>-78.267417063216271</c:v>
                </c:pt>
                <c:pt idx="89">
                  <c:v>-79.022263212926276</c:v>
                </c:pt>
                <c:pt idx="90">
                  <c:v>-79.210178684884454</c:v>
                </c:pt>
                <c:pt idx="91">
                  <c:v>-79.182091656561767</c:v>
                </c:pt>
                <c:pt idx="92">
                  <c:v>-79.23415543607338</c:v>
                </c:pt>
                <c:pt idx="93">
                  <c:v>-79.369650771519147</c:v>
                </c:pt>
                <c:pt idx="94">
                  <c:v>-79.466085731767507</c:v>
                </c:pt>
                <c:pt idx="95">
                  <c:v>-79.221896748613574</c:v>
                </c:pt>
                <c:pt idx="96">
                  <c:v>-79.387931456106571</c:v>
                </c:pt>
                <c:pt idx="97">
                  <c:v>-80.007223072414035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86-419E-BEC2-BA13FF74B112}"/>
            </c:ext>
          </c:extLst>
        </c:ser>
        <c:ser>
          <c:idx val="12"/>
          <c:order val="1"/>
          <c:tx>
            <c:strRef>
              <c:f>Convergences!$I$9</c:f>
              <c:strCache>
                <c:ptCount val="1"/>
                <c:pt idx="0">
                  <c:v>BD</c:v>
                </c:pt>
              </c:strCache>
            </c:strRef>
          </c:tx>
          <c:spPr>
            <a:ln w="158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tint val="50000"/>
                      <a:satMod val="300000"/>
                    </a:schemeClr>
                  </a:gs>
                  <a:gs pos="35000">
                    <a:schemeClr val="accent1">
                      <a:lumMod val="80000"/>
                      <a:lumOff val="20000"/>
                      <a:tint val="37000"/>
                      <a:satMod val="300000"/>
                    </a:schemeClr>
                  </a:gs>
                  <a:gs pos="100000">
                    <a:schemeClr val="accent1">
                      <a:lumMod val="80000"/>
                      <a:lumOff val="2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lumMod val="80000"/>
                    <a:lumOff val="2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Convergences!$B$10:$B$136</c:f>
              <c:numCache>
                <c:formatCode>dd\ /\ mm\ /\ yy</c:formatCode>
                <c:ptCount val="127"/>
                <c:pt idx="0">
                  <c:v>43658</c:v>
                </c:pt>
                <c:pt idx="1">
                  <c:v>43661</c:v>
                </c:pt>
                <c:pt idx="2">
                  <c:v>43662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11">
                  <c:v>43685</c:v>
                </c:pt>
                <c:pt idx="12">
                  <c:v>43689</c:v>
                </c:pt>
                <c:pt idx="13">
                  <c:v>43690</c:v>
                </c:pt>
                <c:pt idx="14">
                  <c:v>43696</c:v>
                </c:pt>
                <c:pt idx="15">
                  <c:v>43699</c:v>
                </c:pt>
                <c:pt idx="16">
                  <c:v>43704</c:v>
                </c:pt>
                <c:pt idx="17">
                  <c:v>43706</c:v>
                </c:pt>
                <c:pt idx="18">
                  <c:v>43710</c:v>
                </c:pt>
                <c:pt idx="19">
                  <c:v>43713</c:v>
                </c:pt>
                <c:pt idx="20">
                  <c:v>43718</c:v>
                </c:pt>
                <c:pt idx="21">
                  <c:v>43720</c:v>
                </c:pt>
                <c:pt idx="22">
                  <c:v>43724</c:v>
                </c:pt>
                <c:pt idx="23">
                  <c:v>43727</c:v>
                </c:pt>
                <c:pt idx="24">
                  <c:v>43731</c:v>
                </c:pt>
                <c:pt idx="25">
                  <c:v>43734</c:v>
                </c:pt>
                <c:pt idx="26">
                  <c:v>43738</c:v>
                </c:pt>
                <c:pt idx="27">
                  <c:v>43741</c:v>
                </c:pt>
                <c:pt idx="28">
                  <c:v>43746</c:v>
                </c:pt>
                <c:pt idx="29">
                  <c:v>43753</c:v>
                </c:pt>
                <c:pt idx="30">
                  <c:v>43756</c:v>
                </c:pt>
                <c:pt idx="31">
                  <c:v>43760</c:v>
                </c:pt>
                <c:pt idx="32">
                  <c:v>43762</c:v>
                </c:pt>
                <c:pt idx="33">
                  <c:v>43766</c:v>
                </c:pt>
                <c:pt idx="34">
                  <c:v>43769</c:v>
                </c:pt>
                <c:pt idx="35">
                  <c:v>43774</c:v>
                </c:pt>
                <c:pt idx="36">
                  <c:v>43776</c:v>
                </c:pt>
                <c:pt idx="37">
                  <c:v>43781</c:v>
                </c:pt>
                <c:pt idx="38">
                  <c:v>43783</c:v>
                </c:pt>
                <c:pt idx="39">
                  <c:v>43787</c:v>
                </c:pt>
                <c:pt idx="40">
                  <c:v>43790</c:v>
                </c:pt>
                <c:pt idx="41">
                  <c:v>43795</c:v>
                </c:pt>
                <c:pt idx="42">
                  <c:v>43797</c:v>
                </c:pt>
                <c:pt idx="43">
                  <c:v>43798</c:v>
                </c:pt>
                <c:pt idx="44">
                  <c:v>43801</c:v>
                </c:pt>
                <c:pt idx="45">
                  <c:v>43803</c:v>
                </c:pt>
                <c:pt idx="46">
                  <c:v>43808</c:v>
                </c:pt>
                <c:pt idx="47">
                  <c:v>43811</c:v>
                </c:pt>
                <c:pt idx="48">
                  <c:v>43815</c:v>
                </c:pt>
                <c:pt idx="49">
                  <c:v>43818</c:v>
                </c:pt>
                <c:pt idx="50">
                  <c:v>43837</c:v>
                </c:pt>
                <c:pt idx="51">
                  <c:v>43843</c:v>
                </c:pt>
                <c:pt idx="52">
                  <c:v>43850</c:v>
                </c:pt>
                <c:pt idx="53">
                  <c:v>43859</c:v>
                </c:pt>
                <c:pt idx="54">
                  <c:v>43865</c:v>
                </c:pt>
                <c:pt idx="55">
                  <c:v>43886</c:v>
                </c:pt>
                <c:pt idx="56">
                  <c:v>43970</c:v>
                </c:pt>
                <c:pt idx="57">
                  <c:v>43977</c:v>
                </c:pt>
                <c:pt idx="58">
                  <c:v>43999</c:v>
                </c:pt>
                <c:pt idx="59">
                  <c:v>44029</c:v>
                </c:pt>
                <c:pt idx="61">
                  <c:v>44082</c:v>
                </c:pt>
                <c:pt idx="63">
                  <c:v>44082</c:v>
                </c:pt>
                <c:pt idx="65">
                  <c:v>44140</c:v>
                </c:pt>
                <c:pt idx="66">
                  <c:v>44172</c:v>
                </c:pt>
                <c:pt idx="67">
                  <c:v>44229</c:v>
                </c:pt>
                <c:pt idx="69">
                  <c:v>44322</c:v>
                </c:pt>
                <c:pt idx="70">
                  <c:v>44357</c:v>
                </c:pt>
                <c:pt idx="71">
                  <c:v>44362</c:v>
                </c:pt>
                <c:pt idx="72">
                  <c:v>44369</c:v>
                </c:pt>
                <c:pt idx="73">
                  <c:v>44376</c:v>
                </c:pt>
                <c:pt idx="74">
                  <c:v>44400</c:v>
                </c:pt>
                <c:pt idx="75">
                  <c:v>44439</c:v>
                </c:pt>
                <c:pt idx="76">
                  <c:v>44474</c:v>
                </c:pt>
                <c:pt idx="77">
                  <c:v>44522</c:v>
                </c:pt>
                <c:pt idx="78">
                  <c:v>44531</c:v>
                </c:pt>
                <c:pt idx="79">
                  <c:v>44536</c:v>
                </c:pt>
                <c:pt idx="80">
                  <c:v>44543</c:v>
                </c:pt>
                <c:pt idx="81">
                  <c:v>44550</c:v>
                </c:pt>
                <c:pt idx="82">
                  <c:v>44572</c:v>
                </c:pt>
                <c:pt idx="83">
                  <c:v>44578</c:v>
                </c:pt>
                <c:pt idx="84">
                  <c:v>44595</c:v>
                </c:pt>
                <c:pt idx="85">
                  <c:v>44613</c:v>
                </c:pt>
                <c:pt idx="86">
                  <c:v>44648</c:v>
                </c:pt>
                <c:pt idx="87">
                  <c:v>44678</c:v>
                </c:pt>
                <c:pt idx="88">
                  <c:v>44711</c:v>
                </c:pt>
                <c:pt idx="89">
                  <c:v>44740</c:v>
                </c:pt>
                <c:pt idx="90">
                  <c:v>44767</c:v>
                </c:pt>
                <c:pt idx="91">
                  <c:v>44902</c:v>
                </c:pt>
                <c:pt idx="92">
                  <c:v>44915</c:v>
                </c:pt>
                <c:pt idx="93">
                  <c:v>44930</c:v>
                </c:pt>
                <c:pt idx="94">
                  <c:v>44945</c:v>
                </c:pt>
                <c:pt idx="95">
                  <c:v>44957</c:v>
                </c:pt>
                <c:pt idx="96">
                  <c:v>44988</c:v>
                </c:pt>
                <c:pt idx="97">
                  <c:v>45013</c:v>
                </c:pt>
              </c:numCache>
            </c:numRef>
          </c:xVal>
          <c:yVal>
            <c:numRef>
              <c:f>Convergences!$I$10:$I$136</c:f>
              <c:numCache>
                <c:formatCode>\+\ 0.0;\-\ 0.0;\±\ 0.0</c:formatCode>
                <c:ptCount val="127"/>
                <c:pt idx="0">
                  <c:v>0</c:v>
                </c:pt>
                <c:pt idx="1">
                  <c:v>-3.4759715933869728</c:v>
                </c:pt>
                <c:pt idx="2">
                  <c:v>-7.3156898894382039</c:v>
                </c:pt>
                <c:pt idx="3">
                  <c:v>-11.102121895008921</c:v>
                </c:pt>
                <c:pt idx="4">
                  <c:v>0</c:v>
                </c:pt>
                <c:pt idx="5">
                  <c:v>-4.1570054842123838</c:v>
                </c:pt>
                <c:pt idx="6">
                  <c:v>-11.097913267517967</c:v>
                </c:pt>
                <c:pt idx="7">
                  <c:v>-15.095207300314328</c:v>
                </c:pt>
                <c:pt idx="8">
                  <c:v>-17.01105770440936</c:v>
                </c:pt>
                <c:pt idx="11">
                  <c:v>-17.388472417135148</c:v>
                </c:pt>
                <c:pt idx="12">
                  <c:v>-20.300814399096367</c:v>
                </c:pt>
                <c:pt idx="13">
                  <c:v>-21.057473299481266</c:v>
                </c:pt>
                <c:pt idx="14">
                  <c:v>-23.267872960357927</c:v>
                </c:pt>
                <c:pt idx="15">
                  <c:v>-24.892777605102445</c:v>
                </c:pt>
                <c:pt idx="16">
                  <c:v>-26.581531179000528</c:v>
                </c:pt>
                <c:pt idx="17">
                  <c:v>-26.962364245949111</c:v>
                </c:pt>
                <c:pt idx="18">
                  <c:v>-27.696400722714287</c:v>
                </c:pt>
                <c:pt idx="19">
                  <c:v>-28.245104484067696</c:v>
                </c:pt>
                <c:pt idx="20">
                  <c:v>-29.051688512576668</c:v>
                </c:pt>
                <c:pt idx="21">
                  <c:v>-29.48108891102752</c:v>
                </c:pt>
                <c:pt idx="23">
                  <c:v>-31.114230587306224</c:v>
                </c:pt>
                <c:pt idx="24">
                  <c:v>-32.123671063523318</c:v>
                </c:pt>
                <c:pt idx="25">
                  <c:v>-32.567552929086752</c:v>
                </c:pt>
                <c:pt idx="27">
                  <c:v>-33.119591926682901</c:v>
                </c:pt>
                <c:pt idx="28">
                  <c:v>-33.100721876257566</c:v>
                </c:pt>
                <c:pt idx="29">
                  <c:v>-34.258517086641405</c:v>
                </c:pt>
                <c:pt idx="30">
                  <c:v>-34.813241610780032</c:v>
                </c:pt>
                <c:pt idx="31">
                  <c:v>-35.502268925346137</c:v>
                </c:pt>
                <c:pt idx="32">
                  <c:v>-34.77044034964738</c:v>
                </c:pt>
                <c:pt idx="33">
                  <c:v>-35.052747749179325</c:v>
                </c:pt>
                <c:pt idx="34">
                  <c:v>-35.244045617711883</c:v>
                </c:pt>
                <c:pt idx="35">
                  <c:v>-36.598852123564285</c:v>
                </c:pt>
                <c:pt idx="36">
                  <c:v>-37.23100646870936</c:v>
                </c:pt>
                <c:pt idx="37">
                  <c:v>-37.414327472341746</c:v>
                </c:pt>
                <c:pt idx="38">
                  <c:v>-37.406970781469262</c:v>
                </c:pt>
                <c:pt idx="39">
                  <c:v>-37.80758361571035</c:v>
                </c:pt>
                <c:pt idx="40">
                  <c:v>-37.884346670074009</c:v>
                </c:pt>
                <c:pt idx="41">
                  <c:v>-38.436189095707896</c:v>
                </c:pt>
                <c:pt idx="42">
                  <c:v>-39.46499652653479</c:v>
                </c:pt>
                <c:pt idx="43">
                  <c:v>-40.16397343992395</c:v>
                </c:pt>
                <c:pt idx="44">
                  <c:v>-40.493717817057906</c:v>
                </c:pt>
                <c:pt idx="45">
                  <c:v>-41.248290750354855</c:v>
                </c:pt>
                <c:pt idx="46">
                  <c:v>-41.594643083224803</c:v>
                </c:pt>
                <c:pt idx="47">
                  <c:v>-41.440033708334489</c:v>
                </c:pt>
                <c:pt idx="48">
                  <c:v>-41.298969882313408</c:v>
                </c:pt>
                <c:pt idx="49">
                  <c:v>-42.022650135503881</c:v>
                </c:pt>
                <c:pt idx="50">
                  <c:v>-42.938340423422261</c:v>
                </c:pt>
                <c:pt idx="51">
                  <c:v>-43.692602144563608</c:v>
                </c:pt>
                <c:pt idx="52">
                  <c:v>-43.431133266842892</c:v>
                </c:pt>
                <c:pt idx="53">
                  <c:v>-43.323275507546555</c:v>
                </c:pt>
                <c:pt idx="54">
                  <c:v>-43.996541869605998</c:v>
                </c:pt>
                <c:pt idx="55">
                  <c:v>-44.492319439698669</c:v>
                </c:pt>
                <c:pt idx="56">
                  <c:v>-45.094339297516051</c:v>
                </c:pt>
                <c:pt idx="57">
                  <c:v>-46.429537117608888</c:v>
                </c:pt>
                <c:pt idx="58">
                  <c:v>-46.309834350471313</c:v>
                </c:pt>
                <c:pt idx="59">
                  <c:v>-46.178310303692349</c:v>
                </c:pt>
                <c:pt idx="61">
                  <c:v>-47.191647453241004</c:v>
                </c:pt>
                <c:pt idx="63">
                  <c:v>-47.113649938879121</c:v>
                </c:pt>
                <c:pt idx="69">
                  <c:v>-49.106474111926701</c:v>
                </c:pt>
                <c:pt idx="70">
                  <c:v>-49.338884484904533</c:v>
                </c:pt>
                <c:pt idx="71">
                  <c:v>-49.746785319017661</c:v>
                </c:pt>
                <c:pt idx="72">
                  <c:v>-50.27200358580064</c:v>
                </c:pt>
                <c:pt idx="73">
                  <c:v>-50.597633471019421</c:v>
                </c:pt>
                <c:pt idx="74">
                  <c:v>-51.426426174744577</c:v>
                </c:pt>
                <c:pt idx="75">
                  <c:v>-52.229048959335778</c:v>
                </c:pt>
                <c:pt idx="76">
                  <c:v>-52.20683371119339</c:v>
                </c:pt>
                <c:pt idx="77">
                  <c:v>-54.613948759966391</c:v>
                </c:pt>
                <c:pt idx="78">
                  <c:v>-54.246569917013154</c:v>
                </c:pt>
                <c:pt idx="79">
                  <c:v>-55.022946394600147</c:v>
                </c:pt>
                <c:pt idx="80">
                  <c:v>-54.963651681286585</c:v>
                </c:pt>
                <c:pt idx="81">
                  <c:v>-54.759181811075308</c:v>
                </c:pt>
                <c:pt idx="82">
                  <c:v>-55.25082950823812</c:v>
                </c:pt>
                <c:pt idx="83">
                  <c:v>-54.583773348237052</c:v>
                </c:pt>
                <c:pt idx="84">
                  <c:v>-54.910852153780887</c:v>
                </c:pt>
                <c:pt idx="85">
                  <c:v>-55.706949580208054</c:v>
                </c:pt>
                <c:pt idx="86">
                  <c:v>-55.706949608323342</c:v>
                </c:pt>
                <c:pt idx="87">
                  <c:v>-56.345128234633002</c:v>
                </c:pt>
                <c:pt idx="88">
                  <c:v>-56.341815037925791</c:v>
                </c:pt>
                <c:pt idx="89">
                  <c:v>-56.946050460052966</c:v>
                </c:pt>
                <c:pt idx="90">
                  <c:v>-57.520167940244171</c:v>
                </c:pt>
                <c:pt idx="91">
                  <c:v>-61.239590468280092</c:v>
                </c:pt>
                <c:pt idx="94">
                  <c:v>-61.802098495556734</c:v>
                </c:pt>
                <c:pt idx="95">
                  <c:v>-61.60587061293743</c:v>
                </c:pt>
                <c:pt idx="96">
                  <c:v>-62.052128740863743</c:v>
                </c:pt>
                <c:pt idx="97">
                  <c:v>-62.26708523029334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86-419E-BEC2-BA13FF74B112}"/>
            </c:ext>
          </c:extLst>
        </c:ser>
        <c:ser>
          <c:idx val="14"/>
          <c:order val="2"/>
          <c:tx>
            <c:strRef>
              <c:f>Convergences!$L$9</c:f>
              <c:strCache>
                <c:ptCount val="1"/>
                <c:pt idx="0">
                  <c:v>LB</c:v>
                </c:pt>
              </c:strCache>
            </c:strRef>
          </c:tx>
          <c:spPr>
            <a:ln w="158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tint val="50000"/>
                      <a:satMod val="300000"/>
                    </a:schemeClr>
                  </a:gs>
                  <a:gs pos="35000">
                    <a:schemeClr val="accent3">
                      <a:lumMod val="80000"/>
                      <a:lumOff val="20000"/>
                      <a:tint val="37000"/>
                      <a:satMod val="300000"/>
                    </a:schemeClr>
                  </a:gs>
                  <a:gs pos="100000">
                    <a:schemeClr val="accent3">
                      <a:lumMod val="80000"/>
                      <a:lumOff val="2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lumMod val="80000"/>
                    <a:lumOff val="2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Convergences!$B$10:$B$136</c:f>
              <c:numCache>
                <c:formatCode>dd\ /\ mm\ /\ yy</c:formatCode>
                <c:ptCount val="127"/>
                <c:pt idx="0">
                  <c:v>43658</c:v>
                </c:pt>
                <c:pt idx="1">
                  <c:v>43661</c:v>
                </c:pt>
                <c:pt idx="2">
                  <c:v>43662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11">
                  <c:v>43685</c:v>
                </c:pt>
                <c:pt idx="12">
                  <c:v>43689</c:v>
                </c:pt>
                <c:pt idx="13">
                  <c:v>43690</c:v>
                </c:pt>
                <c:pt idx="14">
                  <c:v>43696</c:v>
                </c:pt>
                <c:pt idx="15">
                  <c:v>43699</c:v>
                </c:pt>
                <c:pt idx="16">
                  <c:v>43704</c:v>
                </c:pt>
                <c:pt idx="17">
                  <c:v>43706</c:v>
                </c:pt>
                <c:pt idx="18">
                  <c:v>43710</c:v>
                </c:pt>
                <c:pt idx="19">
                  <c:v>43713</c:v>
                </c:pt>
                <c:pt idx="20">
                  <c:v>43718</c:v>
                </c:pt>
                <c:pt idx="21">
                  <c:v>43720</c:v>
                </c:pt>
                <c:pt idx="22">
                  <c:v>43724</c:v>
                </c:pt>
                <c:pt idx="23">
                  <c:v>43727</c:v>
                </c:pt>
                <c:pt idx="24">
                  <c:v>43731</c:v>
                </c:pt>
                <c:pt idx="25">
                  <c:v>43734</c:v>
                </c:pt>
                <c:pt idx="26">
                  <c:v>43738</c:v>
                </c:pt>
                <c:pt idx="27">
                  <c:v>43741</c:v>
                </c:pt>
                <c:pt idx="28">
                  <c:v>43746</c:v>
                </c:pt>
                <c:pt idx="29">
                  <c:v>43753</c:v>
                </c:pt>
                <c:pt idx="30">
                  <c:v>43756</c:v>
                </c:pt>
                <c:pt idx="31">
                  <c:v>43760</c:v>
                </c:pt>
                <c:pt idx="32">
                  <c:v>43762</c:v>
                </c:pt>
                <c:pt idx="33">
                  <c:v>43766</c:v>
                </c:pt>
                <c:pt idx="34">
                  <c:v>43769</c:v>
                </c:pt>
                <c:pt idx="35">
                  <c:v>43774</c:v>
                </c:pt>
                <c:pt idx="36">
                  <c:v>43776</c:v>
                </c:pt>
                <c:pt idx="37">
                  <c:v>43781</c:v>
                </c:pt>
                <c:pt idx="38">
                  <c:v>43783</c:v>
                </c:pt>
                <c:pt idx="39">
                  <c:v>43787</c:v>
                </c:pt>
                <c:pt idx="40">
                  <c:v>43790</c:v>
                </c:pt>
                <c:pt idx="41">
                  <c:v>43795</c:v>
                </c:pt>
                <c:pt idx="42">
                  <c:v>43797</c:v>
                </c:pt>
                <c:pt idx="43">
                  <c:v>43798</c:v>
                </c:pt>
                <c:pt idx="44">
                  <c:v>43801</c:v>
                </c:pt>
                <c:pt idx="45">
                  <c:v>43803</c:v>
                </c:pt>
                <c:pt idx="46">
                  <c:v>43808</c:v>
                </c:pt>
                <c:pt idx="47">
                  <c:v>43811</c:v>
                </c:pt>
                <c:pt idx="48">
                  <c:v>43815</c:v>
                </c:pt>
                <c:pt idx="49">
                  <c:v>43818</c:v>
                </c:pt>
                <c:pt idx="50">
                  <c:v>43837</c:v>
                </c:pt>
                <c:pt idx="51">
                  <c:v>43843</c:v>
                </c:pt>
                <c:pt idx="52">
                  <c:v>43850</c:v>
                </c:pt>
                <c:pt idx="53">
                  <c:v>43859</c:v>
                </c:pt>
                <c:pt idx="54">
                  <c:v>43865</c:v>
                </c:pt>
                <c:pt idx="55">
                  <c:v>43886</c:v>
                </c:pt>
                <c:pt idx="56">
                  <c:v>43970</c:v>
                </c:pt>
                <c:pt idx="57">
                  <c:v>43977</c:v>
                </c:pt>
                <c:pt idx="58">
                  <c:v>43999</c:v>
                </c:pt>
                <c:pt idx="59">
                  <c:v>44029</c:v>
                </c:pt>
                <c:pt idx="61">
                  <c:v>44082</c:v>
                </c:pt>
                <c:pt idx="63">
                  <c:v>44082</c:v>
                </c:pt>
                <c:pt idx="65">
                  <c:v>44140</c:v>
                </c:pt>
                <c:pt idx="66">
                  <c:v>44172</c:v>
                </c:pt>
                <c:pt idx="67">
                  <c:v>44229</c:v>
                </c:pt>
                <c:pt idx="69">
                  <c:v>44322</c:v>
                </c:pt>
                <c:pt idx="70">
                  <c:v>44357</c:v>
                </c:pt>
                <c:pt idx="71">
                  <c:v>44362</c:v>
                </c:pt>
                <c:pt idx="72">
                  <c:v>44369</c:v>
                </c:pt>
                <c:pt idx="73">
                  <c:v>44376</c:v>
                </c:pt>
                <c:pt idx="74">
                  <c:v>44400</c:v>
                </c:pt>
                <c:pt idx="75">
                  <c:v>44439</c:v>
                </c:pt>
                <c:pt idx="76">
                  <c:v>44474</c:v>
                </c:pt>
                <c:pt idx="77">
                  <c:v>44522</c:v>
                </c:pt>
                <c:pt idx="78">
                  <c:v>44531</c:v>
                </c:pt>
                <c:pt idx="79">
                  <c:v>44536</c:v>
                </c:pt>
                <c:pt idx="80">
                  <c:v>44543</c:v>
                </c:pt>
                <c:pt idx="81">
                  <c:v>44550</c:v>
                </c:pt>
                <c:pt idx="82">
                  <c:v>44572</c:v>
                </c:pt>
                <c:pt idx="83">
                  <c:v>44578</c:v>
                </c:pt>
                <c:pt idx="84">
                  <c:v>44595</c:v>
                </c:pt>
                <c:pt idx="85">
                  <c:v>44613</c:v>
                </c:pt>
                <c:pt idx="86">
                  <c:v>44648</c:v>
                </c:pt>
                <c:pt idx="87">
                  <c:v>44678</c:v>
                </c:pt>
                <c:pt idx="88">
                  <c:v>44711</c:v>
                </c:pt>
                <c:pt idx="89">
                  <c:v>44740</c:v>
                </c:pt>
                <c:pt idx="90">
                  <c:v>44767</c:v>
                </c:pt>
                <c:pt idx="91">
                  <c:v>44902</c:v>
                </c:pt>
                <c:pt idx="92">
                  <c:v>44915</c:v>
                </c:pt>
                <c:pt idx="93">
                  <c:v>44930</c:v>
                </c:pt>
                <c:pt idx="94">
                  <c:v>44945</c:v>
                </c:pt>
                <c:pt idx="95">
                  <c:v>44957</c:v>
                </c:pt>
                <c:pt idx="96">
                  <c:v>44988</c:v>
                </c:pt>
                <c:pt idx="97">
                  <c:v>45013</c:v>
                </c:pt>
              </c:numCache>
            </c:numRef>
          </c:xVal>
          <c:yVal>
            <c:numRef>
              <c:f>Convergences!$L$10:$L$136</c:f>
              <c:numCache>
                <c:formatCode>\+\ 0.0;\-\ 0.0;\±\ 0.0</c:formatCode>
                <c:ptCount val="127"/>
                <c:pt idx="0">
                  <c:v>0</c:v>
                </c:pt>
                <c:pt idx="1">
                  <c:v>-0.328897405066364</c:v>
                </c:pt>
                <c:pt idx="2">
                  <c:v>-2.1102207253713701</c:v>
                </c:pt>
                <c:pt idx="3">
                  <c:v>-3.515555119186331</c:v>
                </c:pt>
                <c:pt idx="4">
                  <c:v>-5.5004710756874076</c:v>
                </c:pt>
                <c:pt idx="5">
                  <c:v>-9.6760963708995007</c:v>
                </c:pt>
                <c:pt idx="6">
                  <c:v>-10.63118338695368</c:v>
                </c:pt>
                <c:pt idx="7">
                  <c:v>-12.384220769001253</c:v>
                </c:pt>
                <c:pt idx="8">
                  <c:v>-13.206324020437421</c:v>
                </c:pt>
                <c:pt idx="11">
                  <c:v>-12.334384147847821</c:v>
                </c:pt>
                <c:pt idx="12">
                  <c:v>-13.599554594438068</c:v>
                </c:pt>
                <c:pt idx="13">
                  <c:v>-14.038067218592687</c:v>
                </c:pt>
                <c:pt idx="14">
                  <c:v>-14.637981533505595</c:v>
                </c:pt>
                <c:pt idx="15">
                  <c:v>-15.970953924405507</c:v>
                </c:pt>
                <c:pt idx="16">
                  <c:v>-15.770938828596037</c:v>
                </c:pt>
                <c:pt idx="17">
                  <c:v>-16.020299203366228</c:v>
                </c:pt>
                <c:pt idx="18">
                  <c:v>-16.245436940742763</c:v>
                </c:pt>
                <c:pt idx="19">
                  <c:v>-16.033600737795695</c:v>
                </c:pt>
                <c:pt idx="20">
                  <c:v>-16.97905418108725</c:v>
                </c:pt>
                <c:pt idx="21">
                  <c:v>-17.064309712707448</c:v>
                </c:pt>
                <c:pt idx="23">
                  <c:v>-18.433312060822438</c:v>
                </c:pt>
                <c:pt idx="24">
                  <c:v>-19.572664810319829</c:v>
                </c:pt>
                <c:pt idx="25">
                  <c:v>-19.11683270624831</c:v>
                </c:pt>
                <c:pt idx="27">
                  <c:v>-19.157813907845878</c:v>
                </c:pt>
                <c:pt idx="28">
                  <c:v>-18.60293337417751</c:v>
                </c:pt>
                <c:pt idx="29">
                  <c:v>-19.707874323188435</c:v>
                </c:pt>
                <c:pt idx="30">
                  <c:v>-20.058934970181852</c:v>
                </c:pt>
                <c:pt idx="31">
                  <c:v>-20.504868420633926</c:v>
                </c:pt>
                <c:pt idx="32">
                  <c:v>-19.391748995079894</c:v>
                </c:pt>
                <c:pt idx="33">
                  <c:v>-19.759253357810813</c:v>
                </c:pt>
                <c:pt idx="34">
                  <c:v>-19.5666575591531</c:v>
                </c:pt>
                <c:pt idx="35">
                  <c:v>-21.171873194778534</c:v>
                </c:pt>
                <c:pt idx="36">
                  <c:v>-21.318286395231922</c:v>
                </c:pt>
                <c:pt idx="37">
                  <c:v>-21.546753753127312</c:v>
                </c:pt>
                <c:pt idx="38">
                  <c:v>-21.314155478199481</c:v>
                </c:pt>
                <c:pt idx="39">
                  <c:v>-21.363473085593832</c:v>
                </c:pt>
                <c:pt idx="40">
                  <c:v>-21.237187140700442</c:v>
                </c:pt>
                <c:pt idx="41">
                  <c:v>-21.741685051406279</c:v>
                </c:pt>
                <c:pt idx="42">
                  <c:v>-22.329916115484849</c:v>
                </c:pt>
                <c:pt idx="43">
                  <c:v>-22.349190264140617</c:v>
                </c:pt>
                <c:pt idx="44">
                  <c:v>-22.998377427538408</c:v>
                </c:pt>
                <c:pt idx="45">
                  <c:v>-22.87625856145592</c:v>
                </c:pt>
                <c:pt idx="46">
                  <c:v>-22.676311845376773</c:v>
                </c:pt>
                <c:pt idx="47">
                  <c:v>-22.461238336244804</c:v>
                </c:pt>
                <c:pt idx="48">
                  <c:v>-21.965093532438473</c:v>
                </c:pt>
                <c:pt idx="49">
                  <c:v>-22.7939608002794</c:v>
                </c:pt>
                <c:pt idx="50">
                  <c:v>-23.130580223079455</c:v>
                </c:pt>
                <c:pt idx="51">
                  <c:v>-23.373274968796487</c:v>
                </c:pt>
                <c:pt idx="52">
                  <c:v>-23.039374470475771</c:v>
                </c:pt>
                <c:pt idx="53">
                  <c:v>-23.192211501566362</c:v>
                </c:pt>
                <c:pt idx="54">
                  <c:v>-23.387854858746948</c:v>
                </c:pt>
                <c:pt idx="55">
                  <c:v>-23.308296111561155</c:v>
                </c:pt>
                <c:pt idx="56">
                  <c:v>-22.726524337264742</c:v>
                </c:pt>
                <c:pt idx="57">
                  <c:v>-23.447837014317408</c:v>
                </c:pt>
                <c:pt idx="58">
                  <c:v>-23.93477145698597</c:v>
                </c:pt>
                <c:pt idx="59">
                  <c:v>-23.286205284230199</c:v>
                </c:pt>
                <c:pt idx="61">
                  <c:v>-23.936527636312377</c:v>
                </c:pt>
                <c:pt idx="63">
                  <c:v>-23.625067692163881</c:v>
                </c:pt>
                <c:pt idx="69">
                  <c:v>-24.348500892948266</c:v>
                </c:pt>
                <c:pt idx="70">
                  <c:v>-24.709496553210641</c:v>
                </c:pt>
                <c:pt idx="71">
                  <c:v>-24.702874684137122</c:v>
                </c:pt>
                <c:pt idx="72">
                  <c:v>-25.786427654867161</c:v>
                </c:pt>
                <c:pt idx="73">
                  <c:v>-25.927866237529074</c:v>
                </c:pt>
                <c:pt idx="74">
                  <c:v>-26.599840970095379</c:v>
                </c:pt>
                <c:pt idx="75">
                  <c:v>-27.367874738283504</c:v>
                </c:pt>
                <c:pt idx="76">
                  <c:v>-27.313509854738349</c:v>
                </c:pt>
                <c:pt idx="77">
                  <c:v>-28.635557702291869</c:v>
                </c:pt>
                <c:pt idx="78">
                  <c:v>-28.33847123181954</c:v>
                </c:pt>
                <c:pt idx="79">
                  <c:v>-29.246344005948721</c:v>
                </c:pt>
                <c:pt idx="80">
                  <c:v>-28.957612820696532</c:v>
                </c:pt>
                <c:pt idx="81">
                  <c:v>-28.577602601080443</c:v>
                </c:pt>
                <c:pt idx="82">
                  <c:v>-28.867292762319252</c:v>
                </c:pt>
                <c:pt idx="83">
                  <c:v>-28.140830083684953</c:v>
                </c:pt>
                <c:pt idx="84">
                  <c:v>-28.812830536647738</c:v>
                </c:pt>
                <c:pt idx="85">
                  <c:v>-29.424581653365145</c:v>
                </c:pt>
                <c:pt idx="86">
                  <c:v>-29.504829705566671</c:v>
                </c:pt>
                <c:pt idx="87">
                  <c:v>-30.158418806343512</c:v>
                </c:pt>
                <c:pt idx="88">
                  <c:v>-29.870518429398807</c:v>
                </c:pt>
                <c:pt idx="89">
                  <c:v>-30.8033921494415</c:v>
                </c:pt>
                <c:pt idx="90">
                  <c:v>-30.780280296477613</c:v>
                </c:pt>
                <c:pt idx="91">
                  <c:v>-32.147380773128731</c:v>
                </c:pt>
                <c:pt idx="94">
                  <c:v>-32.371668407478182</c:v>
                </c:pt>
                <c:pt idx="95">
                  <c:v>-31.770861734392142</c:v>
                </c:pt>
                <c:pt idx="96">
                  <c:v>-32.016928359952956</c:v>
                </c:pt>
                <c:pt idx="97">
                  <c:v>-32.044451433346666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986-419E-BEC2-BA13FF74B112}"/>
            </c:ext>
          </c:extLst>
        </c:ser>
        <c:ser>
          <c:idx val="3"/>
          <c:order val="4"/>
          <c:tx>
            <c:strRef>
              <c:f>Convergences!$G$9</c:f>
              <c:strCache>
                <c:ptCount val="1"/>
                <c:pt idx="0">
                  <c:v>HD</c:v>
                </c:pt>
              </c:strCache>
            </c:strRef>
          </c:tx>
          <c:spPr>
            <a:ln w="15875" cap="rnd">
              <a:solidFill>
                <a:srgbClr val="FFC000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xVal>
            <c:numRef>
              <c:f>Convergences!$B$10:$B$136</c:f>
              <c:numCache>
                <c:formatCode>dd\ /\ mm\ /\ yy</c:formatCode>
                <c:ptCount val="127"/>
                <c:pt idx="0">
                  <c:v>43658</c:v>
                </c:pt>
                <c:pt idx="1">
                  <c:v>43661</c:v>
                </c:pt>
                <c:pt idx="2">
                  <c:v>43662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11">
                  <c:v>43685</c:v>
                </c:pt>
                <c:pt idx="12">
                  <c:v>43689</c:v>
                </c:pt>
                <c:pt idx="13">
                  <c:v>43690</c:v>
                </c:pt>
                <c:pt idx="14">
                  <c:v>43696</c:v>
                </c:pt>
                <c:pt idx="15">
                  <c:v>43699</c:v>
                </c:pt>
                <c:pt idx="16">
                  <c:v>43704</c:v>
                </c:pt>
                <c:pt idx="17">
                  <c:v>43706</c:v>
                </c:pt>
                <c:pt idx="18">
                  <c:v>43710</c:v>
                </c:pt>
                <c:pt idx="19">
                  <c:v>43713</c:v>
                </c:pt>
                <c:pt idx="20">
                  <c:v>43718</c:v>
                </c:pt>
                <c:pt idx="21">
                  <c:v>43720</c:v>
                </c:pt>
                <c:pt idx="22">
                  <c:v>43724</c:v>
                </c:pt>
                <c:pt idx="23">
                  <c:v>43727</c:v>
                </c:pt>
                <c:pt idx="24">
                  <c:v>43731</c:v>
                </c:pt>
                <c:pt idx="25">
                  <c:v>43734</c:v>
                </c:pt>
                <c:pt idx="26">
                  <c:v>43738</c:v>
                </c:pt>
                <c:pt idx="27">
                  <c:v>43741</c:v>
                </c:pt>
                <c:pt idx="28">
                  <c:v>43746</c:v>
                </c:pt>
                <c:pt idx="29">
                  <c:v>43753</c:v>
                </c:pt>
                <c:pt idx="30">
                  <c:v>43756</c:v>
                </c:pt>
                <c:pt idx="31">
                  <c:v>43760</c:v>
                </c:pt>
                <c:pt idx="32">
                  <c:v>43762</c:v>
                </c:pt>
                <c:pt idx="33">
                  <c:v>43766</c:v>
                </c:pt>
                <c:pt idx="34">
                  <c:v>43769</c:v>
                </c:pt>
                <c:pt idx="35">
                  <c:v>43774</c:v>
                </c:pt>
                <c:pt idx="36">
                  <c:v>43776</c:v>
                </c:pt>
                <c:pt idx="37">
                  <c:v>43781</c:v>
                </c:pt>
                <c:pt idx="38">
                  <c:v>43783</c:v>
                </c:pt>
                <c:pt idx="39">
                  <c:v>43787</c:v>
                </c:pt>
                <c:pt idx="40">
                  <c:v>43790</c:v>
                </c:pt>
                <c:pt idx="41">
                  <c:v>43795</c:v>
                </c:pt>
                <c:pt idx="42">
                  <c:v>43797</c:v>
                </c:pt>
                <c:pt idx="43">
                  <c:v>43798</c:v>
                </c:pt>
                <c:pt idx="44">
                  <c:v>43801</c:v>
                </c:pt>
                <c:pt idx="45">
                  <c:v>43803</c:v>
                </c:pt>
                <c:pt idx="46">
                  <c:v>43808</c:v>
                </c:pt>
                <c:pt idx="47">
                  <c:v>43811</c:v>
                </c:pt>
                <c:pt idx="48">
                  <c:v>43815</c:v>
                </c:pt>
                <c:pt idx="49">
                  <c:v>43818</c:v>
                </c:pt>
                <c:pt idx="50">
                  <c:v>43837</c:v>
                </c:pt>
                <c:pt idx="51">
                  <c:v>43843</c:v>
                </c:pt>
                <c:pt idx="52">
                  <c:v>43850</c:v>
                </c:pt>
                <c:pt idx="53">
                  <c:v>43859</c:v>
                </c:pt>
                <c:pt idx="54">
                  <c:v>43865</c:v>
                </c:pt>
                <c:pt idx="55">
                  <c:v>43886</c:v>
                </c:pt>
                <c:pt idx="56">
                  <c:v>43970</c:v>
                </c:pt>
                <c:pt idx="57">
                  <c:v>43977</c:v>
                </c:pt>
                <c:pt idx="58">
                  <c:v>43999</c:v>
                </c:pt>
                <c:pt idx="59">
                  <c:v>44029</c:v>
                </c:pt>
                <c:pt idx="61">
                  <c:v>44082</c:v>
                </c:pt>
                <c:pt idx="63">
                  <c:v>44082</c:v>
                </c:pt>
                <c:pt idx="65">
                  <c:v>44140</c:v>
                </c:pt>
                <c:pt idx="66">
                  <c:v>44172</c:v>
                </c:pt>
                <c:pt idx="67">
                  <c:v>44229</c:v>
                </c:pt>
                <c:pt idx="69">
                  <c:v>44322</c:v>
                </c:pt>
                <c:pt idx="70">
                  <c:v>44357</c:v>
                </c:pt>
                <c:pt idx="71">
                  <c:v>44362</c:v>
                </c:pt>
                <c:pt idx="72">
                  <c:v>44369</c:v>
                </c:pt>
                <c:pt idx="73">
                  <c:v>44376</c:v>
                </c:pt>
                <c:pt idx="74">
                  <c:v>44400</c:v>
                </c:pt>
                <c:pt idx="75">
                  <c:v>44439</c:v>
                </c:pt>
                <c:pt idx="76">
                  <c:v>44474</c:v>
                </c:pt>
                <c:pt idx="77">
                  <c:v>44522</c:v>
                </c:pt>
                <c:pt idx="78">
                  <c:v>44531</c:v>
                </c:pt>
                <c:pt idx="79">
                  <c:v>44536</c:v>
                </c:pt>
                <c:pt idx="80">
                  <c:v>44543</c:v>
                </c:pt>
                <c:pt idx="81">
                  <c:v>44550</c:v>
                </c:pt>
                <c:pt idx="82">
                  <c:v>44572</c:v>
                </c:pt>
                <c:pt idx="83">
                  <c:v>44578</c:v>
                </c:pt>
                <c:pt idx="84">
                  <c:v>44595</c:v>
                </c:pt>
                <c:pt idx="85">
                  <c:v>44613</c:v>
                </c:pt>
                <c:pt idx="86">
                  <c:v>44648</c:v>
                </c:pt>
                <c:pt idx="87">
                  <c:v>44678</c:v>
                </c:pt>
                <c:pt idx="88">
                  <c:v>44711</c:v>
                </c:pt>
                <c:pt idx="89">
                  <c:v>44740</c:v>
                </c:pt>
                <c:pt idx="90">
                  <c:v>44767</c:v>
                </c:pt>
                <c:pt idx="91">
                  <c:v>44902</c:v>
                </c:pt>
                <c:pt idx="92">
                  <c:v>44915</c:v>
                </c:pt>
                <c:pt idx="93">
                  <c:v>44930</c:v>
                </c:pt>
                <c:pt idx="94">
                  <c:v>44945</c:v>
                </c:pt>
                <c:pt idx="95">
                  <c:v>44957</c:v>
                </c:pt>
                <c:pt idx="96">
                  <c:v>44988</c:v>
                </c:pt>
                <c:pt idx="97">
                  <c:v>45013</c:v>
                </c:pt>
              </c:numCache>
            </c:numRef>
          </c:xVal>
          <c:yVal>
            <c:numRef>
              <c:f>Convergences!$G$10:$G$136</c:f>
              <c:numCache>
                <c:formatCode>\+\ 0.0;\-\ 0.0;\±\ 0.0</c:formatCode>
                <c:ptCount val="127"/>
                <c:pt idx="0">
                  <c:v>0</c:v>
                </c:pt>
                <c:pt idx="1">
                  <c:v>-0.78323330531504531</c:v>
                </c:pt>
                <c:pt idx="2">
                  <c:v>-1.7363126222160741</c:v>
                </c:pt>
                <c:pt idx="3">
                  <c:v>-2.8214405081936622</c:v>
                </c:pt>
                <c:pt idx="4">
                  <c:v>-5.336098170271919</c:v>
                </c:pt>
                <c:pt idx="5">
                  <c:v>-8.7989674370088089</c:v>
                </c:pt>
                <c:pt idx="6">
                  <c:v>-12.888754040982997</c:v>
                </c:pt>
                <c:pt idx="7">
                  <c:v>-15.245143915110893</c:v>
                </c:pt>
                <c:pt idx="8">
                  <c:v>-17.795136219741934</c:v>
                </c:pt>
                <c:pt idx="11">
                  <c:v>-18.930237794595236</c:v>
                </c:pt>
                <c:pt idx="12">
                  <c:v>-19.396682385435902</c:v>
                </c:pt>
                <c:pt idx="13">
                  <c:v>-19.254993292896039</c:v>
                </c:pt>
                <c:pt idx="14">
                  <c:v>-20.065804698703225</c:v>
                </c:pt>
                <c:pt idx="15">
                  <c:v>-20.647980549946208</c:v>
                </c:pt>
                <c:pt idx="16">
                  <c:v>-13.418220616602248</c:v>
                </c:pt>
                <c:pt idx="17">
                  <c:v>-13.548801601496184</c:v>
                </c:pt>
                <c:pt idx="18">
                  <c:v>-13.788957567158143</c:v>
                </c:pt>
                <c:pt idx="19">
                  <c:v>-13.829187726146939</c:v>
                </c:pt>
                <c:pt idx="20">
                  <c:v>-14.338604172213552</c:v>
                </c:pt>
                <c:pt idx="21">
                  <c:v>-14.339582229073276</c:v>
                </c:pt>
                <c:pt idx="22">
                  <c:v>-15.060861839492954</c:v>
                </c:pt>
                <c:pt idx="23">
                  <c:v>-15.053343550537555</c:v>
                </c:pt>
                <c:pt idx="24">
                  <c:v>-15.089006235209144</c:v>
                </c:pt>
                <c:pt idx="25">
                  <c:v>-15.281394145179926</c:v>
                </c:pt>
                <c:pt idx="26">
                  <c:v>-15.61414445246556</c:v>
                </c:pt>
                <c:pt idx="27">
                  <c:v>-15.2739420361494</c:v>
                </c:pt>
                <c:pt idx="28">
                  <c:v>-15.39668875738087</c:v>
                </c:pt>
                <c:pt idx="29">
                  <c:v>-15.866319570500885</c:v>
                </c:pt>
                <c:pt idx="30">
                  <c:v>-15.728212466812328</c:v>
                </c:pt>
                <c:pt idx="31">
                  <c:v>-16.213590720363989</c:v>
                </c:pt>
                <c:pt idx="32">
                  <c:v>-15.881012116213842</c:v>
                </c:pt>
                <c:pt idx="33">
                  <c:v>-15.519841130246624</c:v>
                </c:pt>
                <c:pt idx="34">
                  <c:v>-15.959165457211542</c:v>
                </c:pt>
                <c:pt idx="35">
                  <c:v>-16.287531501181007</c:v>
                </c:pt>
                <c:pt idx="36">
                  <c:v>-16.385101333298735</c:v>
                </c:pt>
                <c:pt idx="37">
                  <c:v>-16.518202352386879</c:v>
                </c:pt>
                <c:pt idx="38">
                  <c:v>-16.321929645497057</c:v>
                </c:pt>
                <c:pt idx="39">
                  <c:v>-16.693699179510133</c:v>
                </c:pt>
                <c:pt idx="40">
                  <c:v>-16.654683971807579</c:v>
                </c:pt>
                <c:pt idx="41">
                  <c:v>-16.643121674132509</c:v>
                </c:pt>
                <c:pt idx="42">
                  <c:v>-17.096144214451044</c:v>
                </c:pt>
                <c:pt idx="43">
                  <c:v>-16.980309330096418</c:v>
                </c:pt>
                <c:pt idx="44">
                  <c:v>-17.149047159726649</c:v>
                </c:pt>
                <c:pt idx="45">
                  <c:v>-17.554308473435754</c:v>
                </c:pt>
                <c:pt idx="46">
                  <c:v>-17.412405758982175</c:v>
                </c:pt>
                <c:pt idx="47">
                  <c:v>-17.193474466927981</c:v>
                </c:pt>
                <c:pt idx="48">
                  <c:v>-16.948734680820365</c:v>
                </c:pt>
                <c:pt idx="49">
                  <c:v>-17.125633918650074</c:v>
                </c:pt>
                <c:pt idx="50">
                  <c:v>-17.5778962513069</c:v>
                </c:pt>
                <c:pt idx="51">
                  <c:v>-17.713106729446036</c:v>
                </c:pt>
                <c:pt idx="52">
                  <c:v>-17.674158978449924</c:v>
                </c:pt>
                <c:pt idx="53">
                  <c:v>-17.196119761061944</c:v>
                </c:pt>
                <c:pt idx="54">
                  <c:v>-17.848162965515389</c:v>
                </c:pt>
                <c:pt idx="55">
                  <c:v>-17.813597622850175</c:v>
                </c:pt>
                <c:pt idx="56">
                  <c:v>-17.912744026492565</c:v>
                </c:pt>
                <c:pt idx="57">
                  <c:v>-18.04391757527268</c:v>
                </c:pt>
                <c:pt idx="58">
                  <c:v>-18.430800670816701</c:v>
                </c:pt>
                <c:pt idx="59">
                  <c:v>-18.296894235638515</c:v>
                </c:pt>
                <c:pt idx="61">
                  <c:v>-18.684894333799825</c:v>
                </c:pt>
                <c:pt idx="63">
                  <c:v>-18.653991376861743</c:v>
                </c:pt>
                <c:pt idx="70">
                  <c:v>-18.891623251056977</c:v>
                </c:pt>
                <c:pt idx="71">
                  <c:v>-18.759444476851961</c:v>
                </c:pt>
                <c:pt idx="72">
                  <c:v>-18.865441044660034</c:v>
                </c:pt>
                <c:pt idx="73">
                  <c:v>-18.879716303453307</c:v>
                </c:pt>
                <c:pt idx="74">
                  <c:v>-18.499587758514565</c:v>
                </c:pt>
                <c:pt idx="75">
                  <c:v>-18.283505616766281</c:v>
                </c:pt>
                <c:pt idx="76">
                  <c:v>-17.458761915137842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986-419E-BEC2-BA13FF74B112}"/>
            </c:ext>
          </c:extLst>
        </c:ser>
        <c:ser>
          <c:idx val="4"/>
          <c:order val="5"/>
          <c:tx>
            <c:strRef>
              <c:f>Convergences!$J$9</c:f>
              <c:strCache>
                <c:ptCount val="1"/>
                <c:pt idx="0">
                  <c:v>LH</c:v>
                </c:pt>
              </c:strCache>
            </c:strRef>
          </c:tx>
          <c:spPr>
            <a:ln w="15875" cap="rnd">
              <a:solidFill>
                <a:srgbClr val="FF0000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xVal>
            <c:numRef>
              <c:f>Convergences!$B$10:$B$136</c:f>
              <c:numCache>
                <c:formatCode>dd\ /\ mm\ /\ yy</c:formatCode>
                <c:ptCount val="127"/>
                <c:pt idx="0">
                  <c:v>43658</c:v>
                </c:pt>
                <c:pt idx="1">
                  <c:v>43661</c:v>
                </c:pt>
                <c:pt idx="2">
                  <c:v>43662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11">
                  <c:v>43685</c:v>
                </c:pt>
                <c:pt idx="12">
                  <c:v>43689</c:v>
                </c:pt>
                <c:pt idx="13">
                  <c:v>43690</c:v>
                </c:pt>
                <c:pt idx="14">
                  <c:v>43696</c:v>
                </c:pt>
                <c:pt idx="15">
                  <c:v>43699</c:v>
                </c:pt>
                <c:pt idx="16">
                  <c:v>43704</c:v>
                </c:pt>
                <c:pt idx="17">
                  <c:v>43706</c:v>
                </c:pt>
                <c:pt idx="18">
                  <c:v>43710</c:v>
                </c:pt>
                <c:pt idx="19">
                  <c:v>43713</c:v>
                </c:pt>
                <c:pt idx="20">
                  <c:v>43718</c:v>
                </c:pt>
                <c:pt idx="21">
                  <c:v>43720</c:v>
                </c:pt>
                <c:pt idx="22">
                  <c:v>43724</c:v>
                </c:pt>
                <c:pt idx="23">
                  <c:v>43727</c:v>
                </c:pt>
                <c:pt idx="24">
                  <c:v>43731</c:v>
                </c:pt>
                <c:pt idx="25">
                  <c:v>43734</c:v>
                </c:pt>
                <c:pt idx="26">
                  <c:v>43738</c:v>
                </c:pt>
                <c:pt idx="27">
                  <c:v>43741</c:v>
                </c:pt>
                <c:pt idx="28">
                  <c:v>43746</c:v>
                </c:pt>
                <c:pt idx="29">
                  <c:v>43753</c:v>
                </c:pt>
                <c:pt idx="30">
                  <c:v>43756</c:v>
                </c:pt>
                <c:pt idx="31">
                  <c:v>43760</c:v>
                </c:pt>
                <c:pt idx="32">
                  <c:v>43762</c:v>
                </c:pt>
                <c:pt idx="33">
                  <c:v>43766</c:v>
                </c:pt>
                <c:pt idx="34">
                  <c:v>43769</c:v>
                </c:pt>
                <c:pt idx="35">
                  <c:v>43774</c:v>
                </c:pt>
                <c:pt idx="36">
                  <c:v>43776</c:v>
                </c:pt>
                <c:pt idx="37">
                  <c:v>43781</c:v>
                </c:pt>
                <c:pt idx="38">
                  <c:v>43783</c:v>
                </c:pt>
                <c:pt idx="39">
                  <c:v>43787</c:v>
                </c:pt>
                <c:pt idx="40">
                  <c:v>43790</c:v>
                </c:pt>
                <c:pt idx="41">
                  <c:v>43795</c:v>
                </c:pt>
                <c:pt idx="42">
                  <c:v>43797</c:v>
                </c:pt>
                <c:pt idx="43">
                  <c:v>43798</c:v>
                </c:pt>
                <c:pt idx="44">
                  <c:v>43801</c:v>
                </c:pt>
                <c:pt idx="45">
                  <c:v>43803</c:v>
                </c:pt>
                <c:pt idx="46">
                  <c:v>43808</c:v>
                </c:pt>
                <c:pt idx="47">
                  <c:v>43811</c:v>
                </c:pt>
                <c:pt idx="48">
                  <c:v>43815</c:v>
                </c:pt>
                <c:pt idx="49">
                  <c:v>43818</c:v>
                </c:pt>
                <c:pt idx="50">
                  <c:v>43837</c:v>
                </c:pt>
                <c:pt idx="51">
                  <c:v>43843</c:v>
                </c:pt>
                <c:pt idx="52">
                  <c:v>43850</c:v>
                </c:pt>
                <c:pt idx="53">
                  <c:v>43859</c:v>
                </c:pt>
                <c:pt idx="54">
                  <c:v>43865</c:v>
                </c:pt>
                <c:pt idx="55">
                  <c:v>43886</c:v>
                </c:pt>
                <c:pt idx="56">
                  <c:v>43970</c:v>
                </c:pt>
                <c:pt idx="57">
                  <c:v>43977</c:v>
                </c:pt>
                <c:pt idx="58">
                  <c:v>43999</c:v>
                </c:pt>
                <c:pt idx="59">
                  <c:v>44029</c:v>
                </c:pt>
                <c:pt idx="61">
                  <c:v>44082</c:v>
                </c:pt>
                <c:pt idx="63">
                  <c:v>44082</c:v>
                </c:pt>
                <c:pt idx="65">
                  <c:v>44140</c:v>
                </c:pt>
                <c:pt idx="66">
                  <c:v>44172</c:v>
                </c:pt>
                <c:pt idx="67">
                  <c:v>44229</c:v>
                </c:pt>
                <c:pt idx="69">
                  <c:v>44322</c:v>
                </c:pt>
                <c:pt idx="70">
                  <c:v>44357</c:v>
                </c:pt>
                <c:pt idx="71">
                  <c:v>44362</c:v>
                </c:pt>
                <c:pt idx="72">
                  <c:v>44369</c:v>
                </c:pt>
                <c:pt idx="73">
                  <c:v>44376</c:v>
                </c:pt>
                <c:pt idx="74">
                  <c:v>44400</c:v>
                </c:pt>
                <c:pt idx="75">
                  <c:v>44439</c:v>
                </c:pt>
                <c:pt idx="76">
                  <c:v>44474</c:v>
                </c:pt>
                <c:pt idx="77">
                  <c:v>44522</c:v>
                </c:pt>
                <c:pt idx="78">
                  <c:v>44531</c:v>
                </c:pt>
                <c:pt idx="79">
                  <c:v>44536</c:v>
                </c:pt>
                <c:pt idx="80">
                  <c:v>44543</c:v>
                </c:pt>
                <c:pt idx="81">
                  <c:v>44550</c:v>
                </c:pt>
                <c:pt idx="82">
                  <c:v>44572</c:v>
                </c:pt>
                <c:pt idx="83">
                  <c:v>44578</c:v>
                </c:pt>
                <c:pt idx="84">
                  <c:v>44595</c:v>
                </c:pt>
                <c:pt idx="85">
                  <c:v>44613</c:v>
                </c:pt>
                <c:pt idx="86">
                  <c:v>44648</c:v>
                </c:pt>
                <c:pt idx="87">
                  <c:v>44678</c:v>
                </c:pt>
                <c:pt idx="88">
                  <c:v>44711</c:v>
                </c:pt>
                <c:pt idx="89">
                  <c:v>44740</c:v>
                </c:pt>
                <c:pt idx="90">
                  <c:v>44767</c:v>
                </c:pt>
                <c:pt idx="91">
                  <c:v>44902</c:v>
                </c:pt>
                <c:pt idx="92">
                  <c:v>44915</c:v>
                </c:pt>
                <c:pt idx="93">
                  <c:v>44930</c:v>
                </c:pt>
                <c:pt idx="94">
                  <c:v>44945</c:v>
                </c:pt>
                <c:pt idx="95">
                  <c:v>44957</c:v>
                </c:pt>
                <c:pt idx="96">
                  <c:v>44988</c:v>
                </c:pt>
                <c:pt idx="97">
                  <c:v>45013</c:v>
                </c:pt>
              </c:numCache>
            </c:numRef>
          </c:xVal>
          <c:yVal>
            <c:numRef>
              <c:f>Convergences!$J$10:$J$136</c:f>
              <c:numCache>
                <c:formatCode>\+\ 0.0;\-\ 0.0;\±\ 0.0</c:formatCode>
                <c:ptCount val="127"/>
                <c:pt idx="0">
                  <c:v>0</c:v>
                </c:pt>
                <c:pt idx="1">
                  <c:v>-0.97288839341169719</c:v>
                </c:pt>
                <c:pt idx="2">
                  <c:v>-1.495231750157977</c:v>
                </c:pt>
                <c:pt idx="3">
                  <c:v>-2.8821026034662189</c:v>
                </c:pt>
                <c:pt idx="4">
                  <c:v>-4.6545208024957319</c:v>
                </c:pt>
                <c:pt idx="6">
                  <c:v>-11.569012375588272</c:v>
                </c:pt>
                <c:pt idx="7">
                  <c:v>-13.836230911248748</c:v>
                </c:pt>
                <c:pt idx="8">
                  <c:v>-17.38011969286779</c:v>
                </c:pt>
                <c:pt idx="11">
                  <c:v>-18.417032105364939</c:v>
                </c:pt>
                <c:pt idx="12">
                  <c:v>-19.402002575911403</c:v>
                </c:pt>
                <c:pt idx="13">
                  <c:v>-19.517157594520107</c:v>
                </c:pt>
                <c:pt idx="14">
                  <c:v>-20.848952207926708</c:v>
                </c:pt>
                <c:pt idx="15">
                  <c:v>-21.806193017630093</c:v>
                </c:pt>
                <c:pt idx="16">
                  <c:v>-18.25114850710019</c:v>
                </c:pt>
                <c:pt idx="17">
                  <c:v>-17.891569523455164</c:v>
                </c:pt>
                <c:pt idx="18">
                  <c:v>-18.208550667762058</c:v>
                </c:pt>
                <c:pt idx="19">
                  <c:v>-18.330631216342486</c:v>
                </c:pt>
                <c:pt idx="20">
                  <c:v>-18.757303706634865</c:v>
                </c:pt>
                <c:pt idx="21">
                  <c:v>-18.732237216117387</c:v>
                </c:pt>
                <c:pt idx="22">
                  <c:v>-19.482584665324598</c:v>
                </c:pt>
                <c:pt idx="23">
                  <c:v>-20.023001858349598</c:v>
                </c:pt>
                <c:pt idx="24">
                  <c:v>-20.268244639114918</c:v>
                </c:pt>
                <c:pt idx="25">
                  <c:v>-20.707034665472968</c:v>
                </c:pt>
                <c:pt idx="26">
                  <c:v>-20.797055393628305</c:v>
                </c:pt>
                <c:pt idx="27">
                  <c:v>-20.446414004663183</c:v>
                </c:pt>
                <c:pt idx="28">
                  <c:v>-20.601744125361865</c:v>
                </c:pt>
                <c:pt idx="29">
                  <c:v>-21.122014233312392</c:v>
                </c:pt>
                <c:pt idx="30">
                  <c:v>-21.189751471709428</c:v>
                </c:pt>
                <c:pt idx="31">
                  <c:v>-21.656036944853074</c:v>
                </c:pt>
                <c:pt idx="32">
                  <c:v>-21.278338071349712</c:v>
                </c:pt>
                <c:pt idx="33">
                  <c:v>-21.013746344478168</c:v>
                </c:pt>
                <c:pt idx="34">
                  <c:v>-21.265066488184825</c:v>
                </c:pt>
                <c:pt idx="35">
                  <c:v>-22.072464543952286</c:v>
                </c:pt>
                <c:pt idx="36">
                  <c:v>-22.309909616113899</c:v>
                </c:pt>
                <c:pt idx="37">
                  <c:v>-22.670536971918676</c:v>
                </c:pt>
                <c:pt idx="38">
                  <c:v>-22.236566131336843</c:v>
                </c:pt>
                <c:pt idx="39">
                  <c:v>-22.334967700434305</c:v>
                </c:pt>
                <c:pt idx="40">
                  <c:v>-22.44198327308311</c:v>
                </c:pt>
                <c:pt idx="42">
                  <c:v>-25.218285656638528</c:v>
                </c:pt>
                <c:pt idx="43">
                  <c:v>-25.212002036439696</c:v>
                </c:pt>
                <c:pt idx="44">
                  <c:v>-25.432026343180869</c:v>
                </c:pt>
                <c:pt idx="45">
                  <c:v>-25.897956683902379</c:v>
                </c:pt>
                <c:pt idx="46">
                  <c:v>-25.897740647843115</c:v>
                </c:pt>
                <c:pt idx="47">
                  <c:v>-25.630397169236208</c:v>
                </c:pt>
                <c:pt idx="48">
                  <c:v>-25.122209303600318</c:v>
                </c:pt>
                <c:pt idx="49">
                  <c:v>-26.109040157076269</c:v>
                </c:pt>
                <c:pt idx="50">
                  <c:v>-26.340014800950051</c:v>
                </c:pt>
                <c:pt idx="51">
                  <c:v>-27.315690514682522</c:v>
                </c:pt>
                <c:pt idx="52">
                  <c:v>-26.209368177493086</c:v>
                </c:pt>
                <c:pt idx="53">
                  <c:v>-26.462210540572961</c:v>
                </c:pt>
                <c:pt idx="54">
                  <c:v>-26.60940768633635</c:v>
                </c:pt>
                <c:pt idx="55">
                  <c:v>-26.258945567340763</c:v>
                </c:pt>
                <c:pt idx="56">
                  <c:v>-26.399387822957809</c:v>
                </c:pt>
                <c:pt idx="57">
                  <c:v>-26.53114706156634</c:v>
                </c:pt>
                <c:pt idx="58">
                  <c:v>-27.330796017450698</c:v>
                </c:pt>
                <c:pt idx="59">
                  <c:v>-26.815911283480265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986-419E-BEC2-BA13FF74B112}"/>
            </c:ext>
          </c:extLst>
        </c:ser>
        <c:ser>
          <c:idx val="5"/>
          <c:order val="6"/>
          <c:tx>
            <c:strRef>
              <c:f>Convergences!$E$9</c:f>
              <c:strCache>
                <c:ptCount val="1"/>
                <c:pt idx="0">
                  <c:v>IG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xVal>
            <c:numRef>
              <c:f>Convergences!$B$10:$B$136</c:f>
              <c:numCache>
                <c:formatCode>dd\ /\ mm\ /\ yy</c:formatCode>
                <c:ptCount val="127"/>
                <c:pt idx="0">
                  <c:v>43658</c:v>
                </c:pt>
                <c:pt idx="1">
                  <c:v>43661</c:v>
                </c:pt>
                <c:pt idx="2">
                  <c:v>43662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11">
                  <c:v>43685</c:v>
                </c:pt>
                <c:pt idx="12">
                  <c:v>43689</c:v>
                </c:pt>
                <c:pt idx="13">
                  <c:v>43690</c:v>
                </c:pt>
                <c:pt idx="14">
                  <c:v>43696</c:v>
                </c:pt>
                <c:pt idx="15">
                  <c:v>43699</c:v>
                </c:pt>
                <c:pt idx="16">
                  <c:v>43704</c:v>
                </c:pt>
                <c:pt idx="17">
                  <c:v>43706</c:v>
                </c:pt>
                <c:pt idx="18">
                  <c:v>43710</c:v>
                </c:pt>
                <c:pt idx="19">
                  <c:v>43713</c:v>
                </c:pt>
                <c:pt idx="20">
                  <c:v>43718</c:v>
                </c:pt>
                <c:pt idx="21">
                  <c:v>43720</c:v>
                </c:pt>
                <c:pt idx="22">
                  <c:v>43724</c:v>
                </c:pt>
                <c:pt idx="23">
                  <c:v>43727</c:v>
                </c:pt>
                <c:pt idx="24">
                  <c:v>43731</c:v>
                </c:pt>
                <c:pt idx="25">
                  <c:v>43734</c:v>
                </c:pt>
                <c:pt idx="26">
                  <c:v>43738</c:v>
                </c:pt>
                <c:pt idx="27">
                  <c:v>43741</c:v>
                </c:pt>
                <c:pt idx="28">
                  <c:v>43746</c:v>
                </c:pt>
                <c:pt idx="29">
                  <c:v>43753</c:v>
                </c:pt>
                <c:pt idx="30">
                  <c:v>43756</c:v>
                </c:pt>
                <c:pt idx="31">
                  <c:v>43760</c:v>
                </c:pt>
                <c:pt idx="32">
                  <c:v>43762</c:v>
                </c:pt>
                <c:pt idx="33">
                  <c:v>43766</c:v>
                </c:pt>
                <c:pt idx="34">
                  <c:v>43769</c:v>
                </c:pt>
                <c:pt idx="35">
                  <c:v>43774</c:v>
                </c:pt>
                <c:pt idx="36">
                  <c:v>43776</c:v>
                </c:pt>
                <c:pt idx="37">
                  <c:v>43781</c:v>
                </c:pt>
                <c:pt idx="38">
                  <c:v>43783</c:v>
                </c:pt>
                <c:pt idx="39">
                  <c:v>43787</c:v>
                </c:pt>
                <c:pt idx="40">
                  <c:v>43790</c:v>
                </c:pt>
                <c:pt idx="41">
                  <c:v>43795</c:v>
                </c:pt>
                <c:pt idx="42">
                  <c:v>43797</c:v>
                </c:pt>
                <c:pt idx="43">
                  <c:v>43798</c:v>
                </c:pt>
                <c:pt idx="44">
                  <c:v>43801</c:v>
                </c:pt>
                <c:pt idx="45">
                  <c:v>43803</c:v>
                </c:pt>
                <c:pt idx="46">
                  <c:v>43808</c:v>
                </c:pt>
                <c:pt idx="47">
                  <c:v>43811</c:v>
                </c:pt>
                <c:pt idx="48">
                  <c:v>43815</c:v>
                </c:pt>
                <c:pt idx="49">
                  <c:v>43818</c:v>
                </c:pt>
                <c:pt idx="50">
                  <c:v>43837</c:v>
                </c:pt>
                <c:pt idx="51">
                  <c:v>43843</c:v>
                </c:pt>
                <c:pt idx="52">
                  <c:v>43850</c:v>
                </c:pt>
                <c:pt idx="53">
                  <c:v>43859</c:v>
                </c:pt>
                <c:pt idx="54">
                  <c:v>43865</c:v>
                </c:pt>
                <c:pt idx="55">
                  <c:v>43886</c:v>
                </c:pt>
                <c:pt idx="56">
                  <c:v>43970</c:v>
                </c:pt>
                <c:pt idx="57">
                  <c:v>43977</c:v>
                </c:pt>
                <c:pt idx="58">
                  <c:v>43999</c:v>
                </c:pt>
                <c:pt idx="59">
                  <c:v>44029</c:v>
                </c:pt>
                <c:pt idx="61">
                  <c:v>44082</c:v>
                </c:pt>
                <c:pt idx="63">
                  <c:v>44082</c:v>
                </c:pt>
                <c:pt idx="65">
                  <c:v>44140</c:v>
                </c:pt>
                <c:pt idx="66">
                  <c:v>44172</c:v>
                </c:pt>
                <c:pt idx="67">
                  <c:v>44229</c:v>
                </c:pt>
                <c:pt idx="69">
                  <c:v>44322</c:v>
                </c:pt>
                <c:pt idx="70">
                  <c:v>44357</c:v>
                </c:pt>
                <c:pt idx="71">
                  <c:v>44362</c:v>
                </c:pt>
                <c:pt idx="72">
                  <c:v>44369</c:v>
                </c:pt>
                <c:pt idx="73">
                  <c:v>44376</c:v>
                </c:pt>
                <c:pt idx="74">
                  <c:v>44400</c:v>
                </c:pt>
                <c:pt idx="75">
                  <c:v>44439</c:v>
                </c:pt>
                <c:pt idx="76">
                  <c:v>44474</c:v>
                </c:pt>
                <c:pt idx="77">
                  <c:v>44522</c:v>
                </c:pt>
                <c:pt idx="78">
                  <c:v>44531</c:v>
                </c:pt>
                <c:pt idx="79">
                  <c:v>44536</c:v>
                </c:pt>
                <c:pt idx="80">
                  <c:v>44543</c:v>
                </c:pt>
                <c:pt idx="81">
                  <c:v>44550</c:v>
                </c:pt>
                <c:pt idx="82">
                  <c:v>44572</c:v>
                </c:pt>
                <c:pt idx="83">
                  <c:v>44578</c:v>
                </c:pt>
                <c:pt idx="84">
                  <c:v>44595</c:v>
                </c:pt>
                <c:pt idx="85">
                  <c:v>44613</c:v>
                </c:pt>
                <c:pt idx="86">
                  <c:v>44648</c:v>
                </c:pt>
                <c:pt idx="87">
                  <c:v>44678</c:v>
                </c:pt>
                <c:pt idx="88">
                  <c:v>44711</c:v>
                </c:pt>
                <c:pt idx="89">
                  <c:v>44740</c:v>
                </c:pt>
                <c:pt idx="90">
                  <c:v>44767</c:v>
                </c:pt>
                <c:pt idx="91">
                  <c:v>44902</c:v>
                </c:pt>
                <c:pt idx="92">
                  <c:v>44915</c:v>
                </c:pt>
                <c:pt idx="93">
                  <c:v>44930</c:v>
                </c:pt>
                <c:pt idx="94">
                  <c:v>44945</c:v>
                </c:pt>
                <c:pt idx="95">
                  <c:v>44957</c:v>
                </c:pt>
                <c:pt idx="96">
                  <c:v>44988</c:v>
                </c:pt>
                <c:pt idx="97">
                  <c:v>45013</c:v>
                </c:pt>
              </c:numCache>
            </c:numRef>
          </c:xVal>
          <c:yVal>
            <c:numRef>
              <c:f>Convergences!$E$10:$E$136</c:f>
              <c:numCache>
                <c:formatCode>\+\ 0.0;\-\ 0.0;\±\ 0.0</c:formatCode>
                <c:ptCount val="127"/>
                <c:pt idx="0">
                  <c:v>0</c:v>
                </c:pt>
                <c:pt idx="1">
                  <c:v>-3.2880461720137255</c:v>
                </c:pt>
                <c:pt idx="2">
                  <c:v>-5.399668439002081</c:v>
                </c:pt>
                <c:pt idx="3">
                  <c:v>-8.4988295520465051</c:v>
                </c:pt>
                <c:pt idx="4">
                  <c:v>-16.867969949094341</c:v>
                </c:pt>
                <c:pt idx="5">
                  <c:v>-25.180447141104345</c:v>
                </c:pt>
                <c:pt idx="6">
                  <c:v>-28.188657568936737</c:v>
                </c:pt>
                <c:pt idx="7">
                  <c:v>-31.394687220394069</c:v>
                </c:pt>
                <c:pt idx="8">
                  <c:v>-32.867686724067369</c:v>
                </c:pt>
                <c:pt idx="11">
                  <c:v>-32.932116189466228</c:v>
                </c:pt>
                <c:pt idx="12">
                  <c:v>-36.170742512409149</c:v>
                </c:pt>
                <c:pt idx="13">
                  <c:v>-36.451970471715889</c:v>
                </c:pt>
                <c:pt idx="14">
                  <c:v>-38.766849677605023</c:v>
                </c:pt>
                <c:pt idx="15">
                  <c:v>-40.646144974466395</c:v>
                </c:pt>
                <c:pt idx="16">
                  <c:v>-41.430325421527584</c:v>
                </c:pt>
                <c:pt idx="17">
                  <c:v>-41.367216230823622</c:v>
                </c:pt>
                <c:pt idx="18">
                  <c:v>-42.08975627170819</c:v>
                </c:pt>
                <c:pt idx="19">
                  <c:v>-42.71692333634158</c:v>
                </c:pt>
                <c:pt idx="20">
                  <c:v>-43.188998278321122</c:v>
                </c:pt>
                <c:pt idx="21">
                  <c:v>-43.437466883351036</c:v>
                </c:pt>
                <c:pt idx="22">
                  <c:v>-44.387046048838918</c:v>
                </c:pt>
                <c:pt idx="23">
                  <c:v>-45.114949194713816</c:v>
                </c:pt>
                <c:pt idx="24">
                  <c:v>-45.878354724540941</c:v>
                </c:pt>
                <c:pt idx="25">
                  <c:v>-46.303627684064708</c:v>
                </c:pt>
                <c:pt idx="26">
                  <c:v>-46.555656598699088</c:v>
                </c:pt>
                <c:pt idx="27">
                  <c:v>-46.686489214033514</c:v>
                </c:pt>
                <c:pt idx="28">
                  <c:v>-46.907632386833157</c:v>
                </c:pt>
                <c:pt idx="29">
                  <c:v>-47.879781585763666</c:v>
                </c:pt>
                <c:pt idx="30">
                  <c:v>-48.093989282222971</c:v>
                </c:pt>
                <c:pt idx="31">
                  <c:v>-48.395846926714285</c:v>
                </c:pt>
                <c:pt idx="32">
                  <c:v>-48.383900182790818</c:v>
                </c:pt>
                <c:pt idx="33">
                  <c:v>-48.717206393730009</c:v>
                </c:pt>
                <c:pt idx="34">
                  <c:v>-48.657567203604927</c:v>
                </c:pt>
                <c:pt idx="35">
                  <c:v>-49.754391348244553</c:v>
                </c:pt>
                <c:pt idx="36">
                  <c:v>-50.053762414890457</c:v>
                </c:pt>
                <c:pt idx="37">
                  <c:v>-50.456551699287644</c:v>
                </c:pt>
                <c:pt idx="38">
                  <c:v>-50.490973405709298</c:v>
                </c:pt>
                <c:pt idx="39">
                  <c:v>-50.326972114498325</c:v>
                </c:pt>
                <c:pt idx="40">
                  <c:v>-50.500154566362369</c:v>
                </c:pt>
                <c:pt idx="41">
                  <c:v>-51.131855521433508</c:v>
                </c:pt>
                <c:pt idx="42">
                  <c:v>-52.112389389373789</c:v>
                </c:pt>
                <c:pt idx="43">
                  <c:v>-52.808358974849142</c:v>
                </c:pt>
                <c:pt idx="44">
                  <c:v>-52.891641604149164</c:v>
                </c:pt>
                <c:pt idx="45">
                  <c:v>-53.638841286265389</c:v>
                </c:pt>
                <c:pt idx="46">
                  <c:v>-54.249527464921513</c:v>
                </c:pt>
                <c:pt idx="47">
                  <c:v>-53.946235624786624</c:v>
                </c:pt>
                <c:pt idx="48">
                  <c:v>-53.745456343978759</c:v>
                </c:pt>
                <c:pt idx="49">
                  <c:v>-54.813295408121746</c:v>
                </c:pt>
                <c:pt idx="50">
                  <c:v>-55.297324063408482</c:v>
                </c:pt>
                <c:pt idx="51">
                  <c:v>-56.084859048237675</c:v>
                </c:pt>
                <c:pt idx="52">
                  <c:v>-55.71972963849614</c:v>
                </c:pt>
                <c:pt idx="53">
                  <c:v>-56.163591247014644</c:v>
                </c:pt>
                <c:pt idx="54">
                  <c:v>-56.400386843205027</c:v>
                </c:pt>
                <c:pt idx="55">
                  <c:v>-56.598313834915537</c:v>
                </c:pt>
                <c:pt idx="56">
                  <c:v>-57.109893852094196</c:v>
                </c:pt>
                <c:pt idx="57">
                  <c:v>-58.151167682670035</c:v>
                </c:pt>
                <c:pt idx="58">
                  <c:v>-58.202684510860969</c:v>
                </c:pt>
                <c:pt idx="59">
                  <c:v>-57.897132653492719</c:v>
                </c:pt>
                <c:pt idx="61">
                  <c:v>-58.541140123417264</c:v>
                </c:pt>
                <c:pt idx="63">
                  <c:v>-58.445070476605743</c:v>
                </c:pt>
                <c:pt idx="65">
                  <c:v>-58.445070476605743</c:v>
                </c:pt>
                <c:pt idx="66">
                  <c:v>-57.899499450999144</c:v>
                </c:pt>
                <c:pt idx="67">
                  <c:v>-58.706737085550301</c:v>
                </c:pt>
                <c:pt idx="69">
                  <c:v>-58.746058489061781</c:v>
                </c:pt>
                <c:pt idx="70">
                  <c:v>-59.118269763227538</c:v>
                </c:pt>
                <c:pt idx="71">
                  <c:v>-59.217631503749146</c:v>
                </c:pt>
                <c:pt idx="72">
                  <c:v>-59.878105117192163</c:v>
                </c:pt>
                <c:pt idx="73">
                  <c:v>-59.905514047214666</c:v>
                </c:pt>
                <c:pt idx="74">
                  <c:v>-60.942464721454485</c:v>
                </c:pt>
                <c:pt idx="75">
                  <c:v>-61.688788174193206</c:v>
                </c:pt>
                <c:pt idx="76">
                  <c:v>-62.259664624310318</c:v>
                </c:pt>
                <c:pt idx="77">
                  <c:v>-61.92792123252211</c:v>
                </c:pt>
                <c:pt idx="78">
                  <c:v>-61.688459759688286</c:v>
                </c:pt>
                <c:pt idx="79">
                  <c:v>-62.093601088861305</c:v>
                </c:pt>
                <c:pt idx="80">
                  <c:v>-62.031362351485875</c:v>
                </c:pt>
                <c:pt idx="81">
                  <c:v>-62.383809713489669</c:v>
                </c:pt>
                <c:pt idx="82">
                  <c:v>-62.66856356510209</c:v>
                </c:pt>
                <c:pt idx="83">
                  <c:v>-62.559393612668487</c:v>
                </c:pt>
                <c:pt idx="84">
                  <c:v>-62.600259087515212</c:v>
                </c:pt>
                <c:pt idx="85">
                  <c:v>-62.97441120539915</c:v>
                </c:pt>
                <c:pt idx="86">
                  <c:v>-63.171051550165117</c:v>
                </c:pt>
                <c:pt idx="87">
                  <c:v>-63.627232968387126</c:v>
                </c:pt>
                <c:pt idx="88">
                  <c:v>-62.83005867256675</c:v>
                </c:pt>
                <c:pt idx="89">
                  <c:v>-63.628853953901384</c:v>
                </c:pt>
                <c:pt idx="90">
                  <c:v>-63.824006510259323</c:v>
                </c:pt>
                <c:pt idx="91">
                  <c:v>-62.791573438294002</c:v>
                </c:pt>
                <c:pt idx="92">
                  <c:v>-62.604213381905808</c:v>
                </c:pt>
                <c:pt idx="93">
                  <c:v>-62.949139217293393</c:v>
                </c:pt>
                <c:pt idx="94">
                  <c:v>-63.00748803380651</c:v>
                </c:pt>
                <c:pt idx="95">
                  <c:v>-62.570499970819867</c:v>
                </c:pt>
                <c:pt idx="96">
                  <c:v>-62.88609977843862</c:v>
                </c:pt>
                <c:pt idx="97">
                  <c:v>-63.160807642223205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986-419E-BEC2-BA13FF74B112}"/>
            </c:ext>
          </c:extLst>
        </c:ser>
        <c:ser>
          <c:idx val="1"/>
          <c:order val="7"/>
          <c:tx>
            <c:strRef>
              <c:f>Convergences!$K$9</c:f>
              <c:strCache>
                <c:ptCount val="1"/>
                <c:pt idx="0">
                  <c:v>LI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</a:schemeClr>
                  </a:gs>
                  <a:gs pos="35000">
                    <a:schemeClr val="accent2">
                      <a:tint val="37000"/>
                      <a:satMod val="300000"/>
                    </a:schemeClr>
                  </a:gs>
                  <a:gs pos="100000">
                    <a:schemeClr val="accent2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Convergences!$B$10:$B$136</c:f>
              <c:numCache>
                <c:formatCode>dd\ /\ mm\ /\ yy</c:formatCode>
                <c:ptCount val="127"/>
                <c:pt idx="0">
                  <c:v>43658</c:v>
                </c:pt>
                <c:pt idx="1">
                  <c:v>43661</c:v>
                </c:pt>
                <c:pt idx="2">
                  <c:v>43662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11">
                  <c:v>43685</c:v>
                </c:pt>
                <c:pt idx="12">
                  <c:v>43689</c:v>
                </c:pt>
                <c:pt idx="13">
                  <c:v>43690</c:v>
                </c:pt>
                <c:pt idx="14">
                  <c:v>43696</c:v>
                </c:pt>
                <c:pt idx="15">
                  <c:v>43699</c:v>
                </c:pt>
                <c:pt idx="16">
                  <c:v>43704</c:v>
                </c:pt>
                <c:pt idx="17">
                  <c:v>43706</c:v>
                </c:pt>
                <c:pt idx="18">
                  <c:v>43710</c:v>
                </c:pt>
                <c:pt idx="19">
                  <c:v>43713</c:v>
                </c:pt>
                <c:pt idx="20">
                  <c:v>43718</c:v>
                </c:pt>
                <c:pt idx="21">
                  <c:v>43720</c:v>
                </c:pt>
                <c:pt idx="22">
                  <c:v>43724</c:v>
                </c:pt>
                <c:pt idx="23">
                  <c:v>43727</c:v>
                </c:pt>
                <c:pt idx="24">
                  <c:v>43731</c:v>
                </c:pt>
                <c:pt idx="25">
                  <c:v>43734</c:v>
                </c:pt>
                <c:pt idx="26">
                  <c:v>43738</c:v>
                </c:pt>
                <c:pt idx="27">
                  <c:v>43741</c:v>
                </c:pt>
                <c:pt idx="28">
                  <c:v>43746</c:v>
                </c:pt>
                <c:pt idx="29">
                  <c:v>43753</c:v>
                </c:pt>
                <c:pt idx="30">
                  <c:v>43756</c:v>
                </c:pt>
                <c:pt idx="31">
                  <c:v>43760</c:v>
                </c:pt>
                <c:pt idx="32">
                  <c:v>43762</c:v>
                </c:pt>
                <c:pt idx="33">
                  <c:v>43766</c:v>
                </c:pt>
                <c:pt idx="34">
                  <c:v>43769</c:v>
                </c:pt>
                <c:pt idx="35">
                  <c:v>43774</c:v>
                </c:pt>
                <c:pt idx="36">
                  <c:v>43776</c:v>
                </c:pt>
                <c:pt idx="37">
                  <c:v>43781</c:v>
                </c:pt>
                <c:pt idx="38">
                  <c:v>43783</c:v>
                </c:pt>
                <c:pt idx="39">
                  <c:v>43787</c:v>
                </c:pt>
                <c:pt idx="40">
                  <c:v>43790</c:v>
                </c:pt>
                <c:pt idx="41">
                  <c:v>43795</c:v>
                </c:pt>
                <c:pt idx="42">
                  <c:v>43797</c:v>
                </c:pt>
                <c:pt idx="43">
                  <c:v>43798</c:v>
                </c:pt>
                <c:pt idx="44">
                  <c:v>43801</c:v>
                </c:pt>
                <c:pt idx="45">
                  <c:v>43803</c:v>
                </c:pt>
                <c:pt idx="46">
                  <c:v>43808</c:v>
                </c:pt>
                <c:pt idx="47">
                  <c:v>43811</c:v>
                </c:pt>
                <c:pt idx="48">
                  <c:v>43815</c:v>
                </c:pt>
                <c:pt idx="49">
                  <c:v>43818</c:v>
                </c:pt>
                <c:pt idx="50">
                  <c:v>43837</c:v>
                </c:pt>
                <c:pt idx="51">
                  <c:v>43843</c:v>
                </c:pt>
                <c:pt idx="52">
                  <c:v>43850</c:v>
                </c:pt>
                <c:pt idx="53">
                  <c:v>43859</c:v>
                </c:pt>
                <c:pt idx="54">
                  <c:v>43865</c:v>
                </c:pt>
                <c:pt idx="55">
                  <c:v>43886</c:v>
                </c:pt>
                <c:pt idx="56">
                  <c:v>43970</c:v>
                </c:pt>
                <c:pt idx="57">
                  <c:v>43977</c:v>
                </c:pt>
                <c:pt idx="58">
                  <c:v>43999</c:v>
                </c:pt>
                <c:pt idx="59">
                  <c:v>44029</c:v>
                </c:pt>
                <c:pt idx="61">
                  <c:v>44082</c:v>
                </c:pt>
                <c:pt idx="63">
                  <c:v>44082</c:v>
                </c:pt>
                <c:pt idx="65">
                  <c:v>44140</c:v>
                </c:pt>
                <c:pt idx="66">
                  <c:v>44172</c:v>
                </c:pt>
                <c:pt idx="67">
                  <c:v>44229</c:v>
                </c:pt>
                <c:pt idx="69">
                  <c:v>44322</c:v>
                </c:pt>
                <c:pt idx="70">
                  <c:v>44357</c:v>
                </c:pt>
                <c:pt idx="71">
                  <c:v>44362</c:v>
                </c:pt>
                <c:pt idx="72">
                  <c:v>44369</c:v>
                </c:pt>
                <c:pt idx="73">
                  <c:v>44376</c:v>
                </c:pt>
                <c:pt idx="74">
                  <c:v>44400</c:v>
                </c:pt>
                <c:pt idx="75">
                  <c:v>44439</c:v>
                </c:pt>
                <c:pt idx="76">
                  <c:v>44474</c:v>
                </c:pt>
                <c:pt idx="77">
                  <c:v>44522</c:v>
                </c:pt>
                <c:pt idx="78">
                  <c:v>44531</c:v>
                </c:pt>
                <c:pt idx="79">
                  <c:v>44536</c:v>
                </c:pt>
                <c:pt idx="80">
                  <c:v>44543</c:v>
                </c:pt>
                <c:pt idx="81">
                  <c:v>44550</c:v>
                </c:pt>
                <c:pt idx="82">
                  <c:v>44572</c:v>
                </c:pt>
                <c:pt idx="83">
                  <c:v>44578</c:v>
                </c:pt>
                <c:pt idx="84">
                  <c:v>44595</c:v>
                </c:pt>
                <c:pt idx="85">
                  <c:v>44613</c:v>
                </c:pt>
                <c:pt idx="86">
                  <c:v>44648</c:v>
                </c:pt>
                <c:pt idx="87">
                  <c:v>44678</c:v>
                </c:pt>
                <c:pt idx="88">
                  <c:v>44711</c:v>
                </c:pt>
                <c:pt idx="89">
                  <c:v>44740</c:v>
                </c:pt>
                <c:pt idx="90">
                  <c:v>44767</c:v>
                </c:pt>
                <c:pt idx="91">
                  <c:v>44902</c:v>
                </c:pt>
                <c:pt idx="92">
                  <c:v>44915</c:v>
                </c:pt>
                <c:pt idx="93">
                  <c:v>44930</c:v>
                </c:pt>
                <c:pt idx="94">
                  <c:v>44945</c:v>
                </c:pt>
                <c:pt idx="95">
                  <c:v>44957</c:v>
                </c:pt>
                <c:pt idx="96">
                  <c:v>44988</c:v>
                </c:pt>
                <c:pt idx="97">
                  <c:v>45013</c:v>
                </c:pt>
              </c:numCache>
            </c:numRef>
          </c:xVal>
          <c:yVal>
            <c:numRef>
              <c:f>Convergences!$K$10:$K$136</c:f>
              <c:numCache>
                <c:formatCode>\+\ 0.0;\-\ 0.0;\±\ 0.0</c:formatCode>
                <c:ptCount val="127"/>
                <c:pt idx="0">
                  <c:v>0</c:v>
                </c:pt>
                <c:pt idx="1">
                  <c:v>-1.3786151142278769</c:v>
                </c:pt>
                <c:pt idx="2">
                  <c:v>-2.4908774812466561</c:v>
                </c:pt>
                <c:pt idx="3">
                  <c:v>-4.0069347401736621</c:v>
                </c:pt>
                <c:pt idx="4">
                  <c:v>-8.773181945951336</c:v>
                </c:pt>
                <c:pt idx="5">
                  <c:v>-12.544164319370665</c:v>
                </c:pt>
                <c:pt idx="6">
                  <c:v>-13.983140866692167</c:v>
                </c:pt>
                <c:pt idx="7">
                  <c:v>-15.476771769383113</c:v>
                </c:pt>
                <c:pt idx="8">
                  <c:v>-15.395035106649857</c:v>
                </c:pt>
                <c:pt idx="11">
                  <c:v>-16.303967983814616</c:v>
                </c:pt>
                <c:pt idx="12">
                  <c:v>-16.955853078855831</c:v>
                </c:pt>
                <c:pt idx="13">
                  <c:v>-16.962644506318902</c:v>
                </c:pt>
                <c:pt idx="14">
                  <c:v>-17.975543741663103</c:v>
                </c:pt>
                <c:pt idx="15">
                  <c:v>-19.092246134072788</c:v>
                </c:pt>
                <c:pt idx="16">
                  <c:v>-19.028722775032314</c:v>
                </c:pt>
                <c:pt idx="17">
                  <c:v>-18.910468253237944</c:v>
                </c:pt>
                <c:pt idx="18">
                  <c:v>-19.349240612053897</c:v>
                </c:pt>
                <c:pt idx="19">
                  <c:v>-19.51532016752644</c:v>
                </c:pt>
                <c:pt idx="20">
                  <c:v>-20.139814180263116</c:v>
                </c:pt>
                <c:pt idx="21">
                  <c:v>-20.159754021904952</c:v>
                </c:pt>
                <c:pt idx="22">
                  <c:v>-21.044787003263288</c:v>
                </c:pt>
                <c:pt idx="23">
                  <c:v>-21.380946371500009</c:v>
                </c:pt>
                <c:pt idx="24">
                  <c:v>-21.59625091096018</c:v>
                </c:pt>
                <c:pt idx="25">
                  <c:v>-22.211363598654721</c:v>
                </c:pt>
                <c:pt idx="26">
                  <c:v>-22.665814842411258</c:v>
                </c:pt>
                <c:pt idx="27">
                  <c:v>-22.210677074061103</c:v>
                </c:pt>
                <c:pt idx="28">
                  <c:v>-22.238552787150923</c:v>
                </c:pt>
                <c:pt idx="29">
                  <c:v>-22.857163012137249</c:v>
                </c:pt>
                <c:pt idx="30">
                  <c:v>-23.118883092879905</c:v>
                </c:pt>
                <c:pt idx="31">
                  <c:v>-23.285672907676691</c:v>
                </c:pt>
                <c:pt idx="32">
                  <c:v>-22.128600208575655</c:v>
                </c:pt>
                <c:pt idx="33">
                  <c:v>-22.982125493228978</c:v>
                </c:pt>
                <c:pt idx="34">
                  <c:v>-22.650640763089314</c:v>
                </c:pt>
                <c:pt idx="35">
                  <c:v>-23.795412205443789</c:v>
                </c:pt>
                <c:pt idx="36">
                  <c:v>-24.47891938659108</c:v>
                </c:pt>
                <c:pt idx="37">
                  <c:v>-24.570969660350883</c:v>
                </c:pt>
                <c:pt idx="38">
                  <c:v>-24.257304186274808</c:v>
                </c:pt>
                <c:pt idx="39">
                  <c:v>-24.250531267780318</c:v>
                </c:pt>
                <c:pt idx="40">
                  <c:v>-24.186383335495165</c:v>
                </c:pt>
                <c:pt idx="41">
                  <c:v>-24.872472342300611</c:v>
                </c:pt>
                <c:pt idx="42">
                  <c:v>-25.392568950277195</c:v>
                </c:pt>
                <c:pt idx="43">
                  <c:v>-25.382145922310251</c:v>
                </c:pt>
                <c:pt idx="44">
                  <c:v>-25.317348169149767</c:v>
                </c:pt>
                <c:pt idx="45">
                  <c:v>-25.855186580171718</c:v>
                </c:pt>
                <c:pt idx="46">
                  <c:v>-25.614646904156047</c:v>
                </c:pt>
                <c:pt idx="47">
                  <c:v>-25.598858017153781</c:v>
                </c:pt>
                <c:pt idx="48">
                  <c:v>-25.037202285191462</c:v>
                </c:pt>
                <c:pt idx="49">
                  <c:v>-25.656341892115186</c:v>
                </c:pt>
                <c:pt idx="50">
                  <c:v>-26.302833935677228</c:v>
                </c:pt>
                <c:pt idx="51">
                  <c:v>-26.582956161347759</c:v>
                </c:pt>
                <c:pt idx="52">
                  <c:v>-26.295352851495757</c:v>
                </c:pt>
                <c:pt idx="53">
                  <c:v>-25.937897528400811</c:v>
                </c:pt>
                <c:pt idx="54">
                  <c:v>-26.097885791131148</c:v>
                </c:pt>
                <c:pt idx="55">
                  <c:v>-25.828406053086006</c:v>
                </c:pt>
                <c:pt idx="56">
                  <c:v>-25.972106845847165</c:v>
                </c:pt>
                <c:pt idx="57">
                  <c:v>-26.643924643658501</c:v>
                </c:pt>
                <c:pt idx="58">
                  <c:v>-26.676723272470504</c:v>
                </c:pt>
                <c:pt idx="59">
                  <c:v>-26.364439132489537</c:v>
                </c:pt>
                <c:pt idx="61">
                  <c:v>-27.047788287249297</c:v>
                </c:pt>
                <c:pt idx="63">
                  <c:v>-26.787422820881091</c:v>
                </c:pt>
                <c:pt idx="65">
                  <c:v>-28.508782677812761</c:v>
                </c:pt>
                <c:pt idx="66">
                  <c:v>-27.800176297712476</c:v>
                </c:pt>
                <c:pt idx="67">
                  <c:v>-28.04281415892973</c:v>
                </c:pt>
                <c:pt idx="69">
                  <c:v>-27.756422204181952</c:v>
                </c:pt>
                <c:pt idx="70">
                  <c:v>-28.219860384500528</c:v>
                </c:pt>
                <c:pt idx="71">
                  <c:v>-28.135805554603266</c:v>
                </c:pt>
                <c:pt idx="72">
                  <c:v>-29.051567958952695</c:v>
                </c:pt>
                <c:pt idx="73">
                  <c:v>-29.225842432458293</c:v>
                </c:pt>
                <c:pt idx="74">
                  <c:v>-29.909876406362557</c:v>
                </c:pt>
                <c:pt idx="75">
                  <c:v>-30.982735971821995</c:v>
                </c:pt>
                <c:pt idx="76">
                  <c:v>-31.422189859852345</c:v>
                </c:pt>
                <c:pt idx="77">
                  <c:v>-31.982491882415864</c:v>
                </c:pt>
                <c:pt idx="78">
                  <c:v>-31.959320715527539</c:v>
                </c:pt>
                <c:pt idx="79">
                  <c:v>-32.63581790778769</c:v>
                </c:pt>
                <c:pt idx="80">
                  <c:v>-32.52240373434212</c:v>
                </c:pt>
                <c:pt idx="81">
                  <c:v>-32.430966773739911</c:v>
                </c:pt>
                <c:pt idx="82">
                  <c:v>-32.94268629051178</c:v>
                </c:pt>
                <c:pt idx="83">
                  <c:v>-32.345319671422068</c:v>
                </c:pt>
                <c:pt idx="84">
                  <c:v>-32.691773759205844</c:v>
                </c:pt>
                <c:pt idx="85">
                  <c:v>-33.090257649232235</c:v>
                </c:pt>
                <c:pt idx="86">
                  <c:v>-33.587107353847401</c:v>
                </c:pt>
                <c:pt idx="87">
                  <c:v>-33.725743454474433</c:v>
                </c:pt>
                <c:pt idx="88">
                  <c:v>-32.858577545059831</c:v>
                </c:pt>
                <c:pt idx="89">
                  <c:v>-34.312756478205308</c:v>
                </c:pt>
                <c:pt idx="90">
                  <c:v>-34.230071167918652</c:v>
                </c:pt>
                <c:pt idx="91">
                  <c:v>-35.436882526203028</c:v>
                </c:pt>
                <c:pt idx="92">
                  <c:v>-34.907218679241403</c:v>
                </c:pt>
                <c:pt idx="93">
                  <c:v>-35.626813192389584</c:v>
                </c:pt>
                <c:pt idx="94">
                  <c:v>-35.717692808290735</c:v>
                </c:pt>
                <c:pt idx="95">
                  <c:v>-34.907934802077101</c:v>
                </c:pt>
                <c:pt idx="96">
                  <c:v>-35.305721607775453</c:v>
                </c:pt>
                <c:pt idx="97">
                  <c:v>-35.305721607775453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986-419E-BEC2-BA13FF74B112}"/>
            </c:ext>
          </c:extLst>
        </c:ser>
        <c:ser>
          <c:idx val="2"/>
          <c:order val="8"/>
          <c:tx>
            <c:strRef>
              <c:f>Convergences!$H$9</c:f>
              <c:strCache>
                <c:ptCount val="1"/>
                <c:pt idx="0">
                  <c:v>ID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tint val="50000"/>
                      <a:satMod val="300000"/>
                    </a:schemeClr>
                  </a:gs>
                  <a:gs pos="35000">
                    <a:schemeClr val="accent3">
                      <a:tint val="37000"/>
                      <a:satMod val="300000"/>
                    </a:schemeClr>
                  </a:gs>
                  <a:gs pos="100000">
                    <a:schemeClr val="accent3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Convergences!$B$10:$B$136</c:f>
              <c:numCache>
                <c:formatCode>dd\ /\ mm\ /\ yy</c:formatCode>
                <c:ptCount val="127"/>
                <c:pt idx="0">
                  <c:v>43658</c:v>
                </c:pt>
                <c:pt idx="1">
                  <c:v>43661</c:v>
                </c:pt>
                <c:pt idx="2">
                  <c:v>43662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11">
                  <c:v>43685</c:v>
                </c:pt>
                <c:pt idx="12">
                  <c:v>43689</c:v>
                </c:pt>
                <c:pt idx="13">
                  <c:v>43690</c:v>
                </c:pt>
                <c:pt idx="14">
                  <c:v>43696</c:v>
                </c:pt>
                <c:pt idx="15">
                  <c:v>43699</c:v>
                </c:pt>
                <c:pt idx="16">
                  <c:v>43704</c:v>
                </c:pt>
                <c:pt idx="17">
                  <c:v>43706</c:v>
                </c:pt>
                <c:pt idx="18">
                  <c:v>43710</c:v>
                </c:pt>
                <c:pt idx="19">
                  <c:v>43713</c:v>
                </c:pt>
                <c:pt idx="20">
                  <c:v>43718</c:v>
                </c:pt>
                <c:pt idx="21">
                  <c:v>43720</c:v>
                </c:pt>
                <c:pt idx="22">
                  <c:v>43724</c:v>
                </c:pt>
                <c:pt idx="23">
                  <c:v>43727</c:v>
                </c:pt>
                <c:pt idx="24">
                  <c:v>43731</c:v>
                </c:pt>
                <c:pt idx="25">
                  <c:v>43734</c:v>
                </c:pt>
                <c:pt idx="26">
                  <c:v>43738</c:v>
                </c:pt>
                <c:pt idx="27">
                  <c:v>43741</c:v>
                </c:pt>
                <c:pt idx="28">
                  <c:v>43746</c:v>
                </c:pt>
                <c:pt idx="29">
                  <c:v>43753</c:v>
                </c:pt>
                <c:pt idx="30">
                  <c:v>43756</c:v>
                </c:pt>
                <c:pt idx="31">
                  <c:v>43760</c:v>
                </c:pt>
                <c:pt idx="32">
                  <c:v>43762</c:v>
                </c:pt>
                <c:pt idx="33">
                  <c:v>43766</c:v>
                </c:pt>
                <c:pt idx="34">
                  <c:v>43769</c:v>
                </c:pt>
                <c:pt idx="35">
                  <c:v>43774</c:v>
                </c:pt>
                <c:pt idx="36">
                  <c:v>43776</c:v>
                </c:pt>
                <c:pt idx="37">
                  <c:v>43781</c:v>
                </c:pt>
                <c:pt idx="38">
                  <c:v>43783</c:v>
                </c:pt>
                <c:pt idx="39">
                  <c:v>43787</c:v>
                </c:pt>
                <c:pt idx="40">
                  <c:v>43790</c:v>
                </c:pt>
                <c:pt idx="41">
                  <c:v>43795</c:v>
                </c:pt>
                <c:pt idx="42">
                  <c:v>43797</c:v>
                </c:pt>
                <c:pt idx="43">
                  <c:v>43798</c:v>
                </c:pt>
                <c:pt idx="44">
                  <c:v>43801</c:v>
                </c:pt>
                <c:pt idx="45">
                  <c:v>43803</c:v>
                </c:pt>
                <c:pt idx="46">
                  <c:v>43808</c:v>
                </c:pt>
                <c:pt idx="47">
                  <c:v>43811</c:v>
                </c:pt>
                <c:pt idx="48">
                  <c:v>43815</c:v>
                </c:pt>
                <c:pt idx="49">
                  <c:v>43818</c:v>
                </c:pt>
                <c:pt idx="50">
                  <c:v>43837</c:v>
                </c:pt>
                <c:pt idx="51">
                  <c:v>43843</c:v>
                </c:pt>
                <c:pt idx="52">
                  <c:v>43850</c:v>
                </c:pt>
                <c:pt idx="53">
                  <c:v>43859</c:v>
                </c:pt>
                <c:pt idx="54">
                  <c:v>43865</c:v>
                </c:pt>
                <c:pt idx="55">
                  <c:v>43886</c:v>
                </c:pt>
                <c:pt idx="56">
                  <c:v>43970</c:v>
                </c:pt>
                <c:pt idx="57">
                  <c:v>43977</c:v>
                </c:pt>
                <c:pt idx="58">
                  <c:v>43999</c:v>
                </c:pt>
                <c:pt idx="59">
                  <c:v>44029</c:v>
                </c:pt>
                <c:pt idx="61">
                  <c:v>44082</c:v>
                </c:pt>
                <c:pt idx="63">
                  <c:v>44082</c:v>
                </c:pt>
                <c:pt idx="65">
                  <c:v>44140</c:v>
                </c:pt>
                <c:pt idx="66">
                  <c:v>44172</c:v>
                </c:pt>
                <c:pt idx="67">
                  <c:v>44229</c:v>
                </c:pt>
                <c:pt idx="69">
                  <c:v>44322</c:v>
                </c:pt>
                <c:pt idx="70">
                  <c:v>44357</c:v>
                </c:pt>
                <c:pt idx="71">
                  <c:v>44362</c:v>
                </c:pt>
                <c:pt idx="72">
                  <c:v>44369</c:v>
                </c:pt>
                <c:pt idx="73">
                  <c:v>44376</c:v>
                </c:pt>
                <c:pt idx="74">
                  <c:v>44400</c:v>
                </c:pt>
                <c:pt idx="75">
                  <c:v>44439</c:v>
                </c:pt>
                <c:pt idx="76">
                  <c:v>44474</c:v>
                </c:pt>
                <c:pt idx="77">
                  <c:v>44522</c:v>
                </c:pt>
                <c:pt idx="78">
                  <c:v>44531</c:v>
                </c:pt>
                <c:pt idx="79">
                  <c:v>44536</c:v>
                </c:pt>
                <c:pt idx="80">
                  <c:v>44543</c:v>
                </c:pt>
                <c:pt idx="81">
                  <c:v>44550</c:v>
                </c:pt>
                <c:pt idx="82">
                  <c:v>44572</c:v>
                </c:pt>
                <c:pt idx="83">
                  <c:v>44578</c:v>
                </c:pt>
                <c:pt idx="84">
                  <c:v>44595</c:v>
                </c:pt>
                <c:pt idx="85">
                  <c:v>44613</c:v>
                </c:pt>
                <c:pt idx="86">
                  <c:v>44648</c:v>
                </c:pt>
                <c:pt idx="87">
                  <c:v>44678</c:v>
                </c:pt>
                <c:pt idx="88">
                  <c:v>44711</c:v>
                </c:pt>
                <c:pt idx="89">
                  <c:v>44740</c:v>
                </c:pt>
                <c:pt idx="90">
                  <c:v>44767</c:v>
                </c:pt>
                <c:pt idx="91">
                  <c:v>44902</c:v>
                </c:pt>
                <c:pt idx="92">
                  <c:v>44915</c:v>
                </c:pt>
                <c:pt idx="93">
                  <c:v>44930</c:v>
                </c:pt>
                <c:pt idx="94">
                  <c:v>44945</c:v>
                </c:pt>
                <c:pt idx="95">
                  <c:v>44957</c:v>
                </c:pt>
                <c:pt idx="96">
                  <c:v>44988</c:v>
                </c:pt>
                <c:pt idx="97">
                  <c:v>45013</c:v>
                </c:pt>
              </c:numCache>
            </c:numRef>
          </c:xVal>
          <c:yVal>
            <c:numRef>
              <c:f>Convergences!$H$10:$H$136</c:f>
              <c:numCache>
                <c:formatCode>\+\ 0.0;\-\ 0.0;\±\ 0.0</c:formatCode>
                <c:ptCount val="127"/>
                <c:pt idx="0">
                  <c:v>0</c:v>
                </c:pt>
                <c:pt idx="1">
                  <c:v>-3.0461928053666654</c:v>
                </c:pt>
                <c:pt idx="2">
                  <c:v>-6.7706987234719129</c:v>
                </c:pt>
                <c:pt idx="3">
                  <c:v>-10.089534444457815</c:v>
                </c:pt>
                <c:pt idx="4">
                  <c:v>-19.907794568734705</c:v>
                </c:pt>
                <c:pt idx="5">
                  <c:v>-29.540049058172091</c:v>
                </c:pt>
                <c:pt idx="6">
                  <c:v>-36.447721587056222</c:v>
                </c:pt>
                <c:pt idx="7">
                  <c:v>-39.682739266638563</c:v>
                </c:pt>
                <c:pt idx="8">
                  <c:v>-40.7238931465983</c:v>
                </c:pt>
                <c:pt idx="11">
                  <c:v>-41.648522531379406</c:v>
                </c:pt>
                <c:pt idx="12">
                  <c:v>-43.643480790040989</c:v>
                </c:pt>
                <c:pt idx="13">
                  <c:v>-43.737542192888057</c:v>
                </c:pt>
                <c:pt idx="14">
                  <c:v>-46.050920757639616</c:v>
                </c:pt>
                <c:pt idx="15">
                  <c:v>-47.115374407733057</c:v>
                </c:pt>
                <c:pt idx="16">
                  <c:v>-48.796744309905549</c:v>
                </c:pt>
                <c:pt idx="17">
                  <c:v>-49.127489585126582</c:v>
                </c:pt>
                <c:pt idx="18">
                  <c:v>-49.742308212112007</c:v>
                </c:pt>
                <c:pt idx="19">
                  <c:v>-50.213873698138123</c:v>
                </c:pt>
                <c:pt idx="20">
                  <c:v>-51.168119710835569</c:v>
                </c:pt>
                <c:pt idx="21">
                  <c:v>-51.3872598382723</c:v>
                </c:pt>
                <c:pt idx="22">
                  <c:v>-52.56964981420964</c:v>
                </c:pt>
                <c:pt idx="23">
                  <c:v>-52.80842344204784</c:v>
                </c:pt>
                <c:pt idx="24">
                  <c:v>-53.306411143148495</c:v>
                </c:pt>
                <c:pt idx="25">
                  <c:v>-53.997099011891869</c:v>
                </c:pt>
                <c:pt idx="26">
                  <c:v>-54.497810062253734</c:v>
                </c:pt>
                <c:pt idx="27">
                  <c:v>-54.343222747908371</c:v>
                </c:pt>
                <c:pt idx="28">
                  <c:v>-54.78870500044053</c:v>
                </c:pt>
                <c:pt idx="29">
                  <c:v>-55.406661948750099</c:v>
                </c:pt>
                <c:pt idx="30">
                  <c:v>-55.699325308057993</c:v>
                </c:pt>
                <c:pt idx="31">
                  <c:v>-56.318223418109881</c:v>
                </c:pt>
                <c:pt idx="32">
                  <c:v>-55.792489950078576</c:v>
                </c:pt>
                <c:pt idx="33">
                  <c:v>-56.395272117373722</c:v>
                </c:pt>
                <c:pt idx="34">
                  <c:v>-56.230722952294698</c:v>
                </c:pt>
                <c:pt idx="35">
                  <c:v>-57.156891176289193</c:v>
                </c:pt>
                <c:pt idx="36">
                  <c:v>-57.892616825482968</c:v>
                </c:pt>
                <c:pt idx="37">
                  <c:v>-57.782551444534036</c:v>
                </c:pt>
                <c:pt idx="38">
                  <c:v>-57.828857721009982</c:v>
                </c:pt>
                <c:pt idx="39">
                  <c:v>-58.329550241734474</c:v>
                </c:pt>
                <c:pt idx="40">
                  <c:v>-58.219876016699871</c:v>
                </c:pt>
                <c:pt idx="41">
                  <c:v>-58.838622433486698</c:v>
                </c:pt>
                <c:pt idx="42">
                  <c:v>-59.412099088920641</c:v>
                </c:pt>
                <c:pt idx="43">
                  <c:v>-59.851990553006388</c:v>
                </c:pt>
                <c:pt idx="44">
                  <c:v>-60.218938345600215</c:v>
                </c:pt>
                <c:pt idx="45">
                  <c:v>-60.926475108071813</c:v>
                </c:pt>
                <c:pt idx="46">
                  <c:v>-60.956078790882273</c:v>
                </c:pt>
                <c:pt idx="47">
                  <c:v>-61.051922475170883</c:v>
                </c:pt>
                <c:pt idx="48">
                  <c:v>-61.116840950466766</c:v>
                </c:pt>
                <c:pt idx="49">
                  <c:v>-61.118255254718257</c:v>
                </c:pt>
                <c:pt idx="50">
                  <c:v>-62.397241888913598</c:v>
                </c:pt>
                <c:pt idx="51">
                  <c:v>-62.85781627789477</c:v>
                </c:pt>
                <c:pt idx="52">
                  <c:v>-62.774082579162283</c:v>
                </c:pt>
                <c:pt idx="53">
                  <c:v>-62.575739572474646</c:v>
                </c:pt>
                <c:pt idx="54">
                  <c:v>-63.02638546653894</c:v>
                </c:pt>
                <c:pt idx="55">
                  <c:v>-63.294565407765461</c:v>
                </c:pt>
                <c:pt idx="56">
                  <c:v>-63.954484054574934</c:v>
                </c:pt>
                <c:pt idx="57">
                  <c:v>-64.891054226807299</c:v>
                </c:pt>
                <c:pt idx="58">
                  <c:v>-64.642288502542385</c:v>
                </c:pt>
                <c:pt idx="59">
                  <c:v>-64.805449558403168</c:v>
                </c:pt>
                <c:pt idx="61">
                  <c:v>-65.478882688265742</c:v>
                </c:pt>
                <c:pt idx="63">
                  <c:v>-65.443226281089565</c:v>
                </c:pt>
                <c:pt idx="65">
                  <c:v>-65.443226281089565</c:v>
                </c:pt>
                <c:pt idx="66">
                  <c:v>-65.50406847065382</c:v>
                </c:pt>
                <c:pt idx="67">
                  <c:v>-65.934407332866925</c:v>
                </c:pt>
                <c:pt idx="69">
                  <c:v>-66.780394714462517</c:v>
                </c:pt>
                <c:pt idx="70">
                  <c:v>-67.151365525337965</c:v>
                </c:pt>
                <c:pt idx="71">
                  <c:v>-67.05102175640576</c:v>
                </c:pt>
                <c:pt idx="72">
                  <c:v>-67.423045759201102</c:v>
                </c:pt>
                <c:pt idx="73">
                  <c:v>-67.889016659636425</c:v>
                </c:pt>
                <c:pt idx="74">
                  <c:v>-68.262582022466944</c:v>
                </c:pt>
                <c:pt idx="75">
                  <c:v>-68.961468336396166</c:v>
                </c:pt>
                <c:pt idx="76">
                  <c:v>-69.248619076490499</c:v>
                </c:pt>
                <c:pt idx="77">
                  <c:v>-71.059620394483332</c:v>
                </c:pt>
                <c:pt idx="78">
                  <c:v>-70.9590072394315</c:v>
                </c:pt>
                <c:pt idx="79">
                  <c:v>-71.325725236432987</c:v>
                </c:pt>
                <c:pt idx="80">
                  <c:v>-71.655307629481257</c:v>
                </c:pt>
                <c:pt idx="81">
                  <c:v>-71.314325411877988</c:v>
                </c:pt>
                <c:pt idx="82">
                  <c:v>-71.857684248543663</c:v>
                </c:pt>
                <c:pt idx="83">
                  <c:v>-71.395762548206235</c:v>
                </c:pt>
                <c:pt idx="84">
                  <c:v>-71.427743800440709</c:v>
                </c:pt>
                <c:pt idx="85">
                  <c:v>-71.924740884096394</c:v>
                </c:pt>
                <c:pt idx="86">
                  <c:v>-72.187261913252428</c:v>
                </c:pt>
                <c:pt idx="87">
                  <c:v>-72.092141372970275</c:v>
                </c:pt>
                <c:pt idx="88">
                  <c:v>-72.294218023228666</c:v>
                </c:pt>
                <c:pt idx="89">
                  <c:v>-72.895231985228747</c:v>
                </c:pt>
                <c:pt idx="90">
                  <c:v>-73.187340104478253</c:v>
                </c:pt>
                <c:pt idx="91">
                  <c:v>-76.738270823129454</c:v>
                </c:pt>
                <c:pt idx="92">
                  <c:v>-76.810617871781787</c:v>
                </c:pt>
                <c:pt idx="93">
                  <c:v>-77.039607502945358</c:v>
                </c:pt>
                <c:pt idx="94">
                  <c:v>-77.173494872146094</c:v>
                </c:pt>
                <c:pt idx="95">
                  <c:v>-77.034658928504484</c:v>
                </c:pt>
                <c:pt idx="96">
                  <c:v>-77.40029212643762</c:v>
                </c:pt>
                <c:pt idx="97">
                  <c:v>-77.500901593683835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986-419E-BEC2-BA13FF74B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264168"/>
        <c:axId val="593263776"/>
        <c:extLst>
          <c:ext xmlns:c15="http://schemas.microsoft.com/office/drawing/2012/chart" uri="{02D57815-91ED-43cb-92C2-25804820EDAC}">
            <c15:filteredScatterSeries>
              <c15:ser>
                <c:idx val="7"/>
                <c:order val="10"/>
                <c:tx>
                  <c:strRef>
                    <c:extLst>
                      <c:ext uri="{02D57815-91ED-43cb-92C2-25804820EDAC}">
                        <c15:formulaRef>
                          <c15:sqref>Graphiques!$AB$36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>
                    <a:outerShdw blurRad="40000" dist="20000" dir="5400000" rotWithShape="0">
                      <a:srgbClr val="000000">
                        <a:alpha val="38000"/>
                      </a:srgbClr>
                    </a:outerShdw>
                  </a:effectLst>
                </c:spPr>
                <c:marker>
                  <c:symbol val="circle"/>
                  <c:size val="5"/>
                  <c:spPr>
                    <a:gradFill rotWithShape="1">
                      <a:gsLst>
                        <a:gs pos="0">
                          <a:schemeClr val="accent2">
                            <a:lumMod val="60000"/>
                            <a:tint val="50000"/>
                            <a:satMod val="300000"/>
                          </a:schemeClr>
                        </a:gs>
                        <a:gs pos="35000">
                          <a:schemeClr val="accent2">
                            <a:lumMod val="60000"/>
                            <a:tint val="37000"/>
                            <a:satMod val="300000"/>
                          </a:schemeClr>
                        </a:gs>
                        <a:gs pos="100000">
                          <a:schemeClr val="accent2">
                            <a:lumMod val="60000"/>
                            <a:tint val="15000"/>
                            <a:satMod val="350000"/>
                          </a:schemeClr>
                        </a:gs>
                      </a:gsLst>
                      <a:lin ang="16200000" scaled="1"/>
                    </a:gradFill>
                    <a:ln w="9525" cap="flat" cmpd="sng" algn="ctr">
                      <a:solidFill>
                        <a:schemeClr val="accent2">
                          <a:lumMod val="60000"/>
                          <a:shade val="95000"/>
                        </a:schemeClr>
                      </a:solidFill>
                      <a:round/>
                    </a:ln>
                    <a:effectLst>
                      <a:outerShdw blurRad="40000" dist="20000" dir="5400000" rotWithShape="0">
                        <a:srgbClr val="000000">
                          <a:alpha val="38000"/>
                        </a:srgbClr>
                      </a:outerShdw>
                    </a:effectLst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Graphiques!$AD$37:$AD$71</c15:sqref>
                        </c15:formulaRef>
                      </c:ext>
                    </c:extLst>
                    <c:numCache>
                      <c:formatCode>m/d/yyyy</c:formatCode>
                      <c:ptCount val="35"/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Graphiques!$AE$37:$AE$71</c15:sqref>
                        </c15:formulaRef>
                      </c:ext>
                    </c:extLst>
                    <c:numCache>
                      <c:formatCode>General</c:formatCode>
                      <c:ptCount val="35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A-B986-419E-BEC2-BA13FF74B112}"/>
                  </c:ext>
                </c:extLst>
              </c15:ser>
            </c15:filteredScatterSeries>
          </c:ext>
        </c:extLst>
      </c:scatterChart>
      <c:scatterChart>
        <c:scatterStyle val="lineMarker"/>
        <c:varyColors val="0"/>
        <c:ser>
          <c:idx val="0"/>
          <c:order val="3"/>
          <c:tx>
            <c:strRef>
              <c:f>Convergences!$F$9</c:f>
              <c:strCache>
                <c:ptCount val="1"/>
                <c:pt idx="0">
                  <c:v>HG</c:v>
                </c:pt>
              </c:strCache>
            </c:strRef>
          </c:tx>
          <c:spPr>
            <a:ln w="15875" cap="rnd">
              <a:solidFill>
                <a:schemeClr val="accent1"/>
              </a:solidFill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xVal>
            <c:numRef>
              <c:f>Convergences!$B$10:$B$136</c:f>
              <c:numCache>
                <c:formatCode>dd\ /\ mm\ /\ yy</c:formatCode>
                <c:ptCount val="127"/>
                <c:pt idx="0">
                  <c:v>43658</c:v>
                </c:pt>
                <c:pt idx="1">
                  <c:v>43661</c:v>
                </c:pt>
                <c:pt idx="2">
                  <c:v>43662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11">
                  <c:v>43685</c:v>
                </c:pt>
                <c:pt idx="12">
                  <c:v>43689</c:v>
                </c:pt>
                <c:pt idx="13">
                  <c:v>43690</c:v>
                </c:pt>
                <c:pt idx="14">
                  <c:v>43696</c:v>
                </c:pt>
                <c:pt idx="15">
                  <c:v>43699</c:v>
                </c:pt>
                <c:pt idx="16">
                  <c:v>43704</c:v>
                </c:pt>
                <c:pt idx="17">
                  <c:v>43706</c:v>
                </c:pt>
                <c:pt idx="18">
                  <c:v>43710</c:v>
                </c:pt>
                <c:pt idx="19">
                  <c:v>43713</c:v>
                </c:pt>
                <c:pt idx="20">
                  <c:v>43718</c:v>
                </c:pt>
                <c:pt idx="21">
                  <c:v>43720</c:v>
                </c:pt>
                <c:pt idx="22">
                  <c:v>43724</c:v>
                </c:pt>
                <c:pt idx="23">
                  <c:v>43727</c:v>
                </c:pt>
                <c:pt idx="24">
                  <c:v>43731</c:v>
                </c:pt>
                <c:pt idx="25">
                  <c:v>43734</c:v>
                </c:pt>
                <c:pt idx="26">
                  <c:v>43738</c:v>
                </c:pt>
                <c:pt idx="27">
                  <c:v>43741</c:v>
                </c:pt>
                <c:pt idx="28">
                  <c:v>43746</c:v>
                </c:pt>
                <c:pt idx="29">
                  <c:v>43753</c:v>
                </c:pt>
                <c:pt idx="30">
                  <c:v>43756</c:v>
                </c:pt>
                <c:pt idx="31">
                  <c:v>43760</c:v>
                </c:pt>
                <c:pt idx="32">
                  <c:v>43762</c:v>
                </c:pt>
                <c:pt idx="33">
                  <c:v>43766</c:v>
                </c:pt>
                <c:pt idx="34">
                  <c:v>43769</c:v>
                </c:pt>
                <c:pt idx="35">
                  <c:v>43774</c:v>
                </c:pt>
                <c:pt idx="36">
                  <c:v>43776</c:v>
                </c:pt>
                <c:pt idx="37">
                  <c:v>43781</c:v>
                </c:pt>
                <c:pt idx="38">
                  <c:v>43783</c:v>
                </c:pt>
                <c:pt idx="39">
                  <c:v>43787</c:v>
                </c:pt>
                <c:pt idx="40">
                  <c:v>43790</c:v>
                </c:pt>
                <c:pt idx="41">
                  <c:v>43795</c:v>
                </c:pt>
                <c:pt idx="42">
                  <c:v>43797</c:v>
                </c:pt>
                <c:pt idx="43">
                  <c:v>43798</c:v>
                </c:pt>
                <c:pt idx="44">
                  <c:v>43801</c:v>
                </c:pt>
                <c:pt idx="45">
                  <c:v>43803</c:v>
                </c:pt>
                <c:pt idx="46">
                  <c:v>43808</c:v>
                </c:pt>
                <c:pt idx="47">
                  <c:v>43811</c:v>
                </c:pt>
                <c:pt idx="48">
                  <c:v>43815</c:v>
                </c:pt>
                <c:pt idx="49">
                  <c:v>43818</c:v>
                </c:pt>
                <c:pt idx="50">
                  <c:v>43837</c:v>
                </c:pt>
                <c:pt idx="51">
                  <c:v>43843</c:v>
                </c:pt>
                <c:pt idx="52">
                  <c:v>43850</c:v>
                </c:pt>
                <c:pt idx="53">
                  <c:v>43859</c:v>
                </c:pt>
                <c:pt idx="54">
                  <c:v>43865</c:v>
                </c:pt>
                <c:pt idx="55">
                  <c:v>43886</c:v>
                </c:pt>
                <c:pt idx="56">
                  <c:v>43970</c:v>
                </c:pt>
                <c:pt idx="57">
                  <c:v>43977</c:v>
                </c:pt>
                <c:pt idx="58">
                  <c:v>43999</c:v>
                </c:pt>
                <c:pt idx="59">
                  <c:v>44029</c:v>
                </c:pt>
                <c:pt idx="61">
                  <c:v>44082</c:v>
                </c:pt>
                <c:pt idx="63">
                  <c:v>44082</c:v>
                </c:pt>
                <c:pt idx="65">
                  <c:v>44140</c:v>
                </c:pt>
                <c:pt idx="66">
                  <c:v>44172</c:v>
                </c:pt>
                <c:pt idx="67">
                  <c:v>44229</c:v>
                </c:pt>
                <c:pt idx="69">
                  <c:v>44322</c:v>
                </c:pt>
                <c:pt idx="70">
                  <c:v>44357</c:v>
                </c:pt>
                <c:pt idx="71">
                  <c:v>44362</c:v>
                </c:pt>
                <c:pt idx="72">
                  <c:v>44369</c:v>
                </c:pt>
                <c:pt idx="73">
                  <c:v>44376</c:v>
                </c:pt>
                <c:pt idx="74">
                  <c:v>44400</c:v>
                </c:pt>
                <c:pt idx="75">
                  <c:v>44439</c:v>
                </c:pt>
                <c:pt idx="76">
                  <c:v>44474</c:v>
                </c:pt>
                <c:pt idx="77">
                  <c:v>44522</c:v>
                </c:pt>
                <c:pt idx="78">
                  <c:v>44531</c:v>
                </c:pt>
                <c:pt idx="79">
                  <c:v>44536</c:v>
                </c:pt>
                <c:pt idx="80">
                  <c:v>44543</c:v>
                </c:pt>
                <c:pt idx="81">
                  <c:v>44550</c:v>
                </c:pt>
                <c:pt idx="82">
                  <c:v>44572</c:v>
                </c:pt>
                <c:pt idx="83">
                  <c:v>44578</c:v>
                </c:pt>
                <c:pt idx="84">
                  <c:v>44595</c:v>
                </c:pt>
                <c:pt idx="85">
                  <c:v>44613</c:v>
                </c:pt>
                <c:pt idx="86">
                  <c:v>44648</c:v>
                </c:pt>
                <c:pt idx="87">
                  <c:v>44678</c:v>
                </c:pt>
                <c:pt idx="88">
                  <c:v>44711</c:v>
                </c:pt>
                <c:pt idx="89">
                  <c:v>44740</c:v>
                </c:pt>
                <c:pt idx="90">
                  <c:v>44767</c:v>
                </c:pt>
                <c:pt idx="91">
                  <c:v>44902</c:v>
                </c:pt>
                <c:pt idx="92">
                  <c:v>44915</c:v>
                </c:pt>
                <c:pt idx="93">
                  <c:v>44930</c:v>
                </c:pt>
                <c:pt idx="94">
                  <c:v>44945</c:v>
                </c:pt>
                <c:pt idx="95">
                  <c:v>44957</c:v>
                </c:pt>
                <c:pt idx="96">
                  <c:v>44988</c:v>
                </c:pt>
                <c:pt idx="97">
                  <c:v>45013</c:v>
                </c:pt>
              </c:numCache>
            </c:numRef>
          </c:xVal>
          <c:yVal>
            <c:numRef>
              <c:f>Convergences!$F$10:$F$136</c:f>
              <c:numCache>
                <c:formatCode>\+\ 0.0;\-\ 0.0;\±\ 0.0</c:formatCode>
                <c:ptCount val="127"/>
                <c:pt idx="0">
                  <c:v>0</c:v>
                </c:pt>
                <c:pt idx="1">
                  <c:v>-2.2412707867007775</c:v>
                </c:pt>
                <c:pt idx="2">
                  <c:v>-3.132955882261701</c:v>
                </c:pt>
                <c:pt idx="3">
                  <c:v>-5.0672580853650118</c:v>
                </c:pt>
                <c:pt idx="4">
                  <c:v>-9.1104497175948929</c:v>
                </c:pt>
                <c:pt idx="6">
                  <c:v>-15.643332080867767</c:v>
                </c:pt>
                <c:pt idx="7">
                  <c:v>-17.385591301754211</c:v>
                </c:pt>
                <c:pt idx="8">
                  <c:v>-19.674394205298597</c:v>
                </c:pt>
                <c:pt idx="11">
                  <c:v>-19.745018418819928</c:v>
                </c:pt>
                <c:pt idx="12">
                  <c:v>-21.962369299894704</c:v>
                </c:pt>
                <c:pt idx="13">
                  <c:v>-22.367276517116565</c:v>
                </c:pt>
                <c:pt idx="14">
                  <c:v>-24.06079221625146</c:v>
                </c:pt>
                <c:pt idx="15">
                  <c:v>-25.11802293690635</c:v>
                </c:pt>
                <c:pt idx="16">
                  <c:v>-25.788591815847585</c:v>
                </c:pt>
                <c:pt idx="17">
                  <c:v>-25.59561922615017</c:v>
                </c:pt>
                <c:pt idx="18">
                  <c:v>-25.952196205908386</c:v>
                </c:pt>
                <c:pt idx="19">
                  <c:v>-26.276989563467136</c:v>
                </c:pt>
                <c:pt idx="20">
                  <c:v>-26.544421336270887</c:v>
                </c:pt>
                <c:pt idx="21">
                  <c:v>-26.764918557547148</c:v>
                </c:pt>
                <c:pt idx="22">
                  <c:v>-27.266788465775573</c:v>
                </c:pt>
                <c:pt idx="23">
                  <c:v>-27.971003231267446</c:v>
                </c:pt>
                <c:pt idx="24">
                  <c:v>-28.44402136858837</c:v>
                </c:pt>
                <c:pt idx="25">
                  <c:v>-28.923638693794775</c:v>
                </c:pt>
                <c:pt idx="26">
                  <c:v>-28.792318131293683</c:v>
                </c:pt>
                <c:pt idx="27">
                  <c:v>-28.956826555535333</c:v>
                </c:pt>
                <c:pt idx="28">
                  <c:v>-29.278829160181321</c:v>
                </c:pt>
                <c:pt idx="29">
                  <c:v>-29.678108183087694</c:v>
                </c:pt>
                <c:pt idx="30">
                  <c:v>-29.883291611372933</c:v>
                </c:pt>
                <c:pt idx="31">
                  <c:v>-30.063513179352743</c:v>
                </c:pt>
                <c:pt idx="32">
                  <c:v>-30.247076567906596</c:v>
                </c:pt>
                <c:pt idx="33">
                  <c:v>-30.504159395316812</c:v>
                </c:pt>
                <c:pt idx="34">
                  <c:v>-30.259150965193051</c:v>
                </c:pt>
                <c:pt idx="35">
                  <c:v>-30.912494893645228</c:v>
                </c:pt>
                <c:pt idx="36">
                  <c:v>-31.239758104018691</c:v>
                </c:pt>
                <c:pt idx="37">
                  <c:v>-31.536891173701289</c:v>
                </c:pt>
                <c:pt idx="38">
                  <c:v>-31.465385390840652</c:v>
                </c:pt>
                <c:pt idx="39">
                  <c:v>-31.301889089339287</c:v>
                </c:pt>
                <c:pt idx="40">
                  <c:v>-31.485349557671462</c:v>
                </c:pt>
                <c:pt idx="42">
                  <c:v>-34.202763555500006</c:v>
                </c:pt>
                <c:pt idx="43">
                  <c:v>-34.819983679023949</c:v>
                </c:pt>
                <c:pt idx="44">
                  <c:v>-34.992136952522792</c:v>
                </c:pt>
                <c:pt idx="45">
                  <c:v>-35.395081660884784</c:v>
                </c:pt>
                <c:pt idx="46">
                  <c:v>-35.772887897239201</c:v>
                </c:pt>
                <c:pt idx="47">
                  <c:v>-35.655224870054127</c:v>
                </c:pt>
                <c:pt idx="48">
                  <c:v>-35.638201307325758</c:v>
                </c:pt>
                <c:pt idx="49">
                  <c:v>-36.562391972678526</c:v>
                </c:pt>
                <c:pt idx="50">
                  <c:v>-36.624683528085235</c:v>
                </c:pt>
                <c:pt idx="51">
                  <c:v>-37.911002190021975</c:v>
                </c:pt>
                <c:pt idx="52">
                  <c:v>-36.730759984152208</c:v>
                </c:pt>
                <c:pt idx="53">
                  <c:v>-37.527597998661349</c:v>
                </c:pt>
                <c:pt idx="54">
                  <c:v>-37.211441872077032</c:v>
                </c:pt>
                <c:pt idx="55">
                  <c:v>-37.231306576850145</c:v>
                </c:pt>
                <c:pt idx="56">
                  <c:v>-37.545398805370446</c:v>
                </c:pt>
                <c:pt idx="57">
                  <c:v>-38.031349231217646</c:v>
                </c:pt>
                <c:pt idx="58">
                  <c:v>-38.255914810738872</c:v>
                </c:pt>
                <c:pt idx="59">
                  <c:v>-37.992992531225902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986-419E-BEC2-BA13FF74B112}"/>
            </c:ext>
          </c:extLst>
        </c:ser>
        <c:ser>
          <c:idx val="6"/>
          <c:order val="9"/>
          <c:tx>
            <c:v>PM Front</c:v>
          </c:tx>
          <c:spPr>
            <a:ln w="15875" cap="rnd">
              <a:solidFill>
                <a:schemeClr val="accent1">
                  <a:lumMod val="60000"/>
                </a:schemeClr>
              </a:solidFill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1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1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strRef>
              <c:f>('Résultats observations'!$A$10:$A$18,'Résultats observations'!$A$20:$A$499)</c:f>
              <c:strCache>
                <c:ptCount val="97"/>
                <c:pt idx="0">
                  <c:v>12 / 07 / 19</c:v>
                </c:pt>
                <c:pt idx="1">
                  <c:v>15 / 07 / 19</c:v>
                </c:pt>
                <c:pt idx="2">
                  <c:v>16 / 07 / 19</c:v>
                </c:pt>
                <c:pt idx="3">
                  <c:v>17 / 07 / 19</c:v>
                </c:pt>
                <c:pt idx="4">
                  <c:v>23 / 07 / 19</c:v>
                </c:pt>
                <c:pt idx="5">
                  <c:v>29 / 07 / 19</c:v>
                </c:pt>
                <c:pt idx="6">
                  <c:v>02 / 08 / 19</c:v>
                </c:pt>
                <c:pt idx="7">
                  <c:v>05 / 08 / 19</c:v>
                </c:pt>
                <c:pt idx="8">
                  <c:v>07 / 08 / 19</c:v>
                </c:pt>
                <c:pt idx="9">
                  <c:v>07 / 08 / 19</c:v>
                </c:pt>
                <c:pt idx="10">
                  <c:v>08 / 08 / 19</c:v>
                </c:pt>
                <c:pt idx="11">
                  <c:v>12 / 08 / 19</c:v>
                </c:pt>
                <c:pt idx="12">
                  <c:v>13 / 08 / 19</c:v>
                </c:pt>
                <c:pt idx="13">
                  <c:v>19 / 08 / 19</c:v>
                </c:pt>
                <c:pt idx="14">
                  <c:v>22 / 08 / 19</c:v>
                </c:pt>
                <c:pt idx="15">
                  <c:v>27 / 08 / 19</c:v>
                </c:pt>
                <c:pt idx="16">
                  <c:v>29 / 08 / 19</c:v>
                </c:pt>
                <c:pt idx="17">
                  <c:v>02 / 09 / 19</c:v>
                </c:pt>
                <c:pt idx="18">
                  <c:v>05 / 09 / 19</c:v>
                </c:pt>
                <c:pt idx="19">
                  <c:v>10 / 09 / 19</c:v>
                </c:pt>
                <c:pt idx="20">
                  <c:v>12 / 09 / 19</c:v>
                </c:pt>
                <c:pt idx="21">
                  <c:v>16 / 09 / 19</c:v>
                </c:pt>
                <c:pt idx="22">
                  <c:v>19 / 09 / 19</c:v>
                </c:pt>
                <c:pt idx="23">
                  <c:v>23 / 09 / 19</c:v>
                </c:pt>
                <c:pt idx="24">
                  <c:v>26 / 09 / 19</c:v>
                </c:pt>
                <c:pt idx="25">
                  <c:v>30 / 09 / 19</c:v>
                </c:pt>
                <c:pt idx="26">
                  <c:v>03 / 10 / 19</c:v>
                </c:pt>
                <c:pt idx="27">
                  <c:v>08 / 10 / 19</c:v>
                </c:pt>
                <c:pt idx="28">
                  <c:v>15 / 10 / 19</c:v>
                </c:pt>
                <c:pt idx="29">
                  <c:v>18 / 10 / 19</c:v>
                </c:pt>
                <c:pt idx="30">
                  <c:v>22 / 10 / 19</c:v>
                </c:pt>
                <c:pt idx="31">
                  <c:v>24 / 10 / 19</c:v>
                </c:pt>
                <c:pt idx="32">
                  <c:v>28 / 10 / 19</c:v>
                </c:pt>
                <c:pt idx="33">
                  <c:v>31 / 10 / 19</c:v>
                </c:pt>
                <c:pt idx="34">
                  <c:v>05 / 11 / 19</c:v>
                </c:pt>
                <c:pt idx="35">
                  <c:v>07 / 11 / 19</c:v>
                </c:pt>
                <c:pt idx="36">
                  <c:v>12 / 11 / 19</c:v>
                </c:pt>
                <c:pt idx="37">
                  <c:v>14 / 11 / 19</c:v>
                </c:pt>
                <c:pt idx="38">
                  <c:v>18 / 11 / 19</c:v>
                </c:pt>
                <c:pt idx="39">
                  <c:v>21 / 11 / 19</c:v>
                </c:pt>
                <c:pt idx="40">
                  <c:v>26 / 11 / 19</c:v>
                </c:pt>
                <c:pt idx="41">
                  <c:v>28 / 11 / 19</c:v>
                </c:pt>
                <c:pt idx="42">
                  <c:v>29 / 11 / 19</c:v>
                </c:pt>
                <c:pt idx="43">
                  <c:v>02 / 12 / 19</c:v>
                </c:pt>
                <c:pt idx="44">
                  <c:v>04 / 12 / 19</c:v>
                </c:pt>
                <c:pt idx="45">
                  <c:v>09 / 12 / 19</c:v>
                </c:pt>
                <c:pt idx="46">
                  <c:v>12 / 12 / 19</c:v>
                </c:pt>
                <c:pt idx="47">
                  <c:v>16 / 12 / 19</c:v>
                </c:pt>
                <c:pt idx="48">
                  <c:v>19 / 12 / 19</c:v>
                </c:pt>
                <c:pt idx="49">
                  <c:v>07 / 01 / 20</c:v>
                </c:pt>
                <c:pt idx="50">
                  <c:v>13 / 01 / 20</c:v>
                </c:pt>
                <c:pt idx="51">
                  <c:v>20 / 01 / 20</c:v>
                </c:pt>
                <c:pt idx="52">
                  <c:v>29 / 01 / 20</c:v>
                </c:pt>
                <c:pt idx="53">
                  <c:v>04 / 02 / 20</c:v>
                </c:pt>
                <c:pt idx="54">
                  <c:v>25 / 02 / 20</c:v>
                </c:pt>
                <c:pt idx="55">
                  <c:v>19 / 05 / 20</c:v>
                </c:pt>
                <c:pt idx="56">
                  <c:v>26 / 05 / 20</c:v>
                </c:pt>
                <c:pt idx="57">
                  <c:v>17 / 06 / 20</c:v>
                </c:pt>
                <c:pt idx="58">
                  <c:v>17 / 07 / 20</c:v>
                </c:pt>
                <c:pt idx="59">
                  <c:v>12 / 08 / 20</c:v>
                </c:pt>
                <c:pt idx="60">
                  <c:v>08 / 09 / 20</c:v>
                </c:pt>
                <c:pt idx="61">
                  <c:v>CHANGEMENT DE SYSTÈME DE COORDONNEES</c:v>
                </c:pt>
                <c:pt idx="62">
                  <c:v>08 / 09 / 20</c:v>
                </c:pt>
                <c:pt idx="63">
                  <c:v>passation andra</c:v>
                </c:pt>
                <c:pt idx="64">
                  <c:v>05 / 11 / 20</c:v>
                </c:pt>
                <c:pt idx="65">
                  <c:v>07 / 12 / 20</c:v>
                </c:pt>
                <c:pt idx="66">
                  <c:v>02 / 02 / 21</c:v>
                </c:pt>
                <c:pt idx="67">
                  <c:v>18 / 03 / 21</c:v>
                </c:pt>
                <c:pt idx="68">
                  <c:v>06 / 05 / 21</c:v>
                </c:pt>
                <c:pt idx="69">
                  <c:v>10 / 06 / 21</c:v>
                </c:pt>
                <c:pt idx="70">
                  <c:v>15 / 06 / 21</c:v>
                </c:pt>
                <c:pt idx="71">
                  <c:v>22 / 06 / 21</c:v>
                </c:pt>
                <c:pt idx="72">
                  <c:v>29 / 06 / 21</c:v>
                </c:pt>
                <c:pt idx="73">
                  <c:v>23 / 07 / 21</c:v>
                </c:pt>
                <c:pt idx="74">
                  <c:v>31 / 08 / 21</c:v>
                </c:pt>
                <c:pt idx="75">
                  <c:v>05 / 10 / 21</c:v>
                </c:pt>
                <c:pt idx="76">
                  <c:v>22 / 11 / 21</c:v>
                </c:pt>
                <c:pt idx="77">
                  <c:v>01 / 12 / 21</c:v>
                </c:pt>
                <c:pt idx="78">
                  <c:v>06 / 12 / 21</c:v>
                </c:pt>
                <c:pt idx="79">
                  <c:v>13 / 12 / 21</c:v>
                </c:pt>
                <c:pt idx="80">
                  <c:v>20 / 12 / 21</c:v>
                </c:pt>
                <c:pt idx="81">
                  <c:v>11 / 01 / 22</c:v>
                </c:pt>
                <c:pt idx="82">
                  <c:v>17 / 01 / 22</c:v>
                </c:pt>
                <c:pt idx="83">
                  <c:v>03 / 02 / 22</c:v>
                </c:pt>
                <c:pt idx="84">
                  <c:v>21 / 02 / 22</c:v>
                </c:pt>
                <c:pt idx="85">
                  <c:v>28 / 03 / 22</c:v>
                </c:pt>
                <c:pt idx="86">
                  <c:v>27 / 04 / 22</c:v>
                </c:pt>
                <c:pt idx="87">
                  <c:v>30 / 05 / 22</c:v>
                </c:pt>
                <c:pt idx="88">
                  <c:v>28 / 06 / 22</c:v>
                </c:pt>
                <c:pt idx="89">
                  <c:v>25 / 07 / 22</c:v>
                </c:pt>
                <c:pt idx="90">
                  <c:v>07 / 12 / 22</c:v>
                </c:pt>
                <c:pt idx="91">
                  <c:v>20 / 12 / 22</c:v>
                </c:pt>
                <c:pt idx="92">
                  <c:v>04 / 01 / 23</c:v>
                </c:pt>
                <c:pt idx="93">
                  <c:v>19 / 01 / 23</c:v>
                </c:pt>
                <c:pt idx="94">
                  <c:v>31 / 01 / 23</c:v>
                </c:pt>
                <c:pt idx="95">
                  <c:v>03 / 03 / 23</c:v>
                </c:pt>
                <c:pt idx="96">
                  <c:v>28 / 03 / 23</c:v>
                </c:pt>
              </c:strCache>
            </c:strRef>
          </c:xVal>
          <c:yVal>
            <c:numRef>
              <c:f>'Résultats observations'!$C$55:$C$457</c:f>
              <c:numCache>
                <c:formatCode>0.0</c:formatCode>
                <c:ptCount val="403"/>
                <c:pt idx="0">
                  <c:v>222.9</c:v>
                </c:pt>
                <c:pt idx="1">
                  <c:v>222.9</c:v>
                </c:pt>
                <c:pt idx="2">
                  <c:v>222.9</c:v>
                </c:pt>
                <c:pt idx="3">
                  <c:v>222.9</c:v>
                </c:pt>
                <c:pt idx="4">
                  <c:v>222.9</c:v>
                </c:pt>
                <c:pt idx="5">
                  <c:v>222.9</c:v>
                </c:pt>
                <c:pt idx="6">
                  <c:v>222.9</c:v>
                </c:pt>
                <c:pt idx="7">
                  <c:v>222.9</c:v>
                </c:pt>
                <c:pt idx="8">
                  <c:v>222.9</c:v>
                </c:pt>
                <c:pt idx="9">
                  <c:v>222.9</c:v>
                </c:pt>
                <c:pt idx="10">
                  <c:v>222.9</c:v>
                </c:pt>
                <c:pt idx="11">
                  <c:v>222.9</c:v>
                </c:pt>
                <c:pt idx="12">
                  <c:v>222.9</c:v>
                </c:pt>
                <c:pt idx="13">
                  <c:v>222.9</c:v>
                </c:pt>
                <c:pt idx="14">
                  <c:v>222.9</c:v>
                </c:pt>
                <c:pt idx="15">
                  <c:v>222.9</c:v>
                </c:pt>
                <c:pt idx="16">
                  <c:v>222.9</c:v>
                </c:pt>
                <c:pt idx="18">
                  <c:v>222.9</c:v>
                </c:pt>
                <c:pt idx="20">
                  <c:v>222.9</c:v>
                </c:pt>
                <c:pt idx="21">
                  <c:v>222.9</c:v>
                </c:pt>
                <c:pt idx="22">
                  <c:v>222.9</c:v>
                </c:pt>
                <c:pt idx="23">
                  <c:v>222.9</c:v>
                </c:pt>
                <c:pt idx="24">
                  <c:v>222.9</c:v>
                </c:pt>
                <c:pt idx="25">
                  <c:v>222.9</c:v>
                </c:pt>
                <c:pt idx="26">
                  <c:v>222.9</c:v>
                </c:pt>
                <c:pt idx="27">
                  <c:v>222.9</c:v>
                </c:pt>
                <c:pt idx="28">
                  <c:v>222.9</c:v>
                </c:pt>
                <c:pt idx="29">
                  <c:v>222.9</c:v>
                </c:pt>
                <c:pt idx="30">
                  <c:v>222.9</c:v>
                </c:pt>
                <c:pt idx="31">
                  <c:v>222.9</c:v>
                </c:pt>
                <c:pt idx="32">
                  <c:v>222.9</c:v>
                </c:pt>
                <c:pt idx="33">
                  <c:v>222.9</c:v>
                </c:pt>
                <c:pt idx="34">
                  <c:v>222.9</c:v>
                </c:pt>
                <c:pt idx="35">
                  <c:v>222.9</c:v>
                </c:pt>
                <c:pt idx="36">
                  <c:v>222.9</c:v>
                </c:pt>
                <c:pt idx="37">
                  <c:v>222.9</c:v>
                </c:pt>
                <c:pt idx="38">
                  <c:v>222.9</c:v>
                </c:pt>
                <c:pt idx="39">
                  <c:v>222.9</c:v>
                </c:pt>
                <c:pt idx="40">
                  <c:v>222.9</c:v>
                </c:pt>
                <c:pt idx="41">
                  <c:v>222.9</c:v>
                </c:pt>
                <c:pt idx="42">
                  <c:v>222.9</c:v>
                </c:pt>
                <c:pt idx="43">
                  <c:v>222.9</c:v>
                </c:pt>
                <c:pt idx="44">
                  <c:v>222.9</c:v>
                </c:pt>
                <c:pt idx="45">
                  <c:v>222.9</c:v>
                </c:pt>
                <c:pt idx="46">
                  <c:v>222.9</c:v>
                </c:pt>
                <c:pt idx="47">
                  <c:v>222.9</c:v>
                </c:pt>
                <c:pt idx="48">
                  <c:v>222.9</c:v>
                </c:pt>
                <c:pt idx="49">
                  <c:v>222.9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986-419E-BEC2-BA13FF74B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261424"/>
        <c:axId val="593261816"/>
      </c:scatterChart>
      <c:valAx>
        <c:axId val="593264168"/>
        <c:scaling>
          <c:orientation val="minMax"/>
          <c:max val="45043"/>
          <c:min val="4365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Date</a:t>
                </a:r>
              </a:p>
            </c:rich>
          </c:tx>
          <c:layout>
            <c:manualLayout>
              <c:xMode val="edge"/>
              <c:yMode val="edge"/>
              <c:x val="0.88909976285118764"/>
              <c:y val="0.864887774678397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dd\ /\ mm\ /\ yy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93263776"/>
        <c:crossesAt val="0"/>
        <c:crossBetween val="midCat"/>
        <c:majorUnit val="30"/>
      </c:valAx>
      <c:valAx>
        <c:axId val="593263776"/>
        <c:scaling>
          <c:orientation val="minMax"/>
          <c:max val="5"/>
          <c:min val="-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Convergence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\+\ 0.0;\-\ 0.0;\±\ 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93264168"/>
        <c:crosses val="autoZero"/>
        <c:crossBetween val="midCat"/>
        <c:majorUnit val="5"/>
        <c:minorUnit val="1"/>
      </c:valAx>
      <c:valAx>
        <c:axId val="593261816"/>
        <c:scaling>
          <c:orientation val="minMax"/>
          <c:max val="225"/>
          <c:min val="185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PM Front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\+\ 0.0;\-\ 0.0;\±\ 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93261424"/>
        <c:crosses val="max"/>
        <c:crossBetween val="midCat"/>
      </c:valAx>
      <c:valAx>
        <c:axId val="593261424"/>
        <c:scaling>
          <c:orientation val="minMax"/>
        </c:scaling>
        <c:delete val="0"/>
        <c:axPos val="t"/>
        <c:numFmt formatCode="dd\ /\ mm\ /\ yy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93261816"/>
        <c:crosses val="max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9.4631579905043769E-2"/>
          <c:y val="0.75883130671590437"/>
          <c:w val="0.67538584910197075"/>
          <c:h val="5.2259955200318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0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 alignWithMargins="0"/>
    <c:pageMargins b="0.98425196899999956" l="0.78740157499999996" r="0.78740157499999996" t="0.98425196899999956" header="0.4921259845000045" footer="0.4921259845000045"/>
    <c:pageSetup paperSize="9" orientation="landscape"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Convergences verticales</a:t>
            </a:r>
          </a:p>
        </c:rich>
      </c:tx>
      <c:layout>
        <c:manualLayout>
          <c:xMode val="edge"/>
          <c:yMode val="edge"/>
          <c:x val="0.42116532057287082"/>
          <c:y val="9.202358673775652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6758248843572708E-2"/>
          <c:y val="5.7452773560255632E-2"/>
          <c:w val="0.82298957241880533"/>
          <c:h val="0.75375798877158295"/>
        </c:manualLayout>
      </c:layout>
      <c:scatterChart>
        <c:scatterStyle val="lineMarker"/>
        <c:varyColors val="0"/>
        <c:ser>
          <c:idx val="9"/>
          <c:order val="0"/>
          <c:tx>
            <c:strRef>
              <c:f>Convergences!$D$9</c:f>
              <c:strCache>
                <c:ptCount val="1"/>
                <c:pt idx="0">
                  <c:v>BG</c:v>
                </c:pt>
              </c:strCache>
            </c:strRef>
          </c:tx>
          <c:spPr>
            <a:ln w="15875" cap="rnd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4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4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Convergences!$B$10:$B$136</c:f>
              <c:numCache>
                <c:formatCode>dd\ /\ mm\ /\ yy</c:formatCode>
                <c:ptCount val="127"/>
                <c:pt idx="0">
                  <c:v>43658</c:v>
                </c:pt>
                <c:pt idx="1">
                  <c:v>43661</c:v>
                </c:pt>
                <c:pt idx="2">
                  <c:v>43662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11">
                  <c:v>43685</c:v>
                </c:pt>
                <c:pt idx="12">
                  <c:v>43689</c:v>
                </c:pt>
                <c:pt idx="13">
                  <c:v>43690</c:v>
                </c:pt>
                <c:pt idx="14">
                  <c:v>43696</c:v>
                </c:pt>
                <c:pt idx="15">
                  <c:v>43699</c:v>
                </c:pt>
                <c:pt idx="16">
                  <c:v>43704</c:v>
                </c:pt>
                <c:pt idx="17">
                  <c:v>43706</c:v>
                </c:pt>
                <c:pt idx="18">
                  <c:v>43710</c:v>
                </c:pt>
                <c:pt idx="19">
                  <c:v>43713</c:v>
                </c:pt>
                <c:pt idx="20">
                  <c:v>43718</c:v>
                </c:pt>
                <c:pt idx="21">
                  <c:v>43720</c:v>
                </c:pt>
                <c:pt idx="22">
                  <c:v>43724</c:v>
                </c:pt>
                <c:pt idx="23">
                  <c:v>43727</c:v>
                </c:pt>
                <c:pt idx="24">
                  <c:v>43731</c:v>
                </c:pt>
                <c:pt idx="25">
                  <c:v>43734</c:v>
                </c:pt>
                <c:pt idx="26">
                  <c:v>43738</c:v>
                </c:pt>
                <c:pt idx="27">
                  <c:v>43741</c:v>
                </c:pt>
                <c:pt idx="28">
                  <c:v>43746</c:v>
                </c:pt>
                <c:pt idx="29">
                  <c:v>43753</c:v>
                </c:pt>
                <c:pt idx="30">
                  <c:v>43756</c:v>
                </c:pt>
                <c:pt idx="31">
                  <c:v>43760</c:v>
                </c:pt>
                <c:pt idx="32">
                  <c:v>43762</c:v>
                </c:pt>
                <c:pt idx="33">
                  <c:v>43766</c:v>
                </c:pt>
                <c:pt idx="34">
                  <c:v>43769</c:v>
                </c:pt>
                <c:pt idx="35">
                  <c:v>43774</c:v>
                </c:pt>
                <c:pt idx="36">
                  <c:v>43776</c:v>
                </c:pt>
                <c:pt idx="37">
                  <c:v>43781</c:v>
                </c:pt>
                <c:pt idx="38">
                  <c:v>43783</c:v>
                </c:pt>
                <c:pt idx="39">
                  <c:v>43787</c:v>
                </c:pt>
                <c:pt idx="40">
                  <c:v>43790</c:v>
                </c:pt>
                <c:pt idx="41">
                  <c:v>43795</c:v>
                </c:pt>
                <c:pt idx="42">
                  <c:v>43797</c:v>
                </c:pt>
                <c:pt idx="43">
                  <c:v>43798</c:v>
                </c:pt>
                <c:pt idx="44">
                  <c:v>43801</c:v>
                </c:pt>
                <c:pt idx="45">
                  <c:v>43803</c:v>
                </c:pt>
                <c:pt idx="46">
                  <c:v>43808</c:v>
                </c:pt>
                <c:pt idx="47">
                  <c:v>43811</c:v>
                </c:pt>
                <c:pt idx="48">
                  <c:v>43815</c:v>
                </c:pt>
                <c:pt idx="49">
                  <c:v>43818</c:v>
                </c:pt>
                <c:pt idx="50">
                  <c:v>43837</c:v>
                </c:pt>
                <c:pt idx="51">
                  <c:v>43843</c:v>
                </c:pt>
                <c:pt idx="52">
                  <c:v>43850</c:v>
                </c:pt>
                <c:pt idx="53">
                  <c:v>43859</c:v>
                </c:pt>
                <c:pt idx="54">
                  <c:v>43865</c:v>
                </c:pt>
                <c:pt idx="55">
                  <c:v>43886</c:v>
                </c:pt>
                <c:pt idx="56">
                  <c:v>43970</c:v>
                </c:pt>
                <c:pt idx="57">
                  <c:v>43977</c:v>
                </c:pt>
                <c:pt idx="58">
                  <c:v>43999</c:v>
                </c:pt>
                <c:pt idx="59">
                  <c:v>44029</c:v>
                </c:pt>
                <c:pt idx="61">
                  <c:v>44082</c:v>
                </c:pt>
                <c:pt idx="63">
                  <c:v>44082</c:v>
                </c:pt>
                <c:pt idx="65">
                  <c:v>44140</c:v>
                </c:pt>
                <c:pt idx="66">
                  <c:v>44172</c:v>
                </c:pt>
                <c:pt idx="67">
                  <c:v>44229</c:v>
                </c:pt>
                <c:pt idx="69">
                  <c:v>44322</c:v>
                </c:pt>
                <c:pt idx="70">
                  <c:v>44357</c:v>
                </c:pt>
                <c:pt idx="71">
                  <c:v>44362</c:v>
                </c:pt>
                <c:pt idx="72">
                  <c:v>44369</c:v>
                </c:pt>
                <c:pt idx="73">
                  <c:v>44376</c:v>
                </c:pt>
                <c:pt idx="74">
                  <c:v>44400</c:v>
                </c:pt>
                <c:pt idx="75">
                  <c:v>44439</c:v>
                </c:pt>
                <c:pt idx="76">
                  <c:v>44474</c:v>
                </c:pt>
                <c:pt idx="77">
                  <c:v>44522</c:v>
                </c:pt>
                <c:pt idx="78">
                  <c:v>44531</c:v>
                </c:pt>
                <c:pt idx="79">
                  <c:v>44536</c:v>
                </c:pt>
                <c:pt idx="80">
                  <c:v>44543</c:v>
                </c:pt>
                <c:pt idx="81">
                  <c:v>44550</c:v>
                </c:pt>
                <c:pt idx="82">
                  <c:v>44572</c:v>
                </c:pt>
                <c:pt idx="83">
                  <c:v>44578</c:v>
                </c:pt>
                <c:pt idx="84">
                  <c:v>44595</c:v>
                </c:pt>
                <c:pt idx="85">
                  <c:v>44613</c:v>
                </c:pt>
                <c:pt idx="86">
                  <c:v>44648</c:v>
                </c:pt>
                <c:pt idx="87">
                  <c:v>44678</c:v>
                </c:pt>
                <c:pt idx="88">
                  <c:v>44711</c:v>
                </c:pt>
                <c:pt idx="89">
                  <c:v>44740</c:v>
                </c:pt>
                <c:pt idx="90">
                  <c:v>44767</c:v>
                </c:pt>
                <c:pt idx="91">
                  <c:v>44902</c:v>
                </c:pt>
                <c:pt idx="92">
                  <c:v>44915</c:v>
                </c:pt>
                <c:pt idx="93">
                  <c:v>44930</c:v>
                </c:pt>
                <c:pt idx="94">
                  <c:v>44945</c:v>
                </c:pt>
                <c:pt idx="95">
                  <c:v>44957</c:v>
                </c:pt>
                <c:pt idx="96">
                  <c:v>44988</c:v>
                </c:pt>
                <c:pt idx="97">
                  <c:v>45013</c:v>
                </c:pt>
              </c:numCache>
            </c:numRef>
          </c:xVal>
          <c:yVal>
            <c:numRef>
              <c:f>Convergences!$D$10:$D$136</c:f>
              <c:numCache>
                <c:formatCode>\+\ 0.0;\-\ 0.0;\±\ 0.0</c:formatCode>
                <c:ptCount val="127"/>
                <c:pt idx="0">
                  <c:v>0</c:v>
                </c:pt>
                <c:pt idx="1">
                  <c:v>-3.3861598929387782</c:v>
                </c:pt>
                <c:pt idx="2">
                  <c:v>-6.2870565709856052</c:v>
                </c:pt>
                <c:pt idx="3">
                  <c:v>-9.9229837758638695</c:v>
                </c:pt>
                <c:pt idx="4">
                  <c:v>-19.79429363937335</c:v>
                </c:pt>
                <c:pt idx="5">
                  <c:v>-29.699711664441963</c:v>
                </c:pt>
                <c:pt idx="6">
                  <c:v>-33.771906097574522</c:v>
                </c:pt>
                <c:pt idx="7">
                  <c:v>-37.294385031607646</c:v>
                </c:pt>
                <c:pt idx="8">
                  <c:v>-39.035275795256119</c:v>
                </c:pt>
                <c:pt idx="11">
                  <c:v>-38.821662918817168</c:v>
                </c:pt>
                <c:pt idx="12">
                  <c:v>-42.548994855922118</c:v>
                </c:pt>
                <c:pt idx="13">
                  <c:v>-42.838061004795591</c:v>
                </c:pt>
                <c:pt idx="14">
                  <c:v>-45.762990946581539</c:v>
                </c:pt>
                <c:pt idx="15">
                  <c:v>-47.75328785513544</c:v>
                </c:pt>
                <c:pt idx="16">
                  <c:v>-48.854923844510623</c:v>
                </c:pt>
                <c:pt idx="17">
                  <c:v>-48.992036540123074</c:v>
                </c:pt>
                <c:pt idx="18">
                  <c:v>-49.688226700596694</c:v>
                </c:pt>
                <c:pt idx="19">
                  <c:v>-50.321646660178132</c:v>
                </c:pt>
                <c:pt idx="20">
                  <c:v>-51.272257965250922</c:v>
                </c:pt>
                <c:pt idx="21">
                  <c:v>-51.642935329772044</c:v>
                </c:pt>
                <c:pt idx="22">
                  <c:v>-52.635834081730337</c:v>
                </c:pt>
                <c:pt idx="23">
                  <c:v>-53.454128126629641</c:v>
                </c:pt>
                <c:pt idx="24">
                  <c:v>-54.899640057374022</c:v>
                </c:pt>
                <c:pt idx="25">
                  <c:v>-54.830667426932322</c:v>
                </c:pt>
                <c:pt idx="26">
                  <c:v>-55.137326655941621</c:v>
                </c:pt>
                <c:pt idx="27">
                  <c:v>-55.282054088763743</c:v>
                </c:pt>
                <c:pt idx="28">
                  <c:v>-55.52580595508072</c:v>
                </c:pt>
                <c:pt idx="29">
                  <c:v>-56.731698619636006</c:v>
                </c:pt>
                <c:pt idx="30">
                  <c:v>-57.084107550318564</c:v>
                </c:pt>
                <c:pt idx="31">
                  <c:v>-57.705092431954874</c:v>
                </c:pt>
                <c:pt idx="32">
                  <c:v>-57.276008597828998</c:v>
                </c:pt>
                <c:pt idx="33">
                  <c:v>-57.739074404755897</c:v>
                </c:pt>
                <c:pt idx="34">
                  <c:v>-57.537061455496641</c:v>
                </c:pt>
                <c:pt idx="35">
                  <c:v>-59.005759347104281</c:v>
                </c:pt>
                <c:pt idx="36">
                  <c:v>-59.496997820260411</c:v>
                </c:pt>
                <c:pt idx="37">
                  <c:v>-59.800479360470504</c:v>
                </c:pt>
                <c:pt idx="38">
                  <c:v>-59.810929473937513</c:v>
                </c:pt>
                <c:pt idx="39">
                  <c:v>-60.037815244644577</c:v>
                </c:pt>
                <c:pt idx="40">
                  <c:v>-60.029139862054492</c:v>
                </c:pt>
                <c:pt idx="41">
                  <c:v>-60.90807888477201</c:v>
                </c:pt>
                <c:pt idx="42">
                  <c:v>-61.834125194071277</c:v>
                </c:pt>
                <c:pt idx="43">
                  <c:v>-62.50488691521916</c:v>
                </c:pt>
                <c:pt idx="44">
                  <c:v>-62.966563932909558</c:v>
                </c:pt>
                <c:pt idx="45">
                  <c:v>-63.700548922425604</c:v>
                </c:pt>
                <c:pt idx="46">
                  <c:v>-64.392085225223994</c:v>
                </c:pt>
                <c:pt idx="47">
                  <c:v>-64.217949499272294</c:v>
                </c:pt>
                <c:pt idx="48">
                  <c:v>-63.9728854060575</c:v>
                </c:pt>
                <c:pt idx="49">
                  <c:v>-64.859356006658146</c:v>
                </c:pt>
                <c:pt idx="50">
                  <c:v>-65.777559146496856</c:v>
                </c:pt>
                <c:pt idx="51">
                  <c:v>-66.706501632850745</c:v>
                </c:pt>
                <c:pt idx="52">
                  <c:v>-66.375897522049428</c:v>
                </c:pt>
                <c:pt idx="53">
                  <c:v>-65.243719832657206</c:v>
                </c:pt>
                <c:pt idx="54">
                  <c:v>-66.30436631564595</c:v>
                </c:pt>
                <c:pt idx="55">
                  <c:v>-66.864142467670362</c:v>
                </c:pt>
                <c:pt idx="56">
                  <c:v>-68.135240653934829</c:v>
                </c:pt>
                <c:pt idx="57">
                  <c:v>-69.343600690236144</c:v>
                </c:pt>
                <c:pt idx="58">
                  <c:v>-69.542285812052455</c:v>
                </c:pt>
                <c:pt idx="59">
                  <c:v>-69.249419060929185</c:v>
                </c:pt>
                <c:pt idx="61">
                  <c:v>-69.881997568649552</c:v>
                </c:pt>
                <c:pt idx="63">
                  <c:v>-69.874255059626307</c:v>
                </c:pt>
                <c:pt idx="69">
                  <c:v>-72.104118746809235</c:v>
                </c:pt>
                <c:pt idx="70">
                  <c:v>-72.576512397546367</c:v>
                </c:pt>
                <c:pt idx="71">
                  <c:v>-72.731316481217334</c:v>
                </c:pt>
                <c:pt idx="72">
                  <c:v>-73.499846087285562</c:v>
                </c:pt>
                <c:pt idx="73">
                  <c:v>-73.732051859892067</c:v>
                </c:pt>
                <c:pt idx="74">
                  <c:v>-74.759840441125831</c:v>
                </c:pt>
                <c:pt idx="75">
                  <c:v>-75.774001520436229</c:v>
                </c:pt>
                <c:pt idx="76">
                  <c:v>-76.439941232341553</c:v>
                </c:pt>
                <c:pt idx="77">
                  <c:v>-76.804731682349484</c:v>
                </c:pt>
                <c:pt idx="78">
                  <c:v>-76.591861567288262</c:v>
                </c:pt>
                <c:pt idx="79">
                  <c:v>-76.907306383763085</c:v>
                </c:pt>
                <c:pt idx="80">
                  <c:v>-77.106494917307714</c:v>
                </c:pt>
                <c:pt idx="81">
                  <c:v>-77.017600519134533</c:v>
                </c:pt>
                <c:pt idx="82">
                  <c:v>-77.491559451220667</c:v>
                </c:pt>
                <c:pt idx="83">
                  <c:v>-77.414191525140737</c:v>
                </c:pt>
                <c:pt idx="84">
                  <c:v>-77.50145797928721</c:v>
                </c:pt>
                <c:pt idx="85">
                  <c:v>-77.938720497212628</c:v>
                </c:pt>
                <c:pt idx="86">
                  <c:v>-78.143861084304163</c:v>
                </c:pt>
                <c:pt idx="87">
                  <c:v>-78.534883902564815</c:v>
                </c:pt>
                <c:pt idx="88">
                  <c:v>-78.267417063216271</c:v>
                </c:pt>
                <c:pt idx="89">
                  <c:v>-79.022263212926276</c:v>
                </c:pt>
                <c:pt idx="90">
                  <c:v>-79.210178684884454</c:v>
                </c:pt>
                <c:pt idx="91">
                  <c:v>-79.182091656561767</c:v>
                </c:pt>
                <c:pt idx="92">
                  <c:v>-79.23415543607338</c:v>
                </c:pt>
                <c:pt idx="93">
                  <c:v>-79.369650771519147</c:v>
                </c:pt>
                <c:pt idx="94">
                  <c:v>-79.466085731767507</c:v>
                </c:pt>
                <c:pt idx="95">
                  <c:v>-79.221896748613574</c:v>
                </c:pt>
                <c:pt idx="96">
                  <c:v>-79.387931456106571</c:v>
                </c:pt>
                <c:pt idx="97">
                  <c:v>-80.007223072414035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38-4847-B495-9AA410021758}"/>
            </c:ext>
          </c:extLst>
        </c:ser>
        <c:ser>
          <c:idx val="12"/>
          <c:order val="1"/>
          <c:tx>
            <c:strRef>
              <c:f>Convergences!$I$9</c:f>
              <c:strCache>
                <c:ptCount val="1"/>
                <c:pt idx="0">
                  <c:v>BD</c:v>
                </c:pt>
              </c:strCache>
            </c:strRef>
          </c:tx>
          <c:spPr>
            <a:ln w="158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tint val="50000"/>
                      <a:satMod val="300000"/>
                    </a:schemeClr>
                  </a:gs>
                  <a:gs pos="35000">
                    <a:schemeClr val="accent1">
                      <a:lumMod val="80000"/>
                      <a:lumOff val="20000"/>
                      <a:tint val="37000"/>
                      <a:satMod val="300000"/>
                    </a:schemeClr>
                  </a:gs>
                  <a:gs pos="100000">
                    <a:schemeClr val="accent1">
                      <a:lumMod val="80000"/>
                      <a:lumOff val="2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lumMod val="80000"/>
                    <a:lumOff val="2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Convergences!$B$10:$B$136</c:f>
              <c:numCache>
                <c:formatCode>dd\ /\ mm\ /\ yy</c:formatCode>
                <c:ptCount val="127"/>
                <c:pt idx="0">
                  <c:v>43658</c:v>
                </c:pt>
                <c:pt idx="1">
                  <c:v>43661</c:v>
                </c:pt>
                <c:pt idx="2">
                  <c:v>43662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11">
                  <c:v>43685</c:v>
                </c:pt>
                <c:pt idx="12">
                  <c:v>43689</c:v>
                </c:pt>
                <c:pt idx="13">
                  <c:v>43690</c:v>
                </c:pt>
                <c:pt idx="14">
                  <c:v>43696</c:v>
                </c:pt>
                <c:pt idx="15">
                  <c:v>43699</c:v>
                </c:pt>
                <c:pt idx="16">
                  <c:v>43704</c:v>
                </c:pt>
                <c:pt idx="17">
                  <c:v>43706</c:v>
                </c:pt>
                <c:pt idx="18">
                  <c:v>43710</c:v>
                </c:pt>
                <c:pt idx="19">
                  <c:v>43713</c:v>
                </c:pt>
                <c:pt idx="20">
                  <c:v>43718</c:v>
                </c:pt>
                <c:pt idx="21">
                  <c:v>43720</c:v>
                </c:pt>
                <c:pt idx="22">
                  <c:v>43724</c:v>
                </c:pt>
                <c:pt idx="23">
                  <c:v>43727</c:v>
                </c:pt>
                <c:pt idx="24">
                  <c:v>43731</c:v>
                </c:pt>
                <c:pt idx="25">
                  <c:v>43734</c:v>
                </c:pt>
                <c:pt idx="26">
                  <c:v>43738</c:v>
                </c:pt>
                <c:pt idx="27">
                  <c:v>43741</c:v>
                </c:pt>
                <c:pt idx="28">
                  <c:v>43746</c:v>
                </c:pt>
                <c:pt idx="29">
                  <c:v>43753</c:v>
                </c:pt>
                <c:pt idx="30">
                  <c:v>43756</c:v>
                </c:pt>
                <c:pt idx="31">
                  <c:v>43760</c:v>
                </c:pt>
                <c:pt idx="32">
                  <c:v>43762</c:v>
                </c:pt>
                <c:pt idx="33">
                  <c:v>43766</c:v>
                </c:pt>
                <c:pt idx="34">
                  <c:v>43769</c:v>
                </c:pt>
                <c:pt idx="35">
                  <c:v>43774</c:v>
                </c:pt>
                <c:pt idx="36">
                  <c:v>43776</c:v>
                </c:pt>
                <c:pt idx="37">
                  <c:v>43781</c:v>
                </c:pt>
                <c:pt idx="38">
                  <c:v>43783</c:v>
                </c:pt>
                <c:pt idx="39">
                  <c:v>43787</c:v>
                </c:pt>
                <c:pt idx="40">
                  <c:v>43790</c:v>
                </c:pt>
                <c:pt idx="41">
                  <c:v>43795</c:v>
                </c:pt>
                <c:pt idx="42">
                  <c:v>43797</c:v>
                </c:pt>
                <c:pt idx="43">
                  <c:v>43798</c:v>
                </c:pt>
                <c:pt idx="44">
                  <c:v>43801</c:v>
                </c:pt>
                <c:pt idx="45">
                  <c:v>43803</c:v>
                </c:pt>
                <c:pt idx="46">
                  <c:v>43808</c:v>
                </c:pt>
                <c:pt idx="47">
                  <c:v>43811</c:v>
                </c:pt>
                <c:pt idx="48">
                  <c:v>43815</c:v>
                </c:pt>
                <c:pt idx="49">
                  <c:v>43818</c:v>
                </c:pt>
                <c:pt idx="50">
                  <c:v>43837</c:v>
                </c:pt>
                <c:pt idx="51">
                  <c:v>43843</c:v>
                </c:pt>
                <c:pt idx="52">
                  <c:v>43850</c:v>
                </c:pt>
                <c:pt idx="53">
                  <c:v>43859</c:v>
                </c:pt>
                <c:pt idx="54">
                  <c:v>43865</c:v>
                </c:pt>
                <c:pt idx="55">
                  <c:v>43886</c:v>
                </c:pt>
                <c:pt idx="56">
                  <c:v>43970</c:v>
                </c:pt>
                <c:pt idx="57">
                  <c:v>43977</c:v>
                </c:pt>
                <c:pt idx="58">
                  <c:v>43999</c:v>
                </c:pt>
                <c:pt idx="59">
                  <c:v>44029</c:v>
                </c:pt>
                <c:pt idx="61">
                  <c:v>44082</c:v>
                </c:pt>
                <c:pt idx="63">
                  <c:v>44082</c:v>
                </c:pt>
                <c:pt idx="65">
                  <c:v>44140</c:v>
                </c:pt>
                <c:pt idx="66">
                  <c:v>44172</c:v>
                </c:pt>
                <c:pt idx="67">
                  <c:v>44229</c:v>
                </c:pt>
                <c:pt idx="69">
                  <c:v>44322</c:v>
                </c:pt>
                <c:pt idx="70">
                  <c:v>44357</c:v>
                </c:pt>
                <c:pt idx="71">
                  <c:v>44362</c:v>
                </c:pt>
                <c:pt idx="72">
                  <c:v>44369</c:v>
                </c:pt>
                <c:pt idx="73">
                  <c:v>44376</c:v>
                </c:pt>
                <c:pt idx="74">
                  <c:v>44400</c:v>
                </c:pt>
                <c:pt idx="75">
                  <c:v>44439</c:v>
                </c:pt>
                <c:pt idx="76">
                  <c:v>44474</c:v>
                </c:pt>
                <c:pt idx="77">
                  <c:v>44522</c:v>
                </c:pt>
                <c:pt idx="78">
                  <c:v>44531</c:v>
                </c:pt>
                <c:pt idx="79">
                  <c:v>44536</c:v>
                </c:pt>
                <c:pt idx="80">
                  <c:v>44543</c:v>
                </c:pt>
                <c:pt idx="81">
                  <c:v>44550</c:v>
                </c:pt>
                <c:pt idx="82">
                  <c:v>44572</c:v>
                </c:pt>
                <c:pt idx="83">
                  <c:v>44578</c:v>
                </c:pt>
                <c:pt idx="84">
                  <c:v>44595</c:v>
                </c:pt>
                <c:pt idx="85">
                  <c:v>44613</c:v>
                </c:pt>
                <c:pt idx="86">
                  <c:v>44648</c:v>
                </c:pt>
                <c:pt idx="87">
                  <c:v>44678</c:v>
                </c:pt>
                <c:pt idx="88">
                  <c:v>44711</c:v>
                </c:pt>
                <c:pt idx="89">
                  <c:v>44740</c:v>
                </c:pt>
                <c:pt idx="90">
                  <c:v>44767</c:v>
                </c:pt>
                <c:pt idx="91">
                  <c:v>44902</c:v>
                </c:pt>
                <c:pt idx="92">
                  <c:v>44915</c:v>
                </c:pt>
                <c:pt idx="93">
                  <c:v>44930</c:v>
                </c:pt>
                <c:pt idx="94">
                  <c:v>44945</c:v>
                </c:pt>
                <c:pt idx="95">
                  <c:v>44957</c:v>
                </c:pt>
                <c:pt idx="96">
                  <c:v>44988</c:v>
                </c:pt>
                <c:pt idx="97">
                  <c:v>45013</c:v>
                </c:pt>
              </c:numCache>
            </c:numRef>
          </c:xVal>
          <c:yVal>
            <c:numRef>
              <c:f>Convergences!$I$10:$I$136</c:f>
              <c:numCache>
                <c:formatCode>\+\ 0.0;\-\ 0.0;\±\ 0.0</c:formatCode>
                <c:ptCount val="127"/>
                <c:pt idx="0">
                  <c:v>0</c:v>
                </c:pt>
                <c:pt idx="1">
                  <c:v>-3.4759715933869728</c:v>
                </c:pt>
                <c:pt idx="2">
                  <c:v>-7.3156898894382039</c:v>
                </c:pt>
                <c:pt idx="3">
                  <c:v>-11.102121895008921</c:v>
                </c:pt>
                <c:pt idx="4">
                  <c:v>0</c:v>
                </c:pt>
                <c:pt idx="5">
                  <c:v>-4.1570054842123838</c:v>
                </c:pt>
                <c:pt idx="6">
                  <c:v>-11.097913267517967</c:v>
                </c:pt>
                <c:pt idx="7">
                  <c:v>-15.095207300314328</c:v>
                </c:pt>
                <c:pt idx="8">
                  <c:v>-17.01105770440936</c:v>
                </c:pt>
                <c:pt idx="11">
                  <c:v>-17.388472417135148</c:v>
                </c:pt>
                <c:pt idx="12">
                  <c:v>-20.300814399096367</c:v>
                </c:pt>
                <c:pt idx="13">
                  <c:v>-21.057473299481266</c:v>
                </c:pt>
                <c:pt idx="14">
                  <c:v>-23.267872960357927</c:v>
                </c:pt>
                <c:pt idx="15">
                  <c:v>-24.892777605102445</c:v>
                </c:pt>
                <c:pt idx="16">
                  <c:v>-26.581531179000528</c:v>
                </c:pt>
                <c:pt idx="17">
                  <c:v>-26.962364245949111</c:v>
                </c:pt>
                <c:pt idx="18">
                  <c:v>-27.696400722714287</c:v>
                </c:pt>
                <c:pt idx="19">
                  <c:v>-28.245104484067696</c:v>
                </c:pt>
                <c:pt idx="20">
                  <c:v>-29.051688512576668</c:v>
                </c:pt>
                <c:pt idx="21">
                  <c:v>-29.48108891102752</c:v>
                </c:pt>
                <c:pt idx="23">
                  <c:v>-31.114230587306224</c:v>
                </c:pt>
                <c:pt idx="24">
                  <c:v>-32.123671063523318</c:v>
                </c:pt>
                <c:pt idx="25">
                  <c:v>-32.567552929086752</c:v>
                </c:pt>
                <c:pt idx="27">
                  <c:v>-33.119591926682901</c:v>
                </c:pt>
                <c:pt idx="28">
                  <c:v>-33.100721876257566</c:v>
                </c:pt>
                <c:pt idx="29">
                  <c:v>-34.258517086641405</c:v>
                </c:pt>
                <c:pt idx="30">
                  <c:v>-34.813241610780032</c:v>
                </c:pt>
                <c:pt idx="31">
                  <c:v>-35.502268925346137</c:v>
                </c:pt>
                <c:pt idx="32">
                  <c:v>-34.77044034964738</c:v>
                </c:pt>
                <c:pt idx="33">
                  <c:v>-35.052747749179325</c:v>
                </c:pt>
                <c:pt idx="34">
                  <c:v>-35.244045617711883</c:v>
                </c:pt>
                <c:pt idx="35">
                  <c:v>-36.598852123564285</c:v>
                </c:pt>
                <c:pt idx="36">
                  <c:v>-37.23100646870936</c:v>
                </c:pt>
                <c:pt idx="37">
                  <c:v>-37.414327472341746</c:v>
                </c:pt>
                <c:pt idx="38">
                  <c:v>-37.406970781469262</c:v>
                </c:pt>
                <c:pt idx="39">
                  <c:v>-37.80758361571035</c:v>
                </c:pt>
                <c:pt idx="40">
                  <c:v>-37.884346670074009</c:v>
                </c:pt>
                <c:pt idx="41">
                  <c:v>-38.436189095707896</c:v>
                </c:pt>
                <c:pt idx="42">
                  <c:v>-39.46499652653479</c:v>
                </c:pt>
                <c:pt idx="43">
                  <c:v>-40.16397343992395</c:v>
                </c:pt>
                <c:pt idx="44">
                  <c:v>-40.493717817057906</c:v>
                </c:pt>
                <c:pt idx="45">
                  <c:v>-41.248290750354855</c:v>
                </c:pt>
                <c:pt idx="46">
                  <c:v>-41.594643083224803</c:v>
                </c:pt>
                <c:pt idx="47">
                  <c:v>-41.440033708334489</c:v>
                </c:pt>
                <c:pt idx="48">
                  <c:v>-41.298969882313408</c:v>
                </c:pt>
                <c:pt idx="49">
                  <c:v>-42.022650135503881</c:v>
                </c:pt>
                <c:pt idx="50">
                  <c:v>-42.938340423422261</c:v>
                </c:pt>
                <c:pt idx="51">
                  <c:v>-43.692602144563608</c:v>
                </c:pt>
                <c:pt idx="52">
                  <c:v>-43.431133266842892</c:v>
                </c:pt>
                <c:pt idx="53">
                  <c:v>-43.323275507546555</c:v>
                </c:pt>
                <c:pt idx="54">
                  <c:v>-43.996541869605998</c:v>
                </c:pt>
                <c:pt idx="55">
                  <c:v>-44.492319439698669</c:v>
                </c:pt>
                <c:pt idx="56">
                  <c:v>-45.094339297516051</c:v>
                </c:pt>
                <c:pt idx="57">
                  <c:v>-46.429537117608888</c:v>
                </c:pt>
                <c:pt idx="58">
                  <c:v>-46.309834350471313</c:v>
                </c:pt>
                <c:pt idx="59">
                  <c:v>-46.178310303692349</c:v>
                </c:pt>
                <c:pt idx="61">
                  <c:v>-47.191647453241004</c:v>
                </c:pt>
                <c:pt idx="63">
                  <c:v>-47.113649938879121</c:v>
                </c:pt>
                <c:pt idx="69">
                  <c:v>-49.106474111926701</c:v>
                </c:pt>
                <c:pt idx="70">
                  <c:v>-49.338884484904533</c:v>
                </c:pt>
                <c:pt idx="71">
                  <c:v>-49.746785319017661</c:v>
                </c:pt>
                <c:pt idx="72">
                  <c:v>-50.27200358580064</c:v>
                </c:pt>
                <c:pt idx="73">
                  <c:v>-50.597633471019421</c:v>
                </c:pt>
                <c:pt idx="74">
                  <c:v>-51.426426174744577</c:v>
                </c:pt>
                <c:pt idx="75">
                  <c:v>-52.229048959335778</c:v>
                </c:pt>
                <c:pt idx="76">
                  <c:v>-52.20683371119339</c:v>
                </c:pt>
                <c:pt idx="77">
                  <c:v>-54.613948759966391</c:v>
                </c:pt>
                <c:pt idx="78">
                  <c:v>-54.246569917013154</c:v>
                </c:pt>
                <c:pt idx="79">
                  <c:v>-55.022946394600147</c:v>
                </c:pt>
                <c:pt idx="80">
                  <c:v>-54.963651681286585</c:v>
                </c:pt>
                <c:pt idx="81">
                  <c:v>-54.759181811075308</c:v>
                </c:pt>
                <c:pt idx="82">
                  <c:v>-55.25082950823812</c:v>
                </c:pt>
                <c:pt idx="83">
                  <c:v>-54.583773348237052</c:v>
                </c:pt>
                <c:pt idx="84">
                  <c:v>-54.910852153780887</c:v>
                </c:pt>
                <c:pt idx="85">
                  <c:v>-55.706949580208054</c:v>
                </c:pt>
                <c:pt idx="86">
                  <c:v>-55.706949608323342</c:v>
                </c:pt>
                <c:pt idx="87">
                  <c:v>-56.345128234633002</c:v>
                </c:pt>
                <c:pt idx="88">
                  <c:v>-56.341815037925791</c:v>
                </c:pt>
                <c:pt idx="89">
                  <c:v>-56.946050460052966</c:v>
                </c:pt>
                <c:pt idx="90">
                  <c:v>-57.520167940244171</c:v>
                </c:pt>
                <c:pt idx="91">
                  <c:v>-61.239590468280092</c:v>
                </c:pt>
                <c:pt idx="94">
                  <c:v>-61.802098495556734</c:v>
                </c:pt>
                <c:pt idx="95">
                  <c:v>-61.60587061293743</c:v>
                </c:pt>
                <c:pt idx="96">
                  <c:v>-62.052128740863743</c:v>
                </c:pt>
                <c:pt idx="97">
                  <c:v>-62.26708523029334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838-4847-B495-9AA410021758}"/>
            </c:ext>
          </c:extLst>
        </c:ser>
        <c:ser>
          <c:idx val="14"/>
          <c:order val="2"/>
          <c:tx>
            <c:strRef>
              <c:f>Convergences!$E$9</c:f>
              <c:strCache>
                <c:ptCount val="1"/>
                <c:pt idx="0">
                  <c:v>IG</c:v>
                </c:pt>
              </c:strCache>
            </c:strRef>
          </c:tx>
          <c:spPr>
            <a:ln w="158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tint val="50000"/>
                      <a:satMod val="300000"/>
                    </a:schemeClr>
                  </a:gs>
                  <a:gs pos="35000">
                    <a:schemeClr val="accent3">
                      <a:lumMod val="80000"/>
                      <a:lumOff val="20000"/>
                      <a:tint val="37000"/>
                      <a:satMod val="300000"/>
                    </a:schemeClr>
                  </a:gs>
                  <a:gs pos="100000">
                    <a:schemeClr val="accent3">
                      <a:lumMod val="80000"/>
                      <a:lumOff val="2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lumMod val="80000"/>
                    <a:lumOff val="2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Convergences!$B$10:$B$136</c:f>
              <c:numCache>
                <c:formatCode>dd\ /\ mm\ /\ yy</c:formatCode>
                <c:ptCount val="127"/>
                <c:pt idx="0">
                  <c:v>43658</c:v>
                </c:pt>
                <c:pt idx="1">
                  <c:v>43661</c:v>
                </c:pt>
                <c:pt idx="2">
                  <c:v>43662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11">
                  <c:v>43685</c:v>
                </c:pt>
                <c:pt idx="12">
                  <c:v>43689</c:v>
                </c:pt>
                <c:pt idx="13">
                  <c:v>43690</c:v>
                </c:pt>
                <c:pt idx="14">
                  <c:v>43696</c:v>
                </c:pt>
                <c:pt idx="15">
                  <c:v>43699</c:v>
                </c:pt>
                <c:pt idx="16">
                  <c:v>43704</c:v>
                </c:pt>
                <c:pt idx="17">
                  <c:v>43706</c:v>
                </c:pt>
                <c:pt idx="18">
                  <c:v>43710</c:v>
                </c:pt>
                <c:pt idx="19">
                  <c:v>43713</c:v>
                </c:pt>
                <c:pt idx="20">
                  <c:v>43718</c:v>
                </c:pt>
                <c:pt idx="21">
                  <c:v>43720</c:v>
                </c:pt>
                <c:pt idx="22">
                  <c:v>43724</c:v>
                </c:pt>
                <c:pt idx="23">
                  <c:v>43727</c:v>
                </c:pt>
                <c:pt idx="24">
                  <c:v>43731</c:v>
                </c:pt>
                <c:pt idx="25">
                  <c:v>43734</c:v>
                </c:pt>
                <c:pt idx="26">
                  <c:v>43738</c:v>
                </c:pt>
                <c:pt idx="27">
                  <c:v>43741</c:v>
                </c:pt>
                <c:pt idx="28">
                  <c:v>43746</c:v>
                </c:pt>
                <c:pt idx="29">
                  <c:v>43753</c:v>
                </c:pt>
                <c:pt idx="30">
                  <c:v>43756</c:v>
                </c:pt>
                <c:pt idx="31">
                  <c:v>43760</c:v>
                </c:pt>
                <c:pt idx="32">
                  <c:v>43762</c:v>
                </c:pt>
                <c:pt idx="33">
                  <c:v>43766</c:v>
                </c:pt>
                <c:pt idx="34">
                  <c:v>43769</c:v>
                </c:pt>
                <c:pt idx="35">
                  <c:v>43774</c:v>
                </c:pt>
                <c:pt idx="36">
                  <c:v>43776</c:v>
                </c:pt>
                <c:pt idx="37">
                  <c:v>43781</c:v>
                </c:pt>
                <c:pt idx="38">
                  <c:v>43783</c:v>
                </c:pt>
                <c:pt idx="39">
                  <c:v>43787</c:v>
                </c:pt>
                <c:pt idx="40">
                  <c:v>43790</c:v>
                </c:pt>
                <c:pt idx="41">
                  <c:v>43795</c:v>
                </c:pt>
                <c:pt idx="42">
                  <c:v>43797</c:v>
                </c:pt>
                <c:pt idx="43">
                  <c:v>43798</c:v>
                </c:pt>
                <c:pt idx="44">
                  <c:v>43801</c:v>
                </c:pt>
                <c:pt idx="45">
                  <c:v>43803</c:v>
                </c:pt>
                <c:pt idx="46">
                  <c:v>43808</c:v>
                </c:pt>
                <c:pt idx="47">
                  <c:v>43811</c:v>
                </c:pt>
                <c:pt idx="48">
                  <c:v>43815</c:v>
                </c:pt>
                <c:pt idx="49">
                  <c:v>43818</c:v>
                </c:pt>
                <c:pt idx="50">
                  <c:v>43837</c:v>
                </c:pt>
                <c:pt idx="51">
                  <c:v>43843</c:v>
                </c:pt>
                <c:pt idx="52">
                  <c:v>43850</c:v>
                </c:pt>
                <c:pt idx="53">
                  <c:v>43859</c:v>
                </c:pt>
                <c:pt idx="54">
                  <c:v>43865</c:v>
                </c:pt>
                <c:pt idx="55">
                  <c:v>43886</c:v>
                </c:pt>
                <c:pt idx="56">
                  <c:v>43970</c:v>
                </c:pt>
                <c:pt idx="57">
                  <c:v>43977</c:v>
                </c:pt>
                <c:pt idx="58">
                  <c:v>43999</c:v>
                </c:pt>
                <c:pt idx="59">
                  <c:v>44029</c:v>
                </c:pt>
                <c:pt idx="61">
                  <c:v>44082</c:v>
                </c:pt>
                <c:pt idx="63">
                  <c:v>44082</c:v>
                </c:pt>
                <c:pt idx="65">
                  <c:v>44140</c:v>
                </c:pt>
                <c:pt idx="66">
                  <c:v>44172</c:v>
                </c:pt>
                <c:pt idx="67">
                  <c:v>44229</c:v>
                </c:pt>
                <c:pt idx="69">
                  <c:v>44322</c:v>
                </c:pt>
                <c:pt idx="70">
                  <c:v>44357</c:v>
                </c:pt>
                <c:pt idx="71">
                  <c:v>44362</c:v>
                </c:pt>
                <c:pt idx="72">
                  <c:v>44369</c:v>
                </c:pt>
                <c:pt idx="73">
                  <c:v>44376</c:v>
                </c:pt>
                <c:pt idx="74">
                  <c:v>44400</c:v>
                </c:pt>
                <c:pt idx="75">
                  <c:v>44439</c:v>
                </c:pt>
                <c:pt idx="76">
                  <c:v>44474</c:v>
                </c:pt>
                <c:pt idx="77">
                  <c:v>44522</c:v>
                </c:pt>
                <c:pt idx="78">
                  <c:v>44531</c:v>
                </c:pt>
                <c:pt idx="79">
                  <c:v>44536</c:v>
                </c:pt>
                <c:pt idx="80">
                  <c:v>44543</c:v>
                </c:pt>
                <c:pt idx="81">
                  <c:v>44550</c:v>
                </c:pt>
                <c:pt idx="82">
                  <c:v>44572</c:v>
                </c:pt>
                <c:pt idx="83">
                  <c:v>44578</c:v>
                </c:pt>
                <c:pt idx="84">
                  <c:v>44595</c:v>
                </c:pt>
                <c:pt idx="85">
                  <c:v>44613</c:v>
                </c:pt>
                <c:pt idx="86">
                  <c:v>44648</c:v>
                </c:pt>
                <c:pt idx="87">
                  <c:v>44678</c:v>
                </c:pt>
                <c:pt idx="88">
                  <c:v>44711</c:v>
                </c:pt>
                <c:pt idx="89">
                  <c:v>44740</c:v>
                </c:pt>
                <c:pt idx="90">
                  <c:v>44767</c:v>
                </c:pt>
                <c:pt idx="91">
                  <c:v>44902</c:v>
                </c:pt>
                <c:pt idx="92">
                  <c:v>44915</c:v>
                </c:pt>
                <c:pt idx="93">
                  <c:v>44930</c:v>
                </c:pt>
                <c:pt idx="94">
                  <c:v>44945</c:v>
                </c:pt>
                <c:pt idx="95">
                  <c:v>44957</c:v>
                </c:pt>
                <c:pt idx="96">
                  <c:v>44988</c:v>
                </c:pt>
                <c:pt idx="97">
                  <c:v>45013</c:v>
                </c:pt>
              </c:numCache>
            </c:numRef>
          </c:xVal>
          <c:yVal>
            <c:numRef>
              <c:f>Convergences!$E$10:$E$136</c:f>
              <c:numCache>
                <c:formatCode>\+\ 0.0;\-\ 0.0;\±\ 0.0</c:formatCode>
                <c:ptCount val="127"/>
                <c:pt idx="0">
                  <c:v>0</c:v>
                </c:pt>
                <c:pt idx="1">
                  <c:v>-3.2880461720137255</c:v>
                </c:pt>
                <c:pt idx="2">
                  <c:v>-5.399668439002081</c:v>
                </c:pt>
                <c:pt idx="3">
                  <c:v>-8.4988295520465051</c:v>
                </c:pt>
                <c:pt idx="4">
                  <c:v>-16.867969949094341</c:v>
                </c:pt>
                <c:pt idx="5">
                  <c:v>-25.180447141104345</c:v>
                </c:pt>
                <c:pt idx="6">
                  <c:v>-28.188657568936737</c:v>
                </c:pt>
                <c:pt idx="7">
                  <c:v>-31.394687220394069</c:v>
                </c:pt>
                <c:pt idx="8">
                  <c:v>-32.867686724067369</c:v>
                </c:pt>
                <c:pt idx="11">
                  <c:v>-32.932116189466228</c:v>
                </c:pt>
                <c:pt idx="12">
                  <c:v>-36.170742512409149</c:v>
                </c:pt>
                <c:pt idx="13">
                  <c:v>-36.451970471715889</c:v>
                </c:pt>
                <c:pt idx="14">
                  <c:v>-38.766849677605023</c:v>
                </c:pt>
                <c:pt idx="15">
                  <c:v>-40.646144974466395</c:v>
                </c:pt>
                <c:pt idx="16">
                  <c:v>-41.430325421527584</c:v>
                </c:pt>
                <c:pt idx="17">
                  <c:v>-41.367216230823622</c:v>
                </c:pt>
                <c:pt idx="18">
                  <c:v>-42.08975627170819</c:v>
                </c:pt>
                <c:pt idx="19">
                  <c:v>-42.71692333634158</c:v>
                </c:pt>
                <c:pt idx="20">
                  <c:v>-43.188998278321122</c:v>
                </c:pt>
                <c:pt idx="21">
                  <c:v>-43.437466883351036</c:v>
                </c:pt>
                <c:pt idx="22">
                  <c:v>-44.387046048838918</c:v>
                </c:pt>
                <c:pt idx="23">
                  <c:v>-45.114949194713816</c:v>
                </c:pt>
                <c:pt idx="24">
                  <c:v>-45.878354724540941</c:v>
                </c:pt>
                <c:pt idx="25">
                  <c:v>-46.303627684064708</c:v>
                </c:pt>
                <c:pt idx="26">
                  <c:v>-46.555656598699088</c:v>
                </c:pt>
                <c:pt idx="27">
                  <c:v>-46.686489214033514</c:v>
                </c:pt>
                <c:pt idx="28">
                  <c:v>-46.907632386833157</c:v>
                </c:pt>
                <c:pt idx="29">
                  <c:v>-47.879781585763666</c:v>
                </c:pt>
                <c:pt idx="30">
                  <c:v>-48.093989282222971</c:v>
                </c:pt>
                <c:pt idx="31">
                  <c:v>-48.395846926714285</c:v>
                </c:pt>
                <c:pt idx="32">
                  <c:v>-48.383900182790818</c:v>
                </c:pt>
                <c:pt idx="33">
                  <c:v>-48.717206393730009</c:v>
                </c:pt>
                <c:pt idx="34">
                  <c:v>-48.657567203604927</c:v>
                </c:pt>
                <c:pt idx="35">
                  <c:v>-49.754391348244553</c:v>
                </c:pt>
                <c:pt idx="36">
                  <c:v>-50.053762414890457</c:v>
                </c:pt>
                <c:pt idx="37">
                  <c:v>-50.456551699287644</c:v>
                </c:pt>
                <c:pt idx="38">
                  <c:v>-50.490973405709298</c:v>
                </c:pt>
                <c:pt idx="39">
                  <c:v>-50.326972114498325</c:v>
                </c:pt>
                <c:pt idx="40">
                  <c:v>-50.500154566362369</c:v>
                </c:pt>
                <c:pt idx="41">
                  <c:v>-51.131855521433508</c:v>
                </c:pt>
                <c:pt idx="42">
                  <c:v>-52.112389389373789</c:v>
                </c:pt>
                <c:pt idx="43">
                  <c:v>-52.808358974849142</c:v>
                </c:pt>
                <c:pt idx="44">
                  <c:v>-52.891641604149164</c:v>
                </c:pt>
                <c:pt idx="45">
                  <c:v>-53.638841286265389</c:v>
                </c:pt>
                <c:pt idx="46">
                  <c:v>-54.249527464921513</c:v>
                </c:pt>
                <c:pt idx="47">
                  <c:v>-53.946235624786624</c:v>
                </c:pt>
                <c:pt idx="48">
                  <c:v>-53.745456343978759</c:v>
                </c:pt>
                <c:pt idx="49">
                  <c:v>-54.813295408121746</c:v>
                </c:pt>
                <c:pt idx="50">
                  <c:v>-55.297324063408482</c:v>
                </c:pt>
                <c:pt idx="51">
                  <c:v>-56.084859048237675</c:v>
                </c:pt>
                <c:pt idx="52">
                  <c:v>-55.71972963849614</c:v>
                </c:pt>
                <c:pt idx="53">
                  <c:v>-56.163591247014644</c:v>
                </c:pt>
                <c:pt idx="54">
                  <c:v>-56.400386843205027</c:v>
                </c:pt>
                <c:pt idx="55">
                  <c:v>-56.598313834915537</c:v>
                </c:pt>
                <c:pt idx="56">
                  <c:v>-57.109893852094196</c:v>
                </c:pt>
                <c:pt idx="57">
                  <c:v>-58.151167682670035</c:v>
                </c:pt>
                <c:pt idx="58">
                  <c:v>-58.202684510860969</c:v>
                </c:pt>
                <c:pt idx="59">
                  <c:v>-57.897132653492719</c:v>
                </c:pt>
                <c:pt idx="61">
                  <c:v>-58.541140123417264</c:v>
                </c:pt>
                <c:pt idx="63">
                  <c:v>-58.445070476605743</c:v>
                </c:pt>
                <c:pt idx="65">
                  <c:v>-58.445070476605743</c:v>
                </c:pt>
                <c:pt idx="66">
                  <c:v>-57.899499450999144</c:v>
                </c:pt>
                <c:pt idx="67">
                  <c:v>-58.706737085550301</c:v>
                </c:pt>
                <c:pt idx="69">
                  <c:v>-58.746058489061781</c:v>
                </c:pt>
                <c:pt idx="70">
                  <c:v>-59.118269763227538</c:v>
                </c:pt>
                <c:pt idx="71">
                  <c:v>-59.217631503749146</c:v>
                </c:pt>
                <c:pt idx="72">
                  <c:v>-59.878105117192163</c:v>
                </c:pt>
                <c:pt idx="73">
                  <c:v>-59.905514047214666</c:v>
                </c:pt>
                <c:pt idx="74">
                  <c:v>-60.942464721454485</c:v>
                </c:pt>
                <c:pt idx="75">
                  <c:v>-61.688788174193206</c:v>
                </c:pt>
                <c:pt idx="76">
                  <c:v>-62.259664624310318</c:v>
                </c:pt>
                <c:pt idx="77">
                  <c:v>-61.92792123252211</c:v>
                </c:pt>
                <c:pt idx="78">
                  <c:v>-61.688459759688286</c:v>
                </c:pt>
                <c:pt idx="79">
                  <c:v>-62.093601088861305</c:v>
                </c:pt>
                <c:pt idx="80">
                  <c:v>-62.031362351485875</c:v>
                </c:pt>
                <c:pt idx="81">
                  <c:v>-62.383809713489669</c:v>
                </c:pt>
                <c:pt idx="82">
                  <c:v>-62.66856356510209</c:v>
                </c:pt>
                <c:pt idx="83">
                  <c:v>-62.559393612668487</c:v>
                </c:pt>
                <c:pt idx="84">
                  <c:v>-62.600259087515212</c:v>
                </c:pt>
                <c:pt idx="85">
                  <c:v>-62.97441120539915</c:v>
                </c:pt>
                <c:pt idx="86">
                  <c:v>-63.171051550165117</c:v>
                </c:pt>
                <c:pt idx="87">
                  <c:v>-63.627232968387126</c:v>
                </c:pt>
                <c:pt idx="88">
                  <c:v>-62.83005867256675</c:v>
                </c:pt>
                <c:pt idx="89">
                  <c:v>-63.628853953901384</c:v>
                </c:pt>
                <c:pt idx="90">
                  <c:v>-63.824006510259323</c:v>
                </c:pt>
                <c:pt idx="91">
                  <c:v>-62.791573438294002</c:v>
                </c:pt>
                <c:pt idx="92">
                  <c:v>-62.604213381905808</c:v>
                </c:pt>
                <c:pt idx="93">
                  <c:v>-62.949139217293393</c:v>
                </c:pt>
                <c:pt idx="94">
                  <c:v>-63.00748803380651</c:v>
                </c:pt>
                <c:pt idx="95">
                  <c:v>-62.570499970819867</c:v>
                </c:pt>
                <c:pt idx="96">
                  <c:v>-62.88609977843862</c:v>
                </c:pt>
                <c:pt idx="97">
                  <c:v>-63.160807642223205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838-4847-B495-9AA410021758}"/>
            </c:ext>
          </c:extLst>
        </c:ser>
        <c:ser>
          <c:idx val="3"/>
          <c:order val="4"/>
          <c:tx>
            <c:strRef>
              <c:f>Déplacements!$Y$9</c:f>
              <c:strCache>
                <c:ptCount val="1"/>
                <c:pt idx="0">
                  <c:v>DZ centre haut x2</c:v>
                </c:pt>
              </c:strCache>
            </c:strRef>
          </c:tx>
          <c:spPr>
            <a:ln w="158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tint val="50000"/>
                      <a:satMod val="300000"/>
                    </a:schemeClr>
                  </a:gs>
                  <a:gs pos="35000">
                    <a:schemeClr val="accent4">
                      <a:tint val="37000"/>
                      <a:satMod val="300000"/>
                    </a:schemeClr>
                  </a:gs>
                  <a:gs pos="100000">
                    <a:schemeClr val="accent4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(Déplacements!$B$10:$B$18,Déplacements!$B$21:$B$132)</c:f>
              <c:numCache>
                <c:formatCode>dd\ /\ mm\ /\ yy</c:formatCode>
                <c:ptCount val="121"/>
                <c:pt idx="0">
                  <c:v>43658</c:v>
                </c:pt>
                <c:pt idx="1">
                  <c:v>43661</c:v>
                </c:pt>
                <c:pt idx="2">
                  <c:v>43662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9">
                  <c:v>43685</c:v>
                </c:pt>
                <c:pt idx="10">
                  <c:v>43689</c:v>
                </c:pt>
                <c:pt idx="11">
                  <c:v>43690</c:v>
                </c:pt>
                <c:pt idx="12">
                  <c:v>43696</c:v>
                </c:pt>
                <c:pt idx="13">
                  <c:v>43699</c:v>
                </c:pt>
                <c:pt idx="14">
                  <c:v>43704</c:v>
                </c:pt>
                <c:pt idx="15">
                  <c:v>43706</c:v>
                </c:pt>
                <c:pt idx="16">
                  <c:v>43710</c:v>
                </c:pt>
                <c:pt idx="17">
                  <c:v>43713</c:v>
                </c:pt>
                <c:pt idx="18">
                  <c:v>43718</c:v>
                </c:pt>
                <c:pt idx="19">
                  <c:v>43720</c:v>
                </c:pt>
                <c:pt idx="20">
                  <c:v>43724</c:v>
                </c:pt>
                <c:pt idx="21">
                  <c:v>43727</c:v>
                </c:pt>
                <c:pt idx="22">
                  <c:v>43731</c:v>
                </c:pt>
                <c:pt idx="23">
                  <c:v>43734</c:v>
                </c:pt>
                <c:pt idx="24">
                  <c:v>43738</c:v>
                </c:pt>
                <c:pt idx="25">
                  <c:v>43741</c:v>
                </c:pt>
                <c:pt idx="26">
                  <c:v>43746</c:v>
                </c:pt>
                <c:pt idx="27">
                  <c:v>43753</c:v>
                </c:pt>
                <c:pt idx="28">
                  <c:v>43756</c:v>
                </c:pt>
                <c:pt idx="29">
                  <c:v>43760</c:v>
                </c:pt>
                <c:pt idx="30">
                  <c:v>43762</c:v>
                </c:pt>
                <c:pt idx="31">
                  <c:v>43766</c:v>
                </c:pt>
                <c:pt idx="32">
                  <c:v>43769</c:v>
                </c:pt>
                <c:pt idx="33">
                  <c:v>43774</c:v>
                </c:pt>
                <c:pt idx="34">
                  <c:v>43776</c:v>
                </c:pt>
                <c:pt idx="35">
                  <c:v>43781</c:v>
                </c:pt>
                <c:pt idx="36">
                  <c:v>43783</c:v>
                </c:pt>
                <c:pt idx="37">
                  <c:v>43787</c:v>
                </c:pt>
                <c:pt idx="38">
                  <c:v>43790</c:v>
                </c:pt>
                <c:pt idx="39">
                  <c:v>43795</c:v>
                </c:pt>
                <c:pt idx="40">
                  <c:v>43797</c:v>
                </c:pt>
                <c:pt idx="41">
                  <c:v>43798</c:v>
                </c:pt>
                <c:pt idx="42">
                  <c:v>43801</c:v>
                </c:pt>
                <c:pt idx="43">
                  <c:v>43803</c:v>
                </c:pt>
                <c:pt idx="44">
                  <c:v>43808</c:v>
                </c:pt>
                <c:pt idx="45">
                  <c:v>43811</c:v>
                </c:pt>
                <c:pt idx="46">
                  <c:v>43815</c:v>
                </c:pt>
                <c:pt idx="47">
                  <c:v>43818</c:v>
                </c:pt>
                <c:pt idx="48">
                  <c:v>43837</c:v>
                </c:pt>
                <c:pt idx="49">
                  <c:v>43843</c:v>
                </c:pt>
                <c:pt idx="50">
                  <c:v>43850</c:v>
                </c:pt>
                <c:pt idx="51">
                  <c:v>43859</c:v>
                </c:pt>
                <c:pt idx="52">
                  <c:v>43865</c:v>
                </c:pt>
                <c:pt idx="53">
                  <c:v>43886</c:v>
                </c:pt>
                <c:pt idx="54">
                  <c:v>43970</c:v>
                </c:pt>
                <c:pt idx="55">
                  <c:v>43977</c:v>
                </c:pt>
                <c:pt idx="56">
                  <c:v>43999</c:v>
                </c:pt>
                <c:pt idx="57">
                  <c:v>44029</c:v>
                </c:pt>
                <c:pt idx="59">
                  <c:v>44082</c:v>
                </c:pt>
                <c:pt idx="61">
                  <c:v>44082</c:v>
                </c:pt>
                <c:pt idx="63">
                  <c:v>44140</c:v>
                </c:pt>
                <c:pt idx="64">
                  <c:v>44172</c:v>
                </c:pt>
                <c:pt idx="65">
                  <c:v>44229</c:v>
                </c:pt>
                <c:pt idx="67">
                  <c:v>44322</c:v>
                </c:pt>
                <c:pt idx="68">
                  <c:v>44357</c:v>
                </c:pt>
                <c:pt idx="69">
                  <c:v>44362</c:v>
                </c:pt>
                <c:pt idx="70">
                  <c:v>44369</c:v>
                </c:pt>
                <c:pt idx="71">
                  <c:v>44376</c:v>
                </c:pt>
                <c:pt idx="72">
                  <c:v>44400</c:v>
                </c:pt>
                <c:pt idx="73">
                  <c:v>44439</c:v>
                </c:pt>
                <c:pt idx="74">
                  <c:v>44474</c:v>
                </c:pt>
                <c:pt idx="75">
                  <c:v>44522</c:v>
                </c:pt>
                <c:pt idx="76">
                  <c:v>44531</c:v>
                </c:pt>
                <c:pt idx="77">
                  <c:v>44536</c:v>
                </c:pt>
                <c:pt idx="78">
                  <c:v>44543</c:v>
                </c:pt>
                <c:pt idx="79">
                  <c:v>44550</c:v>
                </c:pt>
                <c:pt idx="80">
                  <c:v>44572</c:v>
                </c:pt>
                <c:pt idx="81">
                  <c:v>44578</c:v>
                </c:pt>
                <c:pt idx="82">
                  <c:v>44595</c:v>
                </c:pt>
                <c:pt idx="83">
                  <c:v>44613</c:v>
                </c:pt>
                <c:pt idx="84">
                  <c:v>44648</c:v>
                </c:pt>
                <c:pt idx="85">
                  <c:v>44678</c:v>
                </c:pt>
                <c:pt idx="86">
                  <c:v>44711</c:v>
                </c:pt>
                <c:pt idx="87">
                  <c:v>44740</c:v>
                </c:pt>
                <c:pt idx="88">
                  <c:v>44767</c:v>
                </c:pt>
                <c:pt idx="89">
                  <c:v>44902</c:v>
                </c:pt>
                <c:pt idx="90">
                  <c:v>44915</c:v>
                </c:pt>
                <c:pt idx="91">
                  <c:v>44930</c:v>
                </c:pt>
                <c:pt idx="92">
                  <c:v>44945</c:v>
                </c:pt>
                <c:pt idx="93">
                  <c:v>44957</c:v>
                </c:pt>
                <c:pt idx="94">
                  <c:v>44988</c:v>
                </c:pt>
                <c:pt idx="95">
                  <c:v>45013</c:v>
                </c:pt>
              </c:numCache>
            </c:numRef>
          </c:xVal>
          <c:yVal>
            <c:numRef>
              <c:f>(Déplacements!$Y$10:$Y$18,Déplacements!$Y$21:$Y$132)</c:f>
              <c:numCache>
                <c:formatCode>General</c:formatCode>
                <c:ptCount val="121"/>
                <c:pt idx="0">
                  <c:v>0</c:v>
                </c:pt>
                <c:pt idx="1">
                  <c:v>-7.3000000000149612</c:v>
                </c:pt>
                <c:pt idx="2">
                  <c:v>-13.100000000008549</c:v>
                </c:pt>
                <c:pt idx="3">
                  <c:v>-20.499999999998408</c:v>
                </c:pt>
                <c:pt idx="4">
                  <c:v>-36.69999999999618</c:v>
                </c:pt>
                <c:pt idx="5">
                  <c:v>-64.700000000016189</c:v>
                </c:pt>
                <c:pt idx="6">
                  <c:v>-80.700000000007321</c:v>
                </c:pt>
                <c:pt idx="7">
                  <c:v>-86.900000000014188</c:v>
                </c:pt>
                <c:pt idx="8">
                  <c:v>-90.499999999991587</c:v>
                </c:pt>
                <c:pt idx="9">
                  <c:v>-90.900000000004866</c:v>
                </c:pt>
                <c:pt idx="10">
                  <c:v>-98.099999999988086</c:v>
                </c:pt>
                <c:pt idx="11">
                  <c:v>-97.499999999996589</c:v>
                </c:pt>
                <c:pt idx="12">
                  <c:v>-103.10000000001196</c:v>
                </c:pt>
                <c:pt idx="13">
                  <c:v>-107.69999999999413</c:v>
                </c:pt>
                <c:pt idx="14">
                  <c:v>-111.29999999999995</c:v>
                </c:pt>
                <c:pt idx="15">
                  <c:v>-110.29999999999518</c:v>
                </c:pt>
                <c:pt idx="16">
                  <c:v>-112.50000000001137</c:v>
                </c:pt>
                <c:pt idx="17">
                  <c:v>-112.30000000000473</c:v>
                </c:pt>
                <c:pt idx="18">
                  <c:v>-114.90000000000578</c:v>
                </c:pt>
                <c:pt idx="19">
                  <c:v>-116.90000000001532</c:v>
                </c:pt>
                <c:pt idx="20">
                  <c:v>-119.30000000000973</c:v>
                </c:pt>
                <c:pt idx="21">
                  <c:v>-119.10000000000309</c:v>
                </c:pt>
                <c:pt idx="22">
                  <c:v>-120.69999999999936</c:v>
                </c:pt>
                <c:pt idx="23">
                  <c:v>-122.90000000001555</c:v>
                </c:pt>
                <c:pt idx="24">
                  <c:v>-123.09999999999377</c:v>
                </c:pt>
                <c:pt idx="25">
                  <c:v>-123.09999999999377</c:v>
                </c:pt>
                <c:pt idx="26" formatCode="0.0">
                  <c:v>-123.46666666664419</c:v>
                </c:pt>
                <c:pt idx="27" formatCode="0.0">
                  <c:v>-126.06666666670208</c:v>
                </c:pt>
                <c:pt idx="28" formatCode="0.0">
                  <c:v>-126.90000000000623</c:v>
                </c:pt>
                <c:pt idx="29" formatCode="0.0">
                  <c:v>-128.29999999999586</c:v>
                </c:pt>
                <c:pt idx="30" formatCode="0.0">
                  <c:v>-128.09999999998922</c:v>
                </c:pt>
                <c:pt idx="31" formatCode="0.0">
                  <c:v>-129.50000000000728</c:v>
                </c:pt>
                <c:pt idx="32" formatCode="0.0">
                  <c:v>-128.09999999998922</c:v>
                </c:pt>
                <c:pt idx="33" formatCode="0.0">
                  <c:v>-129.50000000000728</c:v>
                </c:pt>
                <c:pt idx="34" formatCode="0.0">
                  <c:v>-132.30000000001496</c:v>
                </c:pt>
                <c:pt idx="35" formatCode="0.0">
                  <c:v>-131.90000000000168</c:v>
                </c:pt>
                <c:pt idx="36" formatCode="0.0">
                  <c:v>-131.10000000000355</c:v>
                </c:pt>
                <c:pt idx="37" formatCode="0.0">
                  <c:v>-131.69999999999504</c:v>
                </c:pt>
                <c:pt idx="38" formatCode="0.0">
                  <c:v>-132.49999999999318</c:v>
                </c:pt>
                <c:pt idx="39" formatCode="0.0">
                  <c:v>-134.09999999998945</c:v>
                </c:pt>
                <c:pt idx="40" formatCode="0.0">
                  <c:v>-136.30000000000564</c:v>
                </c:pt>
                <c:pt idx="41" formatCode="0.0">
                  <c:v>-137.30000000001041</c:v>
                </c:pt>
                <c:pt idx="42" formatCode="0.0">
                  <c:v>-138.90000000000668</c:v>
                </c:pt>
                <c:pt idx="43" formatCode="0.0">
                  <c:v>-139.90000000001146</c:v>
                </c:pt>
                <c:pt idx="44" formatCode="0.0">
                  <c:v>-141.09999999999445</c:v>
                </c:pt>
                <c:pt idx="45" formatCode="0.0">
                  <c:v>-140.50000000000296</c:v>
                </c:pt>
                <c:pt idx="46" formatCode="0.0">
                  <c:v>-140.7000000000096</c:v>
                </c:pt>
                <c:pt idx="47" formatCode="0.0">
                  <c:v>-141.89999999999259</c:v>
                </c:pt>
                <c:pt idx="48" formatCode="0.0">
                  <c:v>-143.30000000001064</c:v>
                </c:pt>
                <c:pt idx="49" formatCode="0.0">
                  <c:v>-145.49999999999841</c:v>
                </c:pt>
                <c:pt idx="50" formatCode="0.0">
                  <c:v>-144.30000000001542</c:v>
                </c:pt>
                <c:pt idx="51" formatCode="0.0">
                  <c:v>-145.29999999999177</c:v>
                </c:pt>
                <c:pt idx="52" formatCode="0.0">
                  <c:v>-146.70000000000982</c:v>
                </c:pt>
                <c:pt idx="53" formatCode="0.0">
                  <c:v>-146.50000000000318</c:v>
                </c:pt>
                <c:pt idx="54" formatCode="0.0">
                  <c:v>-149.49999999998909</c:v>
                </c:pt>
                <c:pt idx="55" formatCode="0.0">
                  <c:v>-152.50000000000341</c:v>
                </c:pt>
                <c:pt idx="56" formatCode="0.0">
                  <c:v>-151.299999999992</c:v>
                </c:pt>
                <c:pt idx="57" formatCode="0.0">
                  <c:v>-151.10000000001378</c:v>
                </c:pt>
                <c:pt idx="59" formatCode="0.0">
                  <c:v>-153.50000000000819</c:v>
                </c:pt>
                <c:pt idx="61" formatCode="0.0">
                  <c:v>-153.50000000000819</c:v>
                </c:pt>
                <c:pt idx="63" formatCode="0.0">
                  <c:v>-153.50000000000819</c:v>
                </c:pt>
                <c:pt idx="64" formatCode="0.0">
                  <c:v>-154.49999999998454</c:v>
                </c:pt>
                <c:pt idx="65" formatCode="0.0">
                  <c:v>-154.69999999999118</c:v>
                </c:pt>
                <c:pt idx="67" formatCode="0.0">
                  <c:v>-157.29999999999222</c:v>
                </c:pt>
                <c:pt idx="68" formatCode="0.0">
                  <c:v>-159.49999999997999</c:v>
                </c:pt>
                <c:pt idx="69" formatCode="0.0">
                  <c:v>-161.69999999999618</c:v>
                </c:pt>
                <c:pt idx="70" formatCode="0.0">
                  <c:v>-161.69999999999618</c:v>
                </c:pt>
                <c:pt idx="71" formatCode="0.0">
                  <c:v>-162.10000000000946</c:v>
                </c:pt>
                <c:pt idx="72" formatCode="0.0">
                  <c:v>-163.49999999999909</c:v>
                </c:pt>
                <c:pt idx="73" formatCode="0.0">
                  <c:v>-161.2999999999829</c:v>
                </c:pt>
                <c:pt idx="74" formatCode="0.0">
                  <c:v>-164.69999999998208</c:v>
                </c:pt>
                <c:pt idx="75" formatCode="0.0">
                  <c:v>-167.49999999998977</c:v>
                </c:pt>
                <c:pt idx="76" formatCode="0.0">
                  <c:v>-166.49999999998499</c:v>
                </c:pt>
                <c:pt idx="77" formatCode="0.0">
                  <c:v>-168.90000000000782</c:v>
                </c:pt>
                <c:pt idx="78" formatCode="0.0">
                  <c:v>-168.10000000000969</c:v>
                </c:pt>
                <c:pt idx="79" formatCode="0.0">
                  <c:v>-168.2999999999879</c:v>
                </c:pt>
                <c:pt idx="80" formatCode="0.0">
                  <c:v>-169.49999999999932</c:v>
                </c:pt>
                <c:pt idx="81" formatCode="0.0">
                  <c:v>-168.10000000000969</c:v>
                </c:pt>
                <c:pt idx="82" formatCode="0.0">
                  <c:v>-171.30000000000223</c:v>
                </c:pt>
                <c:pt idx="83" formatCode="0.0">
                  <c:v>-169.89999999998417</c:v>
                </c:pt>
                <c:pt idx="84" formatCode="0.0">
                  <c:v>-170.69999999998231</c:v>
                </c:pt>
                <c:pt idx="85" formatCode="0.0">
                  <c:v>-170.69999999998231</c:v>
                </c:pt>
                <c:pt idx="86" formatCode="0.0">
                  <c:v>-171.30000000000223</c:v>
                </c:pt>
                <c:pt idx="87" formatCode="0.0">
                  <c:v>-172.10000000000036</c:v>
                </c:pt>
                <c:pt idx="88" formatCode="0.0">
                  <c:v>-171.58000000000584</c:v>
                </c:pt>
                <c:pt idx="89" formatCode="0.0">
                  <c:v>-174.29999999998813</c:v>
                </c:pt>
                <c:pt idx="90" formatCode="0.0">
                  <c:v>-175.49999999999955</c:v>
                </c:pt>
                <c:pt idx="91" formatCode="0.0">
                  <c:v>-175.49999999999955</c:v>
                </c:pt>
                <c:pt idx="92" formatCode="0.0">
                  <c:v>-176.69999999998254</c:v>
                </c:pt>
                <c:pt idx="93" formatCode="0.0">
                  <c:v>-176.29999999999768</c:v>
                </c:pt>
                <c:pt idx="94" formatCode="0.0">
                  <c:v>-177.30000000000246</c:v>
                </c:pt>
                <c:pt idx="95" formatCode="0.0">
                  <c:v>-179.29999999998358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838-4847-B495-9AA410021758}"/>
            </c:ext>
          </c:extLst>
        </c:ser>
        <c:ser>
          <c:idx val="4"/>
          <c:order val="5"/>
          <c:tx>
            <c:strRef>
              <c:f>Graphiques!$AC$15</c:f>
              <c:strCache>
                <c:ptCount val="1"/>
                <c:pt idx="0">
                  <c:v>Seuil de vigilance CV</c:v>
                </c:pt>
              </c:strCache>
            </c:strRef>
          </c:tx>
          <c:spPr>
            <a:ln w="15875" cap="rnd">
              <a:solidFill>
                <a:srgbClr val="FFC000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0.1865809116800615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seuil d'alerte</a:t>
                    </a:r>
                  </a:p>
                </c:rich>
              </c:tx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4838-4847-B495-9AA41002175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Graphiques!$AE$15:$AE$16</c:f>
              <c:numCache>
                <c:formatCode>m/d/yyyy</c:formatCode>
                <c:ptCount val="2"/>
                <c:pt idx="0">
                  <c:v>43654</c:v>
                </c:pt>
                <c:pt idx="1">
                  <c:v>44927</c:v>
                </c:pt>
              </c:numCache>
            </c:numRef>
          </c:xVal>
          <c:yVal>
            <c:numRef>
              <c:f>Graphiques!$AD$15:$AD$16</c:f>
              <c:numCache>
                <c:formatCode>General</c:formatCode>
                <c:ptCount val="2"/>
                <c:pt idx="0">
                  <c:v>-181</c:v>
                </c:pt>
                <c:pt idx="1">
                  <c:v>-181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838-4847-B495-9AA410021758}"/>
            </c:ext>
          </c:extLst>
        </c:ser>
        <c:ser>
          <c:idx val="5"/>
          <c:order val="6"/>
          <c:tx>
            <c:strRef>
              <c:f>Graphiques!$AC$17</c:f>
              <c:strCache>
                <c:ptCount val="1"/>
                <c:pt idx="0">
                  <c:v>Seuil d'alerte CV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xVal>
            <c:numRef>
              <c:f>Graphiques!$AE$17:$AE$18</c:f>
              <c:numCache>
                <c:formatCode>m/d/yyyy</c:formatCode>
                <c:ptCount val="2"/>
                <c:pt idx="0">
                  <c:v>43654</c:v>
                </c:pt>
                <c:pt idx="1">
                  <c:v>44927</c:v>
                </c:pt>
              </c:numCache>
            </c:numRef>
          </c:xVal>
          <c:yVal>
            <c:numRef>
              <c:f>Graphiques!$AD$17:$AD$18</c:f>
              <c:numCache>
                <c:formatCode>General</c:formatCode>
                <c:ptCount val="2"/>
                <c:pt idx="0">
                  <c:v>-226</c:v>
                </c:pt>
                <c:pt idx="1">
                  <c:v>-226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838-4847-B495-9AA410021758}"/>
            </c:ext>
          </c:extLst>
        </c:ser>
        <c:ser>
          <c:idx val="1"/>
          <c:order val="7"/>
          <c:tx>
            <c:strRef>
              <c:f>Convergences!$L$9</c:f>
              <c:strCache>
                <c:ptCount val="1"/>
                <c:pt idx="0">
                  <c:v>LB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</a:schemeClr>
                  </a:gs>
                  <a:gs pos="35000">
                    <a:schemeClr val="accent2">
                      <a:tint val="37000"/>
                      <a:satMod val="300000"/>
                    </a:schemeClr>
                  </a:gs>
                  <a:gs pos="100000">
                    <a:schemeClr val="accent2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Convergences!$B$10:$B$36</c:f>
              <c:numCache>
                <c:formatCode>dd\ /\ mm\ /\ yy</c:formatCode>
                <c:ptCount val="27"/>
                <c:pt idx="0">
                  <c:v>43658</c:v>
                </c:pt>
                <c:pt idx="1">
                  <c:v>43661</c:v>
                </c:pt>
                <c:pt idx="2">
                  <c:v>43662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11">
                  <c:v>43685</c:v>
                </c:pt>
                <c:pt idx="12">
                  <c:v>43689</c:v>
                </c:pt>
                <c:pt idx="13">
                  <c:v>43690</c:v>
                </c:pt>
                <c:pt idx="14">
                  <c:v>43696</c:v>
                </c:pt>
                <c:pt idx="15">
                  <c:v>43699</c:v>
                </c:pt>
                <c:pt idx="16">
                  <c:v>43704</c:v>
                </c:pt>
                <c:pt idx="17">
                  <c:v>43706</c:v>
                </c:pt>
                <c:pt idx="18">
                  <c:v>43710</c:v>
                </c:pt>
                <c:pt idx="19">
                  <c:v>43713</c:v>
                </c:pt>
                <c:pt idx="20">
                  <c:v>43718</c:v>
                </c:pt>
                <c:pt idx="21">
                  <c:v>43720</c:v>
                </c:pt>
                <c:pt idx="22">
                  <c:v>43724</c:v>
                </c:pt>
                <c:pt idx="23">
                  <c:v>43727</c:v>
                </c:pt>
                <c:pt idx="24">
                  <c:v>43731</c:v>
                </c:pt>
                <c:pt idx="25">
                  <c:v>43734</c:v>
                </c:pt>
                <c:pt idx="26">
                  <c:v>43738</c:v>
                </c:pt>
              </c:numCache>
            </c:numRef>
          </c:xVal>
          <c:yVal>
            <c:numRef>
              <c:f>Convergences!$L$10:$L$36</c:f>
              <c:numCache>
                <c:formatCode>\+\ 0.0;\-\ 0.0;\±\ 0.0</c:formatCode>
                <c:ptCount val="27"/>
                <c:pt idx="0">
                  <c:v>0</c:v>
                </c:pt>
                <c:pt idx="1">
                  <c:v>-0.328897405066364</c:v>
                </c:pt>
                <c:pt idx="2">
                  <c:v>-2.1102207253713701</c:v>
                </c:pt>
                <c:pt idx="3">
                  <c:v>-3.515555119186331</c:v>
                </c:pt>
                <c:pt idx="4">
                  <c:v>-5.5004710756874076</c:v>
                </c:pt>
                <c:pt idx="5">
                  <c:v>-9.6760963708995007</c:v>
                </c:pt>
                <c:pt idx="6">
                  <c:v>-10.63118338695368</c:v>
                </c:pt>
                <c:pt idx="7">
                  <c:v>-12.384220769001253</c:v>
                </c:pt>
                <c:pt idx="8">
                  <c:v>-13.206324020437421</c:v>
                </c:pt>
                <c:pt idx="11">
                  <c:v>-12.334384147847821</c:v>
                </c:pt>
                <c:pt idx="12">
                  <c:v>-13.599554594438068</c:v>
                </c:pt>
                <c:pt idx="13">
                  <c:v>-14.038067218592687</c:v>
                </c:pt>
                <c:pt idx="14">
                  <c:v>-14.637981533505595</c:v>
                </c:pt>
                <c:pt idx="15">
                  <c:v>-15.970953924405507</c:v>
                </c:pt>
                <c:pt idx="16">
                  <c:v>-15.770938828596037</c:v>
                </c:pt>
                <c:pt idx="17">
                  <c:v>-16.020299203366228</c:v>
                </c:pt>
                <c:pt idx="18">
                  <c:v>-16.245436940742763</c:v>
                </c:pt>
                <c:pt idx="19">
                  <c:v>-16.033600737795695</c:v>
                </c:pt>
                <c:pt idx="20">
                  <c:v>-16.97905418108725</c:v>
                </c:pt>
                <c:pt idx="21">
                  <c:v>-17.064309712707448</c:v>
                </c:pt>
                <c:pt idx="23">
                  <c:v>-18.433312060822438</c:v>
                </c:pt>
                <c:pt idx="24">
                  <c:v>-19.572664810319829</c:v>
                </c:pt>
                <c:pt idx="25">
                  <c:v>-19.11683270624831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838-4847-B495-9AA410021758}"/>
            </c:ext>
          </c:extLst>
        </c:ser>
        <c:ser>
          <c:idx val="2"/>
          <c:order val="8"/>
          <c:tx>
            <c:strRef>
              <c:f>Convergences!$F$9</c:f>
              <c:strCache>
                <c:ptCount val="1"/>
                <c:pt idx="0">
                  <c:v>HG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tint val="50000"/>
                      <a:satMod val="300000"/>
                    </a:schemeClr>
                  </a:gs>
                  <a:gs pos="35000">
                    <a:schemeClr val="accent3">
                      <a:tint val="37000"/>
                      <a:satMod val="300000"/>
                    </a:schemeClr>
                  </a:gs>
                  <a:gs pos="100000">
                    <a:schemeClr val="accent3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Convergences!$B$10:$B$36</c:f>
              <c:numCache>
                <c:formatCode>dd\ /\ mm\ /\ yy</c:formatCode>
                <c:ptCount val="27"/>
                <c:pt idx="0">
                  <c:v>43658</c:v>
                </c:pt>
                <c:pt idx="1">
                  <c:v>43661</c:v>
                </c:pt>
                <c:pt idx="2">
                  <c:v>43662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11">
                  <c:v>43685</c:v>
                </c:pt>
                <c:pt idx="12">
                  <c:v>43689</c:v>
                </c:pt>
                <c:pt idx="13">
                  <c:v>43690</c:v>
                </c:pt>
                <c:pt idx="14">
                  <c:v>43696</c:v>
                </c:pt>
                <c:pt idx="15">
                  <c:v>43699</c:v>
                </c:pt>
                <c:pt idx="16">
                  <c:v>43704</c:v>
                </c:pt>
                <c:pt idx="17">
                  <c:v>43706</c:v>
                </c:pt>
                <c:pt idx="18">
                  <c:v>43710</c:v>
                </c:pt>
                <c:pt idx="19">
                  <c:v>43713</c:v>
                </c:pt>
                <c:pt idx="20">
                  <c:v>43718</c:v>
                </c:pt>
                <c:pt idx="21">
                  <c:v>43720</c:v>
                </c:pt>
                <c:pt idx="22">
                  <c:v>43724</c:v>
                </c:pt>
                <c:pt idx="23">
                  <c:v>43727</c:v>
                </c:pt>
                <c:pt idx="24">
                  <c:v>43731</c:v>
                </c:pt>
                <c:pt idx="25">
                  <c:v>43734</c:v>
                </c:pt>
                <c:pt idx="26">
                  <c:v>43738</c:v>
                </c:pt>
              </c:numCache>
            </c:numRef>
          </c:xVal>
          <c:yVal>
            <c:numRef>
              <c:f>Convergences!$F$10:$F$36</c:f>
              <c:numCache>
                <c:formatCode>\+\ 0.0;\-\ 0.0;\±\ 0.0</c:formatCode>
                <c:ptCount val="27"/>
                <c:pt idx="0">
                  <c:v>0</c:v>
                </c:pt>
                <c:pt idx="1">
                  <c:v>-2.2412707867007775</c:v>
                </c:pt>
                <c:pt idx="2">
                  <c:v>-3.132955882261701</c:v>
                </c:pt>
                <c:pt idx="3">
                  <c:v>-5.0672580853650118</c:v>
                </c:pt>
                <c:pt idx="4">
                  <c:v>-9.1104497175948929</c:v>
                </c:pt>
                <c:pt idx="6">
                  <c:v>-15.643332080867767</c:v>
                </c:pt>
                <c:pt idx="7">
                  <c:v>-17.385591301754211</c:v>
                </c:pt>
                <c:pt idx="8">
                  <c:v>-19.674394205298597</c:v>
                </c:pt>
                <c:pt idx="11">
                  <c:v>-19.745018418819928</c:v>
                </c:pt>
                <c:pt idx="12">
                  <c:v>-21.962369299894704</c:v>
                </c:pt>
                <c:pt idx="13">
                  <c:v>-22.367276517116565</c:v>
                </c:pt>
                <c:pt idx="14">
                  <c:v>-24.06079221625146</c:v>
                </c:pt>
                <c:pt idx="15">
                  <c:v>-25.11802293690635</c:v>
                </c:pt>
                <c:pt idx="16">
                  <c:v>-25.788591815847585</c:v>
                </c:pt>
                <c:pt idx="17">
                  <c:v>-25.59561922615017</c:v>
                </c:pt>
                <c:pt idx="18">
                  <c:v>-25.952196205908386</c:v>
                </c:pt>
                <c:pt idx="19">
                  <c:v>-26.276989563467136</c:v>
                </c:pt>
                <c:pt idx="20">
                  <c:v>-26.544421336270887</c:v>
                </c:pt>
                <c:pt idx="21">
                  <c:v>-26.764918557547148</c:v>
                </c:pt>
                <c:pt idx="22">
                  <c:v>-27.266788465775573</c:v>
                </c:pt>
                <c:pt idx="23">
                  <c:v>-27.971003231267446</c:v>
                </c:pt>
                <c:pt idx="24">
                  <c:v>-28.44402136858837</c:v>
                </c:pt>
                <c:pt idx="25">
                  <c:v>-28.923638693794775</c:v>
                </c:pt>
                <c:pt idx="26">
                  <c:v>-28.792318131293683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838-4847-B495-9AA410021758}"/>
            </c:ext>
          </c:extLst>
        </c:ser>
        <c:ser>
          <c:idx val="6"/>
          <c:order val="9"/>
          <c:tx>
            <c:strRef>
              <c:f>Convergences!$G$9</c:f>
              <c:strCache>
                <c:ptCount val="1"/>
                <c:pt idx="0">
                  <c:v>HD</c:v>
                </c:pt>
              </c:strCache>
            </c:strRef>
          </c:tx>
          <c:spPr>
            <a:ln w="1587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1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1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Convergences!$B$10:$B$36</c:f>
              <c:numCache>
                <c:formatCode>dd\ /\ mm\ /\ yy</c:formatCode>
                <c:ptCount val="27"/>
                <c:pt idx="0">
                  <c:v>43658</c:v>
                </c:pt>
                <c:pt idx="1">
                  <c:v>43661</c:v>
                </c:pt>
                <c:pt idx="2">
                  <c:v>43662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11">
                  <c:v>43685</c:v>
                </c:pt>
                <c:pt idx="12">
                  <c:v>43689</c:v>
                </c:pt>
                <c:pt idx="13">
                  <c:v>43690</c:v>
                </c:pt>
                <c:pt idx="14">
                  <c:v>43696</c:v>
                </c:pt>
                <c:pt idx="15">
                  <c:v>43699</c:v>
                </c:pt>
                <c:pt idx="16">
                  <c:v>43704</c:v>
                </c:pt>
                <c:pt idx="17">
                  <c:v>43706</c:v>
                </c:pt>
                <c:pt idx="18">
                  <c:v>43710</c:v>
                </c:pt>
                <c:pt idx="19">
                  <c:v>43713</c:v>
                </c:pt>
                <c:pt idx="20">
                  <c:v>43718</c:v>
                </c:pt>
                <c:pt idx="21">
                  <c:v>43720</c:v>
                </c:pt>
                <c:pt idx="22">
                  <c:v>43724</c:v>
                </c:pt>
                <c:pt idx="23">
                  <c:v>43727</c:v>
                </c:pt>
                <c:pt idx="24">
                  <c:v>43731</c:v>
                </c:pt>
                <c:pt idx="25">
                  <c:v>43734</c:v>
                </c:pt>
                <c:pt idx="26">
                  <c:v>43738</c:v>
                </c:pt>
              </c:numCache>
            </c:numRef>
          </c:xVal>
          <c:yVal>
            <c:numRef>
              <c:f>Convergences!$G$10:$G$36</c:f>
              <c:numCache>
                <c:formatCode>\+\ 0.0;\-\ 0.0;\±\ 0.0</c:formatCode>
                <c:ptCount val="27"/>
                <c:pt idx="0">
                  <c:v>0</c:v>
                </c:pt>
                <c:pt idx="1">
                  <c:v>-0.78323330531504531</c:v>
                </c:pt>
                <c:pt idx="2">
                  <c:v>-1.7363126222160741</c:v>
                </c:pt>
                <c:pt idx="3">
                  <c:v>-2.8214405081936622</c:v>
                </c:pt>
                <c:pt idx="4">
                  <c:v>-5.336098170271919</c:v>
                </c:pt>
                <c:pt idx="5">
                  <c:v>-8.7989674370088089</c:v>
                </c:pt>
                <c:pt idx="6">
                  <c:v>-12.888754040982997</c:v>
                </c:pt>
                <c:pt idx="7">
                  <c:v>-15.245143915110893</c:v>
                </c:pt>
                <c:pt idx="8">
                  <c:v>-17.795136219741934</c:v>
                </c:pt>
                <c:pt idx="11">
                  <c:v>-18.930237794595236</c:v>
                </c:pt>
                <c:pt idx="12">
                  <c:v>-19.396682385435902</c:v>
                </c:pt>
                <c:pt idx="13">
                  <c:v>-19.254993292896039</c:v>
                </c:pt>
                <c:pt idx="14">
                  <c:v>-20.065804698703225</c:v>
                </c:pt>
                <c:pt idx="15">
                  <c:v>-20.647980549946208</c:v>
                </c:pt>
                <c:pt idx="16">
                  <c:v>-13.418220616602248</c:v>
                </c:pt>
                <c:pt idx="17">
                  <c:v>-13.548801601496184</c:v>
                </c:pt>
                <c:pt idx="18">
                  <c:v>-13.788957567158143</c:v>
                </c:pt>
                <c:pt idx="19">
                  <c:v>-13.829187726146939</c:v>
                </c:pt>
                <c:pt idx="20">
                  <c:v>-14.338604172213552</c:v>
                </c:pt>
                <c:pt idx="21">
                  <c:v>-14.339582229073276</c:v>
                </c:pt>
                <c:pt idx="22">
                  <c:v>-15.060861839492954</c:v>
                </c:pt>
                <c:pt idx="23">
                  <c:v>-15.053343550537555</c:v>
                </c:pt>
                <c:pt idx="24">
                  <c:v>-15.089006235209144</c:v>
                </c:pt>
                <c:pt idx="25">
                  <c:v>-15.281394145179926</c:v>
                </c:pt>
                <c:pt idx="26">
                  <c:v>-15.61414445246556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838-4847-B495-9AA410021758}"/>
            </c:ext>
          </c:extLst>
        </c:ser>
        <c:ser>
          <c:idx val="7"/>
          <c:order val="10"/>
          <c:tx>
            <c:strRef>
              <c:f>Convergences!$J$9</c:f>
              <c:strCache>
                <c:ptCount val="1"/>
                <c:pt idx="0">
                  <c:v>LH</c:v>
                </c:pt>
              </c:strCache>
            </c:strRef>
          </c:tx>
          <c:spPr>
            <a:ln w="1587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2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2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Convergences!$B$10:$B$36</c:f>
              <c:numCache>
                <c:formatCode>dd\ /\ mm\ /\ yy</c:formatCode>
                <c:ptCount val="27"/>
                <c:pt idx="0">
                  <c:v>43658</c:v>
                </c:pt>
                <c:pt idx="1">
                  <c:v>43661</c:v>
                </c:pt>
                <c:pt idx="2">
                  <c:v>43662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11">
                  <c:v>43685</c:v>
                </c:pt>
                <c:pt idx="12">
                  <c:v>43689</c:v>
                </c:pt>
                <c:pt idx="13">
                  <c:v>43690</c:v>
                </c:pt>
                <c:pt idx="14">
                  <c:v>43696</c:v>
                </c:pt>
                <c:pt idx="15">
                  <c:v>43699</c:v>
                </c:pt>
                <c:pt idx="16">
                  <c:v>43704</c:v>
                </c:pt>
                <c:pt idx="17">
                  <c:v>43706</c:v>
                </c:pt>
                <c:pt idx="18">
                  <c:v>43710</c:v>
                </c:pt>
                <c:pt idx="19">
                  <c:v>43713</c:v>
                </c:pt>
                <c:pt idx="20">
                  <c:v>43718</c:v>
                </c:pt>
                <c:pt idx="21">
                  <c:v>43720</c:v>
                </c:pt>
                <c:pt idx="22">
                  <c:v>43724</c:v>
                </c:pt>
                <c:pt idx="23">
                  <c:v>43727</c:v>
                </c:pt>
                <c:pt idx="24">
                  <c:v>43731</c:v>
                </c:pt>
                <c:pt idx="25">
                  <c:v>43734</c:v>
                </c:pt>
                <c:pt idx="26">
                  <c:v>43738</c:v>
                </c:pt>
              </c:numCache>
            </c:numRef>
          </c:xVal>
          <c:yVal>
            <c:numRef>
              <c:f>Convergences!$J$10:$J$36</c:f>
              <c:numCache>
                <c:formatCode>\+\ 0.0;\-\ 0.0;\±\ 0.0</c:formatCode>
                <c:ptCount val="27"/>
                <c:pt idx="0">
                  <c:v>0</c:v>
                </c:pt>
                <c:pt idx="1">
                  <c:v>-0.97288839341169719</c:v>
                </c:pt>
                <c:pt idx="2">
                  <c:v>-1.495231750157977</c:v>
                </c:pt>
                <c:pt idx="3">
                  <c:v>-2.8821026034662189</c:v>
                </c:pt>
                <c:pt idx="4">
                  <c:v>-4.6545208024957319</c:v>
                </c:pt>
                <c:pt idx="6">
                  <c:v>-11.569012375588272</c:v>
                </c:pt>
                <c:pt idx="7">
                  <c:v>-13.836230911248748</c:v>
                </c:pt>
                <c:pt idx="8">
                  <c:v>-17.38011969286779</c:v>
                </c:pt>
                <c:pt idx="11">
                  <c:v>-18.417032105364939</c:v>
                </c:pt>
                <c:pt idx="12">
                  <c:v>-19.402002575911403</c:v>
                </c:pt>
                <c:pt idx="13">
                  <c:v>-19.517157594520107</c:v>
                </c:pt>
                <c:pt idx="14">
                  <c:v>-20.848952207926708</c:v>
                </c:pt>
                <c:pt idx="15">
                  <c:v>-21.806193017630093</c:v>
                </c:pt>
                <c:pt idx="16">
                  <c:v>-18.25114850710019</c:v>
                </c:pt>
                <c:pt idx="17">
                  <c:v>-17.891569523455164</c:v>
                </c:pt>
                <c:pt idx="18">
                  <c:v>-18.208550667762058</c:v>
                </c:pt>
                <c:pt idx="19">
                  <c:v>-18.330631216342486</c:v>
                </c:pt>
                <c:pt idx="20">
                  <c:v>-18.757303706634865</c:v>
                </c:pt>
                <c:pt idx="21">
                  <c:v>-18.732237216117387</c:v>
                </c:pt>
                <c:pt idx="22">
                  <c:v>-19.482584665324598</c:v>
                </c:pt>
                <c:pt idx="23">
                  <c:v>-20.023001858349598</c:v>
                </c:pt>
                <c:pt idx="24">
                  <c:v>-20.268244639114918</c:v>
                </c:pt>
                <c:pt idx="25">
                  <c:v>-20.707034665472968</c:v>
                </c:pt>
                <c:pt idx="26">
                  <c:v>-20.797055393628305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4838-4847-B495-9AA410021758}"/>
            </c:ext>
          </c:extLst>
        </c:ser>
        <c:ser>
          <c:idx val="8"/>
          <c:order val="11"/>
          <c:tx>
            <c:strRef>
              <c:f>Convergences!$K$9</c:f>
              <c:strCache>
                <c:ptCount val="1"/>
                <c:pt idx="0">
                  <c:v>LI</c:v>
                </c:pt>
              </c:strCache>
            </c:strRef>
          </c:tx>
          <c:spPr>
            <a:ln w="15875" cap="rnd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3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3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Convergences!$B$10:$B$36</c:f>
              <c:numCache>
                <c:formatCode>dd\ /\ mm\ /\ yy</c:formatCode>
                <c:ptCount val="27"/>
                <c:pt idx="0">
                  <c:v>43658</c:v>
                </c:pt>
                <c:pt idx="1">
                  <c:v>43661</c:v>
                </c:pt>
                <c:pt idx="2">
                  <c:v>43662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11">
                  <c:v>43685</c:v>
                </c:pt>
                <c:pt idx="12">
                  <c:v>43689</c:v>
                </c:pt>
                <c:pt idx="13">
                  <c:v>43690</c:v>
                </c:pt>
                <c:pt idx="14">
                  <c:v>43696</c:v>
                </c:pt>
                <c:pt idx="15">
                  <c:v>43699</c:v>
                </c:pt>
                <c:pt idx="16">
                  <c:v>43704</c:v>
                </c:pt>
                <c:pt idx="17">
                  <c:v>43706</c:v>
                </c:pt>
                <c:pt idx="18">
                  <c:v>43710</c:v>
                </c:pt>
                <c:pt idx="19">
                  <c:v>43713</c:v>
                </c:pt>
                <c:pt idx="20">
                  <c:v>43718</c:v>
                </c:pt>
                <c:pt idx="21">
                  <c:v>43720</c:v>
                </c:pt>
                <c:pt idx="22">
                  <c:v>43724</c:v>
                </c:pt>
                <c:pt idx="23">
                  <c:v>43727</c:v>
                </c:pt>
                <c:pt idx="24">
                  <c:v>43731</c:v>
                </c:pt>
                <c:pt idx="25">
                  <c:v>43734</c:v>
                </c:pt>
                <c:pt idx="26">
                  <c:v>43738</c:v>
                </c:pt>
              </c:numCache>
            </c:numRef>
          </c:xVal>
          <c:yVal>
            <c:numRef>
              <c:f>Convergences!$K$10:$K$36</c:f>
              <c:numCache>
                <c:formatCode>\+\ 0.0;\-\ 0.0;\±\ 0.0</c:formatCode>
                <c:ptCount val="27"/>
                <c:pt idx="0">
                  <c:v>0</c:v>
                </c:pt>
                <c:pt idx="1">
                  <c:v>-1.3786151142278769</c:v>
                </c:pt>
                <c:pt idx="2">
                  <c:v>-2.4908774812466561</c:v>
                </c:pt>
                <c:pt idx="3">
                  <c:v>-4.0069347401736621</c:v>
                </c:pt>
                <c:pt idx="4">
                  <c:v>-8.773181945951336</c:v>
                </c:pt>
                <c:pt idx="5">
                  <c:v>-12.544164319370665</c:v>
                </c:pt>
                <c:pt idx="6">
                  <c:v>-13.983140866692167</c:v>
                </c:pt>
                <c:pt idx="7">
                  <c:v>-15.476771769383113</c:v>
                </c:pt>
                <c:pt idx="8">
                  <c:v>-15.395035106649857</c:v>
                </c:pt>
                <c:pt idx="11">
                  <c:v>-16.303967983814616</c:v>
                </c:pt>
                <c:pt idx="12">
                  <c:v>-16.955853078855831</c:v>
                </c:pt>
                <c:pt idx="13">
                  <c:v>-16.962644506318902</c:v>
                </c:pt>
                <c:pt idx="14">
                  <c:v>-17.975543741663103</c:v>
                </c:pt>
                <c:pt idx="15">
                  <c:v>-19.092246134072788</c:v>
                </c:pt>
                <c:pt idx="16">
                  <c:v>-19.028722775032314</c:v>
                </c:pt>
                <c:pt idx="17">
                  <c:v>-18.910468253237944</c:v>
                </c:pt>
                <c:pt idx="18">
                  <c:v>-19.349240612053897</c:v>
                </c:pt>
                <c:pt idx="19">
                  <c:v>-19.51532016752644</c:v>
                </c:pt>
                <c:pt idx="20">
                  <c:v>-20.139814180263116</c:v>
                </c:pt>
                <c:pt idx="21">
                  <c:v>-20.159754021904952</c:v>
                </c:pt>
                <c:pt idx="22">
                  <c:v>-21.044787003263288</c:v>
                </c:pt>
                <c:pt idx="23">
                  <c:v>-21.380946371500009</c:v>
                </c:pt>
                <c:pt idx="24">
                  <c:v>-21.59625091096018</c:v>
                </c:pt>
                <c:pt idx="25">
                  <c:v>-22.211363598654721</c:v>
                </c:pt>
                <c:pt idx="26">
                  <c:v>-22.665814842411258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4838-4847-B495-9AA410021758}"/>
            </c:ext>
          </c:extLst>
        </c:ser>
        <c:ser>
          <c:idx val="10"/>
          <c:order val="12"/>
          <c:tx>
            <c:v>PM Front</c:v>
          </c:tx>
          <c:spPr>
            <a:ln w="15875" cap="rnd">
              <a:solidFill>
                <a:schemeClr val="accent5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5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5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5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strRef>
              <c:f>('Résultats observations'!$A$10:$A$18,'Résultats observations'!$A$20:$A$99)</c:f>
              <c:strCache>
                <c:ptCount val="89"/>
                <c:pt idx="0">
                  <c:v>12 / 07 / 19</c:v>
                </c:pt>
                <c:pt idx="1">
                  <c:v>15 / 07 / 19</c:v>
                </c:pt>
                <c:pt idx="2">
                  <c:v>16 / 07 / 19</c:v>
                </c:pt>
                <c:pt idx="3">
                  <c:v>17 / 07 / 19</c:v>
                </c:pt>
                <c:pt idx="4">
                  <c:v>23 / 07 / 19</c:v>
                </c:pt>
                <c:pt idx="5">
                  <c:v>29 / 07 / 19</c:v>
                </c:pt>
                <c:pt idx="6">
                  <c:v>02 / 08 / 19</c:v>
                </c:pt>
                <c:pt idx="7">
                  <c:v>05 / 08 / 19</c:v>
                </c:pt>
                <c:pt idx="8">
                  <c:v>07 / 08 / 19</c:v>
                </c:pt>
                <c:pt idx="9">
                  <c:v>07 / 08 / 19</c:v>
                </c:pt>
                <c:pt idx="10">
                  <c:v>08 / 08 / 19</c:v>
                </c:pt>
                <c:pt idx="11">
                  <c:v>12 / 08 / 19</c:v>
                </c:pt>
                <c:pt idx="12">
                  <c:v>13 / 08 / 19</c:v>
                </c:pt>
                <c:pt idx="13">
                  <c:v>19 / 08 / 19</c:v>
                </c:pt>
                <c:pt idx="14">
                  <c:v>22 / 08 / 19</c:v>
                </c:pt>
                <c:pt idx="15">
                  <c:v>27 / 08 / 19</c:v>
                </c:pt>
                <c:pt idx="16">
                  <c:v>29 / 08 / 19</c:v>
                </c:pt>
                <c:pt idx="17">
                  <c:v>02 / 09 / 19</c:v>
                </c:pt>
                <c:pt idx="18">
                  <c:v>05 / 09 / 19</c:v>
                </c:pt>
                <c:pt idx="19">
                  <c:v>10 / 09 / 19</c:v>
                </c:pt>
                <c:pt idx="20">
                  <c:v>12 / 09 / 19</c:v>
                </c:pt>
                <c:pt idx="21">
                  <c:v>16 / 09 / 19</c:v>
                </c:pt>
                <c:pt idx="22">
                  <c:v>19 / 09 / 19</c:v>
                </c:pt>
                <c:pt idx="23">
                  <c:v>23 / 09 / 19</c:v>
                </c:pt>
                <c:pt idx="24">
                  <c:v>26 / 09 / 19</c:v>
                </c:pt>
                <c:pt idx="25">
                  <c:v>30 / 09 / 19</c:v>
                </c:pt>
                <c:pt idx="26">
                  <c:v>03 / 10 / 19</c:v>
                </c:pt>
                <c:pt idx="27">
                  <c:v>08 / 10 / 19</c:v>
                </c:pt>
                <c:pt idx="28">
                  <c:v>15 / 10 / 19</c:v>
                </c:pt>
                <c:pt idx="29">
                  <c:v>18 / 10 / 19</c:v>
                </c:pt>
                <c:pt idx="30">
                  <c:v>22 / 10 / 19</c:v>
                </c:pt>
                <c:pt idx="31">
                  <c:v>24 / 10 / 19</c:v>
                </c:pt>
                <c:pt idx="32">
                  <c:v>28 / 10 / 19</c:v>
                </c:pt>
                <c:pt idx="33">
                  <c:v>31 / 10 / 19</c:v>
                </c:pt>
                <c:pt idx="34">
                  <c:v>05 / 11 / 19</c:v>
                </c:pt>
                <c:pt idx="35">
                  <c:v>07 / 11 / 19</c:v>
                </c:pt>
                <c:pt idx="36">
                  <c:v>12 / 11 / 19</c:v>
                </c:pt>
                <c:pt idx="37">
                  <c:v>14 / 11 / 19</c:v>
                </c:pt>
                <c:pt idx="38">
                  <c:v>18 / 11 / 19</c:v>
                </c:pt>
                <c:pt idx="39">
                  <c:v>21 / 11 / 19</c:v>
                </c:pt>
                <c:pt idx="40">
                  <c:v>26 / 11 / 19</c:v>
                </c:pt>
                <c:pt idx="41">
                  <c:v>28 / 11 / 19</c:v>
                </c:pt>
                <c:pt idx="42">
                  <c:v>29 / 11 / 19</c:v>
                </c:pt>
                <c:pt idx="43">
                  <c:v>02 / 12 / 19</c:v>
                </c:pt>
                <c:pt idx="44">
                  <c:v>04 / 12 / 19</c:v>
                </c:pt>
                <c:pt idx="45">
                  <c:v>09 / 12 / 19</c:v>
                </c:pt>
                <c:pt idx="46">
                  <c:v>12 / 12 / 19</c:v>
                </c:pt>
                <c:pt idx="47">
                  <c:v>16 / 12 / 19</c:v>
                </c:pt>
                <c:pt idx="48">
                  <c:v>19 / 12 / 19</c:v>
                </c:pt>
                <c:pt idx="49">
                  <c:v>07 / 01 / 20</c:v>
                </c:pt>
                <c:pt idx="50">
                  <c:v>13 / 01 / 20</c:v>
                </c:pt>
                <c:pt idx="51">
                  <c:v>20 / 01 / 20</c:v>
                </c:pt>
                <c:pt idx="52">
                  <c:v>29 / 01 / 20</c:v>
                </c:pt>
                <c:pt idx="53">
                  <c:v>04 / 02 / 20</c:v>
                </c:pt>
                <c:pt idx="54">
                  <c:v>25 / 02 / 20</c:v>
                </c:pt>
                <c:pt idx="55">
                  <c:v>19 / 05 / 20</c:v>
                </c:pt>
                <c:pt idx="56">
                  <c:v>26 / 05 / 20</c:v>
                </c:pt>
                <c:pt idx="57">
                  <c:v>17 / 06 / 20</c:v>
                </c:pt>
                <c:pt idx="58">
                  <c:v>17 / 07 / 20</c:v>
                </c:pt>
                <c:pt idx="59">
                  <c:v>12 / 08 / 20</c:v>
                </c:pt>
                <c:pt idx="60">
                  <c:v>08 / 09 / 20</c:v>
                </c:pt>
                <c:pt idx="61">
                  <c:v>CHANGEMENT DE SYSTÈME DE COORDONNEES</c:v>
                </c:pt>
                <c:pt idx="62">
                  <c:v>08 / 09 / 20</c:v>
                </c:pt>
                <c:pt idx="63">
                  <c:v>passation andra</c:v>
                </c:pt>
                <c:pt idx="64">
                  <c:v>05 / 11 / 20</c:v>
                </c:pt>
                <c:pt idx="65">
                  <c:v>07 / 12 / 20</c:v>
                </c:pt>
                <c:pt idx="66">
                  <c:v>02 / 02 / 21</c:v>
                </c:pt>
                <c:pt idx="67">
                  <c:v>18 / 03 / 21</c:v>
                </c:pt>
                <c:pt idx="68">
                  <c:v>06 / 05 / 21</c:v>
                </c:pt>
                <c:pt idx="69">
                  <c:v>10 / 06 / 21</c:v>
                </c:pt>
                <c:pt idx="70">
                  <c:v>15 / 06 / 21</c:v>
                </c:pt>
                <c:pt idx="71">
                  <c:v>22 / 06 / 21</c:v>
                </c:pt>
                <c:pt idx="72">
                  <c:v>29 / 06 / 21</c:v>
                </c:pt>
                <c:pt idx="73">
                  <c:v>23 / 07 / 21</c:v>
                </c:pt>
                <c:pt idx="74">
                  <c:v>31 / 08 / 21</c:v>
                </c:pt>
                <c:pt idx="75">
                  <c:v>05 / 10 / 21</c:v>
                </c:pt>
                <c:pt idx="76">
                  <c:v>22 / 11 / 21</c:v>
                </c:pt>
                <c:pt idx="77">
                  <c:v>01 / 12 / 21</c:v>
                </c:pt>
                <c:pt idx="78">
                  <c:v>06 / 12 / 21</c:v>
                </c:pt>
                <c:pt idx="79">
                  <c:v>13 / 12 / 21</c:v>
                </c:pt>
                <c:pt idx="80">
                  <c:v>20 / 12 / 21</c:v>
                </c:pt>
                <c:pt idx="81">
                  <c:v>11 / 01 / 22</c:v>
                </c:pt>
                <c:pt idx="82">
                  <c:v>17 / 01 / 22</c:v>
                </c:pt>
                <c:pt idx="83">
                  <c:v>03 / 02 / 22</c:v>
                </c:pt>
                <c:pt idx="84">
                  <c:v>21 / 02 / 22</c:v>
                </c:pt>
                <c:pt idx="85">
                  <c:v>28 / 03 / 22</c:v>
                </c:pt>
                <c:pt idx="86">
                  <c:v>27 / 04 / 22</c:v>
                </c:pt>
                <c:pt idx="87">
                  <c:v>30 / 05 / 22</c:v>
                </c:pt>
                <c:pt idx="88">
                  <c:v>28 / 06 / 22</c:v>
                </c:pt>
              </c:strCache>
            </c:strRef>
          </c:xVal>
          <c:yVal>
            <c:numRef>
              <c:f>('Résultats observations'!$C$10:$C$18,'Résultats observations'!$C$20:$C$99)</c:f>
              <c:numCache>
                <c:formatCode>0.0</c:formatCode>
                <c:ptCount val="89"/>
                <c:pt idx="0">
                  <c:v>186.15</c:v>
                </c:pt>
                <c:pt idx="1">
                  <c:v>186.15</c:v>
                </c:pt>
                <c:pt idx="2">
                  <c:v>187.2</c:v>
                </c:pt>
                <c:pt idx="3">
                  <c:v>188.17</c:v>
                </c:pt>
                <c:pt idx="4">
                  <c:v>189.23</c:v>
                </c:pt>
                <c:pt idx="5">
                  <c:v>191.5</c:v>
                </c:pt>
                <c:pt idx="6">
                  <c:v>193.04</c:v>
                </c:pt>
                <c:pt idx="7">
                  <c:v>193.04</c:v>
                </c:pt>
                <c:pt idx="8">
                  <c:v>193.66</c:v>
                </c:pt>
                <c:pt idx="9">
                  <c:v>193.66</c:v>
                </c:pt>
                <c:pt idx="10">
                  <c:v>193.66</c:v>
                </c:pt>
                <c:pt idx="11">
                  <c:v>194.8</c:v>
                </c:pt>
                <c:pt idx="12">
                  <c:v>194.8</c:v>
                </c:pt>
                <c:pt idx="13">
                  <c:v>195.4</c:v>
                </c:pt>
                <c:pt idx="14">
                  <c:v>196.35</c:v>
                </c:pt>
                <c:pt idx="15">
                  <c:v>197.2</c:v>
                </c:pt>
                <c:pt idx="16">
                  <c:v>198.3</c:v>
                </c:pt>
                <c:pt idx="17">
                  <c:v>199.4</c:v>
                </c:pt>
                <c:pt idx="18">
                  <c:v>200.6</c:v>
                </c:pt>
                <c:pt idx="19">
                  <c:v>202.58</c:v>
                </c:pt>
                <c:pt idx="20">
                  <c:v>203.6</c:v>
                </c:pt>
                <c:pt idx="21">
                  <c:v>203.6</c:v>
                </c:pt>
                <c:pt idx="22">
                  <c:v>206.32</c:v>
                </c:pt>
                <c:pt idx="23">
                  <c:v>206.32</c:v>
                </c:pt>
                <c:pt idx="24">
                  <c:v>206.32</c:v>
                </c:pt>
                <c:pt idx="25">
                  <c:v>206.32</c:v>
                </c:pt>
                <c:pt idx="26">
                  <c:v>207.2</c:v>
                </c:pt>
                <c:pt idx="27">
                  <c:v>208.3</c:v>
                </c:pt>
                <c:pt idx="28">
                  <c:v>211.45</c:v>
                </c:pt>
                <c:pt idx="29">
                  <c:v>213.5</c:v>
                </c:pt>
                <c:pt idx="30">
                  <c:v>213.98</c:v>
                </c:pt>
                <c:pt idx="31">
                  <c:v>215</c:v>
                </c:pt>
                <c:pt idx="32">
                  <c:v>215.56</c:v>
                </c:pt>
                <c:pt idx="33">
                  <c:v>216.87</c:v>
                </c:pt>
                <c:pt idx="34">
                  <c:v>217.87</c:v>
                </c:pt>
                <c:pt idx="35">
                  <c:v>218.9</c:v>
                </c:pt>
                <c:pt idx="36">
                  <c:v>218.9</c:v>
                </c:pt>
                <c:pt idx="37">
                  <c:v>220.5</c:v>
                </c:pt>
                <c:pt idx="38">
                  <c:v>221.7</c:v>
                </c:pt>
                <c:pt idx="39">
                  <c:v>222.9</c:v>
                </c:pt>
                <c:pt idx="40">
                  <c:v>222.9</c:v>
                </c:pt>
                <c:pt idx="41">
                  <c:v>222.9</c:v>
                </c:pt>
                <c:pt idx="42">
                  <c:v>222.9</c:v>
                </c:pt>
                <c:pt idx="43">
                  <c:v>222.9</c:v>
                </c:pt>
                <c:pt idx="44">
                  <c:v>222.9</c:v>
                </c:pt>
                <c:pt idx="45">
                  <c:v>222.9</c:v>
                </c:pt>
                <c:pt idx="46">
                  <c:v>222.9</c:v>
                </c:pt>
                <c:pt idx="47">
                  <c:v>222.9</c:v>
                </c:pt>
                <c:pt idx="48">
                  <c:v>222.9</c:v>
                </c:pt>
                <c:pt idx="49">
                  <c:v>222.9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222.9</c:v>
                </c:pt>
                <c:pt idx="60">
                  <c:v>222.9</c:v>
                </c:pt>
                <c:pt idx="62">
                  <c:v>222.9</c:v>
                </c:pt>
                <c:pt idx="64">
                  <c:v>222.9</c:v>
                </c:pt>
                <c:pt idx="65">
                  <c:v>222.9</c:v>
                </c:pt>
                <c:pt idx="66">
                  <c:v>222.9</c:v>
                </c:pt>
                <c:pt idx="67">
                  <c:v>222.9</c:v>
                </c:pt>
                <c:pt idx="68">
                  <c:v>222.9</c:v>
                </c:pt>
                <c:pt idx="69">
                  <c:v>222.9</c:v>
                </c:pt>
                <c:pt idx="70">
                  <c:v>222.9</c:v>
                </c:pt>
                <c:pt idx="71">
                  <c:v>222.9</c:v>
                </c:pt>
                <c:pt idx="72">
                  <c:v>222.9</c:v>
                </c:pt>
                <c:pt idx="73">
                  <c:v>222.9</c:v>
                </c:pt>
                <c:pt idx="74">
                  <c:v>222.9</c:v>
                </c:pt>
                <c:pt idx="75">
                  <c:v>222.9</c:v>
                </c:pt>
                <c:pt idx="76">
                  <c:v>222.9</c:v>
                </c:pt>
                <c:pt idx="77">
                  <c:v>222.9</c:v>
                </c:pt>
                <c:pt idx="78">
                  <c:v>222.9</c:v>
                </c:pt>
                <c:pt idx="79">
                  <c:v>222.9</c:v>
                </c:pt>
                <c:pt idx="80">
                  <c:v>222.9</c:v>
                </c:pt>
                <c:pt idx="81">
                  <c:v>222.9</c:v>
                </c:pt>
                <c:pt idx="82">
                  <c:v>222.9</c:v>
                </c:pt>
                <c:pt idx="83">
                  <c:v>222.9</c:v>
                </c:pt>
                <c:pt idx="84">
                  <c:v>222.9</c:v>
                </c:pt>
                <c:pt idx="85">
                  <c:v>222.9</c:v>
                </c:pt>
                <c:pt idx="86">
                  <c:v>222.9</c:v>
                </c:pt>
                <c:pt idx="87">
                  <c:v>222.9</c:v>
                </c:pt>
                <c:pt idx="88">
                  <c:v>222.9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4838-4847-B495-9AA4100217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261032"/>
        <c:axId val="593259856"/>
      </c:scatterChart>
      <c:scatterChart>
        <c:scatterStyle val="lineMarker"/>
        <c:varyColors val="0"/>
        <c:ser>
          <c:idx val="0"/>
          <c:order val="3"/>
          <c:tx>
            <c:strRef>
              <c:f>Convergences!$H$9</c:f>
              <c:strCache>
                <c:ptCount val="1"/>
                <c:pt idx="0">
                  <c:v>ID</c:v>
                </c:pt>
              </c:strCache>
            </c:strRef>
          </c:tx>
          <c:spPr>
            <a:ln w="15875" cap="rnd">
              <a:solidFill>
                <a:schemeClr val="accent1"/>
              </a:solidFill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xVal>
            <c:numRef>
              <c:f>Convergences!$B$10:$B$136</c:f>
              <c:numCache>
                <c:formatCode>dd\ /\ mm\ /\ yy</c:formatCode>
                <c:ptCount val="127"/>
                <c:pt idx="0">
                  <c:v>43658</c:v>
                </c:pt>
                <c:pt idx="1">
                  <c:v>43661</c:v>
                </c:pt>
                <c:pt idx="2">
                  <c:v>43662</c:v>
                </c:pt>
                <c:pt idx="3">
                  <c:v>43663</c:v>
                </c:pt>
                <c:pt idx="4">
                  <c:v>43669</c:v>
                </c:pt>
                <c:pt idx="5">
                  <c:v>43675</c:v>
                </c:pt>
                <c:pt idx="6">
                  <c:v>43679</c:v>
                </c:pt>
                <c:pt idx="7">
                  <c:v>43682</c:v>
                </c:pt>
                <c:pt idx="8">
                  <c:v>43684</c:v>
                </c:pt>
                <c:pt idx="11">
                  <c:v>43685</c:v>
                </c:pt>
                <c:pt idx="12">
                  <c:v>43689</c:v>
                </c:pt>
                <c:pt idx="13">
                  <c:v>43690</c:v>
                </c:pt>
                <c:pt idx="14">
                  <c:v>43696</c:v>
                </c:pt>
                <c:pt idx="15">
                  <c:v>43699</c:v>
                </c:pt>
                <c:pt idx="16">
                  <c:v>43704</c:v>
                </c:pt>
                <c:pt idx="17">
                  <c:v>43706</c:v>
                </c:pt>
                <c:pt idx="18">
                  <c:v>43710</c:v>
                </c:pt>
                <c:pt idx="19">
                  <c:v>43713</c:v>
                </c:pt>
                <c:pt idx="20">
                  <c:v>43718</c:v>
                </c:pt>
                <c:pt idx="21">
                  <c:v>43720</c:v>
                </c:pt>
                <c:pt idx="22">
                  <c:v>43724</c:v>
                </c:pt>
                <c:pt idx="23">
                  <c:v>43727</c:v>
                </c:pt>
                <c:pt idx="24">
                  <c:v>43731</c:v>
                </c:pt>
                <c:pt idx="25">
                  <c:v>43734</c:v>
                </c:pt>
                <c:pt idx="26">
                  <c:v>43738</c:v>
                </c:pt>
                <c:pt idx="27">
                  <c:v>43741</c:v>
                </c:pt>
                <c:pt idx="28">
                  <c:v>43746</c:v>
                </c:pt>
                <c:pt idx="29">
                  <c:v>43753</c:v>
                </c:pt>
                <c:pt idx="30">
                  <c:v>43756</c:v>
                </c:pt>
                <c:pt idx="31">
                  <c:v>43760</c:v>
                </c:pt>
                <c:pt idx="32">
                  <c:v>43762</c:v>
                </c:pt>
                <c:pt idx="33">
                  <c:v>43766</c:v>
                </c:pt>
                <c:pt idx="34">
                  <c:v>43769</c:v>
                </c:pt>
                <c:pt idx="35">
                  <c:v>43774</c:v>
                </c:pt>
                <c:pt idx="36">
                  <c:v>43776</c:v>
                </c:pt>
                <c:pt idx="37">
                  <c:v>43781</c:v>
                </c:pt>
                <c:pt idx="38">
                  <c:v>43783</c:v>
                </c:pt>
                <c:pt idx="39">
                  <c:v>43787</c:v>
                </c:pt>
                <c:pt idx="40">
                  <c:v>43790</c:v>
                </c:pt>
                <c:pt idx="41">
                  <c:v>43795</c:v>
                </c:pt>
                <c:pt idx="42">
                  <c:v>43797</c:v>
                </c:pt>
                <c:pt idx="43">
                  <c:v>43798</c:v>
                </c:pt>
                <c:pt idx="44">
                  <c:v>43801</c:v>
                </c:pt>
                <c:pt idx="45">
                  <c:v>43803</c:v>
                </c:pt>
                <c:pt idx="46">
                  <c:v>43808</c:v>
                </c:pt>
                <c:pt idx="47">
                  <c:v>43811</c:v>
                </c:pt>
                <c:pt idx="48">
                  <c:v>43815</c:v>
                </c:pt>
                <c:pt idx="49">
                  <c:v>43818</c:v>
                </c:pt>
                <c:pt idx="50">
                  <c:v>43837</c:v>
                </c:pt>
                <c:pt idx="51">
                  <c:v>43843</c:v>
                </c:pt>
                <c:pt idx="52">
                  <c:v>43850</c:v>
                </c:pt>
                <c:pt idx="53">
                  <c:v>43859</c:v>
                </c:pt>
                <c:pt idx="54">
                  <c:v>43865</c:v>
                </c:pt>
                <c:pt idx="55">
                  <c:v>43886</c:v>
                </c:pt>
                <c:pt idx="56">
                  <c:v>43970</c:v>
                </c:pt>
                <c:pt idx="57">
                  <c:v>43977</c:v>
                </c:pt>
                <c:pt idx="58">
                  <c:v>43999</c:v>
                </c:pt>
                <c:pt idx="59">
                  <c:v>44029</c:v>
                </c:pt>
                <c:pt idx="61">
                  <c:v>44082</c:v>
                </c:pt>
                <c:pt idx="63">
                  <c:v>44082</c:v>
                </c:pt>
                <c:pt idx="65">
                  <c:v>44140</c:v>
                </c:pt>
                <c:pt idx="66">
                  <c:v>44172</c:v>
                </c:pt>
                <c:pt idx="67">
                  <c:v>44229</c:v>
                </c:pt>
                <c:pt idx="69">
                  <c:v>44322</c:v>
                </c:pt>
                <c:pt idx="70">
                  <c:v>44357</c:v>
                </c:pt>
                <c:pt idx="71">
                  <c:v>44362</c:v>
                </c:pt>
                <c:pt idx="72">
                  <c:v>44369</c:v>
                </c:pt>
                <c:pt idx="73">
                  <c:v>44376</c:v>
                </c:pt>
                <c:pt idx="74">
                  <c:v>44400</c:v>
                </c:pt>
                <c:pt idx="75">
                  <c:v>44439</c:v>
                </c:pt>
                <c:pt idx="76">
                  <c:v>44474</c:v>
                </c:pt>
                <c:pt idx="77">
                  <c:v>44522</c:v>
                </c:pt>
                <c:pt idx="78">
                  <c:v>44531</c:v>
                </c:pt>
                <c:pt idx="79">
                  <c:v>44536</c:v>
                </c:pt>
                <c:pt idx="80">
                  <c:v>44543</c:v>
                </c:pt>
                <c:pt idx="81">
                  <c:v>44550</c:v>
                </c:pt>
                <c:pt idx="82">
                  <c:v>44572</c:v>
                </c:pt>
                <c:pt idx="83">
                  <c:v>44578</c:v>
                </c:pt>
                <c:pt idx="84">
                  <c:v>44595</c:v>
                </c:pt>
                <c:pt idx="85">
                  <c:v>44613</c:v>
                </c:pt>
                <c:pt idx="86">
                  <c:v>44648</c:v>
                </c:pt>
                <c:pt idx="87">
                  <c:v>44678</c:v>
                </c:pt>
                <c:pt idx="88">
                  <c:v>44711</c:v>
                </c:pt>
                <c:pt idx="89">
                  <c:v>44740</c:v>
                </c:pt>
                <c:pt idx="90">
                  <c:v>44767</c:v>
                </c:pt>
                <c:pt idx="91">
                  <c:v>44902</c:v>
                </c:pt>
                <c:pt idx="92">
                  <c:v>44915</c:v>
                </c:pt>
                <c:pt idx="93">
                  <c:v>44930</c:v>
                </c:pt>
                <c:pt idx="94">
                  <c:v>44945</c:v>
                </c:pt>
                <c:pt idx="95">
                  <c:v>44957</c:v>
                </c:pt>
                <c:pt idx="96">
                  <c:v>44988</c:v>
                </c:pt>
                <c:pt idx="97">
                  <c:v>45013</c:v>
                </c:pt>
              </c:numCache>
            </c:numRef>
          </c:xVal>
          <c:yVal>
            <c:numRef>
              <c:f>Convergences!$H$10:$H$136</c:f>
              <c:numCache>
                <c:formatCode>\+\ 0.0;\-\ 0.0;\±\ 0.0</c:formatCode>
                <c:ptCount val="127"/>
                <c:pt idx="0">
                  <c:v>0</c:v>
                </c:pt>
                <c:pt idx="1">
                  <c:v>-3.0461928053666654</c:v>
                </c:pt>
                <c:pt idx="2">
                  <c:v>-6.7706987234719129</c:v>
                </c:pt>
                <c:pt idx="3">
                  <c:v>-10.089534444457815</c:v>
                </c:pt>
                <c:pt idx="4">
                  <c:v>-19.907794568734705</c:v>
                </c:pt>
                <c:pt idx="5">
                  <c:v>-29.540049058172091</c:v>
                </c:pt>
                <c:pt idx="6">
                  <c:v>-36.447721587056222</c:v>
                </c:pt>
                <c:pt idx="7">
                  <c:v>-39.682739266638563</c:v>
                </c:pt>
                <c:pt idx="8">
                  <c:v>-40.7238931465983</c:v>
                </c:pt>
                <c:pt idx="11">
                  <c:v>-41.648522531379406</c:v>
                </c:pt>
                <c:pt idx="12">
                  <c:v>-43.643480790040989</c:v>
                </c:pt>
                <c:pt idx="13">
                  <c:v>-43.737542192888057</c:v>
                </c:pt>
                <c:pt idx="14">
                  <c:v>-46.050920757639616</c:v>
                </c:pt>
                <c:pt idx="15">
                  <c:v>-47.115374407733057</c:v>
                </c:pt>
                <c:pt idx="16">
                  <c:v>-48.796744309905549</c:v>
                </c:pt>
                <c:pt idx="17">
                  <c:v>-49.127489585126582</c:v>
                </c:pt>
                <c:pt idx="18">
                  <c:v>-49.742308212112007</c:v>
                </c:pt>
                <c:pt idx="19">
                  <c:v>-50.213873698138123</c:v>
                </c:pt>
                <c:pt idx="20">
                  <c:v>-51.168119710835569</c:v>
                </c:pt>
                <c:pt idx="21">
                  <c:v>-51.3872598382723</c:v>
                </c:pt>
                <c:pt idx="22">
                  <c:v>-52.56964981420964</c:v>
                </c:pt>
                <c:pt idx="23">
                  <c:v>-52.80842344204784</c:v>
                </c:pt>
                <c:pt idx="24">
                  <c:v>-53.306411143148495</c:v>
                </c:pt>
                <c:pt idx="25">
                  <c:v>-53.997099011891869</c:v>
                </c:pt>
                <c:pt idx="26">
                  <c:v>-54.497810062253734</c:v>
                </c:pt>
                <c:pt idx="27">
                  <c:v>-54.343222747908371</c:v>
                </c:pt>
                <c:pt idx="28">
                  <c:v>-54.78870500044053</c:v>
                </c:pt>
                <c:pt idx="29">
                  <c:v>-55.406661948750099</c:v>
                </c:pt>
                <c:pt idx="30">
                  <c:v>-55.699325308057993</c:v>
                </c:pt>
                <c:pt idx="31">
                  <c:v>-56.318223418109881</c:v>
                </c:pt>
                <c:pt idx="32">
                  <c:v>-55.792489950078576</c:v>
                </c:pt>
                <c:pt idx="33">
                  <c:v>-56.395272117373722</c:v>
                </c:pt>
                <c:pt idx="34">
                  <c:v>-56.230722952294698</c:v>
                </c:pt>
                <c:pt idx="35">
                  <c:v>-57.156891176289193</c:v>
                </c:pt>
                <c:pt idx="36">
                  <c:v>-57.892616825482968</c:v>
                </c:pt>
                <c:pt idx="37">
                  <c:v>-57.782551444534036</c:v>
                </c:pt>
                <c:pt idx="38">
                  <c:v>-57.828857721009982</c:v>
                </c:pt>
                <c:pt idx="39">
                  <c:v>-58.329550241734474</c:v>
                </c:pt>
                <c:pt idx="40">
                  <c:v>-58.219876016699871</c:v>
                </c:pt>
                <c:pt idx="41">
                  <c:v>-58.838622433486698</c:v>
                </c:pt>
                <c:pt idx="42">
                  <c:v>-59.412099088920641</c:v>
                </c:pt>
                <c:pt idx="43">
                  <c:v>-59.851990553006388</c:v>
                </c:pt>
                <c:pt idx="44">
                  <c:v>-60.218938345600215</c:v>
                </c:pt>
                <c:pt idx="45">
                  <c:v>-60.926475108071813</c:v>
                </c:pt>
                <c:pt idx="46">
                  <c:v>-60.956078790882273</c:v>
                </c:pt>
                <c:pt idx="47">
                  <c:v>-61.051922475170883</c:v>
                </c:pt>
                <c:pt idx="48">
                  <c:v>-61.116840950466766</c:v>
                </c:pt>
                <c:pt idx="49">
                  <c:v>-61.118255254718257</c:v>
                </c:pt>
                <c:pt idx="50">
                  <c:v>-62.397241888913598</c:v>
                </c:pt>
                <c:pt idx="51">
                  <c:v>-62.85781627789477</c:v>
                </c:pt>
                <c:pt idx="52">
                  <c:v>-62.774082579162283</c:v>
                </c:pt>
                <c:pt idx="53">
                  <c:v>-62.575739572474646</c:v>
                </c:pt>
                <c:pt idx="54">
                  <c:v>-63.02638546653894</c:v>
                </c:pt>
                <c:pt idx="55">
                  <c:v>-63.294565407765461</c:v>
                </c:pt>
                <c:pt idx="56">
                  <c:v>-63.954484054574934</c:v>
                </c:pt>
                <c:pt idx="57">
                  <c:v>-64.891054226807299</c:v>
                </c:pt>
                <c:pt idx="58">
                  <c:v>-64.642288502542385</c:v>
                </c:pt>
                <c:pt idx="59">
                  <c:v>-64.805449558403168</c:v>
                </c:pt>
                <c:pt idx="61">
                  <c:v>-65.478882688265742</c:v>
                </c:pt>
                <c:pt idx="63">
                  <c:v>-65.443226281089565</c:v>
                </c:pt>
                <c:pt idx="65">
                  <c:v>-65.443226281089565</c:v>
                </c:pt>
                <c:pt idx="66">
                  <c:v>-65.50406847065382</c:v>
                </c:pt>
                <c:pt idx="67">
                  <c:v>-65.934407332866925</c:v>
                </c:pt>
                <c:pt idx="69">
                  <c:v>-66.780394714462517</c:v>
                </c:pt>
                <c:pt idx="70">
                  <c:v>-67.151365525337965</c:v>
                </c:pt>
                <c:pt idx="71">
                  <c:v>-67.05102175640576</c:v>
                </c:pt>
                <c:pt idx="72">
                  <c:v>-67.423045759201102</c:v>
                </c:pt>
                <c:pt idx="73">
                  <c:v>-67.889016659636425</c:v>
                </c:pt>
                <c:pt idx="74">
                  <c:v>-68.262582022466944</c:v>
                </c:pt>
                <c:pt idx="75">
                  <c:v>-68.961468336396166</c:v>
                </c:pt>
                <c:pt idx="76">
                  <c:v>-69.248619076490499</c:v>
                </c:pt>
                <c:pt idx="77">
                  <c:v>-71.059620394483332</c:v>
                </c:pt>
                <c:pt idx="78">
                  <c:v>-70.9590072394315</c:v>
                </c:pt>
                <c:pt idx="79">
                  <c:v>-71.325725236432987</c:v>
                </c:pt>
                <c:pt idx="80">
                  <c:v>-71.655307629481257</c:v>
                </c:pt>
                <c:pt idx="81">
                  <c:v>-71.314325411877988</c:v>
                </c:pt>
                <c:pt idx="82">
                  <c:v>-71.857684248543663</c:v>
                </c:pt>
                <c:pt idx="83">
                  <c:v>-71.395762548206235</c:v>
                </c:pt>
                <c:pt idx="84">
                  <c:v>-71.427743800440709</c:v>
                </c:pt>
                <c:pt idx="85">
                  <c:v>-71.924740884096394</c:v>
                </c:pt>
                <c:pt idx="86">
                  <c:v>-72.187261913252428</c:v>
                </c:pt>
                <c:pt idx="87">
                  <c:v>-72.092141372970275</c:v>
                </c:pt>
                <c:pt idx="88">
                  <c:v>-72.294218023228666</c:v>
                </c:pt>
                <c:pt idx="89">
                  <c:v>-72.895231985228747</c:v>
                </c:pt>
                <c:pt idx="90">
                  <c:v>-73.187340104478253</c:v>
                </c:pt>
                <c:pt idx="91">
                  <c:v>-76.738270823129454</c:v>
                </c:pt>
                <c:pt idx="92">
                  <c:v>-76.810617871781787</c:v>
                </c:pt>
                <c:pt idx="93">
                  <c:v>-77.039607502945358</c:v>
                </c:pt>
                <c:pt idx="94">
                  <c:v>-77.173494872146094</c:v>
                </c:pt>
                <c:pt idx="95">
                  <c:v>-77.034658928504484</c:v>
                </c:pt>
                <c:pt idx="96">
                  <c:v>-77.40029212643762</c:v>
                </c:pt>
                <c:pt idx="97">
                  <c:v>-77.500901593683835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4838-4847-B495-9AA4100217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263384"/>
        <c:axId val="593262992"/>
      </c:scatterChart>
      <c:valAx>
        <c:axId val="593261032"/>
        <c:scaling>
          <c:orientation val="minMax"/>
          <c:max val="45043"/>
          <c:min val="4365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Date</a:t>
                </a:r>
              </a:p>
            </c:rich>
          </c:tx>
          <c:layout>
            <c:manualLayout>
              <c:xMode val="edge"/>
              <c:yMode val="edge"/>
              <c:x val="0.88909976285118764"/>
              <c:y val="0.864887774678397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dd\ /\ mm\ /\ yy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93259856"/>
        <c:crossesAt val="0"/>
        <c:crossBetween val="midCat"/>
        <c:majorUnit val="30"/>
      </c:valAx>
      <c:valAx>
        <c:axId val="593259856"/>
        <c:scaling>
          <c:orientation val="minMax"/>
          <c:max val="5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Convergence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\+\ 0.0;\-\ 0.0;\±\ 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93261032"/>
        <c:crosses val="autoZero"/>
        <c:crossBetween val="midCat"/>
        <c:majorUnit val="10"/>
        <c:minorUnit val="1"/>
      </c:valAx>
      <c:valAx>
        <c:axId val="593262992"/>
        <c:scaling>
          <c:orientation val="minMax"/>
          <c:max val="225"/>
          <c:min val="185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PM Front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\+\ 0.0;\-\ 0.0;\±\ 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93263384"/>
        <c:crosses val="max"/>
        <c:crossBetween val="midCat"/>
      </c:valAx>
      <c:valAx>
        <c:axId val="593263384"/>
        <c:scaling>
          <c:orientation val="minMax"/>
        </c:scaling>
        <c:delete val="0"/>
        <c:axPos val="t"/>
        <c:numFmt formatCode="dd\ /\ mm\ /\ yy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93262992"/>
        <c:crosses val="max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406910265609804"/>
          <c:y val="0.39900355509175589"/>
          <c:w val="0.59504908066063467"/>
          <c:h val="0.120626120363511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0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 alignWithMargins="0"/>
    <c:pageMargins b="0.98425196899999956" l="0.78740157499999996" r="0.78740157499999996" t="0.98425196899999956" header="0.4921259845000045" footer="0.4921259845000045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0">
              <a:defRPr lang="fr-FR" sz="1000" b="1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000" b="1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rPr>
              <a:t>Convergences
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7"/>
          <c:order val="0"/>
          <c:tx>
            <c:strRef>
              <c:f>Convergences!$D$9</c:f>
              <c:strCache>
                <c:ptCount val="1"/>
                <c:pt idx="0">
                  <c:v>BG</c:v>
                </c:pt>
              </c:strCache>
            </c:strRef>
          </c:tx>
          <c:spPr>
            <a:ln w="19050">
              <a:solidFill>
                <a:srgbClr val="00008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002060"/>
              </a:solidFill>
              <a:ln>
                <a:solidFill>
                  <a:srgbClr val="000080"/>
                </a:solidFill>
              </a:ln>
            </c:spPr>
          </c:marker>
          <c:xVal>
            <c:numRef>
              <c:f>Convergences!$C$10:$C$33</c:f>
              <c:numCache>
                <c:formatCode>0.0</c:formatCode>
                <c:ptCount val="24"/>
                <c:pt idx="0">
                  <c:v>2.25</c:v>
                </c:pt>
                <c:pt idx="1">
                  <c:v>2.25</c:v>
                </c:pt>
                <c:pt idx="2">
                  <c:v>3.2999999999999829</c:v>
                </c:pt>
                <c:pt idx="3">
                  <c:v>4.2699999999999818</c:v>
                </c:pt>
                <c:pt idx="4">
                  <c:v>5.3299999999999841</c:v>
                </c:pt>
                <c:pt idx="5">
                  <c:v>7.5999999999999943</c:v>
                </c:pt>
                <c:pt idx="6">
                  <c:v>9.1399999999999864</c:v>
                </c:pt>
                <c:pt idx="7">
                  <c:v>9.1399999999999864</c:v>
                </c:pt>
                <c:pt idx="8">
                  <c:v>9.7599999999999909</c:v>
                </c:pt>
                <c:pt idx="11">
                  <c:v>9.7599999999999909</c:v>
                </c:pt>
                <c:pt idx="12">
                  <c:v>10.900000000000006</c:v>
                </c:pt>
                <c:pt idx="13">
                  <c:v>10.900000000000006</c:v>
                </c:pt>
                <c:pt idx="14">
                  <c:v>11.5</c:v>
                </c:pt>
                <c:pt idx="15">
                  <c:v>12.449999999999989</c:v>
                </c:pt>
                <c:pt idx="16">
                  <c:v>13.299999999999983</c:v>
                </c:pt>
                <c:pt idx="17">
                  <c:v>14.400000000000006</c:v>
                </c:pt>
                <c:pt idx="18">
                  <c:v>15.5</c:v>
                </c:pt>
                <c:pt idx="19">
                  <c:v>16.699999999999989</c:v>
                </c:pt>
                <c:pt idx="20">
                  <c:v>18.680000000000007</c:v>
                </c:pt>
                <c:pt idx="21">
                  <c:v>19.699999999999989</c:v>
                </c:pt>
                <c:pt idx="22">
                  <c:v>19.699999999999989</c:v>
                </c:pt>
                <c:pt idx="23">
                  <c:v>22.419999999999987</c:v>
                </c:pt>
              </c:numCache>
            </c:numRef>
          </c:xVal>
          <c:yVal>
            <c:numRef>
              <c:f>Convergences!$D$10:$D$33</c:f>
              <c:numCache>
                <c:formatCode>\+\ 0.0;\-\ 0.0;\±\ 0.0</c:formatCode>
                <c:ptCount val="24"/>
                <c:pt idx="0">
                  <c:v>0</c:v>
                </c:pt>
                <c:pt idx="1">
                  <c:v>-3.3861598929387782</c:v>
                </c:pt>
                <c:pt idx="2">
                  <c:v>-6.2870565709856052</c:v>
                </c:pt>
                <c:pt idx="3">
                  <c:v>-9.9229837758638695</c:v>
                </c:pt>
                <c:pt idx="4">
                  <c:v>-19.79429363937335</c:v>
                </c:pt>
                <c:pt idx="5">
                  <c:v>-29.699711664441963</c:v>
                </c:pt>
                <c:pt idx="6">
                  <c:v>-33.771906097574522</c:v>
                </c:pt>
                <c:pt idx="7">
                  <c:v>-37.294385031607646</c:v>
                </c:pt>
                <c:pt idx="8">
                  <c:v>-39.035275795256119</c:v>
                </c:pt>
                <c:pt idx="11">
                  <c:v>-38.821662918817168</c:v>
                </c:pt>
                <c:pt idx="12">
                  <c:v>-42.548994855922118</c:v>
                </c:pt>
                <c:pt idx="13">
                  <c:v>-42.838061004795591</c:v>
                </c:pt>
                <c:pt idx="14">
                  <c:v>-45.762990946581539</c:v>
                </c:pt>
                <c:pt idx="15">
                  <c:v>-47.75328785513544</c:v>
                </c:pt>
                <c:pt idx="16">
                  <c:v>-48.854923844510623</c:v>
                </c:pt>
                <c:pt idx="17">
                  <c:v>-48.992036540123074</c:v>
                </c:pt>
                <c:pt idx="18">
                  <c:v>-49.688226700596694</c:v>
                </c:pt>
                <c:pt idx="19">
                  <c:v>-50.321646660178132</c:v>
                </c:pt>
                <c:pt idx="20">
                  <c:v>-51.272257965250922</c:v>
                </c:pt>
                <c:pt idx="21">
                  <c:v>-51.642935329772044</c:v>
                </c:pt>
                <c:pt idx="22">
                  <c:v>-52.635834081730337</c:v>
                </c:pt>
                <c:pt idx="23">
                  <c:v>-53.454128126629641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39-4C9C-8EA5-CD789C4FBCB4}"/>
            </c:ext>
          </c:extLst>
        </c:ser>
        <c:ser>
          <c:idx val="8"/>
          <c:order val="1"/>
          <c:tx>
            <c:strRef>
              <c:f>Convergences!$I$9</c:f>
              <c:strCache>
                <c:ptCount val="1"/>
                <c:pt idx="0">
                  <c:v>BD</c:v>
                </c:pt>
              </c:strCache>
            </c:strRef>
          </c:tx>
          <c:spPr>
            <a:ln w="19050">
              <a:solidFill>
                <a:srgbClr val="FF00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66CC"/>
              </a:solidFill>
              <a:ln>
                <a:noFill/>
              </a:ln>
            </c:spPr>
          </c:marker>
          <c:xVal>
            <c:numRef>
              <c:f>Convergences!$C$10:$C$33</c:f>
              <c:numCache>
                <c:formatCode>0.0</c:formatCode>
                <c:ptCount val="24"/>
                <c:pt idx="0">
                  <c:v>2.25</c:v>
                </c:pt>
                <c:pt idx="1">
                  <c:v>2.25</c:v>
                </c:pt>
                <c:pt idx="2">
                  <c:v>3.2999999999999829</c:v>
                </c:pt>
                <c:pt idx="3">
                  <c:v>4.2699999999999818</c:v>
                </c:pt>
                <c:pt idx="4">
                  <c:v>5.3299999999999841</c:v>
                </c:pt>
                <c:pt idx="5">
                  <c:v>7.5999999999999943</c:v>
                </c:pt>
                <c:pt idx="6">
                  <c:v>9.1399999999999864</c:v>
                </c:pt>
                <c:pt idx="7">
                  <c:v>9.1399999999999864</c:v>
                </c:pt>
                <c:pt idx="8">
                  <c:v>9.7599999999999909</c:v>
                </c:pt>
                <c:pt idx="11">
                  <c:v>9.7599999999999909</c:v>
                </c:pt>
                <c:pt idx="12">
                  <c:v>10.900000000000006</c:v>
                </c:pt>
                <c:pt idx="13">
                  <c:v>10.900000000000006</c:v>
                </c:pt>
                <c:pt idx="14">
                  <c:v>11.5</c:v>
                </c:pt>
                <c:pt idx="15">
                  <c:v>12.449999999999989</c:v>
                </c:pt>
                <c:pt idx="16">
                  <c:v>13.299999999999983</c:v>
                </c:pt>
                <c:pt idx="17">
                  <c:v>14.400000000000006</c:v>
                </c:pt>
                <c:pt idx="18">
                  <c:v>15.5</c:v>
                </c:pt>
                <c:pt idx="19">
                  <c:v>16.699999999999989</c:v>
                </c:pt>
                <c:pt idx="20">
                  <c:v>18.680000000000007</c:v>
                </c:pt>
                <c:pt idx="21">
                  <c:v>19.699999999999989</c:v>
                </c:pt>
                <c:pt idx="22">
                  <c:v>19.699999999999989</c:v>
                </c:pt>
                <c:pt idx="23">
                  <c:v>22.419999999999987</c:v>
                </c:pt>
              </c:numCache>
            </c:numRef>
          </c:xVal>
          <c:yVal>
            <c:numRef>
              <c:f>Convergences!$I$10:$I$33</c:f>
              <c:numCache>
                <c:formatCode>\+\ 0.0;\-\ 0.0;\±\ 0.0</c:formatCode>
                <c:ptCount val="24"/>
                <c:pt idx="0">
                  <c:v>0</c:v>
                </c:pt>
                <c:pt idx="1">
                  <c:v>-3.4759715933869728</c:v>
                </c:pt>
                <c:pt idx="2">
                  <c:v>-7.3156898894382039</c:v>
                </c:pt>
                <c:pt idx="3">
                  <c:v>-11.102121895008921</c:v>
                </c:pt>
                <c:pt idx="4">
                  <c:v>0</c:v>
                </c:pt>
                <c:pt idx="5">
                  <c:v>-4.1570054842123838</c:v>
                </c:pt>
                <c:pt idx="6">
                  <c:v>-11.097913267517967</c:v>
                </c:pt>
                <c:pt idx="7">
                  <c:v>-15.095207300314328</c:v>
                </c:pt>
                <c:pt idx="8">
                  <c:v>-17.01105770440936</c:v>
                </c:pt>
                <c:pt idx="11">
                  <c:v>-17.388472417135148</c:v>
                </c:pt>
                <c:pt idx="12">
                  <c:v>-20.300814399096367</c:v>
                </c:pt>
                <c:pt idx="13">
                  <c:v>-21.057473299481266</c:v>
                </c:pt>
                <c:pt idx="14">
                  <c:v>-23.267872960357927</c:v>
                </c:pt>
                <c:pt idx="15">
                  <c:v>-24.892777605102445</c:v>
                </c:pt>
                <c:pt idx="16">
                  <c:v>-26.581531179000528</c:v>
                </c:pt>
                <c:pt idx="17">
                  <c:v>-26.962364245949111</c:v>
                </c:pt>
                <c:pt idx="18">
                  <c:v>-27.696400722714287</c:v>
                </c:pt>
                <c:pt idx="19">
                  <c:v>-28.245104484067696</c:v>
                </c:pt>
                <c:pt idx="20">
                  <c:v>-29.051688512576668</c:v>
                </c:pt>
                <c:pt idx="21">
                  <c:v>-29.48108891102752</c:v>
                </c:pt>
                <c:pt idx="23">
                  <c:v>-31.114230587306224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39-4C9C-8EA5-CD789C4FBCB4}"/>
            </c:ext>
          </c:extLst>
        </c:ser>
        <c:ser>
          <c:idx val="9"/>
          <c:order val="2"/>
          <c:tx>
            <c:strRef>
              <c:f>Convergences!$L$9</c:f>
              <c:strCache>
                <c:ptCount val="1"/>
                <c:pt idx="0">
                  <c:v>LB</c:v>
                </c:pt>
              </c:strCache>
            </c:strRef>
          </c:tx>
          <c:spPr>
            <a:ln w="19050">
              <a:solidFill>
                <a:srgbClr val="00FF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FF00"/>
              </a:solidFill>
              <a:ln>
                <a:noFill/>
              </a:ln>
            </c:spPr>
          </c:marker>
          <c:xVal>
            <c:numRef>
              <c:f>Convergences!$C$10:$C$33</c:f>
              <c:numCache>
                <c:formatCode>0.0</c:formatCode>
                <c:ptCount val="24"/>
                <c:pt idx="0">
                  <c:v>2.25</c:v>
                </c:pt>
                <c:pt idx="1">
                  <c:v>2.25</c:v>
                </c:pt>
                <c:pt idx="2">
                  <c:v>3.2999999999999829</c:v>
                </c:pt>
                <c:pt idx="3">
                  <c:v>4.2699999999999818</c:v>
                </c:pt>
                <c:pt idx="4">
                  <c:v>5.3299999999999841</c:v>
                </c:pt>
                <c:pt idx="5">
                  <c:v>7.5999999999999943</c:v>
                </c:pt>
                <c:pt idx="6">
                  <c:v>9.1399999999999864</c:v>
                </c:pt>
                <c:pt idx="7">
                  <c:v>9.1399999999999864</c:v>
                </c:pt>
                <c:pt idx="8">
                  <c:v>9.7599999999999909</c:v>
                </c:pt>
                <c:pt idx="11">
                  <c:v>9.7599999999999909</c:v>
                </c:pt>
                <c:pt idx="12">
                  <c:v>10.900000000000006</c:v>
                </c:pt>
                <c:pt idx="13">
                  <c:v>10.900000000000006</c:v>
                </c:pt>
                <c:pt idx="14">
                  <c:v>11.5</c:v>
                </c:pt>
                <c:pt idx="15">
                  <c:v>12.449999999999989</c:v>
                </c:pt>
                <c:pt idx="16">
                  <c:v>13.299999999999983</c:v>
                </c:pt>
                <c:pt idx="17">
                  <c:v>14.400000000000006</c:v>
                </c:pt>
                <c:pt idx="18">
                  <c:v>15.5</c:v>
                </c:pt>
                <c:pt idx="19">
                  <c:v>16.699999999999989</c:v>
                </c:pt>
                <c:pt idx="20">
                  <c:v>18.680000000000007</c:v>
                </c:pt>
                <c:pt idx="21">
                  <c:v>19.699999999999989</c:v>
                </c:pt>
                <c:pt idx="22">
                  <c:v>19.699999999999989</c:v>
                </c:pt>
                <c:pt idx="23">
                  <c:v>22.419999999999987</c:v>
                </c:pt>
              </c:numCache>
            </c:numRef>
          </c:xVal>
          <c:yVal>
            <c:numRef>
              <c:f>Convergences!$L$10:$L$33</c:f>
              <c:numCache>
                <c:formatCode>\+\ 0.0;\-\ 0.0;\±\ 0.0</c:formatCode>
                <c:ptCount val="24"/>
                <c:pt idx="0">
                  <c:v>0</c:v>
                </c:pt>
                <c:pt idx="1">
                  <c:v>-0.328897405066364</c:v>
                </c:pt>
                <c:pt idx="2">
                  <c:v>-2.1102207253713701</c:v>
                </c:pt>
                <c:pt idx="3">
                  <c:v>-3.515555119186331</c:v>
                </c:pt>
                <c:pt idx="4">
                  <c:v>-5.5004710756874076</c:v>
                </c:pt>
                <c:pt idx="5">
                  <c:v>-9.6760963708995007</c:v>
                </c:pt>
                <c:pt idx="6">
                  <c:v>-10.63118338695368</c:v>
                </c:pt>
                <c:pt idx="7">
                  <c:v>-12.384220769001253</c:v>
                </c:pt>
                <c:pt idx="8">
                  <c:v>-13.206324020437421</c:v>
                </c:pt>
                <c:pt idx="11">
                  <c:v>-12.334384147847821</c:v>
                </c:pt>
                <c:pt idx="12">
                  <c:v>-13.599554594438068</c:v>
                </c:pt>
                <c:pt idx="13">
                  <c:v>-14.038067218592687</c:v>
                </c:pt>
                <c:pt idx="14">
                  <c:v>-14.637981533505595</c:v>
                </c:pt>
                <c:pt idx="15">
                  <c:v>-15.970953924405507</c:v>
                </c:pt>
                <c:pt idx="16">
                  <c:v>-15.770938828596037</c:v>
                </c:pt>
                <c:pt idx="17">
                  <c:v>-16.020299203366228</c:v>
                </c:pt>
                <c:pt idx="18">
                  <c:v>-16.245436940742763</c:v>
                </c:pt>
                <c:pt idx="19">
                  <c:v>-16.033600737795695</c:v>
                </c:pt>
                <c:pt idx="20">
                  <c:v>-16.97905418108725</c:v>
                </c:pt>
                <c:pt idx="21">
                  <c:v>-17.064309712707448</c:v>
                </c:pt>
                <c:pt idx="23">
                  <c:v>-18.433312060822438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A39-4C9C-8EA5-CD789C4FBCB4}"/>
            </c:ext>
          </c:extLst>
        </c:ser>
        <c:ser>
          <c:idx val="10"/>
          <c:order val="3"/>
          <c:tx>
            <c:strRef>
              <c:f>Convergences!$F$9</c:f>
              <c:strCache>
                <c:ptCount val="1"/>
                <c:pt idx="0">
                  <c:v>HG</c:v>
                </c:pt>
              </c:strCache>
            </c:strRef>
          </c:tx>
          <c:spPr>
            <a:ln w="19050">
              <a:solidFill>
                <a:srgbClr val="66CC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66CCFF"/>
              </a:solidFill>
              <a:ln>
                <a:noFill/>
              </a:ln>
            </c:spPr>
          </c:marker>
          <c:xVal>
            <c:numRef>
              <c:f>Convergences!$C$10:$C$33</c:f>
              <c:numCache>
                <c:formatCode>0.0</c:formatCode>
                <c:ptCount val="24"/>
                <c:pt idx="0">
                  <c:v>2.25</c:v>
                </c:pt>
                <c:pt idx="1">
                  <c:v>2.25</c:v>
                </c:pt>
                <c:pt idx="2">
                  <c:v>3.2999999999999829</c:v>
                </c:pt>
                <c:pt idx="3">
                  <c:v>4.2699999999999818</c:v>
                </c:pt>
                <c:pt idx="4">
                  <c:v>5.3299999999999841</c:v>
                </c:pt>
                <c:pt idx="5">
                  <c:v>7.5999999999999943</c:v>
                </c:pt>
                <c:pt idx="6">
                  <c:v>9.1399999999999864</c:v>
                </c:pt>
                <c:pt idx="7">
                  <c:v>9.1399999999999864</c:v>
                </c:pt>
                <c:pt idx="8">
                  <c:v>9.7599999999999909</c:v>
                </c:pt>
                <c:pt idx="11">
                  <c:v>9.7599999999999909</c:v>
                </c:pt>
                <c:pt idx="12">
                  <c:v>10.900000000000006</c:v>
                </c:pt>
                <c:pt idx="13">
                  <c:v>10.900000000000006</c:v>
                </c:pt>
                <c:pt idx="14">
                  <c:v>11.5</c:v>
                </c:pt>
                <c:pt idx="15">
                  <c:v>12.449999999999989</c:v>
                </c:pt>
                <c:pt idx="16">
                  <c:v>13.299999999999983</c:v>
                </c:pt>
                <c:pt idx="17">
                  <c:v>14.400000000000006</c:v>
                </c:pt>
                <c:pt idx="18">
                  <c:v>15.5</c:v>
                </c:pt>
                <c:pt idx="19">
                  <c:v>16.699999999999989</c:v>
                </c:pt>
                <c:pt idx="20">
                  <c:v>18.680000000000007</c:v>
                </c:pt>
                <c:pt idx="21">
                  <c:v>19.699999999999989</c:v>
                </c:pt>
                <c:pt idx="22">
                  <c:v>19.699999999999989</c:v>
                </c:pt>
                <c:pt idx="23">
                  <c:v>22.419999999999987</c:v>
                </c:pt>
              </c:numCache>
            </c:numRef>
          </c:xVal>
          <c:yVal>
            <c:numRef>
              <c:f>Convergences!$F$10:$F$33</c:f>
              <c:numCache>
                <c:formatCode>\+\ 0.0;\-\ 0.0;\±\ 0.0</c:formatCode>
                <c:ptCount val="24"/>
                <c:pt idx="0">
                  <c:v>0</c:v>
                </c:pt>
                <c:pt idx="1">
                  <c:v>-2.2412707867007775</c:v>
                </c:pt>
                <c:pt idx="2">
                  <c:v>-3.132955882261701</c:v>
                </c:pt>
                <c:pt idx="3">
                  <c:v>-5.0672580853650118</c:v>
                </c:pt>
                <c:pt idx="4">
                  <c:v>-9.1104497175948929</c:v>
                </c:pt>
                <c:pt idx="6">
                  <c:v>-15.643332080867767</c:v>
                </c:pt>
                <c:pt idx="7">
                  <c:v>-17.385591301754211</c:v>
                </c:pt>
                <c:pt idx="8">
                  <c:v>-19.674394205298597</c:v>
                </c:pt>
                <c:pt idx="11">
                  <c:v>-19.745018418819928</c:v>
                </c:pt>
                <c:pt idx="12">
                  <c:v>-21.962369299894704</c:v>
                </c:pt>
                <c:pt idx="13">
                  <c:v>-22.367276517116565</c:v>
                </c:pt>
                <c:pt idx="14">
                  <c:v>-24.06079221625146</c:v>
                </c:pt>
                <c:pt idx="15">
                  <c:v>-25.11802293690635</c:v>
                </c:pt>
                <c:pt idx="16">
                  <c:v>-25.788591815847585</c:v>
                </c:pt>
                <c:pt idx="17">
                  <c:v>-25.59561922615017</c:v>
                </c:pt>
                <c:pt idx="18">
                  <c:v>-25.952196205908386</c:v>
                </c:pt>
                <c:pt idx="19">
                  <c:v>-26.276989563467136</c:v>
                </c:pt>
                <c:pt idx="20">
                  <c:v>-26.544421336270887</c:v>
                </c:pt>
                <c:pt idx="21">
                  <c:v>-26.764918557547148</c:v>
                </c:pt>
                <c:pt idx="22">
                  <c:v>-27.266788465775573</c:v>
                </c:pt>
                <c:pt idx="23">
                  <c:v>-27.971003231267446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A39-4C9C-8EA5-CD789C4FBCB4}"/>
            </c:ext>
          </c:extLst>
        </c:ser>
        <c:ser>
          <c:idx val="11"/>
          <c:order val="4"/>
          <c:tx>
            <c:strRef>
              <c:f>Convergences!$G$9</c:f>
              <c:strCache>
                <c:ptCount val="1"/>
                <c:pt idx="0">
                  <c:v>HD</c:v>
                </c:pt>
              </c:strCache>
            </c:strRef>
          </c:tx>
          <c:spPr>
            <a:ln w="19050">
              <a:solidFill>
                <a:schemeClr val="accent6">
                  <a:lumMod val="75000"/>
                </a:schemeClr>
              </a:solidFill>
              <a:prstDash val="solid"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xVal>
            <c:numRef>
              <c:f>Convergences!$C$10:$C$33</c:f>
              <c:numCache>
                <c:formatCode>0.0</c:formatCode>
                <c:ptCount val="24"/>
                <c:pt idx="0">
                  <c:v>2.25</c:v>
                </c:pt>
                <c:pt idx="1">
                  <c:v>2.25</c:v>
                </c:pt>
                <c:pt idx="2">
                  <c:v>3.2999999999999829</c:v>
                </c:pt>
                <c:pt idx="3">
                  <c:v>4.2699999999999818</c:v>
                </c:pt>
                <c:pt idx="4">
                  <c:v>5.3299999999999841</c:v>
                </c:pt>
                <c:pt idx="5">
                  <c:v>7.5999999999999943</c:v>
                </c:pt>
                <c:pt idx="6">
                  <c:v>9.1399999999999864</c:v>
                </c:pt>
                <c:pt idx="7">
                  <c:v>9.1399999999999864</c:v>
                </c:pt>
                <c:pt idx="8">
                  <c:v>9.7599999999999909</c:v>
                </c:pt>
                <c:pt idx="11">
                  <c:v>9.7599999999999909</c:v>
                </c:pt>
                <c:pt idx="12">
                  <c:v>10.900000000000006</c:v>
                </c:pt>
                <c:pt idx="13">
                  <c:v>10.900000000000006</c:v>
                </c:pt>
                <c:pt idx="14">
                  <c:v>11.5</c:v>
                </c:pt>
                <c:pt idx="15">
                  <c:v>12.449999999999989</c:v>
                </c:pt>
                <c:pt idx="16">
                  <c:v>13.299999999999983</c:v>
                </c:pt>
                <c:pt idx="17">
                  <c:v>14.400000000000006</c:v>
                </c:pt>
                <c:pt idx="18">
                  <c:v>15.5</c:v>
                </c:pt>
                <c:pt idx="19">
                  <c:v>16.699999999999989</c:v>
                </c:pt>
                <c:pt idx="20">
                  <c:v>18.680000000000007</c:v>
                </c:pt>
                <c:pt idx="21">
                  <c:v>19.699999999999989</c:v>
                </c:pt>
                <c:pt idx="22">
                  <c:v>19.699999999999989</c:v>
                </c:pt>
                <c:pt idx="23">
                  <c:v>22.419999999999987</c:v>
                </c:pt>
              </c:numCache>
            </c:numRef>
          </c:xVal>
          <c:yVal>
            <c:numRef>
              <c:f>Convergences!$G$10:$G$33</c:f>
              <c:numCache>
                <c:formatCode>\+\ 0.0;\-\ 0.0;\±\ 0.0</c:formatCode>
                <c:ptCount val="24"/>
                <c:pt idx="0">
                  <c:v>0</c:v>
                </c:pt>
                <c:pt idx="1">
                  <c:v>-0.78323330531504531</c:v>
                </c:pt>
                <c:pt idx="2">
                  <c:v>-1.7363126222160741</c:v>
                </c:pt>
                <c:pt idx="3">
                  <c:v>-2.8214405081936622</c:v>
                </c:pt>
                <c:pt idx="4">
                  <c:v>-5.336098170271919</c:v>
                </c:pt>
                <c:pt idx="5">
                  <c:v>-8.7989674370088089</c:v>
                </c:pt>
                <c:pt idx="6">
                  <c:v>-12.888754040982997</c:v>
                </c:pt>
                <c:pt idx="7">
                  <c:v>-15.245143915110893</c:v>
                </c:pt>
                <c:pt idx="8">
                  <c:v>-17.795136219741934</c:v>
                </c:pt>
                <c:pt idx="11">
                  <c:v>-18.930237794595236</c:v>
                </c:pt>
                <c:pt idx="12">
                  <c:v>-19.396682385435902</c:v>
                </c:pt>
                <c:pt idx="13">
                  <c:v>-19.254993292896039</c:v>
                </c:pt>
                <c:pt idx="14">
                  <c:v>-20.065804698703225</c:v>
                </c:pt>
                <c:pt idx="15">
                  <c:v>-20.647980549946208</c:v>
                </c:pt>
                <c:pt idx="16">
                  <c:v>-13.418220616602248</c:v>
                </c:pt>
                <c:pt idx="17">
                  <c:v>-13.548801601496184</c:v>
                </c:pt>
                <c:pt idx="18">
                  <c:v>-13.788957567158143</c:v>
                </c:pt>
                <c:pt idx="19">
                  <c:v>-13.829187726146939</c:v>
                </c:pt>
                <c:pt idx="20">
                  <c:v>-14.338604172213552</c:v>
                </c:pt>
                <c:pt idx="21">
                  <c:v>-14.339582229073276</c:v>
                </c:pt>
                <c:pt idx="22">
                  <c:v>-15.060861839492954</c:v>
                </c:pt>
                <c:pt idx="23">
                  <c:v>-15.053343550537555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A39-4C9C-8EA5-CD789C4FBCB4}"/>
            </c:ext>
          </c:extLst>
        </c:ser>
        <c:ser>
          <c:idx val="12"/>
          <c:order val="5"/>
          <c:tx>
            <c:strRef>
              <c:f>Convergences!$J$9</c:f>
              <c:strCache>
                <c:ptCount val="1"/>
                <c:pt idx="0">
                  <c:v>LH</c:v>
                </c:pt>
              </c:strCache>
            </c:strRef>
          </c:tx>
          <c:spPr>
            <a:ln w="1905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noFill/>
              </a:ln>
            </c:spPr>
          </c:marker>
          <c:xVal>
            <c:numRef>
              <c:f>Convergences!$C$10:$C$33</c:f>
              <c:numCache>
                <c:formatCode>0.0</c:formatCode>
                <c:ptCount val="24"/>
                <c:pt idx="0">
                  <c:v>2.25</c:v>
                </c:pt>
                <c:pt idx="1">
                  <c:v>2.25</c:v>
                </c:pt>
                <c:pt idx="2">
                  <c:v>3.2999999999999829</c:v>
                </c:pt>
                <c:pt idx="3">
                  <c:v>4.2699999999999818</c:v>
                </c:pt>
                <c:pt idx="4">
                  <c:v>5.3299999999999841</c:v>
                </c:pt>
                <c:pt idx="5">
                  <c:v>7.5999999999999943</c:v>
                </c:pt>
                <c:pt idx="6">
                  <c:v>9.1399999999999864</c:v>
                </c:pt>
                <c:pt idx="7">
                  <c:v>9.1399999999999864</c:v>
                </c:pt>
                <c:pt idx="8">
                  <c:v>9.7599999999999909</c:v>
                </c:pt>
                <c:pt idx="11">
                  <c:v>9.7599999999999909</c:v>
                </c:pt>
                <c:pt idx="12">
                  <c:v>10.900000000000006</c:v>
                </c:pt>
                <c:pt idx="13">
                  <c:v>10.900000000000006</c:v>
                </c:pt>
                <c:pt idx="14">
                  <c:v>11.5</c:v>
                </c:pt>
                <c:pt idx="15">
                  <c:v>12.449999999999989</c:v>
                </c:pt>
                <c:pt idx="16">
                  <c:v>13.299999999999983</c:v>
                </c:pt>
                <c:pt idx="17">
                  <c:v>14.400000000000006</c:v>
                </c:pt>
                <c:pt idx="18">
                  <c:v>15.5</c:v>
                </c:pt>
                <c:pt idx="19">
                  <c:v>16.699999999999989</c:v>
                </c:pt>
                <c:pt idx="20">
                  <c:v>18.680000000000007</c:v>
                </c:pt>
                <c:pt idx="21">
                  <c:v>19.699999999999989</c:v>
                </c:pt>
                <c:pt idx="22">
                  <c:v>19.699999999999989</c:v>
                </c:pt>
                <c:pt idx="23">
                  <c:v>22.419999999999987</c:v>
                </c:pt>
              </c:numCache>
            </c:numRef>
          </c:xVal>
          <c:yVal>
            <c:numRef>
              <c:f>Convergences!$J$10:$J$33</c:f>
              <c:numCache>
                <c:formatCode>\+\ 0.0;\-\ 0.0;\±\ 0.0</c:formatCode>
                <c:ptCount val="24"/>
                <c:pt idx="0">
                  <c:v>0</c:v>
                </c:pt>
                <c:pt idx="1">
                  <c:v>-0.97288839341169719</c:v>
                </c:pt>
                <c:pt idx="2">
                  <c:v>-1.495231750157977</c:v>
                </c:pt>
                <c:pt idx="3">
                  <c:v>-2.8821026034662189</c:v>
                </c:pt>
                <c:pt idx="4">
                  <c:v>-4.6545208024957319</c:v>
                </c:pt>
                <c:pt idx="6">
                  <c:v>-11.569012375588272</c:v>
                </c:pt>
                <c:pt idx="7">
                  <c:v>-13.836230911248748</c:v>
                </c:pt>
                <c:pt idx="8">
                  <c:v>-17.38011969286779</c:v>
                </c:pt>
                <c:pt idx="11">
                  <c:v>-18.417032105364939</c:v>
                </c:pt>
                <c:pt idx="12">
                  <c:v>-19.402002575911403</c:v>
                </c:pt>
                <c:pt idx="13">
                  <c:v>-19.517157594520107</c:v>
                </c:pt>
                <c:pt idx="14">
                  <c:v>-20.848952207926708</c:v>
                </c:pt>
                <c:pt idx="15">
                  <c:v>-21.806193017630093</c:v>
                </c:pt>
                <c:pt idx="16">
                  <c:v>-18.25114850710019</c:v>
                </c:pt>
                <c:pt idx="17">
                  <c:v>-17.891569523455164</c:v>
                </c:pt>
                <c:pt idx="18">
                  <c:v>-18.208550667762058</c:v>
                </c:pt>
                <c:pt idx="19">
                  <c:v>-18.330631216342486</c:v>
                </c:pt>
                <c:pt idx="20">
                  <c:v>-18.757303706634865</c:v>
                </c:pt>
                <c:pt idx="21">
                  <c:v>-18.732237216117387</c:v>
                </c:pt>
                <c:pt idx="22">
                  <c:v>-19.482584665324598</c:v>
                </c:pt>
                <c:pt idx="23">
                  <c:v>-20.023001858349598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A39-4C9C-8EA5-CD789C4FBCB4}"/>
            </c:ext>
          </c:extLst>
        </c:ser>
        <c:ser>
          <c:idx val="13"/>
          <c:order val="6"/>
          <c:tx>
            <c:strRef>
              <c:f>Convergences!$E$9</c:f>
              <c:strCache>
                <c:ptCount val="1"/>
                <c:pt idx="0">
                  <c:v>IG</c:v>
                </c:pt>
              </c:strCache>
            </c:strRef>
          </c:tx>
          <c:spPr>
            <a:ln w="19050">
              <a:solidFill>
                <a:srgbClr val="969696"/>
              </a:solidFill>
            </a:ln>
          </c:spPr>
          <c:marker>
            <c:symbol val="circle"/>
            <c:size val="5"/>
            <c:spPr>
              <a:solidFill>
                <a:srgbClr val="969696"/>
              </a:solidFill>
              <a:ln>
                <a:noFill/>
              </a:ln>
            </c:spPr>
          </c:marker>
          <c:xVal>
            <c:numRef>
              <c:f>Convergences!$C$10:$C$33</c:f>
              <c:numCache>
                <c:formatCode>0.0</c:formatCode>
                <c:ptCount val="24"/>
                <c:pt idx="0">
                  <c:v>2.25</c:v>
                </c:pt>
                <c:pt idx="1">
                  <c:v>2.25</c:v>
                </c:pt>
                <c:pt idx="2">
                  <c:v>3.2999999999999829</c:v>
                </c:pt>
                <c:pt idx="3">
                  <c:v>4.2699999999999818</c:v>
                </c:pt>
                <c:pt idx="4">
                  <c:v>5.3299999999999841</c:v>
                </c:pt>
                <c:pt idx="5">
                  <c:v>7.5999999999999943</c:v>
                </c:pt>
                <c:pt idx="6">
                  <c:v>9.1399999999999864</c:v>
                </c:pt>
                <c:pt idx="7">
                  <c:v>9.1399999999999864</c:v>
                </c:pt>
                <c:pt idx="8">
                  <c:v>9.7599999999999909</c:v>
                </c:pt>
                <c:pt idx="11">
                  <c:v>9.7599999999999909</c:v>
                </c:pt>
                <c:pt idx="12">
                  <c:v>10.900000000000006</c:v>
                </c:pt>
                <c:pt idx="13">
                  <c:v>10.900000000000006</c:v>
                </c:pt>
                <c:pt idx="14">
                  <c:v>11.5</c:v>
                </c:pt>
                <c:pt idx="15">
                  <c:v>12.449999999999989</c:v>
                </c:pt>
                <c:pt idx="16">
                  <c:v>13.299999999999983</c:v>
                </c:pt>
                <c:pt idx="17">
                  <c:v>14.400000000000006</c:v>
                </c:pt>
                <c:pt idx="18">
                  <c:v>15.5</c:v>
                </c:pt>
                <c:pt idx="19">
                  <c:v>16.699999999999989</c:v>
                </c:pt>
                <c:pt idx="20">
                  <c:v>18.680000000000007</c:v>
                </c:pt>
                <c:pt idx="21">
                  <c:v>19.699999999999989</c:v>
                </c:pt>
                <c:pt idx="22">
                  <c:v>19.699999999999989</c:v>
                </c:pt>
                <c:pt idx="23">
                  <c:v>22.419999999999987</c:v>
                </c:pt>
              </c:numCache>
            </c:numRef>
          </c:xVal>
          <c:yVal>
            <c:numRef>
              <c:f>Convergences!$E$10:$E$33</c:f>
              <c:numCache>
                <c:formatCode>\+\ 0.0;\-\ 0.0;\±\ 0.0</c:formatCode>
                <c:ptCount val="24"/>
                <c:pt idx="0">
                  <c:v>0</c:v>
                </c:pt>
                <c:pt idx="1">
                  <c:v>-3.2880461720137255</c:v>
                </c:pt>
                <c:pt idx="2">
                  <c:v>-5.399668439002081</c:v>
                </c:pt>
                <c:pt idx="3">
                  <c:v>-8.4988295520465051</c:v>
                </c:pt>
                <c:pt idx="4">
                  <c:v>-16.867969949094341</c:v>
                </c:pt>
                <c:pt idx="5">
                  <c:v>-25.180447141104345</c:v>
                </c:pt>
                <c:pt idx="6">
                  <c:v>-28.188657568936737</c:v>
                </c:pt>
                <c:pt idx="7">
                  <c:v>-31.394687220394069</c:v>
                </c:pt>
                <c:pt idx="8">
                  <c:v>-32.867686724067369</c:v>
                </c:pt>
                <c:pt idx="11">
                  <c:v>-32.932116189466228</c:v>
                </c:pt>
                <c:pt idx="12">
                  <c:v>-36.170742512409149</c:v>
                </c:pt>
                <c:pt idx="13">
                  <c:v>-36.451970471715889</c:v>
                </c:pt>
                <c:pt idx="14">
                  <c:v>-38.766849677605023</c:v>
                </c:pt>
                <c:pt idx="15">
                  <c:v>-40.646144974466395</c:v>
                </c:pt>
                <c:pt idx="16">
                  <c:v>-41.430325421527584</c:v>
                </c:pt>
                <c:pt idx="17">
                  <c:v>-41.367216230823622</c:v>
                </c:pt>
                <c:pt idx="18">
                  <c:v>-42.08975627170819</c:v>
                </c:pt>
                <c:pt idx="19">
                  <c:v>-42.71692333634158</c:v>
                </c:pt>
                <c:pt idx="20">
                  <c:v>-43.188998278321122</c:v>
                </c:pt>
                <c:pt idx="21">
                  <c:v>-43.437466883351036</c:v>
                </c:pt>
                <c:pt idx="22">
                  <c:v>-44.387046048838918</c:v>
                </c:pt>
                <c:pt idx="23">
                  <c:v>-45.114949194713816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A39-4C9C-8EA5-CD789C4FBCB4}"/>
            </c:ext>
          </c:extLst>
        </c:ser>
        <c:ser>
          <c:idx val="14"/>
          <c:order val="7"/>
          <c:tx>
            <c:strRef>
              <c:f>Convergences!$K$9</c:f>
              <c:strCache>
                <c:ptCount val="1"/>
                <c:pt idx="0">
                  <c:v>LI</c:v>
                </c:pt>
              </c:strCache>
            </c:strRef>
          </c:tx>
          <c:spPr>
            <a:ln w="19050">
              <a:solidFill>
                <a:schemeClr val="accent3">
                  <a:lumMod val="75000"/>
                </a:schemeClr>
              </a:solidFill>
            </a:ln>
          </c:spPr>
          <c:marker>
            <c:symbol val="circle"/>
            <c:size val="5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Convergences!$C$10:$C$33</c:f>
              <c:numCache>
                <c:formatCode>0.0</c:formatCode>
                <c:ptCount val="24"/>
                <c:pt idx="0">
                  <c:v>2.25</c:v>
                </c:pt>
                <c:pt idx="1">
                  <c:v>2.25</c:v>
                </c:pt>
                <c:pt idx="2">
                  <c:v>3.2999999999999829</c:v>
                </c:pt>
                <c:pt idx="3">
                  <c:v>4.2699999999999818</c:v>
                </c:pt>
                <c:pt idx="4">
                  <c:v>5.3299999999999841</c:v>
                </c:pt>
                <c:pt idx="5">
                  <c:v>7.5999999999999943</c:v>
                </c:pt>
                <c:pt idx="6">
                  <c:v>9.1399999999999864</c:v>
                </c:pt>
                <c:pt idx="7">
                  <c:v>9.1399999999999864</c:v>
                </c:pt>
                <c:pt idx="8">
                  <c:v>9.7599999999999909</c:v>
                </c:pt>
                <c:pt idx="11">
                  <c:v>9.7599999999999909</c:v>
                </c:pt>
                <c:pt idx="12">
                  <c:v>10.900000000000006</c:v>
                </c:pt>
                <c:pt idx="13">
                  <c:v>10.900000000000006</c:v>
                </c:pt>
                <c:pt idx="14">
                  <c:v>11.5</c:v>
                </c:pt>
                <c:pt idx="15">
                  <c:v>12.449999999999989</c:v>
                </c:pt>
                <c:pt idx="16">
                  <c:v>13.299999999999983</c:v>
                </c:pt>
                <c:pt idx="17">
                  <c:v>14.400000000000006</c:v>
                </c:pt>
                <c:pt idx="18">
                  <c:v>15.5</c:v>
                </c:pt>
                <c:pt idx="19">
                  <c:v>16.699999999999989</c:v>
                </c:pt>
                <c:pt idx="20">
                  <c:v>18.680000000000007</c:v>
                </c:pt>
                <c:pt idx="21">
                  <c:v>19.699999999999989</c:v>
                </c:pt>
                <c:pt idx="22">
                  <c:v>19.699999999999989</c:v>
                </c:pt>
                <c:pt idx="23">
                  <c:v>22.419999999999987</c:v>
                </c:pt>
              </c:numCache>
            </c:numRef>
          </c:xVal>
          <c:yVal>
            <c:numRef>
              <c:f>Convergences!$K$10:$K$33</c:f>
              <c:numCache>
                <c:formatCode>\+\ 0.0;\-\ 0.0;\±\ 0.0</c:formatCode>
                <c:ptCount val="24"/>
                <c:pt idx="0">
                  <c:v>0</c:v>
                </c:pt>
                <c:pt idx="1">
                  <c:v>-1.3786151142278769</c:v>
                </c:pt>
                <c:pt idx="2">
                  <c:v>-2.4908774812466561</c:v>
                </c:pt>
                <c:pt idx="3">
                  <c:v>-4.0069347401736621</c:v>
                </c:pt>
                <c:pt idx="4">
                  <c:v>-8.773181945951336</c:v>
                </c:pt>
                <c:pt idx="5">
                  <c:v>-12.544164319370665</c:v>
                </c:pt>
                <c:pt idx="6">
                  <c:v>-13.983140866692167</c:v>
                </c:pt>
                <c:pt idx="7">
                  <c:v>-15.476771769383113</c:v>
                </c:pt>
                <c:pt idx="8">
                  <c:v>-15.395035106649857</c:v>
                </c:pt>
                <c:pt idx="11">
                  <c:v>-16.303967983814616</c:v>
                </c:pt>
                <c:pt idx="12">
                  <c:v>-16.955853078855831</c:v>
                </c:pt>
                <c:pt idx="13">
                  <c:v>-16.962644506318902</c:v>
                </c:pt>
                <c:pt idx="14">
                  <c:v>-17.975543741663103</c:v>
                </c:pt>
                <c:pt idx="15">
                  <c:v>-19.092246134072788</c:v>
                </c:pt>
                <c:pt idx="16">
                  <c:v>-19.028722775032314</c:v>
                </c:pt>
                <c:pt idx="17">
                  <c:v>-18.910468253237944</c:v>
                </c:pt>
                <c:pt idx="18">
                  <c:v>-19.349240612053897</c:v>
                </c:pt>
                <c:pt idx="19">
                  <c:v>-19.51532016752644</c:v>
                </c:pt>
                <c:pt idx="20">
                  <c:v>-20.139814180263116</c:v>
                </c:pt>
                <c:pt idx="21">
                  <c:v>-20.159754021904952</c:v>
                </c:pt>
                <c:pt idx="22">
                  <c:v>-21.044787003263288</c:v>
                </c:pt>
                <c:pt idx="23">
                  <c:v>-21.380946371500009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A39-4C9C-8EA5-CD789C4FBC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019456"/>
        <c:axId val="595018280"/>
      </c:scatterChart>
      <c:valAx>
        <c:axId val="59501945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sz="800" b="1"/>
                </a:pPr>
                <a:r>
                  <a:rPr lang="fr-FR" sz="800" b="1"/>
                  <a:t>Distance au front [m]</a:t>
                </a:r>
              </a:p>
            </c:rich>
          </c:tx>
          <c:overlay val="0"/>
        </c:title>
        <c:numFmt formatCode="#\ ##0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595018280"/>
        <c:crossesAt val="0"/>
        <c:crossBetween val="midCat"/>
      </c:valAx>
      <c:valAx>
        <c:axId val="595018280"/>
        <c:scaling>
          <c:orientation val="minMax"/>
          <c:max val="10"/>
          <c:min val="-6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/>
        <c:title>
          <c:tx>
            <c:rich>
              <a:bodyPr/>
              <a:lstStyle/>
              <a:p>
                <a:pPr>
                  <a:defRPr sz="800" b="1"/>
                </a:pPr>
                <a:r>
                  <a:rPr lang="fr-FR" sz="800" b="1"/>
                  <a:t>Convergence [mm]</a:t>
                </a:r>
              </a:p>
            </c:rich>
          </c:tx>
          <c:overlay val="0"/>
        </c:title>
        <c:numFmt formatCode="\+\ 0.0;\-\ 0.0;\±\ 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595019456"/>
        <c:crosses val="autoZero"/>
        <c:crossBetween val="midCat"/>
        <c:majorUnit val="10"/>
      </c:valAx>
      <c:spPr>
        <a:noFill/>
        <a:ln w="25400">
          <a:noFill/>
        </a:ln>
      </c:spPr>
    </c:plotArea>
    <c:legend>
      <c:legendPos val="b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span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422" footer="0.49212598450000422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0">
              <a:defRPr lang="fr-FR" sz="1000" b="1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000" b="1" i="0" u="none" strike="noStrike" baseline="0">
                <a:effectLst/>
              </a:rPr>
              <a:t>Déplacement en Z
</a:t>
            </a:r>
            <a:endParaRPr lang="en-US" sz="1000" b="1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endParaRP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7"/>
          <c:order val="0"/>
          <c:tx>
            <c:strRef>
              <c:f>Déplacements!$E$9</c:f>
              <c:strCache>
                <c:ptCount val="1"/>
                <c:pt idx="0">
                  <c:v>DZ bas gauche</c:v>
                </c:pt>
              </c:strCache>
            </c:strRef>
          </c:tx>
          <c:spPr>
            <a:ln w="19050">
              <a:solidFill>
                <a:srgbClr val="00008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002060"/>
              </a:solidFill>
              <a:ln>
                <a:solidFill>
                  <a:srgbClr val="000080"/>
                </a:solidFill>
              </a:ln>
            </c:spPr>
          </c:marker>
          <c:xVal>
            <c:numRef>
              <c:f>Convergences!$C$10:$C$100</c:f>
              <c:numCache>
                <c:formatCode>0.0</c:formatCode>
                <c:ptCount val="91"/>
                <c:pt idx="0">
                  <c:v>2.25</c:v>
                </c:pt>
                <c:pt idx="1">
                  <c:v>2.25</c:v>
                </c:pt>
                <c:pt idx="2">
                  <c:v>3.2999999999999829</c:v>
                </c:pt>
                <c:pt idx="3">
                  <c:v>4.2699999999999818</c:v>
                </c:pt>
                <c:pt idx="4">
                  <c:v>5.3299999999999841</c:v>
                </c:pt>
                <c:pt idx="5">
                  <c:v>7.5999999999999943</c:v>
                </c:pt>
                <c:pt idx="6">
                  <c:v>9.1399999999999864</c:v>
                </c:pt>
                <c:pt idx="7">
                  <c:v>9.1399999999999864</c:v>
                </c:pt>
                <c:pt idx="8">
                  <c:v>9.7599999999999909</c:v>
                </c:pt>
                <c:pt idx="11">
                  <c:v>9.7599999999999909</c:v>
                </c:pt>
                <c:pt idx="12">
                  <c:v>10.900000000000006</c:v>
                </c:pt>
                <c:pt idx="13">
                  <c:v>10.900000000000006</c:v>
                </c:pt>
                <c:pt idx="14">
                  <c:v>11.5</c:v>
                </c:pt>
                <c:pt idx="15">
                  <c:v>12.449999999999989</c:v>
                </c:pt>
                <c:pt idx="16">
                  <c:v>13.299999999999983</c:v>
                </c:pt>
                <c:pt idx="17">
                  <c:v>14.400000000000006</c:v>
                </c:pt>
                <c:pt idx="18">
                  <c:v>15.5</c:v>
                </c:pt>
                <c:pt idx="19">
                  <c:v>16.699999999999989</c:v>
                </c:pt>
                <c:pt idx="20">
                  <c:v>18.680000000000007</c:v>
                </c:pt>
                <c:pt idx="21">
                  <c:v>19.699999999999989</c:v>
                </c:pt>
                <c:pt idx="22">
                  <c:v>19.699999999999989</c:v>
                </c:pt>
                <c:pt idx="23">
                  <c:v>22.419999999999987</c:v>
                </c:pt>
                <c:pt idx="24">
                  <c:v>22.419999999999987</c:v>
                </c:pt>
                <c:pt idx="25">
                  <c:v>22.419999999999987</c:v>
                </c:pt>
                <c:pt idx="26">
                  <c:v>22.419999999999987</c:v>
                </c:pt>
                <c:pt idx="27">
                  <c:v>23.299999999999983</c:v>
                </c:pt>
                <c:pt idx="28">
                  <c:v>24.400000000000006</c:v>
                </c:pt>
                <c:pt idx="29">
                  <c:v>27.549999999999983</c:v>
                </c:pt>
                <c:pt idx="30">
                  <c:v>29.599999999999994</c:v>
                </c:pt>
                <c:pt idx="31">
                  <c:v>30.079999999999984</c:v>
                </c:pt>
                <c:pt idx="32">
                  <c:v>31.099999999999994</c:v>
                </c:pt>
                <c:pt idx="33">
                  <c:v>31.659999999999997</c:v>
                </c:pt>
                <c:pt idx="34">
                  <c:v>32.97</c:v>
                </c:pt>
                <c:pt idx="35">
                  <c:v>33.97</c:v>
                </c:pt>
                <c:pt idx="36">
                  <c:v>35</c:v>
                </c:pt>
                <c:pt idx="37">
                  <c:v>35</c:v>
                </c:pt>
                <c:pt idx="38">
                  <c:v>36.599999999999994</c:v>
                </c:pt>
                <c:pt idx="39">
                  <c:v>37.799999999999983</c:v>
                </c:pt>
                <c:pt idx="40">
                  <c:v>39</c:v>
                </c:pt>
                <c:pt idx="41">
                  <c:v>39</c:v>
                </c:pt>
                <c:pt idx="42">
                  <c:v>39</c:v>
                </c:pt>
                <c:pt idx="43">
                  <c:v>39</c:v>
                </c:pt>
                <c:pt idx="44">
                  <c:v>39</c:v>
                </c:pt>
                <c:pt idx="45">
                  <c:v>39</c:v>
                </c:pt>
                <c:pt idx="46">
                  <c:v>39</c:v>
                </c:pt>
                <c:pt idx="47">
                  <c:v>39</c:v>
                </c:pt>
                <c:pt idx="48">
                  <c:v>39</c:v>
                </c:pt>
                <c:pt idx="49">
                  <c:v>39</c:v>
                </c:pt>
                <c:pt idx="50">
                  <c:v>39</c:v>
                </c:pt>
                <c:pt idx="51">
                  <c:v>39</c:v>
                </c:pt>
                <c:pt idx="52">
                  <c:v>39</c:v>
                </c:pt>
                <c:pt idx="53">
                  <c:v>39</c:v>
                </c:pt>
                <c:pt idx="54">
                  <c:v>39</c:v>
                </c:pt>
                <c:pt idx="55">
                  <c:v>39</c:v>
                </c:pt>
                <c:pt idx="56">
                  <c:v>39</c:v>
                </c:pt>
                <c:pt idx="57">
                  <c:v>39</c:v>
                </c:pt>
                <c:pt idx="58">
                  <c:v>39</c:v>
                </c:pt>
                <c:pt idx="59">
                  <c:v>39</c:v>
                </c:pt>
                <c:pt idx="61">
                  <c:v>39</c:v>
                </c:pt>
                <c:pt idx="63">
                  <c:v>39</c:v>
                </c:pt>
                <c:pt idx="65">
                  <c:v>39</c:v>
                </c:pt>
                <c:pt idx="66">
                  <c:v>39</c:v>
                </c:pt>
                <c:pt idx="67">
                  <c:v>39</c:v>
                </c:pt>
                <c:pt idx="69">
                  <c:v>39</c:v>
                </c:pt>
                <c:pt idx="70">
                  <c:v>39</c:v>
                </c:pt>
                <c:pt idx="71">
                  <c:v>39</c:v>
                </c:pt>
                <c:pt idx="72">
                  <c:v>39</c:v>
                </c:pt>
                <c:pt idx="73">
                  <c:v>39</c:v>
                </c:pt>
                <c:pt idx="74">
                  <c:v>39</c:v>
                </c:pt>
                <c:pt idx="75">
                  <c:v>39</c:v>
                </c:pt>
                <c:pt idx="76">
                  <c:v>39</c:v>
                </c:pt>
                <c:pt idx="77">
                  <c:v>39</c:v>
                </c:pt>
                <c:pt idx="78">
                  <c:v>39</c:v>
                </c:pt>
                <c:pt idx="79">
                  <c:v>39</c:v>
                </c:pt>
                <c:pt idx="80">
                  <c:v>39</c:v>
                </c:pt>
                <c:pt idx="81">
                  <c:v>39</c:v>
                </c:pt>
                <c:pt idx="82">
                  <c:v>39</c:v>
                </c:pt>
                <c:pt idx="83">
                  <c:v>39</c:v>
                </c:pt>
                <c:pt idx="84">
                  <c:v>39</c:v>
                </c:pt>
                <c:pt idx="85">
                  <c:v>39</c:v>
                </c:pt>
                <c:pt idx="86">
                  <c:v>39</c:v>
                </c:pt>
                <c:pt idx="87">
                  <c:v>39</c:v>
                </c:pt>
                <c:pt idx="88">
                  <c:v>39</c:v>
                </c:pt>
                <c:pt idx="89">
                  <c:v>39</c:v>
                </c:pt>
                <c:pt idx="90">
                  <c:v>39</c:v>
                </c:pt>
              </c:numCache>
            </c:numRef>
          </c:xVal>
          <c:yVal>
            <c:numRef>
              <c:f>Déplacements!$E$10:$E$100</c:f>
              <c:numCache>
                <c:formatCode>\+\ 0.0;\-\ 0.0;\±\ 0.0</c:formatCode>
                <c:ptCount val="91"/>
                <c:pt idx="0">
                  <c:v>0</c:v>
                </c:pt>
                <c:pt idx="1">
                  <c:v>0.56666666667126719</c:v>
                </c:pt>
                <c:pt idx="2">
                  <c:v>1.1000000000080945</c:v>
                </c:pt>
                <c:pt idx="3">
                  <c:v>1.5999999999962711</c:v>
                </c:pt>
                <c:pt idx="4">
                  <c:v>4.5999999999963848</c:v>
                </c:pt>
                <c:pt idx="5">
                  <c:v>1.90000000000623</c:v>
                </c:pt>
                <c:pt idx="6">
                  <c:v>0.20000000000663931</c:v>
                </c:pt>
                <c:pt idx="7">
                  <c:v>1.0000000000047748</c:v>
                </c:pt>
                <c:pt idx="8">
                  <c:v>1.1000000000080945</c:v>
                </c:pt>
                <c:pt idx="11">
                  <c:v>1.300000000000523</c:v>
                </c:pt>
                <c:pt idx="12">
                  <c:v>1.300000000000523</c:v>
                </c:pt>
                <c:pt idx="13">
                  <c:v>2.0000000000095497</c:v>
                </c:pt>
                <c:pt idx="14">
                  <c:v>2.3000000000052978</c:v>
                </c:pt>
                <c:pt idx="15">
                  <c:v>1.6999999999995907</c:v>
                </c:pt>
                <c:pt idx="16">
                  <c:v>1.6000000000104819</c:v>
                </c:pt>
                <c:pt idx="17">
                  <c:v>2.4000000000086175</c:v>
                </c:pt>
                <c:pt idx="18">
                  <c:v>2.0000000000095497</c:v>
                </c:pt>
                <c:pt idx="19">
                  <c:v>3.0000000000001137</c:v>
                </c:pt>
                <c:pt idx="20">
                  <c:v>2.6000000000010459</c:v>
                </c:pt>
                <c:pt idx="21">
                  <c:v>2.0999999999986585</c:v>
                </c:pt>
                <c:pt idx="22">
                  <c:v>1.90000000000623</c:v>
                </c:pt>
                <c:pt idx="23">
                  <c:v>2.6000000000010459</c:v>
                </c:pt>
                <c:pt idx="24">
                  <c:v>3.200000000006753</c:v>
                </c:pt>
                <c:pt idx="25">
                  <c:v>2.2000000000019782</c:v>
                </c:pt>
                <c:pt idx="26">
                  <c:v>2.5000000000119371</c:v>
                </c:pt>
                <c:pt idx="27">
                  <c:v>2.7000000000043656</c:v>
                </c:pt>
                <c:pt idx="28">
                  <c:v>2.9666666666656738</c:v>
                </c:pt>
                <c:pt idx="29">
                  <c:v>2.6833333333371456</c:v>
                </c:pt>
                <c:pt idx="30">
                  <c:v>2.7000000000043656</c:v>
                </c:pt>
                <c:pt idx="31">
                  <c:v>2.7000000000043656</c:v>
                </c:pt>
                <c:pt idx="32">
                  <c:v>2.5000000000119371</c:v>
                </c:pt>
                <c:pt idx="33">
                  <c:v>2.3000000000052978</c:v>
                </c:pt>
                <c:pt idx="34">
                  <c:v>2.8000000000076852</c:v>
                </c:pt>
                <c:pt idx="35">
                  <c:v>3.3000000000100727</c:v>
                </c:pt>
                <c:pt idx="36">
                  <c:v>2.5000000000119371</c:v>
                </c:pt>
                <c:pt idx="37">
                  <c:v>2.9000000000110049</c:v>
                </c:pt>
                <c:pt idx="38">
                  <c:v>3.3999999999991815</c:v>
                </c:pt>
                <c:pt idx="39">
                  <c:v>3.5000000000025011</c:v>
                </c:pt>
                <c:pt idx="40">
                  <c:v>3.1000000000034333</c:v>
                </c:pt>
                <c:pt idx="41">
                  <c:v>3.1000000000034333</c:v>
                </c:pt>
                <c:pt idx="42">
                  <c:v>3.0000000000001137</c:v>
                </c:pt>
                <c:pt idx="43">
                  <c:v>3.3000000000100727</c:v>
                </c:pt>
                <c:pt idx="44">
                  <c:v>2.9000000000110049</c:v>
                </c:pt>
                <c:pt idx="45">
                  <c:v>3.3000000000100727</c:v>
                </c:pt>
                <c:pt idx="46">
                  <c:v>3.3999999999991815</c:v>
                </c:pt>
                <c:pt idx="47">
                  <c:v>3.6000000000058208</c:v>
                </c:pt>
                <c:pt idx="48">
                  <c:v>3.3999999999991815</c:v>
                </c:pt>
                <c:pt idx="49">
                  <c:v>3.5000000000025011</c:v>
                </c:pt>
                <c:pt idx="50">
                  <c:v>3.9000000000015689</c:v>
                </c:pt>
                <c:pt idx="51">
                  <c:v>3.7000000000091404</c:v>
                </c:pt>
                <c:pt idx="52">
                  <c:v>4.1000000000082082</c:v>
                </c:pt>
                <c:pt idx="53">
                  <c:v>1.6999999999995907</c:v>
                </c:pt>
                <c:pt idx="54">
                  <c:v>2.5000000000119371</c:v>
                </c:pt>
                <c:pt idx="55">
                  <c:v>3.3999999999991815</c:v>
                </c:pt>
                <c:pt idx="56">
                  <c:v>3.6000000000058208</c:v>
                </c:pt>
                <c:pt idx="57">
                  <c:v>3.3999999999991815</c:v>
                </c:pt>
                <c:pt idx="58">
                  <c:v>3.9000000000015689</c:v>
                </c:pt>
                <c:pt idx="59">
                  <c:v>4.0000000000048885</c:v>
                </c:pt>
                <c:pt idx="61">
                  <c:v>3.3999999999991815</c:v>
                </c:pt>
                <c:pt idx="63">
                  <c:v>3.3999999999991815</c:v>
                </c:pt>
                <c:pt idx="69">
                  <c:v>3.9000000000015689</c:v>
                </c:pt>
                <c:pt idx="70">
                  <c:v>3.1000000000034333</c:v>
                </c:pt>
                <c:pt idx="71">
                  <c:v>2.2000000000019782</c:v>
                </c:pt>
                <c:pt idx="72">
                  <c:v>2.6999999999901547</c:v>
                </c:pt>
                <c:pt idx="73">
                  <c:v>2.7999999999934744</c:v>
                </c:pt>
                <c:pt idx="74">
                  <c:v>2.899999999996794</c:v>
                </c:pt>
                <c:pt idx="75">
                  <c:v>4.9999999999954525</c:v>
                </c:pt>
                <c:pt idx="76">
                  <c:v>3.6999999999949296</c:v>
                </c:pt>
                <c:pt idx="77">
                  <c:v>3.5999999999916099</c:v>
                </c:pt>
                <c:pt idx="78">
                  <c:v>3.9000000000015689</c:v>
                </c:pt>
                <c:pt idx="79">
                  <c:v>3.0000000000001137</c:v>
                </c:pt>
                <c:pt idx="80">
                  <c:v>3.6999999999949296</c:v>
                </c:pt>
                <c:pt idx="81">
                  <c:v>3.3999999999991815</c:v>
                </c:pt>
                <c:pt idx="82">
                  <c:v>3.3999999999991815</c:v>
                </c:pt>
                <c:pt idx="83">
                  <c:v>3.9999999999906777</c:v>
                </c:pt>
                <c:pt idx="84">
                  <c:v>2.299999999991087</c:v>
                </c:pt>
                <c:pt idx="85">
                  <c:v>3.5000000000025011</c:v>
                </c:pt>
                <c:pt idx="86">
                  <c:v>3.2999999999958618</c:v>
                </c:pt>
                <c:pt idx="87">
                  <c:v>3.5999999999916099</c:v>
                </c:pt>
                <c:pt idx="88">
                  <c:v>3.2999999999958618</c:v>
                </c:pt>
                <c:pt idx="89">
                  <c:v>3.5000000000025011</c:v>
                </c:pt>
                <c:pt idx="90">
                  <c:v>4.0666666666737683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B2-45E8-B614-3D32E7EF458F}"/>
            </c:ext>
          </c:extLst>
        </c:ser>
        <c:ser>
          <c:idx val="12"/>
          <c:order val="1"/>
          <c:tx>
            <c:strRef>
              <c:f>Déplacements!$H$9</c:f>
              <c:strCache>
                <c:ptCount val="1"/>
                <c:pt idx="0">
                  <c:v>DZ inter gauche</c:v>
                </c:pt>
              </c:strCache>
            </c:strRef>
          </c:tx>
          <c:spPr>
            <a:ln w="1905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noFill/>
              </a:ln>
            </c:spPr>
          </c:marker>
          <c:xVal>
            <c:numRef>
              <c:f>Convergences!$C$10:$C$100</c:f>
              <c:numCache>
                <c:formatCode>0.0</c:formatCode>
                <c:ptCount val="91"/>
                <c:pt idx="0">
                  <c:v>2.25</c:v>
                </c:pt>
                <c:pt idx="1">
                  <c:v>2.25</c:v>
                </c:pt>
                <c:pt idx="2">
                  <c:v>3.2999999999999829</c:v>
                </c:pt>
                <c:pt idx="3">
                  <c:v>4.2699999999999818</c:v>
                </c:pt>
                <c:pt idx="4">
                  <c:v>5.3299999999999841</c:v>
                </c:pt>
                <c:pt idx="5">
                  <c:v>7.5999999999999943</c:v>
                </c:pt>
                <c:pt idx="6">
                  <c:v>9.1399999999999864</c:v>
                </c:pt>
                <c:pt idx="7">
                  <c:v>9.1399999999999864</c:v>
                </c:pt>
                <c:pt idx="8">
                  <c:v>9.7599999999999909</c:v>
                </c:pt>
                <c:pt idx="11">
                  <c:v>9.7599999999999909</c:v>
                </c:pt>
                <c:pt idx="12">
                  <c:v>10.900000000000006</c:v>
                </c:pt>
                <c:pt idx="13">
                  <c:v>10.900000000000006</c:v>
                </c:pt>
                <c:pt idx="14">
                  <c:v>11.5</c:v>
                </c:pt>
                <c:pt idx="15">
                  <c:v>12.449999999999989</c:v>
                </c:pt>
                <c:pt idx="16">
                  <c:v>13.299999999999983</c:v>
                </c:pt>
                <c:pt idx="17">
                  <c:v>14.400000000000006</c:v>
                </c:pt>
                <c:pt idx="18">
                  <c:v>15.5</c:v>
                </c:pt>
                <c:pt idx="19">
                  <c:v>16.699999999999989</c:v>
                </c:pt>
                <c:pt idx="20">
                  <c:v>18.680000000000007</c:v>
                </c:pt>
                <c:pt idx="21">
                  <c:v>19.699999999999989</c:v>
                </c:pt>
                <c:pt idx="22">
                  <c:v>19.699999999999989</c:v>
                </c:pt>
                <c:pt idx="23">
                  <c:v>22.419999999999987</c:v>
                </c:pt>
                <c:pt idx="24">
                  <c:v>22.419999999999987</c:v>
                </c:pt>
                <c:pt idx="25">
                  <c:v>22.419999999999987</c:v>
                </c:pt>
                <c:pt idx="26">
                  <c:v>22.419999999999987</c:v>
                </c:pt>
                <c:pt idx="27">
                  <c:v>23.299999999999983</c:v>
                </c:pt>
                <c:pt idx="28">
                  <c:v>24.400000000000006</c:v>
                </c:pt>
                <c:pt idx="29">
                  <c:v>27.549999999999983</c:v>
                </c:pt>
                <c:pt idx="30">
                  <c:v>29.599999999999994</c:v>
                </c:pt>
                <c:pt idx="31">
                  <c:v>30.079999999999984</c:v>
                </c:pt>
                <c:pt idx="32">
                  <c:v>31.099999999999994</c:v>
                </c:pt>
                <c:pt idx="33">
                  <c:v>31.659999999999997</c:v>
                </c:pt>
                <c:pt idx="34">
                  <c:v>32.97</c:v>
                </c:pt>
                <c:pt idx="35">
                  <c:v>33.97</c:v>
                </c:pt>
                <c:pt idx="36">
                  <c:v>35</c:v>
                </c:pt>
                <c:pt idx="37">
                  <c:v>35</c:v>
                </c:pt>
                <c:pt idx="38">
                  <c:v>36.599999999999994</c:v>
                </c:pt>
                <c:pt idx="39">
                  <c:v>37.799999999999983</c:v>
                </c:pt>
                <c:pt idx="40">
                  <c:v>39</c:v>
                </c:pt>
                <c:pt idx="41">
                  <c:v>39</c:v>
                </c:pt>
                <c:pt idx="42">
                  <c:v>39</c:v>
                </c:pt>
                <c:pt idx="43">
                  <c:v>39</c:v>
                </c:pt>
                <c:pt idx="44">
                  <c:v>39</c:v>
                </c:pt>
                <c:pt idx="45">
                  <c:v>39</c:v>
                </c:pt>
                <c:pt idx="46">
                  <c:v>39</c:v>
                </c:pt>
                <c:pt idx="47">
                  <c:v>39</c:v>
                </c:pt>
                <c:pt idx="48">
                  <c:v>39</c:v>
                </c:pt>
                <c:pt idx="49">
                  <c:v>39</c:v>
                </c:pt>
                <c:pt idx="50">
                  <c:v>39</c:v>
                </c:pt>
                <c:pt idx="51">
                  <c:v>39</c:v>
                </c:pt>
                <c:pt idx="52">
                  <c:v>39</c:v>
                </c:pt>
                <c:pt idx="53">
                  <c:v>39</c:v>
                </c:pt>
                <c:pt idx="54">
                  <c:v>39</c:v>
                </c:pt>
                <c:pt idx="55">
                  <c:v>39</c:v>
                </c:pt>
                <c:pt idx="56">
                  <c:v>39</c:v>
                </c:pt>
                <c:pt idx="57">
                  <c:v>39</c:v>
                </c:pt>
                <c:pt idx="58">
                  <c:v>39</c:v>
                </c:pt>
                <c:pt idx="59">
                  <c:v>39</c:v>
                </c:pt>
                <c:pt idx="61">
                  <c:v>39</c:v>
                </c:pt>
                <c:pt idx="63">
                  <c:v>39</c:v>
                </c:pt>
                <c:pt idx="65">
                  <c:v>39</c:v>
                </c:pt>
                <c:pt idx="66">
                  <c:v>39</c:v>
                </c:pt>
                <c:pt idx="67">
                  <c:v>39</c:v>
                </c:pt>
                <c:pt idx="69">
                  <c:v>39</c:v>
                </c:pt>
                <c:pt idx="70">
                  <c:v>39</c:v>
                </c:pt>
                <c:pt idx="71">
                  <c:v>39</c:v>
                </c:pt>
                <c:pt idx="72">
                  <c:v>39</c:v>
                </c:pt>
                <c:pt idx="73">
                  <c:v>39</c:v>
                </c:pt>
                <c:pt idx="74">
                  <c:v>39</c:v>
                </c:pt>
                <c:pt idx="75">
                  <c:v>39</c:v>
                </c:pt>
                <c:pt idx="76">
                  <c:v>39</c:v>
                </c:pt>
                <c:pt idx="77">
                  <c:v>39</c:v>
                </c:pt>
                <c:pt idx="78">
                  <c:v>39</c:v>
                </c:pt>
                <c:pt idx="79">
                  <c:v>39</c:v>
                </c:pt>
                <c:pt idx="80">
                  <c:v>39</c:v>
                </c:pt>
                <c:pt idx="81">
                  <c:v>39</c:v>
                </c:pt>
                <c:pt idx="82">
                  <c:v>39</c:v>
                </c:pt>
                <c:pt idx="83">
                  <c:v>39</c:v>
                </c:pt>
                <c:pt idx="84">
                  <c:v>39</c:v>
                </c:pt>
                <c:pt idx="85">
                  <c:v>39</c:v>
                </c:pt>
                <c:pt idx="86">
                  <c:v>39</c:v>
                </c:pt>
                <c:pt idx="87">
                  <c:v>39</c:v>
                </c:pt>
                <c:pt idx="88">
                  <c:v>39</c:v>
                </c:pt>
                <c:pt idx="89">
                  <c:v>39</c:v>
                </c:pt>
                <c:pt idx="90">
                  <c:v>39</c:v>
                </c:pt>
              </c:numCache>
            </c:numRef>
          </c:xVal>
          <c:yVal>
            <c:numRef>
              <c:f>Déplacements!$H$10:$H$100</c:f>
              <c:numCache>
                <c:formatCode>\+\ 0.0;\-\ 0.0;\±\ 0.0</c:formatCode>
                <c:ptCount val="91"/>
                <c:pt idx="0">
                  <c:v>0</c:v>
                </c:pt>
                <c:pt idx="1">
                  <c:v>0.4500000000007276</c:v>
                </c:pt>
                <c:pt idx="2">
                  <c:v>1.1500000000097543</c:v>
                </c:pt>
                <c:pt idx="3">
                  <c:v>1.3500000000021828</c:v>
                </c:pt>
                <c:pt idx="4">
                  <c:v>4.0500000000065484</c:v>
                </c:pt>
                <c:pt idx="5">
                  <c:v>1.1500000000097543</c:v>
                </c:pt>
                <c:pt idx="6">
                  <c:v>-0.4500000000007276</c:v>
                </c:pt>
                <c:pt idx="7">
                  <c:v>0.34999999999740794</c:v>
                </c:pt>
                <c:pt idx="8">
                  <c:v>0.55000000000404725</c:v>
                </c:pt>
                <c:pt idx="11">
                  <c:v>0.55000000000404725</c:v>
                </c:pt>
                <c:pt idx="12">
                  <c:v>0.55000000000404725</c:v>
                </c:pt>
                <c:pt idx="13">
                  <c:v>1.1500000000097543</c:v>
                </c:pt>
                <c:pt idx="14">
                  <c:v>1.2499999999988631</c:v>
                </c:pt>
                <c:pt idx="15">
                  <c:v>0.65000000000736691</c:v>
                </c:pt>
                <c:pt idx="16">
                  <c:v>0.65000000000736691</c:v>
                </c:pt>
                <c:pt idx="17">
                  <c:v>1.4500000000055024</c:v>
                </c:pt>
                <c:pt idx="18">
                  <c:v>1.1500000000097543</c:v>
                </c:pt>
                <c:pt idx="19">
                  <c:v>2.0500000000112095</c:v>
                </c:pt>
                <c:pt idx="20">
                  <c:v>1.4500000000055024</c:v>
                </c:pt>
                <c:pt idx="21">
                  <c:v>0.75000000001068656</c:v>
                </c:pt>
                <c:pt idx="22">
                  <c:v>0.75000000001068656</c:v>
                </c:pt>
                <c:pt idx="23">
                  <c:v>1.4500000000055024</c:v>
                </c:pt>
                <c:pt idx="24">
                  <c:v>1.5500000000088221</c:v>
                </c:pt>
                <c:pt idx="25">
                  <c:v>0.84999999999979536</c:v>
                </c:pt>
                <c:pt idx="26">
                  <c:v>1.0500000000064347</c:v>
                </c:pt>
                <c:pt idx="27">
                  <c:v>1.3500000000021828</c:v>
                </c:pt>
                <c:pt idx="28">
                  <c:v>1.7333333333482415</c:v>
                </c:pt>
                <c:pt idx="29">
                  <c:v>1.2999999999863121</c:v>
                </c:pt>
                <c:pt idx="30">
                  <c:v>1.0500000000064347</c:v>
                </c:pt>
                <c:pt idx="31">
                  <c:v>0.95000000000311502</c:v>
                </c:pt>
                <c:pt idx="32">
                  <c:v>1.4500000000055024</c:v>
                </c:pt>
                <c:pt idx="33">
                  <c:v>1.1500000000097543</c:v>
                </c:pt>
                <c:pt idx="34">
                  <c:v>1.7500000000012506</c:v>
                </c:pt>
                <c:pt idx="35">
                  <c:v>1.8500000000045702</c:v>
                </c:pt>
                <c:pt idx="36">
                  <c:v>0.75000000001068656</c:v>
                </c:pt>
                <c:pt idx="37">
                  <c:v>1.2499999999988631</c:v>
                </c:pt>
                <c:pt idx="38">
                  <c:v>1.8500000000045702</c:v>
                </c:pt>
                <c:pt idx="39">
                  <c:v>1.7500000000012506</c:v>
                </c:pt>
                <c:pt idx="40">
                  <c:v>1.4500000000055024</c:v>
                </c:pt>
                <c:pt idx="41">
                  <c:v>1.1500000000097543</c:v>
                </c:pt>
                <c:pt idx="42">
                  <c:v>1.1500000000097543</c:v>
                </c:pt>
                <c:pt idx="43">
                  <c:v>1.4500000000055024</c:v>
                </c:pt>
                <c:pt idx="44">
                  <c:v>1.0500000000064347</c:v>
                </c:pt>
                <c:pt idx="45">
                  <c:v>1.3500000000021828</c:v>
                </c:pt>
                <c:pt idx="46">
                  <c:v>1.5500000000088221</c:v>
                </c:pt>
                <c:pt idx="47">
                  <c:v>1.4500000000055024</c:v>
                </c:pt>
                <c:pt idx="48">
                  <c:v>1.6500000000121418</c:v>
                </c:pt>
                <c:pt idx="49">
                  <c:v>1.4500000000055024</c:v>
                </c:pt>
                <c:pt idx="50">
                  <c:v>1.7500000000012506</c:v>
                </c:pt>
                <c:pt idx="51">
                  <c:v>1.4500000000055024</c:v>
                </c:pt>
                <c:pt idx="52">
                  <c:v>1.8500000000045702</c:v>
                </c:pt>
                <c:pt idx="53">
                  <c:v>1.8500000000045702</c:v>
                </c:pt>
                <c:pt idx="54">
                  <c:v>1.5500000000088221</c:v>
                </c:pt>
                <c:pt idx="55">
                  <c:v>2.1500000000003183</c:v>
                </c:pt>
                <c:pt idx="56">
                  <c:v>1.4500000000055024</c:v>
                </c:pt>
                <c:pt idx="57">
                  <c:v>1.0500000000064347</c:v>
                </c:pt>
                <c:pt idx="58">
                  <c:v>1.5500000000088221</c:v>
                </c:pt>
                <c:pt idx="59">
                  <c:v>1.5500000000088221</c:v>
                </c:pt>
                <c:pt idx="61">
                  <c:v>1.0500000000064347</c:v>
                </c:pt>
                <c:pt idx="63">
                  <c:v>1.0500000000064347</c:v>
                </c:pt>
                <c:pt idx="65">
                  <c:v>1.1499999999955435</c:v>
                </c:pt>
                <c:pt idx="66">
                  <c:v>0.4500000000007276</c:v>
                </c:pt>
                <c:pt idx="67">
                  <c:v>1.4500000000055024</c:v>
                </c:pt>
                <c:pt idx="69">
                  <c:v>0.95000000000311502</c:v>
                </c:pt>
                <c:pt idx="70">
                  <c:v>5.0000000001659828E-2</c:v>
                </c:pt>
                <c:pt idx="71">
                  <c:v>-0.95000000000311502</c:v>
                </c:pt>
                <c:pt idx="72">
                  <c:v>-0.64999999999315605</c:v>
                </c:pt>
                <c:pt idx="73">
                  <c:v>-0.55000000000404725</c:v>
                </c:pt>
                <c:pt idx="74">
                  <c:v>-0.4500000000007276</c:v>
                </c:pt>
                <c:pt idx="75">
                  <c:v>1.3500000000021828</c:v>
                </c:pt>
                <c:pt idx="76">
                  <c:v>5.0000000001659828E-2</c:v>
                </c:pt>
                <c:pt idx="77">
                  <c:v>-0.4500000000007276</c:v>
                </c:pt>
                <c:pt idx="78">
                  <c:v>-0.15000000000497948</c:v>
                </c:pt>
                <c:pt idx="79">
                  <c:v>-1.0500000000064347</c:v>
                </c:pt>
                <c:pt idx="80">
                  <c:v>-0.34999999999740794</c:v>
                </c:pt>
                <c:pt idx="81">
                  <c:v>-0.4500000000007276</c:v>
                </c:pt>
                <c:pt idx="82">
                  <c:v>-0.64999999999315605</c:v>
                </c:pt>
                <c:pt idx="83">
                  <c:v>-0.15000000000497948</c:v>
                </c:pt>
                <c:pt idx="84">
                  <c:v>-1.7500000000012506</c:v>
                </c:pt>
                <c:pt idx="85">
                  <c:v>-0.64999999999315605</c:v>
                </c:pt>
                <c:pt idx="86">
                  <c:v>-1.0500000000064347</c:v>
                </c:pt>
                <c:pt idx="87">
                  <c:v>-0.74999999999647571</c:v>
                </c:pt>
                <c:pt idx="88">
                  <c:v>-0.95000000000311502</c:v>
                </c:pt>
                <c:pt idx="89">
                  <c:v>-1.1499999999955435</c:v>
                </c:pt>
                <c:pt idx="90">
                  <c:v>-0.42999999998016847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B2-45E8-B614-3D32E7EF458F}"/>
            </c:ext>
          </c:extLst>
        </c:ser>
        <c:ser>
          <c:idx val="10"/>
          <c:order val="2"/>
          <c:tx>
            <c:strRef>
              <c:f>Déplacements!$K$9</c:f>
              <c:strCache>
                <c:ptCount val="1"/>
                <c:pt idx="0">
                  <c:v>DZ haut gauche</c:v>
                </c:pt>
              </c:strCache>
            </c:strRef>
          </c:tx>
          <c:spPr>
            <a:ln w="19050">
              <a:solidFill>
                <a:srgbClr val="66CC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66CCFF"/>
              </a:solidFill>
              <a:ln>
                <a:noFill/>
              </a:ln>
            </c:spPr>
          </c:marker>
          <c:xVal>
            <c:numRef>
              <c:f>Convergences!$C$10:$C$100</c:f>
              <c:numCache>
                <c:formatCode>0.0</c:formatCode>
                <c:ptCount val="91"/>
                <c:pt idx="0">
                  <c:v>2.25</c:v>
                </c:pt>
                <c:pt idx="1">
                  <c:v>2.25</c:v>
                </c:pt>
                <c:pt idx="2">
                  <c:v>3.2999999999999829</c:v>
                </c:pt>
                <c:pt idx="3">
                  <c:v>4.2699999999999818</c:v>
                </c:pt>
                <c:pt idx="4">
                  <c:v>5.3299999999999841</c:v>
                </c:pt>
                <c:pt idx="5">
                  <c:v>7.5999999999999943</c:v>
                </c:pt>
                <c:pt idx="6">
                  <c:v>9.1399999999999864</c:v>
                </c:pt>
                <c:pt idx="7">
                  <c:v>9.1399999999999864</c:v>
                </c:pt>
                <c:pt idx="8">
                  <c:v>9.7599999999999909</c:v>
                </c:pt>
                <c:pt idx="11">
                  <c:v>9.7599999999999909</c:v>
                </c:pt>
                <c:pt idx="12">
                  <c:v>10.900000000000006</c:v>
                </c:pt>
                <c:pt idx="13">
                  <c:v>10.900000000000006</c:v>
                </c:pt>
                <c:pt idx="14">
                  <c:v>11.5</c:v>
                </c:pt>
                <c:pt idx="15">
                  <c:v>12.449999999999989</c:v>
                </c:pt>
                <c:pt idx="16">
                  <c:v>13.299999999999983</c:v>
                </c:pt>
                <c:pt idx="17">
                  <c:v>14.400000000000006</c:v>
                </c:pt>
                <c:pt idx="18">
                  <c:v>15.5</c:v>
                </c:pt>
                <c:pt idx="19">
                  <c:v>16.699999999999989</c:v>
                </c:pt>
                <c:pt idx="20">
                  <c:v>18.680000000000007</c:v>
                </c:pt>
                <c:pt idx="21">
                  <c:v>19.699999999999989</c:v>
                </c:pt>
                <c:pt idx="22">
                  <c:v>19.699999999999989</c:v>
                </c:pt>
                <c:pt idx="23">
                  <c:v>22.419999999999987</c:v>
                </c:pt>
                <c:pt idx="24">
                  <c:v>22.419999999999987</c:v>
                </c:pt>
                <c:pt idx="25">
                  <c:v>22.419999999999987</c:v>
                </c:pt>
                <c:pt idx="26">
                  <c:v>22.419999999999987</c:v>
                </c:pt>
                <c:pt idx="27">
                  <c:v>23.299999999999983</c:v>
                </c:pt>
                <c:pt idx="28">
                  <c:v>24.400000000000006</c:v>
                </c:pt>
                <c:pt idx="29">
                  <c:v>27.549999999999983</c:v>
                </c:pt>
                <c:pt idx="30">
                  <c:v>29.599999999999994</c:v>
                </c:pt>
                <c:pt idx="31">
                  <c:v>30.079999999999984</c:v>
                </c:pt>
                <c:pt idx="32">
                  <c:v>31.099999999999994</c:v>
                </c:pt>
                <c:pt idx="33">
                  <c:v>31.659999999999997</c:v>
                </c:pt>
                <c:pt idx="34">
                  <c:v>32.97</c:v>
                </c:pt>
                <c:pt idx="35">
                  <c:v>33.97</c:v>
                </c:pt>
                <c:pt idx="36">
                  <c:v>35</c:v>
                </c:pt>
                <c:pt idx="37">
                  <c:v>35</c:v>
                </c:pt>
                <c:pt idx="38">
                  <c:v>36.599999999999994</c:v>
                </c:pt>
                <c:pt idx="39">
                  <c:v>37.799999999999983</c:v>
                </c:pt>
                <c:pt idx="40">
                  <c:v>39</c:v>
                </c:pt>
                <c:pt idx="41">
                  <c:v>39</c:v>
                </c:pt>
                <c:pt idx="42">
                  <c:v>39</c:v>
                </c:pt>
                <c:pt idx="43">
                  <c:v>39</c:v>
                </c:pt>
                <c:pt idx="44">
                  <c:v>39</c:v>
                </c:pt>
                <c:pt idx="45">
                  <c:v>39</c:v>
                </c:pt>
                <c:pt idx="46">
                  <c:v>39</c:v>
                </c:pt>
                <c:pt idx="47">
                  <c:v>39</c:v>
                </c:pt>
                <c:pt idx="48">
                  <c:v>39</c:v>
                </c:pt>
                <c:pt idx="49">
                  <c:v>39</c:v>
                </c:pt>
                <c:pt idx="50">
                  <c:v>39</c:v>
                </c:pt>
                <c:pt idx="51">
                  <c:v>39</c:v>
                </c:pt>
                <c:pt idx="52">
                  <c:v>39</c:v>
                </c:pt>
                <c:pt idx="53">
                  <c:v>39</c:v>
                </c:pt>
                <c:pt idx="54">
                  <c:v>39</c:v>
                </c:pt>
                <c:pt idx="55">
                  <c:v>39</c:v>
                </c:pt>
                <c:pt idx="56">
                  <c:v>39</c:v>
                </c:pt>
                <c:pt idx="57">
                  <c:v>39</c:v>
                </c:pt>
                <c:pt idx="58">
                  <c:v>39</c:v>
                </c:pt>
                <c:pt idx="59">
                  <c:v>39</c:v>
                </c:pt>
                <c:pt idx="61">
                  <c:v>39</c:v>
                </c:pt>
                <c:pt idx="63">
                  <c:v>39</c:v>
                </c:pt>
                <c:pt idx="65">
                  <c:v>39</c:v>
                </c:pt>
                <c:pt idx="66">
                  <c:v>39</c:v>
                </c:pt>
                <c:pt idx="67">
                  <c:v>39</c:v>
                </c:pt>
                <c:pt idx="69">
                  <c:v>39</c:v>
                </c:pt>
                <c:pt idx="70">
                  <c:v>39</c:v>
                </c:pt>
                <c:pt idx="71">
                  <c:v>39</c:v>
                </c:pt>
                <c:pt idx="72">
                  <c:v>39</c:v>
                </c:pt>
                <c:pt idx="73">
                  <c:v>39</c:v>
                </c:pt>
                <c:pt idx="74">
                  <c:v>39</c:v>
                </c:pt>
                <c:pt idx="75">
                  <c:v>39</c:v>
                </c:pt>
                <c:pt idx="76">
                  <c:v>39</c:v>
                </c:pt>
                <c:pt idx="77">
                  <c:v>39</c:v>
                </c:pt>
                <c:pt idx="78">
                  <c:v>39</c:v>
                </c:pt>
                <c:pt idx="79">
                  <c:v>39</c:v>
                </c:pt>
                <c:pt idx="80">
                  <c:v>39</c:v>
                </c:pt>
                <c:pt idx="81">
                  <c:v>39</c:v>
                </c:pt>
                <c:pt idx="82">
                  <c:v>39</c:v>
                </c:pt>
                <c:pt idx="83">
                  <c:v>39</c:v>
                </c:pt>
                <c:pt idx="84">
                  <c:v>39</c:v>
                </c:pt>
                <c:pt idx="85">
                  <c:v>39</c:v>
                </c:pt>
                <c:pt idx="86">
                  <c:v>39</c:v>
                </c:pt>
                <c:pt idx="87">
                  <c:v>39</c:v>
                </c:pt>
                <c:pt idx="88">
                  <c:v>39</c:v>
                </c:pt>
                <c:pt idx="89">
                  <c:v>39</c:v>
                </c:pt>
                <c:pt idx="90">
                  <c:v>39</c:v>
                </c:pt>
              </c:numCache>
            </c:numRef>
          </c:xVal>
          <c:yVal>
            <c:numRef>
              <c:f>Déplacements!$K$10:$K$100</c:f>
              <c:numCache>
                <c:formatCode>\+\ 0.0;\-\ 0.0;\±\ 0.0</c:formatCode>
                <c:ptCount val="91"/>
                <c:pt idx="0">
                  <c:v>0</c:v>
                </c:pt>
                <c:pt idx="1">
                  <c:v>0</c:v>
                </c:pt>
                <c:pt idx="2">
                  <c:v>0.10000000000331966</c:v>
                </c:pt>
                <c:pt idx="3">
                  <c:v>0.10000000000331966</c:v>
                </c:pt>
                <c:pt idx="4">
                  <c:v>3.200000000006753</c:v>
                </c:pt>
                <c:pt idx="5">
                  <c:v>0</c:v>
                </c:pt>
                <c:pt idx="6">
                  <c:v>-6.1999999999926558</c:v>
                </c:pt>
                <c:pt idx="7">
                  <c:v>-5.8999999999969077</c:v>
                </c:pt>
                <c:pt idx="8">
                  <c:v>-5.7999999999935881</c:v>
                </c:pt>
                <c:pt idx="11">
                  <c:v>-5.6999999999902684</c:v>
                </c:pt>
                <c:pt idx="12">
                  <c:v>-6.0999999999893362</c:v>
                </c:pt>
                <c:pt idx="13">
                  <c:v>-5.4999999999836291</c:v>
                </c:pt>
                <c:pt idx="14">
                  <c:v>-5.8999999999826969</c:v>
                </c:pt>
                <c:pt idx="15">
                  <c:v>-6.6999999999950433</c:v>
                </c:pt>
                <c:pt idx="16">
                  <c:v>-6.8999999999874717</c:v>
                </c:pt>
                <c:pt idx="17">
                  <c:v>-6.0999999999893362</c:v>
                </c:pt>
                <c:pt idx="18">
                  <c:v>-6.7999999999841521</c:v>
                </c:pt>
                <c:pt idx="19">
                  <c:v>-6.2999999999817646</c:v>
                </c:pt>
                <c:pt idx="20">
                  <c:v>-6.8999999999874717</c:v>
                </c:pt>
                <c:pt idx="21">
                  <c:v>-7.4999999999931788</c:v>
                </c:pt>
                <c:pt idx="22">
                  <c:v>-7.8999999999922466</c:v>
                </c:pt>
                <c:pt idx="23">
                  <c:v>-7.2999999999865395</c:v>
                </c:pt>
                <c:pt idx="24">
                  <c:v>-7.5999999999822876</c:v>
                </c:pt>
                <c:pt idx="25">
                  <c:v>-8.399999999994634</c:v>
                </c:pt>
                <c:pt idx="26">
                  <c:v>-8.2999999999913143</c:v>
                </c:pt>
                <c:pt idx="27">
                  <c:v>-7.9999999999955662</c:v>
                </c:pt>
                <c:pt idx="28">
                  <c:v>-7.4999999999789679</c:v>
                </c:pt>
                <c:pt idx="29">
                  <c:v>-8.3499999999929742</c:v>
                </c:pt>
                <c:pt idx="30">
                  <c:v>-8.7999999999937017</c:v>
                </c:pt>
                <c:pt idx="31">
                  <c:v>-8.9999999999861302</c:v>
                </c:pt>
                <c:pt idx="32">
                  <c:v>-8.6999999999903821</c:v>
                </c:pt>
                <c:pt idx="33">
                  <c:v>-8.6999999999903821</c:v>
                </c:pt>
                <c:pt idx="34">
                  <c:v>-8.1999999999879947</c:v>
                </c:pt>
                <c:pt idx="35">
                  <c:v>-8.6999999999903821</c:v>
                </c:pt>
                <c:pt idx="36">
                  <c:v>-9.5999999999918373</c:v>
                </c:pt>
                <c:pt idx="37">
                  <c:v>-9.1999999999927695</c:v>
                </c:pt>
                <c:pt idx="38">
                  <c:v>-8.6999999999903821</c:v>
                </c:pt>
                <c:pt idx="39">
                  <c:v>-8.7999999999937017</c:v>
                </c:pt>
                <c:pt idx="40">
                  <c:v>-8.9999999999861302</c:v>
                </c:pt>
                <c:pt idx="42">
                  <c:v>-8.7999999999937017</c:v>
                </c:pt>
                <c:pt idx="43">
                  <c:v>-8.399999999994634</c:v>
                </c:pt>
                <c:pt idx="44">
                  <c:v>-8.9999999999861302</c:v>
                </c:pt>
                <c:pt idx="45">
                  <c:v>-8.7999999999937017</c:v>
                </c:pt>
                <c:pt idx="46">
                  <c:v>-8.8999999999828106</c:v>
                </c:pt>
                <c:pt idx="47">
                  <c:v>-8.6999999999903821</c:v>
                </c:pt>
                <c:pt idx="48">
                  <c:v>-8.5999999999870624</c:v>
                </c:pt>
                <c:pt idx="49">
                  <c:v>-8.6999999999903821</c:v>
                </c:pt>
                <c:pt idx="50">
                  <c:v>-8.8999999999828106</c:v>
                </c:pt>
                <c:pt idx="51">
                  <c:v>-8.6999999999903821</c:v>
                </c:pt>
                <c:pt idx="52">
                  <c:v>-8.7999999999937017</c:v>
                </c:pt>
                <c:pt idx="53">
                  <c:v>-9.399999999985198</c:v>
                </c:pt>
                <c:pt idx="54">
                  <c:v>-9.5999999999918373</c:v>
                </c:pt>
                <c:pt idx="55">
                  <c:v>-8.9999999999861302</c:v>
                </c:pt>
                <c:pt idx="56">
                  <c:v>-9.9999999999909051</c:v>
                </c:pt>
                <c:pt idx="57">
                  <c:v>-10.199999999983334</c:v>
                </c:pt>
                <c:pt idx="58">
                  <c:v>-9.9999999999909051</c:v>
                </c:pt>
                <c:pt idx="59">
                  <c:v>-9.8999999999875854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4B2-45E8-B614-3D32E7EF458F}"/>
            </c:ext>
          </c:extLst>
        </c:ser>
        <c:ser>
          <c:idx val="8"/>
          <c:order val="3"/>
          <c:tx>
            <c:strRef>
              <c:f>Déplacements!$N$9</c:f>
              <c:strCache>
                <c:ptCount val="1"/>
                <c:pt idx="0">
                  <c:v>DZ centre haut</c:v>
                </c:pt>
              </c:strCache>
            </c:strRef>
          </c:tx>
          <c:spPr>
            <a:ln w="19050">
              <a:solidFill>
                <a:srgbClr val="FF00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66CC"/>
              </a:solidFill>
              <a:ln>
                <a:noFill/>
              </a:ln>
            </c:spPr>
          </c:marker>
          <c:xVal>
            <c:numRef>
              <c:f>Convergences!$C$10:$C$100</c:f>
              <c:numCache>
                <c:formatCode>0.0</c:formatCode>
                <c:ptCount val="91"/>
                <c:pt idx="0">
                  <c:v>2.25</c:v>
                </c:pt>
                <c:pt idx="1">
                  <c:v>2.25</c:v>
                </c:pt>
                <c:pt idx="2">
                  <c:v>3.2999999999999829</c:v>
                </c:pt>
                <c:pt idx="3">
                  <c:v>4.2699999999999818</c:v>
                </c:pt>
                <c:pt idx="4">
                  <c:v>5.3299999999999841</c:v>
                </c:pt>
                <c:pt idx="5">
                  <c:v>7.5999999999999943</c:v>
                </c:pt>
                <c:pt idx="6">
                  <c:v>9.1399999999999864</c:v>
                </c:pt>
                <c:pt idx="7">
                  <c:v>9.1399999999999864</c:v>
                </c:pt>
                <c:pt idx="8">
                  <c:v>9.7599999999999909</c:v>
                </c:pt>
                <c:pt idx="11">
                  <c:v>9.7599999999999909</c:v>
                </c:pt>
                <c:pt idx="12">
                  <c:v>10.900000000000006</c:v>
                </c:pt>
                <c:pt idx="13">
                  <c:v>10.900000000000006</c:v>
                </c:pt>
                <c:pt idx="14">
                  <c:v>11.5</c:v>
                </c:pt>
                <c:pt idx="15">
                  <c:v>12.449999999999989</c:v>
                </c:pt>
                <c:pt idx="16">
                  <c:v>13.299999999999983</c:v>
                </c:pt>
                <c:pt idx="17">
                  <c:v>14.400000000000006</c:v>
                </c:pt>
                <c:pt idx="18">
                  <c:v>15.5</c:v>
                </c:pt>
                <c:pt idx="19">
                  <c:v>16.699999999999989</c:v>
                </c:pt>
                <c:pt idx="20">
                  <c:v>18.680000000000007</c:v>
                </c:pt>
                <c:pt idx="21">
                  <c:v>19.699999999999989</c:v>
                </c:pt>
                <c:pt idx="22">
                  <c:v>19.699999999999989</c:v>
                </c:pt>
                <c:pt idx="23">
                  <c:v>22.419999999999987</c:v>
                </c:pt>
                <c:pt idx="24">
                  <c:v>22.419999999999987</c:v>
                </c:pt>
                <c:pt idx="25">
                  <c:v>22.419999999999987</c:v>
                </c:pt>
                <c:pt idx="26">
                  <c:v>22.419999999999987</c:v>
                </c:pt>
                <c:pt idx="27">
                  <c:v>23.299999999999983</c:v>
                </c:pt>
                <c:pt idx="28">
                  <c:v>24.400000000000006</c:v>
                </c:pt>
                <c:pt idx="29">
                  <c:v>27.549999999999983</c:v>
                </c:pt>
                <c:pt idx="30">
                  <c:v>29.599999999999994</c:v>
                </c:pt>
                <c:pt idx="31">
                  <c:v>30.079999999999984</c:v>
                </c:pt>
                <c:pt idx="32">
                  <c:v>31.099999999999994</c:v>
                </c:pt>
                <c:pt idx="33">
                  <c:v>31.659999999999997</c:v>
                </c:pt>
                <c:pt idx="34">
                  <c:v>32.97</c:v>
                </c:pt>
                <c:pt idx="35">
                  <c:v>33.97</c:v>
                </c:pt>
                <c:pt idx="36">
                  <c:v>35</c:v>
                </c:pt>
                <c:pt idx="37">
                  <c:v>35</c:v>
                </c:pt>
                <c:pt idx="38">
                  <c:v>36.599999999999994</c:v>
                </c:pt>
                <c:pt idx="39">
                  <c:v>37.799999999999983</c:v>
                </c:pt>
                <c:pt idx="40">
                  <c:v>39</c:v>
                </c:pt>
                <c:pt idx="41">
                  <c:v>39</c:v>
                </c:pt>
                <c:pt idx="42">
                  <c:v>39</c:v>
                </c:pt>
                <c:pt idx="43">
                  <c:v>39</c:v>
                </c:pt>
                <c:pt idx="44">
                  <c:v>39</c:v>
                </c:pt>
                <c:pt idx="45">
                  <c:v>39</c:v>
                </c:pt>
                <c:pt idx="46">
                  <c:v>39</c:v>
                </c:pt>
                <c:pt idx="47">
                  <c:v>39</c:v>
                </c:pt>
                <c:pt idx="48">
                  <c:v>39</c:v>
                </c:pt>
                <c:pt idx="49">
                  <c:v>39</c:v>
                </c:pt>
                <c:pt idx="50">
                  <c:v>39</c:v>
                </c:pt>
                <c:pt idx="51">
                  <c:v>39</c:v>
                </c:pt>
                <c:pt idx="52">
                  <c:v>39</c:v>
                </c:pt>
                <c:pt idx="53">
                  <c:v>39</c:v>
                </c:pt>
                <c:pt idx="54">
                  <c:v>39</c:v>
                </c:pt>
                <c:pt idx="55">
                  <c:v>39</c:v>
                </c:pt>
                <c:pt idx="56">
                  <c:v>39</c:v>
                </c:pt>
                <c:pt idx="57">
                  <c:v>39</c:v>
                </c:pt>
                <c:pt idx="58">
                  <c:v>39</c:v>
                </c:pt>
                <c:pt idx="59">
                  <c:v>39</c:v>
                </c:pt>
                <c:pt idx="61">
                  <c:v>39</c:v>
                </c:pt>
                <c:pt idx="63">
                  <c:v>39</c:v>
                </c:pt>
                <c:pt idx="65">
                  <c:v>39</c:v>
                </c:pt>
                <c:pt idx="66">
                  <c:v>39</c:v>
                </c:pt>
                <c:pt idx="67">
                  <c:v>39</c:v>
                </c:pt>
                <c:pt idx="69">
                  <c:v>39</c:v>
                </c:pt>
                <c:pt idx="70">
                  <c:v>39</c:v>
                </c:pt>
                <c:pt idx="71">
                  <c:v>39</c:v>
                </c:pt>
                <c:pt idx="72">
                  <c:v>39</c:v>
                </c:pt>
                <c:pt idx="73">
                  <c:v>39</c:v>
                </c:pt>
                <c:pt idx="74">
                  <c:v>39</c:v>
                </c:pt>
                <c:pt idx="75">
                  <c:v>39</c:v>
                </c:pt>
                <c:pt idx="76">
                  <c:v>39</c:v>
                </c:pt>
                <c:pt idx="77">
                  <c:v>39</c:v>
                </c:pt>
                <c:pt idx="78">
                  <c:v>39</c:v>
                </c:pt>
                <c:pt idx="79">
                  <c:v>39</c:v>
                </c:pt>
                <c:pt idx="80">
                  <c:v>39</c:v>
                </c:pt>
                <c:pt idx="81">
                  <c:v>39</c:v>
                </c:pt>
                <c:pt idx="82">
                  <c:v>39</c:v>
                </c:pt>
                <c:pt idx="83">
                  <c:v>39</c:v>
                </c:pt>
                <c:pt idx="84">
                  <c:v>39</c:v>
                </c:pt>
                <c:pt idx="85">
                  <c:v>39</c:v>
                </c:pt>
                <c:pt idx="86">
                  <c:v>39</c:v>
                </c:pt>
                <c:pt idx="87">
                  <c:v>39</c:v>
                </c:pt>
                <c:pt idx="88">
                  <c:v>39</c:v>
                </c:pt>
                <c:pt idx="89">
                  <c:v>39</c:v>
                </c:pt>
                <c:pt idx="90">
                  <c:v>39</c:v>
                </c:pt>
              </c:numCache>
            </c:numRef>
          </c:xVal>
          <c:yVal>
            <c:numRef>
              <c:f>Déplacements!$N$10:$N$100</c:f>
              <c:numCache>
                <c:formatCode>\+\ 0.0;\-\ 0.0;\±\ 0.0</c:formatCode>
                <c:ptCount val="91"/>
                <c:pt idx="0">
                  <c:v>0</c:v>
                </c:pt>
                <c:pt idx="1">
                  <c:v>-3.6500000000074806</c:v>
                </c:pt>
                <c:pt idx="2">
                  <c:v>-6.5500000000042746</c:v>
                </c:pt>
                <c:pt idx="3">
                  <c:v>-10.249999999999204</c:v>
                </c:pt>
                <c:pt idx="4">
                  <c:v>-18.34999999999809</c:v>
                </c:pt>
                <c:pt idx="5">
                  <c:v>-32.350000000008095</c:v>
                </c:pt>
                <c:pt idx="6">
                  <c:v>-40.350000000003661</c:v>
                </c:pt>
                <c:pt idx="7">
                  <c:v>-43.450000000007094</c:v>
                </c:pt>
                <c:pt idx="8">
                  <c:v>-45.249999999995794</c:v>
                </c:pt>
                <c:pt idx="11">
                  <c:v>-45.450000000002433</c:v>
                </c:pt>
                <c:pt idx="12">
                  <c:v>-49.049999999994043</c:v>
                </c:pt>
                <c:pt idx="13">
                  <c:v>-48.749999999998295</c:v>
                </c:pt>
                <c:pt idx="14">
                  <c:v>-51.55000000000598</c:v>
                </c:pt>
                <c:pt idx="15">
                  <c:v>-53.849999999997067</c:v>
                </c:pt>
                <c:pt idx="16">
                  <c:v>-55.649999999999977</c:v>
                </c:pt>
                <c:pt idx="17">
                  <c:v>-55.14999999999759</c:v>
                </c:pt>
                <c:pt idx="18">
                  <c:v>-56.250000000005684</c:v>
                </c:pt>
                <c:pt idx="19">
                  <c:v>-56.150000000002365</c:v>
                </c:pt>
                <c:pt idx="20">
                  <c:v>-57.450000000002888</c:v>
                </c:pt>
                <c:pt idx="21">
                  <c:v>-58.450000000007662</c:v>
                </c:pt>
                <c:pt idx="22">
                  <c:v>-59.650000000004866</c:v>
                </c:pt>
                <c:pt idx="23">
                  <c:v>-59.550000000001546</c:v>
                </c:pt>
                <c:pt idx="24">
                  <c:v>-60.349999999999682</c:v>
                </c:pt>
                <c:pt idx="25">
                  <c:v>-61.450000000007776</c:v>
                </c:pt>
                <c:pt idx="26">
                  <c:v>-61.549999999996885</c:v>
                </c:pt>
                <c:pt idx="27">
                  <c:v>-61.549999999996885</c:v>
                </c:pt>
                <c:pt idx="28">
                  <c:v>-61.733333333322093</c:v>
                </c:pt>
                <c:pt idx="29">
                  <c:v>-63.033333333351038</c:v>
                </c:pt>
                <c:pt idx="30">
                  <c:v>-63.450000000003115</c:v>
                </c:pt>
                <c:pt idx="31">
                  <c:v>-64.149999999997931</c:v>
                </c:pt>
                <c:pt idx="32">
                  <c:v>-64.049999999994611</c:v>
                </c:pt>
                <c:pt idx="33">
                  <c:v>-64.750000000003638</c:v>
                </c:pt>
                <c:pt idx="34">
                  <c:v>-64.049999999994611</c:v>
                </c:pt>
                <c:pt idx="35">
                  <c:v>-64.750000000003638</c:v>
                </c:pt>
                <c:pt idx="36">
                  <c:v>-66.150000000007481</c:v>
                </c:pt>
                <c:pt idx="37">
                  <c:v>-65.950000000000841</c:v>
                </c:pt>
                <c:pt idx="38">
                  <c:v>-65.550000000001774</c:v>
                </c:pt>
                <c:pt idx="39">
                  <c:v>-65.849999999997522</c:v>
                </c:pt>
                <c:pt idx="40">
                  <c:v>-66.249999999996589</c:v>
                </c:pt>
                <c:pt idx="41">
                  <c:v>-67.049999999994725</c:v>
                </c:pt>
                <c:pt idx="42">
                  <c:v>-68.150000000002819</c:v>
                </c:pt>
                <c:pt idx="43">
                  <c:v>-68.650000000005207</c:v>
                </c:pt>
                <c:pt idx="44">
                  <c:v>-69.450000000003342</c:v>
                </c:pt>
                <c:pt idx="45">
                  <c:v>-69.95000000000573</c:v>
                </c:pt>
                <c:pt idx="46">
                  <c:v>-70.549999999997226</c:v>
                </c:pt>
                <c:pt idx="47">
                  <c:v>-70.250000000001478</c:v>
                </c:pt>
                <c:pt idx="48">
                  <c:v>-70.350000000004798</c:v>
                </c:pt>
                <c:pt idx="49">
                  <c:v>-70.949999999996294</c:v>
                </c:pt>
                <c:pt idx="50">
                  <c:v>-71.650000000005321</c:v>
                </c:pt>
                <c:pt idx="51">
                  <c:v>-72.749999999999204</c:v>
                </c:pt>
                <c:pt idx="52">
                  <c:v>-72.150000000007708</c:v>
                </c:pt>
                <c:pt idx="53">
                  <c:v>-72.649999999995885</c:v>
                </c:pt>
                <c:pt idx="54">
                  <c:v>-73.350000000004911</c:v>
                </c:pt>
                <c:pt idx="55">
                  <c:v>-73.250000000001592</c:v>
                </c:pt>
                <c:pt idx="56">
                  <c:v>-74.749999999994543</c:v>
                </c:pt>
                <c:pt idx="57">
                  <c:v>-76.250000000001705</c:v>
                </c:pt>
                <c:pt idx="58">
                  <c:v>-75.649999999995998</c:v>
                </c:pt>
                <c:pt idx="59">
                  <c:v>-75.550000000006889</c:v>
                </c:pt>
                <c:pt idx="61">
                  <c:v>-76.750000000004093</c:v>
                </c:pt>
                <c:pt idx="63">
                  <c:v>-76.750000000004093</c:v>
                </c:pt>
                <c:pt idx="65">
                  <c:v>-76.750000000004093</c:v>
                </c:pt>
                <c:pt idx="66">
                  <c:v>-77.249999999992269</c:v>
                </c:pt>
                <c:pt idx="67">
                  <c:v>-77.349999999995589</c:v>
                </c:pt>
                <c:pt idx="69">
                  <c:v>-78.649999999996112</c:v>
                </c:pt>
                <c:pt idx="70">
                  <c:v>-79.749999999989996</c:v>
                </c:pt>
                <c:pt idx="71">
                  <c:v>-80.84999999999809</c:v>
                </c:pt>
                <c:pt idx="72">
                  <c:v>-80.84999999999809</c:v>
                </c:pt>
                <c:pt idx="73">
                  <c:v>-81.050000000004729</c:v>
                </c:pt>
                <c:pt idx="74">
                  <c:v>-81.749999999999545</c:v>
                </c:pt>
                <c:pt idx="75">
                  <c:v>-80.649999999991451</c:v>
                </c:pt>
                <c:pt idx="76">
                  <c:v>-82.349999999991041</c:v>
                </c:pt>
                <c:pt idx="77">
                  <c:v>-83.749999999994884</c:v>
                </c:pt>
                <c:pt idx="78">
                  <c:v>-83.249999999992497</c:v>
                </c:pt>
                <c:pt idx="79">
                  <c:v>-84.450000000003911</c:v>
                </c:pt>
                <c:pt idx="80">
                  <c:v>-84.050000000004843</c:v>
                </c:pt>
                <c:pt idx="81">
                  <c:v>-84.149999999993952</c:v>
                </c:pt>
                <c:pt idx="82">
                  <c:v>-84.749999999999659</c:v>
                </c:pt>
                <c:pt idx="83">
                  <c:v>-84.050000000004843</c:v>
                </c:pt>
                <c:pt idx="84">
                  <c:v>-85.650000000001114</c:v>
                </c:pt>
                <c:pt idx="85">
                  <c:v>-84.949999999992087</c:v>
                </c:pt>
                <c:pt idx="86">
                  <c:v>-85.349999999991155</c:v>
                </c:pt>
                <c:pt idx="87">
                  <c:v>-85.349999999991155</c:v>
                </c:pt>
                <c:pt idx="88">
                  <c:v>-85.650000000001114</c:v>
                </c:pt>
                <c:pt idx="89">
                  <c:v>-86.050000000000182</c:v>
                </c:pt>
                <c:pt idx="90">
                  <c:v>-85.790000000002919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4B2-45E8-B614-3D32E7EF458F}"/>
            </c:ext>
          </c:extLst>
        </c:ser>
        <c:ser>
          <c:idx val="11"/>
          <c:order val="4"/>
          <c:tx>
            <c:strRef>
              <c:f>Déplacements!$Q$9</c:f>
              <c:strCache>
                <c:ptCount val="1"/>
                <c:pt idx="0">
                  <c:v>DZ haut droit</c:v>
                </c:pt>
              </c:strCache>
            </c:strRef>
          </c:tx>
          <c:spPr>
            <a:ln w="19050">
              <a:solidFill>
                <a:schemeClr val="accent6">
                  <a:lumMod val="75000"/>
                </a:schemeClr>
              </a:solidFill>
              <a:prstDash val="solid"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xVal>
            <c:numRef>
              <c:f>Convergences!$C$10:$C$133</c:f>
              <c:numCache>
                <c:formatCode>0.0</c:formatCode>
                <c:ptCount val="124"/>
                <c:pt idx="0">
                  <c:v>2.25</c:v>
                </c:pt>
                <c:pt idx="1">
                  <c:v>2.25</c:v>
                </c:pt>
                <c:pt idx="2">
                  <c:v>3.2999999999999829</c:v>
                </c:pt>
                <c:pt idx="3">
                  <c:v>4.2699999999999818</c:v>
                </c:pt>
                <c:pt idx="4">
                  <c:v>5.3299999999999841</c:v>
                </c:pt>
                <c:pt idx="5">
                  <c:v>7.5999999999999943</c:v>
                </c:pt>
                <c:pt idx="6">
                  <c:v>9.1399999999999864</c:v>
                </c:pt>
                <c:pt idx="7">
                  <c:v>9.1399999999999864</c:v>
                </c:pt>
                <c:pt idx="8">
                  <c:v>9.7599999999999909</c:v>
                </c:pt>
                <c:pt idx="11">
                  <c:v>9.7599999999999909</c:v>
                </c:pt>
                <c:pt idx="12">
                  <c:v>10.900000000000006</c:v>
                </c:pt>
                <c:pt idx="13">
                  <c:v>10.900000000000006</c:v>
                </c:pt>
                <c:pt idx="14">
                  <c:v>11.5</c:v>
                </c:pt>
                <c:pt idx="15">
                  <c:v>12.449999999999989</c:v>
                </c:pt>
                <c:pt idx="16">
                  <c:v>13.299999999999983</c:v>
                </c:pt>
                <c:pt idx="17">
                  <c:v>14.400000000000006</c:v>
                </c:pt>
                <c:pt idx="18">
                  <c:v>15.5</c:v>
                </c:pt>
                <c:pt idx="19">
                  <c:v>16.699999999999989</c:v>
                </c:pt>
                <c:pt idx="20">
                  <c:v>18.680000000000007</c:v>
                </c:pt>
                <c:pt idx="21">
                  <c:v>19.699999999999989</c:v>
                </c:pt>
                <c:pt idx="22">
                  <c:v>19.699999999999989</c:v>
                </c:pt>
                <c:pt idx="23">
                  <c:v>22.419999999999987</c:v>
                </c:pt>
                <c:pt idx="24">
                  <c:v>22.419999999999987</c:v>
                </c:pt>
                <c:pt idx="25">
                  <c:v>22.419999999999987</c:v>
                </c:pt>
                <c:pt idx="26">
                  <c:v>22.419999999999987</c:v>
                </c:pt>
                <c:pt idx="27">
                  <c:v>23.299999999999983</c:v>
                </c:pt>
                <c:pt idx="28">
                  <c:v>24.400000000000006</c:v>
                </c:pt>
                <c:pt idx="29">
                  <c:v>27.549999999999983</c:v>
                </c:pt>
                <c:pt idx="30">
                  <c:v>29.599999999999994</c:v>
                </c:pt>
                <c:pt idx="31">
                  <c:v>30.079999999999984</c:v>
                </c:pt>
                <c:pt idx="32">
                  <c:v>31.099999999999994</c:v>
                </c:pt>
                <c:pt idx="33">
                  <c:v>31.659999999999997</c:v>
                </c:pt>
                <c:pt idx="34">
                  <c:v>32.97</c:v>
                </c:pt>
                <c:pt idx="35">
                  <c:v>33.97</c:v>
                </c:pt>
                <c:pt idx="36">
                  <c:v>35</c:v>
                </c:pt>
                <c:pt idx="37">
                  <c:v>35</c:v>
                </c:pt>
                <c:pt idx="38">
                  <c:v>36.599999999999994</c:v>
                </c:pt>
                <c:pt idx="39">
                  <c:v>37.799999999999983</c:v>
                </c:pt>
                <c:pt idx="40">
                  <c:v>39</c:v>
                </c:pt>
                <c:pt idx="41">
                  <c:v>39</c:v>
                </c:pt>
                <c:pt idx="42">
                  <c:v>39</c:v>
                </c:pt>
                <c:pt idx="43">
                  <c:v>39</c:v>
                </c:pt>
                <c:pt idx="44">
                  <c:v>39</c:v>
                </c:pt>
                <c:pt idx="45">
                  <c:v>39</c:v>
                </c:pt>
                <c:pt idx="46">
                  <c:v>39</c:v>
                </c:pt>
                <c:pt idx="47">
                  <c:v>39</c:v>
                </c:pt>
                <c:pt idx="48">
                  <c:v>39</c:v>
                </c:pt>
                <c:pt idx="49">
                  <c:v>39</c:v>
                </c:pt>
                <c:pt idx="50">
                  <c:v>39</c:v>
                </c:pt>
                <c:pt idx="51">
                  <c:v>39</c:v>
                </c:pt>
                <c:pt idx="52">
                  <c:v>39</c:v>
                </c:pt>
                <c:pt idx="53">
                  <c:v>39</c:v>
                </c:pt>
                <c:pt idx="54">
                  <c:v>39</c:v>
                </c:pt>
                <c:pt idx="55">
                  <c:v>39</c:v>
                </c:pt>
                <c:pt idx="56">
                  <c:v>39</c:v>
                </c:pt>
                <c:pt idx="57">
                  <c:v>39</c:v>
                </c:pt>
                <c:pt idx="58">
                  <c:v>39</c:v>
                </c:pt>
                <c:pt idx="59">
                  <c:v>39</c:v>
                </c:pt>
                <c:pt idx="61">
                  <c:v>39</c:v>
                </c:pt>
                <c:pt idx="63">
                  <c:v>39</c:v>
                </c:pt>
                <c:pt idx="65">
                  <c:v>39</c:v>
                </c:pt>
                <c:pt idx="66">
                  <c:v>39</c:v>
                </c:pt>
                <c:pt idx="67">
                  <c:v>39</c:v>
                </c:pt>
                <c:pt idx="69">
                  <c:v>39</c:v>
                </c:pt>
                <c:pt idx="70">
                  <c:v>39</c:v>
                </c:pt>
                <c:pt idx="71">
                  <c:v>39</c:v>
                </c:pt>
                <c:pt idx="72">
                  <c:v>39</c:v>
                </c:pt>
                <c:pt idx="73">
                  <c:v>39</c:v>
                </c:pt>
                <c:pt idx="74">
                  <c:v>39</c:v>
                </c:pt>
                <c:pt idx="75">
                  <c:v>39</c:v>
                </c:pt>
                <c:pt idx="76">
                  <c:v>39</c:v>
                </c:pt>
                <c:pt idx="77">
                  <c:v>39</c:v>
                </c:pt>
                <c:pt idx="78">
                  <c:v>39</c:v>
                </c:pt>
                <c:pt idx="79">
                  <c:v>39</c:v>
                </c:pt>
                <c:pt idx="80">
                  <c:v>39</c:v>
                </c:pt>
                <c:pt idx="81">
                  <c:v>39</c:v>
                </c:pt>
                <c:pt idx="82">
                  <c:v>39</c:v>
                </c:pt>
                <c:pt idx="83">
                  <c:v>39</c:v>
                </c:pt>
                <c:pt idx="84">
                  <c:v>39</c:v>
                </c:pt>
                <c:pt idx="85">
                  <c:v>39</c:v>
                </c:pt>
                <c:pt idx="86">
                  <c:v>39</c:v>
                </c:pt>
                <c:pt idx="87">
                  <c:v>39</c:v>
                </c:pt>
                <c:pt idx="88">
                  <c:v>39</c:v>
                </c:pt>
                <c:pt idx="89">
                  <c:v>39</c:v>
                </c:pt>
                <c:pt idx="90">
                  <c:v>39</c:v>
                </c:pt>
                <c:pt idx="91">
                  <c:v>39</c:v>
                </c:pt>
                <c:pt idx="92">
                  <c:v>39</c:v>
                </c:pt>
                <c:pt idx="93">
                  <c:v>39</c:v>
                </c:pt>
                <c:pt idx="94">
                  <c:v>39</c:v>
                </c:pt>
                <c:pt idx="95">
                  <c:v>39</c:v>
                </c:pt>
                <c:pt idx="96">
                  <c:v>39</c:v>
                </c:pt>
                <c:pt idx="97">
                  <c:v>39</c:v>
                </c:pt>
              </c:numCache>
            </c:numRef>
          </c:xVal>
          <c:yVal>
            <c:numRef>
              <c:f>Déplacements!$Q$10:$Q$132</c:f>
              <c:numCache>
                <c:formatCode>\+\ 0.0;\-\ 0.0;\±\ 0.0</c:formatCode>
                <c:ptCount val="123"/>
                <c:pt idx="0">
                  <c:v>0</c:v>
                </c:pt>
                <c:pt idx="1">
                  <c:v>-0.65000000000736691</c:v>
                </c:pt>
                <c:pt idx="2">
                  <c:v>-2.250000000003638</c:v>
                </c:pt>
                <c:pt idx="3">
                  <c:v>-4.1499999999956572</c:v>
                </c:pt>
                <c:pt idx="4">
                  <c:v>-7.5500000000090495</c:v>
                </c:pt>
                <c:pt idx="5">
                  <c:v>-14.849999999995589</c:v>
                </c:pt>
                <c:pt idx="6">
                  <c:v>-18.34999999999809</c:v>
                </c:pt>
                <c:pt idx="7">
                  <c:v>-18.650000000008049</c:v>
                </c:pt>
                <c:pt idx="8">
                  <c:v>-17.750000000006594</c:v>
                </c:pt>
                <c:pt idx="11">
                  <c:v>-17.750000000006594</c:v>
                </c:pt>
                <c:pt idx="12">
                  <c:v>-18.650000000008049</c:v>
                </c:pt>
                <c:pt idx="13">
                  <c:v>-18.250000000008981</c:v>
                </c:pt>
                <c:pt idx="14">
                  <c:v>-18.950000000003797</c:v>
                </c:pt>
                <c:pt idx="15">
                  <c:v>-20.25000000000432</c:v>
                </c:pt>
                <c:pt idx="16">
                  <c:v>-28.750000000002274</c:v>
                </c:pt>
                <c:pt idx="17">
                  <c:v>-27.75000000001171</c:v>
                </c:pt>
                <c:pt idx="18">
                  <c:v>-28.350000000003206</c:v>
                </c:pt>
                <c:pt idx="19">
                  <c:v>-27.850000000000819</c:v>
                </c:pt>
                <c:pt idx="20">
                  <c:v>-28.750000000002274</c:v>
                </c:pt>
                <c:pt idx="21">
                  <c:v>-29.350000000007981</c:v>
                </c:pt>
                <c:pt idx="22">
                  <c:v>-29.750000000007049</c:v>
                </c:pt>
                <c:pt idx="23">
                  <c:v>-29.4500000000113</c:v>
                </c:pt>
                <c:pt idx="24">
                  <c:v>-29.750000000007049</c:v>
                </c:pt>
                <c:pt idx="25">
                  <c:v>-30.350000000012756</c:v>
                </c:pt>
                <c:pt idx="26">
                  <c:v>-30.350000000012756</c:v>
                </c:pt>
                <c:pt idx="27">
                  <c:v>-30.050000000002797</c:v>
                </c:pt>
                <c:pt idx="28">
                  <c:v>-29.850000000010368</c:v>
                </c:pt>
                <c:pt idx="29">
                  <c:v>-30.533333333352175</c:v>
                </c:pt>
                <c:pt idx="30">
                  <c:v>-30.950000000004252</c:v>
                </c:pt>
                <c:pt idx="31">
                  <c:v>-31.450000000006639</c:v>
                </c:pt>
                <c:pt idx="32">
                  <c:v>-30.850000000000932</c:v>
                </c:pt>
                <c:pt idx="33">
                  <c:v>-31.35000000000332</c:v>
                </c:pt>
                <c:pt idx="34">
                  <c:v>-30.850000000000932</c:v>
                </c:pt>
                <c:pt idx="35">
                  <c:v>-31.150000000010891</c:v>
                </c:pt>
                <c:pt idx="36">
                  <c:v>-32.250000000004775</c:v>
                </c:pt>
                <c:pt idx="37">
                  <c:v>-32.050000000012346</c:v>
                </c:pt>
                <c:pt idx="38">
                  <c:v>-31.25</c:v>
                </c:pt>
                <c:pt idx="39">
                  <c:v>-31.450000000006639</c:v>
                </c:pt>
                <c:pt idx="40">
                  <c:v>-31.850000000005707</c:v>
                </c:pt>
                <c:pt idx="41">
                  <c:v>-32.550000000000523</c:v>
                </c:pt>
                <c:pt idx="42">
                  <c:v>-33.05000000000291</c:v>
                </c:pt>
                <c:pt idx="43">
                  <c:v>-32.650000000003843</c:v>
                </c:pt>
                <c:pt idx="44">
                  <c:v>-33.349999999998658</c:v>
                </c:pt>
                <c:pt idx="45">
                  <c:v>-33.25000000000955</c:v>
                </c:pt>
                <c:pt idx="46">
                  <c:v>-33.450000000001978</c:v>
                </c:pt>
                <c:pt idx="47">
                  <c:v>-33.349999999998658</c:v>
                </c:pt>
                <c:pt idx="48">
                  <c:v>-32.850000000010482</c:v>
                </c:pt>
                <c:pt idx="49">
                  <c:v>-33.349999999998658</c:v>
                </c:pt>
                <c:pt idx="50">
                  <c:v>-33.650000000008617</c:v>
                </c:pt>
                <c:pt idx="51">
                  <c:v>-34.250000000000114</c:v>
                </c:pt>
                <c:pt idx="52">
                  <c:v>-33.650000000008617</c:v>
                </c:pt>
                <c:pt idx="53">
                  <c:v>-33.950000000004366</c:v>
                </c:pt>
                <c:pt idx="54">
                  <c:v>-34.350000000003433</c:v>
                </c:pt>
                <c:pt idx="55">
                  <c:v>-33.650000000008617</c:v>
                </c:pt>
                <c:pt idx="56">
                  <c:v>-35.05000000001246</c:v>
                </c:pt>
                <c:pt idx="57">
                  <c:v>-35.650000000003956</c:v>
                </c:pt>
                <c:pt idx="58">
                  <c:v>-35.450000000011528</c:v>
                </c:pt>
                <c:pt idx="59">
                  <c:v>-35.150000000001569</c:v>
                </c:pt>
                <c:pt idx="61">
                  <c:v>-36.250000000009663</c:v>
                </c:pt>
                <c:pt idx="63">
                  <c:v>-36.250000000009663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4B2-45E8-B614-3D32E7EF458F}"/>
            </c:ext>
          </c:extLst>
        </c:ser>
        <c:ser>
          <c:idx val="13"/>
          <c:order val="5"/>
          <c:tx>
            <c:strRef>
              <c:f>Déplacements!$T$9</c:f>
              <c:strCache>
                <c:ptCount val="1"/>
                <c:pt idx="0">
                  <c:v>DZ inter droit</c:v>
                </c:pt>
              </c:strCache>
            </c:strRef>
          </c:tx>
          <c:spPr>
            <a:ln w="19050">
              <a:solidFill>
                <a:srgbClr val="969696"/>
              </a:solidFill>
            </a:ln>
          </c:spPr>
          <c:marker>
            <c:symbol val="circle"/>
            <c:size val="5"/>
            <c:spPr>
              <a:solidFill>
                <a:srgbClr val="969696"/>
              </a:solidFill>
              <a:ln>
                <a:noFill/>
              </a:ln>
            </c:spPr>
          </c:marker>
          <c:xVal>
            <c:numRef>
              <c:f>Convergences!$C$10:$C$33</c:f>
              <c:numCache>
                <c:formatCode>0.0</c:formatCode>
                <c:ptCount val="24"/>
                <c:pt idx="0">
                  <c:v>2.25</c:v>
                </c:pt>
                <c:pt idx="1">
                  <c:v>2.25</c:v>
                </c:pt>
                <c:pt idx="2">
                  <c:v>3.2999999999999829</c:v>
                </c:pt>
                <c:pt idx="3">
                  <c:v>4.2699999999999818</c:v>
                </c:pt>
                <c:pt idx="4">
                  <c:v>5.3299999999999841</c:v>
                </c:pt>
                <c:pt idx="5">
                  <c:v>7.5999999999999943</c:v>
                </c:pt>
                <c:pt idx="6">
                  <c:v>9.1399999999999864</c:v>
                </c:pt>
                <c:pt idx="7">
                  <c:v>9.1399999999999864</c:v>
                </c:pt>
                <c:pt idx="8">
                  <c:v>9.7599999999999909</c:v>
                </c:pt>
                <c:pt idx="11">
                  <c:v>9.7599999999999909</c:v>
                </c:pt>
                <c:pt idx="12">
                  <c:v>10.900000000000006</c:v>
                </c:pt>
                <c:pt idx="13">
                  <c:v>10.900000000000006</c:v>
                </c:pt>
                <c:pt idx="14">
                  <c:v>11.5</c:v>
                </c:pt>
                <c:pt idx="15">
                  <c:v>12.449999999999989</c:v>
                </c:pt>
                <c:pt idx="16">
                  <c:v>13.299999999999983</c:v>
                </c:pt>
                <c:pt idx="17">
                  <c:v>14.400000000000006</c:v>
                </c:pt>
                <c:pt idx="18">
                  <c:v>15.5</c:v>
                </c:pt>
                <c:pt idx="19">
                  <c:v>16.699999999999989</c:v>
                </c:pt>
                <c:pt idx="20">
                  <c:v>18.680000000000007</c:v>
                </c:pt>
                <c:pt idx="21">
                  <c:v>19.699999999999989</c:v>
                </c:pt>
                <c:pt idx="22">
                  <c:v>19.699999999999989</c:v>
                </c:pt>
                <c:pt idx="23">
                  <c:v>22.419999999999987</c:v>
                </c:pt>
              </c:numCache>
            </c:numRef>
          </c:xVal>
          <c:yVal>
            <c:numRef>
              <c:f>Déplacements!$T$10:$T$32</c:f>
              <c:numCache>
                <c:formatCode>\+\ 0.0;\-\ 0.0;\±\ 0.0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0.79999999999813554</c:v>
                </c:pt>
                <c:pt idx="3">
                  <c:v>1.0000000000047748</c:v>
                </c:pt>
                <c:pt idx="4">
                  <c:v>3.6000000000058208</c:v>
                </c:pt>
                <c:pt idx="5">
                  <c:v>0.79999999999813554</c:v>
                </c:pt>
                <c:pt idx="6">
                  <c:v>-0.69999999999481588</c:v>
                </c:pt>
                <c:pt idx="7">
                  <c:v>0.20000000000663931</c:v>
                </c:pt>
                <c:pt idx="8">
                  <c:v>0.20000000000663931</c:v>
                </c:pt>
                <c:pt idx="11">
                  <c:v>0.20000000000663931</c:v>
                </c:pt>
                <c:pt idx="12">
                  <c:v>0.30000000000995897</c:v>
                </c:pt>
                <c:pt idx="13">
                  <c:v>0.80000000001234639</c:v>
                </c:pt>
                <c:pt idx="14">
                  <c:v>1.1000000000080945</c:v>
                </c:pt>
                <c:pt idx="15">
                  <c:v>0.40000000001327862</c:v>
                </c:pt>
                <c:pt idx="16">
                  <c:v>0.50000000001659828</c:v>
                </c:pt>
                <c:pt idx="17">
                  <c:v>1.2000000000114142</c:v>
                </c:pt>
                <c:pt idx="18">
                  <c:v>0.80000000001234639</c:v>
                </c:pt>
                <c:pt idx="19">
                  <c:v>1.6000000000104819</c:v>
                </c:pt>
                <c:pt idx="20">
                  <c:v>1.0000000000189857</c:v>
                </c:pt>
                <c:pt idx="21">
                  <c:v>0.40000000001327862</c:v>
                </c:pt>
                <c:pt idx="22">
                  <c:v>0.20000000000663931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4B2-45E8-B614-3D32E7EF458F}"/>
            </c:ext>
          </c:extLst>
        </c:ser>
        <c:ser>
          <c:idx val="9"/>
          <c:order val="6"/>
          <c:tx>
            <c:strRef>
              <c:f>Déplacements!$W$9</c:f>
              <c:strCache>
                <c:ptCount val="1"/>
                <c:pt idx="0">
                  <c:v>DZ bas droit</c:v>
                </c:pt>
              </c:strCache>
            </c:strRef>
          </c:tx>
          <c:spPr>
            <a:ln w="19050">
              <a:solidFill>
                <a:srgbClr val="00FF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FF00"/>
              </a:solidFill>
              <a:ln>
                <a:noFill/>
              </a:ln>
            </c:spPr>
          </c:marker>
          <c:xVal>
            <c:numRef>
              <c:f>Convergences!$C$10:$C$133</c:f>
              <c:numCache>
                <c:formatCode>0.0</c:formatCode>
                <c:ptCount val="124"/>
                <c:pt idx="0">
                  <c:v>2.25</c:v>
                </c:pt>
                <c:pt idx="1">
                  <c:v>2.25</c:v>
                </c:pt>
                <c:pt idx="2">
                  <c:v>3.2999999999999829</c:v>
                </c:pt>
                <c:pt idx="3">
                  <c:v>4.2699999999999818</c:v>
                </c:pt>
                <c:pt idx="4">
                  <c:v>5.3299999999999841</c:v>
                </c:pt>
                <c:pt idx="5">
                  <c:v>7.5999999999999943</c:v>
                </c:pt>
                <c:pt idx="6">
                  <c:v>9.1399999999999864</c:v>
                </c:pt>
                <c:pt idx="7">
                  <c:v>9.1399999999999864</c:v>
                </c:pt>
                <c:pt idx="8">
                  <c:v>9.7599999999999909</c:v>
                </c:pt>
                <c:pt idx="11">
                  <c:v>9.7599999999999909</c:v>
                </c:pt>
                <c:pt idx="12">
                  <c:v>10.900000000000006</c:v>
                </c:pt>
                <c:pt idx="13">
                  <c:v>10.900000000000006</c:v>
                </c:pt>
                <c:pt idx="14">
                  <c:v>11.5</c:v>
                </c:pt>
                <c:pt idx="15">
                  <c:v>12.449999999999989</c:v>
                </c:pt>
                <c:pt idx="16">
                  <c:v>13.299999999999983</c:v>
                </c:pt>
                <c:pt idx="17">
                  <c:v>14.400000000000006</c:v>
                </c:pt>
                <c:pt idx="18">
                  <c:v>15.5</c:v>
                </c:pt>
                <c:pt idx="19">
                  <c:v>16.699999999999989</c:v>
                </c:pt>
                <c:pt idx="20">
                  <c:v>18.680000000000007</c:v>
                </c:pt>
                <c:pt idx="21">
                  <c:v>19.699999999999989</c:v>
                </c:pt>
                <c:pt idx="22">
                  <c:v>19.699999999999989</c:v>
                </c:pt>
                <c:pt idx="23">
                  <c:v>22.419999999999987</c:v>
                </c:pt>
                <c:pt idx="24">
                  <c:v>22.419999999999987</c:v>
                </c:pt>
                <c:pt idx="25">
                  <c:v>22.419999999999987</c:v>
                </c:pt>
                <c:pt idx="26">
                  <c:v>22.419999999999987</c:v>
                </c:pt>
                <c:pt idx="27">
                  <c:v>23.299999999999983</c:v>
                </c:pt>
                <c:pt idx="28">
                  <c:v>24.400000000000006</c:v>
                </c:pt>
                <c:pt idx="29">
                  <c:v>27.549999999999983</c:v>
                </c:pt>
                <c:pt idx="30">
                  <c:v>29.599999999999994</c:v>
                </c:pt>
                <c:pt idx="31">
                  <c:v>30.079999999999984</c:v>
                </c:pt>
                <c:pt idx="32">
                  <c:v>31.099999999999994</c:v>
                </c:pt>
                <c:pt idx="33">
                  <c:v>31.659999999999997</c:v>
                </c:pt>
                <c:pt idx="34">
                  <c:v>32.97</c:v>
                </c:pt>
                <c:pt idx="35">
                  <c:v>33.97</c:v>
                </c:pt>
                <c:pt idx="36">
                  <c:v>35</c:v>
                </c:pt>
                <c:pt idx="37">
                  <c:v>35</c:v>
                </c:pt>
                <c:pt idx="38">
                  <c:v>36.599999999999994</c:v>
                </c:pt>
                <c:pt idx="39">
                  <c:v>37.799999999999983</c:v>
                </c:pt>
                <c:pt idx="40">
                  <c:v>39</c:v>
                </c:pt>
                <c:pt idx="41">
                  <c:v>39</c:v>
                </c:pt>
                <c:pt idx="42">
                  <c:v>39</c:v>
                </c:pt>
                <c:pt idx="43">
                  <c:v>39</c:v>
                </c:pt>
                <c:pt idx="44">
                  <c:v>39</c:v>
                </c:pt>
                <c:pt idx="45">
                  <c:v>39</c:v>
                </c:pt>
                <c:pt idx="46">
                  <c:v>39</c:v>
                </c:pt>
                <c:pt idx="47">
                  <c:v>39</c:v>
                </c:pt>
                <c:pt idx="48">
                  <c:v>39</c:v>
                </c:pt>
                <c:pt idx="49">
                  <c:v>39</c:v>
                </c:pt>
                <c:pt idx="50">
                  <c:v>39</c:v>
                </c:pt>
                <c:pt idx="51">
                  <c:v>39</c:v>
                </c:pt>
                <c:pt idx="52">
                  <c:v>39</c:v>
                </c:pt>
                <c:pt idx="53">
                  <c:v>39</c:v>
                </c:pt>
                <c:pt idx="54">
                  <c:v>39</c:v>
                </c:pt>
                <c:pt idx="55">
                  <c:v>39</c:v>
                </c:pt>
                <c:pt idx="56">
                  <c:v>39</c:v>
                </c:pt>
                <c:pt idx="57">
                  <c:v>39</c:v>
                </c:pt>
                <c:pt idx="58">
                  <c:v>39</c:v>
                </c:pt>
                <c:pt idx="59">
                  <c:v>39</c:v>
                </c:pt>
                <c:pt idx="61">
                  <c:v>39</c:v>
                </c:pt>
                <c:pt idx="63">
                  <c:v>39</c:v>
                </c:pt>
                <c:pt idx="65">
                  <c:v>39</c:v>
                </c:pt>
                <c:pt idx="66">
                  <c:v>39</c:v>
                </c:pt>
                <c:pt idx="67">
                  <c:v>39</c:v>
                </c:pt>
                <c:pt idx="69">
                  <c:v>39</c:v>
                </c:pt>
                <c:pt idx="70">
                  <c:v>39</c:v>
                </c:pt>
                <c:pt idx="71">
                  <c:v>39</c:v>
                </c:pt>
                <c:pt idx="72">
                  <c:v>39</c:v>
                </c:pt>
                <c:pt idx="73">
                  <c:v>39</c:v>
                </c:pt>
                <c:pt idx="74">
                  <c:v>39</c:v>
                </c:pt>
                <c:pt idx="75">
                  <c:v>39</c:v>
                </c:pt>
                <c:pt idx="76">
                  <c:v>39</c:v>
                </c:pt>
                <c:pt idx="77">
                  <c:v>39</c:v>
                </c:pt>
                <c:pt idx="78">
                  <c:v>39</c:v>
                </c:pt>
                <c:pt idx="79">
                  <c:v>39</c:v>
                </c:pt>
                <c:pt idx="80">
                  <c:v>39</c:v>
                </c:pt>
                <c:pt idx="81">
                  <c:v>39</c:v>
                </c:pt>
                <c:pt idx="82">
                  <c:v>39</c:v>
                </c:pt>
                <c:pt idx="83">
                  <c:v>39</c:v>
                </c:pt>
                <c:pt idx="84">
                  <c:v>39</c:v>
                </c:pt>
                <c:pt idx="85">
                  <c:v>39</c:v>
                </c:pt>
                <c:pt idx="86">
                  <c:v>39</c:v>
                </c:pt>
                <c:pt idx="87">
                  <c:v>39</c:v>
                </c:pt>
                <c:pt idx="88">
                  <c:v>39</c:v>
                </c:pt>
                <c:pt idx="89">
                  <c:v>39</c:v>
                </c:pt>
                <c:pt idx="90">
                  <c:v>39</c:v>
                </c:pt>
                <c:pt idx="91">
                  <c:v>39</c:v>
                </c:pt>
                <c:pt idx="92">
                  <c:v>39</c:v>
                </c:pt>
                <c:pt idx="93">
                  <c:v>39</c:v>
                </c:pt>
                <c:pt idx="94">
                  <c:v>39</c:v>
                </c:pt>
                <c:pt idx="95">
                  <c:v>39</c:v>
                </c:pt>
                <c:pt idx="96">
                  <c:v>39</c:v>
                </c:pt>
                <c:pt idx="97">
                  <c:v>39</c:v>
                </c:pt>
              </c:numCache>
            </c:numRef>
          </c:xVal>
          <c:yVal>
            <c:numRef>
              <c:f>Déplacements!$W$10:$W$132</c:f>
              <c:numCache>
                <c:formatCode>\+\ 0.0;\-\ 0.0;\±\ 0.0</c:formatCode>
                <c:ptCount val="123"/>
                <c:pt idx="0">
                  <c:v>0</c:v>
                </c:pt>
                <c:pt idx="1">
                  <c:v>0.29999999999574811</c:v>
                </c:pt>
                <c:pt idx="2">
                  <c:v>0.90000000000145519</c:v>
                </c:pt>
                <c:pt idx="3">
                  <c:v>1.0999999999938836</c:v>
                </c:pt>
                <c:pt idx="4">
                  <c:v>-30.200000000007776</c:v>
                </c:pt>
                <c:pt idx="5">
                  <c:v>-32.700000000005502</c:v>
                </c:pt>
                <c:pt idx="6">
                  <c:v>-34.300000000001774</c:v>
                </c:pt>
                <c:pt idx="7">
                  <c:v>-33.299999999996999</c:v>
                </c:pt>
                <c:pt idx="8">
                  <c:v>-33.10000000000457</c:v>
                </c:pt>
                <c:pt idx="11">
                  <c:v>-33.000000000001251</c:v>
                </c:pt>
                <c:pt idx="12">
                  <c:v>-32.799999999994611</c:v>
                </c:pt>
                <c:pt idx="13">
                  <c:v>-31.999999999996476</c:v>
                </c:pt>
                <c:pt idx="14">
                  <c:v>-31.899999999993156</c:v>
                </c:pt>
                <c:pt idx="15">
                  <c:v>-32.299999999992224</c:v>
                </c:pt>
                <c:pt idx="16">
                  <c:v>-32.299999999992224</c:v>
                </c:pt>
                <c:pt idx="17">
                  <c:v>-31.700000000000728</c:v>
                </c:pt>
                <c:pt idx="18">
                  <c:v>-31.899999999993156</c:v>
                </c:pt>
                <c:pt idx="19">
                  <c:v>-31.099999999995021</c:v>
                </c:pt>
                <c:pt idx="20">
                  <c:v>-31.899999999993156</c:v>
                </c:pt>
                <c:pt idx="21">
                  <c:v>-32.499999999998863</c:v>
                </c:pt>
                <c:pt idx="23">
                  <c:v>-31.899999999993156</c:v>
                </c:pt>
                <c:pt idx="24">
                  <c:v>-31.899999999993156</c:v>
                </c:pt>
                <c:pt idx="25">
                  <c:v>-32.299999999992224</c:v>
                </c:pt>
                <c:pt idx="27">
                  <c:v>-31.800000000004047</c:v>
                </c:pt>
                <c:pt idx="28">
                  <c:v>-31.733333333320957</c:v>
                </c:pt>
                <c:pt idx="29">
                  <c:v>-31.983333333329256</c:v>
                </c:pt>
                <c:pt idx="30">
                  <c:v>-31.999999999996476</c:v>
                </c:pt>
                <c:pt idx="31">
                  <c:v>-32.099999999999795</c:v>
                </c:pt>
                <c:pt idx="32">
                  <c:v>-32.299999999992224</c:v>
                </c:pt>
                <c:pt idx="33">
                  <c:v>-32.799999999994611</c:v>
                </c:pt>
                <c:pt idx="34">
                  <c:v>-31.800000000004047</c:v>
                </c:pt>
                <c:pt idx="35">
                  <c:v>-31.400000000004979</c:v>
                </c:pt>
                <c:pt idx="36">
                  <c:v>-32.099999999999795</c:v>
                </c:pt>
                <c:pt idx="37">
                  <c:v>-31.700000000000728</c:v>
                </c:pt>
                <c:pt idx="38">
                  <c:v>-31.19999999999834</c:v>
                </c:pt>
                <c:pt idx="39">
                  <c:v>-31.19999999999834</c:v>
                </c:pt>
                <c:pt idx="40">
                  <c:v>-31.400000000004979</c:v>
                </c:pt>
                <c:pt idx="41">
                  <c:v>-31.599999999997408</c:v>
                </c:pt>
                <c:pt idx="42">
                  <c:v>-31.700000000000728</c:v>
                </c:pt>
                <c:pt idx="43">
                  <c:v>-31.30000000000166</c:v>
                </c:pt>
                <c:pt idx="44">
                  <c:v>-31.999999999996476</c:v>
                </c:pt>
                <c:pt idx="45">
                  <c:v>-31.499999999994088</c:v>
                </c:pt>
                <c:pt idx="46">
                  <c:v>-31.30000000000166</c:v>
                </c:pt>
                <c:pt idx="47">
                  <c:v>-31.19999999999834</c:v>
                </c:pt>
                <c:pt idx="48">
                  <c:v>-31.30000000000166</c:v>
                </c:pt>
                <c:pt idx="49">
                  <c:v>-31.19999999999834</c:v>
                </c:pt>
                <c:pt idx="50">
                  <c:v>-30.999999999991701</c:v>
                </c:pt>
                <c:pt idx="51">
                  <c:v>-31.099999999995021</c:v>
                </c:pt>
                <c:pt idx="52">
                  <c:v>-30.799999999999272</c:v>
                </c:pt>
                <c:pt idx="53">
                  <c:v>-30.799999999999272</c:v>
                </c:pt>
                <c:pt idx="54">
                  <c:v>-31.099999999995021</c:v>
                </c:pt>
                <c:pt idx="55">
                  <c:v>-30.500000000003524</c:v>
                </c:pt>
                <c:pt idx="56">
                  <c:v>-31.099999999995021</c:v>
                </c:pt>
                <c:pt idx="57">
                  <c:v>-31.19999999999834</c:v>
                </c:pt>
                <c:pt idx="58">
                  <c:v>-30.799999999999272</c:v>
                </c:pt>
                <c:pt idx="59">
                  <c:v>-30.799999999999272</c:v>
                </c:pt>
                <c:pt idx="61">
                  <c:v>-31.099999999995021</c:v>
                </c:pt>
                <c:pt idx="63">
                  <c:v>-31.099999999995021</c:v>
                </c:pt>
                <c:pt idx="69">
                  <c:v>-30.699999999995953</c:v>
                </c:pt>
                <c:pt idx="70">
                  <c:v>-31.499999999979877</c:v>
                </c:pt>
                <c:pt idx="71">
                  <c:v>-32.099999999985585</c:v>
                </c:pt>
                <c:pt idx="72">
                  <c:v>-31.799999999989836</c:v>
                </c:pt>
                <c:pt idx="73">
                  <c:v>-31.699999999986517</c:v>
                </c:pt>
                <c:pt idx="74">
                  <c:v>-31.399999999990769</c:v>
                </c:pt>
                <c:pt idx="75">
                  <c:v>-29.599999999987858</c:v>
                </c:pt>
                <c:pt idx="76">
                  <c:v>-30.899999999988381</c:v>
                </c:pt>
                <c:pt idx="77">
                  <c:v>-30.999999999991701</c:v>
                </c:pt>
                <c:pt idx="78">
                  <c:v>-30.799999999985062</c:v>
                </c:pt>
                <c:pt idx="79">
                  <c:v>-31.599999999983197</c:v>
                </c:pt>
                <c:pt idx="80">
                  <c:v>-31.099999999995021</c:v>
                </c:pt>
                <c:pt idx="81">
                  <c:v>-31.099999999995021</c:v>
                </c:pt>
                <c:pt idx="82">
                  <c:v>-31.299999999987449</c:v>
                </c:pt>
                <c:pt idx="83">
                  <c:v>-30.899999999988381</c:v>
                </c:pt>
                <c:pt idx="84">
                  <c:v>-32.399999999995543</c:v>
                </c:pt>
                <c:pt idx="85">
                  <c:v>-31.099999999995021</c:v>
                </c:pt>
                <c:pt idx="86">
                  <c:v>-31.499999999994088</c:v>
                </c:pt>
                <c:pt idx="87">
                  <c:v>-30.999999999991701</c:v>
                </c:pt>
                <c:pt idx="88">
                  <c:v>-31.399999999990769</c:v>
                </c:pt>
                <c:pt idx="89">
                  <c:v>-31.399999999990769</c:v>
                </c:pt>
                <c:pt idx="90">
                  <c:v>-30.474999999981378</c:v>
                </c:pt>
                <c:pt idx="91">
                  <c:v>-29.899999999983606</c:v>
                </c:pt>
                <c:pt idx="94">
                  <c:v>-30.599999999992633</c:v>
                </c:pt>
                <c:pt idx="95">
                  <c:v>-30.399999999985994</c:v>
                </c:pt>
                <c:pt idx="96">
                  <c:v>-30.599999999992633</c:v>
                </c:pt>
                <c:pt idx="97">
                  <c:v>-31.099999999995021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4B2-45E8-B614-3D32E7EF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021416"/>
        <c:axId val="595021024"/>
      </c:scatterChart>
      <c:valAx>
        <c:axId val="59502141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sz="800" b="1"/>
                </a:pPr>
                <a:r>
                  <a:rPr lang="fr-FR" sz="800" b="1"/>
                  <a:t>Distance au front [m]</a:t>
                </a:r>
              </a:p>
            </c:rich>
          </c:tx>
          <c:overlay val="0"/>
        </c:title>
        <c:numFmt formatCode="#\ ##0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595021024"/>
        <c:crossesAt val="0"/>
        <c:crossBetween val="midCat"/>
      </c:valAx>
      <c:valAx>
        <c:axId val="595021024"/>
        <c:scaling>
          <c:orientation val="minMax"/>
          <c:max val="10"/>
          <c:min val="-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/>
        <c:title>
          <c:tx>
            <c:rich>
              <a:bodyPr/>
              <a:lstStyle/>
              <a:p>
                <a:pPr>
                  <a:defRPr sz="800" b="1"/>
                </a:pPr>
                <a:r>
                  <a:rPr lang="fr-FR" sz="800" b="1"/>
                  <a:t>Déplacement</a:t>
                </a:r>
                <a:r>
                  <a:rPr lang="fr-FR" sz="800" b="1" baseline="0"/>
                  <a:t> en Z</a:t>
                </a:r>
                <a:r>
                  <a:rPr lang="fr-FR" sz="800" b="1"/>
                  <a:t> [mm]</a:t>
                </a:r>
              </a:p>
            </c:rich>
          </c:tx>
          <c:overlay val="0"/>
        </c:title>
        <c:numFmt formatCode="\+\ 0.0;\-\ 0.0;\±\ 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595021416"/>
        <c:crosses val="autoZero"/>
        <c:crossBetween val="midCat"/>
        <c:majorUnit val="10"/>
      </c:valAx>
      <c:spPr>
        <a:noFill/>
        <a:ln w="25400">
          <a:noFill/>
        </a:ln>
      </c:spPr>
    </c:plotArea>
    <c:legend>
      <c:legendPos val="b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span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433" footer="0.49212598450000433"/>
    <c:pageSetup paperSize="9" orientation="landscape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0">
              <a:defRPr lang="fr-FR" sz="1000" b="1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000" b="1" i="0" u="none" strike="noStrike" baseline="0">
                <a:effectLst/>
              </a:rPr>
              <a:t>Déplacement en PM
</a:t>
            </a:r>
            <a:endParaRPr lang="en-US" sz="1000" b="1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endParaRP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7"/>
          <c:order val="0"/>
          <c:tx>
            <c:strRef>
              <c:f>Déplacements!$C$9</c:f>
              <c:strCache>
                <c:ptCount val="1"/>
                <c:pt idx="0">
                  <c:v>DPM bas gauche</c:v>
                </c:pt>
              </c:strCache>
            </c:strRef>
          </c:tx>
          <c:spPr>
            <a:ln w="19050">
              <a:solidFill>
                <a:srgbClr val="00008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002060"/>
              </a:solidFill>
              <a:ln>
                <a:solidFill>
                  <a:srgbClr val="000080"/>
                </a:solidFill>
              </a:ln>
            </c:spPr>
          </c:marker>
          <c:xVal>
            <c:numRef>
              <c:f>Convergences!$C$10:$C$100</c:f>
              <c:numCache>
                <c:formatCode>0.0</c:formatCode>
                <c:ptCount val="91"/>
                <c:pt idx="0">
                  <c:v>2.25</c:v>
                </c:pt>
                <c:pt idx="1">
                  <c:v>2.25</c:v>
                </c:pt>
                <c:pt idx="2">
                  <c:v>3.2999999999999829</c:v>
                </c:pt>
                <c:pt idx="3">
                  <c:v>4.2699999999999818</c:v>
                </c:pt>
                <c:pt idx="4">
                  <c:v>5.3299999999999841</c:v>
                </c:pt>
                <c:pt idx="5">
                  <c:v>7.5999999999999943</c:v>
                </c:pt>
                <c:pt idx="6">
                  <c:v>9.1399999999999864</c:v>
                </c:pt>
                <c:pt idx="7">
                  <c:v>9.1399999999999864</c:v>
                </c:pt>
                <c:pt idx="8">
                  <c:v>9.7599999999999909</c:v>
                </c:pt>
                <c:pt idx="11">
                  <c:v>9.7599999999999909</c:v>
                </c:pt>
                <c:pt idx="12">
                  <c:v>10.900000000000006</c:v>
                </c:pt>
                <c:pt idx="13">
                  <c:v>10.900000000000006</c:v>
                </c:pt>
                <c:pt idx="14">
                  <c:v>11.5</c:v>
                </c:pt>
                <c:pt idx="15">
                  <c:v>12.449999999999989</c:v>
                </c:pt>
                <c:pt idx="16">
                  <c:v>13.299999999999983</c:v>
                </c:pt>
                <c:pt idx="17">
                  <c:v>14.400000000000006</c:v>
                </c:pt>
                <c:pt idx="18">
                  <c:v>15.5</c:v>
                </c:pt>
                <c:pt idx="19">
                  <c:v>16.699999999999989</c:v>
                </c:pt>
                <c:pt idx="20">
                  <c:v>18.680000000000007</c:v>
                </c:pt>
                <c:pt idx="21">
                  <c:v>19.699999999999989</c:v>
                </c:pt>
                <c:pt idx="22">
                  <c:v>19.699999999999989</c:v>
                </c:pt>
                <c:pt idx="23">
                  <c:v>22.419999999999987</c:v>
                </c:pt>
                <c:pt idx="24">
                  <c:v>22.419999999999987</c:v>
                </c:pt>
                <c:pt idx="25">
                  <c:v>22.419999999999987</c:v>
                </c:pt>
                <c:pt idx="26">
                  <c:v>22.419999999999987</c:v>
                </c:pt>
                <c:pt idx="27">
                  <c:v>23.299999999999983</c:v>
                </c:pt>
                <c:pt idx="28">
                  <c:v>24.400000000000006</c:v>
                </c:pt>
                <c:pt idx="29">
                  <c:v>27.549999999999983</c:v>
                </c:pt>
                <c:pt idx="30">
                  <c:v>29.599999999999994</c:v>
                </c:pt>
                <c:pt idx="31">
                  <c:v>30.079999999999984</c:v>
                </c:pt>
                <c:pt idx="32">
                  <c:v>31.099999999999994</c:v>
                </c:pt>
                <c:pt idx="33">
                  <c:v>31.659999999999997</c:v>
                </c:pt>
                <c:pt idx="34">
                  <c:v>32.97</c:v>
                </c:pt>
                <c:pt idx="35">
                  <c:v>33.97</c:v>
                </c:pt>
                <c:pt idx="36">
                  <c:v>35</c:v>
                </c:pt>
                <c:pt idx="37">
                  <c:v>35</c:v>
                </c:pt>
                <c:pt idx="38">
                  <c:v>36.599999999999994</c:v>
                </c:pt>
                <c:pt idx="39">
                  <c:v>37.799999999999983</c:v>
                </c:pt>
                <c:pt idx="40">
                  <c:v>39</c:v>
                </c:pt>
                <c:pt idx="41">
                  <c:v>39</c:v>
                </c:pt>
                <c:pt idx="42">
                  <c:v>39</c:v>
                </c:pt>
                <c:pt idx="43">
                  <c:v>39</c:v>
                </c:pt>
                <c:pt idx="44">
                  <c:v>39</c:v>
                </c:pt>
                <c:pt idx="45">
                  <c:v>39</c:v>
                </c:pt>
                <c:pt idx="46">
                  <c:v>39</c:v>
                </c:pt>
                <c:pt idx="47">
                  <c:v>39</c:v>
                </c:pt>
                <c:pt idx="48">
                  <c:v>39</c:v>
                </c:pt>
                <c:pt idx="49">
                  <c:v>39</c:v>
                </c:pt>
                <c:pt idx="50">
                  <c:v>39</c:v>
                </c:pt>
                <c:pt idx="51">
                  <c:v>39</c:v>
                </c:pt>
                <c:pt idx="52">
                  <c:v>39</c:v>
                </c:pt>
                <c:pt idx="53">
                  <c:v>39</c:v>
                </c:pt>
                <c:pt idx="54">
                  <c:v>39</c:v>
                </c:pt>
                <c:pt idx="55">
                  <c:v>39</c:v>
                </c:pt>
                <c:pt idx="56">
                  <c:v>39</c:v>
                </c:pt>
                <c:pt idx="57">
                  <c:v>39</c:v>
                </c:pt>
                <c:pt idx="58">
                  <c:v>39</c:v>
                </c:pt>
                <c:pt idx="59">
                  <c:v>39</c:v>
                </c:pt>
                <c:pt idx="61">
                  <c:v>39</c:v>
                </c:pt>
                <c:pt idx="63">
                  <c:v>39</c:v>
                </c:pt>
                <c:pt idx="65">
                  <c:v>39</c:v>
                </c:pt>
                <c:pt idx="66">
                  <c:v>39</c:v>
                </c:pt>
                <c:pt idx="67">
                  <c:v>39</c:v>
                </c:pt>
                <c:pt idx="69">
                  <c:v>39</c:v>
                </c:pt>
                <c:pt idx="70">
                  <c:v>39</c:v>
                </c:pt>
                <c:pt idx="71">
                  <c:v>39</c:v>
                </c:pt>
                <c:pt idx="72">
                  <c:v>39</c:v>
                </c:pt>
                <c:pt idx="73">
                  <c:v>39</c:v>
                </c:pt>
                <c:pt idx="74">
                  <c:v>39</c:v>
                </c:pt>
                <c:pt idx="75">
                  <c:v>39</c:v>
                </c:pt>
                <c:pt idx="76">
                  <c:v>39</c:v>
                </c:pt>
                <c:pt idx="77">
                  <c:v>39</c:v>
                </c:pt>
                <c:pt idx="78">
                  <c:v>39</c:v>
                </c:pt>
                <c:pt idx="79">
                  <c:v>39</c:v>
                </c:pt>
                <c:pt idx="80">
                  <c:v>39</c:v>
                </c:pt>
                <c:pt idx="81">
                  <c:v>39</c:v>
                </c:pt>
                <c:pt idx="82">
                  <c:v>39</c:v>
                </c:pt>
                <c:pt idx="83">
                  <c:v>39</c:v>
                </c:pt>
                <c:pt idx="84">
                  <c:v>39</c:v>
                </c:pt>
                <c:pt idx="85">
                  <c:v>39</c:v>
                </c:pt>
                <c:pt idx="86">
                  <c:v>39</c:v>
                </c:pt>
                <c:pt idx="87">
                  <c:v>39</c:v>
                </c:pt>
                <c:pt idx="88">
                  <c:v>39</c:v>
                </c:pt>
                <c:pt idx="89">
                  <c:v>39</c:v>
                </c:pt>
                <c:pt idx="90">
                  <c:v>39</c:v>
                </c:pt>
              </c:numCache>
            </c:numRef>
          </c:xVal>
          <c:yVal>
            <c:numRef>
              <c:f>Déplacements!$C$10:$C$100</c:f>
              <c:numCache>
                <c:formatCode>\+\ 0.0;\-\ 0.0;\±\ 0.0</c:formatCode>
                <c:ptCount val="91"/>
                <c:pt idx="0">
                  <c:v>0</c:v>
                </c:pt>
                <c:pt idx="1">
                  <c:v>2.5071236418909848</c:v>
                </c:pt>
                <c:pt idx="2">
                  <c:v>2.2775013930242949</c:v>
                </c:pt>
                <c:pt idx="3">
                  <c:v>3.4805026640185588</c:v>
                </c:pt>
                <c:pt idx="4">
                  <c:v>1.4570189365770148</c:v>
                </c:pt>
                <c:pt idx="5">
                  <c:v>-0.28280590231588576</c:v>
                </c:pt>
                <c:pt idx="6">
                  <c:v>-0.46577964334915123</c:v>
                </c:pt>
                <c:pt idx="7">
                  <c:v>-0.98515003344346042</c:v>
                </c:pt>
                <c:pt idx="8">
                  <c:v>-0.84707964336416808</c:v>
                </c:pt>
                <c:pt idx="11">
                  <c:v>-0.64707964335752877</c:v>
                </c:pt>
                <c:pt idx="12">
                  <c:v>-1.8440098424434836</c:v>
                </c:pt>
                <c:pt idx="13">
                  <c:v>-1.4030796433530668</c:v>
                </c:pt>
                <c:pt idx="14">
                  <c:v>-0.54707964335420911</c:v>
                </c:pt>
                <c:pt idx="15">
                  <c:v>-0.74707964336084842</c:v>
                </c:pt>
                <c:pt idx="16">
                  <c:v>-0.39351610377025281</c:v>
                </c:pt>
                <c:pt idx="17">
                  <c:v>1.1529203566453816</c:v>
                </c:pt>
                <c:pt idx="18">
                  <c:v>-4.7079643366032542E-2</c:v>
                </c:pt>
                <c:pt idx="19">
                  <c:v>1.3529203566235992</c:v>
                </c:pt>
                <c:pt idx="20">
                  <c:v>-4.7079643366032542E-2</c:v>
                </c:pt>
                <c:pt idx="21">
                  <c:v>0.15292035664060677</c:v>
                </c:pt>
                <c:pt idx="22">
                  <c:v>5.2920356637287114E-2</c:v>
                </c:pt>
                <c:pt idx="23">
                  <c:v>-0.64707964335752877</c:v>
                </c:pt>
                <c:pt idx="24">
                  <c:v>-1.147079643374127</c:v>
                </c:pt>
                <c:pt idx="25">
                  <c:v>-0.84707964336416808</c:v>
                </c:pt>
                <c:pt idx="26">
                  <c:v>-1.3470796433523446</c:v>
                </c:pt>
                <c:pt idx="27">
                  <c:v>0.15292035664060677</c:v>
                </c:pt>
                <c:pt idx="28">
                  <c:v>-1.5481533474996922</c:v>
                </c:pt>
                <c:pt idx="29">
                  <c:v>-1.3610308590159548</c:v>
                </c:pt>
                <c:pt idx="30">
                  <c:v>-0.45975015299859479</c:v>
                </c:pt>
                <c:pt idx="31">
                  <c:v>-0.29068934094311771</c:v>
                </c:pt>
                <c:pt idx="32">
                  <c:v>1.6434444034700846</c:v>
                </c:pt>
                <c:pt idx="33">
                  <c:v>0.31889346698221743</c:v>
                </c:pt>
                <c:pt idx="34">
                  <c:v>0.96024956619089608</c:v>
                </c:pt>
                <c:pt idx="35">
                  <c:v>-1.0584146334622346</c:v>
                </c:pt>
                <c:pt idx="36">
                  <c:v>0.25292035664392643</c:v>
                </c:pt>
                <c:pt idx="37">
                  <c:v>-2.1470796433504802</c:v>
                </c:pt>
                <c:pt idx="38">
                  <c:v>-0.74707964336084842</c:v>
                </c:pt>
                <c:pt idx="39">
                  <c:v>-1.147079643374127</c:v>
                </c:pt>
                <c:pt idx="40">
                  <c:v>-4.7079643366032542E-2</c:v>
                </c:pt>
                <c:pt idx="41">
                  <c:v>-1.547079643358984</c:v>
                </c:pt>
                <c:pt idx="42">
                  <c:v>-2.4470796433604391</c:v>
                </c:pt>
                <c:pt idx="43">
                  <c:v>-2.1455385490583012</c:v>
                </c:pt>
                <c:pt idx="44">
                  <c:v>-1.547079643358984</c:v>
                </c:pt>
                <c:pt idx="45">
                  <c:v>-1.6470796433623036</c:v>
                </c:pt>
                <c:pt idx="46">
                  <c:v>-1.4470796433556643</c:v>
                </c:pt>
                <c:pt idx="47">
                  <c:v>-0.94707964336748773</c:v>
                </c:pt>
                <c:pt idx="48">
                  <c:v>0.15292035664060677</c:v>
                </c:pt>
                <c:pt idx="49">
                  <c:v>0.35292035664724608</c:v>
                </c:pt>
                <c:pt idx="50">
                  <c:v>-1.0470796433708074</c:v>
                </c:pt>
                <c:pt idx="51">
                  <c:v>-1.9470796433722626</c:v>
                </c:pt>
                <c:pt idx="52">
                  <c:v>-0.44707964335088946</c:v>
                </c:pt>
                <c:pt idx="53">
                  <c:v>-0.64707964335752877</c:v>
                </c:pt>
                <c:pt idx="54">
                  <c:v>0.65292035662878334</c:v>
                </c:pt>
                <c:pt idx="55">
                  <c:v>-1.0470796433708074</c:v>
                </c:pt>
                <c:pt idx="56">
                  <c:v>-4.7079643366032542E-2</c:v>
                </c:pt>
                <c:pt idx="57">
                  <c:v>-0.64707964335752877</c:v>
                </c:pt>
                <c:pt idx="58">
                  <c:v>-0.31465816252307377</c:v>
                </c:pt>
                <c:pt idx="59">
                  <c:v>0.53107239440919329</c:v>
                </c:pt>
                <c:pt idx="61">
                  <c:v>-7.3264600018774217E-2</c:v>
                </c:pt>
                <c:pt idx="63">
                  <c:v>-7.3264600018774217E-2</c:v>
                </c:pt>
                <c:pt idx="69">
                  <c:v>0.68963221431772581</c:v>
                </c:pt>
                <c:pt idx="70">
                  <c:v>0.88308823910665524</c:v>
                </c:pt>
                <c:pt idx="71">
                  <c:v>0.2308138124362813</c:v>
                </c:pt>
                <c:pt idx="72">
                  <c:v>-0.63321305211161416</c:v>
                </c:pt>
                <c:pt idx="73">
                  <c:v>-0.92297064190915989</c:v>
                </c:pt>
                <c:pt idx="74">
                  <c:v>-0.61491674452440748</c:v>
                </c:pt>
                <c:pt idx="75">
                  <c:v>-0.82624268580389071</c:v>
                </c:pt>
                <c:pt idx="76">
                  <c:v>-0.94084066390109911</c:v>
                </c:pt>
                <c:pt idx="77">
                  <c:v>-2.439271933155851</c:v>
                </c:pt>
                <c:pt idx="78">
                  <c:v>-1.9682559249076803</c:v>
                </c:pt>
                <c:pt idx="79">
                  <c:v>-2.0288174601716946</c:v>
                </c:pt>
                <c:pt idx="80">
                  <c:v>-2.2161747837685652</c:v>
                </c:pt>
                <c:pt idx="81">
                  <c:v>-3.1830284111720175</c:v>
                </c:pt>
                <c:pt idx="82">
                  <c:v>-2.4575683462728648</c:v>
                </c:pt>
                <c:pt idx="83">
                  <c:v>-1.7687011004738906</c:v>
                </c:pt>
                <c:pt idx="84">
                  <c:v>-1.291586285503854</c:v>
                </c:pt>
                <c:pt idx="85">
                  <c:v>-3.1342379856482694</c:v>
                </c:pt>
                <c:pt idx="86">
                  <c:v>-2.3307727618373519</c:v>
                </c:pt>
                <c:pt idx="87">
                  <c:v>-2.8745480171608051</c:v>
                </c:pt>
                <c:pt idx="88">
                  <c:v>-1.5451775528276812</c:v>
                </c:pt>
                <c:pt idx="89">
                  <c:v>-2.3307727618373519</c:v>
                </c:pt>
                <c:pt idx="90">
                  <c:v>-1.4304373787865643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00-4D2A-9206-C0062898EBD0}"/>
            </c:ext>
          </c:extLst>
        </c:ser>
        <c:ser>
          <c:idx val="12"/>
          <c:order val="1"/>
          <c:tx>
            <c:strRef>
              <c:f>Déplacements!$F$9</c:f>
              <c:strCache>
                <c:ptCount val="1"/>
                <c:pt idx="0">
                  <c:v>DPM inter gauche</c:v>
                </c:pt>
              </c:strCache>
            </c:strRef>
          </c:tx>
          <c:spPr>
            <a:ln w="1905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noFill/>
              </a:ln>
            </c:spPr>
          </c:marker>
          <c:xVal>
            <c:numRef>
              <c:f>Convergences!$C$10:$C$100</c:f>
              <c:numCache>
                <c:formatCode>0.0</c:formatCode>
                <c:ptCount val="91"/>
                <c:pt idx="0">
                  <c:v>2.25</c:v>
                </c:pt>
                <c:pt idx="1">
                  <c:v>2.25</c:v>
                </c:pt>
                <c:pt idx="2">
                  <c:v>3.2999999999999829</c:v>
                </c:pt>
                <c:pt idx="3">
                  <c:v>4.2699999999999818</c:v>
                </c:pt>
                <c:pt idx="4">
                  <c:v>5.3299999999999841</c:v>
                </c:pt>
                <c:pt idx="5">
                  <c:v>7.5999999999999943</c:v>
                </c:pt>
                <c:pt idx="6">
                  <c:v>9.1399999999999864</c:v>
                </c:pt>
                <c:pt idx="7">
                  <c:v>9.1399999999999864</c:v>
                </c:pt>
                <c:pt idx="8">
                  <c:v>9.7599999999999909</c:v>
                </c:pt>
                <c:pt idx="11">
                  <c:v>9.7599999999999909</c:v>
                </c:pt>
                <c:pt idx="12">
                  <c:v>10.900000000000006</c:v>
                </c:pt>
                <c:pt idx="13">
                  <c:v>10.900000000000006</c:v>
                </c:pt>
                <c:pt idx="14">
                  <c:v>11.5</c:v>
                </c:pt>
                <c:pt idx="15">
                  <c:v>12.449999999999989</c:v>
                </c:pt>
                <c:pt idx="16">
                  <c:v>13.299999999999983</c:v>
                </c:pt>
                <c:pt idx="17">
                  <c:v>14.400000000000006</c:v>
                </c:pt>
                <c:pt idx="18">
                  <c:v>15.5</c:v>
                </c:pt>
                <c:pt idx="19">
                  <c:v>16.699999999999989</c:v>
                </c:pt>
                <c:pt idx="20">
                  <c:v>18.680000000000007</c:v>
                </c:pt>
                <c:pt idx="21">
                  <c:v>19.699999999999989</c:v>
                </c:pt>
                <c:pt idx="22">
                  <c:v>19.699999999999989</c:v>
                </c:pt>
                <c:pt idx="23">
                  <c:v>22.419999999999987</c:v>
                </c:pt>
                <c:pt idx="24">
                  <c:v>22.419999999999987</c:v>
                </c:pt>
                <c:pt idx="25">
                  <c:v>22.419999999999987</c:v>
                </c:pt>
                <c:pt idx="26">
                  <c:v>22.419999999999987</c:v>
                </c:pt>
                <c:pt idx="27">
                  <c:v>23.299999999999983</c:v>
                </c:pt>
                <c:pt idx="28">
                  <c:v>24.400000000000006</c:v>
                </c:pt>
                <c:pt idx="29">
                  <c:v>27.549999999999983</c:v>
                </c:pt>
                <c:pt idx="30">
                  <c:v>29.599999999999994</c:v>
                </c:pt>
                <c:pt idx="31">
                  <c:v>30.079999999999984</c:v>
                </c:pt>
                <c:pt idx="32">
                  <c:v>31.099999999999994</c:v>
                </c:pt>
                <c:pt idx="33">
                  <c:v>31.659999999999997</c:v>
                </c:pt>
                <c:pt idx="34">
                  <c:v>32.97</c:v>
                </c:pt>
                <c:pt idx="35">
                  <c:v>33.97</c:v>
                </c:pt>
                <c:pt idx="36">
                  <c:v>35</c:v>
                </c:pt>
                <c:pt idx="37">
                  <c:v>35</c:v>
                </c:pt>
                <c:pt idx="38">
                  <c:v>36.599999999999994</c:v>
                </c:pt>
                <c:pt idx="39">
                  <c:v>37.799999999999983</c:v>
                </c:pt>
                <c:pt idx="40">
                  <c:v>39</c:v>
                </c:pt>
                <c:pt idx="41">
                  <c:v>39</c:v>
                </c:pt>
                <c:pt idx="42">
                  <c:v>39</c:v>
                </c:pt>
                <c:pt idx="43">
                  <c:v>39</c:v>
                </c:pt>
                <c:pt idx="44">
                  <c:v>39</c:v>
                </c:pt>
                <c:pt idx="45">
                  <c:v>39</c:v>
                </c:pt>
                <c:pt idx="46">
                  <c:v>39</c:v>
                </c:pt>
                <c:pt idx="47">
                  <c:v>39</c:v>
                </c:pt>
                <c:pt idx="48">
                  <c:v>39</c:v>
                </c:pt>
                <c:pt idx="49">
                  <c:v>39</c:v>
                </c:pt>
                <c:pt idx="50">
                  <c:v>39</c:v>
                </c:pt>
                <c:pt idx="51">
                  <c:v>39</c:v>
                </c:pt>
                <c:pt idx="52">
                  <c:v>39</c:v>
                </c:pt>
                <c:pt idx="53">
                  <c:v>39</c:v>
                </c:pt>
                <c:pt idx="54">
                  <c:v>39</c:v>
                </c:pt>
                <c:pt idx="55">
                  <c:v>39</c:v>
                </c:pt>
                <c:pt idx="56">
                  <c:v>39</c:v>
                </c:pt>
                <c:pt idx="57">
                  <c:v>39</c:v>
                </c:pt>
                <c:pt idx="58">
                  <c:v>39</c:v>
                </c:pt>
                <c:pt idx="59">
                  <c:v>39</c:v>
                </c:pt>
                <c:pt idx="61">
                  <c:v>39</c:v>
                </c:pt>
                <c:pt idx="63">
                  <c:v>39</c:v>
                </c:pt>
                <c:pt idx="65">
                  <c:v>39</c:v>
                </c:pt>
                <c:pt idx="66">
                  <c:v>39</c:v>
                </c:pt>
                <c:pt idx="67">
                  <c:v>39</c:v>
                </c:pt>
                <c:pt idx="69">
                  <c:v>39</c:v>
                </c:pt>
                <c:pt idx="70">
                  <c:v>39</c:v>
                </c:pt>
                <c:pt idx="71">
                  <c:v>39</c:v>
                </c:pt>
                <c:pt idx="72">
                  <c:v>39</c:v>
                </c:pt>
                <c:pt idx="73">
                  <c:v>39</c:v>
                </c:pt>
                <c:pt idx="74">
                  <c:v>39</c:v>
                </c:pt>
                <c:pt idx="75">
                  <c:v>39</c:v>
                </c:pt>
                <c:pt idx="76">
                  <c:v>39</c:v>
                </c:pt>
                <c:pt idx="77">
                  <c:v>39</c:v>
                </c:pt>
                <c:pt idx="78">
                  <c:v>39</c:v>
                </c:pt>
                <c:pt idx="79">
                  <c:v>39</c:v>
                </c:pt>
                <c:pt idx="80">
                  <c:v>39</c:v>
                </c:pt>
                <c:pt idx="81">
                  <c:v>39</c:v>
                </c:pt>
                <c:pt idx="82">
                  <c:v>39</c:v>
                </c:pt>
                <c:pt idx="83">
                  <c:v>39</c:v>
                </c:pt>
                <c:pt idx="84">
                  <c:v>39</c:v>
                </c:pt>
                <c:pt idx="85">
                  <c:v>39</c:v>
                </c:pt>
                <c:pt idx="86">
                  <c:v>39</c:v>
                </c:pt>
                <c:pt idx="87">
                  <c:v>39</c:v>
                </c:pt>
                <c:pt idx="88">
                  <c:v>39</c:v>
                </c:pt>
                <c:pt idx="89">
                  <c:v>39</c:v>
                </c:pt>
                <c:pt idx="90">
                  <c:v>39</c:v>
                </c:pt>
              </c:numCache>
            </c:numRef>
          </c:xVal>
          <c:yVal>
            <c:numRef>
              <c:f>Déplacements!$F$10:$F$100</c:f>
              <c:numCache>
                <c:formatCode>\+\ 0.0;\-\ 0.0;\±\ 0.0</c:formatCode>
                <c:ptCount val="91"/>
                <c:pt idx="0">
                  <c:v>0</c:v>
                </c:pt>
                <c:pt idx="1">
                  <c:v>1.3655367868068424</c:v>
                </c:pt>
                <c:pt idx="2">
                  <c:v>2.3258652163633542</c:v>
                </c:pt>
                <c:pt idx="3">
                  <c:v>3.0879181003911071</c:v>
                </c:pt>
                <c:pt idx="4">
                  <c:v>1.4208525086019108</c:v>
                </c:pt>
                <c:pt idx="5">
                  <c:v>-1.091832740485188E-2</c:v>
                </c:pt>
                <c:pt idx="6">
                  <c:v>3.574410231976799E-2</c:v>
                </c:pt>
                <c:pt idx="7">
                  <c:v>-0.79779291374393324</c:v>
                </c:pt>
                <c:pt idx="8">
                  <c:v>-0.3375558976586035</c:v>
                </c:pt>
                <c:pt idx="11">
                  <c:v>-0.13755589765196419</c:v>
                </c:pt>
                <c:pt idx="12">
                  <c:v>-1.2872994215342715</c:v>
                </c:pt>
                <c:pt idx="13">
                  <c:v>-1.0276558976443084</c:v>
                </c:pt>
                <c:pt idx="14">
                  <c:v>-0.23755589765528384</c:v>
                </c:pt>
                <c:pt idx="15">
                  <c:v>-0.3375558976586035</c:v>
                </c:pt>
                <c:pt idx="16">
                  <c:v>-0.33221700934404907</c:v>
                </c:pt>
                <c:pt idx="17">
                  <c:v>0.762444102349491</c:v>
                </c:pt>
                <c:pt idx="18">
                  <c:v>0.36244410233621238</c:v>
                </c:pt>
                <c:pt idx="19">
                  <c:v>1.3624441023409872</c:v>
                </c:pt>
                <c:pt idx="20">
                  <c:v>0.56244410234285169</c:v>
                </c:pt>
                <c:pt idx="21">
                  <c:v>0.762444102349491</c:v>
                </c:pt>
                <c:pt idx="22">
                  <c:v>0.36244410233621238</c:v>
                </c:pt>
                <c:pt idx="23">
                  <c:v>-0.13755589765196419</c:v>
                </c:pt>
                <c:pt idx="24">
                  <c:v>-0.53755589766524281</c:v>
                </c:pt>
                <c:pt idx="25">
                  <c:v>-0.43755589766192315</c:v>
                </c:pt>
                <c:pt idx="26">
                  <c:v>-0.83755589764678007</c:v>
                </c:pt>
                <c:pt idx="27">
                  <c:v>0.46244410233953204</c:v>
                </c:pt>
                <c:pt idx="28">
                  <c:v>-1.5986160725844911</c:v>
                </c:pt>
                <c:pt idx="29">
                  <c:v>-0.74295567037552246</c:v>
                </c:pt>
                <c:pt idx="30">
                  <c:v>-0.30782169818621696</c:v>
                </c:pt>
                <c:pt idx="31">
                  <c:v>-0.14485979124856385</c:v>
                </c:pt>
                <c:pt idx="32">
                  <c:v>1.8315390823602229</c:v>
                </c:pt>
                <c:pt idx="33">
                  <c:v>0.50698814587235574</c:v>
                </c:pt>
                <c:pt idx="34">
                  <c:v>1.3296026635316593</c:v>
                </c:pt>
                <c:pt idx="35">
                  <c:v>-0.33264340046912366</c:v>
                </c:pt>
                <c:pt idx="36">
                  <c:v>0.762444102349491</c:v>
                </c:pt>
                <c:pt idx="37">
                  <c:v>-1.5375558976700177</c:v>
                </c:pt>
                <c:pt idx="38">
                  <c:v>-0.43755589766192315</c:v>
                </c:pt>
                <c:pt idx="39">
                  <c:v>-0.43755589766192315</c:v>
                </c:pt>
                <c:pt idx="40">
                  <c:v>0.46244410233953204</c:v>
                </c:pt>
                <c:pt idx="41">
                  <c:v>-1.3375558976633783</c:v>
                </c:pt>
                <c:pt idx="42">
                  <c:v>-1.8375558976515549</c:v>
                </c:pt>
                <c:pt idx="43">
                  <c:v>-1.8546171073410278</c:v>
                </c:pt>
                <c:pt idx="44">
                  <c:v>-1.437555897666698</c:v>
                </c:pt>
                <c:pt idx="45">
                  <c:v>-1.3375558976633783</c:v>
                </c:pt>
                <c:pt idx="46">
                  <c:v>-1.137555897656739</c:v>
                </c:pt>
                <c:pt idx="47">
                  <c:v>-0.83755589764678007</c:v>
                </c:pt>
                <c:pt idx="48">
                  <c:v>0.46244410233953204</c:v>
                </c:pt>
                <c:pt idx="49">
                  <c:v>0.762444102349491</c:v>
                </c:pt>
                <c:pt idx="50">
                  <c:v>-0.93755589765009972</c:v>
                </c:pt>
                <c:pt idx="51">
                  <c:v>-1.5375558976700177</c:v>
                </c:pt>
                <c:pt idx="52">
                  <c:v>-0.23755589765528384</c:v>
                </c:pt>
                <c:pt idx="53">
                  <c:v>-0.3375558976586035</c:v>
                </c:pt>
                <c:pt idx="54">
                  <c:v>0.96244410235613032</c:v>
                </c:pt>
                <c:pt idx="55">
                  <c:v>-0.63755589766856247</c:v>
                </c:pt>
                <c:pt idx="56">
                  <c:v>0.36244410233621238</c:v>
                </c:pt>
                <c:pt idx="57">
                  <c:v>-0.13755589765196419</c:v>
                </c:pt>
                <c:pt idx="58">
                  <c:v>0.63463671648378295</c:v>
                </c:pt>
                <c:pt idx="59">
                  <c:v>0.94878942061882299</c:v>
                </c:pt>
                <c:pt idx="61">
                  <c:v>0.34445263005977722</c:v>
                </c:pt>
                <c:pt idx="63">
                  <c:v>0.34445263005977722</c:v>
                </c:pt>
                <c:pt idx="65">
                  <c:v>-0.15554736992839935</c:v>
                </c:pt>
                <c:pt idx="66">
                  <c:v>0.62295847064319787</c:v>
                </c:pt>
                <c:pt idx="67">
                  <c:v>0.79811798391915545</c:v>
                </c:pt>
                <c:pt idx="69">
                  <c:v>0.66522359981036061</c:v>
                </c:pt>
                <c:pt idx="70">
                  <c:v>1.2150976548070958</c:v>
                </c:pt>
                <c:pt idx="71">
                  <c:v>0.42992883695092132</c:v>
                </c:pt>
                <c:pt idx="72">
                  <c:v>-0.43409802051996849</c:v>
                </c:pt>
                <c:pt idx="73">
                  <c:v>-0.63932526057897121</c:v>
                </c:pt>
                <c:pt idx="74">
                  <c:v>-0.46416554337724847</c:v>
                </c:pt>
                <c:pt idx="75">
                  <c:v>-0.58486242656385912</c:v>
                </c:pt>
                <c:pt idx="76">
                  <c:v>-0.52430089135668823</c:v>
                </c:pt>
                <c:pt idx="77">
                  <c:v>-2.1133613242056981</c:v>
                </c:pt>
                <c:pt idx="78">
                  <c:v>-1.2859272787579812</c:v>
                </c:pt>
                <c:pt idx="79">
                  <c:v>-1.7451720788415059</c:v>
                </c:pt>
                <c:pt idx="80">
                  <c:v>-1.4915809099420585</c:v>
                </c:pt>
                <c:pt idx="81">
                  <c:v>-2.9416481519319859</c:v>
                </c:pt>
                <c:pt idx="82">
                  <c:v>-2.125558930600846</c:v>
                </c:pt>
                <c:pt idx="83">
                  <c:v>-1.6602152253426539</c:v>
                </c:pt>
                <c:pt idx="84">
                  <c:v>-0.65152286694569739</c:v>
                </c:pt>
                <c:pt idx="85">
                  <c:v>-2.5364396962856972</c:v>
                </c:pt>
                <c:pt idx="86">
                  <c:v>-2.355181277863494</c:v>
                </c:pt>
                <c:pt idx="87">
                  <c:v>-2.9412217608069113</c:v>
                </c:pt>
                <c:pt idx="88">
                  <c:v>-0.5547948053390428</c:v>
                </c:pt>
                <c:pt idx="89">
                  <c:v>-1.9564981184885255</c:v>
                </c:pt>
                <c:pt idx="90">
                  <c:v>-1.0416677011164666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00-4D2A-9206-C0062898EBD0}"/>
            </c:ext>
          </c:extLst>
        </c:ser>
        <c:ser>
          <c:idx val="10"/>
          <c:order val="2"/>
          <c:tx>
            <c:strRef>
              <c:f>Déplacements!$I$9</c:f>
              <c:strCache>
                <c:ptCount val="1"/>
                <c:pt idx="0">
                  <c:v>DPM haut gauche</c:v>
                </c:pt>
              </c:strCache>
            </c:strRef>
          </c:tx>
          <c:spPr>
            <a:ln w="19050">
              <a:solidFill>
                <a:srgbClr val="66CC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66CCFF"/>
              </a:solidFill>
              <a:ln>
                <a:noFill/>
              </a:ln>
            </c:spPr>
          </c:marker>
          <c:xVal>
            <c:numRef>
              <c:f>Convergences!$C$10:$C$100</c:f>
              <c:numCache>
                <c:formatCode>0.0</c:formatCode>
                <c:ptCount val="91"/>
                <c:pt idx="0">
                  <c:v>2.25</c:v>
                </c:pt>
                <c:pt idx="1">
                  <c:v>2.25</c:v>
                </c:pt>
                <c:pt idx="2">
                  <c:v>3.2999999999999829</c:v>
                </c:pt>
                <c:pt idx="3">
                  <c:v>4.2699999999999818</c:v>
                </c:pt>
                <c:pt idx="4">
                  <c:v>5.3299999999999841</c:v>
                </c:pt>
                <c:pt idx="5">
                  <c:v>7.5999999999999943</c:v>
                </c:pt>
                <c:pt idx="6">
                  <c:v>9.1399999999999864</c:v>
                </c:pt>
                <c:pt idx="7">
                  <c:v>9.1399999999999864</c:v>
                </c:pt>
                <c:pt idx="8">
                  <c:v>9.7599999999999909</c:v>
                </c:pt>
                <c:pt idx="11">
                  <c:v>9.7599999999999909</c:v>
                </c:pt>
                <c:pt idx="12">
                  <c:v>10.900000000000006</c:v>
                </c:pt>
                <c:pt idx="13">
                  <c:v>10.900000000000006</c:v>
                </c:pt>
                <c:pt idx="14">
                  <c:v>11.5</c:v>
                </c:pt>
                <c:pt idx="15">
                  <c:v>12.449999999999989</c:v>
                </c:pt>
                <c:pt idx="16">
                  <c:v>13.299999999999983</c:v>
                </c:pt>
                <c:pt idx="17">
                  <c:v>14.400000000000006</c:v>
                </c:pt>
                <c:pt idx="18">
                  <c:v>15.5</c:v>
                </c:pt>
                <c:pt idx="19">
                  <c:v>16.699999999999989</c:v>
                </c:pt>
                <c:pt idx="20">
                  <c:v>18.680000000000007</c:v>
                </c:pt>
                <c:pt idx="21">
                  <c:v>19.699999999999989</c:v>
                </c:pt>
                <c:pt idx="22">
                  <c:v>19.699999999999989</c:v>
                </c:pt>
                <c:pt idx="23">
                  <c:v>22.419999999999987</c:v>
                </c:pt>
                <c:pt idx="24">
                  <c:v>22.419999999999987</c:v>
                </c:pt>
                <c:pt idx="25">
                  <c:v>22.419999999999987</c:v>
                </c:pt>
                <c:pt idx="26">
                  <c:v>22.419999999999987</c:v>
                </c:pt>
                <c:pt idx="27">
                  <c:v>23.299999999999983</c:v>
                </c:pt>
                <c:pt idx="28">
                  <c:v>24.400000000000006</c:v>
                </c:pt>
                <c:pt idx="29">
                  <c:v>27.549999999999983</c:v>
                </c:pt>
                <c:pt idx="30">
                  <c:v>29.599999999999994</c:v>
                </c:pt>
                <c:pt idx="31">
                  <c:v>30.079999999999984</c:v>
                </c:pt>
                <c:pt idx="32">
                  <c:v>31.099999999999994</c:v>
                </c:pt>
                <c:pt idx="33">
                  <c:v>31.659999999999997</c:v>
                </c:pt>
                <c:pt idx="34">
                  <c:v>32.97</c:v>
                </c:pt>
                <c:pt idx="35">
                  <c:v>33.97</c:v>
                </c:pt>
                <c:pt idx="36">
                  <c:v>35</c:v>
                </c:pt>
                <c:pt idx="37">
                  <c:v>35</c:v>
                </c:pt>
                <c:pt idx="38">
                  <c:v>36.599999999999994</c:v>
                </c:pt>
                <c:pt idx="39">
                  <c:v>37.799999999999983</c:v>
                </c:pt>
                <c:pt idx="40">
                  <c:v>39</c:v>
                </c:pt>
                <c:pt idx="41">
                  <c:v>39</c:v>
                </c:pt>
                <c:pt idx="42">
                  <c:v>39</c:v>
                </c:pt>
                <c:pt idx="43">
                  <c:v>39</c:v>
                </c:pt>
                <c:pt idx="44">
                  <c:v>39</c:v>
                </c:pt>
                <c:pt idx="45">
                  <c:v>39</c:v>
                </c:pt>
                <c:pt idx="46">
                  <c:v>39</c:v>
                </c:pt>
                <c:pt idx="47">
                  <c:v>39</c:v>
                </c:pt>
                <c:pt idx="48">
                  <c:v>39</c:v>
                </c:pt>
                <c:pt idx="49">
                  <c:v>39</c:v>
                </c:pt>
                <c:pt idx="50">
                  <c:v>39</c:v>
                </c:pt>
                <c:pt idx="51">
                  <c:v>39</c:v>
                </c:pt>
                <c:pt idx="52">
                  <c:v>39</c:v>
                </c:pt>
                <c:pt idx="53">
                  <c:v>39</c:v>
                </c:pt>
                <c:pt idx="54">
                  <c:v>39</c:v>
                </c:pt>
                <c:pt idx="55">
                  <c:v>39</c:v>
                </c:pt>
                <c:pt idx="56">
                  <c:v>39</c:v>
                </c:pt>
                <c:pt idx="57">
                  <c:v>39</c:v>
                </c:pt>
                <c:pt idx="58">
                  <c:v>39</c:v>
                </c:pt>
                <c:pt idx="59">
                  <c:v>39</c:v>
                </c:pt>
                <c:pt idx="61">
                  <c:v>39</c:v>
                </c:pt>
                <c:pt idx="63">
                  <c:v>39</c:v>
                </c:pt>
                <c:pt idx="65">
                  <c:v>39</c:v>
                </c:pt>
                <c:pt idx="66">
                  <c:v>39</c:v>
                </c:pt>
                <c:pt idx="67">
                  <c:v>39</c:v>
                </c:pt>
                <c:pt idx="69">
                  <c:v>39</c:v>
                </c:pt>
                <c:pt idx="70">
                  <c:v>39</c:v>
                </c:pt>
                <c:pt idx="71">
                  <c:v>39</c:v>
                </c:pt>
                <c:pt idx="72">
                  <c:v>39</c:v>
                </c:pt>
                <c:pt idx="73">
                  <c:v>39</c:v>
                </c:pt>
                <c:pt idx="74">
                  <c:v>39</c:v>
                </c:pt>
                <c:pt idx="75">
                  <c:v>39</c:v>
                </c:pt>
                <c:pt idx="76">
                  <c:v>39</c:v>
                </c:pt>
                <c:pt idx="77">
                  <c:v>39</c:v>
                </c:pt>
                <c:pt idx="78">
                  <c:v>39</c:v>
                </c:pt>
                <c:pt idx="79">
                  <c:v>39</c:v>
                </c:pt>
                <c:pt idx="80">
                  <c:v>39</c:v>
                </c:pt>
                <c:pt idx="81">
                  <c:v>39</c:v>
                </c:pt>
                <c:pt idx="82">
                  <c:v>39</c:v>
                </c:pt>
                <c:pt idx="83">
                  <c:v>39</c:v>
                </c:pt>
                <c:pt idx="84">
                  <c:v>39</c:v>
                </c:pt>
                <c:pt idx="85">
                  <c:v>39</c:v>
                </c:pt>
                <c:pt idx="86">
                  <c:v>39</c:v>
                </c:pt>
                <c:pt idx="87">
                  <c:v>39</c:v>
                </c:pt>
                <c:pt idx="88">
                  <c:v>39</c:v>
                </c:pt>
                <c:pt idx="89">
                  <c:v>39</c:v>
                </c:pt>
                <c:pt idx="90">
                  <c:v>39</c:v>
                </c:pt>
              </c:numCache>
            </c:numRef>
          </c:xVal>
          <c:yVal>
            <c:numRef>
              <c:f>Déplacements!$I$10:$I$100</c:f>
              <c:numCache>
                <c:formatCode>\+\ 0.0;\-\ 0.0;\±\ 0.0</c:formatCode>
                <c:ptCount val="91"/>
                <c:pt idx="0">
                  <c:v>0</c:v>
                </c:pt>
                <c:pt idx="1">
                  <c:v>1.8186829840090013</c:v>
                </c:pt>
                <c:pt idx="2">
                  <c:v>2.1145393805568347</c:v>
                </c:pt>
                <c:pt idx="3">
                  <c:v>2.7859630025943716</c:v>
                </c:pt>
                <c:pt idx="4">
                  <c:v>1.7467765263177171</c:v>
                </c:pt>
                <c:pt idx="5">
                  <c:v>0</c:v>
                </c:pt>
                <c:pt idx="6">
                  <c:v>-2.7789854914601619</c:v>
                </c:pt>
                <c:pt idx="7">
                  <c:v>-3.4373845485902166</c:v>
                </c:pt>
                <c:pt idx="8">
                  <c:v>-2.3448854914533968</c:v>
                </c:pt>
                <c:pt idx="11">
                  <c:v>-1.9448854914685398</c:v>
                </c:pt>
                <c:pt idx="12">
                  <c:v>-3.2145122737290421</c:v>
                </c:pt>
                <c:pt idx="13">
                  <c:v>-2.6406854914569067</c:v>
                </c:pt>
                <c:pt idx="14">
                  <c:v>-2.2448854914784988</c:v>
                </c:pt>
                <c:pt idx="15">
                  <c:v>-2.5448854914600361</c:v>
                </c:pt>
                <c:pt idx="16">
                  <c:v>-2.2411333499974262</c:v>
                </c:pt>
                <c:pt idx="17">
                  <c:v>-1.5448854914552612</c:v>
                </c:pt>
                <c:pt idx="18">
                  <c:v>-1.5448854914552612</c:v>
                </c:pt>
                <c:pt idx="19">
                  <c:v>-0.84488549146044534</c:v>
                </c:pt>
                <c:pt idx="20">
                  <c:v>-1.5448854914552612</c:v>
                </c:pt>
                <c:pt idx="21">
                  <c:v>-1.5448854914552612</c:v>
                </c:pt>
                <c:pt idx="22">
                  <c:v>-1.9448854914685398</c:v>
                </c:pt>
                <c:pt idx="23">
                  <c:v>-2.1448854914751792</c:v>
                </c:pt>
                <c:pt idx="24">
                  <c:v>-3.0448854914766343</c:v>
                </c:pt>
                <c:pt idx="25">
                  <c:v>-3.0448854914766343</c:v>
                </c:pt>
                <c:pt idx="26">
                  <c:v>-3.144885491479954</c:v>
                </c:pt>
                <c:pt idx="27">
                  <c:v>-2.0448854914718595</c:v>
                </c:pt>
                <c:pt idx="28">
                  <c:v>-3.7752120241236753</c:v>
                </c:pt>
                <c:pt idx="29">
                  <c:v>-3.0766991283144307</c:v>
                </c:pt>
                <c:pt idx="30">
                  <c:v>-2.8328461430362495</c:v>
                </c:pt>
                <c:pt idx="31">
                  <c:v>-2.621520201785188</c:v>
                </c:pt>
                <c:pt idx="32">
                  <c:v>-0.98934175900922128</c:v>
                </c:pt>
                <c:pt idx="33">
                  <c:v>-2.3622566243659548</c:v>
                </c:pt>
                <c:pt idx="34">
                  <c:v>-1.4551117498911026</c:v>
                </c:pt>
                <c:pt idx="35">
                  <c:v>-3.1657218482337157</c:v>
                </c:pt>
                <c:pt idx="36">
                  <c:v>-2.0448854914718595</c:v>
                </c:pt>
                <c:pt idx="37">
                  <c:v>-3.9448854914780895</c:v>
                </c:pt>
                <c:pt idx="38">
                  <c:v>-3.0448854914766343</c:v>
                </c:pt>
                <c:pt idx="39">
                  <c:v>-3.2448854914548519</c:v>
                </c:pt>
                <c:pt idx="40">
                  <c:v>-2.4448854914567164</c:v>
                </c:pt>
                <c:pt idx="42">
                  <c:v>-1.0448854914670846</c:v>
                </c:pt>
                <c:pt idx="43">
                  <c:v>-1.1954216758169878</c:v>
                </c:pt>
                <c:pt idx="44">
                  <c:v>-0.94488549146376499</c:v>
                </c:pt>
                <c:pt idx="45">
                  <c:v>-0.64488549145380603</c:v>
                </c:pt>
                <c:pt idx="46">
                  <c:v>-0.74488549145712568</c:v>
                </c:pt>
                <c:pt idx="47">
                  <c:v>-0.34488549147226877</c:v>
                </c:pt>
                <c:pt idx="48">
                  <c:v>0.75511450853582573</c:v>
                </c:pt>
                <c:pt idx="49">
                  <c:v>1.0551145085457847</c:v>
                </c:pt>
                <c:pt idx="50">
                  <c:v>-0.44488549147558842</c:v>
                </c:pt>
                <c:pt idx="51">
                  <c:v>-0.94488549146376499</c:v>
                </c:pt>
                <c:pt idx="52">
                  <c:v>0.55511450852918642</c:v>
                </c:pt>
                <c:pt idx="53">
                  <c:v>-0.74488549145712568</c:v>
                </c:pt>
                <c:pt idx="54">
                  <c:v>0.85511450853914539</c:v>
                </c:pt>
                <c:pt idx="55">
                  <c:v>-0.24488549146894911</c:v>
                </c:pt>
                <c:pt idx="56">
                  <c:v>0.25511450851922746</c:v>
                </c:pt>
                <c:pt idx="57">
                  <c:v>0.35511450852254711</c:v>
                </c:pt>
                <c:pt idx="58">
                  <c:v>0.68382284345602784</c:v>
                </c:pt>
                <c:pt idx="59">
                  <c:v>1.0886048024474348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00-4D2A-9206-C0062898EBD0}"/>
            </c:ext>
          </c:extLst>
        </c:ser>
        <c:ser>
          <c:idx val="8"/>
          <c:order val="3"/>
          <c:tx>
            <c:strRef>
              <c:f>Déplacements!$L$9</c:f>
              <c:strCache>
                <c:ptCount val="1"/>
                <c:pt idx="0">
                  <c:v>DPM centre haut</c:v>
                </c:pt>
              </c:strCache>
            </c:strRef>
          </c:tx>
          <c:spPr>
            <a:ln w="19050">
              <a:solidFill>
                <a:srgbClr val="FF00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66CC"/>
              </a:solidFill>
              <a:ln>
                <a:noFill/>
              </a:ln>
            </c:spPr>
          </c:marker>
          <c:xVal>
            <c:numRef>
              <c:f>Convergences!$C$10:$C$100</c:f>
              <c:numCache>
                <c:formatCode>0.0</c:formatCode>
                <c:ptCount val="91"/>
                <c:pt idx="0">
                  <c:v>2.25</c:v>
                </c:pt>
                <c:pt idx="1">
                  <c:v>2.25</c:v>
                </c:pt>
                <c:pt idx="2">
                  <c:v>3.2999999999999829</c:v>
                </c:pt>
                <c:pt idx="3">
                  <c:v>4.2699999999999818</c:v>
                </c:pt>
                <c:pt idx="4">
                  <c:v>5.3299999999999841</c:v>
                </c:pt>
                <c:pt idx="5">
                  <c:v>7.5999999999999943</c:v>
                </c:pt>
                <c:pt idx="6">
                  <c:v>9.1399999999999864</c:v>
                </c:pt>
                <c:pt idx="7">
                  <c:v>9.1399999999999864</c:v>
                </c:pt>
                <c:pt idx="8">
                  <c:v>9.7599999999999909</c:v>
                </c:pt>
                <c:pt idx="11">
                  <c:v>9.7599999999999909</c:v>
                </c:pt>
                <c:pt idx="12">
                  <c:v>10.900000000000006</c:v>
                </c:pt>
                <c:pt idx="13">
                  <c:v>10.900000000000006</c:v>
                </c:pt>
                <c:pt idx="14">
                  <c:v>11.5</c:v>
                </c:pt>
                <c:pt idx="15">
                  <c:v>12.449999999999989</c:v>
                </c:pt>
                <c:pt idx="16">
                  <c:v>13.299999999999983</c:v>
                </c:pt>
                <c:pt idx="17">
                  <c:v>14.400000000000006</c:v>
                </c:pt>
                <c:pt idx="18">
                  <c:v>15.5</c:v>
                </c:pt>
                <c:pt idx="19">
                  <c:v>16.699999999999989</c:v>
                </c:pt>
                <c:pt idx="20">
                  <c:v>18.680000000000007</c:v>
                </c:pt>
                <c:pt idx="21">
                  <c:v>19.699999999999989</c:v>
                </c:pt>
                <c:pt idx="22">
                  <c:v>19.699999999999989</c:v>
                </c:pt>
                <c:pt idx="23">
                  <c:v>22.419999999999987</c:v>
                </c:pt>
                <c:pt idx="24">
                  <c:v>22.419999999999987</c:v>
                </c:pt>
                <c:pt idx="25">
                  <c:v>22.419999999999987</c:v>
                </c:pt>
                <c:pt idx="26">
                  <c:v>22.419999999999987</c:v>
                </c:pt>
                <c:pt idx="27">
                  <c:v>23.299999999999983</c:v>
                </c:pt>
                <c:pt idx="28">
                  <c:v>24.400000000000006</c:v>
                </c:pt>
                <c:pt idx="29">
                  <c:v>27.549999999999983</c:v>
                </c:pt>
                <c:pt idx="30">
                  <c:v>29.599999999999994</c:v>
                </c:pt>
                <c:pt idx="31">
                  <c:v>30.079999999999984</c:v>
                </c:pt>
                <c:pt idx="32">
                  <c:v>31.099999999999994</c:v>
                </c:pt>
                <c:pt idx="33">
                  <c:v>31.659999999999997</c:v>
                </c:pt>
                <c:pt idx="34">
                  <c:v>32.97</c:v>
                </c:pt>
                <c:pt idx="35">
                  <c:v>33.97</c:v>
                </c:pt>
                <c:pt idx="36">
                  <c:v>35</c:v>
                </c:pt>
                <c:pt idx="37">
                  <c:v>35</c:v>
                </c:pt>
                <c:pt idx="38">
                  <c:v>36.599999999999994</c:v>
                </c:pt>
                <c:pt idx="39">
                  <c:v>37.799999999999983</c:v>
                </c:pt>
                <c:pt idx="40">
                  <c:v>39</c:v>
                </c:pt>
                <c:pt idx="41">
                  <c:v>39</c:v>
                </c:pt>
                <c:pt idx="42">
                  <c:v>39</c:v>
                </c:pt>
                <c:pt idx="43">
                  <c:v>39</c:v>
                </c:pt>
                <c:pt idx="44">
                  <c:v>39</c:v>
                </c:pt>
                <c:pt idx="45">
                  <c:v>39</c:v>
                </c:pt>
                <c:pt idx="46">
                  <c:v>39</c:v>
                </c:pt>
                <c:pt idx="47">
                  <c:v>39</c:v>
                </c:pt>
                <c:pt idx="48">
                  <c:v>39</c:v>
                </c:pt>
                <c:pt idx="49">
                  <c:v>39</c:v>
                </c:pt>
                <c:pt idx="50">
                  <c:v>39</c:v>
                </c:pt>
                <c:pt idx="51">
                  <c:v>39</c:v>
                </c:pt>
                <c:pt idx="52">
                  <c:v>39</c:v>
                </c:pt>
                <c:pt idx="53">
                  <c:v>39</c:v>
                </c:pt>
                <c:pt idx="54">
                  <c:v>39</c:v>
                </c:pt>
                <c:pt idx="55">
                  <c:v>39</c:v>
                </c:pt>
                <c:pt idx="56">
                  <c:v>39</c:v>
                </c:pt>
                <c:pt idx="57">
                  <c:v>39</c:v>
                </c:pt>
                <c:pt idx="58">
                  <c:v>39</c:v>
                </c:pt>
                <c:pt idx="59">
                  <c:v>39</c:v>
                </c:pt>
                <c:pt idx="61">
                  <c:v>39</c:v>
                </c:pt>
                <c:pt idx="63">
                  <c:v>39</c:v>
                </c:pt>
                <c:pt idx="65">
                  <c:v>39</c:v>
                </c:pt>
                <c:pt idx="66">
                  <c:v>39</c:v>
                </c:pt>
                <c:pt idx="67">
                  <c:v>39</c:v>
                </c:pt>
                <c:pt idx="69">
                  <c:v>39</c:v>
                </c:pt>
                <c:pt idx="70">
                  <c:v>39</c:v>
                </c:pt>
                <c:pt idx="71">
                  <c:v>39</c:v>
                </c:pt>
                <c:pt idx="72">
                  <c:v>39</c:v>
                </c:pt>
                <c:pt idx="73">
                  <c:v>39</c:v>
                </c:pt>
                <c:pt idx="74">
                  <c:v>39</c:v>
                </c:pt>
                <c:pt idx="75">
                  <c:v>39</c:v>
                </c:pt>
                <c:pt idx="76">
                  <c:v>39</c:v>
                </c:pt>
                <c:pt idx="77">
                  <c:v>39</c:v>
                </c:pt>
                <c:pt idx="78">
                  <c:v>39</c:v>
                </c:pt>
                <c:pt idx="79">
                  <c:v>39</c:v>
                </c:pt>
                <c:pt idx="80">
                  <c:v>39</c:v>
                </c:pt>
                <c:pt idx="81">
                  <c:v>39</c:v>
                </c:pt>
                <c:pt idx="82">
                  <c:v>39</c:v>
                </c:pt>
                <c:pt idx="83">
                  <c:v>39</c:v>
                </c:pt>
                <c:pt idx="84">
                  <c:v>39</c:v>
                </c:pt>
                <c:pt idx="85">
                  <c:v>39</c:v>
                </c:pt>
                <c:pt idx="86">
                  <c:v>39</c:v>
                </c:pt>
                <c:pt idx="87">
                  <c:v>39</c:v>
                </c:pt>
                <c:pt idx="88">
                  <c:v>39</c:v>
                </c:pt>
                <c:pt idx="89">
                  <c:v>39</c:v>
                </c:pt>
                <c:pt idx="90">
                  <c:v>39</c:v>
                </c:pt>
              </c:numCache>
            </c:numRef>
          </c:xVal>
          <c:yVal>
            <c:numRef>
              <c:f>Déplacements!$L$10:$L$100</c:f>
              <c:numCache>
                <c:formatCode>\+\ 0.0;\-\ 0.0;\±\ 0.0</c:formatCode>
                <c:ptCount val="91"/>
                <c:pt idx="0">
                  <c:v>0</c:v>
                </c:pt>
                <c:pt idx="1">
                  <c:v>1.0814517110304678</c:v>
                </c:pt>
                <c:pt idx="2">
                  <c:v>0.76120010174918207</c:v>
                </c:pt>
                <c:pt idx="3">
                  <c:v>-1.1344718586769886E-2</c:v>
                </c:pt>
                <c:pt idx="4">
                  <c:v>-3.4064641379245586</c:v>
                </c:pt>
                <c:pt idx="5">
                  <c:v>-7.4965495043102237</c:v>
                </c:pt>
                <c:pt idx="6">
                  <c:v>-9.0202024441907724</c:v>
                </c:pt>
                <c:pt idx="7">
                  <c:v>-10.838485368651618</c:v>
                </c:pt>
                <c:pt idx="8">
                  <c:v>-11.18120244419174</c:v>
                </c:pt>
                <c:pt idx="11">
                  <c:v>-10.481202444196924</c:v>
                </c:pt>
                <c:pt idx="12">
                  <c:v>-12.413679079486428</c:v>
                </c:pt>
                <c:pt idx="13">
                  <c:v>-11.658602444185817</c:v>
                </c:pt>
                <c:pt idx="14">
                  <c:v>-12.581202444181372</c:v>
                </c:pt>
                <c:pt idx="15">
                  <c:v>-13.381202444179507</c:v>
                </c:pt>
                <c:pt idx="16">
                  <c:v>-13.585333548746803</c:v>
                </c:pt>
                <c:pt idx="17">
                  <c:v>-12.581202444181372</c:v>
                </c:pt>
                <c:pt idx="18">
                  <c:v>-12.781202444188011</c:v>
                </c:pt>
                <c:pt idx="19">
                  <c:v>-12.181202444196515</c:v>
                </c:pt>
                <c:pt idx="20">
                  <c:v>-12.481202444178052</c:v>
                </c:pt>
                <c:pt idx="21">
                  <c:v>-12.581202444181372</c:v>
                </c:pt>
                <c:pt idx="22">
                  <c:v>-13.381202444179507</c:v>
                </c:pt>
                <c:pt idx="23">
                  <c:v>-13.581202444186147</c:v>
                </c:pt>
                <c:pt idx="24">
                  <c:v>-14.381202444184282</c:v>
                </c:pt>
                <c:pt idx="25">
                  <c:v>-14.581202444190922</c:v>
                </c:pt>
                <c:pt idx="26">
                  <c:v>-14.881202444200881</c:v>
                </c:pt>
                <c:pt idx="27">
                  <c:v>-13.781202444192786</c:v>
                </c:pt>
                <c:pt idx="28">
                  <c:v>-15.04722166839656</c:v>
                </c:pt>
                <c:pt idx="29">
                  <c:v>-14.638750571691617</c:v>
                </c:pt>
                <c:pt idx="30">
                  <c:v>-14.177472838440508</c:v>
                </c:pt>
                <c:pt idx="31">
                  <c:v>-14.413193985348016</c:v>
                </c:pt>
                <c:pt idx="32">
                  <c:v>-13.052903117483083</c:v>
                </c:pt>
                <c:pt idx="33">
                  <c:v>-14.558712472449997</c:v>
                </c:pt>
                <c:pt idx="34">
                  <c:v>-14.050250757321692</c:v>
                </c:pt>
                <c:pt idx="35">
                  <c:v>-14.836698854082897</c:v>
                </c:pt>
                <c:pt idx="36">
                  <c:v>-14.381202444184282</c:v>
                </c:pt>
                <c:pt idx="37">
                  <c:v>-15.681202444199016</c:v>
                </c:pt>
                <c:pt idx="38">
                  <c:v>-14.681202444194241</c:v>
                </c:pt>
                <c:pt idx="39">
                  <c:v>-15.081202444179098</c:v>
                </c:pt>
                <c:pt idx="40">
                  <c:v>-14.481202444187602</c:v>
                </c:pt>
                <c:pt idx="41">
                  <c:v>-15.881202444177234</c:v>
                </c:pt>
                <c:pt idx="42">
                  <c:v>-17.081202444188648</c:v>
                </c:pt>
                <c:pt idx="43">
                  <c:v>-17.053638606341792</c:v>
                </c:pt>
                <c:pt idx="44">
                  <c:v>-16.781202444178689</c:v>
                </c:pt>
                <c:pt idx="45">
                  <c:v>-16.681202444175369</c:v>
                </c:pt>
                <c:pt idx="46">
                  <c:v>-17.281202444195287</c:v>
                </c:pt>
                <c:pt idx="47">
                  <c:v>-16.381202444193832</c:v>
                </c:pt>
                <c:pt idx="48">
                  <c:v>-15.481202444192377</c:v>
                </c:pt>
                <c:pt idx="49">
                  <c:v>-15.981202444180553</c:v>
                </c:pt>
                <c:pt idx="50">
                  <c:v>-16.981202444185328</c:v>
                </c:pt>
                <c:pt idx="51">
                  <c:v>-17.481202444173505</c:v>
                </c:pt>
                <c:pt idx="52">
                  <c:v>-16.281202444190512</c:v>
                </c:pt>
                <c:pt idx="53">
                  <c:v>-16.481202444197152</c:v>
                </c:pt>
                <c:pt idx="54">
                  <c:v>-15.781202444173914</c:v>
                </c:pt>
                <c:pt idx="55">
                  <c:v>-16.781202444178689</c:v>
                </c:pt>
                <c:pt idx="56">
                  <c:v>-15.681202444199016</c:v>
                </c:pt>
                <c:pt idx="57">
                  <c:v>-17.381202444198607</c:v>
                </c:pt>
                <c:pt idx="58">
                  <c:v>-16.237975776107305</c:v>
                </c:pt>
                <c:pt idx="59">
                  <c:v>-15.645836486442022</c:v>
                </c:pt>
                <c:pt idx="61">
                  <c:v>-15.404442825513343</c:v>
                </c:pt>
                <c:pt idx="63">
                  <c:v>-15.404442825513343</c:v>
                </c:pt>
                <c:pt idx="65">
                  <c:v>-15.404442825513343</c:v>
                </c:pt>
                <c:pt idx="66">
                  <c:v>-14.482022654817683</c:v>
                </c:pt>
                <c:pt idx="67">
                  <c:v>-13.908179883770799</c:v>
                </c:pt>
                <c:pt idx="69">
                  <c:v>-13.714723858925026</c:v>
                </c:pt>
                <c:pt idx="70">
                  <c:v>-13.128683375953187</c:v>
                </c:pt>
                <c:pt idx="71">
                  <c:v>-13.780957802651983</c:v>
                </c:pt>
                <c:pt idx="72">
                  <c:v>-14.258499008747094</c:v>
                </c:pt>
                <c:pt idx="73">
                  <c:v>-14.548256703989182</c:v>
                </c:pt>
                <c:pt idx="74">
                  <c:v>-14.705546300888273</c:v>
                </c:pt>
                <c:pt idx="75">
                  <c:v>-14.524287882409226</c:v>
                </c:pt>
                <c:pt idx="76">
                  <c:v>-14.161771151037783</c:v>
                </c:pt>
                <c:pt idx="77">
                  <c:v>-15.363919534252091</c:v>
                </c:pt>
                <c:pt idx="78">
                  <c:v>-14.935168753652306</c:v>
                </c:pt>
                <c:pt idx="79">
                  <c:v>-15.044094323229729</c:v>
                </c:pt>
                <c:pt idx="80">
                  <c:v>-15.364345925405587</c:v>
                </c:pt>
                <c:pt idx="81">
                  <c:v>-16.065410777571287</c:v>
                </c:pt>
                <c:pt idx="82">
                  <c:v>-15.877627168322306</c:v>
                </c:pt>
                <c:pt idx="83">
                  <c:v>-15.188759922551753</c:v>
                </c:pt>
                <c:pt idx="84">
                  <c:v>-14.047172969043231</c:v>
                </c:pt>
                <c:pt idx="85">
                  <c:v>-16.071083193168079</c:v>
                </c:pt>
                <c:pt idx="86">
                  <c:v>-15.448876282221136</c:v>
                </c:pt>
                <c:pt idx="87">
                  <c:v>-16.312903146825875</c:v>
                </c:pt>
                <c:pt idx="88">
                  <c:v>-14.524287882409226</c:v>
                </c:pt>
                <c:pt idx="89">
                  <c:v>-15.098557051715034</c:v>
                </c:pt>
                <c:pt idx="90">
                  <c:v>-14.422936635469341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00-4D2A-9206-C0062898EBD0}"/>
            </c:ext>
          </c:extLst>
        </c:ser>
        <c:ser>
          <c:idx val="11"/>
          <c:order val="4"/>
          <c:tx>
            <c:strRef>
              <c:f>Déplacements!$O$9</c:f>
              <c:strCache>
                <c:ptCount val="1"/>
                <c:pt idx="0">
                  <c:v>DPM haut droit</c:v>
                </c:pt>
              </c:strCache>
            </c:strRef>
          </c:tx>
          <c:spPr>
            <a:ln w="19050">
              <a:solidFill>
                <a:schemeClr val="accent6">
                  <a:lumMod val="75000"/>
                </a:schemeClr>
              </a:solidFill>
              <a:prstDash val="solid"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xVal>
            <c:numRef>
              <c:f>Convergences!$C$10:$C$100</c:f>
              <c:numCache>
                <c:formatCode>0.0</c:formatCode>
                <c:ptCount val="91"/>
                <c:pt idx="0">
                  <c:v>2.25</c:v>
                </c:pt>
                <c:pt idx="1">
                  <c:v>2.25</c:v>
                </c:pt>
                <c:pt idx="2">
                  <c:v>3.2999999999999829</c:v>
                </c:pt>
                <c:pt idx="3">
                  <c:v>4.2699999999999818</c:v>
                </c:pt>
                <c:pt idx="4">
                  <c:v>5.3299999999999841</c:v>
                </c:pt>
                <c:pt idx="5">
                  <c:v>7.5999999999999943</c:v>
                </c:pt>
                <c:pt idx="6">
                  <c:v>9.1399999999999864</c:v>
                </c:pt>
                <c:pt idx="7">
                  <c:v>9.1399999999999864</c:v>
                </c:pt>
                <c:pt idx="8">
                  <c:v>9.7599999999999909</c:v>
                </c:pt>
                <c:pt idx="11">
                  <c:v>9.7599999999999909</c:v>
                </c:pt>
                <c:pt idx="12">
                  <c:v>10.900000000000006</c:v>
                </c:pt>
                <c:pt idx="13">
                  <c:v>10.900000000000006</c:v>
                </c:pt>
                <c:pt idx="14">
                  <c:v>11.5</c:v>
                </c:pt>
                <c:pt idx="15">
                  <c:v>12.449999999999989</c:v>
                </c:pt>
                <c:pt idx="16">
                  <c:v>13.299999999999983</c:v>
                </c:pt>
                <c:pt idx="17">
                  <c:v>14.400000000000006</c:v>
                </c:pt>
                <c:pt idx="18">
                  <c:v>15.5</c:v>
                </c:pt>
                <c:pt idx="19">
                  <c:v>16.699999999999989</c:v>
                </c:pt>
                <c:pt idx="20">
                  <c:v>18.680000000000007</c:v>
                </c:pt>
                <c:pt idx="21">
                  <c:v>19.699999999999989</c:v>
                </c:pt>
                <c:pt idx="22">
                  <c:v>19.699999999999989</c:v>
                </c:pt>
                <c:pt idx="23">
                  <c:v>22.419999999999987</c:v>
                </c:pt>
                <c:pt idx="24">
                  <c:v>22.419999999999987</c:v>
                </c:pt>
                <c:pt idx="25">
                  <c:v>22.419999999999987</c:v>
                </c:pt>
                <c:pt idx="26">
                  <c:v>22.419999999999987</c:v>
                </c:pt>
                <c:pt idx="27">
                  <c:v>23.299999999999983</c:v>
                </c:pt>
                <c:pt idx="28">
                  <c:v>24.400000000000006</c:v>
                </c:pt>
                <c:pt idx="29">
                  <c:v>27.549999999999983</c:v>
                </c:pt>
                <c:pt idx="30">
                  <c:v>29.599999999999994</c:v>
                </c:pt>
                <c:pt idx="31">
                  <c:v>30.079999999999984</c:v>
                </c:pt>
                <c:pt idx="32">
                  <c:v>31.099999999999994</c:v>
                </c:pt>
                <c:pt idx="33">
                  <c:v>31.659999999999997</c:v>
                </c:pt>
                <c:pt idx="34">
                  <c:v>32.97</c:v>
                </c:pt>
                <c:pt idx="35">
                  <c:v>33.97</c:v>
                </c:pt>
                <c:pt idx="36">
                  <c:v>35</c:v>
                </c:pt>
                <c:pt idx="37">
                  <c:v>35</c:v>
                </c:pt>
                <c:pt idx="38">
                  <c:v>36.599999999999994</c:v>
                </c:pt>
                <c:pt idx="39">
                  <c:v>37.799999999999983</c:v>
                </c:pt>
                <c:pt idx="40">
                  <c:v>39</c:v>
                </c:pt>
                <c:pt idx="41">
                  <c:v>39</c:v>
                </c:pt>
                <c:pt idx="42">
                  <c:v>39</c:v>
                </c:pt>
                <c:pt idx="43">
                  <c:v>39</c:v>
                </c:pt>
                <c:pt idx="44">
                  <c:v>39</c:v>
                </c:pt>
                <c:pt idx="45">
                  <c:v>39</c:v>
                </c:pt>
                <c:pt idx="46">
                  <c:v>39</c:v>
                </c:pt>
                <c:pt idx="47">
                  <c:v>39</c:v>
                </c:pt>
                <c:pt idx="48">
                  <c:v>39</c:v>
                </c:pt>
                <c:pt idx="49">
                  <c:v>39</c:v>
                </c:pt>
                <c:pt idx="50">
                  <c:v>39</c:v>
                </c:pt>
                <c:pt idx="51">
                  <c:v>39</c:v>
                </c:pt>
                <c:pt idx="52">
                  <c:v>39</c:v>
                </c:pt>
                <c:pt idx="53">
                  <c:v>39</c:v>
                </c:pt>
                <c:pt idx="54">
                  <c:v>39</c:v>
                </c:pt>
                <c:pt idx="55">
                  <c:v>39</c:v>
                </c:pt>
                <c:pt idx="56">
                  <c:v>39</c:v>
                </c:pt>
                <c:pt idx="57">
                  <c:v>39</c:v>
                </c:pt>
                <c:pt idx="58">
                  <c:v>39</c:v>
                </c:pt>
                <c:pt idx="59">
                  <c:v>39</c:v>
                </c:pt>
                <c:pt idx="61">
                  <c:v>39</c:v>
                </c:pt>
                <c:pt idx="63">
                  <c:v>39</c:v>
                </c:pt>
                <c:pt idx="65">
                  <c:v>39</c:v>
                </c:pt>
                <c:pt idx="66">
                  <c:v>39</c:v>
                </c:pt>
                <c:pt idx="67">
                  <c:v>39</c:v>
                </c:pt>
                <c:pt idx="69">
                  <c:v>39</c:v>
                </c:pt>
                <c:pt idx="70">
                  <c:v>39</c:v>
                </c:pt>
                <c:pt idx="71">
                  <c:v>39</c:v>
                </c:pt>
                <c:pt idx="72">
                  <c:v>39</c:v>
                </c:pt>
                <c:pt idx="73">
                  <c:v>39</c:v>
                </c:pt>
                <c:pt idx="74">
                  <c:v>39</c:v>
                </c:pt>
                <c:pt idx="75">
                  <c:v>39</c:v>
                </c:pt>
                <c:pt idx="76">
                  <c:v>39</c:v>
                </c:pt>
                <c:pt idx="77">
                  <c:v>39</c:v>
                </c:pt>
                <c:pt idx="78">
                  <c:v>39</c:v>
                </c:pt>
                <c:pt idx="79">
                  <c:v>39</c:v>
                </c:pt>
                <c:pt idx="80">
                  <c:v>39</c:v>
                </c:pt>
                <c:pt idx="81">
                  <c:v>39</c:v>
                </c:pt>
                <c:pt idx="82">
                  <c:v>39</c:v>
                </c:pt>
                <c:pt idx="83">
                  <c:v>39</c:v>
                </c:pt>
                <c:pt idx="84">
                  <c:v>39</c:v>
                </c:pt>
                <c:pt idx="85">
                  <c:v>39</c:v>
                </c:pt>
                <c:pt idx="86">
                  <c:v>39</c:v>
                </c:pt>
                <c:pt idx="87">
                  <c:v>39</c:v>
                </c:pt>
                <c:pt idx="88">
                  <c:v>39</c:v>
                </c:pt>
                <c:pt idx="89">
                  <c:v>39</c:v>
                </c:pt>
                <c:pt idx="90">
                  <c:v>39</c:v>
                </c:pt>
              </c:numCache>
            </c:numRef>
          </c:xVal>
          <c:yVal>
            <c:numRef>
              <c:f>Déplacements!$O$10:$O$100</c:f>
              <c:numCache>
                <c:formatCode>\+\ 0.0;\-\ 0.0;\±\ 0.0</c:formatCode>
                <c:ptCount val="91"/>
                <c:pt idx="0">
                  <c:v>0</c:v>
                </c:pt>
                <c:pt idx="1">
                  <c:v>1.7942875674066272</c:v>
                </c:pt>
                <c:pt idx="2">
                  <c:v>1.4557395521137551</c:v>
                </c:pt>
                <c:pt idx="3">
                  <c:v>1.3354692639495624</c:v>
                </c:pt>
                <c:pt idx="4">
                  <c:v>-0.26578887369055337</c:v>
                </c:pt>
                <c:pt idx="5">
                  <c:v>-2.9789926362866481</c:v>
                </c:pt>
                <c:pt idx="6">
                  <c:v>-3.0656521362288913</c:v>
                </c:pt>
                <c:pt idx="7">
                  <c:v>-3.2351423559475734</c:v>
                </c:pt>
                <c:pt idx="8">
                  <c:v>-4.0936521362198164</c:v>
                </c:pt>
                <c:pt idx="11">
                  <c:v>-3.9936521362449184</c:v>
                </c:pt>
                <c:pt idx="12">
                  <c:v>-4.6530288741166714</c:v>
                </c:pt>
                <c:pt idx="13">
                  <c:v>-4.2604521362363812</c:v>
                </c:pt>
                <c:pt idx="14">
                  <c:v>-3.7936521362382791</c:v>
                </c:pt>
                <c:pt idx="15">
                  <c:v>-4.2936521362264557</c:v>
                </c:pt>
                <c:pt idx="16">
                  <c:v>9.5090959528363328</c:v>
                </c:pt>
                <c:pt idx="17">
                  <c:v>11.2063478637765</c:v>
                </c:pt>
                <c:pt idx="18">
                  <c:v>10.406347863778365</c:v>
                </c:pt>
                <c:pt idx="19">
                  <c:v>10.806347863763222</c:v>
                </c:pt>
                <c:pt idx="20">
                  <c:v>10.806347863763222</c:v>
                </c:pt>
                <c:pt idx="21">
                  <c:v>10.206347863771725</c:v>
                </c:pt>
                <c:pt idx="22">
                  <c:v>9.8063478637584467</c:v>
                </c:pt>
                <c:pt idx="23">
                  <c:v>9.6063478637802291</c:v>
                </c:pt>
                <c:pt idx="24">
                  <c:v>9.4063478637735898</c:v>
                </c:pt>
                <c:pt idx="25">
                  <c:v>9.0063478637603112</c:v>
                </c:pt>
                <c:pt idx="26">
                  <c:v>8.5063478637721346</c:v>
                </c:pt>
                <c:pt idx="27">
                  <c:v>9.706347863755127</c:v>
                </c:pt>
                <c:pt idx="28">
                  <c:v>9.4263355094312828</c:v>
                </c:pt>
                <c:pt idx="29">
                  <c:v>9.2668493057033174</c:v>
                </c:pt>
                <c:pt idx="30">
                  <c:v>9.5086694561814511</c:v>
                </c:pt>
                <c:pt idx="31">
                  <c:v>9.0372270568366275</c:v>
                </c:pt>
                <c:pt idx="32">
                  <c:v>10.186191983393655</c:v>
                </c:pt>
                <c:pt idx="33">
                  <c:v>10.075987036486822</c:v>
                </c:pt>
                <c:pt idx="34">
                  <c:v>9.4546331188496424</c:v>
                </c:pt>
                <c:pt idx="35">
                  <c:v>9.0185042525945391</c:v>
                </c:pt>
                <c:pt idx="36">
                  <c:v>9.6063478637802291</c:v>
                </c:pt>
                <c:pt idx="37">
                  <c:v>8.3063478637654953</c:v>
                </c:pt>
                <c:pt idx="38">
                  <c:v>9.6063478637802291</c:v>
                </c:pt>
                <c:pt idx="39">
                  <c:v>9.1063478637636308</c:v>
                </c:pt>
                <c:pt idx="40">
                  <c:v>9.6063478637802291</c:v>
                </c:pt>
                <c:pt idx="41">
                  <c:v>7.8063478637773187</c:v>
                </c:pt>
                <c:pt idx="42">
                  <c:v>7.0063478637791832</c:v>
                </c:pt>
                <c:pt idx="43">
                  <c:v>7.822454570600712</c:v>
                </c:pt>
                <c:pt idx="44">
                  <c:v>7.6063478637706794</c:v>
                </c:pt>
                <c:pt idx="45">
                  <c:v>8.106347863758856</c:v>
                </c:pt>
                <c:pt idx="46">
                  <c:v>7.6063478637706794</c:v>
                </c:pt>
                <c:pt idx="47">
                  <c:v>8.7063478637787739</c:v>
                </c:pt>
                <c:pt idx="48">
                  <c:v>9.8063478637584467</c:v>
                </c:pt>
                <c:pt idx="49">
                  <c:v>8.6063478637754542</c:v>
                </c:pt>
                <c:pt idx="50">
                  <c:v>8.106347863758856</c:v>
                </c:pt>
                <c:pt idx="51">
                  <c:v>7.7063478637739991</c:v>
                </c:pt>
                <c:pt idx="52">
                  <c:v>8.8063478637536718</c:v>
                </c:pt>
                <c:pt idx="53">
                  <c:v>8.6063478637754542</c:v>
                </c:pt>
                <c:pt idx="54">
                  <c:v>9.6063478637802291</c:v>
                </c:pt>
                <c:pt idx="55">
                  <c:v>9.0063478637603112</c:v>
                </c:pt>
                <c:pt idx="56">
                  <c:v>9.1063478637636308</c:v>
                </c:pt>
                <c:pt idx="57">
                  <c:v>8.6063478637754542</c:v>
                </c:pt>
                <c:pt idx="58">
                  <c:v>9.0668682869363693</c:v>
                </c:pt>
                <c:pt idx="59">
                  <c:v>9.5744771142847185</c:v>
                </c:pt>
                <c:pt idx="61">
                  <c:v>9.3143606491139508</c:v>
                </c:pt>
                <c:pt idx="63">
                  <c:v>9.3143606491139508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00-4D2A-9206-C0062898EBD0}"/>
            </c:ext>
          </c:extLst>
        </c:ser>
        <c:ser>
          <c:idx val="13"/>
          <c:order val="5"/>
          <c:tx>
            <c:strRef>
              <c:f>Déplacements!$U$9</c:f>
              <c:strCache>
                <c:ptCount val="1"/>
                <c:pt idx="0">
                  <c:v>DPM bas droit</c:v>
                </c:pt>
              </c:strCache>
            </c:strRef>
          </c:tx>
          <c:spPr>
            <a:ln w="19050">
              <a:solidFill>
                <a:srgbClr val="969696"/>
              </a:solidFill>
            </a:ln>
          </c:spPr>
          <c:marker>
            <c:symbol val="circle"/>
            <c:size val="5"/>
            <c:spPr>
              <a:solidFill>
                <a:srgbClr val="969696"/>
              </a:solidFill>
              <a:ln>
                <a:noFill/>
              </a:ln>
            </c:spPr>
          </c:marker>
          <c:xVal>
            <c:numRef>
              <c:f>Convergences!$C$10:$C$100</c:f>
              <c:numCache>
                <c:formatCode>0.0</c:formatCode>
                <c:ptCount val="91"/>
                <c:pt idx="0">
                  <c:v>2.25</c:v>
                </c:pt>
                <c:pt idx="1">
                  <c:v>2.25</c:v>
                </c:pt>
                <c:pt idx="2">
                  <c:v>3.2999999999999829</c:v>
                </c:pt>
                <c:pt idx="3">
                  <c:v>4.2699999999999818</c:v>
                </c:pt>
                <c:pt idx="4">
                  <c:v>5.3299999999999841</c:v>
                </c:pt>
                <c:pt idx="5">
                  <c:v>7.5999999999999943</c:v>
                </c:pt>
                <c:pt idx="6">
                  <c:v>9.1399999999999864</c:v>
                </c:pt>
                <c:pt idx="7">
                  <c:v>9.1399999999999864</c:v>
                </c:pt>
                <c:pt idx="8">
                  <c:v>9.7599999999999909</c:v>
                </c:pt>
                <c:pt idx="11">
                  <c:v>9.7599999999999909</c:v>
                </c:pt>
                <c:pt idx="12">
                  <c:v>10.900000000000006</c:v>
                </c:pt>
                <c:pt idx="13">
                  <c:v>10.900000000000006</c:v>
                </c:pt>
                <c:pt idx="14">
                  <c:v>11.5</c:v>
                </c:pt>
                <c:pt idx="15">
                  <c:v>12.449999999999989</c:v>
                </c:pt>
                <c:pt idx="16">
                  <c:v>13.299999999999983</c:v>
                </c:pt>
                <c:pt idx="17">
                  <c:v>14.400000000000006</c:v>
                </c:pt>
                <c:pt idx="18">
                  <c:v>15.5</c:v>
                </c:pt>
                <c:pt idx="19">
                  <c:v>16.699999999999989</c:v>
                </c:pt>
                <c:pt idx="20">
                  <c:v>18.680000000000007</c:v>
                </c:pt>
                <c:pt idx="21">
                  <c:v>19.699999999999989</c:v>
                </c:pt>
                <c:pt idx="22">
                  <c:v>19.699999999999989</c:v>
                </c:pt>
                <c:pt idx="23">
                  <c:v>22.419999999999987</c:v>
                </c:pt>
                <c:pt idx="24">
                  <c:v>22.419999999999987</c:v>
                </c:pt>
                <c:pt idx="25">
                  <c:v>22.419999999999987</c:v>
                </c:pt>
                <c:pt idx="26">
                  <c:v>22.419999999999987</c:v>
                </c:pt>
                <c:pt idx="27">
                  <c:v>23.299999999999983</c:v>
                </c:pt>
                <c:pt idx="28">
                  <c:v>24.400000000000006</c:v>
                </c:pt>
                <c:pt idx="29">
                  <c:v>27.549999999999983</c:v>
                </c:pt>
                <c:pt idx="30">
                  <c:v>29.599999999999994</c:v>
                </c:pt>
                <c:pt idx="31">
                  <c:v>30.079999999999984</c:v>
                </c:pt>
                <c:pt idx="32">
                  <c:v>31.099999999999994</c:v>
                </c:pt>
                <c:pt idx="33">
                  <c:v>31.659999999999997</c:v>
                </c:pt>
                <c:pt idx="34">
                  <c:v>32.97</c:v>
                </c:pt>
                <c:pt idx="35">
                  <c:v>33.97</c:v>
                </c:pt>
                <c:pt idx="36">
                  <c:v>35</c:v>
                </c:pt>
                <c:pt idx="37">
                  <c:v>35</c:v>
                </c:pt>
                <c:pt idx="38">
                  <c:v>36.599999999999994</c:v>
                </c:pt>
                <c:pt idx="39">
                  <c:v>37.799999999999983</c:v>
                </c:pt>
                <c:pt idx="40">
                  <c:v>39</c:v>
                </c:pt>
                <c:pt idx="41">
                  <c:v>39</c:v>
                </c:pt>
                <c:pt idx="42">
                  <c:v>39</c:v>
                </c:pt>
                <c:pt idx="43">
                  <c:v>39</c:v>
                </c:pt>
                <c:pt idx="44">
                  <c:v>39</c:v>
                </c:pt>
                <c:pt idx="45">
                  <c:v>39</c:v>
                </c:pt>
                <c:pt idx="46">
                  <c:v>39</c:v>
                </c:pt>
                <c:pt idx="47">
                  <c:v>39</c:v>
                </c:pt>
                <c:pt idx="48">
                  <c:v>39</c:v>
                </c:pt>
                <c:pt idx="49">
                  <c:v>39</c:v>
                </c:pt>
                <c:pt idx="50">
                  <c:v>39</c:v>
                </c:pt>
                <c:pt idx="51">
                  <c:v>39</c:v>
                </c:pt>
                <c:pt idx="52">
                  <c:v>39</c:v>
                </c:pt>
                <c:pt idx="53">
                  <c:v>39</c:v>
                </c:pt>
                <c:pt idx="54">
                  <c:v>39</c:v>
                </c:pt>
                <c:pt idx="55">
                  <c:v>39</c:v>
                </c:pt>
                <c:pt idx="56">
                  <c:v>39</c:v>
                </c:pt>
                <c:pt idx="57">
                  <c:v>39</c:v>
                </c:pt>
                <c:pt idx="58">
                  <c:v>39</c:v>
                </c:pt>
                <c:pt idx="59">
                  <c:v>39</c:v>
                </c:pt>
                <c:pt idx="61">
                  <c:v>39</c:v>
                </c:pt>
                <c:pt idx="63">
                  <c:v>39</c:v>
                </c:pt>
                <c:pt idx="65">
                  <c:v>39</c:v>
                </c:pt>
                <c:pt idx="66">
                  <c:v>39</c:v>
                </c:pt>
                <c:pt idx="67">
                  <c:v>39</c:v>
                </c:pt>
                <c:pt idx="69">
                  <c:v>39</c:v>
                </c:pt>
                <c:pt idx="70">
                  <c:v>39</c:v>
                </c:pt>
                <c:pt idx="71">
                  <c:v>39</c:v>
                </c:pt>
                <c:pt idx="72">
                  <c:v>39</c:v>
                </c:pt>
                <c:pt idx="73">
                  <c:v>39</c:v>
                </c:pt>
                <c:pt idx="74">
                  <c:v>39</c:v>
                </c:pt>
                <c:pt idx="75">
                  <c:v>39</c:v>
                </c:pt>
                <c:pt idx="76">
                  <c:v>39</c:v>
                </c:pt>
                <c:pt idx="77">
                  <c:v>39</c:v>
                </c:pt>
                <c:pt idx="78">
                  <c:v>39</c:v>
                </c:pt>
                <c:pt idx="79">
                  <c:v>39</c:v>
                </c:pt>
                <c:pt idx="80">
                  <c:v>39</c:v>
                </c:pt>
                <c:pt idx="81">
                  <c:v>39</c:v>
                </c:pt>
                <c:pt idx="82">
                  <c:v>39</c:v>
                </c:pt>
                <c:pt idx="83">
                  <c:v>39</c:v>
                </c:pt>
                <c:pt idx="84">
                  <c:v>39</c:v>
                </c:pt>
                <c:pt idx="85">
                  <c:v>39</c:v>
                </c:pt>
                <c:pt idx="86">
                  <c:v>39</c:v>
                </c:pt>
                <c:pt idx="87">
                  <c:v>39</c:v>
                </c:pt>
                <c:pt idx="88">
                  <c:v>39</c:v>
                </c:pt>
                <c:pt idx="89">
                  <c:v>39</c:v>
                </c:pt>
                <c:pt idx="90">
                  <c:v>39</c:v>
                </c:pt>
              </c:numCache>
            </c:numRef>
          </c:xVal>
          <c:yVal>
            <c:numRef>
              <c:f>Déplacements!$U$10:$U$100</c:f>
              <c:numCache>
                <c:formatCode>\+\ 0.0;\-\ 0.0;\±\ 0.0</c:formatCode>
                <c:ptCount val="91"/>
                <c:pt idx="0">
                  <c:v>0</c:v>
                </c:pt>
                <c:pt idx="1">
                  <c:v>2.3197665150860303</c:v>
                </c:pt>
                <c:pt idx="2">
                  <c:v>1.817829997833087</c:v>
                </c:pt>
                <c:pt idx="3">
                  <c:v>2.1324092970189668</c:v>
                </c:pt>
                <c:pt idx="4">
                  <c:v>14.414010325737081</c:v>
                </c:pt>
                <c:pt idx="5">
                  <c:v>13.186613842037787</c:v>
                </c:pt>
                <c:pt idx="6">
                  <c:v>13.643745617684999</c:v>
                </c:pt>
                <c:pt idx="7">
                  <c:v>13.305178460086609</c:v>
                </c:pt>
                <c:pt idx="8">
                  <c:v>12.42634561768341</c:v>
                </c:pt>
                <c:pt idx="11">
                  <c:v>12.42634561768341</c:v>
                </c:pt>
                <c:pt idx="12">
                  <c:v>12.458211461449764</c:v>
                </c:pt>
                <c:pt idx="13">
                  <c:v>12.663445617675961</c:v>
                </c:pt>
                <c:pt idx="14">
                  <c:v>12.926345617671586</c:v>
                </c:pt>
                <c:pt idx="15">
                  <c:v>12.42634561768341</c:v>
                </c:pt>
                <c:pt idx="16">
                  <c:v>12.28305174421962</c:v>
                </c:pt>
                <c:pt idx="17">
                  <c:v>13.626345617666402</c:v>
                </c:pt>
                <c:pt idx="18">
                  <c:v>13.326345617684865</c:v>
                </c:pt>
                <c:pt idx="19">
                  <c:v>13.926345617676361</c:v>
                </c:pt>
                <c:pt idx="20">
                  <c:v>13.826345617673041</c:v>
                </c:pt>
                <c:pt idx="21">
                  <c:v>13.626345617666402</c:v>
                </c:pt>
                <c:pt idx="23">
                  <c:v>12.726345617693369</c:v>
                </c:pt>
                <c:pt idx="24">
                  <c:v>12.526345617686729</c:v>
                </c:pt>
                <c:pt idx="25">
                  <c:v>11.726345617688594</c:v>
                </c:pt>
                <c:pt idx="27">
                  <c:v>12.626345617690049</c:v>
                </c:pt>
                <c:pt idx="28">
                  <c:v>13.266283066712958</c:v>
                </c:pt>
                <c:pt idx="29">
                  <c:v>12.393889732635444</c:v>
                </c:pt>
                <c:pt idx="30">
                  <c:v>12.233835033129026</c:v>
                </c:pt>
                <c:pt idx="31">
                  <c:v>12.390698238789355</c:v>
                </c:pt>
                <c:pt idx="32">
                  <c:v>13.370602254866526</c:v>
                </c:pt>
                <c:pt idx="33">
                  <c:v>13.423359418794689</c:v>
                </c:pt>
                <c:pt idx="34">
                  <c:v>12.548414226756677</c:v>
                </c:pt>
                <c:pt idx="35">
                  <c:v>12.58940007704723</c:v>
                </c:pt>
                <c:pt idx="36">
                  <c:v>13.026345617674906</c:v>
                </c:pt>
                <c:pt idx="37">
                  <c:v>11.826345617691914</c:v>
                </c:pt>
                <c:pt idx="38">
                  <c:v>13.126345617678226</c:v>
                </c:pt>
                <c:pt idx="39">
                  <c:v>12.826345617668267</c:v>
                </c:pt>
                <c:pt idx="40">
                  <c:v>13.026345617674906</c:v>
                </c:pt>
                <c:pt idx="41">
                  <c:v>11.726345617688594</c:v>
                </c:pt>
                <c:pt idx="42">
                  <c:v>11.126345617668676</c:v>
                </c:pt>
                <c:pt idx="43">
                  <c:v>11.828200080799434</c:v>
                </c:pt>
                <c:pt idx="44">
                  <c:v>11.926345617666811</c:v>
                </c:pt>
                <c:pt idx="45">
                  <c:v>12.126345617673451</c:v>
                </c:pt>
                <c:pt idx="46">
                  <c:v>11.726345617688594</c:v>
                </c:pt>
                <c:pt idx="47">
                  <c:v>12.526345617686729</c:v>
                </c:pt>
                <c:pt idx="48">
                  <c:v>13.526345617691504</c:v>
                </c:pt>
                <c:pt idx="49">
                  <c:v>12.026345617670131</c:v>
                </c:pt>
                <c:pt idx="50">
                  <c:v>12.42634561768341</c:v>
                </c:pt>
                <c:pt idx="51">
                  <c:v>11.926345617666811</c:v>
                </c:pt>
                <c:pt idx="52">
                  <c:v>13.026345617674906</c:v>
                </c:pt>
                <c:pt idx="53">
                  <c:v>12.926345617671586</c:v>
                </c:pt>
                <c:pt idx="54">
                  <c:v>13.526345617691504</c:v>
                </c:pt>
                <c:pt idx="55">
                  <c:v>13.226345617681545</c:v>
                </c:pt>
                <c:pt idx="56">
                  <c:v>13.326345617684865</c:v>
                </c:pt>
                <c:pt idx="57">
                  <c:v>12.926345617671586</c:v>
                </c:pt>
                <c:pt idx="58">
                  <c:v>13.078712596779951</c:v>
                </c:pt>
                <c:pt idx="59">
                  <c:v>13.405063012783103</c:v>
                </c:pt>
                <c:pt idx="61">
                  <c:v>13.320106159312672</c:v>
                </c:pt>
                <c:pt idx="63">
                  <c:v>13.320106159312672</c:v>
                </c:pt>
                <c:pt idx="69">
                  <c:v>13.211932638995449</c:v>
                </c:pt>
                <c:pt idx="70">
                  <c:v>14.559173118186663</c:v>
                </c:pt>
                <c:pt idx="71">
                  <c:v>13.683375143841658</c:v>
                </c:pt>
                <c:pt idx="72">
                  <c:v>13.103007076495032</c:v>
                </c:pt>
                <c:pt idx="73">
                  <c:v>12.98840899292486</c:v>
                </c:pt>
                <c:pt idx="74">
                  <c:v>13.278166688223791</c:v>
                </c:pt>
                <c:pt idx="75">
                  <c:v>13.314333116198895</c:v>
                </c:pt>
                <c:pt idx="76">
                  <c:v>14.051564290838314</c:v>
                </c:pt>
                <c:pt idx="77">
                  <c:v>12.069493008738164</c:v>
                </c:pt>
                <c:pt idx="78">
                  <c:v>12.951389782671185</c:v>
                </c:pt>
                <c:pt idx="79">
                  <c:v>12.105232940058386</c:v>
                </c:pt>
                <c:pt idx="80">
                  <c:v>12.552280232199564</c:v>
                </c:pt>
                <c:pt idx="81">
                  <c:v>13.162289431221552</c:v>
                </c:pt>
                <c:pt idx="82">
                  <c:v>12.268621442018457</c:v>
                </c:pt>
                <c:pt idx="83">
                  <c:v>13.827614253642651</c:v>
                </c:pt>
                <c:pt idx="84">
                  <c:v>14.286432760997059</c:v>
                </c:pt>
                <c:pt idx="85">
                  <c:v>12.069066617584667</c:v>
                </c:pt>
                <c:pt idx="86">
                  <c:v>12.691273423001803</c:v>
                </c:pt>
                <c:pt idx="87">
                  <c:v>11.682154567949965</c:v>
                </c:pt>
                <c:pt idx="88">
                  <c:v>13.645929444038529</c:v>
                </c:pt>
                <c:pt idx="89">
                  <c:v>12.745309865863419</c:v>
                </c:pt>
                <c:pt idx="90">
                  <c:v>13.459883777727555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00-4D2A-9206-C0062898EBD0}"/>
            </c:ext>
          </c:extLst>
        </c:ser>
        <c:ser>
          <c:idx val="9"/>
          <c:order val="6"/>
          <c:tx>
            <c:strRef>
              <c:f>Déplacements!$R$9</c:f>
              <c:strCache>
                <c:ptCount val="1"/>
                <c:pt idx="0">
                  <c:v>DPM inter droit</c:v>
                </c:pt>
              </c:strCache>
            </c:strRef>
          </c:tx>
          <c:spPr>
            <a:ln w="19050">
              <a:solidFill>
                <a:srgbClr val="00FF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FF00"/>
              </a:solidFill>
              <a:ln>
                <a:noFill/>
              </a:ln>
            </c:spPr>
          </c:marker>
          <c:xVal>
            <c:numRef>
              <c:f>Convergences!$C$10:$C$100</c:f>
              <c:numCache>
                <c:formatCode>0.0</c:formatCode>
                <c:ptCount val="91"/>
                <c:pt idx="0">
                  <c:v>2.25</c:v>
                </c:pt>
                <c:pt idx="1">
                  <c:v>2.25</c:v>
                </c:pt>
                <c:pt idx="2">
                  <c:v>3.2999999999999829</c:v>
                </c:pt>
                <c:pt idx="3">
                  <c:v>4.2699999999999818</c:v>
                </c:pt>
                <c:pt idx="4">
                  <c:v>5.3299999999999841</c:v>
                </c:pt>
                <c:pt idx="5">
                  <c:v>7.5999999999999943</c:v>
                </c:pt>
                <c:pt idx="6">
                  <c:v>9.1399999999999864</c:v>
                </c:pt>
                <c:pt idx="7">
                  <c:v>9.1399999999999864</c:v>
                </c:pt>
                <c:pt idx="8">
                  <c:v>9.7599999999999909</c:v>
                </c:pt>
                <c:pt idx="11">
                  <c:v>9.7599999999999909</c:v>
                </c:pt>
                <c:pt idx="12">
                  <c:v>10.900000000000006</c:v>
                </c:pt>
                <c:pt idx="13">
                  <c:v>10.900000000000006</c:v>
                </c:pt>
                <c:pt idx="14">
                  <c:v>11.5</c:v>
                </c:pt>
                <c:pt idx="15">
                  <c:v>12.449999999999989</c:v>
                </c:pt>
                <c:pt idx="16">
                  <c:v>13.299999999999983</c:v>
                </c:pt>
                <c:pt idx="17">
                  <c:v>14.400000000000006</c:v>
                </c:pt>
                <c:pt idx="18">
                  <c:v>15.5</c:v>
                </c:pt>
                <c:pt idx="19">
                  <c:v>16.699999999999989</c:v>
                </c:pt>
                <c:pt idx="20">
                  <c:v>18.680000000000007</c:v>
                </c:pt>
                <c:pt idx="21">
                  <c:v>19.699999999999989</c:v>
                </c:pt>
                <c:pt idx="22">
                  <c:v>19.699999999999989</c:v>
                </c:pt>
                <c:pt idx="23">
                  <c:v>22.419999999999987</c:v>
                </c:pt>
                <c:pt idx="24">
                  <c:v>22.419999999999987</c:v>
                </c:pt>
                <c:pt idx="25">
                  <c:v>22.419999999999987</c:v>
                </c:pt>
                <c:pt idx="26">
                  <c:v>22.419999999999987</c:v>
                </c:pt>
                <c:pt idx="27">
                  <c:v>23.299999999999983</c:v>
                </c:pt>
                <c:pt idx="28">
                  <c:v>24.400000000000006</c:v>
                </c:pt>
                <c:pt idx="29">
                  <c:v>27.549999999999983</c:v>
                </c:pt>
                <c:pt idx="30">
                  <c:v>29.599999999999994</c:v>
                </c:pt>
                <c:pt idx="31">
                  <c:v>30.079999999999984</c:v>
                </c:pt>
                <c:pt idx="32">
                  <c:v>31.099999999999994</c:v>
                </c:pt>
                <c:pt idx="33">
                  <c:v>31.659999999999997</c:v>
                </c:pt>
                <c:pt idx="34">
                  <c:v>32.97</c:v>
                </c:pt>
                <c:pt idx="35">
                  <c:v>33.97</c:v>
                </c:pt>
                <c:pt idx="36">
                  <c:v>35</c:v>
                </c:pt>
                <c:pt idx="37">
                  <c:v>35</c:v>
                </c:pt>
                <c:pt idx="38">
                  <c:v>36.599999999999994</c:v>
                </c:pt>
                <c:pt idx="39">
                  <c:v>37.799999999999983</c:v>
                </c:pt>
                <c:pt idx="40">
                  <c:v>39</c:v>
                </c:pt>
                <c:pt idx="41">
                  <c:v>39</c:v>
                </c:pt>
                <c:pt idx="42">
                  <c:v>39</c:v>
                </c:pt>
                <c:pt idx="43">
                  <c:v>39</c:v>
                </c:pt>
                <c:pt idx="44">
                  <c:v>39</c:v>
                </c:pt>
                <c:pt idx="45">
                  <c:v>39</c:v>
                </c:pt>
                <c:pt idx="46">
                  <c:v>39</c:v>
                </c:pt>
                <c:pt idx="47">
                  <c:v>39</c:v>
                </c:pt>
                <c:pt idx="48">
                  <c:v>39</c:v>
                </c:pt>
                <c:pt idx="49">
                  <c:v>39</c:v>
                </c:pt>
                <c:pt idx="50">
                  <c:v>39</c:v>
                </c:pt>
                <c:pt idx="51">
                  <c:v>39</c:v>
                </c:pt>
                <c:pt idx="52">
                  <c:v>39</c:v>
                </c:pt>
                <c:pt idx="53">
                  <c:v>39</c:v>
                </c:pt>
                <c:pt idx="54">
                  <c:v>39</c:v>
                </c:pt>
                <c:pt idx="55">
                  <c:v>39</c:v>
                </c:pt>
                <c:pt idx="56">
                  <c:v>39</c:v>
                </c:pt>
                <c:pt idx="57">
                  <c:v>39</c:v>
                </c:pt>
                <c:pt idx="58">
                  <c:v>39</c:v>
                </c:pt>
                <c:pt idx="59">
                  <c:v>39</c:v>
                </c:pt>
                <c:pt idx="61">
                  <c:v>39</c:v>
                </c:pt>
                <c:pt idx="63">
                  <c:v>39</c:v>
                </c:pt>
                <c:pt idx="65">
                  <c:v>39</c:v>
                </c:pt>
                <c:pt idx="66">
                  <c:v>39</c:v>
                </c:pt>
                <c:pt idx="67">
                  <c:v>39</c:v>
                </c:pt>
                <c:pt idx="69">
                  <c:v>39</c:v>
                </c:pt>
                <c:pt idx="70">
                  <c:v>39</c:v>
                </c:pt>
                <c:pt idx="71">
                  <c:v>39</c:v>
                </c:pt>
                <c:pt idx="72">
                  <c:v>39</c:v>
                </c:pt>
                <c:pt idx="73">
                  <c:v>39</c:v>
                </c:pt>
                <c:pt idx="74">
                  <c:v>39</c:v>
                </c:pt>
                <c:pt idx="75">
                  <c:v>39</c:v>
                </c:pt>
                <c:pt idx="76">
                  <c:v>39</c:v>
                </c:pt>
                <c:pt idx="77">
                  <c:v>39</c:v>
                </c:pt>
                <c:pt idx="78">
                  <c:v>39</c:v>
                </c:pt>
                <c:pt idx="79">
                  <c:v>39</c:v>
                </c:pt>
                <c:pt idx="80">
                  <c:v>39</c:v>
                </c:pt>
                <c:pt idx="81">
                  <c:v>39</c:v>
                </c:pt>
                <c:pt idx="82">
                  <c:v>39</c:v>
                </c:pt>
                <c:pt idx="83">
                  <c:v>39</c:v>
                </c:pt>
                <c:pt idx="84">
                  <c:v>39</c:v>
                </c:pt>
                <c:pt idx="85">
                  <c:v>39</c:v>
                </c:pt>
                <c:pt idx="86">
                  <c:v>39</c:v>
                </c:pt>
                <c:pt idx="87">
                  <c:v>39</c:v>
                </c:pt>
                <c:pt idx="88">
                  <c:v>39</c:v>
                </c:pt>
                <c:pt idx="89">
                  <c:v>39</c:v>
                </c:pt>
                <c:pt idx="90">
                  <c:v>39</c:v>
                </c:pt>
              </c:numCache>
            </c:numRef>
          </c:xVal>
          <c:yVal>
            <c:numRef>
              <c:f>Déplacements!$R$10:$R$100</c:f>
              <c:numCache>
                <c:formatCode>\+\ 0.0;\-\ 0.0;\±\ 0.0</c:formatCode>
                <c:ptCount val="91"/>
                <c:pt idx="0">
                  <c:v>0</c:v>
                </c:pt>
                <c:pt idx="1">
                  <c:v>1.2383148112178333</c:v>
                </c:pt>
                <c:pt idx="2">
                  <c:v>1.9446256806929796</c:v>
                </c:pt>
                <c:pt idx="3">
                  <c:v>2.5310924563655135</c:v>
                </c:pt>
                <c:pt idx="4">
                  <c:v>1.76294087111728</c:v>
                </c:pt>
                <c:pt idx="5">
                  <c:v>0.7651666362562537</c:v>
                </c:pt>
                <c:pt idx="6">
                  <c:v>0.99876686869038167</c:v>
                </c:pt>
                <c:pt idx="7">
                  <c:v>0.79310219629746825</c:v>
                </c:pt>
                <c:pt idx="8">
                  <c:v>0.3344668686793284</c:v>
                </c:pt>
                <c:pt idx="11">
                  <c:v>0.63446686866086566</c:v>
                </c:pt>
                <c:pt idx="12">
                  <c:v>0.24850531301012779</c:v>
                </c:pt>
                <c:pt idx="13">
                  <c:v>0.81626686866798082</c:v>
                </c:pt>
                <c:pt idx="14">
                  <c:v>1.0344668686741443</c:v>
                </c:pt>
                <c:pt idx="15">
                  <c:v>0.83446686866750497</c:v>
                </c:pt>
                <c:pt idx="16">
                  <c:v>0.29686924187899422</c:v>
                </c:pt>
                <c:pt idx="17">
                  <c:v>2.3344668686604564</c:v>
                </c:pt>
                <c:pt idx="18">
                  <c:v>1.2344668686807836</c:v>
                </c:pt>
                <c:pt idx="19">
                  <c:v>1.9344668686755995</c:v>
                </c:pt>
                <c:pt idx="20">
                  <c:v>2.3344668686604564</c:v>
                </c:pt>
                <c:pt idx="21">
                  <c:v>2.3344668686604564</c:v>
                </c:pt>
                <c:pt idx="22">
                  <c:v>1.1344668686774639</c:v>
                </c:pt>
                <c:pt idx="23">
                  <c:v>1.3344668686556815</c:v>
                </c:pt>
                <c:pt idx="24">
                  <c:v>1.0344668686741443</c:v>
                </c:pt>
                <c:pt idx="25">
                  <c:v>0.43446686868264806</c:v>
                </c:pt>
                <c:pt idx="26">
                  <c:v>0.23446686867600874</c:v>
                </c:pt>
                <c:pt idx="27">
                  <c:v>1.3344668686556815</c:v>
                </c:pt>
                <c:pt idx="28">
                  <c:v>1.5156084736247522</c:v>
                </c:pt>
                <c:pt idx="29">
                  <c:v>1.0269355827006166</c:v>
                </c:pt>
                <c:pt idx="30">
                  <c:v>1.0149512281714124</c:v>
                </c:pt>
                <c:pt idx="31">
                  <c:v>0.81539650216200243</c:v>
                </c:pt>
                <c:pt idx="32">
                  <c:v>1.7046712563058009</c:v>
                </c:pt>
                <c:pt idx="33">
                  <c:v>1.878125204996195</c:v>
                </c:pt>
                <c:pt idx="34">
                  <c:v>0.78575527203383899</c:v>
                </c:pt>
                <c:pt idx="35">
                  <c:v>1.195356758842081</c:v>
                </c:pt>
                <c:pt idx="36">
                  <c:v>1.2344668686807836</c:v>
                </c:pt>
                <c:pt idx="37">
                  <c:v>0.43446686868264806</c:v>
                </c:pt>
                <c:pt idx="38">
                  <c:v>1.5344668686623208</c:v>
                </c:pt>
                <c:pt idx="39">
                  <c:v>1.2344668686807836</c:v>
                </c:pt>
                <c:pt idx="40">
                  <c:v>1.6344668686656405</c:v>
                </c:pt>
                <c:pt idx="41">
                  <c:v>0.23446686867600874</c:v>
                </c:pt>
                <c:pt idx="42">
                  <c:v>-0.66553313132544645</c:v>
                </c:pt>
                <c:pt idx="43">
                  <c:v>0.30126237851391124</c:v>
                </c:pt>
                <c:pt idx="44">
                  <c:v>0.13446686867268909</c:v>
                </c:pt>
                <c:pt idx="45">
                  <c:v>0.3344668686793284</c:v>
                </c:pt>
                <c:pt idx="46">
                  <c:v>3.4466868669369433E-2</c:v>
                </c:pt>
                <c:pt idx="47">
                  <c:v>1.1344668686774639</c:v>
                </c:pt>
                <c:pt idx="48">
                  <c:v>1.7344668686689602</c:v>
                </c:pt>
                <c:pt idx="49">
                  <c:v>0.43446686868264806</c:v>
                </c:pt>
                <c:pt idx="50">
                  <c:v>0.73446686866418531</c:v>
                </c:pt>
                <c:pt idx="51">
                  <c:v>0.43446686868264806</c:v>
                </c:pt>
                <c:pt idx="52">
                  <c:v>1.1344668686774639</c:v>
                </c:pt>
                <c:pt idx="53">
                  <c:v>1.1344668686774639</c:v>
                </c:pt>
                <c:pt idx="54">
                  <c:v>1.8344668686722798</c:v>
                </c:pt>
                <c:pt idx="55">
                  <c:v>1.5344668686623208</c:v>
                </c:pt>
                <c:pt idx="56">
                  <c:v>1.4344668686590012</c:v>
                </c:pt>
                <c:pt idx="57">
                  <c:v>0.93446686867082462</c:v>
                </c:pt>
                <c:pt idx="58">
                  <c:v>1.4127816052678099</c:v>
                </c:pt>
                <c:pt idx="59">
                  <c:v>1.6907680853250895</c:v>
                </c:pt>
                <c:pt idx="61">
                  <c:v>1.5151819769698704</c:v>
                </c:pt>
                <c:pt idx="63">
                  <c:v>1.5151819769698704</c:v>
                </c:pt>
                <c:pt idx="65">
                  <c:v>0.41518197699019765</c:v>
                </c:pt>
                <c:pt idx="66">
                  <c:v>1.2610687376763963</c:v>
                </c:pt>
                <c:pt idx="67">
                  <c:v>1.1151819769850135</c:v>
                </c:pt>
                <c:pt idx="69">
                  <c:v>1.3939630233323896</c:v>
                </c:pt>
                <c:pt idx="70">
                  <c:v>2.3786866656223538</c:v>
                </c:pt>
                <c:pt idx="71">
                  <c:v>1.7747762662168043</c:v>
                </c:pt>
                <c:pt idx="72">
                  <c:v>1.5569251341958079</c:v>
                </c:pt>
                <c:pt idx="73">
                  <c:v>1.2127046049101864</c:v>
                </c:pt>
                <c:pt idx="74">
                  <c:v>1.8166151027116939</c:v>
                </c:pt>
                <c:pt idx="75">
                  <c:v>1.7560534690801433</c:v>
                </c:pt>
                <c:pt idx="76">
                  <c:v>1.5808938502743786</c:v>
                </c:pt>
                <c:pt idx="77">
                  <c:v>0.69247178004161469</c:v>
                </c:pt>
                <c:pt idx="78">
                  <c:v>0.84933498573036559</c:v>
                </c:pt>
                <c:pt idx="79">
                  <c:v>0.59531742570584356</c:v>
                </c:pt>
                <c:pt idx="80">
                  <c:v>0.13607252722636076</c:v>
                </c:pt>
                <c:pt idx="81">
                  <c:v>1.2837582803513214</c:v>
                </c:pt>
                <c:pt idx="82">
                  <c:v>2.7573348774012629E-2</c:v>
                </c:pt>
                <c:pt idx="83">
                  <c:v>1.3146785854871723</c:v>
                </c:pt>
                <c:pt idx="84">
                  <c:v>2.0453846677241927</c:v>
                </c:pt>
                <c:pt idx="85">
                  <c:v>1.5375742407286452E-2</c:v>
                </c:pt>
                <c:pt idx="86">
                  <c:v>0.31733094567698572</c:v>
                </c:pt>
                <c:pt idx="87">
                  <c:v>-9.354982009313062E-2</c:v>
                </c:pt>
                <c:pt idx="88">
                  <c:v>1.7795957940336393</c:v>
                </c:pt>
                <c:pt idx="89">
                  <c:v>1.0541357291629083</c:v>
                </c:pt>
                <c:pt idx="90">
                  <c:v>1.9085751438296938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E00-4D2A-9206-C0062898EB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020632"/>
        <c:axId val="595021808"/>
      </c:scatterChart>
      <c:valAx>
        <c:axId val="59502063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sz="800" b="1"/>
                </a:pPr>
                <a:r>
                  <a:rPr lang="fr-FR" sz="800" b="1"/>
                  <a:t>Distance au front [m]</a:t>
                </a:r>
              </a:p>
            </c:rich>
          </c:tx>
          <c:overlay val="0"/>
        </c:title>
        <c:numFmt formatCode="#\ ##0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595021808"/>
        <c:crossesAt val="0"/>
        <c:crossBetween val="midCat"/>
      </c:valAx>
      <c:valAx>
        <c:axId val="595021808"/>
        <c:scaling>
          <c:orientation val="minMax"/>
          <c:max val="20"/>
          <c:min val="-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/>
        <c:title>
          <c:tx>
            <c:rich>
              <a:bodyPr/>
              <a:lstStyle/>
              <a:p>
                <a:pPr>
                  <a:defRPr sz="800" b="1"/>
                </a:pPr>
                <a:r>
                  <a:rPr lang="fr-FR" sz="800" b="1"/>
                  <a:t>Déplacement</a:t>
                </a:r>
                <a:r>
                  <a:rPr lang="fr-FR" sz="800" b="1" baseline="0"/>
                  <a:t> en PM</a:t>
                </a:r>
                <a:r>
                  <a:rPr lang="fr-FR" sz="800" b="1"/>
                  <a:t> [mm]</a:t>
                </a:r>
              </a:p>
            </c:rich>
          </c:tx>
          <c:overlay val="0"/>
        </c:title>
        <c:numFmt formatCode="\+\ 0.0;\-\ 0.0;\±\ 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595020632"/>
        <c:crosses val="autoZero"/>
        <c:crossBetween val="midCat"/>
        <c:majorUnit val="5"/>
      </c:valAx>
      <c:spPr>
        <a:noFill/>
        <a:ln w="25400">
          <a:noFill/>
        </a:ln>
      </c:spPr>
    </c:plotArea>
    <c:legend>
      <c:legendPos val="b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span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422" footer="0.49212598450000422"/>
    <c:pageSetup paperSize="9" orientation="landscape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0">
              <a:defRPr lang="fr-FR" sz="1000" b="1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000" b="1" i="0" u="none" strike="noStrike" baseline="0">
                <a:effectLst/>
              </a:rPr>
              <a:t>Déplacement en déport
</a:t>
            </a:r>
            <a:endParaRPr lang="en-US" sz="1000" b="1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endParaRP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7"/>
          <c:order val="0"/>
          <c:tx>
            <c:strRef>
              <c:f>Déplacements!$D$9</c:f>
              <c:strCache>
                <c:ptCount val="1"/>
                <c:pt idx="0">
                  <c:v>DH bas gauche</c:v>
                </c:pt>
              </c:strCache>
            </c:strRef>
          </c:tx>
          <c:spPr>
            <a:ln w="19050">
              <a:solidFill>
                <a:srgbClr val="00008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002060"/>
              </a:solidFill>
              <a:ln>
                <a:solidFill>
                  <a:srgbClr val="000080"/>
                </a:solidFill>
              </a:ln>
            </c:spPr>
          </c:marker>
          <c:xVal>
            <c:numRef>
              <c:f>Convergences!$C$10:$C$100</c:f>
              <c:numCache>
                <c:formatCode>0.0</c:formatCode>
                <c:ptCount val="91"/>
                <c:pt idx="0">
                  <c:v>2.25</c:v>
                </c:pt>
                <c:pt idx="1">
                  <c:v>2.25</c:v>
                </c:pt>
                <c:pt idx="2">
                  <c:v>3.2999999999999829</c:v>
                </c:pt>
                <c:pt idx="3">
                  <c:v>4.2699999999999818</c:v>
                </c:pt>
                <c:pt idx="4">
                  <c:v>5.3299999999999841</c:v>
                </c:pt>
                <c:pt idx="5">
                  <c:v>7.5999999999999943</c:v>
                </c:pt>
                <c:pt idx="6">
                  <c:v>9.1399999999999864</c:v>
                </c:pt>
                <c:pt idx="7">
                  <c:v>9.1399999999999864</c:v>
                </c:pt>
                <c:pt idx="8">
                  <c:v>9.7599999999999909</c:v>
                </c:pt>
                <c:pt idx="11">
                  <c:v>9.7599999999999909</c:v>
                </c:pt>
                <c:pt idx="12">
                  <c:v>10.900000000000006</c:v>
                </c:pt>
                <c:pt idx="13">
                  <c:v>10.900000000000006</c:v>
                </c:pt>
                <c:pt idx="14">
                  <c:v>11.5</c:v>
                </c:pt>
                <c:pt idx="15">
                  <c:v>12.449999999999989</c:v>
                </c:pt>
                <c:pt idx="16">
                  <c:v>13.299999999999983</c:v>
                </c:pt>
                <c:pt idx="17">
                  <c:v>14.400000000000006</c:v>
                </c:pt>
                <c:pt idx="18">
                  <c:v>15.5</c:v>
                </c:pt>
                <c:pt idx="19">
                  <c:v>16.699999999999989</c:v>
                </c:pt>
                <c:pt idx="20">
                  <c:v>18.680000000000007</c:v>
                </c:pt>
                <c:pt idx="21">
                  <c:v>19.699999999999989</c:v>
                </c:pt>
                <c:pt idx="22">
                  <c:v>19.699999999999989</c:v>
                </c:pt>
                <c:pt idx="23">
                  <c:v>22.419999999999987</c:v>
                </c:pt>
                <c:pt idx="24">
                  <c:v>22.419999999999987</c:v>
                </c:pt>
                <c:pt idx="25">
                  <c:v>22.419999999999987</c:v>
                </c:pt>
                <c:pt idx="26">
                  <c:v>22.419999999999987</c:v>
                </c:pt>
                <c:pt idx="27">
                  <c:v>23.299999999999983</c:v>
                </c:pt>
                <c:pt idx="28">
                  <c:v>24.400000000000006</c:v>
                </c:pt>
                <c:pt idx="29">
                  <c:v>27.549999999999983</c:v>
                </c:pt>
                <c:pt idx="30">
                  <c:v>29.599999999999994</c:v>
                </c:pt>
                <c:pt idx="31">
                  <c:v>30.079999999999984</c:v>
                </c:pt>
                <c:pt idx="32">
                  <c:v>31.099999999999994</c:v>
                </c:pt>
                <c:pt idx="33">
                  <c:v>31.659999999999997</c:v>
                </c:pt>
                <c:pt idx="34">
                  <c:v>32.97</c:v>
                </c:pt>
                <c:pt idx="35">
                  <c:v>33.97</c:v>
                </c:pt>
                <c:pt idx="36">
                  <c:v>35</c:v>
                </c:pt>
                <c:pt idx="37">
                  <c:v>35</c:v>
                </c:pt>
                <c:pt idx="38">
                  <c:v>36.599999999999994</c:v>
                </c:pt>
                <c:pt idx="39">
                  <c:v>37.799999999999983</c:v>
                </c:pt>
                <c:pt idx="40">
                  <c:v>39</c:v>
                </c:pt>
                <c:pt idx="41">
                  <c:v>39</c:v>
                </c:pt>
                <c:pt idx="42">
                  <c:v>39</c:v>
                </c:pt>
                <c:pt idx="43">
                  <c:v>39</c:v>
                </c:pt>
                <c:pt idx="44">
                  <c:v>39</c:v>
                </c:pt>
                <c:pt idx="45">
                  <c:v>39</c:v>
                </c:pt>
                <c:pt idx="46">
                  <c:v>39</c:v>
                </c:pt>
                <c:pt idx="47">
                  <c:v>39</c:v>
                </c:pt>
                <c:pt idx="48">
                  <c:v>39</c:v>
                </c:pt>
                <c:pt idx="49">
                  <c:v>39</c:v>
                </c:pt>
                <c:pt idx="50">
                  <c:v>39</c:v>
                </c:pt>
                <c:pt idx="51">
                  <c:v>39</c:v>
                </c:pt>
                <c:pt idx="52">
                  <c:v>39</c:v>
                </c:pt>
                <c:pt idx="53">
                  <c:v>39</c:v>
                </c:pt>
                <c:pt idx="54">
                  <c:v>39</c:v>
                </c:pt>
                <c:pt idx="55">
                  <c:v>39</c:v>
                </c:pt>
                <c:pt idx="56">
                  <c:v>39</c:v>
                </c:pt>
                <c:pt idx="57">
                  <c:v>39</c:v>
                </c:pt>
                <c:pt idx="58">
                  <c:v>39</c:v>
                </c:pt>
                <c:pt idx="59">
                  <c:v>39</c:v>
                </c:pt>
                <c:pt idx="61">
                  <c:v>39</c:v>
                </c:pt>
                <c:pt idx="63">
                  <c:v>39</c:v>
                </c:pt>
                <c:pt idx="65">
                  <c:v>39</c:v>
                </c:pt>
                <c:pt idx="66">
                  <c:v>39</c:v>
                </c:pt>
                <c:pt idx="67">
                  <c:v>39</c:v>
                </c:pt>
                <c:pt idx="69">
                  <c:v>39</c:v>
                </c:pt>
                <c:pt idx="70">
                  <c:v>39</c:v>
                </c:pt>
                <c:pt idx="71">
                  <c:v>39</c:v>
                </c:pt>
                <c:pt idx="72">
                  <c:v>39</c:v>
                </c:pt>
                <c:pt idx="73">
                  <c:v>39</c:v>
                </c:pt>
                <c:pt idx="74">
                  <c:v>39</c:v>
                </c:pt>
                <c:pt idx="75">
                  <c:v>39</c:v>
                </c:pt>
                <c:pt idx="76">
                  <c:v>39</c:v>
                </c:pt>
                <c:pt idx="77">
                  <c:v>39</c:v>
                </c:pt>
                <c:pt idx="78">
                  <c:v>39</c:v>
                </c:pt>
                <c:pt idx="79">
                  <c:v>39</c:v>
                </c:pt>
                <c:pt idx="80">
                  <c:v>39</c:v>
                </c:pt>
                <c:pt idx="81">
                  <c:v>39</c:v>
                </c:pt>
                <c:pt idx="82">
                  <c:v>39</c:v>
                </c:pt>
                <c:pt idx="83">
                  <c:v>39</c:v>
                </c:pt>
                <c:pt idx="84">
                  <c:v>39</c:v>
                </c:pt>
                <c:pt idx="85">
                  <c:v>39</c:v>
                </c:pt>
                <c:pt idx="86">
                  <c:v>39</c:v>
                </c:pt>
                <c:pt idx="87">
                  <c:v>39</c:v>
                </c:pt>
                <c:pt idx="88">
                  <c:v>39</c:v>
                </c:pt>
                <c:pt idx="89">
                  <c:v>39</c:v>
                </c:pt>
                <c:pt idx="90">
                  <c:v>39</c:v>
                </c:pt>
              </c:numCache>
            </c:numRef>
          </c:xVal>
          <c:yVal>
            <c:numRef>
              <c:f>Déplacements!$D$10:$D$100</c:f>
              <c:numCache>
                <c:formatCode>\+\ 0.0;\-\ 0.0;\±\ 0.0</c:formatCode>
                <c:ptCount val="91"/>
                <c:pt idx="0">
                  <c:v>0</c:v>
                </c:pt>
                <c:pt idx="1">
                  <c:v>6.5807869110479089E-2</c:v>
                </c:pt>
                <c:pt idx="2">
                  <c:v>-0.15161718834288962</c:v>
                </c:pt>
                <c:pt idx="3">
                  <c:v>2.9472193941697533</c:v>
                </c:pt>
                <c:pt idx="4">
                  <c:v>4.2103559639743438</c:v>
                </c:pt>
                <c:pt idx="5">
                  <c:v>4.3920406680597601</c:v>
                </c:pt>
                <c:pt idx="6">
                  <c:v>-2.3136680317925595</c:v>
                </c:pt>
                <c:pt idx="7">
                  <c:v>-1.6731644477396834</c:v>
                </c:pt>
                <c:pt idx="8">
                  <c:v>-0.17236603179249244</c:v>
                </c:pt>
                <c:pt idx="11">
                  <c:v>0.52763396820765252</c:v>
                </c:pt>
                <c:pt idx="12">
                  <c:v>-0.75707618413467515</c:v>
                </c:pt>
                <c:pt idx="13">
                  <c:v>-0.99279703179222523</c:v>
                </c:pt>
                <c:pt idx="14">
                  <c:v>-0.17236603179249244</c:v>
                </c:pt>
                <c:pt idx="15">
                  <c:v>0.22763396820746351</c:v>
                </c:pt>
                <c:pt idx="16">
                  <c:v>1.5744615462311984</c:v>
                </c:pt>
                <c:pt idx="17">
                  <c:v>0.82763396820739743</c:v>
                </c:pt>
                <c:pt idx="18">
                  <c:v>1.2276339682073534</c:v>
                </c:pt>
                <c:pt idx="19">
                  <c:v>2.8276339682076213</c:v>
                </c:pt>
                <c:pt idx="20">
                  <c:v>-0.17236603179249244</c:v>
                </c:pt>
                <c:pt idx="21">
                  <c:v>1.8276339682077314</c:v>
                </c:pt>
                <c:pt idx="22">
                  <c:v>2.1276339682074763</c:v>
                </c:pt>
                <c:pt idx="23">
                  <c:v>1.4276339682077754</c:v>
                </c:pt>
                <c:pt idx="24">
                  <c:v>0.52763396820765252</c:v>
                </c:pt>
                <c:pt idx="25">
                  <c:v>1.6276339682077534</c:v>
                </c:pt>
                <c:pt idx="26">
                  <c:v>1.7276339682075204</c:v>
                </c:pt>
                <c:pt idx="27">
                  <c:v>1.8276339682077314</c:v>
                </c:pt>
                <c:pt idx="28">
                  <c:v>-1.3914808069128703</c:v>
                </c:pt>
                <c:pt idx="29">
                  <c:v>1.9140258206240546</c:v>
                </c:pt>
                <c:pt idx="30">
                  <c:v>2.4262908044399012</c:v>
                </c:pt>
                <c:pt idx="31">
                  <c:v>2.0637739675453126</c:v>
                </c:pt>
                <c:pt idx="33">
                  <c:v>-0.18975860382397514</c:v>
                </c:pt>
                <c:pt idx="34">
                  <c:v>3.6402102973536188</c:v>
                </c:pt>
                <c:pt idx="35">
                  <c:v>0.16098712330769871</c:v>
                </c:pt>
                <c:pt idx="36">
                  <c:v>3.8276339682075111</c:v>
                </c:pt>
                <c:pt idx="37">
                  <c:v>1.1276339682075864</c:v>
                </c:pt>
                <c:pt idx="38">
                  <c:v>1.1276339682075864</c:v>
                </c:pt>
                <c:pt idx="39">
                  <c:v>1.2276339682073534</c:v>
                </c:pt>
                <c:pt idx="40">
                  <c:v>1.2276339682073534</c:v>
                </c:pt>
                <c:pt idx="41">
                  <c:v>2.0276339682077094</c:v>
                </c:pt>
                <c:pt idx="42">
                  <c:v>3.6276339682075331</c:v>
                </c:pt>
                <c:pt idx="43">
                  <c:v>1.3090990073783004</c:v>
                </c:pt>
                <c:pt idx="44">
                  <c:v>2.3276339682074543</c:v>
                </c:pt>
                <c:pt idx="45">
                  <c:v>2.4276339682076653</c:v>
                </c:pt>
                <c:pt idx="46">
                  <c:v>2.5276339682074322</c:v>
                </c:pt>
                <c:pt idx="47">
                  <c:v>1.2276339682073534</c:v>
                </c:pt>
                <c:pt idx="48">
                  <c:v>1.5276339682075424</c:v>
                </c:pt>
                <c:pt idx="49">
                  <c:v>5.027633968207379</c:v>
                </c:pt>
                <c:pt idx="50">
                  <c:v>2.0276339682077094</c:v>
                </c:pt>
                <c:pt idx="51">
                  <c:v>1.6276339682077534</c:v>
                </c:pt>
                <c:pt idx="52">
                  <c:v>2.1276339682074763</c:v>
                </c:pt>
                <c:pt idx="53">
                  <c:v>2.2276339682076873</c:v>
                </c:pt>
                <c:pt idx="54">
                  <c:v>3.4276339682075552</c:v>
                </c:pt>
                <c:pt idx="55">
                  <c:v>0.42763396820744148</c:v>
                </c:pt>
                <c:pt idx="56">
                  <c:v>1.0276339682073754</c:v>
                </c:pt>
                <c:pt idx="57">
                  <c:v>2.0276339682077094</c:v>
                </c:pt>
                <c:pt idx="58">
                  <c:v>2.8249739637660198</c:v>
                </c:pt>
                <c:pt idx="59">
                  <c:v>2.6676843106514525</c:v>
                </c:pt>
                <c:pt idx="61">
                  <c:v>1.834151571051823</c:v>
                </c:pt>
                <c:pt idx="63">
                  <c:v>1.834151571051823</c:v>
                </c:pt>
                <c:pt idx="69">
                  <c:v>2.9595052153816859</c:v>
                </c:pt>
                <c:pt idx="70">
                  <c:v>3.4910828643330838</c:v>
                </c:pt>
                <c:pt idx="71">
                  <c:v>4.1799502156125712</c:v>
                </c:pt>
                <c:pt idx="72">
                  <c:v>3.6666689234774452</c:v>
                </c:pt>
                <c:pt idx="73">
                  <c:v>4.5245970868110774</c:v>
                </c:pt>
                <c:pt idx="74">
                  <c:v>4.3372398687329117</c:v>
                </c:pt>
                <c:pt idx="75">
                  <c:v>4.7903857566056196</c:v>
                </c:pt>
                <c:pt idx="76">
                  <c:v>5.5093205744172202</c:v>
                </c:pt>
                <c:pt idx="77">
                  <c:v>4.7001831459794197</c:v>
                </c:pt>
                <c:pt idx="78">
                  <c:v>3.9267853886530979</c:v>
                </c:pt>
                <c:pt idx="79">
                  <c:v>3.3468437053341127</c:v>
                </c:pt>
                <c:pt idx="80">
                  <c:v>3.038789758765148</c:v>
                </c:pt>
                <c:pt idx="81">
                  <c:v>2.0361960452910388</c:v>
                </c:pt>
                <c:pt idx="82">
                  <c:v>4.0296121514935557</c:v>
                </c:pt>
                <c:pt idx="83">
                  <c:v>4.6818865289424139</c:v>
                </c:pt>
                <c:pt idx="84">
                  <c:v>4.1320125231756322</c:v>
                </c:pt>
                <c:pt idx="85">
                  <c:v>3.8243850169767946</c:v>
                </c:pt>
                <c:pt idx="86">
                  <c:v>3.7577245765980649</c:v>
                </c:pt>
                <c:pt idx="87">
                  <c:v>3.5041333584713286</c:v>
                </c:pt>
                <c:pt idx="88">
                  <c:v>4.6757878840271161</c:v>
                </c:pt>
                <c:pt idx="89">
                  <c:v>3.7577245765980649</c:v>
                </c:pt>
                <c:pt idx="90">
                  <c:v>4.5086177528697036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04-490C-96E8-B881E309A699}"/>
            </c:ext>
          </c:extLst>
        </c:ser>
        <c:ser>
          <c:idx val="12"/>
          <c:order val="1"/>
          <c:tx>
            <c:strRef>
              <c:f>Déplacements!$G$9</c:f>
              <c:strCache>
                <c:ptCount val="1"/>
                <c:pt idx="0">
                  <c:v>DH inter gauche</c:v>
                </c:pt>
              </c:strCache>
            </c:strRef>
          </c:tx>
          <c:spPr>
            <a:ln w="1905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noFill/>
              </a:ln>
            </c:spPr>
          </c:marker>
          <c:xVal>
            <c:numRef>
              <c:f>Convergences!$C$10:$C$100</c:f>
              <c:numCache>
                <c:formatCode>0.0</c:formatCode>
                <c:ptCount val="91"/>
                <c:pt idx="0">
                  <c:v>2.25</c:v>
                </c:pt>
                <c:pt idx="1">
                  <c:v>2.25</c:v>
                </c:pt>
                <c:pt idx="2">
                  <c:v>3.2999999999999829</c:v>
                </c:pt>
                <c:pt idx="3">
                  <c:v>4.2699999999999818</c:v>
                </c:pt>
                <c:pt idx="4">
                  <c:v>5.3299999999999841</c:v>
                </c:pt>
                <c:pt idx="5">
                  <c:v>7.5999999999999943</c:v>
                </c:pt>
                <c:pt idx="6">
                  <c:v>9.1399999999999864</c:v>
                </c:pt>
                <c:pt idx="7">
                  <c:v>9.1399999999999864</c:v>
                </c:pt>
                <c:pt idx="8">
                  <c:v>9.7599999999999909</c:v>
                </c:pt>
                <c:pt idx="11">
                  <c:v>9.7599999999999909</c:v>
                </c:pt>
                <c:pt idx="12">
                  <c:v>10.900000000000006</c:v>
                </c:pt>
                <c:pt idx="13">
                  <c:v>10.900000000000006</c:v>
                </c:pt>
                <c:pt idx="14">
                  <c:v>11.5</c:v>
                </c:pt>
                <c:pt idx="15">
                  <c:v>12.449999999999989</c:v>
                </c:pt>
                <c:pt idx="16">
                  <c:v>13.299999999999983</c:v>
                </c:pt>
                <c:pt idx="17">
                  <c:v>14.400000000000006</c:v>
                </c:pt>
                <c:pt idx="18">
                  <c:v>15.5</c:v>
                </c:pt>
                <c:pt idx="19">
                  <c:v>16.699999999999989</c:v>
                </c:pt>
                <c:pt idx="20">
                  <c:v>18.680000000000007</c:v>
                </c:pt>
                <c:pt idx="21">
                  <c:v>19.699999999999989</c:v>
                </c:pt>
                <c:pt idx="22">
                  <c:v>19.699999999999989</c:v>
                </c:pt>
                <c:pt idx="23">
                  <c:v>22.419999999999987</c:v>
                </c:pt>
                <c:pt idx="24">
                  <c:v>22.419999999999987</c:v>
                </c:pt>
                <c:pt idx="25">
                  <c:v>22.419999999999987</c:v>
                </c:pt>
                <c:pt idx="26">
                  <c:v>22.419999999999987</c:v>
                </c:pt>
                <c:pt idx="27">
                  <c:v>23.299999999999983</c:v>
                </c:pt>
                <c:pt idx="28">
                  <c:v>24.400000000000006</c:v>
                </c:pt>
                <c:pt idx="29">
                  <c:v>27.549999999999983</c:v>
                </c:pt>
                <c:pt idx="30">
                  <c:v>29.599999999999994</c:v>
                </c:pt>
                <c:pt idx="31">
                  <c:v>30.079999999999984</c:v>
                </c:pt>
                <c:pt idx="32">
                  <c:v>31.099999999999994</c:v>
                </c:pt>
                <c:pt idx="33">
                  <c:v>31.659999999999997</c:v>
                </c:pt>
                <c:pt idx="34">
                  <c:v>32.97</c:v>
                </c:pt>
                <c:pt idx="35">
                  <c:v>33.97</c:v>
                </c:pt>
                <c:pt idx="36">
                  <c:v>35</c:v>
                </c:pt>
                <c:pt idx="37">
                  <c:v>35</c:v>
                </c:pt>
                <c:pt idx="38">
                  <c:v>36.599999999999994</c:v>
                </c:pt>
                <c:pt idx="39">
                  <c:v>37.799999999999983</c:v>
                </c:pt>
                <c:pt idx="40">
                  <c:v>39</c:v>
                </c:pt>
                <c:pt idx="41">
                  <c:v>39</c:v>
                </c:pt>
                <c:pt idx="42">
                  <c:v>39</c:v>
                </c:pt>
                <c:pt idx="43">
                  <c:v>39</c:v>
                </c:pt>
                <c:pt idx="44">
                  <c:v>39</c:v>
                </c:pt>
                <c:pt idx="45">
                  <c:v>39</c:v>
                </c:pt>
                <c:pt idx="46">
                  <c:v>39</c:v>
                </c:pt>
                <c:pt idx="47">
                  <c:v>39</c:v>
                </c:pt>
                <c:pt idx="48">
                  <c:v>39</c:v>
                </c:pt>
                <c:pt idx="49">
                  <c:v>39</c:v>
                </c:pt>
                <c:pt idx="50">
                  <c:v>39</c:v>
                </c:pt>
                <c:pt idx="51">
                  <c:v>39</c:v>
                </c:pt>
                <c:pt idx="52">
                  <c:v>39</c:v>
                </c:pt>
                <c:pt idx="53">
                  <c:v>39</c:v>
                </c:pt>
                <c:pt idx="54">
                  <c:v>39</c:v>
                </c:pt>
                <c:pt idx="55">
                  <c:v>39</c:v>
                </c:pt>
                <c:pt idx="56">
                  <c:v>39</c:v>
                </c:pt>
                <c:pt idx="57">
                  <c:v>39</c:v>
                </c:pt>
                <c:pt idx="58">
                  <c:v>39</c:v>
                </c:pt>
                <c:pt idx="59">
                  <c:v>39</c:v>
                </c:pt>
                <c:pt idx="61">
                  <c:v>39</c:v>
                </c:pt>
                <c:pt idx="63">
                  <c:v>39</c:v>
                </c:pt>
                <c:pt idx="65">
                  <c:v>39</c:v>
                </c:pt>
                <c:pt idx="66">
                  <c:v>39</c:v>
                </c:pt>
                <c:pt idx="67">
                  <c:v>39</c:v>
                </c:pt>
                <c:pt idx="69">
                  <c:v>39</c:v>
                </c:pt>
                <c:pt idx="70">
                  <c:v>39</c:v>
                </c:pt>
                <c:pt idx="71">
                  <c:v>39</c:v>
                </c:pt>
                <c:pt idx="72">
                  <c:v>39</c:v>
                </c:pt>
                <c:pt idx="73">
                  <c:v>39</c:v>
                </c:pt>
                <c:pt idx="74">
                  <c:v>39</c:v>
                </c:pt>
                <c:pt idx="75">
                  <c:v>39</c:v>
                </c:pt>
                <c:pt idx="76">
                  <c:v>39</c:v>
                </c:pt>
                <c:pt idx="77">
                  <c:v>39</c:v>
                </c:pt>
                <c:pt idx="78">
                  <c:v>39</c:v>
                </c:pt>
                <c:pt idx="79">
                  <c:v>39</c:v>
                </c:pt>
                <c:pt idx="80">
                  <c:v>39</c:v>
                </c:pt>
                <c:pt idx="81">
                  <c:v>39</c:v>
                </c:pt>
                <c:pt idx="82">
                  <c:v>39</c:v>
                </c:pt>
                <c:pt idx="83">
                  <c:v>39</c:v>
                </c:pt>
                <c:pt idx="84">
                  <c:v>39</c:v>
                </c:pt>
                <c:pt idx="85">
                  <c:v>39</c:v>
                </c:pt>
                <c:pt idx="86">
                  <c:v>39</c:v>
                </c:pt>
                <c:pt idx="87">
                  <c:v>39</c:v>
                </c:pt>
                <c:pt idx="88">
                  <c:v>39</c:v>
                </c:pt>
                <c:pt idx="89">
                  <c:v>39</c:v>
                </c:pt>
                <c:pt idx="90">
                  <c:v>39</c:v>
                </c:pt>
              </c:numCache>
            </c:numRef>
          </c:xVal>
          <c:yVal>
            <c:numRef>
              <c:f>Déplacements!$G$10:$G$100</c:f>
              <c:numCache>
                <c:formatCode>\+\ 0.0;\-\ 0.0;\±\ 0.0</c:formatCode>
                <c:ptCount val="91"/>
                <c:pt idx="0">
                  <c:v>0</c:v>
                </c:pt>
                <c:pt idx="1">
                  <c:v>0.85750172299592364</c:v>
                </c:pt>
                <c:pt idx="2">
                  <c:v>-1.8722797157533222E-2</c:v>
                </c:pt>
                <c:pt idx="3">
                  <c:v>3.3158350377728851</c:v>
                </c:pt>
                <c:pt idx="4">
                  <c:v>4.5245087172842702</c:v>
                </c:pt>
                <c:pt idx="5">
                  <c:v>4.5188362524744008</c:v>
                </c:pt>
                <c:pt idx="6">
                  <c:v>-1.9694473930993439</c:v>
                </c:pt>
                <c:pt idx="7">
                  <c:v>-1.3651103393583774</c:v>
                </c:pt>
                <c:pt idx="8">
                  <c:v>-2.2486393099541147E-2</c:v>
                </c:pt>
                <c:pt idx="11">
                  <c:v>0.87751360690058178</c:v>
                </c:pt>
                <c:pt idx="12">
                  <c:v>-0.37329214844694647</c:v>
                </c:pt>
                <c:pt idx="13">
                  <c:v>-0.69354339309946056</c:v>
                </c:pt>
                <c:pt idx="14">
                  <c:v>0.17751360690043683</c:v>
                </c:pt>
                <c:pt idx="15">
                  <c:v>0.47751360690062583</c:v>
                </c:pt>
                <c:pt idx="16">
                  <c:v>1.8375488041830756</c:v>
                </c:pt>
                <c:pt idx="17">
                  <c:v>0.97751360690079281</c:v>
                </c:pt>
                <c:pt idx="18">
                  <c:v>1.3775136069007488</c:v>
                </c:pt>
                <c:pt idx="19">
                  <c:v>3.2775136069007615</c:v>
                </c:pt>
                <c:pt idx="20">
                  <c:v>-2.2486393099541147E-2</c:v>
                </c:pt>
                <c:pt idx="21">
                  <c:v>1.9775136069006827</c:v>
                </c:pt>
                <c:pt idx="22">
                  <c:v>2.2775136069004276</c:v>
                </c:pt>
                <c:pt idx="23">
                  <c:v>1.4775136069005157</c:v>
                </c:pt>
                <c:pt idx="24">
                  <c:v>0.77751360690081484</c:v>
                </c:pt>
                <c:pt idx="25">
                  <c:v>1.7775136069007047</c:v>
                </c:pt>
                <c:pt idx="26">
                  <c:v>2.0775136069004496</c:v>
                </c:pt>
                <c:pt idx="27">
                  <c:v>2.0775136069004496</c:v>
                </c:pt>
                <c:pt idx="28">
                  <c:v>-1.1253439908740503</c:v>
                </c:pt>
                <c:pt idx="29">
                  <c:v>2.0873587096326141</c:v>
                </c:pt>
                <c:pt idx="30">
                  <c:v>2.7316430789730006</c:v>
                </c:pt>
                <c:pt idx="31">
                  <c:v>2.1456027015438472</c:v>
                </c:pt>
                <c:pt idx="33">
                  <c:v>-0.1985589208057803</c:v>
                </c:pt>
                <c:pt idx="34">
                  <c:v>3.715940386428418</c:v>
                </c:pt>
                <c:pt idx="35">
                  <c:v>0.18225432210883241</c:v>
                </c:pt>
                <c:pt idx="36">
                  <c:v>3.9775136069004624</c:v>
                </c:pt>
                <c:pt idx="37">
                  <c:v>1.3775136069007488</c:v>
                </c:pt>
                <c:pt idx="38">
                  <c:v>1.2775136069005377</c:v>
                </c:pt>
                <c:pt idx="39">
                  <c:v>1.1775136069007708</c:v>
                </c:pt>
                <c:pt idx="40">
                  <c:v>1.2775136069005377</c:v>
                </c:pt>
                <c:pt idx="41">
                  <c:v>2.1775136069006606</c:v>
                </c:pt>
                <c:pt idx="42">
                  <c:v>3.8775136069006955</c:v>
                </c:pt>
                <c:pt idx="43">
                  <c:v>1.7896111117403635</c:v>
                </c:pt>
                <c:pt idx="44">
                  <c:v>2.2775136069004276</c:v>
                </c:pt>
                <c:pt idx="45">
                  <c:v>2.6775136069008276</c:v>
                </c:pt>
                <c:pt idx="46">
                  <c:v>2.6775136069008276</c:v>
                </c:pt>
                <c:pt idx="47">
                  <c:v>1.4775136069005157</c:v>
                </c:pt>
                <c:pt idx="48">
                  <c:v>1.5775136069007267</c:v>
                </c:pt>
                <c:pt idx="49">
                  <c:v>5.1775136069007743</c:v>
                </c:pt>
                <c:pt idx="50">
                  <c:v>2.3775136069006386</c:v>
                </c:pt>
                <c:pt idx="51">
                  <c:v>1.9775136069006827</c:v>
                </c:pt>
                <c:pt idx="52">
                  <c:v>2.3775136069006386</c:v>
                </c:pt>
                <c:pt idx="53">
                  <c:v>1.7775136069007047</c:v>
                </c:pt>
                <c:pt idx="54">
                  <c:v>3.2775136069007615</c:v>
                </c:pt>
                <c:pt idx="55">
                  <c:v>0.27751360690064786</c:v>
                </c:pt>
                <c:pt idx="56">
                  <c:v>1.1775136069007708</c:v>
                </c:pt>
                <c:pt idx="57">
                  <c:v>2.3775136069006386</c:v>
                </c:pt>
                <c:pt idx="58">
                  <c:v>2.84014230663443</c:v>
                </c:pt>
                <c:pt idx="59">
                  <c:v>2.876308840114028</c:v>
                </c:pt>
                <c:pt idx="61">
                  <c:v>2.0427759386931754</c:v>
                </c:pt>
                <c:pt idx="63">
                  <c:v>2.0427759386931754</c:v>
                </c:pt>
                <c:pt idx="65">
                  <c:v>3.7427759386932102</c:v>
                </c:pt>
                <c:pt idx="66">
                  <c:v>3.4954900047958759</c:v>
                </c:pt>
                <c:pt idx="67">
                  <c:v>3.3564968702970432</c:v>
                </c:pt>
                <c:pt idx="69">
                  <c:v>3.4048609538488428</c:v>
                </c:pt>
                <c:pt idx="70">
                  <c:v>3.8819756632917368</c:v>
                </c:pt>
                <c:pt idx="71">
                  <c:v>4.6192068379280471</c:v>
                </c:pt>
                <c:pt idx="72">
                  <c:v>4.1059258059781278</c:v>
                </c:pt>
                <c:pt idx="73">
                  <c:v>4.7825953961937451</c:v>
                </c:pt>
                <c:pt idx="74">
                  <c:v>4.6436020998887884</c:v>
                </c:pt>
                <c:pt idx="75">
                  <c:v>5.1390133771378466</c:v>
                </c:pt>
                <c:pt idx="76">
                  <c:v>5.7189550604390682</c:v>
                </c:pt>
                <c:pt idx="77">
                  <c:v>4.8675521933576604</c:v>
                </c:pt>
                <c:pt idx="78">
                  <c:v>4.0396917567875334</c:v>
                </c:pt>
                <c:pt idx="79">
                  <c:v>3.6048420147167803</c:v>
                </c:pt>
                <c:pt idx="80">
                  <c:v>3.061066864886719</c:v>
                </c:pt>
                <c:pt idx="81">
                  <c:v>2.3848236658472466</c:v>
                </c:pt>
                <c:pt idx="82">
                  <c:v>4.4205049504530969</c:v>
                </c:pt>
                <c:pt idx="83">
                  <c:v>5.0788782330499771</c:v>
                </c:pt>
                <c:pt idx="84">
                  <c:v>4.335548153271862</c:v>
                </c:pt>
                <c:pt idx="85">
                  <c:v>4.1185496979969649</c:v>
                </c:pt>
                <c:pt idx="86">
                  <c:v>4.2030801040455756</c:v>
                </c:pt>
                <c:pt idx="87">
                  <c:v>4.0401181478908477</c:v>
                </c:pt>
                <c:pt idx="88">
                  <c:v>4.6013368722293002</c:v>
                </c:pt>
                <c:pt idx="89">
                  <c:v>4.0579881135776041</c:v>
                </c:pt>
                <c:pt idx="90">
                  <c:v>4.7935732398038944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04-490C-96E8-B881E309A699}"/>
            </c:ext>
          </c:extLst>
        </c:ser>
        <c:ser>
          <c:idx val="10"/>
          <c:order val="2"/>
          <c:tx>
            <c:strRef>
              <c:f>Déplacements!$J$9</c:f>
              <c:strCache>
                <c:ptCount val="1"/>
                <c:pt idx="0">
                  <c:v>DH haut gauche</c:v>
                </c:pt>
              </c:strCache>
            </c:strRef>
          </c:tx>
          <c:spPr>
            <a:ln w="19050">
              <a:solidFill>
                <a:srgbClr val="66CC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66CCFF"/>
              </a:solidFill>
              <a:ln>
                <a:noFill/>
              </a:ln>
            </c:spPr>
          </c:marker>
          <c:xVal>
            <c:numRef>
              <c:f>Convergences!$C$10:$C$100</c:f>
              <c:numCache>
                <c:formatCode>0.0</c:formatCode>
                <c:ptCount val="91"/>
                <c:pt idx="0">
                  <c:v>2.25</c:v>
                </c:pt>
                <c:pt idx="1">
                  <c:v>2.25</c:v>
                </c:pt>
                <c:pt idx="2">
                  <c:v>3.2999999999999829</c:v>
                </c:pt>
                <c:pt idx="3">
                  <c:v>4.2699999999999818</c:v>
                </c:pt>
                <c:pt idx="4">
                  <c:v>5.3299999999999841</c:v>
                </c:pt>
                <c:pt idx="5">
                  <c:v>7.5999999999999943</c:v>
                </c:pt>
                <c:pt idx="6">
                  <c:v>9.1399999999999864</c:v>
                </c:pt>
                <c:pt idx="7">
                  <c:v>9.1399999999999864</c:v>
                </c:pt>
                <c:pt idx="8">
                  <c:v>9.7599999999999909</c:v>
                </c:pt>
                <c:pt idx="11">
                  <c:v>9.7599999999999909</c:v>
                </c:pt>
                <c:pt idx="12">
                  <c:v>10.900000000000006</c:v>
                </c:pt>
                <c:pt idx="13">
                  <c:v>10.900000000000006</c:v>
                </c:pt>
                <c:pt idx="14">
                  <c:v>11.5</c:v>
                </c:pt>
                <c:pt idx="15">
                  <c:v>12.449999999999989</c:v>
                </c:pt>
                <c:pt idx="16">
                  <c:v>13.299999999999983</c:v>
                </c:pt>
                <c:pt idx="17">
                  <c:v>14.400000000000006</c:v>
                </c:pt>
                <c:pt idx="18">
                  <c:v>15.5</c:v>
                </c:pt>
                <c:pt idx="19">
                  <c:v>16.699999999999989</c:v>
                </c:pt>
                <c:pt idx="20">
                  <c:v>18.680000000000007</c:v>
                </c:pt>
                <c:pt idx="21">
                  <c:v>19.699999999999989</c:v>
                </c:pt>
                <c:pt idx="22">
                  <c:v>19.699999999999989</c:v>
                </c:pt>
                <c:pt idx="23">
                  <c:v>22.419999999999987</c:v>
                </c:pt>
                <c:pt idx="24">
                  <c:v>22.419999999999987</c:v>
                </c:pt>
                <c:pt idx="25">
                  <c:v>22.419999999999987</c:v>
                </c:pt>
                <c:pt idx="26">
                  <c:v>22.419999999999987</c:v>
                </c:pt>
                <c:pt idx="27">
                  <c:v>23.299999999999983</c:v>
                </c:pt>
                <c:pt idx="28">
                  <c:v>24.400000000000006</c:v>
                </c:pt>
                <c:pt idx="29">
                  <c:v>27.549999999999983</c:v>
                </c:pt>
                <c:pt idx="30">
                  <c:v>29.599999999999994</c:v>
                </c:pt>
                <c:pt idx="31">
                  <c:v>30.079999999999984</c:v>
                </c:pt>
                <c:pt idx="32">
                  <c:v>31.099999999999994</c:v>
                </c:pt>
                <c:pt idx="33">
                  <c:v>31.659999999999997</c:v>
                </c:pt>
                <c:pt idx="34">
                  <c:v>32.97</c:v>
                </c:pt>
                <c:pt idx="35">
                  <c:v>33.97</c:v>
                </c:pt>
                <c:pt idx="36">
                  <c:v>35</c:v>
                </c:pt>
                <c:pt idx="37">
                  <c:v>35</c:v>
                </c:pt>
                <c:pt idx="38">
                  <c:v>36.599999999999994</c:v>
                </c:pt>
                <c:pt idx="39">
                  <c:v>37.799999999999983</c:v>
                </c:pt>
                <c:pt idx="40">
                  <c:v>39</c:v>
                </c:pt>
                <c:pt idx="41">
                  <c:v>39</c:v>
                </c:pt>
                <c:pt idx="42">
                  <c:v>39</c:v>
                </c:pt>
                <c:pt idx="43">
                  <c:v>39</c:v>
                </c:pt>
                <c:pt idx="44">
                  <c:v>39</c:v>
                </c:pt>
                <c:pt idx="45">
                  <c:v>39</c:v>
                </c:pt>
                <c:pt idx="46">
                  <c:v>39</c:v>
                </c:pt>
                <c:pt idx="47">
                  <c:v>39</c:v>
                </c:pt>
                <c:pt idx="48">
                  <c:v>39</c:v>
                </c:pt>
                <c:pt idx="49">
                  <c:v>39</c:v>
                </c:pt>
                <c:pt idx="50">
                  <c:v>39</c:v>
                </c:pt>
                <c:pt idx="51">
                  <c:v>39</c:v>
                </c:pt>
                <c:pt idx="52">
                  <c:v>39</c:v>
                </c:pt>
                <c:pt idx="53">
                  <c:v>39</c:v>
                </c:pt>
                <c:pt idx="54">
                  <c:v>39</c:v>
                </c:pt>
                <c:pt idx="55">
                  <c:v>39</c:v>
                </c:pt>
                <c:pt idx="56">
                  <c:v>39</c:v>
                </c:pt>
                <c:pt idx="57">
                  <c:v>39</c:v>
                </c:pt>
                <c:pt idx="58">
                  <c:v>39</c:v>
                </c:pt>
                <c:pt idx="59">
                  <c:v>39</c:v>
                </c:pt>
                <c:pt idx="61">
                  <c:v>39</c:v>
                </c:pt>
                <c:pt idx="63">
                  <c:v>39</c:v>
                </c:pt>
                <c:pt idx="65">
                  <c:v>39</c:v>
                </c:pt>
                <c:pt idx="66">
                  <c:v>39</c:v>
                </c:pt>
                <c:pt idx="67">
                  <c:v>39</c:v>
                </c:pt>
                <c:pt idx="69">
                  <c:v>39</c:v>
                </c:pt>
                <c:pt idx="70">
                  <c:v>39</c:v>
                </c:pt>
                <c:pt idx="71">
                  <c:v>39</c:v>
                </c:pt>
                <c:pt idx="72">
                  <c:v>39</c:v>
                </c:pt>
                <c:pt idx="73">
                  <c:v>39</c:v>
                </c:pt>
                <c:pt idx="74">
                  <c:v>39</c:v>
                </c:pt>
                <c:pt idx="75">
                  <c:v>39</c:v>
                </c:pt>
                <c:pt idx="76">
                  <c:v>39</c:v>
                </c:pt>
                <c:pt idx="77">
                  <c:v>39</c:v>
                </c:pt>
                <c:pt idx="78">
                  <c:v>39</c:v>
                </c:pt>
                <c:pt idx="79">
                  <c:v>39</c:v>
                </c:pt>
                <c:pt idx="80">
                  <c:v>39</c:v>
                </c:pt>
                <c:pt idx="81">
                  <c:v>39</c:v>
                </c:pt>
                <c:pt idx="82">
                  <c:v>39</c:v>
                </c:pt>
                <c:pt idx="83">
                  <c:v>39</c:v>
                </c:pt>
                <c:pt idx="84">
                  <c:v>39</c:v>
                </c:pt>
                <c:pt idx="85">
                  <c:v>39</c:v>
                </c:pt>
                <c:pt idx="86">
                  <c:v>39</c:v>
                </c:pt>
                <c:pt idx="87">
                  <c:v>39</c:v>
                </c:pt>
                <c:pt idx="88">
                  <c:v>39</c:v>
                </c:pt>
                <c:pt idx="89">
                  <c:v>39</c:v>
                </c:pt>
                <c:pt idx="90">
                  <c:v>39</c:v>
                </c:pt>
              </c:numCache>
            </c:numRef>
          </c:xVal>
          <c:yVal>
            <c:numRef>
              <c:f>Déplacements!$J$10:$J$100</c:f>
              <c:numCache>
                <c:formatCode>\+\ 0.0;\-\ 0.0;\±\ 0.0</c:formatCode>
                <c:ptCount val="91"/>
                <c:pt idx="0">
                  <c:v>0</c:v>
                </c:pt>
                <c:pt idx="1">
                  <c:v>1.0688275516614887</c:v>
                </c:pt>
                <c:pt idx="2">
                  <c:v>0.43442313988650838</c:v>
                </c:pt>
                <c:pt idx="3">
                  <c:v>3.7267157471982948</c:v>
                </c:pt>
                <c:pt idx="4">
                  <c:v>3.352427800622948</c:v>
                </c:pt>
                <c:pt idx="5">
                  <c:v>0</c:v>
                </c:pt>
                <c:pt idx="6">
                  <c:v>-0.19260301455936713</c:v>
                </c:pt>
                <c:pt idx="7">
                  <c:v>0.27274035719182521</c:v>
                </c:pt>
                <c:pt idx="8">
                  <c:v>2.5724709854406669</c:v>
                </c:pt>
                <c:pt idx="11">
                  <c:v>3.2724709854403677</c:v>
                </c:pt>
                <c:pt idx="12">
                  <c:v>2.2674116335688055</c:v>
                </c:pt>
                <c:pt idx="13">
                  <c:v>1.98332698544057</c:v>
                </c:pt>
                <c:pt idx="14">
                  <c:v>3.3724709854405788</c:v>
                </c:pt>
                <c:pt idx="15">
                  <c:v>3.1724709854406008</c:v>
                </c:pt>
                <c:pt idx="16">
                  <c:v>5.1488233696668217</c:v>
                </c:pt>
                <c:pt idx="17">
                  <c:v>3.5724709854405567</c:v>
                </c:pt>
                <c:pt idx="18">
                  <c:v>4.6724709854406576</c:v>
                </c:pt>
                <c:pt idx="19">
                  <c:v>6.6724709854404374</c:v>
                </c:pt>
                <c:pt idx="20">
                  <c:v>3.3724709854405788</c:v>
                </c:pt>
                <c:pt idx="21">
                  <c:v>5.5724709854407806</c:v>
                </c:pt>
                <c:pt idx="22">
                  <c:v>5.6724709854405475</c:v>
                </c:pt>
                <c:pt idx="23">
                  <c:v>4.9724709854404026</c:v>
                </c:pt>
                <c:pt idx="24">
                  <c:v>4.2724709854407017</c:v>
                </c:pt>
                <c:pt idx="25">
                  <c:v>5.5724709854407806</c:v>
                </c:pt>
                <c:pt idx="26">
                  <c:v>5.4724709854405695</c:v>
                </c:pt>
                <c:pt idx="27">
                  <c:v>5.6724709854405475</c:v>
                </c:pt>
                <c:pt idx="28">
                  <c:v>2.7599155487276761</c:v>
                </c:pt>
                <c:pt idx="29">
                  <c:v>5.678652484453206</c:v>
                </c:pt>
                <c:pt idx="30">
                  <c:v>6.4176321932536418</c:v>
                </c:pt>
                <c:pt idx="31">
                  <c:v>5.964486305391592</c:v>
                </c:pt>
                <c:pt idx="33">
                  <c:v>3.9889401648536271</c:v>
                </c:pt>
                <c:pt idx="34">
                  <c:v>7.7221811591816625</c:v>
                </c:pt>
                <c:pt idx="35">
                  <c:v>4.0556006052150373</c:v>
                </c:pt>
                <c:pt idx="36">
                  <c:v>7.8724709854407493</c:v>
                </c:pt>
                <c:pt idx="37">
                  <c:v>5.2724709854405916</c:v>
                </c:pt>
                <c:pt idx="38">
                  <c:v>5.1724709854403805</c:v>
                </c:pt>
                <c:pt idx="39">
                  <c:v>5.1724709854403805</c:v>
                </c:pt>
                <c:pt idx="40">
                  <c:v>5.2724709854405916</c:v>
                </c:pt>
                <c:pt idx="42">
                  <c:v>9.4724709854405731</c:v>
                </c:pt>
                <c:pt idx="43">
                  <c:v>7.4019295499119231</c:v>
                </c:pt>
                <c:pt idx="44">
                  <c:v>8.2724709854407052</c:v>
                </c:pt>
                <c:pt idx="45">
                  <c:v>8.5724709854404502</c:v>
                </c:pt>
                <c:pt idx="46">
                  <c:v>8.5724709854404502</c:v>
                </c:pt>
                <c:pt idx="47">
                  <c:v>7.3724709854405823</c:v>
                </c:pt>
                <c:pt idx="48">
                  <c:v>7.8724709854407493</c:v>
                </c:pt>
                <c:pt idx="49">
                  <c:v>11.272470985440375</c:v>
                </c:pt>
                <c:pt idx="50">
                  <c:v>8.4724709854406832</c:v>
                </c:pt>
                <c:pt idx="51">
                  <c:v>8.5724709854404502</c:v>
                </c:pt>
                <c:pt idx="52">
                  <c:v>8.4724709854406832</c:v>
                </c:pt>
                <c:pt idx="53">
                  <c:v>8.2724709854407052</c:v>
                </c:pt>
                <c:pt idx="54">
                  <c:v>9.4724709854405731</c:v>
                </c:pt>
                <c:pt idx="55">
                  <c:v>6.5724709854406704</c:v>
                </c:pt>
                <c:pt idx="56">
                  <c:v>7.5724709854405603</c:v>
                </c:pt>
                <c:pt idx="57">
                  <c:v>8.3724709854404722</c:v>
                </c:pt>
                <c:pt idx="58">
                  <c:v>9.0506987849150455</c:v>
                </c:pt>
                <c:pt idx="59">
                  <c:v>9.1291302857765544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04-490C-96E8-B881E309A699}"/>
            </c:ext>
          </c:extLst>
        </c:ser>
        <c:ser>
          <c:idx val="8"/>
          <c:order val="3"/>
          <c:tx>
            <c:strRef>
              <c:f>Déplacements!$M$9</c:f>
              <c:strCache>
                <c:ptCount val="1"/>
                <c:pt idx="0">
                  <c:v>DH centre haut</c:v>
                </c:pt>
              </c:strCache>
            </c:strRef>
          </c:tx>
          <c:spPr>
            <a:ln w="19050">
              <a:solidFill>
                <a:srgbClr val="FF00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66CC"/>
              </a:solidFill>
              <a:ln>
                <a:noFill/>
              </a:ln>
            </c:spPr>
          </c:marker>
          <c:xVal>
            <c:numRef>
              <c:f>Convergences!$C$10:$C$100</c:f>
              <c:numCache>
                <c:formatCode>0.0</c:formatCode>
                <c:ptCount val="91"/>
                <c:pt idx="0">
                  <c:v>2.25</c:v>
                </c:pt>
                <c:pt idx="1">
                  <c:v>2.25</c:v>
                </c:pt>
                <c:pt idx="2">
                  <c:v>3.2999999999999829</c:v>
                </c:pt>
                <c:pt idx="3">
                  <c:v>4.2699999999999818</c:v>
                </c:pt>
                <c:pt idx="4">
                  <c:v>5.3299999999999841</c:v>
                </c:pt>
                <c:pt idx="5">
                  <c:v>7.5999999999999943</c:v>
                </c:pt>
                <c:pt idx="6">
                  <c:v>9.1399999999999864</c:v>
                </c:pt>
                <c:pt idx="7">
                  <c:v>9.1399999999999864</c:v>
                </c:pt>
                <c:pt idx="8">
                  <c:v>9.7599999999999909</c:v>
                </c:pt>
                <c:pt idx="11">
                  <c:v>9.7599999999999909</c:v>
                </c:pt>
                <c:pt idx="12">
                  <c:v>10.900000000000006</c:v>
                </c:pt>
                <c:pt idx="13">
                  <c:v>10.900000000000006</c:v>
                </c:pt>
                <c:pt idx="14">
                  <c:v>11.5</c:v>
                </c:pt>
                <c:pt idx="15">
                  <c:v>12.449999999999989</c:v>
                </c:pt>
                <c:pt idx="16">
                  <c:v>13.299999999999983</c:v>
                </c:pt>
                <c:pt idx="17">
                  <c:v>14.400000000000006</c:v>
                </c:pt>
                <c:pt idx="18">
                  <c:v>15.5</c:v>
                </c:pt>
                <c:pt idx="19">
                  <c:v>16.699999999999989</c:v>
                </c:pt>
                <c:pt idx="20">
                  <c:v>18.680000000000007</c:v>
                </c:pt>
                <c:pt idx="21">
                  <c:v>19.699999999999989</c:v>
                </c:pt>
                <c:pt idx="22">
                  <c:v>19.699999999999989</c:v>
                </c:pt>
                <c:pt idx="23">
                  <c:v>22.419999999999987</c:v>
                </c:pt>
                <c:pt idx="24">
                  <c:v>22.419999999999987</c:v>
                </c:pt>
                <c:pt idx="25">
                  <c:v>22.419999999999987</c:v>
                </c:pt>
                <c:pt idx="26">
                  <c:v>22.419999999999987</c:v>
                </c:pt>
                <c:pt idx="27">
                  <c:v>23.299999999999983</c:v>
                </c:pt>
                <c:pt idx="28">
                  <c:v>24.400000000000006</c:v>
                </c:pt>
                <c:pt idx="29">
                  <c:v>27.549999999999983</c:v>
                </c:pt>
                <c:pt idx="30">
                  <c:v>29.599999999999994</c:v>
                </c:pt>
                <c:pt idx="31">
                  <c:v>30.079999999999984</c:v>
                </c:pt>
                <c:pt idx="32">
                  <c:v>31.099999999999994</c:v>
                </c:pt>
                <c:pt idx="33">
                  <c:v>31.659999999999997</c:v>
                </c:pt>
                <c:pt idx="34">
                  <c:v>32.97</c:v>
                </c:pt>
                <c:pt idx="35">
                  <c:v>33.97</c:v>
                </c:pt>
                <c:pt idx="36">
                  <c:v>35</c:v>
                </c:pt>
                <c:pt idx="37">
                  <c:v>35</c:v>
                </c:pt>
                <c:pt idx="38">
                  <c:v>36.599999999999994</c:v>
                </c:pt>
                <c:pt idx="39">
                  <c:v>37.799999999999983</c:v>
                </c:pt>
                <c:pt idx="40">
                  <c:v>39</c:v>
                </c:pt>
                <c:pt idx="41">
                  <c:v>39</c:v>
                </c:pt>
                <c:pt idx="42">
                  <c:v>39</c:v>
                </c:pt>
                <c:pt idx="43">
                  <c:v>39</c:v>
                </c:pt>
                <c:pt idx="44">
                  <c:v>39</c:v>
                </c:pt>
                <c:pt idx="45">
                  <c:v>39</c:v>
                </c:pt>
                <c:pt idx="46">
                  <c:v>39</c:v>
                </c:pt>
                <c:pt idx="47">
                  <c:v>39</c:v>
                </c:pt>
                <c:pt idx="48">
                  <c:v>39</c:v>
                </c:pt>
                <c:pt idx="49">
                  <c:v>39</c:v>
                </c:pt>
                <c:pt idx="50">
                  <c:v>39</c:v>
                </c:pt>
                <c:pt idx="51">
                  <c:v>39</c:v>
                </c:pt>
                <c:pt idx="52">
                  <c:v>39</c:v>
                </c:pt>
                <c:pt idx="53">
                  <c:v>39</c:v>
                </c:pt>
                <c:pt idx="54">
                  <c:v>39</c:v>
                </c:pt>
                <c:pt idx="55">
                  <c:v>39</c:v>
                </c:pt>
                <c:pt idx="56">
                  <c:v>39</c:v>
                </c:pt>
                <c:pt idx="57">
                  <c:v>39</c:v>
                </c:pt>
                <c:pt idx="58">
                  <c:v>39</c:v>
                </c:pt>
                <c:pt idx="59">
                  <c:v>39</c:v>
                </c:pt>
                <c:pt idx="61">
                  <c:v>39</c:v>
                </c:pt>
                <c:pt idx="63">
                  <c:v>39</c:v>
                </c:pt>
                <c:pt idx="65">
                  <c:v>39</c:v>
                </c:pt>
                <c:pt idx="66">
                  <c:v>39</c:v>
                </c:pt>
                <c:pt idx="67">
                  <c:v>39</c:v>
                </c:pt>
                <c:pt idx="69">
                  <c:v>39</c:v>
                </c:pt>
                <c:pt idx="70">
                  <c:v>39</c:v>
                </c:pt>
                <c:pt idx="71">
                  <c:v>39</c:v>
                </c:pt>
                <c:pt idx="72">
                  <c:v>39</c:v>
                </c:pt>
                <c:pt idx="73">
                  <c:v>39</c:v>
                </c:pt>
                <c:pt idx="74">
                  <c:v>39</c:v>
                </c:pt>
                <c:pt idx="75">
                  <c:v>39</c:v>
                </c:pt>
                <c:pt idx="76">
                  <c:v>39</c:v>
                </c:pt>
                <c:pt idx="77">
                  <c:v>39</c:v>
                </c:pt>
                <c:pt idx="78">
                  <c:v>39</c:v>
                </c:pt>
                <c:pt idx="79">
                  <c:v>39</c:v>
                </c:pt>
                <c:pt idx="80">
                  <c:v>39</c:v>
                </c:pt>
                <c:pt idx="81">
                  <c:v>39</c:v>
                </c:pt>
                <c:pt idx="82">
                  <c:v>39</c:v>
                </c:pt>
                <c:pt idx="83">
                  <c:v>39</c:v>
                </c:pt>
                <c:pt idx="84">
                  <c:v>39</c:v>
                </c:pt>
                <c:pt idx="85">
                  <c:v>39</c:v>
                </c:pt>
                <c:pt idx="86">
                  <c:v>39</c:v>
                </c:pt>
                <c:pt idx="87">
                  <c:v>39</c:v>
                </c:pt>
                <c:pt idx="88">
                  <c:v>39</c:v>
                </c:pt>
                <c:pt idx="89">
                  <c:v>39</c:v>
                </c:pt>
                <c:pt idx="90">
                  <c:v>39</c:v>
                </c:pt>
              </c:numCache>
            </c:numRef>
          </c:xVal>
          <c:yVal>
            <c:numRef>
              <c:f>Déplacements!$M$10:$M$100</c:f>
              <c:numCache>
                <c:formatCode>\+\ 0.0;\-\ 0.0;\±\ 0.0</c:formatCode>
                <c:ptCount val="91"/>
                <c:pt idx="0">
                  <c:v>0</c:v>
                </c:pt>
                <c:pt idx="1">
                  <c:v>0.28365894488230348</c:v>
                </c:pt>
                <c:pt idx="2">
                  <c:v>2.3968870838192435E-2</c:v>
                </c:pt>
                <c:pt idx="3">
                  <c:v>2.8635417704219179</c:v>
                </c:pt>
                <c:pt idx="4">
                  <c:v>3.0456530766666265</c:v>
                </c:pt>
                <c:pt idx="5">
                  <c:v>2.3519663031018325</c:v>
                </c:pt>
                <c:pt idx="6">
                  <c:v>-2.6618549710806794</c:v>
                </c:pt>
                <c:pt idx="7">
                  <c:v>-2.0753879051646775</c:v>
                </c:pt>
                <c:pt idx="8">
                  <c:v>-1.0811089710806854</c:v>
                </c:pt>
                <c:pt idx="11">
                  <c:v>-0.28110897108066246</c:v>
                </c:pt>
                <c:pt idx="12">
                  <c:v>-2.1440354578944607</c:v>
                </c:pt>
                <c:pt idx="13">
                  <c:v>-2.3435899710806671</c:v>
                </c:pt>
                <c:pt idx="14">
                  <c:v>-2.0811089710806865</c:v>
                </c:pt>
                <c:pt idx="15">
                  <c:v>-2.8811089710806534</c:v>
                </c:pt>
                <c:pt idx="16">
                  <c:v>-0.81466483885875296</c:v>
                </c:pt>
                <c:pt idx="17">
                  <c:v>-1.3811089710806523</c:v>
                </c:pt>
                <c:pt idx="18">
                  <c:v>-1.0811089710806854</c:v>
                </c:pt>
                <c:pt idx="19">
                  <c:v>0.71889102891933843</c:v>
                </c:pt>
                <c:pt idx="20">
                  <c:v>-2.4811089710806424</c:v>
                </c:pt>
                <c:pt idx="21">
                  <c:v>-1.3811089710806523</c:v>
                </c:pt>
                <c:pt idx="22">
                  <c:v>-0.48110897108064044</c:v>
                </c:pt>
                <c:pt idx="23">
                  <c:v>-1.6811089710806748</c:v>
                </c:pt>
                <c:pt idx="24">
                  <c:v>-2.6811089710806755</c:v>
                </c:pt>
                <c:pt idx="25">
                  <c:v>-1.7811089710806638</c:v>
                </c:pt>
                <c:pt idx="26">
                  <c:v>-1.5811089710806858</c:v>
                </c:pt>
                <c:pt idx="27">
                  <c:v>-1.4811089710806413</c:v>
                </c:pt>
                <c:pt idx="28">
                  <c:v>-4.3836429023194903</c:v>
                </c:pt>
                <c:pt idx="29">
                  <c:v>-1.7105081190636751</c:v>
                </c:pt>
                <c:pt idx="30">
                  <c:v>-1.2011505465491512</c:v>
                </c:pt>
                <c:pt idx="31">
                  <c:v>-1.642098884339499</c:v>
                </c:pt>
                <c:pt idx="33">
                  <c:v>-3.6960765749708138</c:v>
                </c:pt>
                <c:pt idx="34">
                  <c:v>0.18225640982258429</c:v>
                </c:pt>
                <c:pt idx="35">
                  <c:v>-4.0463959109872381</c:v>
                </c:pt>
                <c:pt idx="36">
                  <c:v>-0.38110897108065145</c:v>
                </c:pt>
                <c:pt idx="37">
                  <c:v>-3.1811089710806764</c:v>
                </c:pt>
                <c:pt idx="38">
                  <c:v>-3.1811089710806764</c:v>
                </c:pt>
                <c:pt idx="39">
                  <c:v>-2.8811089710806534</c:v>
                </c:pt>
                <c:pt idx="40">
                  <c:v>-2.8811089710806534</c:v>
                </c:pt>
                <c:pt idx="41">
                  <c:v>-2.4811089710806424</c:v>
                </c:pt>
                <c:pt idx="42">
                  <c:v>-1.0811089710806854</c:v>
                </c:pt>
                <c:pt idx="43">
                  <c:v>-3.3148369901402628</c:v>
                </c:pt>
                <c:pt idx="44">
                  <c:v>-2.4811089710806424</c:v>
                </c:pt>
                <c:pt idx="45">
                  <c:v>-2.3811089710806534</c:v>
                </c:pt>
                <c:pt idx="46">
                  <c:v>-2.5811089710806865</c:v>
                </c:pt>
                <c:pt idx="47">
                  <c:v>-3.6811089710806764</c:v>
                </c:pt>
                <c:pt idx="48">
                  <c:v>-3.0811089710806874</c:v>
                </c:pt>
                <c:pt idx="49">
                  <c:v>-8.1108971080684489E-2</c:v>
                </c:pt>
                <c:pt idx="50">
                  <c:v>-3.0811089710806874</c:v>
                </c:pt>
                <c:pt idx="51">
                  <c:v>-3.7811089710806653</c:v>
                </c:pt>
                <c:pt idx="52">
                  <c:v>-2.9811089710806424</c:v>
                </c:pt>
                <c:pt idx="53">
                  <c:v>-3.4811089710806433</c:v>
                </c:pt>
                <c:pt idx="54">
                  <c:v>-2.2811089710806645</c:v>
                </c:pt>
                <c:pt idx="55">
                  <c:v>-4.9811089710806442</c:v>
                </c:pt>
                <c:pt idx="56">
                  <c:v>-3.9811089710806433</c:v>
                </c:pt>
                <c:pt idx="57">
                  <c:v>-3.2811089710806653</c:v>
                </c:pt>
                <c:pt idx="58">
                  <c:v>-2.9344501875578635</c:v>
                </c:pt>
                <c:pt idx="59">
                  <c:v>-2.5479644798853949</c:v>
                </c:pt>
                <c:pt idx="61">
                  <c:v>-3.5387870836322275</c:v>
                </c:pt>
                <c:pt idx="63">
                  <c:v>-3.5387870836322275</c:v>
                </c:pt>
                <c:pt idx="65">
                  <c:v>-3.5387870836322275</c:v>
                </c:pt>
                <c:pt idx="66">
                  <c:v>-3.1891238396624111</c:v>
                </c:pt>
                <c:pt idx="67">
                  <c:v>-3.4732091756842216</c:v>
                </c:pt>
                <c:pt idx="69">
                  <c:v>-2.9416315267105642</c:v>
                </c:pt>
                <c:pt idx="70">
                  <c:v>-2.7786695705670494</c:v>
                </c:pt>
                <c:pt idx="71">
                  <c:v>-2.0898022192977481</c:v>
                </c:pt>
                <c:pt idx="72">
                  <c:v>-3.195222695597105</c:v>
                </c:pt>
                <c:pt idx="73">
                  <c:v>-2.3372945814406076</c:v>
                </c:pt>
                <c:pt idx="74">
                  <c:v>-3.1830249837395126</c:v>
                </c:pt>
                <c:pt idx="75">
                  <c:v>-3.0984945777077497</c:v>
                </c:pt>
                <c:pt idx="76">
                  <c:v>-2.9294338148186378</c:v>
                </c:pt>
                <c:pt idx="77">
                  <c:v>-2.7176813840237841</c:v>
                </c:pt>
                <c:pt idx="78">
                  <c:v>-3.4004498793719913</c:v>
                </c:pt>
                <c:pt idx="79">
                  <c:v>-4.1132860522440362</c:v>
                </c:pt>
                <c:pt idx="80">
                  <c:v>-4.3729758660581979</c:v>
                </c:pt>
                <c:pt idx="81">
                  <c:v>-5.4722974864218061</c:v>
                </c:pt>
                <c:pt idx="82">
                  <c:v>-3.5089491070045828</c:v>
                </c:pt>
                <c:pt idx="83">
                  <c:v>-2.8566747295458437</c:v>
                </c:pt>
                <c:pt idx="84">
                  <c:v>-3.6483687944673102</c:v>
                </c:pt>
                <c:pt idx="85">
                  <c:v>-4.0405267559317775</c:v>
                </c:pt>
                <c:pt idx="86">
                  <c:v>-4.1917175531591688</c:v>
                </c:pt>
                <c:pt idx="87">
                  <c:v>-4.7049988452901594</c:v>
                </c:pt>
                <c:pt idx="88">
                  <c:v>-3.0984945777077497</c:v>
                </c:pt>
                <c:pt idx="89">
                  <c:v>-4.4697039839868005</c:v>
                </c:pt>
                <c:pt idx="90">
                  <c:v>-3.6470637127113124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04-490C-96E8-B881E309A699}"/>
            </c:ext>
          </c:extLst>
        </c:ser>
        <c:ser>
          <c:idx val="11"/>
          <c:order val="4"/>
          <c:tx>
            <c:strRef>
              <c:f>Déplacements!$P$9</c:f>
              <c:strCache>
                <c:ptCount val="1"/>
                <c:pt idx="0">
                  <c:v>DH haut droit</c:v>
                </c:pt>
              </c:strCache>
            </c:strRef>
          </c:tx>
          <c:spPr>
            <a:ln w="19050">
              <a:solidFill>
                <a:schemeClr val="accent6">
                  <a:lumMod val="75000"/>
                </a:schemeClr>
              </a:solidFill>
              <a:prstDash val="solid"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xVal>
            <c:numRef>
              <c:f>Convergences!$C$10:$C$100</c:f>
              <c:numCache>
                <c:formatCode>0.0</c:formatCode>
                <c:ptCount val="91"/>
                <c:pt idx="0">
                  <c:v>2.25</c:v>
                </c:pt>
                <c:pt idx="1">
                  <c:v>2.25</c:v>
                </c:pt>
                <c:pt idx="2">
                  <c:v>3.2999999999999829</c:v>
                </c:pt>
                <c:pt idx="3">
                  <c:v>4.2699999999999818</c:v>
                </c:pt>
                <c:pt idx="4">
                  <c:v>5.3299999999999841</c:v>
                </c:pt>
                <c:pt idx="5">
                  <c:v>7.5999999999999943</c:v>
                </c:pt>
                <c:pt idx="6">
                  <c:v>9.1399999999999864</c:v>
                </c:pt>
                <c:pt idx="7">
                  <c:v>9.1399999999999864</c:v>
                </c:pt>
                <c:pt idx="8">
                  <c:v>9.7599999999999909</c:v>
                </c:pt>
                <c:pt idx="11">
                  <c:v>9.7599999999999909</c:v>
                </c:pt>
                <c:pt idx="12">
                  <c:v>10.900000000000006</c:v>
                </c:pt>
                <c:pt idx="13">
                  <c:v>10.900000000000006</c:v>
                </c:pt>
                <c:pt idx="14">
                  <c:v>11.5</c:v>
                </c:pt>
                <c:pt idx="15">
                  <c:v>12.449999999999989</c:v>
                </c:pt>
                <c:pt idx="16">
                  <c:v>13.299999999999983</c:v>
                </c:pt>
                <c:pt idx="17">
                  <c:v>14.400000000000006</c:v>
                </c:pt>
                <c:pt idx="18">
                  <c:v>15.5</c:v>
                </c:pt>
                <c:pt idx="19">
                  <c:v>16.699999999999989</c:v>
                </c:pt>
                <c:pt idx="20">
                  <c:v>18.680000000000007</c:v>
                </c:pt>
                <c:pt idx="21">
                  <c:v>19.699999999999989</c:v>
                </c:pt>
                <c:pt idx="22">
                  <c:v>19.699999999999989</c:v>
                </c:pt>
                <c:pt idx="23">
                  <c:v>22.419999999999987</c:v>
                </c:pt>
                <c:pt idx="24">
                  <c:v>22.419999999999987</c:v>
                </c:pt>
                <c:pt idx="25">
                  <c:v>22.419999999999987</c:v>
                </c:pt>
                <c:pt idx="26">
                  <c:v>22.419999999999987</c:v>
                </c:pt>
                <c:pt idx="27">
                  <c:v>23.299999999999983</c:v>
                </c:pt>
                <c:pt idx="28">
                  <c:v>24.400000000000006</c:v>
                </c:pt>
                <c:pt idx="29">
                  <c:v>27.549999999999983</c:v>
                </c:pt>
                <c:pt idx="30">
                  <c:v>29.599999999999994</c:v>
                </c:pt>
                <c:pt idx="31">
                  <c:v>30.079999999999984</c:v>
                </c:pt>
                <c:pt idx="32">
                  <c:v>31.099999999999994</c:v>
                </c:pt>
                <c:pt idx="33">
                  <c:v>31.659999999999997</c:v>
                </c:pt>
                <c:pt idx="34">
                  <c:v>32.97</c:v>
                </c:pt>
                <c:pt idx="35">
                  <c:v>33.97</c:v>
                </c:pt>
                <c:pt idx="36">
                  <c:v>35</c:v>
                </c:pt>
                <c:pt idx="37">
                  <c:v>35</c:v>
                </c:pt>
                <c:pt idx="38">
                  <c:v>36.599999999999994</c:v>
                </c:pt>
                <c:pt idx="39">
                  <c:v>37.799999999999983</c:v>
                </c:pt>
                <c:pt idx="40">
                  <c:v>39</c:v>
                </c:pt>
                <c:pt idx="41">
                  <c:v>39</c:v>
                </c:pt>
                <c:pt idx="42">
                  <c:v>39</c:v>
                </c:pt>
                <c:pt idx="43">
                  <c:v>39</c:v>
                </c:pt>
                <c:pt idx="44">
                  <c:v>39</c:v>
                </c:pt>
                <c:pt idx="45">
                  <c:v>39</c:v>
                </c:pt>
                <c:pt idx="46">
                  <c:v>39</c:v>
                </c:pt>
                <c:pt idx="47">
                  <c:v>39</c:v>
                </c:pt>
                <c:pt idx="48">
                  <c:v>39</c:v>
                </c:pt>
                <c:pt idx="49">
                  <c:v>39</c:v>
                </c:pt>
                <c:pt idx="50">
                  <c:v>39</c:v>
                </c:pt>
                <c:pt idx="51">
                  <c:v>39</c:v>
                </c:pt>
                <c:pt idx="52">
                  <c:v>39</c:v>
                </c:pt>
                <c:pt idx="53">
                  <c:v>39</c:v>
                </c:pt>
                <c:pt idx="54">
                  <c:v>39</c:v>
                </c:pt>
                <c:pt idx="55">
                  <c:v>39</c:v>
                </c:pt>
                <c:pt idx="56">
                  <c:v>39</c:v>
                </c:pt>
                <c:pt idx="57">
                  <c:v>39</c:v>
                </c:pt>
                <c:pt idx="58">
                  <c:v>39</c:v>
                </c:pt>
                <c:pt idx="59">
                  <c:v>39</c:v>
                </c:pt>
                <c:pt idx="61">
                  <c:v>39</c:v>
                </c:pt>
                <c:pt idx="63">
                  <c:v>39</c:v>
                </c:pt>
                <c:pt idx="65">
                  <c:v>39</c:v>
                </c:pt>
                <c:pt idx="66">
                  <c:v>39</c:v>
                </c:pt>
                <c:pt idx="67">
                  <c:v>39</c:v>
                </c:pt>
                <c:pt idx="69">
                  <c:v>39</c:v>
                </c:pt>
                <c:pt idx="70">
                  <c:v>39</c:v>
                </c:pt>
                <c:pt idx="71">
                  <c:v>39</c:v>
                </c:pt>
                <c:pt idx="72">
                  <c:v>39</c:v>
                </c:pt>
                <c:pt idx="73">
                  <c:v>39</c:v>
                </c:pt>
                <c:pt idx="74">
                  <c:v>39</c:v>
                </c:pt>
                <c:pt idx="75">
                  <c:v>39</c:v>
                </c:pt>
                <c:pt idx="76">
                  <c:v>39</c:v>
                </c:pt>
                <c:pt idx="77">
                  <c:v>39</c:v>
                </c:pt>
                <c:pt idx="78">
                  <c:v>39</c:v>
                </c:pt>
                <c:pt idx="79">
                  <c:v>39</c:v>
                </c:pt>
                <c:pt idx="80">
                  <c:v>39</c:v>
                </c:pt>
                <c:pt idx="81">
                  <c:v>39</c:v>
                </c:pt>
                <c:pt idx="82">
                  <c:v>39</c:v>
                </c:pt>
                <c:pt idx="83">
                  <c:v>39</c:v>
                </c:pt>
                <c:pt idx="84">
                  <c:v>39</c:v>
                </c:pt>
                <c:pt idx="85">
                  <c:v>39</c:v>
                </c:pt>
                <c:pt idx="86">
                  <c:v>39</c:v>
                </c:pt>
                <c:pt idx="87">
                  <c:v>39</c:v>
                </c:pt>
                <c:pt idx="88">
                  <c:v>39</c:v>
                </c:pt>
                <c:pt idx="89">
                  <c:v>39</c:v>
                </c:pt>
                <c:pt idx="90">
                  <c:v>39</c:v>
                </c:pt>
              </c:numCache>
            </c:numRef>
          </c:xVal>
          <c:yVal>
            <c:numRef>
              <c:f>Déplacements!$P$10:$P$100</c:f>
              <c:numCache>
                <c:formatCode>\+\ 0.0;\-\ 0.0;\±\ 0.0</c:formatCode>
                <c:ptCount val="91"/>
                <c:pt idx="0">
                  <c:v>0</c:v>
                </c:pt>
                <c:pt idx="1">
                  <c:v>0.17473322764360866</c:v>
                </c:pt>
                <c:pt idx="2">
                  <c:v>-0.75552758066366188</c:v>
                </c:pt>
                <c:pt idx="3">
                  <c:v>1.3951780168945938</c:v>
                </c:pt>
                <c:pt idx="4">
                  <c:v>9.6728117908728706E-2</c:v>
                </c:pt>
                <c:pt idx="5">
                  <c:v>-2.6029989140889942</c:v>
                </c:pt>
                <c:pt idx="6">
                  <c:v>-10.69821284717376</c:v>
                </c:pt>
                <c:pt idx="7">
                  <c:v>-11.990990494892495</c:v>
                </c:pt>
                <c:pt idx="8">
                  <c:v>-12.629753847173797</c:v>
                </c:pt>
                <c:pt idx="11">
                  <c:v>-11.929753847173874</c:v>
                </c:pt>
                <c:pt idx="12">
                  <c:v>-14.246947761137552</c:v>
                </c:pt>
                <c:pt idx="13">
                  <c:v>-14.615563847173885</c:v>
                </c:pt>
                <c:pt idx="14">
                  <c:v>-14.52975384717381</c:v>
                </c:pt>
                <c:pt idx="15">
                  <c:v>-15.629753847173911</c:v>
                </c:pt>
                <c:pt idx="16">
                  <c:v>-8.4147763819995003</c:v>
                </c:pt>
                <c:pt idx="17">
                  <c:v>-9.0297538471739713</c:v>
                </c:pt>
                <c:pt idx="18">
                  <c:v>-8.9297538471739824</c:v>
                </c:pt>
                <c:pt idx="19">
                  <c:v>-7.0297538471739696</c:v>
                </c:pt>
                <c:pt idx="20">
                  <c:v>-10.729753847174006</c:v>
                </c:pt>
                <c:pt idx="21">
                  <c:v>-9.0297538471739713</c:v>
                </c:pt>
                <c:pt idx="22">
                  <c:v>-9.2297538471739493</c:v>
                </c:pt>
                <c:pt idx="23">
                  <c:v>-10.329753847173828</c:v>
                </c:pt>
                <c:pt idx="24">
                  <c:v>-11.229753847173951</c:v>
                </c:pt>
                <c:pt idx="25">
                  <c:v>-10.529753847173806</c:v>
                </c:pt>
                <c:pt idx="26">
                  <c:v>-10.629753847173795</c:v>
                </c:pt>
                <c:pt idx="27">
                  <c:v>-10.029753847173861</c:v>
                </c:pt>
                <c:pt idx="28">
                  <c:v>-13.087639787077388</c:v>
                </c:pt>
                <c:pt idx="29">
                  <c:v>-10.734542580562723</c:v>
                </c:pt>
                <c:pt idx="30">
                  <c:v>-10.070070913259732</c:v>
                </c:pt>
                <c:pt idx="31">
                  <c:v>-10.951967637996551</c:v>
                </c:pt>
                <c:pt idx="33">
                  <c:v>-12.23297422264924</c:v>
                </c:pt>
                <c:pt idx="34">
                  <c:v>-8.7711943629518174</c:v>
                </c:pt>
                <c:pt idx="35">
                  <c:v>-13.277833114566651</c:v>
                </c:pt>
                <c:pt idx="36">
                  <c:v>-9.6297538471739053</c:v>
                </c:pt>
                <c:pt idx="37">
                  <c:v>-12.629753847173797</c:v>
                </c:pt>
                <c:pt idx="38">
                  <c:v>-12.32975384717383</c:v>
                </c:pt>
                <c:pt idx="39">
                  <c:v>-12.32975384717383</c:v>
                </c:pt>
                <c:pt idx="40">
                  <c:v>-12.32975384717383</c:v>
                </c:pt>
                <c:pt idx="41">
                  <c:v>-11.829753847173885</c:v>
                </c:pt>
                <c:pt idx="42">
                  <c:v>-10.829753847173995</c:v>
                </c:pt>
                <c:pt idx="43">
                  <c:v>-12.842556981370823</c:v>
                </c:pt>
                <c:pt idx="44">
                  <c:v>-12.129753847173852</c:v>
                </c:pt>
                <c:pt idx="45">
                  <c:v>-12.32975384717383</c:v>
                </c:pt>
                <c:pt idx="46">
                  <c:v>-12.32975384717383</c:v>
                </c:pt>
                <c:pt idx="47">
                  <c:v>-13.229753847173953</c:v>
                </c:pt>
                <c:pt idx="48">
                  <c:v>-12.229753847173841</c:v>
                </c:pt>
                <c:pt idx="49">
                  <c:v>-9.5297538471739163</c:v>
                </c:pt>
                <c:pt idx="50">
                  <c:v>-12.829753847173997</c:v>
                </c:pt>
                <c:pt idx="51">
                  <c:v>-13.52975384717392</c:v>
                </c:pt>
                <c:pt idx="52">
                  <c:v>-12.729753847174008</c:v>
                </c:pt>
                <c:pt idx="53">
                  <c:v>-13.229753847173953</c:v>
                </c:pt>
                <c:pt idx="54">
                  <c:v>-12.129753847173852</c:v>
                </c:pt>
                <c:pt idx="55">
                  <c:v>-14.72975384717401</c:v>
                </c:pt>
                <c:pt idx="56">
                  <c:v>-13.729753847173898</c:v>
                </c:pt>
                <c:pt idx="57">
                  <c:v>-13.029753847173975</c:v>
                </c:pt>
                <c:pt idx="58">
                  <c:v>-13.144938624962244</c:v>
                </c:pt>
                <c:pt idx="59">
                  <c:v>-12.577194653522916</c:v>
                </c:pt>
                <c:pt idx="61">
                  <c:v>-13.912237526366722</c:v>
                </c:pt>
                <c:pt idx="63">
                  <c:v>-13.912237526366722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04-490C-96E8-B881E309A699}"/>
            </c:ext>
          </c:extLst>
        </c:ser>
        <c:ser>
          <c:idx val="13"/>
          <c:order val="5"/>
          <c:tx>
            <c:strRef>
              <c:f>Déplacements!$V$9</c:f>
              <c:strCache>
                <c:ptCount val="1"/>
                <c:pt idx="0">
                  <c:v>DH bas droit</c:v>
                </c:pt>
              </c:strCache>
            </c:strRef>
          </c:tx>
          <c:spPr>
            <a:ln w="19050">
              <a:solidFill>
                <a:srgbClr val="969696"/>
              </a:solidFill>
            </a:ln>
          </c:spPr>
          <c:marker>
            <c:symbol val="circle"/>
            <c:size val="5"/>
            <c:spPr>
              <a:solidFill>
                <a:srgbClr val="969696"/>
              </a:solidFill>
              <a:ln>
                <a:noFill/>
              </a:ln>
            </c:spPr>
          </c:marker>
          <c:xVal>
            <c:numRef>
              <c:f>Convergences!$C$10:$C$100</c:f>
              <c:numCache>
                <c:formatCode>0.0</c:formatCode>
                <c:ptCount val="91"/>
                <c:pt idx="0">
                  <c:v>2.25</c:v>
                </c:pt>
                <c:pt idx="1">
                  <c:v>2.25</c:v>
                </c:pt>
                <c:pt idx="2">
                  <c:v>3.2999999999999829</c:v>
                </c:pt>
                <c:pt idx="3">
                  <c:v>4.2699999999999818</c:v>
                </c:pt>
                <c:pt idx="4">
                  <c:v>5.3299999999999841</c:v>
                </c:pt>
                <c:pt idx="5">
                  <c:v>7.5999999999999943</c:v>
                </c:pt>
                <c:pt idx="6">
                  <c:v>9.1399999999999864</c:v>
                </c:pt>
                <c:pt idx="7">
                  <c:v>9.1399999999999864</c:v>
                </c:pt>
                <c:pt idx="8">
                  <c:v>9.7599999999999909</c:v>
                </c:pt>
                <c:pt idx="11">
                  <c:v>9.7599999999999909</c:v>
                </c:pt>
                <c:pt idx="12">
                  <c:v>10.900000000000006</c:v>
                </c:pt>
                <c:pt idx="13">
                  <c:v>10.900000000000006</c:v>
                </c:pt>
                <c:pt idx="14">
                  <c:v>11.5</c:v>
                </c:pt>
                <c:pt idx="15">
                  <c:v>12.449999999999989</c:v>
                </c:pt>
                <c:pt idx="16">
                  <c:v>13.299999999999983</c:v>
                </c:pt>
                <c:pt idx="17">
                  <c:v>14.400000000000006</c:v>
                </c:pt>
                <c:pt idx="18">
                  <c:v>15.5</c:v>
                </c:pt>
                <c:pt idx="19">
                  <c:v>16.699999999999989</c:v>
                </c:pt>
                <c:pt idx="20">
                  <c:v>18.680000000000007</c:v>
                </c:pt>
                <c:pt idx="21">
                  <c:v>19.699999999999989</c:v>
                </c:pt>
                <c:pt idx="22">
                  <c:v>19.699999999999989</c:v>
                </c:pt>
                <c:pt idx="23">
                  <c:v>22.419999999999987</c:v>
                </c:pt>
                <c:pt idx="24">
                  <c:v>22.419999999999987</c:v>
                </c:pt>
                <c:pt idx="25">
                  <c:v>22.419999999999987</c:v>
                </c:pt>
                <c:pt idx="26">
                  <c:v>22.419999999999987</c:v>
                </c:pt>
                <c:pt idx="27">
                  <c:v>23.299999999999983</c:v>
                </c:pt>
                <c:pt idx="28">
                  <c:v>24.400000000000006</c:v>
                </c:pt>
                <c:pt idx="29">
                  <c:v>27.549999999999983</c:v>
                </c:pt>
                <c:pt idx="30">
                  <c:v>29.599999999999994</c:v>
                </c:pt>
                <c:pt idx="31">
                  <c:v>30.079999999999984</c:v>
                </c:pt>
                <c:pt idx="32">
                  <c:v>31.099999999999994</c:v>
                </c:pt>
                <c:pt idx="33">
                  <c:v>31.659999999999997</c:v>
                </c:pt>
                <c:pt idx="34">
                  <c:v>32.97</c:v>
                </c:pt>
                <c:pt idx="35">
                  <c:v>33.97</c:v>
                </c:pt>
                <c:pt idx="36">
                  <c:v>35</c:v>
                </c:pt>
                <c:pt idx="37">
                  <c:v>35</c:v>
                </c:pt>
                <c:pt idx="38">
                  <c:v>36.599999999999994</c:v>
                </c:pt>
                <c:pt idx="39">
                  <c:v>37.799999999999983</c:v>
                </c:pt>
                <c:pt idx="40">
                  <c:v>39</c:v>
                </c:pt>
                <c:pt idx="41">
                  <c:v>39</c:v>
                </c:pt>
                <c:pt idx="42">
                  <c:v>39</c:v>
                </c:pt>
                <c:pt idx="43">
                  <c:v>39</c:v>
                </c:pt>
                <c:pt idx="44">
                  <c:v>39</c:v>
                </c:pt>
                <c:pt idx="45">
                  <c:v>39</c:v>
                </c:pt>
                <c:pt idx="46">
                  <c:v>39</c:v>
                </c:pt>
                <c:pt idx="47">
                  <c:v>39</c:v>
                </c:pt>
                <c:pt idx="48">
                  <c:v>39</c:v>
                </c:pt>
                <c:pt idx="49">
                  <c:v>39</c:v>
                </c:pt>
                <c:pt idx="50">
                  <c:v>39</c:v>
                </c:pt>
                <c:pt idx="51">
                  <c:v>39</c:v>
                </c:pt>
                <c:pt idx="52">
                  <c:v>39</c:v>
                </c:pt>
                <c:pt idx="53">
                  <c:v>39</c:v>
                </c:pt>
                <c:pt idx="54">
                  <c:v>39</c:v>
                </c:pt>
                <c:pt idx="55">
                  <c:v>39</c:v>
                </c:pt>
                <c:pt idx="56">
                  <c:v>39</c:v>
                </c:pt>
                <c:pt idx="57">
                  <c:v>39</c:v>
                </c:pt>
                <c:pt idx="58">
                  <c:v>39</c:v>
                </c:pt>
                <c:pt idx="59">
                  <c:v>39</c:v>
                </c:pt>
                <c:pt idx="61">
                  <c:v>39</c:v>
                </c:pt>
                <c:pt idx="63">
                  <c:v>39</c:v>
                </c:pt>
                <c:pt idx="65">
                  <c:v>39</c:v>
                </c:pt>
                <c:pt idx="66">
                  <c:v>39</c:v>
                </c:pt>
                <c:pt idx="67">
                  <c:v>39</c:v>
                </c:pt>
                <c:pt idx="69">
                  <c:v>39</c:v>
                </c:pt>
                <c:pt idx="70">
                  <c:v>39</c:v>
                </c:pt>
                <c:pt idx="71">
                  <c:v>39</c:v>
                </c:pt>
                <c:pt idx="72">
                  <c:v>39</c:v>
                </c:pt>
                <c:pt idx="73">
                  <c:v>39</c:v>
                </c:pt>
                <c:pt idx="74">
                  <c:v>39</c:v>
                </c:pt>
                <c:pt idx="75">
                  <c:v>39</c:v>
                </c:pt>
                <c:pt idx="76">
                  <c:v>39</c:v>
                </c:pt>
                <c:pt idx="77">
                  <c:v>39</c:v>
                </c:pt>
                <c:pt idx="78">
                  <c:v>39</c:v>
                </c:pt>
                <c:pt idx="79">
                  <c:v>39</c:v>
                </c:pt>
                <c:pt idx="80">
                  <c:v>39</c:v>
                </c:pt>
                <c:pt idx="81">
                  <c:v>39</c:v>
                </c:pt>
                <c:pt idx="82">
                  <c:v>39</c:v>
                </c:pt>
                <c:pt idx="83">
                  <c:v>39</c:v>
                </c:pt>
                <c:pt idx="84">
                  <c:v>39</c:v>
                </c:pt>
                <c:pt idx="85">
                  <c:v>39</c:v>
                </c:pt>
                <c:pt idx="86">
                  <c:v>39</c:v>
                </c:pt>
                <c:pt idx="87">
                  <c:v>39</c:v>
                </c:pt>
                <c:pt idx="88">
                  <c:v>39</c:v>
                </c:pt>
                <c:pt idx="89">
                  <c:v>39</c:v>
                </c:pt>
                <c:pt idx="90">
                  <c:v>39</c:v>
                </c:pt>
              </c:numCache>
            </c:numRef>
          </c:xVal>
          <c:yVal>
            <c:numRef>
              <c:f>Déplacements!$V$10:$V$100</c:f>
              <c:numCache>
                <c:formatCode>\+\ 0.0;\-\ 0.0;\±\ 0.0</c:formatCode>
                <c:ptCount val="91"/>
                <c:pt idx="0">
                  <c:v>0</c:v>
                </c:pt>
                <c:pt idx="1">
                  <c:v>-0.2422464995341933</c:v>
                </c:pt>
                <c:pt idx="2">
                  <c:v>-2.2417612506617779</c:v>
                </c:pt>
                <c:pt idx="3">
                  <c:v>-0.55030039691938981</c:v>
                </c:pt>
                <c:pt idx="4">
                  <c:v>-1.3327817481689763</c:v>
                </c:pt>
                <c:pt idx="5">
                  <c:v>-5.3257128165116185</c:v>
                </c:pt>
                <c:pt idx="6">
                  <c:v>-13.167335174446126</c:v>
                </c:pt>
                <c:pt idx="7">
                  <c:v>-14.097596391519307</c:v>
                </c:pt>
                <c:pt idx="8">
                  <c:v>-13.364695174446162</c:v>
                </c:pt>
                <c:pt idx="11">
                  <c:v>-12.364695174446272</c:v>
                </c:pt>
                <c:pt idx="12">
                  <c:v>-14.631653456852245</c:v>
                </c:pt>
                <c:pt idx="13">
                  <c:v>-15.308323174446414</c:v>
                </c:pt>
                <c:pt idx="14">
                  <c:v>-15.064695174446197</c:v>
                </c:pt>
                <c:pt idx="15">
                  <c:v>-16.064695174446086</c:v>
                </c:pt>
                <c:pt idx="16">
                  <c:v>-14.492660160518422</c:v>
                </c:pt>
                <c:pt idx="17">
                  <c:v>-15.66469517444613</c:v>
                </c:pt>
                <c:pt idx="18">
                  <c:v>-15.364695174446386</c:v>
                </c:pt>
                <c:pt idx="19">
                  <c:v>-13.464695174446373</c:v>
                </c:pt>
                <c:pt idx="20">
                  <c:v>-17.364695174446165</c:v>
                </c:pt>
                <c:pt idx="21">
                  <c:v>-15.66469517444613</c:v>
                </c:pt>
                <c:pt idx="23">
                  <c:v>-17.264695174446398</c:v>
                </c:pt>
                <c:pt idx="24">
                  <c:v>-18.564695174446477</c:v>
                </c:pt>
                <c:pt idx="25">
                  <c:v>-17.864695174446332</c:v>
                </c:pt>
                <c:pt idx="27">
                  <c:v>-17.664695174446354</c:v>
                </c:pt>
                <c:pt idx="28">
                  <c:v>-20.268320987574473</c:v>
                </c:pt>
                <c:pt idx="29">
                  <c:v>-18.082181131557018</c:v>
                </c:pt>
                <c:pt idx="30">
                  <c:v>-17.936143565024043</c:v>
                </c:pt>
                <c:pt idx="31">
                  <c:v>-18.745707644821863</c:v>
                </c:pt>
                <c:pt idx="33">
                  <c:v>-20.250237720856656</c:v>
                </c:pt>
                <c:pt idx="34">
                  <c:v>-16.244682760488516</c:v>
                </c:pt>
                <c:pt idx="35">
                  <c:v>-21.301195306843379</c:v>
                </c:pt>
                <c:pt idx="36">
                  <c:v>-17.764695174446121</c:v>
                </c:pt>
                <c:pt idx="37">
                  <c:v>-20.664695174446468</c:v>
                </c:pt>
                <c:pt idx="38">
                  <c:v>-20.464695174446046</c:v>
                </c:pt>
                <c:pt idx="39">
                  <c:v>-20.364695174446279</c:v>
                </c:pt>
                <c:pt idx="40">
                  <c:v>-20.364695174446279</c:v>
                </c:pt>
                <c:pt idx="41">
                  <c:v>-20.06469517444609</c:v>
                </c:pt>
                <c:pt idx="42">
                  <c:v>-19.0646951744462</c:v>
                </c:pt>
                <c:pt idx="43">
                  <c:v>-21.325164128473961</c:v>
                </c:pt>
                <c:pt idx="44">
                  <c:v>-20.964695174446213</c:v>
                </c:pt>
                <c:pt idx="45">
                  <c:v>-20.764695174446235</c:v>
                </c:pt>
                <c:pt idx="46">
                  <c:v>-20.464695174446046</c:v>
                </c:pt>
                <c:pt idx="47">
                  <c:v>-21.564695174446147</c:v>
                </c:pt>
                <c:pt idx="48">
                  <c:v>-20.764695174446235</c:v>
                </c:pt>
                <c:pt idx="49">
                  <c:v>-18.06469517444631</c:v>
                </c:pt>
                <c:pt idx="50">
                  <c:v>-21.364695174446169</c:v>
                </c:pt>
                <c:pt idx="51">
                  <c:v>-22.064695174446314</c:v>
                </c:pt>
                <c:pt idx="52">
                  <c:v>-21.264695174446402</c:v>
                </c:pt>
                <c:pt idx="53">
                  <c:v>-21.564695174446147</c:v>
                </c:pt>
                <c:pt idx="54">
                  <c:v>-20.264695174446068</c:v>
                </c:pt>
                <c:pt idx="55">
                  <c:v>-23.164695174446415</c:v>
                </c:pt>
                <c:pt idx="56">
                  <c:v>-22.064695174446314</c:v>
                </c:pt>
                <c:pt idx="57">
                  <c:v>-21.664695174446358</c:v>
                </c:pt>
                <c:pt idx="58">
                  <c:v>-21.404022280720802</c:v>
                </c:pt>
                <c:pt idx="59">
                  <c:v>-20.920808455120454</c:v>
                </c:pt>
                <c:pt idx="61">
                  <c:v>-22.394844673448766</c:v>
                </c:pt>
                <c:pt idx="63">
                  <c:v>-22.394844673448766</c:v>
                </c:pt>
                <c:pt idx="69">
                  <c:v>-21.946679915801237</c:v>
                </c:pt>
                <c:pt idx="70">
                  <c:v>-21.759749138047013</c:v>
                </c:pt>
                <c:pt idx="71">
                  <c:v>-21.06478314184379</c:v>
                </c:pt>
                <c:pt idx="72">
                  <c:v>-22.659515828469701</c:v>
                </c:pt>
                <c:pt idx="73">
                  <c:v>-21.940581059859188</c:v>
                </c:pt>
                <c:pt idx="74">
                  <c:v>-22.798509173993509</c:v>
                </c:pt>
                <c:pt idx="75">
                  <c:v>-23.112661927328304</c:v>
                </c:pt>
                <c:pt idx="76">
                  <c:v>-22.327493109486785</c:v>
                </c:pt>
                <c:pt idx="77">
                  <c:v>-24.465574765776932</c:v>
                </c:pt>
                <c:pt idx="78">
                  <c:v>-24.937017270653339</c:v>
                </c:pt>
                <c:pt idx="79">
                  <c:v>-26.435022050376844</c:v>
                </c:pt>
                <c:pt idx="80">
                  <c:v>-26.44721976227693</c:v>
                </c:pt>
                <c:pt idx="81">
                  <c:v>-27.045457851594179</c:v>
                </c:pt>
                <c:pt idx="82">
                  <c:v>-25.36576810755431</c:v>
                </c:pt>
                <c:pt idx="83">
                  <c:v>-23.976688735592777</c:v>
                </c:pt>
                <c:pt idx="84">
                  <c:v>-25.197133686644335</c:v>
                </c:pt>
                <c:pt idx="85">
                  <c:v>-26.120869247857392</c:v>
                </c:pt>
                <c:pt idx="86">
                  <c:v>-26.272060094234551</c:v>
                </c:pt>
                <c:pt idx="87">
                  <c:v>-27.184024545775731</c:v>
                </c:pt>
                <c:pt idx="88">
                  <c:v>-25.716513623698756</c:v>
                </c:pt>
                <c:pt idx="89">
                  <c:v>-27.570936595367801</c:v>
                </c:pt>
                <c:pt idx="90">
                  <c:v>-26.796334059854043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04-490C-96E8-B881E309A699}"/>
            </c:ext>
          </c:extLst>
        </c:ser>
        <c:ser>
          <c:idx val="9"/>
          <c:order val="6"/>
          <c:tx>
            <c:strRef>
              <c:f>Déplacements!$S$9</c:f>
              <c:strCache>
                <c:ptCount val="1"/>
                <c:pt idx="0">
                  <c:v>DH inter droit</c:v>
                </c:pt>
              </c:strCache>
            </c:strRef>
          </c:tx>
          <c:spPr>
            <a:ln w="19050">
              <a:solidFill>
                <a:srgbClr val="00FF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FF00"/>
              </a:solidFill>
              <a:ln>
                <a:noFill/>
              </a:ln>
            </c:spPr>
          </c:marker>
          <c:xVal>
            <c:numRef>
              <c:f>Convergences!$C$10:$C$100</c:f>
              <c:numCache>
                <c:formatCode>0.0</c:formatCode>
                <c:ptCount val="91"/>
                <c:pt idx="0">
                  <c:v>2.25</c:v>
                </c:pt>
                <c:pt idx="1">
                  <c:v>2.25</c:v>
                </c:pt>
                <c:pt idx="2">
                  <c:v>3.2999999999999829</c:v>
                </c:pt>
                <c:pt idx="3">
                  <c:v>4.2699999999999818</c:v>
                </c:pt>
                <c:pt idx="4">
                  <c:v>5.3299999999999841</c:v>
                </c:pt>
                <c:pt idx="5">
                  <c:v>7.5999999999999943</c:v>
                </c:pt>
                <c:pt idx="6">
                  <c:v>9.1399999999999864</c:v>
                </c:pt>
                <c:pt idx="7">
                  <c:v>9.1399999999999864</c:v>
                </c:pt>
                <c:pt idx="8">
                  <c:v>9.7599999999999909</c:v>
                </c:pt>
                <c:pt idx="11">
                  <c:v>9.7599999999999909</c:v>
                </c:pt>
                <c:pt idx="12">
                  <c:v>10.900000000000006</c:v>
                </c:pt>
                <c:pt idx="13">
                  <c:v>10.900000000000006</c:v>
                </c:pt>
                <c:pt idx="14">
                  <c:v>11.5</c:v>
                </c:pt>
                <c:pt idx="15">
                  <c:v>12.449999999999989</c:v>
                </c:pt>
                <c:pt idx="16">
                  <c:v>13.299999999999983</c:v>
                </c:pt>
                <c:pt idx="17">
                  <c:v>14.400000000000006</c:v>
                </c:pt>
                <c:pt idx="18">
                  <c:v>15.5</c:v>
                </c:pt>
                <c:pt idx="19">
                  <c:v>16.699999999999989</c:v>
                </c:pt>
                <c:pt idx="20">
                  <c:v>18.680000000000007</c:v>
                </c:pt>
                <c:pt idx="21">
                  <c:v>19.699999999999989</c:v>
                </c:pt>
                <c:pt idx="22">
                  <c:v>19.699999999999989</c:v>
                </c:pt>
                <c:pt idx="23">
                  <c:v>22.419999999999987</c:v>
                </c:pt>
                <c:pt idx="24">
                  <c:v>22.419999999999987</c:v>
                </c:pt>
                <c:pt idx="25">
                  <c:v>22.419999999999987</c:v>
                </c:pt>
                <c:pt idx="26">
                  <c:v>22.419999999999987</c:v>
                </c:pt>
                <c:pt idx="27">
                  <c:v>23.299999999999983</c:v>
                </c:pt>
                <c:pt idx="28">
                  <c:v>24.400000000000006</c:v>
                </c:pt>
                <c:pt idx="29">
                  <c:v>27.549999999999983</c:v>
                </c:pt>
                <c:pt idx="30">
                  <c:v>29.599999999999994</c:v>
                </c:pt>
                <c:pt idx="31">
                  <c:v>30.079999999999984</c:v>
                </c:pt>
                <c:pt idx="32">
                  <c:v>31.099999999999994</c:v>
                </c:pt>
                <c:pt idx="33">
                  <c:v>31.659999999999997</c:v>
                </c:pt>
                <c:pt idx="34">
                  <c:v>32.97</c:v>
                </c:pt>
                <c:pt idx="35">
                  <c:v>33.97</c:v>
                </c:pt>
                <c:pt idx="36">
                  <c:v>35</c:v>
                </c:pt>
                <c:pt idx="37">
                  <c:v>35</c:v>
                </c:pt>
                <c:pt idx="38">
                  <c:v>36.599999999999994</c:v>
                </c:pt>
                <c:pt idx="39">
                  <c:v>37.799999999999983</c:v>
                </c:pt>
                <c:pt idx="40">
                  <c:v>39</c:v>
                </c:pt>
                <c:pt idx="41">
                  <c:v>39</c:v>
                </c:pt>
                <c:pt idx="42">
                  <c:v>39</c:v>
                </c:pt>
                <c:pt idx="43">
                  <c:v>39</c:v>
                </c:pt>
                <c:pt idx="44">
                  <c:v>39</c:v>
                </c:pt>
                <c:pt idx="45">
                  <c:v>39</c:v>
                </c:pt>
                <c:pt idx="46">
                  <c:v>39</c:v>
                </c:pt>
                <c:pt idx="47">
                  <c:v>39</c:v>
                </c:pt>
                <c:pt idx="48">
                  <c:v>39</c:v>
                </c:pt>
                <c:pt idx="49">
                  <c:v>39</c:v>
                </c:pt>
                <c:pt idx="50">
                  <c:v>39</c:v>
                </c:pt>
                <c:pt idx="51">
                  <c:v>39</c:v>
                </c:pt>
                <c:pt idx="52">
                  <c:v>39</c:v>
                </c:pt>
                <c:pt idx="53">
                  <c:v>39</c:v>
                </c:pt>
                <c:pt idx="54">
                  <c:v>39</c:v>
                </c:pt>
                <c:pt idx="55">
                  <c:v>39</c:v>
                </c:pt>
                <c:pt idx="56">
                  <c:v>39</c:v>
                </c:pt>
                <c:pt idx="57">
                  <c:v>39</c:v>
                </c:pt>
                <c:pt idx="58">
                  <c:v>39</c:v>
                </c:pt>
                <c:pt idx="59">
                  <c:v>39</c:v>
                </c:pt>
                <c:pt idx="61">
                  <c:v>39</c:v>
                </c:pt>
                <c:pt idx="63">
                  <c:v>39</c:v>
                </c:pt>
                <c:pt idx="65">
                  <c:v>39</c:v>
                </c:pt>
                <c:pt idx="66">
                  <c:v>39</c:v>
                </c:pt>
                <c:pt idx="67">
                  <c:v>39</c:v>
                </c:pt>
                <c:pt idx="69">
                  <c:v>39</c:v>
                </c:pt>
                <c:pt idx="70">
                  <c:v>39</c:v>
                </c:pt>
                <c:pt idx="71">
                  <c:v>39</c:v>
                </c:pt>
                <c:pt idx="72">
                  <c:v>39</c:v>
                </c:pt>
                <c:pt idx="73">
                  <c:v>39</c:v>
                </c:pt>
                <c:pt idx="74">
                  <c:v>39</c:v>
                </c:pt>
                <c:pt idx="75">
                  <c:v>39</c:v>
                </c:pt>
                <c:pt idx="76">
                  <c:v>39</c:v>
                </c:pt>
                <c:pt idx="77">
                  <c:v>39</c:v>
                </c:pt>
                <c:pt idx="78">
                  <c:v>39</c:v>
                </c:pt>
                <c:pt idx="79">
                  <c:v>39</c:v>
                </c:pt>
                <c:pt idx="80">
                  <c:v>39</c:v>
                </c:pt>
                <c:pt idx="81">
                  <c:v>39</c:v>
                </c:pt>
                <c:pt idx="82">
                  <c:v>39</c:v>
                </c:pt>
                <c:pt idx="83">
                  <c:v>39</c:v>
                </c:pt>
                <c:pt idx="84">
                  <c:v>39</c:v>
                </c:pt>
                <c:pt idx="85">
                  <c:v>39</c:v>
                </c:pt>
                <c:pt idx="86">
                  <c:v>39</c:v>
                </c:pt>
                <c:pt idx="87">
                  <c:v>39</c:v>
                </c:pt>
                <c:pt idx="88">
                  <c:v>39</c:v>
                </c:pt>
                <c:pt idx="89">
                  <c:v>39</c:v>
                </c:pt>
                <c:pt idx="90">
                  <c:v>39</c:v>
                </c:pt>
              </c:numCache>
            </c:numRef>
          </c:xVal>
          <c:yVal>
            <c:numRef>
              <c:f>Déplacements!$S$10:$S$100</c:f>
              <c:numCache>
                <c:formatCode>\+\ 0.0;\-\ 0.0;\±\ 0.0</c:formatCode>
                <c:ptCount val="91"/>
                <c:pt idx="0">
                  <c:v>0</c:v>
                </c:pt>
                <c:pt idx="1">
                  <c:v>-0.52590518413309084</c:v>
                </c:pt>
                <c:pt idx="2">
                  <c:v>-2.5136490365862407</c:v>
                </c:pt>
                <c:pt idx="3">
                  <c:v>-0.69539238736782139</c:v>
                </c:pt>
                <c:pt idx="4">
                  <c:v>-4.253473924666018</c:v>
                </c:pt>
                <c:pt idx="5">
                  <c:v>-8.0289799355948155</c:v>
                </c:pt>
                <c:pt idx="6">
                  <c:v>-15.864504093085596</c:v>
                </c:pt>
                <c:pt idx="7">
                  <c:v>-16.84312890001527</c:v>
                </c:pt>
                <c:pt idx="8">
                  <c:v>-16.024604093085593</c:v>
                </c:pt>
                <c:pt idx="11">
                  <c:v>-15.324604093085448</c:v>
                </c:pt>
                <c:pt idx="12">
                  <c:v>-17.324436359146489</c:v>
                </c:pt>
                <c:pt idx="13">
                  <c:v>-17.832045093085558</c:v>
                </c:pt>
                <c:pt idx="14">
                  <c:v>-17.724604093085627</c:v>
                </c:pt>
                <c:pt idx="15">
                  <c:v>-18.624604093085306</c:v>
                </c:pt>
                <c:pt idx="16">
                  <c:v>-17.191541918749831</c:v>
                </c:pt>
                <c:pt idx="17">
                  <c:v>-18.324604093085561</c:v>
                </c:pt>
                <c:pt idx="18">
                  <c:v>-18.024604093085372</c:v>
                </c:pt>
                <c:pt idx="19">
                  <c:v>-16.224604093085571</c:v>
                </c:pt>
                <c:pt idx="20">
                  <c:v>-20.124604093085363</c:v>
                </c:pt>
                <c:pt idx="21">
                  <c:v>-18.324604093085561</c:v>
                </c:pt>
                <c:pt idx="22">
                  <c:v>-18.824604093085284</c:v>
                </c:pt>
                <c:pt idx="23">
                  <c:v>-19.924604093085385</c:v>
                </c:pt>
                <c:pt idx="24">
                  <c:v>-21.324604093085675</c:v>
                </c:pt>
                <c:pt idx="25">
                  <c:v>-20.424604093085552</c:v>
                </c:pt>
                <c:pt idx="26">
                  <c:v>-20.62460409308553</c:v>
                </c:pt>
                <c:pt idx="27">
                  <c:v>-20.124604093085363</c:v>
                </c:pt>
                <c:pt idx="28">
                  <c:v>-23.353901283362344</c:v>
                </c:pt>
                <c:pt idx="29">
                  <c:v>-20.768132952138085</c:v>
                </c:pt>
                <c:pt idx="30">
                  <c:v>-20.387532799303276</c:v>
                </c:pt>
                <c:pt idx="31">
                  <c:v>-21.142634150632666</c:v>
                </c:pt>
                <c:pt idx="32">
                  <c:v>-16.42466945771659</c:v>
                </c:pt>
                <c:pt idx="33">
                  <c:v>-23.184840520515504</c:v>
                </c:pt>
                <c:pt idx="34">
                  <c:v>-18.949663163695174</c:v>
                </c:pt>
                <c:pt idx="35">
                  <c:v>-23.61359140661845</c:v>
                </c:pt>
                <c:pt idx="36">
                  <c:v>-20.524604093085319</c:v>
                </c:pt>
                <c:pt idx="37">
                  <c:v>-23.224604093085688</c:v>
                </c:pt>
                <c:pt idx="38">
                  <c:v>-23.02460409308571</c:v>
                </c:pt>
                <c:pt idx="39">
                  <c:v>-23.02460409308571</c:v>
                </c:pt>
                <c:pt idx="40">
                  <c:v>-22.824604093085288</c:v>
                </c:pt>
                <c:pt idx="41">
                  <c:v>-22.724604093085521</c:v>
                </c:pt>
                <c:pt idx="42">
                  <c:v>-21.524604093085653</c:v>
                </c:pt>
                <c:pt idx="43">
                  <c:v>-23.589196144676361</c:v>
                </c:pt>
                <c:pt idx="44">
                  <c:v>-23.02460409308571</c:v>
                </c:pt>
                <c:pt idx="45">
                  <c:v>-23.124604093085477</c:v>
                </c:pt>
                <c:pt idx="46">
                  <c:v>-22.924604093085499</c:v>
                </c:pt>
                <c:pt idx="47">
                  <c:v>-24.124604093085367</c:v>
                </c:pt>
                <c:pt idx="48">
                  <c:v>-23.524604093085433</c:v>
                </c:pt>
                <c:pt idx="49">
                  <c:v>-20.424604093085552</c:v>
                </c:pt>
                <c:pt idx="50">
                  <c:v>-23.924604093085389</c:v>
                </c:pt>
                <c:pt idx="51">
                  <c:v>-24.624604093085534</c:v>
                </c:pt>
                <c:pt idx="52">
                  <c:v>-23.924604093085389</c:v>
                </c:pt>
                <c:pt idx="53">
                  <c:v>-24.124604093085367</c:v>
                </c:pt>
                <c:pt idx="54">
                  <c:v>-22.824604093085288</c:v>
                </c:pt>
                <c:pt idx="55">
                  <c:v>-25.524604093085657</c:v>
                </c:pt>
                <c:pt idx="56">
                  <c:v>-24.824604093085512</c:v>
                </c:pt>
                <c:pt idx="57">
                  <c:v>-24.324604093085345</c:v>
                </c:pt>
                <c:pt idx="58">
                  <c:v>-23.843213753922843</c:v>
                </c:pt>
                <c:pt idx="59">
                  <c:v>-23.492894628928784</c:v>
                </c:pt>
                <c:pt idx="61">
                  <c:v>-25.009195814669649</c:v>
                </c:pt>
                <c:pt idx="63">
                  <c:v>-25.009195814669649</c:v>
                </c:pt>
                <c:pt idx="65">
                  <c:v>-25.109195814669416</c:v>
                </c:pt>
                <c:pt idx="66">
                  <c:v>-24.567109407011234</c:v>
                </c:pt>
                <c:pt idx="67">
                  <c:v>-25.009195814669649</c:v>
                </c:pt>
                <c:pt idx="69">
                  <c:v>-24.615473279569144</c:v>
                </c:pt>
                <c:pt idx="70">
                  <c:v>-24.597603313929461</c:v>
                </c:pt>
                <c:pt idx="71">
                  <c:v>-23.775841733262748</c:v>
                </c:pt>
                <c:pt idx="72">
                  <c:v>-25.201513818816412</c:v>
                </c:pt>
                <c:pt idx="73">
                  <c:v>-24.700003685597327</c:v>
                </c:pt>
                <c:pt idx="74">
                  <c:v>-25.52176547727214</c:v>
                </c:pt>
                <c:pt idx="75">
                  <c:v>-26.101706949586134</c:v>
                </c:pt>
                <c:pt idx="76">
                  <c:v>-25.96271386428084</c:v>
                </c:pt>
                <c:pt idx="77">
                  <c:v>-27.370089381994589</c:v>
                </c:pt>
                <c:pt idx="78">
                  <c:v>-28.179653461795517</c:v>
                </c:pt>
                <c:pt idx="79">
                  <c:v>-29.291172794078335</c:v>
                </c:pt>
                <c:pt idx="80">
                  <c:v>-29.7260223250988</c:v>
                </c:pt>
                <c:pt idx="81">
                  <c:v>-30.294192898657979</c:v>
                </c:pt>
                <c:pt idx="82">
                  <c:v>-28.783564015941732</c:v>
                </c:pt>
                <c:pt idx="83">
                  <c:v>-27.521280228423706</c:v>
                </c:pt>
                <c:pt idx="84">
                  <c:v>-28.614929595022875</c:v>
                </c:pt>
                <c:pt idx="85">
                  <c:v>-29.230611258849848</c:v>
                </c:pt>
                <c:pt idx="86">
                  <c:v>-29.64149191905241</c:v>
                </c:pt>
                <c:pt idx="87">
                  <c:v>-29.943447171493887</c:v>
                </c:pt>
                <c:pt idx="88">
                  <c:v>-28.518201477081728</c:v>
                </c:pt>
                <c:pt idx="89">
                  <c:v>-30.511617583292683</c:v>
                </c:pt>
                <c:pt idx="90">
                  <c:v>-29.69385646144751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E04-490C-96E8-B881E309A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022592"/>
        <c:axId val="595022200"/>
      </c:scatterChart>
      <c:valAx>
        <c:axId val="59502259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sz="800" b="1"/>
                </a:pPr>
                <a:r>
                  <a:rPr lang="fr-FR" sz="800" b="1"/>
                  <a:t>Distance au front [m]</a:t>
                </a:r>
              </a:p>
            </c:rich>
          </c:tx>
          <c:overlay val="0"/>
        </c:title>
        <c:numFmt formatCode="#\ ##0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595022200"/>
        <c:crossesAt val="0"/>
        <c:crossBetween val="midCat"/>
      </c:valAx>
      <c:valAx>
        <c:axId val="595022200"/>
        <c:scaling>
          <c:orientation val="minMax"/>
          <c:max val="20"/>
          <c:min val="-3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/>
        <c:title>
          <c:tx>
            <c:rich>
              <a:bodyPr/>
              <a:lstStyle/>
              <a:p>
                <a:pPr>
                  <a:defRPr sz="800" b="1"/>
                </a:pPr>
                <a:r>
                  <a:rPr lang="fr-FR" sz="800" b="1"/>
                  <a:t>Déplacement</a:t>
                </a:r>
                <a:r>
                  <a:rPr lang="fr-FR" sz="800" b="1" baseline="0"/>
                  <a:t> en déport </a:t>
                </a:r>
                <a:r>
                  <a:rPr lang="fr-FR" sz="800" b="1"/>
                  <a:t>[mm]</a:t>
                </a:r>
              </a:p>
            </c:rich>
          </c:tx>
          <c:overlay val="0"/>
        </c:title>
        <c:numFmt formatCode="\+\ 0.0;\-\ 0.0;\±\ 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595022592"/>
        <c:crosses val="autoZero"/>
        <c:crossBetween val="midCat"/>
        <c:majorUnit val="5"/>
      </c:valAx>
      <c:spPr>
        <a:noFill/>
        <a:ln w="25400">
          <a:noFill/>
        </a:ln>
      </c:spPr>
    </c:plotArea>
    <c:legend>
      <c:legendPos val="b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span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422" footer="0.49212598450000422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tiff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tiff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95250</xdr:colOff>
      <xdr:row>1</xdr:row>
      <xdr:rowOff>38100</xdr:rowOff>
    </xdr:from>
    <xdr:to>
      <xdr:col>30</xdr:col>
      <xdr:colOff>314325</xdr:colOff>
      <xdr:row>2</xdr:row>
      <xdr:rowOff>76200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17345025" y="561975"/>
          <a:ext cx="219075" cy="2000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400050</xdr:colOff>
      <xdr:row>7</xdr:row>
      <xdr:rowOff>0</xdr:rowOff>
    </xdr:from>
    <xdr:to>
      <xdr:col>25</xdr:col>
      <xdr:colOff>0</xdr:colOff>
      <xdr:row>7</xdr:row>
      <xdr:rowOff>28575</xdr:rowOff>
    </xdr:to>
    <xdr:sp macro="" textlink="">
      <xdr:nvSpPr>
        <xdr:cNvPr id="1026" name="Freeform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/>
        </xdr:cNvSpPr>
      </xdr:nvSpPr>
      <xdr:spPr bwMode="auto">
        <a:xfrm>
          <a:off x="3771900" y="1724025"/>
          <a:ext cx="11134725" cy="28575"/>
        </a:xfrm>
        <a:custGeom>
          <a:avLst/>
          <a:gdLst>
            <a:gd name="T0" fmla="*/ 0 w 143"/>
            <a:gd name="T1" fmla="*/ 0 h 1"/>
            <a:gd name="T2" fmla="*/ 11422380 w 143"/>
            <a:gd name="T3" fmla="*/ 0 h 1"/>
            <a:gd name="T4" fmla="*/ 0 60000 65536"/>
            <a:gd name="T5" fmla="*/ 0 60000 65536"/>
            <a:gd name="T6" fmla="*/ 0 w 143"/>
            <a:gd name="T7" fmla="*/ 0 h 1"/>
            <a:gd name="T8" fmla="*/ 143 w 143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143" h="1">
              <a:moveTo>
                <a:pt x="0" y="0"/>
              </a:moveTo>
              <a:lnTo>
                <a:pt x="143" y="0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45</xdr:col>
      <xdr:colOff>400050</xdr:colOff>
      <xdr:row>7</xdr:row>
      <xdr:rowOff>0</xdr:rowOff>
    </xdr:from>
    <xdr:to>
      <xdr:col>65</xdr:col>
      <xdr:colOff>0</xdr:colOff>
      <xdr:row>7</xdr:row>
      <xdr:rowOff>28575</xdr:rowOff>
    </xdr:to>
    <xdr:sp macro="" textlink="">
      <xdr:nvSpPr>
        <xdr:cNvPr id="1027" name="Freeform 4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>
          <a:spLocks/>
        </xdr:cNvSpPr>
      </xdr:nvSpPr>
      <xdr:spPr bwMode="auto">
        <a:xfrm>
          <a:off x="27098625" y="1724025"/>
          <a:ext cx="12801600" cy="28575"/>
        </a:xfrm>
        <a:custGeom>
          <a:avLst/>
          <a:gdLst>
            <a:gd name="T0" fmla="*/ 0 w 143"/>
            <a:gd name="T1" fmla="*/ 0 h 1"/>
            <a:gd name="T2" fmla="*/ 13144500 w 143"/>
            <a:gd name="T3" fmla="*/ 0 h 1"/>
            <a:gd name="T4" fmla="*/ 0 60000 65536"/>
            <a:gd name="T5" fmla="*/ 0 60000 65536"/>
            <a:gd name="T6" fmla="*/ 0 w 143"/>
            <a:gd name="T7" fmla="*/ 0 h 1"/>
            <a:gd name="T8" fmla="*/ 143 w 143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143" h="1">
              <a:moveTo>
                <a:pt x="0" y="0"/>
              </a:moveTo>
              <a:lnTo>
                <a:pt x="143" y="0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67</xdr:col>
      <xdr:colOff>400050</xdr:colOff>
      <xdr:row>7</xdr:row>
      <xdr:rowOff>0</xdr:rowOff>
    </xdr:from>
    <xdr:to>
      <xdr:col>87</xdr:col>
      <xdr:colOff>0</xdr:colOff>
      <xdr:row>7</xdr:row>
      <xdr:rowOff>28575</xdr:rowOff>
    </xdr:to>
    <xdr:sp macro="" textlink="">
      <xdr:nvSpPr>
        <xdr:cNvPr id="1028" name="Freeform 5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>
          <a:spLocks/>
        </xdr:cNvSpPr>
      </xdr:nvSpPr>
      <xdr:spPr bwMode="auto">
        <a:xfrm>
          <a:off x="42176700" y="1724025"/>
          <a:ext cx="15201900" cy="28575"/>
        </a:xfrm>
        <a:custGeom>
          <a:avLst/>
          <a:gdLst>
            <a:gd name="T0" fmla="*/ 0 w 143"/>
            <a:gd name="T1" fmla="*/ 0 h 1"/>
            <a:gd name="T2" fmla="*/ 15598140 w 143"/>
            <a:gd name="T3" fmla="*/ 0 h 1"/>
            <a:gd name="T4" fmla="*/ 0 60000 65536"/>
            <a:gd name="T5" fmla="*/ 0 60000 65536"/>
            <a:gd name="T6" fmla="*/ 0 w 143"/>
            <a:gd name="T7" fmla="*/ 0 h 1"/>
            <a:gd name="T8" fmla="*/ 143 w 143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143" h="1">
              <a:moveTo>
                <a:pt x="0" y="0"/>
              </a:moveTo>
              <a:lnTo>
                <a:pt x="143" y="0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89</xdr:col>
      <xdr:colOff>400050</xdr:colOff>
      <xdr:row>7</xdr:row>
      <xdr:rowOff>0</xdr:rowOff>
    </xdr:from>
    <xdr:to>
      <xdr:col>109</xdr:col>
      <xdr:colOff>0</xdr:colOff>
      <xdr:row>7</xdr:row>
      <xdr:rowOff>28575</xdr:rowOff>
    </xdr:to>
    <xdr:sp macro="" textlink="">
      <xdr:nvSpPr>
        <xdr:cNvPr id="1029" name="Freeform 6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>
          <a:spLocks/>
        </xdr:cNvSpPr>
      </xdr:nvSpPr>
      <xdr:spPr bwMode="auto">
        <a:xfrm>
          <a:off x="60007500" y="1724025"/>
          <a:ext cx="15201900" cy="28575"/>
        </a:xfrm>
        <a:custGeom>
          <a:avLst/>
          <a:gdLst>
            <a:gd name="T0" fmla="*/ 0 w 143"/>
            <a:gd name="T1" fmla="*/ 0 h 1"/>
            <a:gd name="T2" fmla="*/ 15598140 w 143"/>
            <a:gd name="T3" fmla="*/ 0 h 1"/>
            <a:gd name="T4" fmla="*/ 0 60000 65536"/>
            <a:gd name="T5" fmla="*/ 0 60000 65536"/>
            <a:gd name="T6" fmla="*/ 0 w 143"/>
            <a:gd name="T7" fmla="*/ 0 h 1"/>
            <a:gd name="T8" fmla="*/ 143 w 143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143" h="1">
              <a:moveTo>
                <a:pt x="0" y="0"/>
              </a:moveTo>
              <a:lnTo>
                <a:pt x="143" y="0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171450</xdr:colOff>
      <xdr:row>0</xdr:row>
      <xdr:rowOff>104775</xdr:rowOff>
    </xdr:from>
    <xdr:to>
      <xdr:col>3</xdr:col>
      <xdr:colOff>142875</xdr:colOff>
      <xdr:row>3</xdr:row>
      <xdr:rowOff>38100</xdr:rowOff>
    </xdr:to>
    <xdr:pic>
      <xdr:nvPicPr>
        <xdr:cNvPr id="1030" name="Image 7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1450" y="104775"/>
          <a:ext cx="198120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97</xdr:col>
      <xdr:colOff>224117</xdr:colOff>
      <xdr:row>17</xdr:row>
      <xdr:rowOff>324971</xdr:rowOff>
    </xdr:from>
    <xdr:ext cx="4490460" cy="468013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90892592" y="5554196"/>
          <a:ext cx="4490460" cy="46801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fr-FR" sz="2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nouvelle</a:t>
          </a:r>
          <a:r>
            <a:rPr lang="fr-FR" sz="2400" b="1" cap="none" spc="0" baseline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 instrumentation auréole</a:t>
          </a:r>
          <a:endParaRPr lang="fr-FR" sz="2400" b="1" cap="none" spc="0">
            <a:ln w="12700">
              <a:solidFill>
                <a:schemeClr val="tx2">
                  <a:satMod val="155000"/>
                </a:schemeClr>
              </a:solidFill>
              <a:prstDash val="solid"/>
            </a:ln>
            <a:solidFill>
              <a:schemeClr val="bg2">
                <a:tint val="85000"/>
                <a:satMod val="155000"/>
              </a:schemeClr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</a:endParaRPr>
        </a:p>
      </xdr:txBody>
    </xdr:sp>
    <xdr:clientData/>
  </xdr:oneCellAnchor>
  <xdr:oneCellAnchor>
    <xdr:from>
      <xdr:col>7</xdr:col>
      <xdr:colOff>616324</xdr:colOff>
      <xdr:row>17</xdr:row>
      <xdr:rowOff>324971</xdr:rowOff>
    </xdr:from>
    <xdr:ext cx="4490460" cy="468013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616949" y="5554196"/>
          <a:ext cx="4490460" cy="46801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fr-FR" sz="2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nouvelle</a:t>
          </a:r>
          <a:r>
            <a:rPr lang="fr-FR" sz="2400" b="1" cap="none" spc="0" baseline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 instrumentation auréole</a:t>
          </a:r>
          <a:endParaRPr lang="fr-FR" sz="2400" b="1" cap="none" spc="0">
            <a:ln w="12700">
              <a:solidFill>
                <a:schemeClr val="tx2">
                  <a:satMod val="155000"/>
                </a:schemeClr>
              </a:solidFill>
              <a:prstDash val="solid"/>
            </a:ln>
            <a:solidFill>
              <a:schemeClr val="bg2">
                <a:tint val="85000"/>
                <a:satMod val="155000"/>
              </a:schemeClr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</a:endParaRPr>
        </a:p>
      </xdr:txBody>
    </xdr:sp>
    <xdr:clientData/>
  </xdr:oneCellAnchor>
  <xdr:oneCellAnchor>
    <xdr:from>
      <xdr:col>97</xdr:col>
      <xdr:colOff>50419</xdr:colOff>
      <xdr:row>70</xdr:row>
      <xdr:rowOff>324971</xdr:rowOff>
    </xdr:from>
    <xdr:ext cx="4837863" cy="468013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90930125" y="25134795"/>
          <a:ext cx="4837863" cy="46801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fr-FR" sz="2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RECALAGE SYSTEME COORDONNEES</a:t>
          </a:r>
        </a:p>
      </xdr:txBody>
    </xdr:sp>
    <xdr:clientData/>
  </xdr:oneCellAnchor>
  <xdr:oneCellAnchor>
    <xdr:from>
      <xdr:col>98</xdr:col>
      <xdr:colOff>211836</xdr:colOff>
      <xdr:row>72</xdr:row>
      <xdr:rowOff>324971</xdr:rowOff>
    </xdr:from>
    <xdr:ext cx="2296270" cy="468013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92200924" y="25874383"/>
          <a:ext cx="2296270" cy="46801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fr-FR" sz="2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Mesures</a:t>
          </a:r>
          <a:r>
            <a:rPr lang="fr-FR" sz="2400" b="1" cap="none" spc="0" baseline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 ANDRA</a:t>
          </a:r>
          <a:endParaRPr lang="fr-FR" sz="2400" b="1" cap="none" spc="0">
            <a:ln w="12700">
              <a:solidFill>
                <a:schemeClr val="tx2">
                  <a:satMod val="155000"/>
                </a:schemeClr>
              </a:solidFill>
              <a:prstDash val="solid"/>
            </a:ln>
            <a:solidFill>
              <a:schemeClr val="bg2">
                <a:tint val="85000"/>
                <a:satMod val="155000"/>
              </a:schemeClr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</a:endParaRPr>
        </a:p>
      </xdr:txBody>
    </xdr:sp>
    <xdr:clientData/>
  </xdr:oneCellAnchor>
  <xdr:oneCellAnchor>
    <xdr:from>
      <xdr:col>4</xdr:col>
      <xdr:colOff>549087</xdr:colOff>
      <xdr:row>70</xdr:row>
      <xdr:rowOff>324970</xdr:rowOff>
    </xdr:from>
    <xdr:ext cx="4837863" cy="468013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3249705" y="25134794"/>
          <a:ext cx="4837863" cy="46801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fr-FR" sz="2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RECALAGE SYSTEME COORDONNEES</a:t>
          </a:r>
        </a:p>
      </xdr:txBody>
    </xdr:sp>
    <xdr:clientData/>
  </xdr:oneCellAnchor>
  <xdr:oneCellAnchor>
    <xdr:from>
      <xdr:col>4</xdr:col>
      <xdr:colOff>434384</xdr:colOff>
      <xdr:row>72</xdr:row>
      <xdr:rowOff>324970</xdr:rowOff>
    </xdr:from>
    <xdr:ext cx="5067285" cy="468013"/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3135002" y="25874382"/>
          <a:ext cx="5067285" cy="46801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fr-FR" sz="2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Reinstrumentation</a:t>
          </a:r>
          <a:r>
            <a:rPr lang="fr-FR" sz="2400" b="1" cap="none" spc="0" baseline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 &amp; </a:t>
          </a:r>
          <a:r>
            <a:rPr lang="fr-FR" sz="2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Mesures</a:t>
          </a:r>
          <a:r>
            <a:rPr lang="fr-FR" sz="2400" b="1" cap="none" spc="0" baseline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 ANDRA</a:t>
          </a:r>
          <a:endParaRPr lang="fr-FR" sz="2400" b="1" cap="none" spc="0">
            <a:ln w="12700">
              <a:solidFill>
                <a:schemeClr val="tx2">
                  <a:satMod val="155000"/>
                </a:schemeClr>
              </a:solidFill>
              <a:prstDash val="solid"/>
            </a:ln>
            <a:solidFill>
              <a:schemeClr val="bg2">
                <a:tint val="85000"/>
                <a:satMod val="155000"/>
              </a:schemeClr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2</xdr:col>
      <xdr:colOff>586468</xdr:colOff>
      <xdr:row>3</xdr:row>
      <xdr:rowOff>161925</xdr:rowOff>
    </xdr:to>
    <xdr:pic>
      <xdr:nvPicPr>
        <xdr:cNvPr id="2049" name="Image 3">
          <a:extLst>
            <a:ext uri="{FF2B5EF4-FFF2-40B4-BE49-F238E27FC236}">
              <a16:creationId xmlns:a16="http://schemas.microsoft.com/office/drawing/2014/main" id="{00000000-0008-0000-0100-00000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8100"/>
          <a:ext cx="1762125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12</xdr:col>
      <xdr:colOff>419100</xdr:colOff>
      <xdr:row>10</xdr:row>
      <xdr:rowOff>95250</xdr:rowOff>
    </xdr:from>
    <xdr:to>
      <xdr:col>17</xdr:col>
      <xdr:colOff>247650</xdr:colOff>
      <xdr:row>22</xdr:row>
      <xdr:rowOff>57150</xdr:rowOff>
    </xdr:to>
    <xdr:sp macro="" textlink="">
      <xdr:nvSpPr>
        <xdr:cNvPr id="2051" name="AutoShape 2">
          <a:extLst>
            <a:ext uri="{FF2B5EF4-FFF2-40B4-BE49-F238E27FC236}">
              <a16:creationId xmlns:a16="http://schemas.microsoft.com/office/drawing/2014/main" id="{00000000-0008-0000-0100-000003080000}"/>
            </a:ext>
          </a:extLst>
        </xdr:cNvPr>
        <xdr:cNvSpPr>
          <a:spLocks noChangeAspect="1" noChangeArrowheads="1"/>
        </xdr:cNvSpPr>
      </xdr:nvSpPr>
      <xdr:spPr bwMode="auto">
        <a:xfrm>
          <a:off x="7168243" y="2422071"/>
          <a:ext cx="2631621" cy="29010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40822</xdr:colOff>
      <xdr:row>9</xdr:row>
      <xdr:rowOff>29456</xdr:rowOff>
    </xdr:from>
    <xdr:to>
      <xdr:col>16</xdr:col>
      <xdr:colOff>450001</xdr:colOff>
      <xdr:row>20</xdr:row>
      <xdr:rowOff>116728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086" r="24931" b="3778"/>
        <a:stretch/>
      </xdr:blipFill>
      <xdr:spPr>
        <a:xfrm>
          <a:off x="6789965" y="2111349"/>
          <a:ext cx="2736000" cy="2781487"/>
        </a:xfrm>
        <a:prstGeom prst="rect">
          <a:avLst/>
        </a:prstGeom>
      </xdr:spPr>
    </xdr:pic>
    <xdr:clientData/>
  </xdr:twoCellAnchor>
  <xdr:oneCellAnchor>
    <xdr:from>
      <xdr:col>2</xdr:col>
      <xdr:colOff>217715</xdr:colOff>
      <xdr:row>18</xdr:row>
      <xdr:rowOff>13607</xdr:rowOff>
    </xdr:from>
    <xdr:ext cx="4490460" cy="468013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1387929" y="4299857"/>
          <a:ext cx="4490460" cy="46801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fr-FR" sz="2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nouvelle</a:t>
          </a:r>
          <a:r>
            <a:rPr lang="fr-FR" sz="2400" b="1" cap="none" spc="0" baseline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 instrumentation auréole</a:t>
          </a:r>
          <a:endParaRPr lang="fr-FR" sz="2400" b="1" cap="none" spc="0">
            <a:ln w="12700">
              <a:solidFill>
                <a:schemeClr val="tx2">
                  <a:satMod val="155000"/>
                </a:schemeClr>
              </a:solidFill>
              <a:prstDash val="solid"/>
            </a:ln>
            <a:solidFill>
              <a:schemeClr val="bg2">
                <a:tint val="85000"/>
                <a:satMod val="155000"/>
              </a:schemeClr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</a:endParaRPr>
        </a:p>
      </xdr:txBody>
    </xdr:sp>
    <xdr:clientData/>
  </xdr:oneCellAnchor>
  <xdr:oneCellAnchor>
    <xdr:from>
      <xdr:col>17</xdr:col>
      <xdr:colOff>476250</xdr:colOff>
      <xdr:row>18</xdr:row>
      <xdr:rowOff>13608</xdr:rowOff>
    </xdr:from>
    <xdr:ext cx="4490460" cy="468013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10028464" y="4299858"/>
          <a:ext cx="4490460" cy="46801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fr-FR" sz="2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nouvelle</a:t>
          </a:r>
          <a:r>
            <a:rPr lang="fr-FR" sz="2400" b="1" cap="none" spc="0" baseline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 instrumentation auréole</a:t>
          </a:r>
          <a:endParaRPr lang="fr-FR" sz="2400" b="1" cap="none" spc="0">
            <a:ln w="12700">
              <a:solidFill>
                <a:schemeClr val="tx2">
                  <a:satMod val="155000"/>
                </a:schemeClr>
              </a:solidFill>
              <a:prstDash val="solid"/>
            </a:ln>
            <a:solidFill>
              <a:schemeClr val="bg2">
                <a:tint val="85000"/>
                <a:satMod val="155000"/>
              </a:schemeClr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38100</xdr:rowOff>
    </xdr:from>
    <xdr:to>
      <xdr:col>1</xdr:col>
      <xdr:colOff>0</xdr:colOff>
      <xdr:row>2</xdr:row>
      <xdr:rowOff>76200</xdr:rowOff>
    </xdr:to>
    <xdr:sp macro="" textlink="">
      <xdr:nvSpPr>
        <xdr:cNvPr id="3073" name="Text Box 1">
          <a:extLst>
            <a:ext uri="{FF2B5EF4-FFF2-40B4-BE49-F238E27FC236}">
              <a16:creationId xmlns:a16="http://schemas.microsoft.com/office/drawing/2014/main" id="{00000000-0008-0000-0200-0000010C0000}"/>
            </a:ext>
          </a:extLst>
        </xdr:cNvPr>
        <xdr:cNvSpPr txBox="1">
          <a:spLocks noChangeArrowheads="1"/>
        </xdr:cNvSpPr>
      </xdr:nvSpPr>
      <xdr:spPr bwMode="auto">
        <a:xfrm>
          <a:off x="514350" y="390525"/>
          <a:ext cx="0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0</xdr:colOff>
      <xdr:row>7</xdr:row>
      <xdr:rowOff>28575</xdr:rowOff>
    </xdr:to>
    <xdr:sp macro="" textlink="">
      <xdr:nvSpPr>
        <xdr:cNvPr id="3074" name="Freeform 2">
          <a:extLst>
            <a:ext uri="{FF2B5EF4-FFF2-40B4-BE49-F238E27FC236}">
              <a16:creationId xmlns:a16="http://schemas.microsoft.com/office/drawing/2014/main" id="{00000000-0008-0000-0200-0000020C0000}"/>
            </a:ext>
          </a:extLst>
        </xdr:cNvPr>
        <xdr:cNvSpPr>
          <a:spLocks/>
        </xdr:cNvSpPr>
      </xdr:nvSpPr>
      <xdr:spPr bwMode="auto">
        <a:xfrm>
          <a:off x="514350" y="1543050"/>
          <a:ext cx="0" cy="28575"/>
        </a:xfrm>
        <a:custGeom>
          <a:avLst/>
          <a:gdLst>
            <a:gd name="T0" fmla="*/ 0 w 143"/>
            <a:gd name="T1" fmla="*/ 0 h 1"/>
            <a:gd name="T2" fmla="*/ 0 w 143"/>
            <a:gd name="T3" fmla="*/ 0 h 1"/>
            <a:gd name="T4" fmla="*/ 0 60000 65536"/>
            <a:gd name="T5" fmla="*/ 0 60000 65536"/>
            <a:gd name="T6" fmla="*/ 0 w 143"/>
            <a:gd name="T7" fmla="*/ 0 h 1"/>
            <a:gd name="T8" fmla="*/ 0 w 143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143" h="1">
              <a:moveTo>
                <a:pt x="0" y="0"/>
              </a:moveTo>
              <a:lnTo>
                <a:pt x="143" y="0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400050</xdr:colOff>
      <xdr:row>7</xdr:row>
      <xdr:rowOff>0</xdr:rowOff>
    </xdr:from>
    <xdr:to>
      <xdr:col>23</xdr:col>
      <xdr:colOff>0</xdr:colOff>
      <xdr:row>7</xdr:row>
      <xdr:rowOff>28575</xdr:rowOff>
    </xdr:to>
    <xdr:sp macro="" textlink="">
      <xdr:nvSpPr>
        <xdr:cNvPr id="3075" name="Freeform 4">
          <a:extLst>
            <a:ext uri="{FF2B5EF4-FFF2-40B4-BE49-F238E27FC236}">
              <a16:creationId xmlns:a16="http://schemas.microsoft.com/office/drawing/2014/main" id="{00000000-0008-0000-0200-0000030C0000}"/>
            </a:ext>
          </a:extLst>
        </xdr:cNvPr>
        <xdr:cNvSpPr>
          <a:spLocks/>
        </xdr:cNvSpPr>
      </xdr:nvSpPr>
      <xdr:spPr bwMode="auto">
        <a:xfrm>
          <a:off x="2409825" y="1543050"/>
          <a:ext cx="10134600" cy="28575"/>
        </a:xfrm>
        <a:custGeom>
          <a:avLst/>
          <a:gdLst>
            <a:gd name="T0" fmla="*/ 0 w 143"/>
            <a:gd name="T1" fmla="*/ 0 h 1"/>
            <a:gd name="T2" fmla="*/ 10477500 w 143"/>
            <a:gd name="T3" fmla="*/ 0 h 1"/>
            <a:gd name="T4" fmla="*/ 0 60000 65536"/>
            <a:gd name="T5" fmla="*/ 0 60000 65536"/>
            <a:gd name="T6" fmla="*/ 0 w 143"/>
            <a:gd name="T7" fmla="*/ 0 h 1"/>
            <a:gd name="T8" fmla="*/ 143 w 143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143" h="1">
              <a:moveTo>
                <a:pt x="0" y="0"/>
              </a:moveTo>
              <a:lnTo>
                <a:pt x="143" y="0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</xdr:row>
      <xdr:rowOff>38100</xdr:rowOff>
    </xdr:from>
    <xdr:to>
      <xdr:col>1</xdr:col>
      <xdr:colOff>0</xdr:colOff>
      <xdr:row>3</xdr:row>
      <xdr:rowOff>76200</xdr:rowOff>
    </xdr:to>
    <xdr:sp macro="" textlink="">
      <xdr:nvSpPr>
        <xdr:cNvPr id="3076" name="Text Box 5">
          <a:extLst>
            <a:ext uri="{FF2B5EF4-FFF2-40B4-BE49-F238E27FC236}">
              <a16:creationId xmlns:a16="http://schemas.microsoft.com/office/drawing/2014/main" id="{00000000-0008-0000-0200-0000040C0000}"/>
            </a:ext>
          </a:extLst>
        </xdr:cNvPr>
        <xdr:cNvSpPr txBox="1">
          <a:spLocks noChangeArrowheads="1"/>
        </xdr:cNvSpPr>
      </xdr:nvSpPr>
      <xdr:spPr bwMode="auto">
        <a:xfrm>
          <a:off x="514350" y="390525"/>
          <a:ext cx="0" cy="4286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</xdr:row>
      <xdr:rowOff>38100</xdr:rowOff>
    </xdr:from>
    <xdr:to>
      <xdr:col>1</xdr:col>
      <xdr:colOff>0</xdr:colOff>
      <xdr:row>2</xdr:row>
      <xdr:rowOff>76200</xdr:rowOff>
    </xdr:to>
    <xdr:sp macro="" textlink="">
      <xdr:nvSpPr>
        <xdr:cNvPr id="3077" name="Text Box 31">
          <a:extLst>
            <a:ext uri="{FF2B5EF4-FFF2-40B4-BE49-F238E27FC236}">
              <a16:creationId xmlns:a16="http://schemas.microsoft.com/office/drawing/2014/main" id="{00000000-0008-0000-0200-0000050C0000}"/>
            </a:ext>
          </a:extLst>
        </xdr:cNvPr>
        <xdr:cNvSpPr txBox="1">
          <a:spLocks noChangeArrowheads="1"/>
        </xdr:cNvSpPr>
      </xdr:nvSpPr>
      <xdr:spPr bwMode="auto">
        <a:xfrm>
          <a:off x="514350" y="390525"/>
          <a:ext cx="0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</xdr:row>
      <xdr:rowOff>38100</xdr:rowOff>
    </xdr:from>
    <xdr:to>
      <xdr:col>1</xdr:col>
      <xdr:colOff>0</xdr:colOff>
      <xdr:row>3</xdr:row>
      <xdr:rowOff>76200</xdr:rowOff>
    </xdr:to>
    <xdr:sp macro="" textlink="">
      <xdr:nvSpPr>
        <xdr:cNvPr id="3078" name="Text Box 32">
          <a:extLst>
            <a:ext uri="{FF2B5EF4-FFF2-40B4-BE49-F238E27FC236}">
              <a16:creationId xmlns:a16="http://schemas.microsoft.com/office/drawing/2014/main" id="{00000000-0008-0000-0200-0000060C0000}"/>
            </a:ext>
          </a:extLst>
        </xdr:cNvPr>
        <xdr:cNvSpPr txBox="1">
          <a:spLocks noChangeArrowheads="1"/>
        </xdr:cNvSpPr>
      </xdr:nvSpPr>
      <xdr:spPr bwMode="auto">
        <a:xfrm>
          <a:off x="514350" y="390525"/>
          <a:ext cx="0" cy="4286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2</xdr:row>
      <xdr:rowOff>38100</xdr:rowOff>
    </xdr:from>
    <xdr:to>
      <xdr:col>1</xdr:col>
      <xdr:colOff>0</xdr:colOff>
      <xdr:row>3</xdr:row>
      <xdr:rowOff>76200</xdr:rowOff>
    </xdr:to>
    <xdr:sp macro="" textlink="">
      <xdr:nvSpPr>
        <xdr:cNvPr id="3079" name="Text Box 33">
          <a:extLst>
            <a:ext uri="{FF2B5EF4-FFF2-40B4-BE49-F238E27FC236}">
              <a16:creationId xmlns:a16="http://schemas.microsoft.com/office/drawing/2014/main" id="{00000000-0008-0000-0200-0000070C0000}"/>
            </a:ext>
          </a:extLst>
        </xdr:cNvPr>
        <xdr:cNvSpPr txBox="1">
          <a:spLocks noChangeArrowheads="1"/>
        </xdr:cNvSpPr>
      </xdr:nvSpPr>
      <xdr:spPr bwMode="auto">
        <a:xfrm>
          <a:off x="514350" y="590550"/>
          <a:ext cx="0" cy="2286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2</xdr:row>
      <xdr:rowOff>38100</xdr:rowOff>
    </xdr:from>
    <xdr:to>
      <xdr:col>1</xdr:col>
      <xdr:colOff>0</xdr:colOff>
      <xdr:row>4</xdr:row>
      <xdr:rowOff>76200</xdr:rowOff>
    </xdr:to>
    <xdr:sp macro="" textlink="">
      <xdr:nvSpPr>
        <xdr:cNvPr id="3080" name="Text Box 34">
          <a:extLst>
            <a:ext uri="{FF2B5EF4-FFF2-40B4-BE49-F238E27FC236}">
              <a16:creationId xmlns:a16="http://schemas.microsoft.com/office/drawing/2014/main" id="{00000000-0008-0000-0200-0000080C0000}"/>
            </a:ext>
          </a:extLst>
        </xdr:cNvPr>
        <xdr:cNvSpPr txBox="1">
          <a:spLocks noChangeArrowheads="1"/>
        </xdr:cNvSpPr>
      </xdr:nvSpPr>
      <xdr:spPr bwMode="auto">
        <a:xfrm>
          <a:off x="514350" y="590550"/>
          <a:ext cx="0" cy="4191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4</xdr:row>
      <xdr:rowOff>38100</xdr:rowOff>
    </xdr:from>
    <xdr:to>
      <xdr:col>1</xdr:col>
      <xdr:colOff>0</xdr:colOff>
      <xdr:row>5</xdr:row>
      <xdr:rowOff>76200</xdr:rowOff>
    </xdr:to>
    <xdr:sp macro="" textlink="">
      <xdr:nvSpPr>
        <xdr:cNvPr id="3081" name="Text Box 35">
          <a:extLst>
            <a:ext uri="{FF2B5EF4-FFF2-40B4-BE49-F238E27FC236}">
              <a16:creationId xmlns:a16="http://schemas.microsoft.com/office/drawing/2014/main" id="{00000000-0008-0000-0200-0000090C0000}"/>
            </a:ext>
          </a:extLst>
        </xdr:cNvPr>
        <xdr:cNvSpPr txBox="1">
          <a:spLocks noChangeArrowheads="1"/>
        </xdr:cNvSpPr>
      </xdr:nvSpPr>
      <xdr:spPr bwMode="auto">
        <a:xfrm>
          <a:off x="514350" y="971550"/>
          <a:ext cx="0" cy="2667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47625</xdr:rowOff>
    </xdr:from>
    <xdr:to>
      <xdr:col>2</xdr:col>
      <xdr:colOff>517813</xdr:colOff>
      <xdr:row>3</xdr:row>
      <xdr:rowOff>95250</xdr:rowOff>
    </xdr:to>
    <xdr:pic>
      <xdr:nvPicPr>
        <xdr:cNvPr id="3082" name="Image 12">
          <a:extLst>
            <a:ext uri="{FF2B5EF4-FFF2-40B4-BE49-F238E27FC236}">
              <a16:creationId xmlns:a16="http://schemas.microsoft.com/office/drawing/2014/main" id="{00000000-0008-0000-0200-00000A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7625"/>
          <a:ext cx="2000250" cy="790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2</xdr:col>
      <xdr:colOff>381000</xdr:colOff>
      <xdr:row>18</xdr:row>
      <xdr:rowOff>121226</xdr:rowOff>
    </xdr:from>
    <xdr:ext cx="4490460" cy="468013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1638300" y="5979101"/>
          <a:ext cx="4490460" cy="46801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fr-FR" sz="2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nouvelle</a:t>
          </a:r>
          <a:r>
            <a:rPr lang="fr-FR" sz="2400" b="1" cap="none" spc="0" baseline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 instrumentation auréole</a:t>
          </a:r>
          <a:endParaRPr lang="fr-FR" sz="2400" b="1" cap="none" spc="0">
            <a:ln w="12700">
              <a:solidFill>
                <a:schemeClr val="tx2">
                  <a:satMod val="155000"/>
                </a:schemeClr>
              </a:solidFill>
              <a:prstDash val="solid"/>
            </a:ln>
            <a:solidFill>
              <a:schemeClr val="bg2">
                <a:tint val="85000"/>
                <a:satMod val="155000"/>
              </a:schemeClr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</a:endParaRPr>
        </a:p>
      </xdr:txBody>
    </xdr:sp>
    <xdr:clientData/>
  </xdr:oneCellAnchor>
  <xdr:oneCellAnchor>
    <xdr:from>
      <xdr:col>14</xdr:col>
      <xdr:colOff>432954</xdr:colOff>
      <xdr:row>18</xdr:row>
      <xdr:rowOff>138544</xdr:rowOff>
    </xdr:from>
    <xdr:ext cx="4490460" cy="468013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10719954" y="5996419"/>
          <a:ext cx="4490460" cy="46801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fr-FR" sz="2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nouvelle</a:t>
          </a:r>
          <a:r>
            <a:rPr lang="fr-FR" sz="2400" b="1" cap="none" spc="0" baseline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 instrumentation auréole</a:t>
          </a:r>
          <a:endParaRPr lang="fr-FR" sz="2400" b="1" cap="none" spc="0">
            <a:ln w="12700">
              <a:solidFill>
                <a:schemeClr val="tx2">
                  <a:satMod val="155000"/>
                </a:schemeClr>
              </a:solidFill>
              <a:prstDash val="solid"/>
            </a:ln>
            <a:solidFill>
              <a:schemeClr val="bg2">
                <a:tint val="85000"/>
                <a:satMod val="155000"/>
              </a:schemeClr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321282</xdr:colOff>
      <xdr:row>6</xdr:row>
      <xdr:rowOff>100201</xdr:rowOff>
    </xdr:from>
    <xdr:to>
      <xdr:col>11</xdr:col>
      <xdr:colOff>397353</xdr:colOff>
      <xdr:row>33</xdr:row>
      <xdr:rowOff>11486</xdr:rowOff>
    </xdr:to>
    <xdr:graphicFrame macro="">
      <xdr:nvGraphicFramePr>
        <xdr:cNvPr id="4097" name="Graphique 10">
          <a:extLst>
            <a:ext uri="{FF2B5EF4-FFF2-40B4-BE49-F238E27FC236}">
              <a16:creationId xmlns:a16="http://schemas.microsoft.com/office/drawing/2014/main" id="{00000000-0008-0000-0300-0000011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201386</xdr:colOff>
      <xdr:row>40</xdr:row>
      <xdr:rowOff>105718</xdr:rowOff>
    </xdr:from>
    <xdr:to>
      <xdr:col>23</xdr:col>
      <xdr:colOff>549600</xdr:colOff>
      <xdr:row>67</xdr:row>
      <xdr:rowOff>17004</xdr:rowOff>
    </xdr:to>
    <xdr:graphicFrame macro="">
      <xdr:nvGraphicFramePr>
        <xdr:cNvPr id="4098" name="Graphique 13">
          <a:extLst>
            <a:ext uri="{FF2B5EF4-FFF2-40B4-BE49-F238E27FC236}">
              <a16:creationId xmlns:a16="http://schemas.microsoft.com/office/drawing/2014/main" id="{00000000-0008-0000-0300-0000021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35</xdr:row>
      <xdr:rowOff>0</xdr:rowOff>
    </xdr:from>
    <xdr:to>
      <xdr:col>3</xdr:col>
      <xdr:colOff>335591</xdr:colOff>
      <xdr:row>39</xdr:row>
      <xdr:rowOff>66857</xdr:rowOff>
    </xdr:to>
    <xdr:pic>
      <xdr:nvPicPr>
        <xdr:cNvPr id="4099" name="Image 9">
          <a:extLst>
            <a:ext uri="{FF2B5EF4-FFF2-40B4-BE49-F238E27FC236}">
              <a16:creationId xmlns:a16="http://schemas.microsoft.com/office/drawing/2014/main" id="{00000000-0008-0000-0300-000003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771525" y="5715000"/>
          <a:ext cx="1822852" cy="720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13</xdr:col>
      <xdr:colOff>100695</xdr:colOff>
      <xdr:row>35</xdr:row>
      <xdr:rowOff>0</xdr:rowOff>
    </xdr:from>
    <xdr:to>
      <xdr:col>15</xdr:col>
      <xdr:colOff>426836</xdr:colOff>
      <xdr:row>39</xdr:row>
      <xdr:rowOff>66857</xdr:rowOff>
    </xdr:to>
    <xdr:pic>
      <xdr:nvPicPr>
        <xdr:cNvPr id="4100" name="Image 13">
          <a:extLst>
            <a:ext uri="{FF2B5EF4-FFF2-40B4-BE49-F238E27FC236}">
              <a16:creationId xmlns:a16="http://schemas.microsoft.com/office/drawing/2014/main" id="{00000000-0008-0000-0300-000004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516838" y="5715000"/>
          <a:ext cx="1822927" cy="720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223157</xdr:colOff>
      <xdr:row>74</xdr:row>
      <xdr:rowOff>134712</xdr:rowOff>
    </xdr:from>
    <xdr:to>
      <xdr:col>11</xdr:col>
      <xdr:colOff>571371</xdr:colOff>
      <xdr:row>101</xdr:row>
      <xdr:rowOff>45998</xdr:rowOff>
    </xdr:to>
    <xdr:graphicFrame macro="">
      <xdr:nvGraphicFramePr>
        <xdr:cNvPr id="6" name="Graphique 14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400049</xdr:colOff>
      <xdr:row>69</xdr:row>
      <xdr:rowOff>0</xdr:rowOff>
    </xdr:from>
    <xdr:to>
      <xdr:col>3</xdr:col>
      <xdr:colOff>497769</xdr:colOff>
      <xdr:row>73</xdr:row>
      <xdr:rowOff>66857</xdr:rowOff>
    </xdr:to>
    <xdr:pic>
      <xdr:nvPicPr>
        <xdr:cNvPr id="7" name="Image 13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62049" y="11266714"/>
          <a:ext cx="1594506" cy="720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13</xdr:col>
      <xdr:colOff>400050</xdr:colOff>
      <xdr:row>69</xdr:row>
      <xdr:rowOff>0</xdr:rowOff>
    </xdr:from>
    <xdr:to>
      <xdr:col>15</xdr:col>
      <xdr:colOff>497771</xdr:colOff>
      <xdr:row>73</xdr:row>
      <xdr:rowOff>66857</xdr:rowOff>
    </xdr:to>
    <xdr:pic>
      <xdr:nvPicPr>
        <xdr:cNvPr id="8" name="Image 13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816193" y="11266714"/>
          <a:ext cx="1594507" cy="720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220436</xdr:colOff>
      <xdr:row>74</xdr:row>
      <xdr:rowOff>121104</xdr:rowOff>
    </xdr:from>
    <xdr:to>
      <xdr:col>23</xdr:col>
      <xdr:colOff>568650</xdr:colOff>
      <xdr:row>101</xdr:row>
      <xdr:rowOff>32390</xdr:rowOff>
    </xdr:to>
    <xdr:graphicFrame macro="">
      <xdr:nvGraphicFramePr>
        <xdr:cNvPr id="9" name="Graphique 15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1</xdr:col>
      <xdr:colOff>9526</xdr:colOff>
      <xdr:row>1</xdr:row>
      <xdr:rowOff>0</xdr:rowOff>
    </xdr:from>
    <xdr:ext cx="1850651" cy="720000"/>
    <xdr:pic>
      <xdr:nvPicPr>
        <xdr:cNvPr id="11" name="Image 9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771526" y="163286"/>
          <a:ext cx="1850651" cy="720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13</xdr:col>
      <xdr:colOff>195944</xdr:colOff>
      <xdr:row>1</xdr:row>
      <xdr:rowOff>1</xdr:rowOff>
    </xdr:from>
    <xdr:ext cx="1841813" cy="720000"/>
    <xdr:pic>
      <xdr:nvPicPr>
        <xdr:cNvPr id="12" name="Image 13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612087" y="163287"/>
          <a:ext cx="1841813" cy="720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absolute">
    <xdr:from>
      <xdr:col>1</xdr:col>
      <xdr:colOff>247116</xdr:colOff>
      <xdr:row>40</xdr:row>
      <xdr:rowOff>121892</xdr:rowOff>
    </xdr:from>
    <xdr:to>
      <xdr:col>11</xdr:col>
      <xdr:colOff>323187</xdr:colOff>
      <xdr:row>67</xdr:row>
      <xdr:rowOff>33178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absolute">
    <xdr:from>
      <xdr:col>13</xdr:col>
      <xdr:colOff>346562</xdr:colOff>
      <xdr:row>6</xdr:row>
      <xdr:rowOff>124567</xdr:rowOff>
    </xdr:from>
    <xdr:to>
      <xdr:col>23</xdr:col>
      <xdr:colOff>422633</xdr:colOff>
      <xdr:row>33</xdr:row>
      <xdr:rowOff>35852</xdr:rowOff>
    </xdr:to>
    <xdr:graphicFrame macro="">
      <xdr:nvGraphicFramePr>
        <xdr:cNvPr id="15" name="Graphique 11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695325</xdr:colOff>
          <xdr:row>4</xdr:row>
          <xdr:rowOff>104775</xdr:rowOff>
        </xdr:from>
        <xdr:to>
          <xdr:col>26</xdr:col>
          <xdr:colOff>752475</xdr:colOff>
          <xdr:row>6</xdr:row>
          <xdr:rowOff>66675</xdr:rowOff>
        </xdr:to>
        <xdr:sp macro="" textlink="">
          <xdr:nvSpPr>
            <xdr:cNvPr id="2" name="Butto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fr-F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MAJ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0.17074</cdr:x>
      <cdr:y>0.51733</cdr:y>
    </cdr:from>
    <cdr:to>
      <cdr:x>0.32754</cdr:x>
      <cdr:y>0.74651</cdr:y>
    </cdr:to>
    <cdr:pic>
      <cdr:nvPicPr>
        <cdr:cNvPr id="2" name="Image 1">
          <a:extLst xmlns:a="http://schemas.openxmlformats.org/drawingml/2006/main">
            <a:ext uri="{FF2B5EF4-FFF2-40B4-BE49-F238E27FC236}">
              <a16:creationId xmlns:a16="http://schemas.microsoft.com/office/drawing/2014/main" id="{E5EEAF1F-05E3-4237-9C9F-EF341B0867E0}"/>
            </a:ext>
          </a:extLst>
        </cdr:cNvPr>
        <cdr:cNvPicPr>
          <a:picLocks xmlns:a="http://schemas.openxmlformats.org/drawingml/2006/main" noChangeAspect="1"/>
        </cdr:cNvPicPr>
      </cdr:nvPicPr>
      <cdr:blipFill rotWithShape="1"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 l="23889" r="23910" b="-4784"/>
        <a:stretch xmlns:a="http://schemas.openxmlformats.org/drawingml/2006/main"/>
      </cdr:blipFill>
      <cdr:spPr>
        <a:xfrm xmlns:a="http://schemas.openxmlformats.org/drawingml/2006/main">
          <a:off x="1294907" y="2145440"/>
          <a:ext cx="1189173" cy="950434"/>
        </a:xfrm>
        <a:prstGeom xmlns:a="http://schemas.openxmlformats.org/drawingml/2006/main" prst="ellipse">
          <a:avLst/>
        </a:prstGeom>
      </cdr:spPr>
    </cdr:pic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114300</xdr:colOff>
      <xdr:row>7</xdr:row>
      <xdr:rowOff>47625</xdr:rowOff>
    </xdr:from>
    <xdr:to>
      <xdr:col>10</xdr:col>
      <xdr:colOff>342900</xdr:colOff>
      <xdr:row>31</xdr:row>
      <xdr:rowOff>47625</xdr:rowOff>
    </xdr:to>
    <xdr:graphicFrame macro="">
      <xdr:nvGraphicFramePr>
        <xdr:cNvPr id="2" name="Graphique 20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123825</xdr:colOff>
      <xdr:row>7</xdr:row>
      <xdr:rowOff>57151</xdr:rowOff>
    </xdr:from>
    <xdr:to>
      <xdr:col>21</xdr:col>
      <xdr:colOff>342900</xdr:colOff>
      <xdr:row>31</xdr:row>
      <xdr:rowOff>38101</xdr:rowOff>
    </xdr:to>
    <xdr:graphicFrame macro="">
      <xdr:nvGraphicFramePr>
        <xdr:cNvPr id="3" name="Graphique 2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9525</xdr:colOff>
      <xdr:row>0</xdr:row>
      <xdr:rowOff>0</xdr:rowOff>
    </xdr:from>
    <xdr:to>
      <xdr:col>3</xdr:col>
      <xdr:colOff>333375</xdr:colOff>
      <xdr:row>4</xdr:row>
      <xdr:rowOff>28575</xdr:rowOff>
    </xdr:to>
    <xdr:pic>
      <xdr:nvPicPr>
        <xdr:cNvPr id="4" name="Image 9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525" y="0"/>
          <a:ext cx="1990725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400050</xdr:colOff>
      <xdr:row>0</xdr:row>
      <xdr:rowOff>0</xdr:rowOff>
    </xdr:from>
    <xdr:to>
      <xdr:col>14</xdr:col>
      <xdr:colOff>238125</xdr:colOff>
      <xdr:row>4</xdr:row>
      <xdr:rowOff>28575</xdr:rowOff>
    </xdr:to>
    <xdr:pic>
      <xdr:nvPicPr>
        <xdr:cNvPr id="5" name="Image 13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096000" y="0"/>
          <a:ext cx="198120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37</xdr:row>
      <xdr:rowOff>66675</xdr:rowOff>
    </xdr:from>
    <xdr:to>
      <xdr:col>10</xdr:col>
      <xdr:colOff>333375</xdr:colOff>
      <xdr:row>63</xdr:row>
      <xdr:rowOff>85725</xdr:rowOff>
    </xdr:to>
    <xdr:graphicFrame macro="">
      <xdr:nvGraphicFramePr>
        <xdr:cNvPr id="6" name="Graphique 22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400050</xdr:colOff>
      <xdr:row>32</xdr:row>
      <xdr:rowOff>0</xdr:rowOff>
    </xdr:from>
    <xdr:to>
      <xdr:col>3</xdr:col>
      <xdr:colOff>238125</xdr:colOff>
      <xdr:row>35</xdr:row>
      <xdr:rowOff>85725</xdr:rowOff>
    </xdr:to>
    <xdr:pic>
      <xdr:nvPicPr>
        <xdr:cNvPr id="7" name="Image 13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00050" y="5581650"/>
          <a:ext cx="1504950" cy="676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400050</xdr:colOff>
      <xdr:row>32</xdr:row>
      <xdr:rowOff>0</xdr:rowOff>
    </xdr:from>
    <xdr:to>
      <xdr:col>14</xdr:col>
      <xdr:colOff>238125</xdr:colOff>
      <xdr:row>35</xdr:row>
      <xdr:rowOff>85725</xdr:rowOff>
    </xdr:to>
    <xdr:pic>
      <xdr:nvPicPr>
        <xdr:cNvPr id="8" name="Image 13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572250" y="5581650"/>
          <a:ext cx="1504950" cy="676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152400</xdr:colOff>
      <xdr:row>37</xdr:row>
      <xdr:rowOff>66675</xdr:rowOff>
    </xdr:from>
    <xdr:to>
      <xdr:col>21</xdr:col>
      <xdr:colOff>371475</xdr:colOff>
      <xdr:row>63</xdr:row>
      <xdr:rowOff>85725</xdr:rowOff>
    </xdr:to>
    <xdr:graphicFrame macro="">
      <xdr:nvGraphicFramePr>
        <xdr:cNvPr id="9" name="Graphique 23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trlProp" Target="../ctrlProps/ctrlProp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pageSetUpPr fitToPage="1"/>
  </sheetPr>
  <dimension ref="A1:DJ107"/>
  <sheetViews>
    <sheetView tabSelected="1" zoomScale="85" zoomScaleNormal="85" workbookViewId="0">
      <pane xSplit="4" ySplit="9" topLeftCell="E97" activePane="bottomRight" state="frozenSplit"/>
      <selection activeCell="C7" sqref="C7"/>
      <selection pane="topRight" activeCell="C7" sqref="C7"/>
      <selection pane="bottomLeft" activeCell="C7" sqref="C7"/>
      <selection pane="bottomRight" activeCell="I113" sqref="I113"/>
    </sheetView>
  </sheetViews>
  <sheetFormatPr baseColWidth="10" defaultColWidth="11.42578125" defaultRowHeight="12.75" x14ac:dyDescent="0.2"/>
  <cols>
    <col min="1" max="1" width="14.7109375" style="2" customWidth="1"/>
    <col min="2" max="3" width="7.7109375" style="2" customWidth="1"/>
    <col min="4" max="4" width="10.28515625" style="2" customWidth="1"/>
    <col min="5" max="5" width="12.7109375" style="2" customWidth="1"/>
    <col min="6" max="6" width="13.7109375" style="2" customWidth="1"/>
    <col min="7" max="7" width="10.7109375" style="2" customWidth="1"/>
    <col min="8" max="8" width="12.85546875" style="2" customWidth="1"/>
    <col min="9" max="9" width="12.5703125" style="2" bestFit="1" customWidth="1"/>
    <col min="10" max="10" width="10.7109375" style="2" customWidth="1"/>
    <col min="11" max="11" width="12.7109375" style="2" customWidth="1"/>
    <col min="12" max="12" width="13.7109375" style="2" customWidth="1"/>
    <col min="13" max="13" width="10.7109375" style="2" customWidth="1"/>
    <col min="14" max="14" width="12.7109375" style="2" customWidth="1"/>
    <col min="15" max="15" width="13.7109375" style="2" customWidth="1"/>
    <col min="16" max="16" width="10.7109375" style="2" customWidth="1"/>
    <col min="17" max="17" width="12.7109375" style="2" customWidth="1"/>
    <col min="18" max="18" width="13.7109375" style="2" customWidth="1"/>
    <col min="19" max="19" width="10.7109375" style="2" customWidth="1"/>
    <col min="20" max="20" width="11.5703125" style="2" bestFit="1" customWidth="1"/>
    <col min="21" max="21" width="12.5703125" style="2" bestFit="1" customWidth="1"/>
    <col min="22" max="22" width="10.7109375" style="2" customWidth="1"/>
    <col min="23" max="23" width="12.7109375" style="2" customWidth="1"/>
    <col min="24" max="24" width="13.7109375" style="2" customWidth="1"/>
    <col min="25" max="25" width="10.7109375" style="2" customWidth="1"/>
    <col min="26" max="34" width="11.7109375" style="2" customWidth="1"/>
    <col min="35" max="39" width="14.7109375" style="2" customWidth="1"/>
    <col min="40" max="40" width="12.7109375" style="2" bestFit="1" customWidth="1"/>
    <col min="41" max="42" width="12.7109375" style="2" customWidth="1"/>
    <col min="43" max="44" width="11.42578125" style="2"/>
    <col min="45" max="65" width="14.140625" style="2" customWidth="1"/>
    <col min="66" max="66" width="11.42578125" style="2"/>
    <col min="67" max="109" width="16.7109375" style="2" customWidth="1"/>
    <col min="110" max="16384" width="11.42578125" style="2"/>
  </cols>
  <sheetData>
    <row r="1" spans="1:109" ht="41.25" customHeight="1" x14ac:dyDescent="0.2">
      <c r="F1" s="126" t="str">
        <f>"CONVERGENCE GVA3 - PM" &amp; PM</f>
        <v>CONVERGENCE GVA3 - PM183.9</v>
      </c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6"/>
      <c r="Y1" s="6"/>
      <c r="AE1" s="6"/>
      <c r="AF1" s="6"/>
      <c r="AG1" s="6"/>
      <c r="AH1" s="6"/>
      <c r="AI1" s="8"/>
      <c r="AJ1" s="8"/>
      <c r="AK1" s="8"/>
      <c r="AL1" s="8"/>
      <c r="AM1" s="8"/>
    </row>
    <row r="2" spans="1:109" x14ac:dyDescent="0.2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</row>
    <row r="3" spans="1:109" x14ac:dyDescent="0.2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</row>
    <row r="4" spans="1:109" x14ac:dyDescent="0.2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BX4" s="15"/>
    </row>
    <row r="5" spans="1:109" ht="13.5" thickBot="1" x14ac:dyDescent="0.2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</row>
    <row r="6" spans="1:109" ht="16.5" thickBot="1" x14ac:dyDescent="0.25">
      <c r="A6" s="36" t="s">
        <v>47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T6" s="14"/>
      <c r="U6" s="14"/>
      <c r="V6" s="16" t="s">
        <v>48</v>
      </c>
      <c r="W6" s="35">
        <v>183.9</v>
      </c>
      <c r="Y6" s="14"/>
      <c r="Z6" s="14"/>
      <c r="AA6" s="14"/>
      <c r="AB6" s="16"/>
      <c r="AC6" s="16"/>
      <c r="AD6" s="14"/>
      <c r="AE6" s="16"/>
      <c r="AF6" s="16"/>
      <c r="AG6" s="16"/>
      <c r="AH6" s="16"/>
      <c r="AI6" s="16"/>
      <c r="AJ6" s="16"/>
      <c r="AK6" s="16"/>
      <c r="AL6" s="16"/>
      <c r="AM6" s="16"/>
    </row>
    <row r="7" spans="1:109" ht="26.25" customHeight="1" thickBot="1" x14ac:dyDescent="0.25">
      <c r="A7" s="36">
        <f>MIN(A10:A42)</f>
        <v>43658</v>
      </c>
      <c r="B7" s="1"/>
      <c r="C7" s="1"/>
      <c r="D7" s="1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</row>
    <row r="8" spans="1:109" ht="16.5" thickBot="1" x14ac:dyDescent="0.25">
      <c r="A8" s="130" t="s">
        <v>11</v>
      </c>
      <c r="B8" s="121" t="s">
        <v>44</v>
      </c>
      <c r="C8" s="121" t="s">
        <v>45</v>
      </c>
      <c r="D8" s="121" t="s">
        <v>46</v>
      </c>
      <c r="E8" s="119" t="s">
        <v>1</v>
      </c>
      <c r="F8" s="119"/>
      <c r="G8" s="120"/>
      <c r="H8" s="119" t="s">
        <v>59</v>
      </c>
      <c r="I8" s="119"/>
      <c r="J8" s="120"/>
      <c r="K8" s="118" t="s">
        <v>14</v>
      </c>
      <c r="L8" s="119"/>
      <c r="M8" s="120"/>
      <c r="N8" s="118" t="s">
        <v>2</v>
      </c>
      <c r="O8" s="119"/>
      <c r="P8" s="120"/>
      <c r="Q8" s="118" t="s">
        <v>15</v>
      </c>
      <c r="R8" s="119"/>
      <c r="S8" s="120"/>
      <c r="T8" s="119" t="s">
        <v>60</v>
      </c>
      <c r="U8" s="119"/>
      <c r="V8" s="120"/>
      <c r="W8" s="118" t="s">
        <v>3</v>
      </c>
      <c r="X8" s="119"/>
      <c r="Y8" s="120"/>
      <c r="AI8" s="127" t="s">
        <v>4</v>
      </c>
      <c r="AJ8" s="128"/>
      <c r="AK8" s="128"/>
      <c r="AL8" s="128"/>
      <c r="AM8" s="128"/>
      <c r="AN8" s="128"/>
      <c r="AO8" s="128"/>
      <c r="AP8" s="128"/>
      <c r="AQ8" s="129"/>
      <c r="AS8" s="118" t="s">
        <v>1</v>
      </c>
      <c r="AT8" s="119"/>
      <c r="AU8" s="120"/>
      <c r="AV8" s="118" t="s">
        <v>59</v>
      </c>
      <c r="AW8" s="119"/>
      <c r="AX8" s="120"/>
      <c r="AY8" s="118" t="s">
        <v>14</v>
      </c>
      <c r="AZ8" s="119"/>
      <c r="BA8" s="120"/>
      <c r="BB8" s="118" t="s">
        <v>2</v>
      </c>
      <c r="BC8" s="119"/>
      <c r="BD8" s="120"/>
      <c r="BE8" s="118" t="s">
        <v>15</v>
      </c>
      <c r="BF8" s="119"/>
      <c r="BG8" s="120"/>
      <c r="BH8" s="118" t="s">
        <v>60</v>
      </c>
      <c r="BI8" s="119"/>
      <c r="BJ8" s="120"/>
      <c r="BK8" s="118" t="s">
        <v>3</v>
      </c>
      <c r="BL8" s="119"/>
      <c r="BM8" s="120"/>
      <c r="BO8" s="118" t="s">
        <v>1</v>
      </c>
      <c r="BP8" s="119"/>
      <c r="BQ8" s="120"/>
      <c r="BR8" s="118" t="s">
        <v>59</v>
      </c>
      <c r="BS8" s="119"/>
      <c r="BT8" s="120"/>
      <c r="BU8" s="118" t="s">
        <v>14</v>
      </c>
      <c r="BV8" s="119"/>
      <c r="BW8" s="120"/>
      <c r="BX8" s="118" t="s">
        <v>2</v>
      </c>
      <c r="BY8" s="119"/>
      <c r="BZ8" s="120"/>
      <c r="CA8" s="118" t="s">
        <v>15</v>
      </c>
      <c r="CB8" s="119"/>
      <c r="CC8" s="120"/>
      <c r="CD8" s="118" t="s">
        <v>60</v>
      </c>
      <c r="CE8" s="119"/>
      <c r="CF8" s="120"/>
      <c r="CG8" s="118" t="s">
        <v>3</v>
      </c>
      <c r="CH8" s="119"/>
      <c r="CI8" s="120"/>
      <c r="CK8" s="118" t="s">
        <v>1</v>
      </c>
      <c r="CL8" s="119"/>
      <c r="CM8" s="120"/>
      <c r="CN8" s="118" t="s">
        <v>59</v>
      </c>
      <c r="CO8" s="119"/>
      <c r="CP8" s="120"/>
      <c r="CQ8" s="118" t="s">
        <v>14</v>
      </c>
      <c r="CR8" s="119"/>
      <c r="CS8" s="120"/>
      <c r="CT8" s="118" t="s">
        <v>2</v>
      </c>
      <c r="CU8" s="119"/>
      <c r="CV8" s="120"/>
      <c r="CW8" s="118" t="s">
        <v>15</v>
      </c>
      <c r="CX8" s="119"/>
      <c r="CY8" s="120"/>
      <c r="CZ8" s="118" t="s">
        <v>60</v>
      </c>
      <c r="DA8" s="119"/>
      <c r="DB8" s="120"/>
      <c r="DC8" s="118" t="s">
        <v>3</v>
      </c>
      <c r="DD8" s="119"/>
      <c r="DE8" s="120"/>
    </row>
    <row r="9" spans="1:109" s="18" customFormat="1" ht="25.5" customHeight="1" thickBot="1" x14ac:dyDescent="0.25">
      <c r="A9" s="131"/>
      <c r="B9" s="122"/>
      <c r="C9" s="122"/>
      <c r="D9" s="122"/>
      <c r="E9" s="5" t="s">
        <v>5</v>
      </c>
      <c r="F9" s="5" t="s">
        <v>6</v>
      </c>
      <c r="G9" s="5" t="s">
        <v>7</v>
      </c>
      <c r="H9" s="5"/>
      <c r="I9" s="5"/>
      <c r="J9" s="5"/>
      <c r="K9" s="5" t="s">
        <v>5</v>
      </c>
      <c r="L9" s="5" t="s">
        <v>6</v>
      </c>
      <c r="M9" s="5" t="s">
        <v>7</v>
      </c>
      <c r="N9" s="17" t="s">
        <v>5</v>
      </c>
      <c r="O9" s="17" t="s">
        <v>6</v>
      </c>
      <c r="P9" s="17" t="s">
        <v>7</v>
      </c>
      <c r="Q9" s="17" t="s">
        <v>5</v>
      </c>
      <c r="R9" s="17" t="s">
        <v>6</v>
      </c>
      <c r="S9" s="17" t="s">
        <v>7</v>
      </c>
      <c r="T9" s="5"/>
      <c r="U9" s="5"/>
      <c r="V9" s="5"/>
      <c r="W9" s="17" t="s">
        <v>5</v>
      </c>
      <c r="X9" s="17" t="s">
        <v>6</v>
      </c>
      <c r="Y9" s="17" t="s">
        <v>7</v>
      </c>
      <c r="Z9" s="17" t="s">
        <v>16</v>
      </c>
      <c r="AA9" s="17" t="s">
        <v>51</v>
      </c>
      <c r="AB9" s="17" t="s">
        <v>19</v>
      </c>
      <c r="AC9" s="17" t="s">
        <v>20</v>
      </c>
      <c r="AD9" s="17" t="s">
        <v>52</v>
      </c>
      <c r="AE9" s="17" t="s">
        <v>17</v>
      </c>
      <c r="AF9" s="17" t="s">
        <v>21</v>
      </c>
      <c r="AG9" s="17" t="s">
        <v>53</v>
      </c>
      <c r="AH9" s="17" t="s">
        <v>18</v>
      </c>
      <c r="AI9" s="60" t="s">
        <v>16</v>
      </c>
      <c r="AJ9" s="59" t="s">
        <v>51</v>
      </c>
      <c r="AK9" s="44" t="s">
        <v>19</v>
      </c>
      <c r="AL9" s="44" t="s">
        <v>20</v>
      </c>
      <c r="AM9" s="59" t="s">
        <v>52</v>
      </c>
      <c r="AN9" s="44" t="s">
        <v>17</v>
      </c>
      <c r="AO9" s="44" t="s">
        <v>21</v>
      </c>
      <c r="AP9" s="59" t="s">
        <v>53</v>
      </c>
      <c r="AQ9" s="61" t="s">
        <v>18</v>
      </c>
      <c r="AS9" s="4" t="s">
        <v>23</v>
      </c>
      <c r="AT9" s="4" t="s">
        <v>24</v>
      </c>
      <c r="AU9" s="4" t="s">
        <v>25</v>
      </c>
      <c r="AV9" s="4" t="s">
        <v>23</v>
      </c>
      <c r="AW9" s="4" t="s">
        <v>24</v>
      </c>
      <c r="AX9" s="4" t="s">
        <v>25</v>
      </c>
      <c r="AY9" s="4" t="s">
        <v>23</v>
      </c>
      <c r="AZ9" s="4" t="s">
        <v>24</v>
      </c>
      <c r="BA9" s="4" t="s">
        <v>25</v>
      </c>
      <c r="BB9" s="4" t="s">
        <v>23</v>
      </c>
      <c r="BC9" s="4" t="s">
        <v>24</v>
      </c>
      <c r="BD9" s="4" t="s">
        <v>25</v>
      </c>
      <c r="BE9" s="4" t="s">
        <v>23</v>
      </c>
      <c r="BF9" s="4" t="s">
        <v>24</v>
      </c>
      <c r="BG9" s="4" t="s">
        <v>25</v>
      </c>
      <c r="BH9" s="4" t="s">
        <v>23</v>
      </c>
      <c r="BI9" s="4" t="s">
        <v>24</v>
      </c>
      <c r="BJ9" s="4" t="s">
        <v>25</v>
      </c>
      <c r="BK9" s="4" t="s">
        <v>23</v>
      </c>
      <c r="BL9" s="4" t="s">
        <v>24</v>
      </c>
      <c r="BM9" s="4" t="s">
        <v>25</v>
      </c>
      <c r="BO9" s="5" t="s">
        <v>0</v>
      </c>
      <c r="BP9" s="5" t="s">
        <v>8</v>
      </c>
      <c r="BQ9" s="5" t="s">
        <v>22</v>
      </c>
      <c r="BR9" s="5" t="s">
        <v>0</v>
      </c>
      <c r="BS9" s="5" t="s">
        <v>8</v>
      </c>
      <c r="BT9" s="5" t="s">
        <v>22</v>
      </c>
      <c r="BU9" s="5" t="s">
        <v>0</v>
      </c>
      <c r="BV9" s="5" t="s">
        <v>8</v>
      </c>
      <c r="BW9" s="5" t="s">
        <v>22</v>
      </c>
      <c r="BX9" s="5" t="s">
        <v>0</v>
      </c>
      <c r="BY9" s="5" t="s">
        <v>8</v>
      </c>
      <c r="BZ9" s="5" t="s">
        <v>22</v>
      </c>
      <c r="CA9" s="5" t="s">
        <v>0</v>
      </c>
      <c r="CB9" s="5" t="s">
        <v>8</v>
      </c>
      <c r="CC9" s="5" t="s">
        <v>22</v>
      </c>
      <c r="CD9" s="5" t="s">
        <v>0</v>
      </c>
      <c r="CE9" s="5" t="s">
        <v>8</v>
      </c>
      <c r="CF9" s="5" t="s">
        <v>22</v>
      </c>
      <c r="CG9" s="5" t="s">
        <v>0</v>
      </c>
      <c r="CH9" s="5" t="s">
        <v>8</v>
      </c>
      <c r="CI9" s="5" t="s">
        <v>22</v>
      </c>
      <c r="CJ9" s="2"/>
      <c r="CK9" s="4" t="s">
        <v>27</v>
      </c>
      <c r="CL9" s="4" t="s">
        <v>26</v>
      </c>
      <c r="CM9" s="4" t="s">
        <v>25</v>
      </c>
      <c r="CN9" s="4" t="s">
        <v>27</v>
      </c>
      <c r="CO9" s="4" t="s">
        <v>26</v>
      </c>
      <c r="CP9" s="4" t="s">
        <v>25</v>
      </c>
      <c r="CQ9" s="4" t="s">
        <v>27</v>
      </c>
      <c r="CR9" s="4" t="s">
        <v>26</v>
      </c>
      <c r="CS9" s="4" t="s">
        <v>25</v>
      </c>
      <c r="CT9" s="4" t="s">
        <v>27</v>
      </c>
      <c r="CU9" s="4" t="s">
        <v>26</v>
      </c>
      <c r="CV9" s="4" t="s">
        <v>25</v>
      </c>
      <c r="CW9" s="4" t="s">
        <v>27</v>
      </c>
      <c r="CX9" s="4" t="s">
        <v>26</v>
      </c>
      <c r="CY9" s="4" t="s">
        <v>25</v>
      </c>
      <c r="CZ9" s="4" t="s">
        <v>27</v>
      </c>
      <c r="DA9" s="4" t="s">
        <v>26</v>
      </c>
      <c r="DB9" s="4" t="s">
        <v>25</v>
      </c>
      <c r="DC9" s="4" t="s">
        <v>27</v>
      </c>
      <c r="DD9" s="4" t="s">
        <v>26</v>
      </c>
      <c r="DE9" s="4" t="s">
        <v>25</v>
      </c>
    </row>
    <row r="10" spans="1:109" ht="29.25" customHeight="1" x14ac:dyDescent="0.2">
      <c r="A10" s="36">
        <v>43658</v>
      </c>
      <c r="B10" s="45">
        <v>0</v>
      </c>
      <c r="C10" s="46">
        <v>186.15</v>
      </c>
      <c r="D10" s="46">
        <f t="shared" ref="D10:D11" si="0">C10-PM</f>
        <v>2.25</v>
      </c>
      <c r="E10" s="47">
        <v>823233.32365000003</v>
      </c>
      <c r="F10" s="47">
        <v>1091513.6768499999</v>
      </c>
      <c r="G10" s="47">
        <v>-124.6653</v>
      </c>
      <c r="H10" s="58">
        <v>823233.29089999991</v>
      </c>
      <c r="I10" s="58">
        <v>1091513.7367500002</v>
      </c>
      <c r="J10" s="58">
        <v>-123.49155</v>
      </c>
      <c r="K10" s="47">
        <v>823233.48344999994</v>
      </c>
      <c r="L10" s="47">
        <v>1091513.1627000002</v>
      </c>
      <c r="M10" s="47">
        <v>-121.8443</v>
      </c>
      <c r="N10" s="47">
        <v>823234.27340000006</v>
      </c>
      <c r="O10" s="47">
        <v>1091511.5097000001</v>
      </c>
      <c r="P10" s="47">
        <v>-121.01705</v>
      </c>
      <c r="Q10" s="47">
        <v>823234.92755000002</v>
      </c>
      <c r="R10" s="47">
        <v>1091510.1047999999</v>
      </c>
      <c r="S10" s="47">
        <v>-121.38905</v>
      </c>
      <c r="T10" s="58">
        <v>823235.53429999994</v>
      </c>
      <c r="U10" s="58">
        <v>1091508.9156499999</v>
      </c>
      <c r="V10" s="58">
        <v>-123.5458</v>
      </c>
      <c r="W10" s="47">
        <v>823235.48459999997</v>
      </c>
      <c r="X10" s="47">
        <v>1091509.0132500001</v>
      </c>
      <c r="Y10" s="47">
        <v>-124.6596</v>
      </c>
      <c r="Z10" s="47">
        <f t="shared" ref="Z10:Z63" si="1">IF(Xhaut="","",SQRT(((Xbasgauche-Xhaut)^2+(Ybasgauche-Yhaut)^2)+(Zbasgauche-Zhaut)^2))</f>
        <v>4.3483666182859571</v>
      </c>
      <c r="AA10" s="58">
        <f t="shared" ref="AA10:AA63" si="2">IF(Xhaut="","",SQRT(((Xintergauche-Xhaut)^2+(Yintergauche-Yhaut)^2)+(Zintergauche-Zhaut)^2))</f>
        <v>3.4710528954872983</v>
      </c>
      <c r="AB10" s="47">
        <f t="shared" ref="AB10:AB63" si="3">IF(Xhaut="","",SQRT(((Xhautgauche-Xhaut)^2+(Yhautgauche-Yhaut)^2)+(Zhautgauche-Zhaut)^2))</f>
        <v>2.0101672979483851</v>
      </c>
      <c r="AC10" s="47">
        <f t="shared" ref="AC10:AC63" si="4">IF(Xhaut="","",SQRT(((Xhautdroit-Xhaut)^2+(Yhautdroit-Yhaut)^2)+(Zhautdroit-Zhaut)^2))</f>
        <v>1.5937503672161057</v>
      </c>
      <c r="AD10" s="58">
        <f t="shared" ref="AD10:AD63" si="5">IF(Xhaut="","",SQRT(((Xinterdroit-Xhaut)^2+(Yinterdroit-Yhaut)^2)+(Zinterdroit-Zhaut)^2))</f>
        <v>3.8358233504256711</v>
      </c>
      <c r="AE10" s="47">
        <f t="shared" ref="AE10:AE63" si="6">IF(Xhaut="","",SQRT(((Xbasdroit-Xhaut)^2+(Ybasdroit-Yhaut)^2)+(Zbasdroit-Zhaut)^2))</f>
        <v>4.5790215706688375</v>
      </c>
      <c r="AF10" s="47">
        <f t="shared" ref="AF10:AF63" si="7">IF(Xhautdroit="","",SQRT(((Xhautdroit-Xhautgauche)^2+(Yhautdroit-Yhautgauche)^2)+(Zhautdroit-Zhautgauche)^2))</f>
        <v>3.4122470287123967</v>
      </c>
      <c r="AG10" s="58">
        <f t="shared" ref="AG10:AG63" si="8">IF(Xinterdroit="","",SQRT(((Xinterdroit-Xintergauche)^2+(Yinterdroit-Yintergauche)^2)+(Zinterdroit-Zintergauche)^2))</f>
        <v>5.3177807246516462</v>
      </c>
      <c r="AH10" s="47">
        <f t="shared" ref="AH10:AH63" si="9">IF(Xbasdroit="","",SQRT(((Xbasdroit-Xbasgauche)^2+(Ybasdroit-Ybasgauche)^2)+(Zbasdroit-Zbasgauche)^2))</f>
        <v>5.1399321348485119</v>
      </c>
      <c r="AI10" s="48">
        <v>0</v>
      </c>
      <c r="AJ10" s="48">
        <v>0</v>
      </c>
      <c r="AK10" s="48">
        <v>0</v>
      </c>
      <c r="AL10" s="48">
        <v>0</v>
      </c>
      <c r="AM10" s="48">
        <v>0</v>
      </c>
      <c r="AN10" s="48">
        <v>0</v>
      </c>
      <c r="AO10" s="48">
        <v>0</v>
      </c>
      <c r="AP10" s="48">
        <v>0</v>
      </c>
      <c r="AQ10" s="48">
        <v>0</v>
      </c>
      <c r="AR10" s="40"/>
      <c r="AS10" s="49">
        <v>0</v>
      </c>
      <c r="AT10" s="49">
        <v>0</v>
      </c>
      <c r="AU10" s="49">
        <v>0</v>
      </c>
      <c r="AV10" s="49">
        <v>0</v>
      </c>
      <c r="AW10" s="49">
        <v>0</v>
      </c>
      <c r="AX10" s="49">
        <v>0</v>
      </c>
      <c r="AY10" s="49">
        <v>0</v>
      </c>
      <c r="AZ10" s="49">
        <v>0</v>
      </c>
      <c r="BA10" s="49">
        <v>0</v>
      </c>
      <c r="BB10" s="49">
        <v>0</v>
      </c>
      <c r="BC10" s="49">
        <v>0</v>
      </c>
      <c r="BD10" s="49">
        <v>0</v>
      </c>
      <c r="BE10" s="49">
        <v>0</v>
      </c>
      <c r="BF10" s="49">
        <v>0</v>
      </c>
      <c r="BG10" s="49">
        <v>0</v>
      </c>
      <c r="BH10" s="49">
        <v>0</v>
      </c>
      <c r="BI10" s="49">
        <v>0</v>
      </c>
      <c r="BJ10" s="49">
        <v>0</v>
      </c>
      <c r="BK10" s="49">
        <v>0</v>
      </c>
      <c r="BL10" s="49">
        <v>0</v>
      </c>
      <c r="BM10" s="49">
        <v>0</v>
      </c>
      <c r="BN10" s="40"/>
      <c r="BO10" s="47">
        <v>183.97074707964336</v>
      </c>
      <c r="BP10" s="47">
        <v>-2.5602276339682075</v>
      </c>
      <c r="BQ10" s="47">
        <v>-0.962127470796446</v>
      </c>
      <c r="BR10" s="47">
        <v>183.96633755589767</v>
      </c>
      <c r="BS10" s="47">
        <v>-2.6283775136069005</v>
      </c>
      <c r="BT10" s="47">
        <v>0.21161662444102092</v>
      </c>
      <c r="BU10" s="47">
        <v>183.89824488549147</v>
      </c>
      <c r="BV10" s="47">
        <v>-2.0266724709854405</v>
      </c>
      <c r="BW10" s="47">
        <v>1.8595975511450717</v>
      </c>
      <c r="BX10" s="47">
        <v>183.9154812024442</v>
      </c>
      <c r="BY10" s="47">
        <v>-0.19471889102891932</v>
      </c>
      <c r="BZ10" s="47">
        <v>2.6866251879755509</v>
      </c>
      <c r="CA10" s="47">
        <v>183.91459365213623</v>
      </c>
      <c r="CB10" s="47">
        <v>1.3550297538471738</v>
      </c>
      <c r="CC10" s="47">
        <v>2.3146340634786355</v>
      </c>
      <c r="CD10" s="47">
        <v>183.96186553313132</v>
      </c>
      <c r="CE10" s="47">
        <v>2.6891246040930854</v>
      </c>
      <c r="CF10" s="47">
        <v>0.15746134466868966</v>
      </c>
      <c r="CG10" s="47">
        <v>183.9580736543823</v>
      </c>
      <c r="CH10" s="47">
        <v>2.5796646951744462</v>
      </c>
      <c r="CI10" s="47">
        <v>-0.95630073654382386</v>
      </c>
      <c r="CJ10" s="40"/>
      <c r="CK10" s="49">
        <v>0</v>
      </c>
      <c r="CL10" s="49">
        <v>0</v>
      </c>
      <c r="CM10" s="49">
        <v>0</v>
      </c>
      <c r="CN10" s="49">
        <v>0</v>
      </c>
      <c r="CO10" s="49">
        <v>0</v>
      </c>
      <c r="CP10" s="49">
        <v>0</v>
      </c>
      <c r="CQ10" s="49">
        <v>0</v>
      </c>
      <c r="CR10" s="49">
        <v>0</v>
      </c>
      <c r="CS10" s="49">
        <v>0</v>
      </c>
      <c r="CT10" s="49">
        <v>0</v>
      </c>
      <c r="CU10" s="49">
        <v>0</v>
      </c>
      <c r="CV10" s="49">
        <v>0</v>
      </c>
      <c r="CW10" s="49">
        <v>0</v>
      </c>
      <c r="CX10" s="49">
        <v>0</v>
      </c>
      <c r="CY10" s="49">
        <v>0</v>
      </c>
      <c r="CZ10" s="49">
        <v>0</v>
      </c>
      <c r="DA10" s="49">
        <v>0</v>
      </c>
      <c r="DB10" s="49">
        <v>0</v>
      </c>
      <c r="DC10" s="49">
        <v>0</v>
      </c>
      <c r="DD10" s="49">
        <v>0</v>
      </c>
      <c r="DE10" s="49">
        <v>0</v>
      </c>
    </row>
    <row r="11" spans="1:109" s="76" customFormat="1" ht="29.25" customHeight="1" x14ac:dyDescent="0.2">
      <c r="A11" s="37">
        <v>43661</v>
      </c>
      <c r="B11" s="29">
        <f t="shared" ref="B11:B37" si="10">A11-A$10</f>
        <v>3</v>
      </c>
      <c r="C11" s="38">
        <v>186.15</v>
      </c>
      <c r="D11" s="38">
        <f t="shared" si="0"/>
        <v>2.25</v>
      </c>
      <c r="E11" s="39">
        <v>823233.326</v>
      </c>
      <c r="F11" s="39">
        <v>1091513.6778999998</v>
      </c>
      <c r="G11" s="39">
        <v>-124.66473333333333</v>
      </c>
      <c r="H11" s="39">
        <v>823233.29249999998</v>
      </c>
      <c r="I11" s="39">
        <v>1091513.7365999999</v>
      </c>
      <c r="J11" s="39">
        <v>-123.4911</v>
      </c>
      <c r="K11" s="39">
        <v>823233.48560000001</v>
      </c>
      <c r="L11" s="39">
        <v>1091513.1625000001</v>
      </c>
      <c r="M11" s="39">
        <v>-121.8443</v>
      </c>
      <c r="N11" s="39">
        <v>823234.27450000006</v>
      </c>
      <c r="O11" s="39">
        <v>1091511.5098999999</v>
      </c>
      <c r="P11" s="39">
        <v>-121.02070000000001</v>
      </c>
      <c r="Q11" s="39">
        <v>823234.92929999996</v>
      </c>
      <c r="R11" s="39">
        <v>1091510.1054</v>
      </c>
      <c r="S11" s="39">
        <v>-121.3897</v>
      </c>
      <c r="T11" s="39">
        <v>823235.53520000004</v>
      </c>
      <c r="U11" s="39">
        <v>1091508.9166999999</v>
      </c>
      <c r="V11" s="39">
        <v>-123.5458</v>
      </c>
      <c r="W11" s="39">
        <v>823235.48659999995</v>
      </c>
      <c r="X11" s="39">
        <v>1091509.0145</v>
      </c>
      <c r="Y11" s="39">
        <v>-124.6593</v>
      </c>
      <c r="Z11" s="39">
        <f t="shared" si="1"/>
        <v>4.3449804583930183</v>
      </c>
      <c r="AA11" s="39">
        <f t="shared" si="2"/>
        <v>3.4677648493152846</v>
      </c>
      <c r="AB11" s="39">
        <f t="shared" si="3"/>
        <v>2.0079260271616843</v>
      </c>
      <c r="AC11" s="39">
        <f t="shared" si="4"/>
        <v>1.5929671339107907</v>
      </c>
      <c r="AD11" s="39">
        <f t="shared" si="5"/>
        <v>3.8327771576203045</v>
      </c>
      <c r="AE11" s="39">
        <f t="shared" si="6"/>
        <v>4.5755455990754506</v>
      </c>
      <c r="AF11" s="39">
        <f t="shared" si="7"/>
        <v>3.411274140318985</v>
      </c>
      <c r="AG11" s="39">
        <f t="shared" si="8"/>
        <v>5.3164021095374183</v>
      </c>
      <c r="AH11" s="39">
        <f t="shared" si="9"/>
        <v>5.1396032374434455</v>
      </c>
      <c r="AI11" s="43">
        <f>IF(Z11="","",(Z11-Z$10)*1000)</f>
        <v>-3.3861598929387782</v>
      </c>
      <c r="AJ11" s="43">
        <f t="shared" ref="AJ11:AQ11" si="11">IF(AA11="","",(AA11-AA$10)*1000)</f>
        <v>-3.2880461720137255</v>
      </c>
      <c r="AK11" s="43">
        <f t="shared" si="11"/>
        <v>-2.2412707867007775</v>
      </c>
      <c r="AL11" s="43">
        <f t="shared" si="11"/>
        <v>-0.78323330531504531</v>
      </c>
      <c r="AM11" s="43">
        <f t="shared" si="11"/>
        <v>-3.0461928053666654</v>
      </c>
      <c r="AN11" s="43">
        <f t="shared" si="11"/>
        <v>-3.4759715933869728</v>
      </c>
      <c r="AO11" s="43">
        <f t="shared" si="11"/>
        <v>-0.97288839341169719</v>
      </c>
      <c r="AP11" s="43">
        <f t="shared" si="11"/>
        <v>-1.3786151142278769</v>
      </c>
      <c r="AQ11" s="43">
        <f t="shared" si="11"/>
        <v>-0.328897405066364</v>
      </c>
      <c r="AR11" s="40"/>
      <c r="AS11" s="43">
        <f t="shared" ref="AS11:BM11" si="12">IF(E11="","",(E11-E$10)*1000)</f>
        <v>2.3499999660998583</v>
      </c>
      <c r="AT11" s="43">
        <f t="shared" si="12"/>
        <v>1.0499998461455107</v>
      </c>
      <c r="AU11" s="43">
        <f t="shared" si="12"/>
        <v>0.56666666667126719</v>
      </c>
      <c r="AV11" s="43">
        <f t="shared" si="12"/>
        <v>1.6000000759959221</v>
      </c>
      <c r="AW11" s="43">
        <f t="shared" si="12"/>
        <v>-0.15000021085143089</v>
      </c>
      <c r="AX11" s="43">
        <f t="shared" si="12"/>
        <v>0.4500000000007276</v>
      </c>
      <c r="AY11" s="43">
        <f t="shared" si="12"/>
        <v>2.1500000730156898</v>
      </c>
      <c r="AZ11" s="43">
        <f t="shared" si="12"/>
        <v>-0.20000012591481209</v>
      </c>
      <c r="BA11" s="43">
        <f t="shared" si="12"/>
        <v>0</v>
      </c>
      <c r="BB11" s="43">
        <f t="shared" si="12"/>
        <v>1.0999999940395355</v>
      </c>
      <c r="BC11" s="43">
        <f t="shared" si="12"/>
        <v>0.19999989308416843</v>
      </c>
      <c r="BD11" s="43">
        <f t="shared" si="12"/>
        <v>-3.6500000000074806</v>
      </c>
      <c r="BE11" s="43">
        <f t="shared" si="12"/>
        <v>1.7499999376013875</v>
      </c>
      <c r="BF11" s="43">
        <f t="shared" si="12"/>
        <v>0.60000014491379261</v>
      </c>
      <c r="BG11" s="43">
        <f t="shared" si="12"/>
        <v>-0.65000000000736691</v>
      </c>
      <c r="BH11" s="43">
        <f t="shared" si="12"/>
        <v>0.90000010095536709</v>
      </c>
      <c r="BI11" s="43">
        <f t="shared" si="12"/>
        <v>1.0500000789761543</v>
      </c>
      <c r="BJ11" s="43">
        <f t="shared" si="12"/>
        <v>0</v>
      </c>
      <c r="BK11" s="43">
        <f t="shared" si="12"/>
        <v>1.9999999785795808</v>
      </c>
      <c r="BL11" s="43">
        <f t="shared" si="12"/>
        <v>1.2499999720603228</v>
      </c>
      <c r="BM11" s="43">
        <f t="shared" si="12"/>
        <v>0.29999999999574811</v>
      </c>
      <c r="BN11" s="40"/>
      <c r="BO11" s="39">
        <v>183.97325420328525</v>
      </c>
      <c r="BP11" s="39">
        <v>-2.560161826099097</v>
      </c>
      <c r="BQ11" s="39">
        <v>-0.96158587536618256</v>
      </c>
      <c r="BR11" s="39">
        <v>183.96770309268447</v>
      </c>
      <c r="BS11" s="39">
        <v>-2.6275200118839046</v>
      </c>
      <c r="BT11" s="39">
        <v>0.2121029690731433</v>
      </c>
      <c r="BU11" s="39">
        <v>183.90006356847547</v>
      </c>
      <c r="BV11" s="39">
        <v>-2.025603643433779</v>
      </c>
      <c r="BW11" s="39">
        <v>1.8595793643152376</v>
      </c>
      <c r="BX11" s="39">
        <v>183.91656265415523</v>
      </c>
      <c r="BY11" s="39">
        <v>-0.19443523208403701</v>
      </c>
      <c r="BZ11" s="39">
        <v>2.683014373458434</v>
      </c>
      <c r="CA11" s="39">
        <v>183.91638793970364</v>
      </c>
      <c r="CB11" s="39">
        <v>1.3552044870748174</v>
      </c>
      <c r="CC11" s="39">
        <v>2.3140161206029575</v>
      </c>
      <c r="CD11" s="39">
        <v>183.96310384794253</v>
      </c>
      <c r="CE11" s="39">
        <v>2.6885986989089523</v>
      </c>
      <c r="CF11" s="39">
        <v>0.15744896152057208</v>
      </c>
      <c r="CG11" s="39">
        <v>183.96039342089739</v>
      </c>
      <c r="CH11" s="39">
        <v>2.579422448674912</v>
      </c>
      <c r="CI11" s="39">
        <v>-0.95602393420898579</v>
      </c>
      <c r="CJ11" s="40"/>
      <c r="CK11" s="43">
        <f t="shared" ref="CK11:DE11" si="13">IF(BO11="","",(BO11-BO$10)*1000)</f>
        <v>2.5071236418909848</v>
      </c>
      <c r="CL11" s="43">
        <f t="shared" si="13"/>
        <v>6.5807869110479089E-2</v>
      </c>
      <c r="CM11" s="43">
        <f t="shared" si="13"/>
        <v>0.54159543026344181</v>
      </c>
      <c r="CN11" s="43">
        <f t="shared" si="13"/>
        <v>1.3655367868068424</v>
      </c>
      <c r="CO11" s="43">
        <f t="shared" si="13"/>
        <v>0.85750172299592364</v>
      </c>
      <c r="CP11" s="43">
        <f t="shared" si="13"/>
        <v>0.48634463212238188</v>
      </c>
      <c r="CQ11" s="43">
        <f t="shared" si="13"/>
        <v>1.8186829840090013</v>
      </c>
      <c r="CR11" s="43">
        <f t="shared" si="13"/>
        <v>1.0688275516614887</v>
      </c>
      <c r="CS11" s="43">
        <f t="shared" si="13"/>
        <v>-1.8186829834121454E-2</v>
      </c>
      <c r="CT11" s="43">
        <f t="shared" si="13"/>
        <v>1.0814517110304678</v>
      </c>
      <c r="CU11" s="43">
        <f t="shared" si="13"/>
        <v>0.28365894488230348</v>
      </c>
      <c r="CV11" s="43">
        <f t="shared" si="13"/>
        <v>-3.6108145171169781</v>
      </c>
      <c r="CW11" s="43">
        <f t="shared" si="13"/>
        <v>1.7942875674066272</v>
      </c>
      <c r="CX11" s="43">
        <f t="shared" si="13"/>
        <v>0.17473322764360866</v>
      </c>
      <c r="CY11" s="43">
        <f t="shared" si="13"/>
        <v>-0.61794287567806805</v>
      </c>
      <c r="CZ11" s="43">
        <f t="shared" si="13"/>
        <v>1.2383148112178333</v>
      </c>
      <c r="DA11" s="43">
        <f t="shared" si="13"/>
        <v>-0.52590518413309084</v>
      </c>
      <c r="DB11" s="43">
        <f t="shared" si="13"/>
        <v>-1.2383148117578457E-2</v>
      </c>
      <c r="DC11" s="43">
        <f t="shared" si="13"/>
        <v>2.3197665150860303</v>
      </c>
      <c r="DD11" s="43">
        <f t="shared" si="13"/>
        <v>-0.2422464995341933</v>
      </c>
      <c r="DE11" s="43">
        <f t="shared" si="13"/>
        <v>0.2768023348380666</v>
      </c>
    </row>
    <row r="12" spans="1:109" s="76" customFormat="1" ht="29.25" customHeight="1" x14ac:dyDescent="0.2">
      <c r="A12" s="37">
        <v>43662</v>
      </c>
      <c r="B12" s="29">
        <f t="shared" si="10"/>
        <v>4</v>
      </c>
      <c r="C12" s="38">
        <v>187.2</v>
      </c>
      <c r="D12" s="38">
        <f t="shared" ref="D12" si="14">C12-PM</f>
        <v>3.2999999999999829</v>
      </c>
      <c r="E12" s="39">
        <v>823233.32570000004</v>
      </c>
      <c r="F12" s="39">
        <v>1091513.6780000001</v>
      </c>
      <c r="G12" s="39">
        <v>-124.66419999999999</v>
      </c>
      <c r="H12" s="39">
        <v>823233.29299999995</v>
      </c>
      <c r="I12" s="39">
        <v>1091513.7378</v>
      </c>
      <c r="J12" s="39">
        <v>-123.49039999999999</v>
      </c>
      <c r="K12" s="39">
        <v>823233.48560000001</v>
      </c>
      <c r="L12" s="39">
        <v>1091513.1632000001</v>
      </c>
      <c r="M12" s="39">
        <v>-121.8442</v>
      </c>
      <c r="N12" s="39">
        <v>823234.27410000004</v>
      </c>
      <c r="O12" s="39">
        <v>1091511.51</v>
      </c>
      <c r="P12" s="39">
        <v>-121.0236</v>
      </c>
      <c r="Q12" s="39">
        <v>823234.92859999998</v>
      </c>
      <c r="R12" s="39">
        <v>1091510.1061</v>
      </c>
      <c r="S12" s="39">
        <v>-121.3913</v>
      </c>
      <c r="T12" s="39">
        <v>823235.53500000003</v>
      </c>
      <c r="U12" s="39">
        <v>1091508.9188000001</v>
      </c>
      <c r="V12" s="39">
        <v>-123.545</v>
      </c>
      <c r="W12" s="39">
        <v>823235.48529999994</v>
      </c>
      <c r="X12" s="39">
        <v>1091509.0160999999</v>
      </c>
      <c r="Y12" s="39">
        <v>-124.6587</v>
      </c>
      <c r="Z12" s="39">
        <f t="shared" si="1"/>
        <v>4.3420795617149714</v>
      </c>
      <c r="AA12" s="39">
        <f t="shared" si="2"/>
        <v>3.4656532270482963</v>
      </c>
      <c r="AB12" s="39">
        <f t="shared" si="3"/>
        <v>2.0070343420661234</v>
      </c>
      <c r="AC12" s="39">
        <f t="shared" si="4"/>
        <v>1.5920140545938897</v>
      </c>
      <c r="AD12" s="39">
        <f t="shared" si="5"/>
        <v>3.8290526517021992</v>
      </c>
      <c r="AE12" s="39">
        <f t="shared" si="6"/>
        <v>4.5717058807793993</v>
      </c>
      <c r="AF12" s="39">
        <f t="shared" si="7"/>
        <v>3.4107517969622387</v>
      </c>
      <c r="AG12" s="39">
        <f t="shared" si="8"/>
        <v>5.3152898471703995</v>
      </c>
      <c r="AH12" s="39">
        <f t="shared" si="9"/>
        <v>5.1378219141231405</v>
      </c>
      <c r="AI12" s="43">
        <f t="shared" ref="AI12:AI14" si="15">IF(Z12="","",(Z12-Z$10)*1000)</f>
        <v>-6.2870565709856052</v>
      </c>
      <c r="AJ12" s="43">
        <f t="shared" ref="AJ12:AJ14" si="16">IF(AA12="","",(AA12-AA$10)*1000)</f>
        <v>-5.399668439002081</v>
      </c>
      <c r="AK12" s="43">
        <f t="shared" ref="AK12:AK14" si="17">IF(AB12="","",(AB12-AB$10)*1000)</f>
        <v>-3.132955882261701</v>
      </c>
      <c r="AL12" s="43">
        <f t="shared" ref="AL12:AL14" si="18">IF(AC12="","",(AC12-AC$10)*1000)</f>
        <v>-1.7363126222160741</v>
      </c>
      <c r="AM12" s="43">
        <f t="shared" ref="AM12:AM14" si="19">IF(AD12="","",(AD12-AD$10)*1000)</f>
        <v>-6.7706987234719129</v>
      </c>
      <c r="AN12" s="43">
        <f t="shared" ref="AN12:AN16" si="20">IF(AE12="","",(AE12-AE$10)*1000)</f>
        <v>-7.3156898894382039</v>
      </c>
      <c r="AO12" s="43">
        <f t="shared" ref="AO12:AO14" si="21">IF(AF12="","",(AF12-AF$10)*1000)</f>
        <v>-1.495231750157977</v>
      </c>
      <c r="AP12" s="43">
        <f t="shared" ref="AP12:AP14" si="22">IF(AG12="","",(AG12-AG$10)*1000)</f>
        <v>-2.4908774812466561</v>
      </c>
      <c r="AQ12" s="43">
        <f t="shared" ref="AQ12:AQ14" si="23">IF(AH12="","",(AH12-AH$10)*1000)</f>
        <v>-2.1102207253713701</v>
      </c>
      <c r="AR12" s="40"/>
      <c r="AS12" s="43">
        <f t="shared" ref="AS12:AS14" si="24">IF(E12="","",(E12-E$10)*1000)</f>
        <v>2.0500000100582838</v>
      </c>
      <c r="AT12" s="43">
        <f t="shared" ref="AT12:AT14" si="25">IF(F12="","",(F12-F$10)*1000)</f>
        <v>1.1500001419335604</v>
      </c>
      <c r="AU12" s="43">
        <f t="shared" ref="AU12:AU14" si="26">IF(G12="","",(G12-G$10)*1000)</f>
        <v>1.1000000000080945</v>
      </c>
      <c r="AV12" s="43">
        <f t="shared" ref="AV12:AV14" si="27">IF(H12="","",(H12-H$10)*1000)</f>
        <v>2.1000000415369868</v>
      </c>
      <c r="AW12" s="43">
        <f t="shared" ref="AW12:AW14" si="28">IF(I12="","",(I12-I$10)*1000)</f>
        <v>1.0499998461455107</v>
      </c>
      <c r="AX12" s="43">
        <f t="shared" ref="AX12:AX14" si="29">IF(J12="","",(J12-J$10)*1000)</f>
        <v>1.1500000000097543</v>
      </c>
      <c r="AY12" s="43">
        <f t="shared" ref="AY12:AY14" si="30">IF(K12="","",(K12-K$10)*1000)</f>
        <v>2.1500000730156898</v>
      </c>
      <c r="AZ12" s="43">
        <f t="shared" ref="AZ12:AZ14" si="31">IF(L12="","",(L12-L$10)*1000)</f>
        <v>0.49999984912574291</v>
      </c>
      <c r="BA12" s="43">
        <f t="shared" ref="BA12:BA14" si="32">IF(M12="","",(M12-M$10)*1000)</f>
        <v>0.10000000000331966</v>
      </c>
      <c r="BB12" s="43">
        <f t="shared" ref="BB12:BB14" si="33">IF(N12="","",(N12-N$10)*1000)</f>
        <v>0.699999975040555</v>
      </c>
      <c r="BC12" s="43">
        <f t="shared" ref="BC12:BC14" si="34">IF(O12="","",(O12-O$10)*1000)</f>
        <v>0.29999995604157448</v>
      </c>
      <c r="BD12" s="43">
        <f t="shared" ref="BD12:BD14" si="35">IF(P12="","",(P12-P$10)*1000)</f>
        <v>-6.5500000000042746</v>
      </c>
      <c r="BE12" s="43">
        <f t="shared" ref="BE12:BE14" si="36">IF(Q12="","",(Q12-Q$10)*1000)</f>
        <v>1.0499999625608325</v>
      </c>
      <c r="BF12" s="43">
        <f t="shared" ref="BF12:BF14" si="37">IF(R12="","",(R12-R$10)*1000)</f>
        <v>1.3000001199543476</v>
      </c>
      <c r="BG12" s="43">
        <f t="shared" ref="BG12:BG14" si="38">IF(S12="","",(S12-S$10)*1000)</f>
        <v>-2.250000000003638</v>
      </c>
      <c r="BH12" s="43">
        <f t="shared" ref="BH12:BH14" si="39">IF(T12="","",(T12-T$10)*1000)</f>
        <v>0.70000009145587683</v>
      </c>
      <c r="BI12" s="43">
        <f t="shared" ref="BI12:BI14" si="40">IF(U12="","",(U12-U$10)*1000)</f>
        <v>3.150000236928463</v>
      </c>
      <c r="BJ12" s="43">
        <f t="shared" ref="BJ12:BJ14" si="41">IF(V12="","",(V12-V$10)*1000)</f>
        <v>0.79999999999813554</v>
      </c>
      <c r="BK12" s="43">
        <f t="shared" ref="BK12:BK14" si="42">IF(W12="","",(W12-W$10)*1000)</f>
        <v>0.699999975040555</v>
      </c>
      <c r="BL12" s="43">
        <f t="shared" ref="BL12:BL14" si="43">IF(X12="","",(X12-X$10)*1000)</f>
        <v>2.8499998152256012</v>
      </c>
      <c r="BM12" s="43">
        <f t="shared" ref="BM12:BM14" si="44">IF(Y12="","",(Y12-Y$10)*1000)</f>
        <v>0.90000000000145519</v>
      </c>
      <c r="BN12" s="40"/>
      <c r="BO12" s="39">
        <v>183.97302458103638</v>
      </c>
      <c r="BP12" s="39">
        <v>-2.5603792511565504</v>
      </c>
      <c r="BQ12" s="39">
        <v>-0.96105024581035536</v>
      </c>
      <c r="BR12" s="39">
        <v>183.96866342111403</v>
      </c>
      <c r="BS12" s="39">
        <v>-2.6283962364040581</v>
      </c>
      <c r="BT12" s="39">
        <v>0.21279336578886898</v>
      </c>
      <c r="BU12" s="39">
        <v>183.90035942487202</v>
      </c>
      <c r="BV12" s="39">
        <v>-2.0262380478455539</v>
      </c>
      <c r="BW12" s="39">
        <v>1.8596764057512729</v>
      </c>
      <c r="BX12" s="39">
        <v>183.91624240254595</v>
      </c>
      <c r="BY12" s="39">
        <v>-0.19469492215808112</v>
      </c>
      <c r="BZ12" s="39">
        <v>2.6801175759745348</v>
      </c>
      <c r="CA12" s="39">
        <v>183.91604939168835</v>
      </c>
      <c r="CB12" s="39">
        <v>1.3542742262665102</v>
      </c>
      <c r="CC12" s="39">
        <v>2.312419506083117</v>
      </c>
      <c r="CD12" s="39">
        <v>183.96381015881201</v>
      </c>
      <c r="CE12" s="39">
        <v>2.6866109550564992</v>
      </c>
      <c r="CF12" s="39">
        <v>0.15824189841187319</v>
      </c>
      <c r="CG12" s="39">
        <v>183.95989148438014</v>
      </c>
      <c r="CH12" s="39">
        <v>2.5774229339237844</v>
      </c>
      <c r="CI12" s="39">
        <v>-0.95541891484380415</v>
      </c>
      <c r="CJ12" s="40"/>
      <c r="CK12" s="43">
        <f t="shared" ref="CK12:CK13" si="45">IF(BO12="","",(BO12-BO$10)*1000)</f>
        <v>2.2775013930242949</v>
      </c>
      <c r="CL12" s="43">
        <f t="shared" ref="CL12:CL13" si="46">IF(BP12="","",(BP12-BP$10)*1000)</f>
        <v>-0.15161718834288962</v>
      </c>
      <c r="CM12" s="43">
        <f t="shared" ref="CM12:CM13" si="47">IF(BQ12="","",(BQ12-BQ$10)*1000)</f>
        <v>1.0772249860906413</v>
      </c>
      <c r="CN12" s="43">
        <f t="shared" ref="CN12:CN13" si="48">IF(BR12="","",(BR12-BR$10)*1000)</f>
        <v>2.3258652163633542</v>
      </c>
      <c r="CO12" s="43">
        <f t="shared" ref="CO12:CO13" si="49">IF(BS12="","",(BS12-BS$10)*1000)</f>
        <v>-1.8722797157533222E-2</v>
      </c>
      <c r="CP12" s="43">
        <f t="shared" ref="CP12:CP13" si="50">IF(BT12="","",(BT12-BT$10)*1000)</f>
        <v>1.1767413478480648</v>
      </c>
      <c r="CQ12" s="43">
        <f t="shared" ref="CQ12:CQ13" si="51">IF(BU12="","",(BU12-BU$10)*1000)</f>
        <v>2.1145393805568347</v>
      </c>
      <c r="CR12" s="43">
        <f t="shared" ref="CR12:CR13" si="52">IF(BV12="","",(BV12-BV$10)*1000)</f>
        <v>0.43442313988650838</v>
      </c>
      <c r="CS12" s="43">
        <f t="shared" ref="CS12:CS13" si="53">IF(BW12="","",(BW12-BW$10)*1000)</f>
        <v>7.8854606201161914E-2</v>
      </c>
      <c r="CT12" s="43">
        <f t="shared" ref="CT12:CT13" si="54">IF(BX12="","",(BX12-BX$10)*1000)</f>
        <v>0.76120010174918207</v>
      </c>
      <c r="CU12" s="43">
        <f t="shared" ref="CU12:CU13" si="55">IF(BY12="","",(BY12-BY$10)*1000)</f>
        <v>2.3968870838192435E-2</v>
      </c>
      <c r="CV12" s="43">
        <f t="shared" ref="CV12:CV13" si="56">IF(BZ12="","",(BZ12-BZ$10)*1000)</f>
        <v>-6.5076120010161276</v>
      </c>
      <c r="CW12" s="43">
        <f t="shared" ref="CW12:CW13" si="57">IF(CA12="","",(CA12-CA$10)*1000)</f>
        <v>1.4557395521137551</v>
      </c>
      <c r="CX12" s="43">
        <f t="shared" ref="CX12:CX13" si="58">IF(CB12="","",(CB12-CB$10)*1000)</f>
        <v>-0.75552758066366188</v>
      </c>
      <c r="CY12" s="43">
        <f t="shared" ref="CY12:CY13" si="59">IF(CC12="","",(CC12-CC$10)*1000)</f>
        <v>-2.2145573955185682</v>
      </c>
      <c r="CZ12" s="43">
        <f t="shared" ref="CZ12:CZ13" si="60">IF(CD12="","",(CD12-CD$10)*1000)</f>
        <v>1.9446256806929796</v>
      </c>
      <c r="DA12" s="43">
        <f t="shared" ref="DA12:DA13" si="61">IF(CE12="","",(CE12-CE$10)*1000)</f>
        <v>-2.5136490365862407</v>
      </c>
      <c r="DB12" s="43">
        <f t="shared" ref="DB12:DB13" si="62">IF(CF12="","",(CF12-CF$10)*1000)</f>
        <v>0.78055374318353188</v>
      </c>
      <c r="DC12" s="43">
        <f t="shared" ref="DC12:DC13" si="63">IF(CG12="","",(CG12-CG$10)*1000)</f>
        <v>1.817829997833087</v>
      </c>
      <c r="DD12" s="43">
        <f t="shared" ref="DD12:DD13" si="64">IF(CH12="","",(CH12-CH$10)*1000)</f>
        <v>-2.2417612506617779</v>
      </c>
      <c r="DE12" s="43">
        <f t="shared" ref="DE12:DE13" si="65">IF(CI12="","",(CI12-CI$10)*1000)</f>
        <v>0.88182170001971372</v>
      </c>
    </row>
    <row r="13" spans="1:109" s="76" customFormat="1" ht="29.25" customHeight="1" x14ac:dyDescent="0.2">
      <c r="A13" s="37">
        <v>43663</v>
      </c>
      <c r="B13" s="29">
        <f t="shared" si="10"/>
        <v>5</v>
      </c>
      <c r="C13" s="38">
        <v>188.17</v>
      </c>
      <c r="D13" s="38">
        <f t="shared" ref="D13" si="66">C13-PM</f>
        <v>4.2699999999999818</v>
      </c>
      <c r="E13" s="39">
        <v>823233.32810000004</v>
      </c>
      <c r="F13" s="39">
        <v>1091513.6757</v>
      </c>
      <c r="G13" s="39">
        <v>-124.66370000000001</v>
      </c>
      <c r="H13" s="39">
        <v>823233.29509999999</v>
      </c>
      <c r="I13" s="39">
        <v>1091513.7350999999</v>
      </c>
      <c r="J13" s="39">
        <v>-123.4902</v>
      </c>
      <c r="K13" s="39">
        <v>823233.48759999999</v>
      </c>
      <c r="L13" s="39">
        <v>1091513.1605</v>
      </c>
      <c r="M13" s="39">
        <v>-121.8442</v>
      </c>
      <c r="N13" s="39">
        <v>823234.2746</v>
      </c>
      <c r="O13" s="39">
        <v>1091511.5071</v>
      </c>
      <c r="P13" s="39">
        <v>-121.0273</v>
      </c>
      <c r="Q13" s="39">
        <v>823234.92940000002</v>
      </c>
      <c r="R13" s="39">
        <v>1091510.1041000001</v>
      </c>
      <c r="S13" s="39">
        <v>-121.39319999999999</v>
      </c>
      <c r="T13" s="39">
        <v>823235.53630000004</v>
      </c>
      <c r="U13" s="39">
        <v>1091508.9173999999</v>
      </c>
      <c r="V13" s="39">
        <v>-123.5448</v>
      </c>
      <c r="W13" s="39">
        <v>823235.48629999999</v>
      </c>
      <c r="X13" s="39">
        <v>1091509.0146999999</v>
      </c>
      <c r="Y13" s="39">
        <v>-124.6585</v>
      </c>
      <c r="Z13" s="39">
        <f t="shared" si="1"/>
        <v>4.3384436345100932</v>
      </c>
      <c r="AA13" s="39">
        <f t="shared" si="2"/>
        <v>3.4625540659352518</v>
      </c>
      <c r="AB13" s="39">
        <f t="shared" si="3"/>
        <v>2.0051000398630201</v>
      </c>
      <c r="AC13" s="39">
        <f t="shared" si="4"/>
        <v>1.5909289267079121</v>
      </c>
      <c r="AD13" s="39">
        <f t="shared" si="5"/>
        <v>3.8257338159812133</v>
      </c>
      <c r="AE13" s="39">
        <f t="shared" si="6"/>
        <v>4.5679194487738286</v>
      </c>
      <c r="AF13" s="39">
        <f t="shared" si="7"/>
        <v>3.4093649261089305</v>
      </c>
      <c r="AG13" s="39">
        <f t="shared" si="8"/>
        <v>5.3137737899114725</v>
      </c>
      <c r="AH13" s="39">
        <f t="shared" si="9"/>
        <v>5.1364165797293255</v>
      </c>
      <c r="AI13" s="43">
        <f t="shared" si="15"/>
        <v>-9.9229837758638695</v>
      </c>
      <c r="AJ13" s="43">
        <f t="shared" si="16"/>
        <v>-8.4988295520465051</v>
      </c>
      <c r="AK13" s="43">
        <f t="shared" si="17"/>
        <v>-5.0672580853650118</v>
      </c>
      <c r="AL13" s="43">
        <f t="shared" si="18"/>
        <v>-2.8214405081936622</v>
      </c>
      <c r="AM13" s="43">
        <f t="shared" si="19"/>
        <v>-10.089534444457815</v>
      </c>
      <c r="AN13" s="43">
        <f t="shared" si="20"/>
        <v>-11.102121895008921</v>
      </c>
      <c r="AO13" s="43">
        <f t="shared" si="21"/>
        <v>-2.8821026034662189</v>
      </c>
      <c r="AP13" s="43">
        <f t="shared" si="22"/>
        <v>-4.0069347401736621</v>
      </c>
      <c r="AQ13" s="43">
        <f t="shared" si="23"/>
        <v>-3.515555119186331</v>
      </c>
      <c r="AR13" s="40"/>
      <c r="AS13" s="43">
        <f t="shared" si="24"/>
        <v>4.4500000076368451</v>
      </c>
      <c r="AT13" s="43">
        <f t="shared" si="25"/>
        <v>-1.1499999091029167</v>
      </c>
      <c r="AU13" s="43">
        <f t="shared" si="26"/>
        <v>1.5999999999962711</v>
      </c>
      <c r="AV13" s="43">
        <f t="shared" si="27"/>
        <v>4.2000000830739737</v>
      </c>
      <c r="AW13" s="43">
        <f t="shared" si="28"/>
        <v>-1.6500002238899469</v>
      </c>
      <c r="AX13" s="43">
        <f t="shared" si="29"/>
        <v>1.3500000000021828</v>
      </c>
      <c r="AY13" s="43">
        <f t="shared" si="30"/>
        <v>4.1500000515952706</v>
      </c>
      <c r="AZ13" s="43">
        <f t="shared" si="31"/>
        <v>-2.2000002209097147</v>
      </c>
      <c r="BA13" s="43">
        <f t="shared" si="32"/>
        <v>0.10000000000331966</v>
      </c>
      <c r="BB13" s="43">
        <f t="shared" si="33"/>
        <v>1.1999999405816197</v>
      </c>
      <c r="BC13" s="43">
        <f t="shared" si="34"/>
        <v>-2.6000000070780516</v>
      </c>
      <c r="BD13" s="43">
        <f t="shared" si="35"/>
        <v>-10.249999999999204</v>
      </c>
      <c r="BE13" s="43">
        <f t="shared" si="36"/>
        <v>1.8500000005587935</v>
      </c>
      <c r="BF13" s="43">
        <f t="shared" si="37"/>
        <v>-0.69999974220991135</v>
      </c>
      <c r="BG13" s="43">
        <f t="shared" si="38"/>
        <v>-4.1499999999956572</v>
      </c>
      <c r="BH13" s="43">
        <f t="shared" si="39"/>
        <v>2.0000000949949026</v>
      </c>
      <c r="BI13" s="43">
        <f t="shared" si="40"/>
        <v>1.7500000540167093</v>
      </c>
      <c r="BJ13" s="43">
        <f t="shared" si="41"/>
        <v>1.0000000000047748</v>
      </c>
      <c r="BK13" s="43">
        <f t="shared" si="42"/>
        <v>1.7000000225380063</v>
      </c>
      <c r="BL13" s="43">
        <f t="shared" si="43"/>
        <v>1.4499998651444912</v>
      </c>
      <c r="BM13" s="43">
        <f t="shared" si="44"/>
        <v>1.0999999999938836</v>
      </c>
      <c r="BN13" s="40"/>
      <c r="BO13" s="39">
        <v>183.97422758230738</v>
      </c>
      <c r="BP13" s="39">
        <v>-2.5572804145740378</v>
      </c>
      <c r="BQ13" s="39">
        <v>-0.9605622758230794</v>
      </c>
      <c r="BR13" s="39">
        <v>183.96942547399806</v>
      </c>
      <c r="BS13" s="39">
        <v>-2.6250616785691276</v>
      </c>
      <c r="BT13" s="39">
        <v>0.21298574526001346</v>
      </c>
      <c r="BU13" s="39">
        <v>183.90103084849406</v>
      </c>
      <c r="BV13" s="39">
        <v>-2.0229457552382422</v>
      </c>
      <c r="BW13" s="39">
        <v>1.8596696915150517</v>
      </c>
      <c r="BX13" s="39">
        <v>183.91546985772561</v>
      </c>
      <c r="BY13" s="39">
        <v>-0.1918553492584974</v>
      </c>
      <c r="BZ13" s="39">
        <v>2.6764253014227393</v>
      </c>
      <c r="CA13" s="39">
        <v>183.91592912140018</v>
      </c>
      <c r="CB13" s="39">
        <v>1.3564249318640684</v>
      </c>
      <c r="CC13" s="39">
        <v>2.3105207087860009</v>
      </c>
      <c r="CD13" s="39">
        <v>183.96439662558768</v>
      </c>
      <c r="CE13" s="39">
        <v>2.6884292117057176</v>
      </c>
      <c r="CF13" s="39">
        <v>0.15843603374412396</v>
      </c>
      <c r="CG13" s="39">
        <v>183.96020606367932</v>
      </c>
      <c r="CH13" s="39">
        <v>2.5791143947775268</v>
      </c>
      <c r="CI13" s="39">
        <v>-0.9552220606367996</v>
      </c>
      <c r="CJ13" s="40"/>
      <c r="CK13" s="43">
        <f t="shared" si="45"/>
        <v>3.4805026640185588</v>
      </c>
      <c r="CL13" s="43">
        <f t="shared" si="46"/>
        <v>2.9472193941697533</v>
      </c>
      <c r="CM13" s="43">
        <f t="shared" si="47"/>
        <v>1.5651949733666015</v>
      </c>
      <c r="CN13" s="43">
        <f t="shared" si="48"/>
        <v>3.0879181003911071</v>
      </c>
      <c r="CO13" s="43">
        <f t="shared" si="49"/>
        <v>3.3158350377728851</v>
      </c>
      <c r="CP13" s="43">
        <f t="shared" si="50"/>
        <v>1.3691208189925419</v>
      </c>
      <c r="CQ13" s="43">
        <f t="shared" si="51"/>
        <v>2.7859630025943716</v>
      </c>
      <c r="CR13" s="43">
        <f t="shared" si="52"/>
        <v>3.7267157471982948</v>
      </c>
      <c r="CS13" s="43">
        <f t="shared" si="53"/>
        <v>7.2140369979933894E-2</v>
      </c>
      <c r="CT13" s="43">
        <f t="shared" si="54"/>
        <v>-1.1344718586769886E-2</v>
      </c>
      <c r="CU13" s="43">
        <f t="shared" si="55"/>
        <v>2.8635417704219179</v>
      </c>
      <c r="CV13" s="43">
        <f t="shared" si="56"/>
        <v>-10.199886552811677</v>
      </c>
      <c r="CW13" s="43">
        <f t="shared" si="57"/>
        <v>1.3354692639495624</v>
      </c>
      <c r="CX13" s="43">
        <f t="shared" si="58"/>
        <v>1.3951780168945938</v>
      </c>
      <c r="CY13" s="43">
        <f t="shared" si="59"/>
        <v>-4.1133546926346298</v>
      </c>
      <c r="CZ13" s="43">
        <f t="shared" si="60"/>
        <v>2.5310924563655135</v>
      </c>
      <c r="DA13" s="43">
        <f t="shared" si="61"/>
        <v>-0.69539238736782139</v>
      </c>
      <c r="DB13" s="43">
        <f t="shared" si="62"/>
        <v>0.9746890754342985</v>
      </c>
      <c r="DC13" s="43">
        <f t="shared" si="63"/>
        <v>2.1324092970189668</v>
      </c>
      <c r="DD13" s="43">
        <f t="shared" si="64"/>
        <v>-0.55030039691938981</v>
      </c>
      <c r="DE13" s="43">
        <f t="shared" si="65"/>
        <v>1.0786759070242624</v>
      </c>
    </row>
    <row r="14" spans="1:109" s="76" customFormat="1" ht="29.25" customHeight="1" x14ac:dyDescent="0.2">
      <c r="A14" s="37">
        <v>43669</v>
      </c>
      <c r="B14" s="29">
        <f t="shared" si="10"/>
        <v>11</v>
      </c>
      <c r="C14" s="38">
        <v>189.23</v>
      </c>
      <c r="D14" s="38">
        <f t="shared" ref="D14" si="67">C14-PM</f>
        <v>5.3299999999999841</v>
      </c>
      <c r="E14" s="39">
        <v>823233.32680000004</v>
      </c>
      <c r="F14" s="39">
        <v>1091513.6736999999</v>
      </c>
      <c r="G14" s="39">
        <v>-124.66070000000001</v>
      </c>
      <c r="H14" s="39">
        <v>823233.29410000006</v>
      </c>
      <c r="I14" s="39">
        <v>1091513.7333</v>
      </c>
      <c r="J14" s="39">
        <v>-123.4875</v>
      </c>
      <c r="K14" s="39">
        <v>823233.4865</v>
      </c>
      <c r="L14" s="39">
        <v>1091513.1603999999</v>
      </c>
      <c r="M14" s="39">
        <v>-121.8411</v>
      </c>
      <c r="N14" s="39">
        <v>823234.27159999998</v>
      </c>
      <c r="O14" s="39">
        <v>1091511.5055</v>
      </c>
      <c r="P14" s="39">
        <v>-121.0354</v>
      </c>
      <c r="Q14" s="39">
        <v>823234.92740000004</v>
      </c>
      <c r="R14" s="39">
        <v>1091510.1046</v>
      </c>
      <c r="S14" s="39">
        <v>-121.39660000000001</v>
      </c>
      <c r="T14" s="39">
        <v>823235.53410000005</v>
      </c>
      <c r="U14" s="39">
        <v>1091508.9203000001</v>
      </c>
      <c r="V14" s="39">
        <v>-123.54219999999999</v>
      </c>
      <c r="W14" s="39">
        <v>823235.49710000004</v>
      </c>
      <c r="X14" s="39">
        <v>1091509.0205999999</v>
      </c>
      <c r="Y14" s="39">
        <v>-124.68980000000001</v>
      </c>
      <c r="Z14" s="39">
        <f t="shared" si="1"/>
        <v>4.3285723246465837</v>
      </c>
      <c r="AA14" s="39">
        <f t="shared" si="2"/>
        <v>3.454184925538204</v>
      </c>
      <c r="AB14" s="39">
        <f t="shared" si="3"/>
        <v>2.0010568482307902</v>
      </c>
      <c r="AC14" s="39">
        <f t="shared" si="4"/>
        <v>1.5884142690458338</v>
      </c>
      <c r="AD14" s="39">
        <f t="shared" si="5"/>
        <v>3.8159155558569364</v>
      </c>
      <c r="AE14" s="39">
        <f t="shared" si="6"/>
        <v>4.5859805516748686</v>
      </c>
      <c r="AF14" s="39">
        <f t="shared" si="7"/>
        <v>3.407592507909901</v>
      </c>
      <c r="AG14" s="39">
        <f t="shared" si="8"/>
        <v>5.3090075427056949</v>
      </c>
      <c r="AH14" s="39">
        <f t="shared" si="9"/>
        <v>5.1344316637728245</v>
      </c>
      <c r="AI14" s="43">
        <f t="shared" si="15"/>
        <v>-19.79429363937335</v>
      </c>
      <c r="AJ14" s="43">
        <f t="shared" si="16"/>
        <v>-16.867969949094341</v>
      </c>
      <c r="AK14" s="43">
        <f t="shared" si="17"/>
        <v>-9.1104497175948929</v>
      </c>
      <c r="AL14" s="43">
        <f t="shared" si="18"/>
        <v>-5.336098170271919</v>
      </c>
      <c r="AM14" s="43">
        <f t="shared" si="19"/>
        <v>-19.907794568734705</v>
      </c>
      <c r="AN14" s="43"/>
      <c r="AO14" s="43">
        <f t="shared" si="21"/>
        <v>-4.6545208024957319</v>
      </c>
      <c r="AP14" s="43">
        <f t="shared" si="22"/>
        <v>-8.773181945951336</v>
      </c>
      <c r="AQ14" s="43">
        <f t="shared" si="23"/>
        <v>-5.5004710756874076</v>
      </c>
      <c r="AR14" s="40"/>
      <c r="AS14" s="43">
        <f t="shared" si="24"/>
        <v>3.1500000040978193</v>
      </c>
      <c r="AT14" s="43">
        <f t="shared" si="25"/>
        <v>-3.1500000040978193</v>
      </c>
      <c r="AU14" s="43">
        <f t="shared" si="26"/>
        <v>4.5999999999963848</v>
      </c>
      <c r="AV14" s="43">
        <f t="shared" si="27"/>
        <v>3.2000001519918442</v>
      </c>
      <c r="AW14" s="43">
        <f t="shared" si="28"/>
        <v>-3.4500001929700375</v>
      </c>
      <c r="AX14" s="43">
        <f t="shared" si="29"/>
        <v>4.0500000000065484</v>
      </c>
      <c r="AY14" s="43">
        <f t="shared" si="30"/>
        <v>3.0500000575557351</v>
      </c>
      <c r="AZ14" s="43">
        <f t="shared" si="31"/>
        <v>-2.3000002838671207</v>
      </c>
      <c r="BA14" s="43">
        <f t="shared" si="32"/>
        <v>3.200000000006753</v>
      </c>
      <c r="BB14" s="43">
        <f t="shared" si="33"/>
        <v>-1.8000000854954123</v>
      </c>
      <c r="BC14" s="43">
        <f t="shared" si="34"/>
        <v>-4.2000000830739737</v>
      </c>
      <c r="BD14" s="43">
        <f t="shared" si="35"/>
        <v>-18.34999999999809</v>
      </c>
      <c r="BE14" s="43">
        <f t="shared" si="36"/>
        <v>-0.14999997802078724</v>
      </c>
      <c r="BF14" s="43">
        <f t="shared" si="37"/>
        <v>-0.19999989308416843</v>
      </c>
      <c r="BG14" s="43">
        <f t="shared" si="38"/>
        <v>-7.5500000000090495</v>
      </c>
      <c r="BH14" s="43">
        <f t="shared" si="39"/>
        <v>-0.19999989308416843</v>
      </c>
      <c r="BI14" s="43">
        <f t="shared" si="40"/>
        <v>4.650000249966979</v>
      </c>
      <c r="BJ14" s="43">
        <f t="shared" si="41"/>
        <v>3.6000000000058208</v>
      </c>
      <c r="BK14" s="43">
        <f t="shared" si="42"/>
        <v>12.500000069849193</v>
      </c>
      <c r="BL14" s="43">
        <f t="shared" si="43"/>
        <v>7.3499998543411493</v>
      </c>
      <c r="BM14" s="43">
        <f t="shared" si="44"/>
        <v>-30.200000000007776</v>
      </c>
      <c r="BN14" s="40"/>
      <c r="BO14" s="39">
        <v>183.97220409857994</v>
      </c>
      <c r="BP14" s="39">
        <v>-2.5560172780042332</v>
      </c>
      <c r="BQ14" s="39">
        <v>-0.95754204098581397</v>
      </c>
      <c r="BR14" s="39">
        <v>183.96775840840627</v>
      </c>
      <c r="BS14" s="39">
        <v>-2.6238530048896163</v>
      </c>
      <c r="BT14" s="39">
        <v>0.21570241591594197</v>
      </c>
      <c r="BU14" s="39">
        <v>183.89999166201778</v>
      </c>
      <c r="BV14" s="39">
        <v>-2.0233200431848175</v>
      </c>
      <c r="BW14" s="39">
        <v>1.8627800833798176</v>
      </c>
      <c r="BX14" s="39">
        <v>183.91207473830627</v>
      </c>
      <c r="BY14" s="39">
        <v>-0.19167323795225269</v>
      </c>
      <c r="BZ14" s="39">
        <v>2.6683592526169377</v>
      </c>
      <c r="CA14" s="39">
        <v>183.91432786326254</v>
      </c>
      <c r="CB14" s="39">
        <v>1.3551264819650826</v>
      </c>
      <c r="CC14" s="39">
        <v>2.307136721367371</v>
      </c>
      <c r="CD14" s="39">
        <v>183.96362847400243</v>
      </c>
      <c r="CE14" s="39">
        <v>2.6848711301684194</v>
      </c>
      <c r="CF14" s="39">
        <v>0.16104371525997863</v>
      </c>
      <c r="CG14" s="39">
        <v>183.97248766470804</v>
      </c>
      <c r="CH14" s="39">
        <v>2.5783319134262772</v>
      </c>
      <c r="CI14" s="39">
        <v>-0.986644876647091</v>
      </c>
      <c r="CJ14" s="40"/>
      <c r="CK14" s="43">
        <f t="shared" ref="CK14" si="68">IF(BO14="","",(BO14-BO$10)*1000)</f>
        <v>1.4570189365770148</v>
      </c>
      <c r="CL14" s="43">
        <f t="shared" ref="CL14" si="69">IF(BP14="","",(BP14-BP$10)*1000)</f>
        <v>4.2103559639743438</v>
      </c>
      <c r="CM14" s="43">
        <f t="shared" ref="CM14" si="70">IF(BQ14="","",(BQ14-BQ$10)*1000)</f>
        <v>4.5854298106320357</v>
      </c>
      <c r="CN14" s="43">
        <f t="shared" ref="CN14" si="71">IF(BR14="","",(BR14-BR$10)*1000)</f>
        <v>1.4208525086019108</v>
      </c>
      <c r="CO14" s="43">
        <f t="shared" ref="CO14" si="72">IF(BS14="","",(BS14-BS$10)*1000)</f>
        <v>4.5245087172842702</v>
      </c>
      <c r="CP14" s="43">
        <f t="shared" ref="CP14" si="73">IF(BT14="","",(BT14-BT$10)*1000)</f>
        <v>4.0857914749210522</v>
      </c>
      <c r="CQ14" s="43">
        <f t="shared" ref="CQ14" si="74">IF(BU14="","",(BU14-BU$10)*1000)</f>
        <v>1.7467765263177171</v>
      </c>
      <c r="CR14" s="43">
        <f t="shared" ref="CR14" si="75">IF(BV14="","",(BV14-BV$10)*1000)</f>
        <v>3.352427800622948</v>
      </c>
      <c r="CS14" s="43">
        <f t="shared" ref="CS14:CS16" si="76">IF(BW14="","",(BW14-BW$10)*1000)</f>
        <v>3.1825322347458496</v>
      </c>
      <c r="CT14" s="43">
        <f t="shared" ref="CT14" si="77">IF(BX14="","",(BX14-BX$10)*1000)</f>
        <v>-3.4064641379245586</v>
      </c>
      <c r="CU14" s="43">
        <f t="shared" ref="CU14" si="78">IF(BY14="","",(BY14-BY$10)*1000)</f>
        <v>3.0456530766666265</v>
      </c>
      <c r="CV14" s="43">
        <f t="shared" ref="CV14" si="79">IF(BZ14="","",(BZ14-BZ$10)*1000)</f>
        <v>-18.265935358613206</v>
      </c>
      <c r="CW14" s="43">
        <f t="shared" ref="CW14" si="80">IF(CA14="","",(CA14-CA$10)*1000)</f>
        <v>-0.26578887369055337</v>
      </c>
      <c r="CX14" s="43">
        <f t="shared" ref="CX14" si="81">IF(CB14="","",(CB14-CB$10)*1000)</f>
        <v>9.6728117908728706E-2</v>
      </c>
      <c r="CY14" s="43">
        <f t="shared" ref="CY14" si="82">IF(CC14="","",(CC14-CC$10)*1000)</f>
        <v>-7.4973421112645156</v>
      </c>
      <c r="CZ14" s="43">
        <f t="shared" ref="CZ14" si="83">IF(CD14="","",(CD14-CD$10)*1000)</f>
        <v>1.76294087111728</v>
      </c>
      <c r="DA14" s="43">
        <f t="shared" ref="DA14" si="84">IF(CE14="","",(CE14-CE$10)*1000)</f>
        <v>-4.253473924666018</v>
      </c>
      <c r="DB14" s="43">
        <f t="shared" ref="DB14" si="85">IF(CF14="","",(CF14-CF$10)*1000)</f>
        <v>3.5823705912889636</v>
      </c>
      <c r="DC14" s="43">
        <f t="shared" ref="DC14" si="86">IF(CG14="","",(CG14-CG$10)*1000)</f>
        <v>14.414010325737081</v>
      </c>
      <c r="DD14" s="43">
        <f t="shared" ref="DD14" si="87">IF(CH14="","",(CH14-CH$10)*1000)</f>
        <v>-1.3327817481689763</v>
      </c>
      <c r="DE14" s="43">
        <f t="shared" ref="DE14" si="88">IF(CI14="","",(CI14-CI$10)*1000)</f>
        <v>-30.344140103267137</v>
      </c>
    </row>
    <row r="15" spans="1:109" ht="29.25" customHeight="1" x14ac:dyDescent="0.2">
      <c r="A15" s="37">
        <v>43675</v>
      </c>
      <c r="B15" s="29">
        <f t="shared" si="10"/>
        <v>17</v>
      </c>
      <c r="C15" s="38">
        <v>191.5</v>
      </c>
      <c r="D15" s="38">
        <f t="shared" ref="D15:D16" si="89">C15-PM</f>
        <v>7.5999999999999943</v>
      </c>
      <c r="E15" s="39">
        <v>823233.32530000003</v>
      </c>
      <c r="F15" s="39">
        <v>1091513.6728000001</v>
      </c>
      <c r="G15" s="39">
        <v>-124.6634</v>
      </c>
      <c r="H15" s="39">
        <v>823233.29280000005</v>
      </c>
      <c r="I15" s="39">
        <v>1091513.7327000001</v>
      </c>
      <c r="J15" s="39">
        <v>-123.49039999999999</v>
      </c>
      <c r="K15" s="39"/>
      <c r="L15" s="39"/>
      <c r="M15" s="39"/>
      <c r="N15" s="39">
        <v>823234.26760000002</v>
      </c>
      <c r="O15" s="39">
        <v>1091511.5044</v>
      </c>
      <c r="P15" s="39">
        <v>-121.04940000000001</v>
      </c>
      <c r="Q15" s="39">
        <v>823234.92379999999</v>
      </c>
      <c r="R15" s="39">
        <v>1091510.1059000001</v>
      </c>
      <c r="S15" s="39">
        <v>-121.40389999999999</v>
      </c>
      <c r="T15" s="39">
        <v>823235.53159999999</v>
      </c>
      <c r="U15" s="39">
        <v>1091508.9232999999</v>
      </c>
      <c r="V15" s="39">
        <v>-123.545</v>
      </c>
      <c r="W15" s="39">
        <v>823235.49430000002</v>
      </c>
      <c r="X15" s="39">
        <v>1091509.0237</v>
      </c>
      <c r="Y15" s="39">
        <v>-124.6923</v>
      </c>
      <c r="Z15" s="39">
        <f t="shared" si="1"/>
        <v>4.3186669066215151</v>
      </c>
      <c r="AA15" s="39">
        <f t="shared" si="2"/>
        <v>3.445872448346194</v>
      </c>
      <c r="AB15" s="39"/>
      <c r="AC15" s="39">
        <f t="shared" si="4"/>
        <v>1.5849513997790969</v>
      </c>
      <c r="AD15" s="39">
        <f t="shared" si="5"/>
        <v>3.806283301367499</v>
      </c>
      <c r="AE15" s="39">
        <f t="shared" si="6"/>
        <v>4.5748645651846251</v>
      </c>
      <c r="AF15" s="39"/>
      <c r="AG15" s="39">
        <f t="shared" si="8"/>
        <v>5.3052365603322755</v>
      </c>
      <c r="AH15" s="39">
        <f t="shared" si="9"/>
        <v>5.1302560384776124</v>
      </c>
      <c r="AI15" s="43">
        <f t="shared" ref="AI15:AI16" si="90">IF(Z15="","",(Z15-Z$10)*1000)</f>
        <v>-29.699711664441963</v>
      </c>
      <c r="AJ15" s="43">
        <f t="shared" ref="AJ15:AJ16" si="91">IF(AA15="","",(AA15-AA$10)*1000)</f>
        <v>-25.180447141104345</v>
      </c>
      <c r="AK15" s="43" t="str">
        <f t="shared" ref="AK15:AK16" si="92">IF(AB15="","",(AB15-AB$10)*1000)</f>
        <v/>
      </c>
      <c r="AL15" s="43">
        <f t="shared" ref="AL15:AL16" si="93">IF(AC15="","",(AC15-AC$10)*1000)</f>
        <v>-8.7989674370088089</v>
      </c>
      <c r="AM15" s="43">
        <f t="shared" ref="AM15:AM16" si="94">IF(AD15="","",(AD15-AD$10)*1000)</f>
        <v>-29.540049058172091</v>
      </c>
      <c r="AN15" s="43">
        <f t="shared" si="20"/>
        <v>-4.1570054842123838</v>
      </c>
      <c r="AO15" s="43" t="str">
        <f t="shared" ref="AO15:AO16" si="95">IF(AF15="","",(AF15-AF$10)*1000)</f>
        <v/>
      </c>
      <c r="AP15" s="43">
        <f t="shared" ref="AP15:AP16" si="96">IF(AG15="","",(AG15-AG$10)*1000)</f>
        <v>-12.544164319370665</v>
      </c>
      <c r="AQ15" s="43">
        <f t="shared" ref="AQ15:AQ16" si="97">IF(AH15="","",(AH15-AH$10)*1000)</f>
        <v>-9.6760963708995007</v>
      </c>
      <c r="AR15" s="40"/>
      <c r="AS15" s="43">
        <f t="shared" ref="AS15:AS16" si="98">IF(E15="","",(E15-E$10)*1000)</f>
        <v>1.6499999910593033</v>
      </c>
      <c r="AT15" s="43">
        <f t="shared" ref="AT15:AT16" si="99">IF(F15="","",(F15-F$10)*1000)</f>
        <v>-4.0499998722225428</v>
      </c>
      <c r="AU15" s="43">
        <f t="shared" ref="AU15:AU16" si="100">IF(G15="","",(G15-G$10)*1000)</f>
        <v>1.90000000000623</v>
      </c>
      <c r="AV15" s="43">
        <f t="shared" ref="AV15:AV16" si="101">IF(H15="","",(H15-H$10)*1000)</f>
        <v>1.9000001484528184</v>
      </c>
      <c r="AW15" s="43">
        <f t="shared" ref="AW15:AW16" si="102">IF(I15="","",(I15-I$10)*1000)</f>
        <v>-4.0500001050531864</v>
      </c>
      <c r="AX15" s="43">
        <f t="shared" ref="AX15:AX16" si="103">IF(J15="","",(J15-J$10)*1000)</f>
        <v>1.1500000000097543</v>
      </c>
      <c r="AY15" s="43" t="str">
        <f t="shared" ref="AY15:AY16" si="104">IF(K15="","",(K15-K$10)*1000)</f>
        <v/>
      </c>
      <c r="AZ15" s="43" t="str">
        <f t="shared" ref="AZ15:AZ16" si="105">IF(L15="","",(L15-L$10)*1000)</f>
        <v/>
      </c>
      <c r="BA15" s="43" t="str">
        <f t="shared" ref="BA15:BA16" si="106">IF(M15="","",(M15-M$10)*1000)</f>
        <v/>
      </c>
      <c r="BB15" s="43">
        <f t="shared" ref="BB15:BB16" si="107">IF(N15="","",(N15-N$10)*1000)</f>
        <v>-5.8000000426545739</v>
      </c>
      <c r="BC15" s="43">
        <f t="shared" ref="BC15:BC16" si="108">IF(O15="","",(O15-O$10)*1000)</f>
        <v>-5.3000000771135092</v>
      </c>
      <c r="BD15" s="43">
        <f t="shared" ref="BD15:BD16" si="109">IF(P15="","",(P15-P$10)*1000)</f>
        <v>-32.350000000008095</v>
      </c>
      <c r="BE15" s="43">
        <f t="shared" ref="BE15:BE16" si="110">IF(Q15="","",(Q15-Q$10)*1000)</f>
        <v>-3.7500000325962901</v>
      </c>
      <c r="BF15" s="43">
        <f t="shared" ref="BF15:BF16" si="111">IF(R15="","",(R15-R$10)*1000)</f>
        <v>1.1000002268701792</v>
      </c>
      <c r="BG15" s="43">
        <f t="shared" ref="BG15:BG16" si="112">IF(S15="","",(S15-S$10)*1000)</f>
        <v>-14.849999999995589</v>
      </c>
      <c r="BH15" s="43">
        <f t="shared" ref="BH15:BH16" si="113">IF(T15="","",(T15-T$10)*1000)</f>
        <v>-2.6999999536201358</v>
      </c>
      <c r="BI15" s="43">
        <f t="shared" ref="BI15:BI16" si="114">IF(U15="","",(U15-U$10)*1000)</f>
        <v>7.6500000432133675</v>
      </c>
      <c r="BJ15" s="43">
        <f t="shared" ref="BJ15:BJ16" si="115">IF(V15="","",(V15-V$10)*1000)</f>
        <v>0.79999999999813554</v>
      </c>
      <c r="BK15" s="43">
        <f t="shared" ref="BK15:BK16" si="116">IF(W15="","",(W15-W$10)*1000)</f>
        <v>9.7000000532716513</v>
      </c>
      <c r="BL15" s="43">
        <f t="shared" ref="BL15:BL16" si="117">IF(X15="","",(X15-X$10)*1000)</f>
        <v>10.449999943375587</v>
      </c>
      <c r="BM15" s="43">
        <f t="shared" ref="BM15:BM16" si="118">IF(Y15="","",(Y15-Y$10)*1000)</f>
        <v>-32.700000000005502</v>
      </c>
      <c r="BN15" s="40"/>
      <c r="BO15" s="39">
        <v>183.97046427374104</v>
      </c>
      <c r="BP15" s="39">
        <v>-2.5558355933001478</v>
      </c>
      <c r="BQ15" s="39">
        <v>-0.96022464273741548</v>
      </c>
      <c r="BR15" s="39">
        <v>183.96632663757026</v>
      </c>
      <c r="BS15" s="39">
        <v>-2.6238586773544261</v>
      </c>
      <c r="BT15" s="39">
        <v>0.21281673362429387</v>
      </c>
      <c r="BU15" s="39" t="s">
        <v>61</v>
      </c>
      <c r="BV15" s="39" t="s">
        <v>61</v>
      </c>
      <c r="BW15" s="39" t="s">
        <v>61</v>
      </c>
      <c r="BX15" s="39">
        <v>183.90798465293989</v>
      </c>
      <c r="BY15" s="39">
        <v>-0.19236692472581748</v>
      </c>
      <c r="BZ15" s="39">
        <v>2.6544001534705899</v>
      </c>
      <c r="CA15" s="39">
        <v>183.91161465949995</v>
      </c>
      <c r="CB15" s="39">
        <v>1.3524267549330848</v>
      </c>
      <c r="CC15" s="39">
        <v>2.2998638534050002</v>
      </c>
      <c r="CD15" s="39">
        <v>183.96263069976757</v>
      </c>
      <c r="CE15" s="39">
        <v>2.6810956241574906</v>
      </c>
      <c r="CF15" s="39">
        <v>0.15825369300232239</v>
      </c>
      <c r="CG15" s="39">
        <v>183.97126026822434</v>
      </c>
      <c r="CH15" s="39">
        <v>2.5743389823579346</v>
      </c>
      <c r="CI15" s="39">
        <v>-0.9891326026822469</v>
      </c>
      <c r="CJ15" s="40"/>
      <c r="CK15" s="43">
        <f t="shared" ref="CK15" si="119">IF(BO15="","",(BO15-BO$10)*1000)</f>
        <v>-0.28280590231588576</v>
      </c>
      <c r="CL15" s="43">
        <f t="shared" ref="CL15" si="120">IF(BP15="","",(BP15-BP$10)*1000)</f>
        <v>4.3920406680597601</v>
      </c>
      <c r="CM15" s="43">
        <f t="shared" ref="CM15" si="121">IF(BQ15="","",(BQ15-BQ$10)*1000)</f>
        <v>1.9028280590305258</v>
      </c>
      <c r="CN15" s="43">
        <f t="shared" ref="CN15" si="122">IF(BR15="","",(BR15-BR$10)*1000)</f>
        <v>-1.091832740485188E-2</v>
      </c>
      <c r="CO15" s="43">
        <f t="shared" ref="CO15" si="123">IF(BS15="","",(BS15-BS$10)*1000)</f>
        <v>4.5188362524744008</v>
      </c>
      <c r="CP15" s="43">
        <f t="shared" ref="CP15" si="124">IF(BT15="","",(BT15-BT$10)*1000)</f>
        <v>1.2001091832729571</v>
      </c>
      <c r="CQ15" s="43"/>
      <c r="CR15" s="43"/>
      <c r="CS15" s="43"/>
      <c r="CT15" s="43">
        <f t="shared" ref="CT15" si="125">IF(BX15="","",(BX15-BX$10)*1000)</f>
        <v>-7.4965495043102237</v>
      </c>
      <c r="CU15" s="43">
        <f t="shared" ref="CU15" si="126">IF(BY15="","",(BY15-BY$10)*1000)</f>
        <v>2.3519663031018325</v>
      </c>
      <c r="CV15" s="43">
        <f t="shared" ref="CV15" si="127">IF(BZ15="","",(BZ15-BZ$10)*1000)</f>
        <v>-32.225034504961059</v>
      </c>
      <c r="CW15" s="43">
        <f t="shared" ref="CW15" si="128">IF(CA15="","",(CA15-CA$10)*1000)</f>
        <v>-2.9789926362866481</v>
      </c>
      <c r="CX15" s="43">
        <f t="shared" ref="CX15" si="129">IF(CB15="","",(CB15-CB$10)*1000)</f>
        <v>-2.6029989140889942</v>
      </c>
      <c r="CY15" s="43">
        <f t="shared" ref="CY15" si="130">IF(CC15="","",(CC15-CC$10)*1000)</f>
        <v>-14.770210073635326</v>
      </c>
      <c r="CZ15" s="43">
        <f t="shared" ref="CZ15" si="131">IF(CD15="","",(CD15-CD$10)*1000)</f>
        <v>0.7651666362562537</v>
      </c>
      <c r="DA15" s="43">
        <f t="shared" ref="DA15" si="132">IF(CE15="","",(CE15-CE$10)*1000)</f>
        <v>-8.0289799355948155</v>
      </c>
      <c r="DB15" s="43">
        <f t="shared" ref="DB15" si="133">IF(CF15="","",(CF15-CF$10)*1000)</f>
        <v>0.79234833363273083</v>
      </c>
      <c r="DC15" s="43">
        <f t="shared" ref="DC15" si="134">IF(CG15="","",(CG15-CG$10)*1000)</f>
        <v>13.186613842037787</v>
      </c>
      <c r="DD15" s="43">
        <f t="shared" ref="DD15" si="135">IF(CH15="","",(CH15-CH$10)*1000)</f>
        <v>-5.3257128165116185</v>
      </c>
      <c r="DE15" s="43">
        <f t="shared" ref="DE15" si="136">IF(CI15="","",(CI15-CI$10)*1000)</f>
        <v>-32.831866138423038</v>
      </c>
    </row>
    <row r="16" spans="1:109" ht="29.25" customHeight="1" x14ac:dyDescent="0.2">
      <c r="A16" s="37">
        <v>43679</v>
      </c>
      <c r="B16" s="29">
        <f t="shared" si="10"/>
        <v>21</v>
      </c>
      <c r="C16" s="38">
        <v>193.04</v>
      </c>
      <c r="D16" s="38">
        <f t="shared" si="89"/>
        <v>9.1399999999999864</v>
      </c>
      <c r="E16" s="39">
        <v>823233.3223</v>
      </c>
      <c r="F16" s="39">
        <v>1091513.679</v>
      </c>
      <c r="G16" s="39">
        <v>-124.6651</v>
      </c>
      <c r="H16" s="39">
        <v>823233.29009999998</v>
      </c>
      <c r="I16" s="39">
        <v>1091513.7390000001</v>
      </c>
      <c r="J16" s="39">
        <v>-123.492</v>
      </c>
      <c r="K16" s="39">
        <v>823233.48089999997</v>
      </c>
      <c r="L16" s="39">
        <v>1091513.162</v>
      </c>
      <c r="M16" s="39">
        <v>-121.8505</v>
      </c>
      <c r="N16" s="39">
        <v>823234.26410000003</v>
      </c>
      <c r="O16" s="39">
        <v>1091511.5079999999</v>
      </c>
      <c r="P16" s="39">
        <v>-121.0574</v>
      </c>
      <c r="Q16" s="39">
        <v>823234.9203</v>
      </c>
      <c r="R16" s="39">
        <v>1091510.1129999999</v>
      </c>
      <c r="S16" s="39">
        <v>-121.4074</v>
      </c>
      <c r="T16" s="39">
        <v>823235.52850000001</v>
      </c>
      <c r="U16" s="39">
        <v>1091508.9310000001</v>
      </c>
      <c r="V16" s="39">
        <v>-123.54649999999999</v>
      </c>
      <c r="W16" s="39">
        <v>823235.49140000006</v>
      </c>
      <c r="X16" s="39">
        <v>1091509.031</v>
      </c>
      <c r="Y16" s="39">
        <v>-124.6939</v>
      </c>
      <c r="Z16" s="39">
        <f t="shared" si="1"/>
        <v>4.3145947121883825</v>
      </c>
      <c r="AA16" s="39">
        <f t="shared" si="2"/>
        <v>3.4428642379183616</v>
      </c>
      <c r="AB16" s="39">
        <f t="shared" si="3"/>
        <v>1.9945239658675173</v>
      </c>
      <c r="AC16" s="39">
        <f t="shared" si="4"/>
        <v>1.5808616131751227</v>
      </c>
      <c r="AD16" s="39">
        <f t="shared" si="5"/>
        <v>3.7993756288386149</v>
      </c>
      <c r="AE16" s="39">
        <f t="shared" si="6"/>
        <v>4.5679236574013196</v>
      </c>
      <c r="AF16" s="39">
        <f t="shared" si="7"/>
        <v>3.4006780163368084</v>
      </c>
      <c r="AG16" s="39">
        <f t="shared" si="8"/>
        <v>5.303797583784954</v>
      </c>
      <c r="AH16" s="39">
        <f t="shared" si="9"/>
        <v>5.1293009514615582</v>
      </c>
      <c r="AI16" s="43">
        <f t="shared" si="90"/>
        <v>-33.771906097574522</v>
      </c>
      <c r="AJ16" s="43">
        <f t="shared" si="91"/>
        <v>-28.188657568936737</v>
      </c>
      <c r="AK16" s="43">
        <f t="shared" si="92"/>
        <v>-15.643332080867767</v>
      </c>
      <c r="AL16" s="43">
        <f t="shared" si="93"/>
        <v>-12.888754040982997</v>
      </c>
      <c r="AM16" s="43">
        <f t="shared" si="94"/>
        <v>-36.447721587056222</v>
      </c>
      <c r="AN16" s="43">
        <f t="shared" si="20"/>
        <v>-11.097913267517967</v>
      </c>
      <c r="AO16" s="43">
        <f t="shared" si="95"/>
        <v>-11.569012375588272</v>
      </c>
      <c r="AP16" s="43">
        <f t="shared" si="96"/>
        <v>-13.983140866692167</v>
      </c>
      <c r="AQ16" s="43">
        <f t="shared" si="97"/>
        <v>-10.63118338695368</v>
      </c>
      <c r="AR16" s="40"/>
      <c r="AS16" s="43">
        <f t="shared" si="98"/>
        <v>-1.3500000350177288</v>
      </c>
      <c r="AT16" s="43">
        <f t="shared" si="99"/>
        <v>2.1500000730156898</v>
      </c>
      <c r="AU16" s="43">
        <f t="shared" si="100"/>
        <v>0.20000000000663931</v>
      </c>
      <c r="AV16" s="43">
        <f t="shared" si="101"/>
        <v>-0.79999992158263922</v>
      </c>
      <c r="AW16" s="43">
        <f t="shared" si="102"/>
        <v>2.2499999031424522</v>
      </c>
      <c r="AX16" s="43">
        <f t="shared" si="103"/>
        <v>-0.4500000000007276</v>
      </c>
      <c r="AY16" s="43">
        <f t="shared" si="104"/>
        <v>-2.5499999755993485</v>
      </c>
      <c r="AZ16" s="43">
        <f t="shared" si="105"/>
        <v>-0.70000020787119865</v>
      </c>
      <c r="BA16" s="43">
        <f t="shared" si="106"/>
        <v>-6.1999999999926558</v>
      </c>
      <c r="BB16" s="43">
        <f t="shared" si="107"/>
        <v>-9.3000000342726707</v>
      </c>
      <c r="BC16" s="43">
        <f t="shared" si="108"/>
        <v>-1.7000001389533281</v>
      </c>
      <c r="BD16" s="43">
        <f t="shared" si="109"/>
        <v>-40.350000000003661</v>
      </c>
      <c r="BE16" s="43">
        <f t="shared" si="110"/>
        <v>-7.2500000242143869</v>
      </c>
      <c r="BF16" s="43">
        <f t="shared" si="111"/>
        <v>8.2000000402331352</v>
      </c>
      <c r="BG16" s="43">
        <f t="shared" si="112"/>
        <v>-18.34999999999809</v>
      </c>
      <c r="BH16" s="43">
        <f t="shared" si="113"/>
        <v>-5.7999999262392521</v>
      </c>
      <c r="BI16" s="43">
        <f t="shared" si="114"/>
        <v>15.35000023432076</v>
      </c>
      <c r="BJ16" s="43">
        <f t="shared" si="115"/>
        <v>-0.69999999999481588</v>
      </c>
      <c r="BK16" s="43">
        <f t="shared" si="116"/>
        <v>6.8000000901520252</v>
      </c>
      <c r="BL16" s="43">
        <f t="shared" si="117"/>
        <v>17.749999882653356</v>
      </c>
      <c r="BM16" s="43">
        <f t="shared" si="118"/>
        <v>-34.300000000001774</v>
      </c>
      <c r="BN16" s="40"/>
      <c r="BO16" s="39">
        <v>183.97028130000001</v>
      </c>
      <c r="BP16" s="39">
        <v>-2.5625413020000001</v>
      </c>
      <c r="BQ16" s="39">
        <v>-0.96192281300000004</v>
      </c>
      <c r="BR16" s="39">
        <v>183.96637329999999</v>
      </c>
      <c r="BS16" s="39">
        <v>-2.6303469609999999</v>
      </c>
      <c r="BT16" s="39">
        <v>0.21121626700000001</v>
      </c>
      <c r="BU16" s="39">
        <v>183.8954659</v>
      </c>
      <c r="BV16" s="39">
        <v>-2.0268650739999998</v>
      </c>
      <c r="BW16" s="39">
        <v>1.8534253409999999</v>
      </c>
      <c r="BX16" s="39">
        <v>183.90646100000001</v>
      </c>
      <c r="BY16" s="39">
        <v>-0.197380746</v>
      </c>
      <c r="BZ16" s="39">
        <v>2.64641539</v>
      </c>
      <c r="CA16" s="39">
        <v>183.911528</v>
      </c>
      <c r="CB16" s="39">
        <v>1.3443315410000001</v>
      </c>
      <c r="CC16" s="39">
        <v>2.2963647200000001</v>
      </c>
      <c r="CD16" s="39">
        <v>183.96286430000001</v>
      </c>
      <c r="CE16" s="39">
        <v>2.6732600999999998</v>
      </c>
      <c r="CF16" s="39">
        <v>0.15675135700000001</v>
      </c>
      <c r="CG16" s="39">
        <v>183.97171739999999</v>
      </c>
      <c r="CH16" s="39">
        <v>2.5664973600000001</v>
      </c>
      <c r="CI16" s="39">
        <v>-0.99073717400000005</v>
      </c>
      <c r="CJ16" s="40"/>
      <c r="CK16" s="43">
        <f t="shared" ref="CK16" si="137">IF(BO16="","",(BO16-BO$10)*1000)</f>
        <v>-0.46577964334915123</v>
      </c>
      <c r="CL16" s="43">
        <f t="shared" ref="CL16" si="138">IF(BP16="","",(BP16-BP$10)*1000)</f>
        <v>-2.3136680317925595</v>
      </c>
      <c r="CM16" s="43">
        <f t="shared" ref="CM16" si="139">IF(BQ16="","",(BQ16-BQ$10)*1000)</f>
        <v>0.20465779644596171</v>
      </c>
      <c r="CN16" s="43">
        <f t="shared" ref="CN16" si="140">IF(BR16="","",(BR16-BR$10)*1000)</f>
        <v>3.574410231976799E-2</v>
      </c>
      <c r="CO16" s="43">
        <f t="shared" ref="CO16" si="141">IF(BS16="","",(BS16-BS$10)*1000)</f>
        <v>-1.9694473930993439</v>
      </c>
      <c r="CP16" s="43">
        <f t="shared" ref="CP16" si="142">IF(BT16="","",(BT16-BT$10)*1000)</f>
        <v>-0.40035744102090431</v>
      </c>
      <c r="CQ16" s="43">
        <f t="shared" ref="CQ16" si="143">IF(BU16="","",(BU16-BU$10)*1000)</f>
        <v>-2.7789854914601619</v>
      </c>
      <c r="CR16" s="43">
        <f t="shared" ref="CR16" si="144">IF(BV16="","",(BV16-BV$10)*1000)</f>
        <v>-0.19260301455936713</v>
      </c>
      <c r="CS16" s="43">
        <f t="shared" si="76"/>
        <v>-6.1722101450718547</v>
      </c>
      <c r="CT16" s="43">
        <f t="shared" ref="CT16" si="145">IF(BX16="","",(BX16-BX$10)*1000)</f>
        <v>-9.0202024441907724</v>
      </c>
      <c r="CU16" s="43">
        <f t="shared" ref="CU16" si="146">IF(BY16="","",(BY16-BY$10)*1000)</f>
        <v>-2.6618549710806794</v>
      </c>
      <c r="CV16" s="43">
        <f t="shared" ref="CV16" si="147">IF(BZ16="","",(BZ16-BZ$10)*1000)</f>
        <v>-40.209797975550913</v>
      </c>
      <c r="CW16" s="43">
        <f t="shared" ref="CW16" si="148">IF(CA16="","",(CA16-CA$10)*1000)</f>
        <v>-3.0656521362288913</v>
      </c>
      <c r="CX16" s="43">
        <f t="shared" ref="CX16" si="149">IF(CB16="","",(CB16-CB$10)*1000)</f>
        <v>-10.69821284717376</v>
      </c>
      <c r="CY16" s="43">
        <f t="shared" ref="CY16" si="150">IF(CC16="","",(CC16-CC$10)*1000)</f>
        <v>-18.269343478635403</v>
      </c>
      <c r="CZ16" s="43">
        <f t="shared" ref="CZ16" si="151">IF(CD16="","",(CD16-CD$10)*1000)</f>
        <v>0.99876686869038167</v>
      </c>
      <c r="DA16" s="43">
        <f t="shared" ref="DA16" si="152">IF(CE16="","",(CE16-CE$10)*1000)</f>
        <v>-15.864504093085596</v>
      </c>
      <c r="DB16" s="43">
        <f t="shared" ref="DB16" si="153">IF(CF16="","",(CF16-CF$10)*1000)</f>
        <v>-0.70998766868965446</v>
      </c>
      <c r="DC16" s="43">
        <f t="shared" ref="DC16" si="154">IF(CG16="","",(CG16-CG$10)*1000)</f>
        <v>13.643745617684999</v>
      </c>
      <c r="DD16" s="43">
        <f t="shared" ref="DD16" si="155">IF(CH16="","",(CH16-CH$10)*1000)</f>
        <v>-13.167335174446126</v>
      </c>
      <c r="DE16" s="43">
        <f t="shared" ref="DE16" si="156">IF(CI16="","",(CI16-CI$10)*1000)</f>
        <v>-34.436437456176193</v>
      </c>
    </row>
    <row r="17" spans="1:109" ht="29.25" customHeight="1" x14ac:dyDescent="0.2">
      <c r="A17" s="37">
        <v>43682</v>
      </c>
      <c r="B17" s="29">
        <f t="shared" si="10"/>
        <v>24</v>
      </c>
      <c r="C17" s="38">
        <v>193.04</v>
      </c>
      <c r="D17" s="38">
        <f t="shared" ref="D17:D20" si="157">C17-PM</f>
        <v>9.1399999999999864</v>
      </c>
      <c r="E17" s="39">
        <v>823233.32209999999</v>
      </c>
      <c r="F17" s="39">
        <v>1091513.6780000001</v>
      </c>
      <c r="G17" s="39">
        <v>-124.6643</v>
      </c>
      <c r="H17" s="39">
        <v>823233.28960000002</v>
      </c>
      <c r="I17" s="39">
        <v>1091513.7376999999</v>
      </c>
      <c r="J17" s="39">
        <v>-123.49120000000001</v>
      </c>
      <c r="K17" s="39">
        <v>823233.48049999995</v>
      </c>
      <c r="L17" s="39">
        <v>1091513.1610000001</v>
      </c>
      <c r="M17" s="39">
        <v>-121.8502</v>
      </c>
      <c r="N17" s="39">
        <v>823234.26269999996</v>
      </c>
      <c r="O17" s="39">
        <v>1091511.507</v>
      </c>
      <c r="P17" s="39">
        <v>-121.0605</v>
      </c>
      <c r="Q17" s="39">
        <v>823234.91960000002</v>
      </c>
      <c r="R17" s="39">
        <v>1091510.1143</v>
      </c>
      <c r="S17" s="39">
        <v>-121.40770000000001</v>
      </c>
      <c r="T17" s="39">
        <v>823235.52789999999</v>
      </c>
      <c r="U17" s="39">
        <v>1091508.9313000001</v>
      </c>
      <c r="V17" s="39">
        <v>-123.54559999999999</v>
      </c>
      <c r="W17" s="39">
        <v>823235.49069999997</v>
      </c>
      <c r="X17" s="39">
        <v>1091509.0316999999</v>
      </c>
      <c r="Y17" s="39">
        <v>-124.69289999999999</v>
      </c>
      <c r="Z17" s="39">
        <f t="shared" si="1"/>
        <v>4.3110722332543494</v>
      </c>
      <c r="AA17" s="39">
        <f t="shared" si="2"/>
        <v>3.4396582082669043</v>
      </c>
      <c r="AB17" s="39">
        <f t="shared" si="3"/>
        <v>1.9927817066466309</v>
      </c>
      <c r="AC17" s="39">
        <f t="shared" si="4"/>
        <v>1.5785052233009949</v>
      </c>
      <c r="AD17" s="39">
        <f t="shared" si="5"/>
        <v>3.7961406111590326</v>
      </c>
      <c r="AE17" s="39">
        <f t="shared" si="6"/>
        <v>4.5639263633685232</v>
      </c>
      <c r="AF17" s="39">
        <f t="shared" si="7"/>
        <v>3.398410797801148</v>
      </c>
      <c r="AG17" s="39">
        <f t="shared" si="8"/>
        <v>5.3023039528822631</v>
      </c>
      <c r="AH17" s="39">
        <f t="shared" si="9"/>
        <v>5.1275479140795106</v>
      </c>
      <c r="AI17" s="43">
        <f t="shared" ref="AI17" si="158">IF(Z17="","",(Z17-Z$10)*1000)</f>
        <v>-37.294385031607646</v>
      </c>
      <c r="AJ17" s="43">
        <f t="shared" ref="AJ17" si="159">IF(AA17="","",(AA17-AA$10)*1000)</f>
        <v>-31.394687220394069</v>
      </c>
      <c r="AK17" s="43">
        <f t="shared" ref="AK17" si="160">IF(AB17="","",(AB17-AB$10)*1000)</f>
        <v>-17.385591301754211</v>
      </c>
      <c r="AL17" s="43">
        <f t="shared" ref="AL17" si="161">IF(AC17="","",(AC17-AC$10)*1000)</f>
        <v>-15.245143915110893</v>
      </c>
      <c r="AM17" s="43">
        <f t="shared" ref="AM17" si="162">IF(AD17="","",(AD17-AD$10)*1000)</f>
        <v>-39.682739266638563</v>
      </c>
      <c r="AN17" s="43">
        <f t="shared" ref="AN17" si="163">IF(AE17="","",(AE17-AE$10)*1000)</f>
        <v>-15.095207300314328</v>
      </c>
      <c r="AO17" s="43">
        <f t="shared" ref="AO17" si="164">IF(AF17="","",(AF17-AF$10)*1000)</f>
        <v>-13.836230911248748</v>
      </c>
      <c r="AP17" s="43">
        <f t="shared" ref="AP17" si="165">IF(AG17="","",(AG17-AG$10)*1000)</f>
        <v>-15.476771769383113</v>
      </c>
      <c r="AQ17" s="43">
        <f t="shared" ref="AQ17" si="166">IF(AH17="","",(AH17-AH$10)*1000)</f>
        <v>-12.384220769001253</v>
      </c>
      <c r="AR17" s="40"/>
      <c r="AS17" s="43">
        <f t="shared" ref="AS17" si="167">IF(E17="","",(E17-E$10)*1000)</f>
        <v>-1.5500000445172191</v>
      </c>
      <c r="AT17" s="43">
        <f t="shared" ref="AT17" si="168">IF(F17="","",(F17-F$10)*1000)</f>
        <v>1.1500001419335604</v>
      </c>
      <c r="AU17" s="43">
        <f t="shared" ref="AU17" si="169">IF(G17="","",(G17-G$10)*1000)</f>
        <v>1.0000000000047748</v>
      </c>
      <c r="AV17" s="43">
        <f t="shared" ref="AV17" si="170">IF(H17="","",(H17-H$10)*1000)</f>
        <v>-1.299999887123704</v>
      </c>
      <c r="AW17" s="43">
        <f t="shared" ref="AW17" si="171">IF(I17="","",(I17-I$10)*1000)</f>
        <v>0.94999978318810463</v>
      </c>
      <c r="AX17" s="43">
        <f t="shared" ref="AX17" si="172">IF(J17="","",(J17-J$10)*1000)</f>
        <v>0.34999999999740794</v>
      </c>
      <c r="AY17" s="43">
        <f t="shared" ref="AY17" si="173">IF(K17="","",(K17-K$10)*1000)</f>
        <v>-2.9499999945983291</v>
      </c>
      <c r="AZ17" s="43">
        <f t="shared" ref="AZ17" si="174">IF(L17="","",(L17-L$10)*1000)</f>
        <v>-1.7000001389533281</v>
      </c>
      <c r="BA17" s="43">
        <f t="shared" ref="BA17" si="175">IF(M17="","",(M17-M$10)*1000)</f>
        <v>-5.8999999999969077</v>
      </c>
      <c r="BB17" s="43">
        <f t="shared" ref="BB17" si="176">IF(N17="","",(N17-N$10)*1000)</f>
        <v>-10.700000100769103</v>
      </c>
      <c r="BC17" s="43">
        <f t="shared" ref="BC17" si="177">IF(O17="","",(O17-O$10)*1000)</f>
        <v>-2.7000000700354576</v>
      </c>
      <c r="BD17" s="43">
        <f t="shared" ref="BD17" si="178">IF(P17="","",(P17-P$10)*1000)</f>
        <v>-43.450000000007094</v>
      </c>
      <c r="BE17" s="43">
        <f t="shared" ref="BE17" si="179">IF(Q17="","",(Q17-Q$10)*1000)</f>
        <v>-7.9499999992549419</v>
      </c>
      <c r="BF17" s="43">
        <f t="shared" ref="BF17" si="180">IF(R17="","",(R17-R$10)*1000)</f>
        <v>9.5000001601874828</v>
      </c>
      <c r="BG17" s="43">
        <f t="shared" ref="BG17" si="181">IF(S17="","",(S17-S$10)*1000)</f>
        <v>-18.650000000008049</v>
      </c>
      <c r="BH17" s="43">
        <f t="shared" ref="BH17" si="182">IF(T17="","",(T17-T$10)*1000)</f>
        <v>-6.3999999547377229</v>
      </c>
      <c r="BI17" s="43">
        <f t="shared" ref="BI17" si="183">IF(U17="","",(U17-U$10)*1000)</f>
        <v>15.650000190362334</v>
      </c>
      <c r="BJ17" s="43">
        <f t="shared" ref="BJ17" si="184">IF(V17="","",(V17-V$10)*1000)</f>
        <v>0.20000000000663931</v>
      </c>
      <c r="BK17" s="43">
        <f t="shared" ref="BK17" si="185">IF(W17="","",(W17-W$10)*1000)</f>
        <v>6.0999999986961484</v>
      </c>
      <c r="BL17" s="43">
        <f t="shared" ref="BL17" si="186">IF(X17="","",(X17-X$10)*1000)</f>
        <v>18.449999857693911</v>
      </c>
      <c r="BM17" s="43">
        <f t="shared" ref="BM17" si="187">IF(Y17="","",(Y17-Y$10)*1000)</f>
        <v>-33.299999999996999</v>
      </c>
      <c r="BN17" s="40"/>
      <c r="BO17" s="39">
        <v>183.96976192960992</v>
      </c>
      <c r="BP17" s="39">
        <v>-2.5619007984159472</v>
      </c>
      <c r="BQ17" s="39">
        <v>-0.96111761929610395</v>
      </c>
      <c r="BR17" s="39">
        <v>183.96553976298392</v>
      </c>
      <c r="BS17" s="39">
        <v>-2.6297426239462589</v>
      </c>
      <c r="BT17" s="39">
        <v>0.21202460237014975</v>
      </c>
      <c r="BU17" s="39">
        <v>183.89480750094287</v>
      </c>
      <c r="BV17" s="39">
        <v>-2.0263997306282486</v>
      </c>
      <c r="BW17" s="39">
        <v>1.8537319249905693</v>
      </c>
      <c r="BX17" s="39">
        <v>183.90464271707555</v>
      </c>
      <c r="BY17" s="39">
        <v>-0.19679427893408399</v>
      </c>
      <c r="BZ17" s="39">
        <v>2.6433335728292349</v>
      </c>
      <c r="CA17" s="39">
        <v>183.91135850978029</v>
      </c>
      <c r="CB17" s="39">
        <v>1.3430387633522813</v>
      </c>
      <c r="CC17" s="39">
        <v>2.2960664149021852</v>
      </c>
      <c r="CD17" s="39">
        <v>183.96265863532761</v>
      </c>
      <c r="CE17" s="39">
        <v>2.6722814751930701</v>
      </c>
      <c r="CF17" s="39">
        <v>0.15765341364672736</v>
      </c>
      <c r="CG17" s="39">
        <v>183.97137883284239</v>
      </c>
      <c r="CH17" s="39">
        <v>2.5655670987829269</v>
      </c>
      <c r="CI17" s="39">
        <v>-0.98973378832842229</v>
      </c>
      <c r="CJ17" s="40"/>
      <c r="CK17" s="43">
        <f t="shared" ref="CK17" si="188">IF(BO17="","",(BO17-BO$10)*1000)</f>
        <v>-0.98515003344346042</v>
      </c>
      <c r="CL17" s="43">
        <f t="shared" ref="CL17" si="189">IF(BP17="","",(BP17-BP$10)*1000)</f>
        <v>-1.6731644477396834</v>
      </c>
      <c r="CM17" s="43">
        <f t="shared" ref="CM17" si="190">IF(BQ17="","",(BQ17-BQ$10)*1000)</f>
        <v>1.0098515003420516</v>
      </c>
      <c r="CN17" s="43">
        <f t="shared" ref="CN17" si="191">IF(BR17="","",(BR17-BR$10)*1000)</f>
        <v>-0.79779291374393324</v>
      </c>
      <c r="CO17" s="43">
        <f t="shared" ref="CO17" si="192">IF(BS17="","",(BS17-BS$10)*1000)</f>
        <v>-1.3651103393583774</v>
      </c>
      <c r="CP17" s="43">
        <f t="shared" ref="CP17" si="193">IF(BT17="","",(BT17-BT$10)*1000)</f>
        <v>0.40797792912883324</v>
      </c>
      <c r="CQ17" s="43">
        <f t="shared" ref="CQ17" si="194">IF(BU17="","",(BU17-BU$10)*1000)</f>
        <v>-3.4373845485902166</v>
      </c>
      <c r="CR17" s="43">
        <f t="shared" ref="CR17" si="195">IF(BV17="","",(BV17-BV$10)*1000)</f>
        <v>0.27274035719182521</v>
      </c>
      <c r="CS17" s="43">
        <f t="shared" ref="CS17" si="196">IF(BW17="","",(BW17-BW$10)*1000)</f>
        <v>-5.865626154502479</v>
      </c>
      <c r="CT17" s="43">
        <f t="shared" ref="CT17" si="197">IF(BX17="","",(BX17-BX$10)*1000)</f>
        <v>-10.838485368651618</v>
      </c>
      <c r="CU17" s="43">
        <f t="shared" ref="CU17" si="198">IF(BY17="","",(BY17-BY$10)*1000)</f>
        <v>-2.0753879051646775</v>
      </c>
      <c r="CV17" s="43">
        <f t="shared" ref="CV17" si="199">IF(BZ17="","",(BZ17-BZ$10)*1000)</f>
        <v>-43.291615146316076</v>
      </c>
      <c r="CW17" s="43">
        <f t="shared" ref="CW17" si="200">IF(CA17="","",(CA17-CA$10)*1000)</f>
        <v>-3.2351423559475734</v>
      </c>
      <c r="CX17" s="43">
        <f t="shared" ref="CX17" si="201">IF(CB17="","",(CB17-CB$10)*1000)</f>
        <v>-11.990990494892495</v>
      </c>
      <c r="CY17" s="43">
        <f t="shared" ref="CY17" si="202">IF(CC17="","",(CC17-CC$10)*1000)</f>
        <v>-18.567648576450324</v>
      </c>
      <c r="CZ17" s="43">
        <f t="shared" ref="CZ17" si="203">IF(CD17="","",(CD17-CD$10)*1000)</f>
        <v>0.79310219629746825</v>
      </c>
      <c r="DA17" s="43">
        <f t="shared" ref="DA17" si="204">IF(CE17="","",(CE17-CE$10)*1000)</f>
        <v>-16.84312890001527</v>
      </c>
      <c r="DB17" s="43">
        <f t="shared" ref="DB17" si="205">IF(CF17="","",(CF17-CF$10)*1000)</f>
        <v>0.19206897803769607</v>
      </c>
      <c r="DC17" s="43">
        <f t="shared" ref="DC17" si="206">IF(CG17="","",(CG17-CG$10)*1000)</f>
        <v>13.305178460086609</v>
      </c>
      <c r="DD17" s="43">
        <f t="shared" ref="DD17" si="207">IF(CH17="","",(CH17-CH$10)*1000)</f>
        <v>-14.097596391519307</v>
      </c>
      <c r="DE17" s="43">
        <f t="shared" ref="DE17" si="208">IF(CI17="","",(CI17-CI$10)*1000)</f>
        <v>-33.433051784598433</v>
      </c>
    </row>
    <row r="18" spans="1:109" ht="29.25" customHeight="1" x14ac:dyDescent="0.2">
      <c r="A18" s="37">
        <v>43684</v>
      </c>
      <c r="B18" s="29">
        <f t="shared" si="10"/>
        <v>26</v>
      </c>
      <c r="C18" s="38">
        <v>193.66</v>
      </c>
      <c r="D18" s="38">
        <f t="shared" si="157"/>
        <v>9.7599999999999909</v>
      </c>
      <c r="E18" s="39">
        <v>823233.32290000003</v>
      </c>
      <c r="F18" s="39">
        <v>1091513.6769999999</v>
      </c>
      <c r="G18" s="39">
        <v>-124.66419999999999</v>
      </c>
      <c r="H18" s="39">
        <v>823233.29059999995</v>
      </c>
      <c r="I18" s="39">
        <v>1091513.737</v>
      </c>
      <c r="J18" s="39">
        <v>-123.491</v>
      </c>
      <c r="K18" s="39">
        <v>823233.48239999998</v>
      </c>
      <c r="L18" s="39">
        <v>1091513.159</v>
      </c>
      <c r="M18" s="39">
        <v>-121.8501</v>
      </c>
      <c r="N18" s="39">
        <v>823234.26280000003</v>
      </c>
      <c r="O18" s="39">
        <v>1091511.5060000001</v>
      </c>
      <c r="P18" s="39">
        <v>-121.06229999999999</v>
      </c>
      <c r="Q18" s="39">
        <v>823234.91859999998</v>
      </c>
      <c r="R18" s="39">
        <v>1091510.115</v>
      </c>
      <c r="S18" s="39">
        <v>-121.4068</v>
      </c>
      <c r="T18" s="39">
        <v>823235.52780000004</v>
      </c>
      <c r="U18" s="39">
        <v>1091508.93</v>
      </c>
      <c r="V18" s="39">
        <v>-123.54559999999999</v>
      </c>
      <c r="W18" s="39">
        <v>823235.4902</v>
      </c>
      <c r="X18" s="39">
        <v>1091509.031</v>
      </c>
      <c r="Y18" s="39">
        <v>-124.6927</v>
      </c>
      <c r="Z18" s="39">
        <f t="shared" si="1"/>
        <v>4.3093313424907009</v>
      </c>
      <c r="AA18" s="39">
        <f t="shared" si="2"/>
        <v>3.438185208763231</v>
      </c>
      <c r="AB18" s="39">
        <f t="shared" si="3"/>
        <v>1.9904929037430865</v>
      </c>
      <c r="AC18" s="39">
        <f t="shared" si="4"/>
        <v>1.5759552309963638</v>
      </c>
      <c r="AD18" s="39">
        <f t="shared" si="5"/>
        <v>3.7950994572790728</v>
      </c>
      <c r="AE18" s="39">
        <f t="shared" si="6"/>
        <v>4.5620105129644282</v>
      </c>
      <c r="AF18" s="39">
        <f t="shared" si="7"/>
        <v>3.3948669090195289</v>
      </c>
      <c r="AG18" s="39">
        <f t="shared" si="8"/>
        <v>5.3023856895449963</v>
      </c>
      <c r="AH18" s="39">
        <f t="shared" si="9"/>
        <v>5.1267258108280744</v>
      </c>
      <c r="AI18" s="43">
        <f t="shared" ref="AI18" si="209">IF(Z18="","",(Z18-Z$10)*1000)</f>
        <v>-39.035275795256119</v>
      </c>
      <c r="AJ18" s="43">
        <f t="shared" ref="AJ18" si="210">IF(AA18="","",(AA18-AA$10)*1000)</f>
        <v>-32.867686724067369</v>
      </c>
      <c r="AK18" s="43">
        <f t="shared" ref="AK18" si="211">IF(AB18="","",(AB18-AB$10)*1000)</f>
        <v>-19.674394205298597</v>
      </c>
      <c r="AL18" s="43">
        <f t="shared" ref="AL18" si="212">IF(AC18="","",(AC18-AC$10)*1000)</f>
        <v>-17.795136219741934</v>
      </c>
      <c r="AM18" s="43">
        <f t="shared" ref="AM18" si="213">IF(AD18="","",(AD18-AD$10)*1000)</f>
        <v>-40.7238931465983</v>
      </c>
      <c r="AN18" s="43">
        <f t="shared" ref="AN18" si="214">IF(AE18="","",(AE18-AE$10)*1000)</f>
        <v>-17.01105770440936</v>
      </c>
      <c r="AO18" s="43">
        <f t="shared" ref="AO18" si="215">IF(AF18="","",(AF18-AF$10)*1000)</f>
        <v>-17.38011969286779</v>
      </c>
      <c r="AP18" s="43">
        <f t="shared" ref="AP18" si="216">IF(AG18="","",(AG18-AG$10)*1000)</f>
        <v>-15.395035106649857</v>
      </c>
      <c r="AQ18" s="43">
        <f t="shared" ref="AQ18" si="217">IF(AH18="","",(AH18-AH$10)*1000)</f>
        <v>-13.206324020437421</v>
      </c>
      <c r="AR18" s="40"/>
      <c r="AS18" s="43">
        <f t="shared" ref="AS18" si="218">IF(E18="","",(E18-E$10)*1000)</f>
        <v>-0.75000000651925802</v>
      </c>
      <c r="AT18" s="43">
        <f t="shared" ref="AT18" si="219">IF(F18="","",(F18-F$10)*1000)</f>
        <v>0.14999997802078724</v>
      </c>
      <c r="AU18" s="43">
        <f t="shared" ref="AU18" si="220">IF(G18="","",(G18-G$10)*1000)</f>
        <v>1.1000000000080945</v>
      </c>
      <c r="AV18" s="43">
        <f t="shared" ref="AV18" si="221">IF(H18="","",(H18-H$10)*1000)</f>
        <v>-0.29999995604157448</v>
      </c>
      <c r="AW18" s="43">
        <f t="shared" ref="AW18" si="222">IF(I18="","",(I18-I$10)*1000)</f>
        <v>0.24999980814754963</v>
      </c>
      <c r="AX18" s="43">
        <f t="shared" ref="AX18" si="223">IF(J18="","",(J18-J$10)*1000)</f>
        <v>0.55000000000404725</v>
      </c>
      <c r="AY18" s="43">
        <f t="shared" ref="AY18" si="224">IF(K18="","",(K18-K$10)*1000)</f>
        <v>-1.0499999625608325</v>
      </c>
      <c r="AZ18" s="43">
        <f t="shared" ref="AZ18" si="225">IF(L18="","",(L18-L$10)*1000)</f>
        <v>-3.7000002339482307</v>
      </c>
      <c r="BA18" s="43">
        <f t="shared" ref="BA18" si="226">IF(M18="","",(M18-M$10)*1000)</f>
        <v>-5.7999999999935881</v>
      </c>
      <c r="BB18" s="43">
        <f t="shared" ref="BB18" si="227">IF(N18="","",(N18-N$10)*1000)</f>
        <v>-10.600000037811697</v>
      </c>
      <c r="BC18" s="43">
        <f t="shared" ref="BC18" si="228">IF(O18="","",(O18-O$10)*1000)</f>
        <v>-3.7000000011175871</v>
      </c>
      <c r="BD18" s="43">
        <f t="shared" ref="BD18" si="229">IF(P18="","",(P18-P$10)*1000)</f>
        <v>-45.249999999995794</v>
      </c>
      <c r="BE18" s="43">
        <f t="shared" ref="BE18" si="230">IF(Q18="","",(Q18-Q$10)*1000)</f>
        <v>-8.9500000467523932</v>
      </c>
      <c r="BF18" s="43">
        <f t="shared" ref="BF18" si="231">IF(R18="","",(R18-R$10)*1000)</f>
        <v>10.200000135228038</v>
      </c>
      <c r="BG18" s="43">
        <f t="shared" ref="BG18" si="232">IF(S18="","",(S18-S$10)*1000)</f>
        <v>-17.750000000006594</v>
      </c>
      <c r="BH18" s="43">
        <f t="shared" ref="BH18" si="233">IF(T18="","",(T18-T$10)*1000)</f>
        <v>-6.4999999012798071</v>
      </c>
      <c r="BI18" s="43">
        <f t="shared" ref="BI18" si="234">IF(U18="","",(U18-U$10)*1000)</f>
        <v>14.350000070407987</v>
      </c>
      <c r="BJ18" s="43">
        <f t="shared" ref="BJ18" si="235">IF(V18="","",(V18-V$10)*1000)</f>
        <v>0.20000000000663931</v>
      </c>
      <c r="BK18" s="43">
        <f t="shared" ref="BK18" si="236">IF(W18="","",(W18-W$10)*1000)</f>
        <v>5.6000000331550837</v>
      </c>
      <c r="BL18" s="43">
        <f t="shared" ref="BL18" si="237">IF(X18="","",(X18-X$10)*1000)</f>
        <v>17.749999882653356</v>
      </c>
      <c r="BM18" s="43">
        <f t="shared" ref="BM18" si="238">IF(Y18="","",(Y18-Y$10)*1000)</f>
        <v>-33.10000000000457</v>
      </c>
      <c r="BN18" s="40"/>
      <c r="BO18" s="39">
        <v>183.9699</v>
      </c>
      <c r="BP18" s="39">
        <v>-2.5604</v>
      </c>
      <c r="BQ18" s="39">
        <v>-0.96099999999999997</v>
      </c>
      <c r="BR18" s="39">
        <v>183.96600000000001</v>
      </c>
      <c r="BS18" s="39">
        <v>-2.6284000000000001</v>
      </c>
      <c r="BT18" s="39">
        <v>0.2122</v>
      </c>
      <c r="BU18" s="39">
        <v>183.89590000000001</v>
      </c>
      <c r="BV18" s="39">
        <v>-2.0240999999999998</v>
      </c>
      <c r="BW18" s="39">
        <v>1.8537999999999999</v>
      </c>
      <c r="BX18" s="39">
        <v>183.90430000000001</v>
      </c>
      <c r="BY18" s="39">
        <v>-0.1958</v>
      </c>
      <c r="BZ18" s="39">
        <v>2.6415000000000002</v>
      </c>
      <c r="CA18" s="39">
        <v>183.91050000000001</v>
      </c>
      <c r="CB18" s="39">
        <v>1.3424</v>
      </c>
      <c r="CC18" s="39">
        <v>2.2970000000000002</v>
      </c>
      <c r="CD18" s="39">
        <v>183.9622</v>
      </c>
      <c r="CE18" s="39">
        <v>2.6730999999999998</v>
      </c>
      <c r="CF18" s="39">
        <v>0.15770000000000001</v>
      </c>
      <c r="CG18" s="39">
        <v>183.97049999999999</v>
      </c>
      <c r="CH18" s="39">
        <v>2.5663</v>
      </c>
      <c r="CI18" s="39">
        <v>-0.98950000000000005</v>
      </c>
      <c r="CJ18" s="40"/>
      <c r="CK18" s="43">
        <f t="shared" ref="CK18" si="239">IF(BO18="","",(BO18-BO$10)*1000)</f>
        <v>-0.84707964336416808</v>
      </c>
      <c r="CL18" s="43">
        <f t="shared" ref="CL18" si="240">IF(BP18="","",(BP18-BP$10)*1000)</f>
        <v>-0.17236603179249244</v>
      </c>
      <c r="CM18" s="43">
        <f t="shared" ref="CM18" si="241">IF(BQ18="","",(BQ18-BQ$10)*1000)</f>
        <v>1.1274707964460395</v>
      </c>
      <c r="CN18" s="43">
        <f t="shared" ref="CN18" si="242">IF(BR18="","",(BR18-BR$10)*1000)</f>
        <v>-0.3375558976586035</v>
      </c>
      <c r="CO18" s="43">
        <f t="shared" ref="CO18" si="243">IF(BS18="","",(BS18-BS$10)*1000)</f>
        <v>-2.2486393099541147E-2</v>
      </c>
      <c r="CP18" s="43">
        <f t="shared" ref="CP18" si="244">IF(BT18="","",(BT18-BT$10)*1000)</f>
        <v>0.58337555897908233</v>
      </c>
      <c r="CQ18" s="43">
        <f t="shared" ref="CQ18" si="245">IF(BU18="","",(BU18-BU$10)*1000)</f>
        <v>-2.3448854914533968</v>
      </c>
      <c r="CR18" s="43">
        <f t="shared" ref="CR18" si="246">IF(BV18="","",(BV18-BV$10)*1000)</f>
        <v>2.5724709854406669</v>
      </c>
      <c r="CS18" s="43">
        <f t="shared" ref="CS18" si="247">IF(BW18="","",(BW18-BW$10)*1000)</f>
        <v>-5.7975511450718553</v>
      </c>
      <c r="CT18" s="43">
        <f t="shared" ref="CT18" si="248">IF(BX18="","",(BX18-BX$10)*1000)</f>
        <v>-11.18120244419174</v>
      </c>
      <c r="CU18" s="43">
        <f t="shared" ref="CU18" si="249">IF(BY18="","",(BY18-BY$10)*1000)</f>
        <v>-1.0811089710806854</v>
      </c>
      <c r="CV18" s="43">
        <f t="shared" ref="CV18" si="250">IF(BZ18="","",(BZ18-BZ$10)*1000)</f>
        <v>-45.125187975550759</v>
      </c>
      <c r="CW18" s="43">
        <f t="shared" ref="CW18" si="251">IF(CA18="","",(CA18-CA$10)*1000)</f>
        <v>-4.0936521362198164</v>
      </c>
      <c r="CX18" s="43">
        <f t="shared" ref="CX18" si="252">IF(CB18="","",(CB18-CB$10)*1000)</f>
        <v>-12.629753847173797</v>
      </c>
      <c r="CY18" s="43">
        <f t="shared" ref="CY18" si="253">IF(CC18="","",(CC18-CC$10)*1000)</f>
        <v>-17.634063478635387</v>
      </c>
      <c r="CZ18" s="43">
        <f t="shared" ref="CZ18" si="254">IF(CD18="","",(CD18-CD$10)*1000)</f>
        <v>0.3344668686793284</v>
      </c>
      <c r="DA18" s="43">
        <f t="shared" ref="DA18" si="255">IF(CE18="","",(CE18-CE$10)*1000)</f>
        <v>-16.024604093085593</v>
      </c>
      <c r="DB18" s="43">
        <f t="shared" ref="DB18" si="256">IF(CF18="","",(CF18-CF$10)*1000)</f>
        <v>0.23865533131034455</v>
      </c>
      <c r="DC18" s="43">
        <f t="shared" ref="DC18" si="257">IF(CG18="","",(CG18-CG$10)*1000)</f>
        <v>12.42634561768341</v>
      </c>
      <c r="DD18" s="43">
        <f t="shared" ref="DD18" si="258">IF(CH18="","",(CH18-CH$10)*1000)</f>
        <v>-13.364695174446162</v>
      </c>
      <c r="DE18" s="43">
        <f t="shared" ref="DE18" si="259">IF(CI18="","",(CI18-CI$10)*1000)</f>
        <v>-33.199263456176183</v>
      </c>
    </row>
    <row r="19" spans="1:109" s="83" customFormat="1" ht="29.25" customHeight="1" x14ac:dyDescent="0.2">
      <c r="A19" s="123" t="s">
        <v>69</v>
      </c>
      <c r="B19" s="124"/>
      <c r="C19" s="124"/>
      <c r="D19" s="124"/>
      <c r="E19" s="125" t="s">
        <v>69</v>
      </c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125"/>
      <c r="AA19" s="125"/>
      <c r="AB19" s="125"/>
      <c r="AC19" s="125"/>
      <c r="AD19" s="125"/>
      <c r="AE19" s="125"/>
      <c r="AF19" s="125"/>
      <c r="AG19" s="125"/>
      <c r="AH19" s="125"/>
      <c r="AI19" s="125"/>
      <c r="AJ19" s="125"/>
      <c r="AK19" s="125"/>
      <c r="AL19" s="125"/>
      <c r="AM19" s="125"/>
      <c r="AN19" s="125"/>
      <c r="AO19" s="125"/>
      <c r="AP19" s="125"/>
      <c r="AQ19" s="125"/>
      <c r="AR19" s="82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2"/>
      <c r="BD19" s="82"/>
      <c r="BE19" s="82"/>
      <c r="BF19" s="82"/>
      <c r="BG19" s="82"/>
      <c r="BH19" s="82"/>
      <c r="BI19" s="82"/>
      <c r="BJ19" s="82"/>
      <c r="BK19" s="82"/>
      <c r="BL19" s="82"/>
      <c r="BM19" s="82"/>
      <c r="BN19" s="82"/>
      <c r="BO19" s="82"/>
      <c r="BP19" s="82"/>
      <c r="BQ19" s="82"/>
      <c r="BR19" s="82"/>
      <c r="BS19" s="82"/>
      <c r="BT19" s="82"/>
      <c r="BU19" s="82"/>
      <c r="BV19" s="82"/>
      <c r="BW19" s="82"/>
      <c r="BX19" s="82"/>
      <c r="BY19" s="82"/>
      <c r="BZ19" s="82"/>
      <c r="CA19" s="82"/>
      <c r="CB19" s="82"/>
      <c r="CC19" s="82"/>
      <c r="CD19" s="82"/>
      <c r="CE19" s="82"/>
      <c r="CF19" s="82"/>
      <c r="CG19" s="82"/>
      <c r="CH19" s="82"/>
      <c r="CI19" s="82"/>
      <c r="CJ19" s="82"/>
      <c r="CK19" s="82"/>
      <c r="CL19" s="82"/>
      <c r="CM19" s="82"/>
      <c r="CN19" s="82"/>
      <c r="CO19" s="82"/>
      <c r="CP19" s="82"/>
      <c r="CQ19" s="82"/>
      <c r="CR19" s="82"/>
      <c r="CS19" s="82"/>
      <c r="CT19" s="82"/>
      <c r="CU19" s="82"/>
      <c r="CV19" s="82"/>
      <c r="CW19" s="82"/>
      <c r="CX19" s="82"/>
      <c r="CY19" s="82"/>
      <c r="CZ19" s="82"/>
      <c r="DA19" s="82"/>
      <c r="DB19" s="82"/>
      <c r="DC19" s="82"/>
      <c r="DD19" s="82"/>
      <c r="DE19" s="82"/>
    </row>
    <row r="20" spans="1:109" s="90" customFormat="1" ht="29.25" customHeight="1" x14ac:dyDescent="0.2">
      <c r="A20" s="84">
        <v>43684</v>
      </c>
      <c r="B20" s="85">
        <f t="shared" si="10"/>
        <v>26</v>
      </c>
      <c r="C20" s="86">
        <v>193.66</v>
      </c>
      <c r="D20" s="86">
        <f t="shared" si="157"/>
        <v>9.7599999999999909</v>
      </c>
      <c r="E20" s="87">
        <v>823233.37589999998</v>
      </c>
      <c r="F20" s="87">
        <v>1091513.5630000001</v>
      </c>
      <c r="G20" s="87">
        <v>-124.5821</v>
      </c>
      <c r="H20" s="87">
        <v>823233.24939999997</v>
      </c>
      <c r="I20" s="87">
        <v>1091513.7660000001</v>
      </c>
      <c r="J20" s="87">
        <v>-123.4123</v>
      </c>
      <c r="K20" s="87">
        <v>823233.45149999997</v>
      </c>
      <c r="L20" s="87">
        <v>1091513.2930000001</v>
      </c>
      <c r="M20" s="87">
        <v>-121.9659</v>
      </c>
      <c r="N20" s="87">
        <v>823234.11219999997</v>
      </c>
      <c r="O20" s="87">
        <v>1091511.5549999999</v>
      </c>
      <c r="P20" s="87">
        <v>-121.03579999999999</v>
      </c>
      <c r="Q20" s="87">
        <v>823234.86450000003</v>
      </c>
      <c r="R20" s="87">
        <v>1091510.1429999999</v>
      </c>
      <c r="S20" s="87">
        <v>-121.3609</v>
      </c>
      <c r="T20" s="87">
        <v>823235.48419999995</v>
      </c>
      <c r="U20" s="87">
        <v>1091508.8929999999</v>
      </c>
      <c r="V20" s="87">
        <v>-123.44880000000001</v>
      </c>
      <c r="W20" s="87">
        <v>823235.41139999998</v>
      </c>
      <c r="X20" s="87">
        <v>1091509.0349999999</v>
      </c>
      <c r="Y20" s="87">
        <v>-124.62520000000001</v>
      </c>
      <c r="Z20" s="87">
        <f t="shared" si="1"/>
        <v>4.1413096214332494</v>
      </c>
      <c r="AA20" s="87">
        <f t="shared" si="2"/>
        <v>3.3586749009936376</v>
      </c>
      <c r="AB20" s="87">
        <f t="shared" si="3"/>
        <v>2.079003246860585</v>
      </c>
      <c r="AC20" s="87">
        <f t="shared" si="4"/>
        <v>1.6326020029720514</v>
      </c>
      <c r="AD20" s="87">
        <f t="shared" si="5"/>
        <v>3.8459325267076641</v>
      </c>
      <c r="AE20" s="87">
        <f t="shared" si="6"/>
        <v>4.5740696321892855</v>
      </c>
      <c r="AF20" s="87">
        <f t="shared" si="7"/>
        <v>3.5050098432166941</v>
      </c>
      <c r="AG20" s="87">
        <f t="shared" si="8"/>
        <v>5.3611372199598151</v>
      </c>
      <c r="AH20" s="87">
        <f t="shared" si="9"/>
        <v>4.9646653322750449</v>
      </c>
      <c r="AI20" s="88"/>
      <c r="AJ20" s="88"/>
      <c r="AK20" s="88"/>
      <c r="AL20" s="88"/>
      <c r="AM20" s="88"/>
      <c r="AN20" s="88"/>
      <c r="AO20" s="88"/>
      <c r="AP20" s="88"/>
      <c r="AQ20" s="88"/>
      <c r="AR20" s="89"/>
      <c r="AS20" s="88"/>
      <c r="AT20" s="88"/>
      <c r="AU20" s="88"/>
      <c r="AV20" s="88"/>
      <c r="AW20" s="88"/>
      <c r="AX20" s="88"/>
      <c r="AY20" s="88"/>
      <c r="AZ20" s="88"/>
      <c r="BA20" s="88"/>
      <c r="BB20" s="88"/>
      <c r="BC20" s="88"/>
      <c r="BD20" s="88"/>
      <c r="BE20" s="88"/>
      <c r="BF20" s="88"/>
      <c r="BG20" s="88"/>
      <c r="BH20" s="88"/>
      <c r="BI20" s="88"/>
      <c r="BJ20" s="88"/>
      <c r="BK20" s="88"/>
      <c r="BL20" s="88"/>
      <c r="BM20" s="88"/>
      <c r="BN20" s="89"/>
      <c r="BO20" s="87">
        <v>183.97</v>
      </c>
      <c r="BP20" s="87">
        <v>-2.4350000000000001</v>
      </c>
      <c r="BQ20" s="87">
        <v>-0.87890000000000001</v>
      </c>
      <c r="BR20" s="87">
        <v>183.9409</v>
      </c>
      <c r="BS20" s="87">
        <v>-2.6720000000000002</v>
      </c>
      <c r="BT20" s="87">
        <v>0.29120000000000001</v>
      </c>
      <c r="BU20" s="87">
        <v>183.92420000000001</v>
      </c>
      <c r="BV20" s="87">
        <v>-2.1579999999999999</v>
      </c>
      <c r="BW20" s="87">
        <v>1.7377</v>
      </c>
      <c r="BX20" s="87">
        <v>183.7884</v>
      </c>
      <c r="BY20" s="87">
        <v>-0.30370000000000003</v>
      </c>
      <c r="BZ20" s="87">
        <v>2.6692</v>
      </c>
      <c r="CA20" s="87">
        <v>183.87370000000001</v>
      </c>
      <c r="CB20" s="87">
        <v>1.2934000000000001</v>
      </c>
      <c r="CC20" s="87">
        <v>2.3431999999999999</v>
      </c>
      <c r="CD20" s="87">
        <v>183.90700000000001</v>
      </c>
      <c r="CE20" s="87">
        <v>2.6882999999999999</v>
      </c>
      <c r="CF20" s="87">
        <v>0.255</v>
      </c>
      <c r="CG20" s="87">
        <v>183.9008</v>
      </c>
      <c r="CH20" s="87">
        <v>2.5293000000000001</v>
      </c>
      <c r="CI20" s="87">
        <v>-0.92130000000000001</v>
      </c>
      <c r="CJ20" s="89"/>
      <c r="CK20" s="88"/>
      <c r="CL20" s="88"/>
      <c r="CM20" s="88"/>
      <c r="CN20" s="88"/>
      <c r="CO20" s="88"/>
      <c r="CP20" s="88"/>
      <c r="CQ20" s="88"/>
      <c r="CR20" s="88"/>
      <c r="CS20" s="88"/>
      <c r="CT20" s="88"/>
      <c r="CU20" s="88"/>
      <c r="CV20" s="88"/>
      <c r="CW20" s="88"/>
      <c r="CX20" s="88"/>
      <c r="CY20" s="88"/>
      <c r="CZ20" s="88"/>
      <c r="DA20" s="88"/>
      <c r="DB20" s="88"/>
      <c r="DC20" s="88"/>
      <c r="DD20" s="88"/>
      <c r="DE20" s="88"/>
    </row>
    <row r="21" spans="1:109" ht="29.25" customHeight="1" x14ac:dyDescent="0.2">
      <c r="A21" s="37">
        <v>43685</v>
      </c>
      <c r="B21" s="29">
        <f t="shared" si="10"/>
        <v>27</v>
      </c>
      <c r="C21" s="38">
        <v>193.66</v>
      </c>
      <c r="D21" s="38">
        <f t="shared" ref="D21:D33" si="260">C21-PM</f>
        <v>9.7599999999999909</v>
      </c>
      <c r="E21" s="39">
        <v>823233.37639999995</v>
      </c>
      <c r="F21" s="39">
        <v>1091513.5630000001</v>
      </c>
      <c r="G21" s="39">
        <v>-124.5819</v>
      </c>
      <c r="H21" s="39">
        <v>823233.25</v>
      </c>
      <c r="I21" s="39">
        <v>1091513.7649999999</v>
      </c>
      <c r="J21" s="39">
        <v>-123.4123</v>
      </c>
      <c r="K21" s="39">
        <v>823233.45220000006</v>
      </c>
      <c r="L21" s="39">
        <v>1091513.2919999999</v>
      </c>
      <c r="M21" s="39">
        <v>-121.9658</v>
      </c>
      <c r="N21" s="39">
        <v>823234.11309999996</v>
      </c>
      <c r="O21" s="39">
        <v>1091511.554</v>
      </c>
      <c r="P21" s="39">
        <v>-121.036</v>
      </c>
      <c r="Q21" s="39">
        <v>823234.86490000004</v>
      </c>
      <c r="R21" s="39">
        <v>1091510.1429999999</v>
      </c>
      <c r="S21" s="39">
        <v>-121.3609</v>
      </c>
      <c r="T21" s="39">
        <v>823235.48479999998</v>
      </c>
      <c r="U21" s="39">
        <v>1091508.8929999999</v>
      </c>
      <c r="V21" s="39">
        <v>-123.44880000000001</v>
      </c>
      <c r="W21" s="39">
        <v>823235.4118</v>
      </c>
      <c r="X21" s="39">
        <v>1091509.034</v>
      </c>
      <c r="Y21" s="39">
        <v>-124.6251</v>
      </c>
      <c r="Z21" s="39">
        <f t="shared" si="1"/>
        <v>4.1415232343096884</v>
      </c>
      <c r="AA21" s="39">
        <f t="shared" si="2"/>
        <v>3.3586104715282388</v>
      </c>
      <c r="AB21" s="39">
        <f t="shared" si="3"/>
        <v>2.0789326226470637</v>
      </c>
      <c r="AC21" s="39">
        <f t="shared" si="4"/>
        <v>1.6314669013971981</v>
      </c>
      <c r="AD21" s="39">
        <f t="shared" si="5"/>
        <v>3.845007897322883</v>
      </c>
      <c r="AE21" s="39">
        <f t="shared" si="6"/>
        <v>4.5736922174765597</v>
      </c>
      <c r="AF21" s="39">
        <f t="shared" si="7"/>
        <v>3.5039729308041969</v>
      </c>
      <c r="AG21" s="39">
        <f t="shared" si="8"/>
        <v>5.3602282870826503</v>
      </c>
      <c r="AH21" s="39">
        <f t="shared" si="9"/>
        <v>4.9655372721476345</v>
      </c>
      <c r="AI21" s="43">
        <f t="shared" ref="AI21:AI26" si="261">IF(Z21="","",(Z21-Z$20)*1000)+AI$18</f>
        <v>-38.821662918817168</v>
      </c>
      <c r="AJ21" s="43">
        <f t="shared" ref="AJ21:AQ21" si="262">IF(AA21="","",(AA21-AA$20)*1000)+AJ$18</f>
        <v>-32.932116189466228</v>
      </c>
      <c r="AK21" s="43">
        <f t="shared" si="262"/>
        <v>-19.745018418819928</v>
      </c>
      <c r="AL21" s="43">
        <f t="shared" si="262"/>
        <v>-18.930237794595236</v>
      </c>
      <c r="AM21" s="43">
        <f t="shared" si="262"/>
        <v>-41.648522531379406</v>
      </c>
      <c r="AN21" s="43">
        <f t="shared" si="262"/>
        <v>-17.388472417135148</v>
      </c>
      <c r="AO21" s="43">
        <f t="shared" si="262"/>
        <v>-18.417032105364939</v>
      </c>
      <c r="AP21" s="43">
        <f t="shared" si="262"/>
        <v>-16.303967983814616</v>
      </c>
      <c r="AQ21" s="43">
        <f t="shared" si="262"/>
        <v>-12.334384147847821</v>
      </c>
      <c r="AR21" s="40"/>
      <c r="AS21" s="43">
        <f t="shared" ref="AS21:AS26" si="263">IF(E21="","",(E21-E$20)*1000)+AS$18</f>
        <v>-0.25000004097819328</v>
      </c>
      <c r="AT21" s="43">
        <f t="shared" ref="AT21:BM21" si="264">IF(F21="","",(F21-F$20)*1000)+AT$18</f>
        <v>0.14999997802078724</v>
      </c>
      <c r="AU21" s="43">
        <f t="shared" si="264"/>
        <v>1.300000000000523</v>
      </c>
      <c r="AV21" s="43">
        <f t="shared" si="264"/>
        <v>0.30000007245689631</v>
      </c>
      <c r="AW21" s="43">
        <f t="shared" si="264"/>
        <v>-0.7500003557652235</v>
      </c>
      <c r="AX21" s="43">
        <f t="shared" si="264"/>
        <v>0.55000000000404725</v>
      </c>
      <c r="AY21" s="43">
        <f t="shared" si="264"/>
        <v>-0.34999987110495567</v>
      </c>
      <c r="AZ21" s="43">
        <f t="shared" si="264"/>
        <v>-4.7000003978610039</v>
      </c>
      <c r="BA21" s="43">
        <f t="shared" si="264"/>
        <v>-5.6999999999902684</v>
      </c>
      <c r="BB21" s="43">
        <f t="shared" si="264"/>
        <v>-9.7000000532716513</v>
      </c>
      <c r="BC21" s="43">
        <f t="shared" si="264"/>
        <v>-4.6999999321997166</v>
      </c>
      <c r="BD21" s="43">
        <f t="shared" si="264"/>
        <v>-45.450000000002433</v>
      </c>
      <c r="BE21" s="43">
        <f t="shared" si="264"/>
        <v>-8.5500000277534127</v>
      </c>
      <c r="BF21" s="43">
        <f t="shared" si="264"/>
        <v>10.200000135228038</v>
      </c>
      <c r="BG21" s="43">
        <f t="shared" si="264"/>
        <v>-17.750000000006594</v>
      </c>
      <c r="BH21" s="43">
        <f t="shared" si="264"/>
        <v>-5.8999998727813363</v>
      </c>
      <c r="BI21" s="43">
        <f t="shared" si="264"/>
        <v>14.350000070407987</v>
      </c>
      <c r="BJ21" s="43">
        <f t="shared" si="264"/>
        <v>0.20000000000663931</v>
      </c>
      <c r="BK21" s="43">
        <f t="shared" si="264"/>
        <v>6.0000000521540642</v>
      </c>
      <c r="BL21" s="43">
        <f t="shared" si="264"/>
        <v>16.749999951571226</v>
      </c>
      <c r="BM21" s="43">
        <f t="shared" si="264"/>
        <v>-33.000000000001251</v>
      </c>
      <c r="BN21" s="40"/>
      <c r="BO21" s="39">
        <v>183.97020000000001</v>
      </c>
      <c r="BP21" s="39">
        <v>-2.4342999999999999</v>
      </c>
      <c r="BQ21" s="39">
        <v>-0.87870000000000004</v>
      </c>
      <c r="BR21" s="39">
        <v>183.94110000000001</v>
      </c>
      <c r="BS21" s="39">
        <v>-2.6711</v>
      </c>
      <c r="BT21" s="39">
        <v>0.29120000000000001</v>
      </c>
      <c r="BU21" s="39">
        <v>183.9246</v>
      </c>
      <c r="BV21" s="39">
        <v>-2.1573000000000002</v>
      </c>
      <c r="BW21" s="39">
        <v>1.7378</v>
      </c>
      <c r="BX21" s="39">
        <v>183.78909999999999</v>
      </c>
      <c r="BY21" s="39">
        <v>-0.3029</v>
      </c>
      <c r="BZ21" s="39">
        <v>2.669</v>
      </c>
      <c r="CA21" s="39">
        <v>183.87379999999999</v>
      </c>
      <c r="CB21" s="39">
        <v>1.2941</v>
      </c>
      <c r="CC21" s="39">
        <v>2.3431999999999999</v>
      </c>
      <c r="CD21" s="39">
        <v>183.90729999999999</v>
      </c>
      <c r="CE21" s="39">
        <v>2.6890000000000001</v>
      </c>
      <c r="CF21" s="39">
        <v>0.255</v>
      </c>
      <c r="CG21" s="39">
        <v>183.9008</v>
      </c>
      <c r="CH21" s="39">
        <v>2.5303</v>
      </c>
      <c r="CI21" s="39">
        <v>-0.92120000000000002</v>
      </c>
      <c r="CJ21" s="40"/>
      <c r="CK21" s="43">
        <f t="shared" ref="CK21:CK26" si="265">IF(BO21="","",(BO21-BO$20)*1000)+CK$18</f>
        <v>-0.64707964335752877</v>
      </c>
      <c r="CL21" s="43">
        <f t="shared" ref="CL21:DE21" si="266">IF(BP21="","",(BP21-BP$20)*1000)+CL$18</f>
        <v>0.52763396820765252</v>
      </c>
      <c r="CM21" s="43">
        <f t="shared" si="266"/>
        <v>1.3274707964460175</v>
      </c>
      <c r="CN21" s="43">
        <f t="shared" si="266"/>
        <v>-0.13755589765196419</v>
      </c>
      <c r="CO21" s="43">
        <f t="shared" si="266"/>
        <v>0.87751360690058178</v>
      </c>
      <c r="CP21" s="43">
        <f t="shared" si="266"/>
        <v>0.58337555897908233</v>
      </c>
      <c r="CQ21" s="43">
        <f t="shared" si="266"/>
        <v>-1.9448854914685398</v>
      </c>
      <c r="CR21" s="43">
        <f t="shared" si="266"/>
        <v>3.2724709854403677</v>
      </c>
      <c r="CS21" s="43">
        <f t="shared" si="266"/>
        <v>-5.6975511450718663</v>
      </c>
      <c r="CT21" s="43">
        <f t="shared" si="266"/>
        <v>-10.481202444196924</v>
      </c>
      <c r="CU21" s="43">
        <f t="shared" si="266"/>
        <v>-0.28110897108066246</v>
      </c>
      <c r="CV21" s="43">
        <f t="shared" si="266"/>
        <v>-45.325187975550733</v>
      </c>
      <c r="CW21" s="43">
        <f t="shared" si="266"/>
        <v>-3.9936521362449184</v>
      </c>
      <c r="CX21" s="43">
        <f t="shared" si="266"/>
        <v>-11.929753847173874</v>
      </c>
      <c r="CY21" s="43">
        <f t="shared" si="266"/>
        <v>-17.634063478635387</v>
      </c>
      <c r="CZ21" s="43">
        <f t="shared" si="266"/>
        <v>0.63446686866086566</v>
      </c>
      <c r="DA21" s="43">
        <f t="shared" si="266"/>
        <v>-15.324604093085448</v>
      </c>
      <c r="DB21" s="43">
        <f t="shared" si="266"/>
        <v>0.23865533131034455</v>
      </c>
      <c r="DC21" s="43">
        <f t="shared" si="266"/>
        <v>12.42634561768341</v>
      </c>
      <c r="DD21" s="43">
        <f t="shared" si="266"/>
        <v>-12.364695174446272</v>
      </c>
      <c r="DE21" s="43">
        <f t="shared" si="266"/>
        <v>-33.099263456176196</v>
      </c>
    </row>
    <row r="22" spans="1:109" ht="29.25" customHeight="1" x14ac:dyDescent="0.2">
      <c r="A22" s="37">
        <v>43689</v>
      </c>
      <c r="B22" s="29">
        <f t="shared" si="10"/>
        <v>31</v>
      </c>
      <c r="C22" s="38">
        <v>194.8</v>
      </c>
      <c r="D22" s="38">
        <f t="shared" si="260"/>
        <v>10.900000000000006</v>
      </c>
      <c r="E22" s="39">
        <v>823233.37479999999</v>
      </c>
      <c r="F22" s="39">
        <v>1091513.5632</v>
      </c>
      <c r="G22" s="39">
        <v>-124.5819</v>
      </c>
      <c r="H22" s="39">
        <v>823233.24840000004</v>
      </c>
      <c r="I22" s="39">
        <v>1091513.7655</v>
      </c>
      <c r="J22" s="39">
        <v>-123.4123</v>
      </c>
      <c r="K22" s="39">
        <v>823233.45059999998</v>
      </c>
      <c r="L22" s="39">
        <v>1091513.2926</v>
      </c>
      <c r="M22" s="39">
        <v>-121.9662</v>
      </c>
      <c r="N22" s="39">
        <v>823234.11060000001</v>
      </c>
      <c r="O22" s="39">
        <v>1091511.5552000001</v>
      </c>
      <c r="P22" s="39">
        <v>-121.03959999999999</v>
      </c>
      <c r="Q22" s="39">
        <v>823234.86329999997</v>
      </c>
      <c r="R22" s="39">
        <v>1091510.1446</v>
      </c>
      <c r="S22" s="39">
        <v>-121.3618</v>
      </c>
      <c r="T22" s="39">
        <v>823235.48360000004</v>
      </c>
      <c r="U22" s="39">
        <v>1091508.8944000001</v>
      </c>
      <c r="V22" s="39">
        <v>-123.4487</v>
      </c>
      <c r="W22" s="39">
        <v>823235.41090000002</v>
      </c>
      <c r="X22" s="39">
        <v>1091509.0359</v>
      </c>
      <c r="Y22" s="39">
        <v>-124.6249</v>
      </c>
      <c r="Z22" s="39">
        <f t="shared" si="1"/>
        <v>4.1377959023725834</v>
      </c>
      <c r="AA22" s="39">
        <f t="shared" si="2"/>
        <v>3.3553718452052959</v>
      </c>
      <c r="AB22" s="39">
        <f t="shared" si="3"/>
        <v>2.0767152717659889</v>
      </c>
      <c r="AC22" s="39">
        <f t="shared" si="4"/>
        <v>1.6310004568063574</v>
      </c>
      <c r="AD22" s="39">
        <f t="shared" si="5"/>
        <v>3.8430129390642214</v>
      </c>
      <c r="AE22" s="39">
        <f t="shared" si="6"/>
        <v>4.5707798754945985</v>
      </c>
      <c r="AF22" s="39">
        <f t="shared" si="7"/>
        <v>3.5029879603336505</v>
      </c>
      <c r="AG22" s="39">
        <f t="shared" si="8"/>
        <v>5.3595764019876091</v>
      </c>
      <c r="AH22" s="39">
        <f t="shared" si="9"/>
        <v>4.9642721017010443</v>
      </c>
      <c r="AI22" s="43">
        <f t="shared" si="261"/>
        <v>-42.548994855922118</v>
      </c>
      <c r="AJ22" s="43">
        <f t="shared" ref="AJ22" si="267">IF(AA22="","",(AA22-AA$20)*1000)+AJ$18</f>
        <v>-36.170742512409149</v>
      </c>
      <c r="AK22" s="43">
        <f t="shared" ref="AK22" si="268">IF(AB22="","",(AB22-AB$20)*1000)+AK$18</f>
        <v>-21.962369299894704</v>
      </c>
      <c r="AL22" s="43">
        <f t="shared" ref="AL22" si="269">IF(AC22="","",(AC22-AC$20)*1000)+AL$18</f>
        <v>-19.396682385435902</v>
      </c>
      <c r="AM22" s="43">
        <f t="shared" ref="AM22" si="270">IF(AD22="","",(AD22-AD$20)*1000)+AM$18</f>
        <v>-43.643480790040989</v>
      </c>
      <c r="AN22" s="43">
        <f t="shared" ref="AN22" si="271">IF(AE22="","",(AE22-AE$20)*1000)+AN$18</f>
        <v>-20.300814399096367</v>
      </c>
      <c r="AO22" s="43">
        <f t="shared" ref="AO22" si="272">IF(AF22="","",(AF22-AF$20)*1000)+AO$18</f>
        <v>-19.402002575911403</v>
      </c>
      <c r="AP22" s="43">
        <f t="shared" ref="AP22" si="273">IF(AG22="","",(AG22-AG$20)*1000)+AP$18</f>
        <v>-16.955853078855831</v>
      </c>
      <c r="AQ22" s="43">
        <f t="shared" ref="AQ22" si="274">IF(AH22="","",(AH22-AH$20)*1000)+AQ$18</f>
        <v>-13.599554594438068</v>
      </c>
      <c r="AR22" s="40"/>
      <c r="AS22" s="43">
        <f t="shared" si="263"/>
        <v>-1.8500000005587935</v>
      </c>
      <c r="AT22" s="43">
        <f t="shared" ref="AT22" si="275">IF(F22="","",(F22-F$20)*1000)+AT$18</f>
        <v>0.34999987110495567</v>
      </c>
      <c r="AU22" s="43">
        <f t="shared" ref="AU22" si="276">IF(G22="","",(G22-G$20)*1000)+AU$18</f>
        <v>1.300000000000523</v>
      </c>
      <c r="AV22" s="43">
        <f t="shared" ref="AV22" si="277">IF(H22="","",(H22-H$20)*1000)+AV$18</f>
        <v>-1.299999887123704</v>
      </c>
      <c r="AW22" s="43">
        <f t="shared" ref="AW22" si="278">IF(I22="","",(I22-I$20)*1000)+AW$18</f>
        <v>-0.25000027380883694</v>
      </c>
      <c r="AX22" s="43">
        <f t="shared" ref="AX22" si="279">IF(J22="","",(J22-J$20)*1000)+AX$18</f>
        <v>0.55000000000404725</v>
      </c>
      <c r="AY22" s="43">
        <f t="shared" ref="AY22" si="280">IF(K22="","",(K22-K$20)*1000)+AY$18</f>
        <v>-1.9499999471008778</v>
      </c>
      <c r="AZ22" s="43">
        <f t="shared" ref="AZ22" si="281">IF(L22="","",(L22-L$20)*1000)+AZ$18</f>
        <v>-4.1000002529472113</v>
      </c>
      <c r="BA22" s="43">
        <f t="shared" ref="BA22" si="282">IF(M22="","",(M22-M$20)*1000)+BA$18</f>
        <v>-6.0999999999893362</v>
      </c>
      <c r="BB22" s="43">
        <f t="shared" ref="BB22" si="283">IF(N22="","",(N22-N$20)*1000)+BB$18</f>
        <v>-12.199999997392297</v>
      </c>
      <c r="BC22" s="43">
        <f t="shared" ref="BC22" si="284">IF(O22="","",(O22-O$20)*1000)+BC$18</f>
        <v>-3.499999875202775</v>
      </c>
      <c r="BD22" s="43">
        <f t="shared" ref="BD22" si="285">IF(P22="","",(P22-P$20)*1000)+BD$18</f>
        <v>-49.049999999994043</v>
      </c>
      <c r="BE22" s="43">
        <f t="shared" ref="BE22" si="286">IF(Q22="","",(Q22-Q$20)*1000)+BE$18</f>
        <v>-10.150000103749335</v>
      </c>
      <c r="BF22" s="43">
        <f t="shared" ref="BF22" si="287">IF(R22="","",(R22-R$20)*1000)+BF$18</f>
        <v>11.80000021122396</v>
      </c>
      <c r="BG22" s="43">
        <f t="shared" ref="BG22" si="288">IF(S22="","",(S22-S$20)*1000)+BG$18</f>
        <v>-18.650000000008049</v>
      </c>
      <c r="BH22" s="43">
        <f t="shared" ref="BH22" si="289">IF(T22="","",(T22-T$20)*1000)+BH$18</f>
        <v>-7.099999813362956</v>
      </c>
      <c r="BI22" s="43">
        <f t="shared" ref="BI22" si="290">IF(U22="","",(U22-U$20)*1000)+BI$18</f>
        <v>15.75000025331974</v>
      </c>
      <c r="BJ22" s="43">
        <f t="shared" ref="BJ22" si="291">IF(V22="","",(V22-V$20)*1000)+BJ$18</f>
        <v>0.30000000000995897</v>
      </c>
      <c r="BK22" s="43">
        <f t="shared" ref="BK22" si="292">IF(W22="","",(W22-W$20)*1000)+BK$18</f>
        <v>5.1000000676140189</v>
      </c>
      <c r="BL22" s="43">
        <f t="shared" ref="BL22" si="293">IF(X22="","",(X22-X$20)*1000)+BL$18</f>
        <v>18.649999983608723</v>
      </c>
      <c r="BM22" s="43">
        <f t="shared" ref="BM22" si="294">IF(Y22="","",(Y22-Y$20)*1000)+BM$18</f>
        <v>-32.799999999994611</v>
      </c>
      <c r="BN22" s="40"/>
      <c r="BO22" s="39">
        <v>183.96900306980092</v>
      </c>
      <c r="BP22" s="39">
        <v>-2.4355847101523422</v>
      </c>
      <c r="BQ22" s="39">
        <v>-0.87871003069801645</v>
      </c>
      <c r="BR22" s="39">
        <v>183.93995025647612</v>
      </c>
      <c r="BS22" s="39">
        <v>-2.6723508057553476</v>
      </c>
      <c r="BT22" s="39">
        <v>0.291180497435235</v>
      </c>
      <c r="BU22" s="39">
        <v>183.92333037321774</v>
      </c>
      <c r="BV22" s="39">
        <v>-2.1583050593518718</v>
      </c>
      <c r="BW22" s="39">
        <v>1.7374466962678241</v>
      </c>
      <c r="BX22" s="39">
        <v>183.7871675233647</v>
      </c>
      <c r="BY22" s="39">
        <v>-0.3047629264868138</v>
      </c>
      <c r="BZ22" s="39">
        <v>2.6654083247663607</v>
      </c>
      <c r="CA22" s="39">
        <v>183.87314062326212</v>
      </c>
      <c r="CB22" s="39">
        <v>1.2917828060860364</v>
      </c>
      <c r="CC22" s="39">
        <v>2.3423485937673689</v>
      </c>
      <c r="CD22" s="39">
        <v>183.90691403844434</v>
      </c>
      <c r="CE22" s="39">
        <v>2.687000167733939</v>
      </c>
      <c r="CF22" s="39">
        <v>0.2551108596155558</v>
      </c>
      <c r="CG22" s="39">
        <v>183.90083186584377</v>
      </c>
      <c r="CH22" s="39">
        <v>2.528033041717594</v>
      </c>
      <c r="CI22" s="39">
        <v>-0.92102831865844337</v>
      </c>
      <c r="CJ22" s="40"/>
      <c r="CK22" s="43">
        <f t="shared" si="265"/>
        <v>-1.8440098424434836</v>
      </c>
      <c r="CL22" s="43">
        <f t="shared" ref="CL22" si="295">IF(BP22="","",(BP22-BP$20)*1000)+CL$18</f>
        <v>-0.75707618413467515</v>
      </c>
      <c r="CM22" s="43">
        <f t="shared" ref="CM22" si="296">IF(BQ22="","",(BQ22-BQ$20)*1000)+CM$18</f>
        <v>1.3174400984296009</v>
      </c>
      <c r="CN22" s="43">
        <f t="shared" ref="CN22" si="297">IF(BR22="","",(BR22-BR$20)*1000)+CN$18</f>
        <v>-1.2872994215342715</v>
      </c>
      <c r="CO22" s="43">
        <f t="shared" ref="CO22" si="298">IF(BS22="","",(BS22-BS$20)*1000)+CO$18</f>
        <v>-0.37329214844694647</v>
      </c>
      <c r="CP22" s="43">
        <f t="shared" ref="CP22" si="299">IF(BT22="","",(BT22-BT$20)*1000)+CP$18</f>
        <v>0.56387299421406523</v>
      </c>
      <c r="CQ22" s="43">
        <f t="shared" ref="CQ22" si="300">IF(BU22="","",(BU22-BU$20)*1000)+CQ$18</f>
        <v>-3.2145122737290421</v>
      </c>
      <c r="CR22" s="43">
        <f t="shared" ref="CR22" si="301">IF(BV22="","",(BV22-BV$20)*1000)+CR$18</f>
        <v>2.2674116335688055</v>
      </c>
      <c r="CS22" s="43">
        <f t="shared" ref="CS22" si="302">IF(BW22="","",(BW22-BW$20)*1000)+CS$18</f>
        <v>-6.0508548772477688</v>
      </c>
      <c r="CT22" s="43">
        <f t="shared" ref="CT22" si="303">IF(BX22="","",(BX22-BX$20)*1000)+CT$18</f>
        <v>-12.413679079486428</v>
      </c>
      <c r="CU22" s="43">
        <f t="shared" ref="CU22" si="304">IF(BY22="","",(BY22-BY$20)*1000)+CU$18</f>
        <v>-2.1440354578944607</v>
      </c>
      <c r="CV22" s="43">
        <f t="shared" ref="CV22" si="305">IF(BZ22="","",(BZ22-BZ$20)*1000)+CV$18</f>
        <v>-48.916863209190083</v>
      </c>
      <c r="CW22" s="43">
        <f t="shared" ref="CW22" si="306">IF(CA22="","",(CA22-CA$20)*1000)+CW$18</f>
        <v>-4.6530288741166714</v>
      </c>
      <c r="CX22" s="43">
        <f t="shared" ref="CX22" si="307">IF(CB22="","",(CB22-CB$20)*1000)+CX$18</f>
        <v>-14.246947761137552</v>
      </c>
      <c r="CY22" s="43">
        <f t="shared" ref="CY22" si="308">IF(CC22="","",(CC22-CC$20)*1000)+CY$18</f>
        <v>-18.485469711266411</v>
      </c>
      <c r="CZ22" s="43">
        <f t="shared" ref="CZ22" si="309">IF(CD22="","",(CD22-CD$20)*1000)+CZ$18</f>
        <v>0.24850531301012779</v>
      </c>
      <c r="DA22" s="43">
        <f t="shared" ref="DA22" si="310">IF(CE22="","",(CE22-CE$20)*1000)+DA$18</f>
        <v>-17.324436359146489</v>
      </c>
      <c r="DB22" s="43">
        <f t="shared" ref="DB22" si="311">IF(CF22="","",(CF22-CF$20)*1000)+DB$18</f>
        <v>0.34951494686613627</v>
      </c>
      <c r="DC22" s="43">
        <f t="shared" ref="DC22" si="312">IF(CG22="","",(CG22-CG$20)*1000)+DC$18</f>
        <v>12.458211461449764</v>
      </c>
      <c r="DD22" s="43">
        <f t="shared" ref="DD22" si="313">IF(CH22="","",(CH22-CH$20)*1000)+DD$18</f>
        <v>-14.631653456852245</v>
      </c>
      <c r="DE22" s="43">
        <f t="shared" ref="DE22" si="314">IF(CI22="","",(CI22-CI$20)*1000)+DE$18</f>
        <v>-32.92758211461954</v>
      </c>
    </row>
    <row r="23" spans="1:109" ht="29.25" customHeight="1" x14ac:dyDescent="0.2">
      <c r="A23" s="37">
        <v>43690</v>
      </c>
      <c r="B23" s="29">
        <f t="shared" si="10"/>
        <v>32</v>
      </c>
      <c r="C23" s="38">
        <v>194.8</v>
      </c>
      <c r="D23" s="38">
        <f t="shared" si="260"/>
        <v>10.900000000000006</v>
      </c>
      <c r="E23" s="39">
        <v>823233.37509999995</v>
      </c>
      <c r="F23" s="39">
        <v>1091513.564</v>
      </c>
      <c r="G23" s="39">
        <v>-124.5812</v>
      </c>
      <c r="H23" s="39">
        <v>823233.24849999999</v>
      </c>
      <c r="I23" s="39">
        <v>1091513.7660000001</v>
      </c>
      <c r="J23" s="39">
        <v>-123.4117</v>
      </c>
      <c r="K23" s="39">
        <v>823233.451</v>
      </c>
      <c r="L23" s="39">
        <v>1091513.2930000001</v>
      </c>
      <c r="M23" s="39">
        <v>-121.96559999999999</v>
      </c>
      <c r="N23" s="39">
        <v>823234.11120000004</v>
      </c>
      <c r="O23" s="39">
        <v>1091511.5560000001</v>
      </c>
      <c r="P23" s="39">
        <v>-121.0393</v>
      </c>
      <c r="Q23" s="39">
        <v>823234.86349999998</v>
      </c>
      <c r="R23" s="39">
        <v>1091510.145</v>
      </c>
      <c r="S23" s="39">
        <v>-121.3614</v>
      </c>
      <c r="T23" s="39">
        <v>823235.48389999999</v>
      </c>
      <c r="U23" s="39">
        <v>1091508.895</v>
      </c>
      <c r="V23" s="39">
        <v>-123.4482</v>
      </c>
      <c r="W23" s="39">
        <v>823235.41079999995</v>
      </c>
      <c r="X23" s="39">
        <v>1091509.037</v>
      </c>
      <c r="Y23" s="39">
        <v>-124.6241</v>
      </c>
      <c r="Z23" s="39">
        <f t="shared" si="1"/>
        <v>4.13750683622371</v>
      </c>
      <c r="AA23" s="39">
        <f t="shared" si="2"/>
        <v>3.3550906172459891</v>
      </c>
      <c r="AB23" s="39">
        <f t="shared" si="3"/>
        <v>2.0763103645487671</v>
      </c>
      <c r="AC23" s="39">
        <f t="shared" si="4"/>
        <v>1.6311421458988973</v>
      </c>
      <c r="AD23" s="39">
        <f t="shared" si="5"/>
        <v>3.8429188776613743</v>
      </c>
      <c r="AE23" s="39">
        <f t="shared" si="6"/>
        <v>4.5700232165942136</v>
      </c>
      <c r="AF23" s="39">
        <f t="shared" si="7"/>
        <v>3.5028728053150417</v>
      </c>
      <c r="AG23" s="39">
        <f t="shared" si="8"/>
        <v>5.359569610560146</v>
      </c>
      <c r="AH23" s="39">
        <f t="shared" si="9"/>
        <v>4.9638335890768897</v>
      </c>
      <c r="AI23" s="43">
        <f t="shared" si="261"/>
        <v>-42.838061004795591</v>
      </c>
      <c r="AJ23" s="43">
        <f t="shared" ref="AJ23" si="315">IF(AA23="","",(AA23-AA$20)*1000)+AJ$18</f>
        <v>-36.451970471715889</v>
      </c>
      <c r="AK23" s="43">
        <f t="shared" ref="AK23" si="316">IF(AB23="","",(AB23-AB$20)*1000)+AK$18</f>
        <v>-22.367276517116565</v>
      </c>
      <c r="AL23" s="43">
        <f t="shared" ref="AL23" si="317">IF(AC23="","",(AC23-AC$20)*1000)+AL$18</f>
        <v>-19.254993292896039</v>
      </c>
      <c r="AM23" s="43">
        <f t="shared" ref="AM23" si="318">IF(AD23="","",(AD23-AD$20)*1000)+AM$18</f>
        <v>-43.737542192888057</v>
      </c>
      <c r="AN23" s="43">
        <f t="shared" ref="AN23" si="319">IF(AE23="","",(AE23-AE$20)*1000)+AN$18</f>
        <v>-21.057473299481266</v>
      </c>
      <c r="AO23" s="43">
        <f t="shared" ref="AO23" si="320">IF(AF23="","",(AF23-AF$20)*1000)+AO$18</f>
        <v>-19.517157594520107</v>
      </c>
      <c r="AP23" s="43">
        <f t="shared" ref="AP23" si="321">IF(AG23="","",(AG23-AG$20)*1000)+AP$18</f>
        <v>-16.962644506318902</v>
      </c>
      <c r="AQ23" s="43">
        <f t="shared" ref="AQ23" si="322">IF(AH23="","",(AH23-AH$20)*1000)+AQ$18</f>
        <v>-14.038067218592687</v>
      </c>
      <c r="AR23" s="40"/>
      <c r="AS23" s="43">
        <f t="shared" si="263"/>
        <v>-1.5500000445172191</v>
      </c>
      <c r="AT23" s="43">
        <f t="shared" ref="AT23" si="323">IF(F23="","",(F23-F$20)*1000)+AT$18</f>
        <v>1.1499999091029167</v>
      </c>
      <c r="AU23" s="43">
        <f t="shared" ref="AU23" si="324">IF(G23="","",(G23-G$20)*1000)+AU$18</f>
        <v>2.0000000000095497</v>
      </c>
      <c r="AV23" s="43">
        <f t="shared" ref="AV23" si="325">IF(H23="","",(H23-H$20)*1000)+AV$18</f>
        <v>-1.1999999405816197</v>
      </c>
      <c r="AW23" s="43">
        <f t="shared" ref="AW23" si="326">IF(I23="","",(I23-I$20)*1000)+AW$18</f>
        <v>0.24999980814754963</v>
      </c>
      <c r="AX23" s="43">
        <f t="shared" ref="AX23" si="327">IF(J23="","",(J23-J$20)*1000)+AX$18</f>
        <v>1.1500000000097543</v>
      </c>
      <c r="AY23" s="43">
        <f t="shared" ref="AY23" si="328">IF(K23="","",(K23-K$20)*1000)+AY$18</f>
        <v>-1.5499999281018972</v>
      </c>
      <c r="AZ23" s="43">
        <f t="shared" ref="AZ23" si="329">IF(L23="","",(L23-L$20)*1000)+AZ$18</f>
        <v>-3.7000002339482307</v>
      </c>
      <c r="BA23" s="43">
        <f t="shared" ref="BA23" si="330">IF(M23="","",(M23-M$20)*1000)+BA$18</f>
        <v>-5.4999999999836291</v>
      </c>
      <c r="BB23" s="43">
        <f t="shared" ref="BB23" si="331">IF(N23="","",(N23-N$20)*1000)+BB$18</f>
        <v>-11.599999968893826</v>
      </c>
      <c r="BC23" s="43">
        <f t="shared" ref="BC23" si="332">IF(O23="","",(O23-O$20)*1000)+BC$18</f>
        <v>-2.699999837204814</v>
      </c>
      <c r="BD23" s="43">
        <f t="shared" ref="BD23" si="333">IF(P23="","",(P23-P$20)*1000)+BD$18</f>
        <v>-48.749999999998295</v>
      </c>
      <c r="BE23" s="43">
        <f t="shared" ref="BE23" si="334">IF(Q23="","",(Q23-Q$20)*1000)+BE$18</f>
        <v>-9.9500000942498446</v>
      </c>
      <c r="BF23" s="43">
        <f t="shared" ref="BF23" si="335">IF(R23="","",(R23-R$20)*1000)+BF$18</f>
        <v>12.20000023022294</v>
      </c>
      <c r="BG23" s="43">
        <f t="shared" ref="BG23" si="336">IF(S23="","",(S23-S$20)*1000)+BG$18</f>
        <v>-18.250000000008981</v>
      </c>
      <c r="BH23" s="43">
        <f t="shared" ref="BH23" si="337">IF(T23="","",(T23-T$20)*1000)+BH$18</f>
        <v>-6.7999998573213816</v>
      </c>
      <c r="BI23" s="43">
        <f t="shared" ref="BI23" si="338">IF(U23="","",(U23-U$20)*1000)+BI$18</f>
        <v>16.350000165402889</v>
      </c>
      <c r="BJ23" s="43">
        <f t="shared" ref="BJ23" si="339">IF(V23="","",(V23-V$20)*1000)+BJ$18</f>
        <v>0.80000000001234639</v>
      </c>
      <c r="BK23" s="43">
        <f t="shared" ref="BK23" si="340">IF(W23="","",(W23-W$20)*1000)+BK$18</f>
        <v>5.0000000046566129</v>
      </c>
      <c r="BL23" s="43">
        <f t="shared" ref="BL23" si="341">IF(X23="","",(X23-X$20)*1000)+BL$18</f>
        <v>19.749999977648258</v>
      </c>
      <c r="BM23" s="43">
        <f t="shared" ref="BM23" si="342">IF(Y23="","",(Y23-Y$20)*1000)+BM$18</f>
        <v>-31.999999999996476</v>
      </c>
      <c r="BN23" s="40"/>
      <c r="BO23" s="39">
        <v>183.96944400000001</v>
      </c>
      <c r="BP23" s="39">
        <v>-2.4358204309999998</v>
      </c>
      <c r="BQ23" s="39">
        <v>-0.87801443999999995</v>
      </c>
      <c r="BR23" s="39">
        <v>183.94020990000001</v>
      </c>
      <c r="BS23" s="39">
        <v>-2.6726710570000001</v>
      </c>
      <c r="BT23" s="39">
        <v>0.29177790100000001</v>
      </c>
      <c r="BU23" s="39">
        <v>183.92390420000001</v>
      </c>
      <c r="BV23" s="39">
        <v>-2.158589144</v>
      </c>
      <c r="BW23" s="39">
        <v>1.738040958</v>
      </c>
      <c r="BX23" s="39">
        <v>183.7879226</v>
      </c>
      <c r="BY23" s="39">
        <v>-0.30496248100000001</v>
      </c>
      <c r="BZ23" s="39">
        <v>2.6657007739999998</v>
      </c>
      <c r="CA23" s="39">
        <v>183.8735332</v>
      </c>
      <c r="CB23" s="39">
        <v>1.29141419</v>
      </c>
      <c r="CC23" s="39">
        <v>2.3427446679999999</v>
      </c>
      <c r="CD23" s="39">
        <v>183.9074818</v>
      </c>
      <c r="CE23" s="39">
        <v>2.6864925589999999</v>
      </c>
      <c r="CF23" s="39">
        <v>0.25560518199999999</v>
      </c>
      <c r="CG23" s="39">
        <v>183.9010371</v>
      </c>
      <c r="CH23" s="39">
        <v>2.5273563719999999</v>
      </c>
      <c r="CI23" s="39">
        <v>-0.92023037100000005</v>
      </c>
      <c r="CJ23" s="40"/>
      <c r="CK23" s="43">
        <f t="shared" si="265"/>
        <v>-1.4030796433530668</v>
      </c>
      <c r="CL23" s="43">
        <f t="shared" ref="CL23" si="343">IF(BP23="","",(BP23-BP$20)*1000)+CL$18</f>
        <v>-0.99279703179222523</v>
      </c>
      <c r="CM23" s="43">
        <f t="shared" ref="CM23" si="344">IF(BQ23="","",(BQ23-BQ$20)*1000)+CM$18</f>
        <v>2.0130307964461025</v>
      </c>
      <c r="CN23" s="43">
        <f t="shared" ref="CN23" si="345">IF(BR23="","",(BR23-BR$20)*1000)+CN$18</f>
        <v>-1.0276558976443084</v>
      </c>
      <c r="CO23" s="43">
        <f t="shared" ref="CO23" si="346">IF(BS23="","",(BS23-BS$20)*1000)+CO$18</f>
        <v>-0.69354339309946056</v>
      </c>
      <c r="CP23" s="43">
        <f t="shared" ref="CP23" si="347">IF(BT23="","",(BT23-BT$20)*1000)+CP$18</f>
        <v>1.1612765589790741</v>
      </c>
      <c r="CQ23" s="43">
        <f t="shared" ref="CQ23" si="348">IF(BU23="","",(BU23-BU$20)*1000)+CQ$18</f>
        <v>-2.6406854914569067</v>
      </c>
      <c r="CR23" s="43">
        <f t="shared" ref="CR23" si="349">IF(BV23="","",(BV23-BV$20)*1000)+CR$18</f>
        <v>1.98332698544057</v>
      </c>
      <c r="CS23" s="43">
        <f t="shared" ref="CS23" si="350">IF(BW23="","",(BW23-BW$20)*1000)+CS$18</f>
        <v>-5.456593145071853</v>
      </c>
      <c r="CT23" s="43">
        <f t="shared" ref="CT23" si="351">IF(BX23="","",(BX23-BX$20)*1000)+CT$18</f>
        <v>-11.658602444185817</v>
      </c>
      <c r="CU23" s="43">
        <f t="shared" ref="CU23" si="352">IF(BY23="","",(BY23-BY$20)*1000)+CU$18</f>
        <v>-2.3435899710806671</v>
      </c>
      <c r="CV23" s="43">
        <f t="shared" ref="CV23" si="353">IF(BZ23="","",(BZ23-BZ$20)*1000)+CV$18</f>
        <v>-48.624413975550951</v>
      </c>
      <c r="CW23" s="43">
        <f t="shared" ref="CW23" si="354">IF(CA23="","",(CA23-CA$20)*1000)+CW$18</f>
        <v>-4.2604521362363812</v>
      </c>
      <c r="CX23" s="43">
        <f t="shared" ref="CX23" si="355">IF(CB23="","",(CB23-CB$20)*1000)+CX$18</f>
        <v>-14.615563847173885</v>
      </c>
      <c r="CY23" s="43">
        <f t="shared" ref="CY23" si="356">IF(CC23="","",(CC23-CC$20)*1000)+CY$18</f>
        <v>-18.089395478635417</v>
      </c>
      <c r="CZ23" s="43">
        <f t="shared" ref="CZ23" si="357">IF(CD23="","",(CD23-CD$20)*1000)+CZ$18</f>
        <v>0.81626686866798082</v>
      </c>
      <c r="DA23" s="43">
        <f t="shared" ref="DA23" si="358">IF(CE23="","",(CE23-CE$20)*1000)+DA$18</f>
        <v>-17.832045093085558</v>
      </c>
      <c r="DB23" s="43">
        <f t="shared" ref="DB23" si="359">IF(CF23="","",(CF23-CF$20)*1000)+DB$18</f>
        <v>0.84383733131032646</v>
      </c>
      <c r="DC23" s="43">
        <f t="shared" ref="DC23" si="360">IF(CG23="","",(CG23-CG$20)*1000)+DC$18</f>
        <v>12.663445617675961</v>
      </c>
      <c r="DD23" s="43">
        <f t="shared" ref="DD23" si="361">IF(CH23="","",(CH23-CH$20)*1000)+DD$18</f>
        <v>-15.308323174446414</v>
      </c>
      <c r="DE23" s="43">
        <f t="shared" ref="DE23" si="362">IF(CI23="","",(CI23-CI$20)*1000)+DE$18</f>
        <v>-32.12963445617622</v>
      </c>
    </row>
    <row r="24" spans="1:109" ht="29.25" customHeight="1" x14ac:dyDescent="0.2">
      <c r="A24" s="37">
        <v>43696</v>
      </c>
      <c r="B24" s="29">
        <f t="shared" si="10"/>
        <v>38</v>
      </c>
      <c r="C24" s="38">
        <v>195.4</v>
      </c>
      <c r="D24" s="38">
        <f t="shared" si="260"/>
        <v>11.5</v>
      </c>
      <c r="E24" s="39">
        <v>823233.37620000006</v>
      </c>
      <c r="F24" s="39">
        <v>1091513.5632</v>
      </c>
      <c r="G24" s="39">
        <v>-124.5809</v>
      </c>
      <c r="H24" s="39">
        <v>823233.24959999998</v>
      </c>
      <c r="I24" s="39">
        <v>1091513.7653999999</v>
      </c>
      <c r="J24" s="39">
        <v>-123.41160000000001</v>
      </c>
      <c r="K24" s="39">
        <v>823233.45200000005</v>
      </c>
      <c r="L24" s="39">
        <v>1091513.2919999999</v>
      </c>
      <c r="M24" s="39">
        <v>-121.96599999999999</v>
      </c>
      <c r="N24" s="39">
        <v>823234.11049999995</v>
      </c>
      <c r="O24" s="39">
        <v>1091511.5551</v>
      </c>
      <c r="P24" s="39">
        <v>-121.0421</v>
      </c>
      <c r="Q24" s="39">
        <v>823234.86399999994</v>
      </c>
      <c r="R24" s="39">
        <v>1091510.1451999999</v>
      </c>
      <c r="S24" s="39">
        <v>-121.3621</v>
      </c>
      <c r="T24" s="39">
        <v>823235.4841</v>
      </c>
      <c r="U24" s="39">
        <v>1091508.8951000001</v>
      </c>
      <c r="V24" s="39">
        <v>-123.4479</v>
      </c>
      <c r="W24" s="39">
        <v>823235.41110000003</v>
      </c>
      <c r="X24" s="39">
        <v>1091509.0364999999</v>
      </c>
      <c r="Y24" s="39">
        <v>-124.624</v>
      </c>
      <c r="Z24" s="39">
        <f t="shared" si="1"/>
        <v>4.134581906281924</v>
      </c>
      <c r="AA24" s="39">
        <f t="shared" si="2"/>
        <v>3.3527757380401</v>
      </c>
      <c r="AB24" s="39">
        <f t="shared" si="3"/>
        <v>2.0746168488496322</v>
      </c>
      <c r="AC24" s="39">
        <f t="shared" si="4"/>
        <v>1.6303313344930901</v>
      </c>
      <c r="AD24" s="39">
        <f t="shared" si="5"/>
        <v>3.8406054990966227</v>
      </c>
      <c r="AE24" s="39">
        <f t="shared" si="6"/>
        <v>4.567812816933337</v>
      </c>
      <c r="AF24" s="39">
        <f t="shared" si="7"/>
        <v>3.5015410107016351</v>
      </c>
      <c r="AG24" s="39">
        <f t="shared" si="8"/>
        <v>5.3585567113248018</v>
      </c>
      <c r="AH24" s="39">
        <f t="shared" si="9"/>
        <v>4.9632336747619767</v>
      </c>
      <c r="AI24" s="43">
        <f t="shared" si="261"/>
        <v>-45.762990946581539</v>
      </c>
      <c r="AJ24" s="43">
        <f t="shared" ref="AJ24" si="363">IF(AA24="","",(AA24-AA$20)*1000)+AJ$18</f>
        <v>-38.766849677605023</v>
      </c>
      <c r="AK24" s="43">
        <f t="shared" ref="AK24" si="364">IF(AB24="","",(AB24-AB$20)*1000)+AK$18</f>
        <v>-24.06079221625146</v>
      </c>
      <c r="AL24" s="43">
        <f t="shared" ref="AL24" si="365">IF(AC24="","",(AC24-AC$20)*1000)+AL$18</f>
        <v>-20.065804698703225</v>
      </c>
      <c r="AM24" s="43">
        <f t="shared" ref="AM24" si="366">IF(AD24="","",(AD24-AD$20)*1000)+AM$18</f>
        <v>-46.050920757639616</v>
      </c>
      <c r="AN24" s="43">
        <f t="shared" ref="AN24" si="367">IF(AE24="","",(AE24-AE$20)*1000)+AN$18</f>
        <v>-23.267872960357927</v>
      </c>
      <c r="AO24" s="43">
        <f t="shared" ref="AO24" si="368">IF(AF24="","",(AF24-AF$20)*1000)+AO$18</f>
        <v>-20.848952207926708</v>
      </c>
      <c r="AP24" s="43">
        <f t="shared" ref="AP24" si="369">IF(AG24="","",(AG24-AG$20)*1000)+AP$18</f>
        <v>-17.975543741663103</v>
      </c>
      <c r="AQ24" s="43">
        <f t="shared" ref="AQ24" si="370">IF(AH24="","",(AH24-AH$20)*1000)+AQ$18</f>
        <v>-14.637981533505595</v>
      </c>
      <c r="AR24" s="40"/>
      <c r="AS24" s="43">
        <f t="shared" si="263"/>
        <v>-0.44999993406236172</v>
      </c>
      <c r="AT24" s="43">
        <f t="shared" ref="AT24" si="371">IF(F24="","",(F24-F$20)*1000)+AT$18</f>
        <v>0.34999987110495567</v>
      </c>
      <c r="AU24" s="43">
        <f t="shared" ref="AU24" si="372">IF(G24="","",(G24-G$20)*1000)+AU$18</f>
        <v>2.3000000000052978</v>
      </c>
      <c r="AV24" s="43">
        <f t="shared" ref="AV24" si="373">IF(H24="","",(H24-H$20)*1000)+AV$18</f>
        <v>-9.9999946542084217E-2</v>
      </c>
      <c r="AW24" s="43">
        <f t="shared" ref="AW24" si="374">IF(I24="","",(I24-I$20)*1000)+AW$18</f>
        <v>-0.35000033676624298</v>
      </c>
      <c r="AX24" s="43">
        <f t="shared" ref="AX24" si="375">IF(J24="","",(J24-J$20)*1000)+AX$18</f>
        <v>1.2499999999988631</v>
      </c>
      <c r="AY24" s="43">
        <f t="shared" ref="AY24" si="376">IF(K24="","",(K24-K$20)*1000)+AY$18</f>
        <v>-0.54999988060444593</v>
      </c>
      <c r="AZ24" s="43">
        <f t="shared" ref="AZ24" si="377">IF(L24="","",(L24-L$20)*1000)+AZ$18</f>
        <v>-4.7000003978610039</v>
      </c>
      <c r="BA24" s="43">
        <f t="shared" ref="BA24" si="378">IF(M24="","",(M24-M$20)*1000)+BA$18</f>
        <v>-5.8999999999826969</v>
      </c>
      <c r="BB24" s="43">
        <f t="shared" ref="BB24" si="379">IF(N24="","",(N24-N$20)*1000)+BB$18</f>
        <v>-12.300000060349703</v>
      </c>
      <c r="BC24" s="43">
        <f t="shared" ref="BC24" si="380">IF(O24="","",(O24-O$20)*1000)+BC$18</f>
        <v>-3.599999938160181</v>
      </c>
      <c r="BD24" s="43">
        <f t="shared" ref="BD24" si="381">IF(P24="","",(P24-P$20)*1000)+BD$18</f>
        <v>-51.55000000000598</v>
      </c>
      <c r="BE24" s="43">
        <f t="shared" ref="BE24" si="382">IF(Q24="","",(Q24-Q$20)*1000)+BE$18</f>
        <v>-9.4500001287087798</v>
      </c>
      <c r="BF24" s="43">
        <f t="shared" ref="BF24" si="383">IF(R24="","",(R24-R$20)*1000)+BF$18</f>
        <v>12.400000123307109</v>
      </c>
      <c r="BG24" s="43">
        <f t="shared" ref="BG24" si="384">IF(S24="","",(S24-S$20)*1000)+BG$18</f>
        <v>-18.950000000003797</v>
      </c>
      <c r="BH24" s="43">
        <f t="shared" ref="BH24" si="385">IF(T24="","",(T24-T$20)*1000)+BH$18</f>
        <v>-6.5999998478218913</v>
      </c>
      <c r="BI24" s="43">
        <f t="shared" ref="BI24" si="386">IF(U24="","",(U24-U$20)*1000)+BI$18</f>
        <v>16.450000228360295</v>
      </c>
      <c r="BJ24" s="43">
        <f t="shared" ref="BJ24" si="387">IF(V24="","",(V24-V$20)*1000)+BJ$18</f>
        <v>1.1000000000080945</v>
      </c>
      <c r="BK24" s="43">
        <f t="shared" ref="BK24" si="388">IF(W24="","",(W24-W$20)*1000)+BK$18</f>
        <v>5.3000000771135092</v>
      </c>
      <c r="BL24" s="43">
        <f t="shared" ref="BL24" si="389">IF(X24="","",(X24-X$20)*1000)+BL$18</f>
        <v>19.249999895691872</v>
      </c>
      <c r="BM24" s="43">
        <f t="shared" ref="BM24" si="390">IF(Y24="","",(Y24-Y$20)*1000)+BM$18</f>
        <v>-31.899999999993156</v>
      </c>
      <c r="BN24" s="40"/>
      <c r="BO24" s="39">
        <v>183.97030000000001</v>
      </c>
      <c r="BP24" s="39">
        <v>-2.4350000000000001</v>
      </c>
      <c r="BQ24" s="39">
        <v>-0.87770000000000004</v>
      </c>
      <c r="BR24" s="39">
        <v>183.941</v>
      </c>
      <c r="BS24" s="39">
        <v>-2.6718000000000002</v>
      </c>
      <c r="BT24" s="39">
        <v>0.29189999999999999</v>
      </c>
      <c r="BU24" s="39">
        <v>183.92429999999999</v>
      </c>
      <c r="BV24" s="39">
        <v>-2.1572</v>
      </c>
      <c r="BW24" s="39">
        <v>1.7376</v>
      </c>
      <c r="BX24" s="39">
        <v>183.78700000000001</v>
      </c>
      <c r="BY24" s="39">
        <v>-0.30470000000000003</v>
      </c>
      <c r="BZ24" s="39">
        <v>2.6629</v>
      </c>
      <c r="CA24" s="39">
        <v>183.874</v>
      </c>
      <c r="CB24" s="39">
        <v>1.2915000000000001</v>
      </c>
      <c r="CC24" s="39">
        <v>2.3420000000000001</v>
      </c>
      <c r="CD24" s="39">
        <v>183.90770000000001</v>
      </c>
      <c r="CE24" s="39">
        <v>2.6865999999999999</v>
      </c>
      <c r="CF24" s="39">
        <v>0.25590000000000002</v>
      </c>
      <c r="CG24" s="39">
        <v>183.90129999999999</v>
      </c>
      <c r="CH24" s="39">
        <v>2.5276000000000001</v>
      </c>
      <c r="CI24" s="39">
        <v>-0.92010000000000003</v>
      </c>
      <c r="CJ24" s="40"/>
      <c r="CK24" s="43">
        <f t="shared" si="265"/>
        <v>-0.54707964335420911</v>
      </c>
      <c r="CL24" s="43">
        <f t="shared" ref="CL24" si="391">IF(BP24="","",(BP24-BP$20)*1000)+CL$18</f>
        <v>-0.17236603179249244</v>
      </c>
      <c r="CM24" s="43">
        <f t="shared" ref="CM24" si="392">IF(BQ24="","",(BQ24-BQ$20)*1000)+CM$18</f>
        <v>2.3274707964460184</v>
      </c>
      <c r="CN24" s="43">
        <f t="shared" ref="CN24" si="393">IF(BR24="","",(BR24-BR$20)*1000)+CN$18</f>
        <v>-0.23755589765528384</v>
      </c>
      <c r="CO24" s="43">
        <f t="shared" ref="CO24" si="394">IF(BS24="","",(BS24-BS$20)*1000)+CO$18</f>
        <v>0.17751360690043683</v>
      </c>
      <c r="CP24" s="43">
        <f t="shared" ref="CP24" si="395">IF(BT24="","",(BT24-BT$20)*1000)+CP$18</f>
        <v>1.2833755589790607</v>
      </c>
      <c r="CQ24" s="43">
        <f t="shared" ref="CQ24" si="396">IF(BU24="","",(BU24-BU$20)*1000)+CQ$18</f>
        <v>-2.2448854914784988</v>
      </c>
      <c r="CR24" s="43">
        <f t="shared" ref="CR24" si="397">IF(BV24="","",(BV24-BV$20)*1000)+CR$18</f>
        <v>3.3724709854405788</v>
      </c>
      <c r="CS24" s="43">
        <f t="shared" ref="CS24" si="398">IF(BW24="","",(BW24-BW$20)*1000)+CS$18</f>
        <v>-5.8975511450718443</v>
      </c>
      <c r="CT24" s="43">
        <f t="shared" ref="CT24" si="399">IF(BX24="","",(BX24-BX$20)*1000)+CT$18</f>
        <v>-12.581202444181372</v>
      </c>
      <c r="CU24" s="43">
        <f t="shared" ref="CU24" si="400">IF(BY24="","",(BY24-BY$20)*1000)+CU$18</f>
        <v>-2.0811089710806865</v>
      </c>
      <c r="CV24" s="43">
        <f t="shared" ref="CV24" si="401">IF(BZ24="","",(BZ24-BZ$20)*1000)+CV$18</f>
        <v>-51.425187975550728</v>
      </c>
      <c r="CW24" s="43">
        <f t="shared" ref="CW24" si="402">IF(CA24="","",(CA24-CA$20)*1000)+CW$18</f>
        <v>-3.7936521362382791</v>
      </c>
      <c r="CX24" s="43">
        <f t="shared" ref="CX24" si="403">IF(CB24="","",(CB24-CB$20)*1000)+CX$18</f>
        <v>-14.52975384717381</v>
      </c>
      <c r="CY24" s="43">
        <f t="shared" ref="CY24" si="404">IF(CC24="","",(CC24-CC$20)*1000)+CY$18</f>
        <v>-18.834063478635255</v>
      </c>
      <c r="CZ24" s="43">
        <f t="shared" ref="CZ24" si="405">IF(CD24="","",(CD24-CD$20)*1000)+CZ$18</f>
        <v>1.0344668686741443</v>
      </c>
      <c r="DA24" s="43">
        <f t="shared" ref="DA24" si="406">IF(CE24="","",(CE24-CE$20)*1000)+DA$18</f>
        <v>-17.724604093085627</v>
      </c>
      <c r="DB24" s="43">
        <f t="shared" ref="DB24" si="407">IF(CF24="","",(CF24-CF$20)*1000)+DB$18</f>
        <v>1.1386553313103565</v>
      </c>
      <c r="DC24" s="43">
        <f t="shared" ref="DC24" si="408">IF(CG24="","",(CG24-CG$20)*1000)+DC$18</f>
        <v>12.926345617671586</v>
      </c>
      <c r="DD24" s="43">
        <f t="shared" ref="DD24" si="409">IF(CH24="","",(CH24-CH$20)*1000)+DD$18</f>
        <v>-15.064695174446197</v>
      </c>
      <c r="DE24" s="43">
        <f t="shared" ref="DE24" si="410">IF(CI24="","",(CI24-CI$20)*1000)+DE$18</f>
        <v>-31.999263456176205</v>
      </c>
    </row>
    <row r="25" spans="1:109" ht="29.25" customHeight="1" x14ac:dyDescent="0.2">
      <c r="A25" s="37">
        <v>43699</v>
      </c>
      <c r="B25" s="29">
        <f t="shared" si="10"/>
        <v>41</v>
      </c>
      <c r="C25" s="38">
        <v>196.35</v>
      </c>
      <c r="D25" s="38">
        <f t="shared" si="260"/>
        <v>12.449999999999989</v>
      </c>
      <c r="E25" s="39">
        <v>823233.37620000006</v>
      </c>
      <c r="F25" s="39">
        <v>1091513.5628</v>
      </c>
      <c r="G25" s="39">
        <v>-124.58150000000001</v>
      </c>
      <c r="H25" s="39">
        <v>823233.24959999998</v>
      </c>
      <c r="I25" s="39">
        <v>1091513.7651</v>
      </c>
      <c r="J25" s="39">
        <v>-123.4122</v>
      </c>
      <c r="K25" s="39">
        <v>823233.45160000003</v>
      </c>
      <c r="L25" s="39">
        <v>1091513.2921</v>
      </c>
      <c r="M25" s="39">
        <v>-121.96680000000001</v>
      </c>
      <c r="N25" s="39">
        <v>823234.10939999996</v>
      </c>
      <c r="O25" s="39">
        <v>1091511.5554</v>
      </c>
      <c r="P25" s="39">
        <v>-121.0444</v>
      </c>
      <c r="Q25" s="39">
        <v>823234.86300000001</v>
      </c>
      <c r="R25" s="39">
        <v>1091510.1459999999</v>
      </c>
      <c r="S25" s="39">
        <v>-121.3634</v>
      </c>
      <c r="T25" s="39">
        <v>823235.48360000004</v>
      </c>
      <c r="U25" s="39">
        <v>1091508.8958000001</v>
      </c>
      <c r="V25" s="39">
        <v>-123.4486</v>
      </c>
      <c r="W25" s="39">
        <v>823235.41029999999</v>
      </c>
      <c r="X25" s="39">
        <v>1091509.0371999999</v>
      </c>
      <c r="Y25" s="39">
        <v>-124.62439999999999</v>
      </c>
      <c r="Z25" s="39">
        <f t="shared" si="1"/>
        <v>4.1325916093733701</v>
      </c>
      <c r="AA25" s="39">
        <f t="shared" si="2"/>
        <v>3.3508964427432386</v>
      </c>
      <c r="AB25" s="39">
        <f t="shared" si="3"/>
        <v>2.0735596181289773</v>
      </c>
      <c r="AC25" s="39">
        <f t="shared" si="4"/>
        <v>1.6297491586418471</v>
      </c>
      <c r="AD25" s="39">
        <f t="shared" si="5"/>
        <v>3.8395410454465293</v>
      </c>
      <c r="AE25" s="39">
        <f t="shared" si="6"/>
        <v>4.5661879122885924</v>
      </c>
      <c r="AF25" s="39">
        <f t="shared" si="7"/>
        <v>3.5005837698919318</v>
      </c>
      <c r="AG25" s="39">
        <f t="shared" si="8"/>
        <v>5.3574400089323921</v>
      </c>
      <c r="AH25" s="39">
        <f t="shared" si="9"/>
        <v>4.9619007023710768</v>
      </c>
      <c r="AI25" s="43">
        <f t="shared" si="261"/>
        <v>-47.75328785513544</v>
      </c>
      <c r="AJ25" s="43">
        <f t="shared" ref="AJ25" si="411">IF(AA25="","",(AA25-AA$20)*1000)+AJ$18</f>
        <v>-40.646144974466395</v>
      </c>
      <c r="AK25" s="43">
        <f t="shared" ref="AK25" si="412">IF(AB25="","",(AB25-AB$20)*1000)+AK$18</f>
        <v>-25.11802293690635</v>
      </c>
      <c r="AL25" s="43">
        <f t="shared" ref="AL25" si="413">IF(AC25="","",(AC25-AC$20)*1000)+AL$18</f>
        <v>-20.647980549946208</v>
      </c>
      <c r="AM25" s="43">
        <f t="shared" ref="AM25" si="414">IF(AD25="","",(AD25-AD$20)*1000)+AM$18</f>
        <v>-47.115374407733057</v>
      </c>
      <c r="AN25" s="43">
        <f t="shared" ref="AN25" si="415">IF(AE25="","",(AE25-AE$20)*1000)+AN$18</f>
        <v>-24.892777605102445</v>
      </c>
      <c r="AO25" s="43">
        <f t="shared" ref="AO25" si="416">IF(AF25="","",(AF25-AF$20)*1000)+AO$18</f>
        <v>-21.806193017630093</v>
      </c>
      <c r="AP25" s="43">
        <f t="shared" ref="AP25" si="417">IF(AG25="","",(AG25-AG$20)*1000)+AP$18</f>
        <v>-19.092246134072788</v>
      </c>
      <c r="AQ25" s="43">
        <f t="shared" ref="AQ25" si="418">IF(AH25="","",(AH25-AH$20)*1000)+AQ$18</f>
        <v>-15.970953924405507</v>
      </c>
      <c r="AR25" s="40"/>
      <c r="AS25" s="43">
        <f t="shared" si="263"/>
        <v>-0.44999993406236172</v>
      </c>
      <c r="AT25" s="43">
        <f t="shared" ref="AT25" si="419">IF(F25="","",(F25-F$20)*1000)+AT$18</f>
        <v>-5.0000147894024849E-2</v>
      </c>
      <c r="AU25" s="43">
        <f t="shared" ref="AU25" si="420">IF(G25="","",(G25-G$20)*1000)+AU$18</f>
        <v>1.6999999999995907</v>
      </c>
      <c r="AV25" s="43">
        <f t="shared" ref="AV25" si="421">IF(H25="","",(H25-H$20)*1000)+AV$18</f>
        <v>-9.9999946542084217E-2</v>
      </c>
      <c r="AW25" s="43">
        <f t="shared" ref="AW25" si="422">IF(I25="","",(I25-I$20)*1000)+AW$18</f>
        <v>-0.65000029280781746</v>
      </c>
      <c r="AX25" s="43">
        <f t="shared" ref="AX25" si="423">IF(J25="","",(J25-J$20)*1000)+AX$18</f>
        <v>0.65000000000736691</v>
      </c>
      <c r="AY25" s="43">
        <f t="shared" ref="AY25" si="424">IF(K25="","",(K25-K$20)*1000)+AY$18</f>
        <v>-0.94999989960342646</v>
      </c>
      <c r="AZ25" s="43">
        <f t="shared" ref="AZ25" si="425">IF(L25="","",(L25-L$20)*1000)+AZ$18</f>
        <v>-4.6000003349035978</v>
      </c>
      <c r="BA25" s="43">
        <f t="shared" ref="BA25" si="426">IF(M25="","",(M25-M$20)*1000)+BA$18</f>
        <v>-6.6999999999950433</v>
      </c>
      <c r="BB25" s="43">
        <f t="shared" ref="BB25" si="427">IF(N25="","",(N25-N$20)*1000)+BB$18</f>
        <v>-13.400000054389238</v>
      </c>
      <c r="BC25" s="43">
        <f t="shared" ref="BC25" si="428">IF(O25="","",(O25-O$20)*1000)+BC$18</f>
        <v>-3.2999999821186066</v>
      </c>
      <c r="BD25" s="43">
        <f t="shared" ref="BD25" si="429">IF(P25="","",(P25-P$20)*1000)+BD$18</f>
        <v>-53.849999999997067</v>
      </c>
      <c r="BE25" s="43">
        <f t="shared" ref="BE25" si="430">IF(Q25="","",(Q25-Q$20)*1000)+BE$18</f>
        <v>-10.450000059790909</v>
      </c>
      <c r="BF25" s="43">
        <f t="shared" ref="BF25" si="431">IF(R25="","",(R25-R$20)*1000)+BF$18</f>
        <v>13.20000016130507</v>
      </c>
      <c r="BG25" s="43">
        <f t="shared" ref="BG25" si="432">IF(S25="","",(S25-S$20)*1000)+BG$18</f>
        <v>-20.25000000000432</v>
      </c>
      <c r="BH25" s="43">
        <f t="shared" ref="BH25" si="433">IF(T25="","",(T25-T$20)*1000)+BH$18</f>
        <v>-7.099999813362956</v>
      </c>
      <c r="BI25" s="43">
        <f t="shared" ref="BI25" si="434">IF(U25="","",(U25-U$20)*1000)+BI$18</f>
        <v>17.15000020340085</v>
      </c>
      <c r="BJ25" s="43">
        <f t="shared" ref="BJ25" si="435">IF(V25="","",(V25-V$20)*1000)+BJ$18</f>
        <v>0.40000000001327862</v>
      </c>
      <c r="BK25" s="43">
        <f t="shared" ref="BK25" si="436">IF(W25="","",(W25-W$20)*1000)+BK$18</f>
        <v>4.5000000391155481</v>
      </c>
      <c r="BL25" s="43">
        <f t="shared" ref="BL25" si="437">IF(X25="","",(X25-X$20)*1000)+BL$18</f>
        <v>19.949999870732427</v>
      </c>
      <c r="BM25" s="43">
        <f t="shared" ref="BM25" si="438">IF(Y25="","",(Y25-Y$20)*1000)+BM$18</f>
        <v>-32.299999999992224</v>
      </c>
      <c r="BN25" s="40"/>
      <c r="BO25" s="39">
        <v>183.9701</v>
      </c>
      <c r="BP25" s="39">
        <v>-2.4346000000000001</v>
      </c>
      <c r="BQ25" s="39">
        <v>-0.87829999999999997</v>
      </c>
      <c r="BR25" s="39">
        <v>183.9409</v>
      </c>
      <c r="BS25" s="39">
        <v>-2.6715</v>
      </c>
      <c r="BT25" s="39">
        <v>0.2913</v>
      </c>
      <c r="BU25" s="39">
        <v>183.92400000000001</v>
      </c>
      <c r="BV25" s="39">
        <v>-2.1574</v>
      </c>
      <c r="BW25" s="39">
        <v>1.7367999999999999</v>
      </c>
      <c r="BX25" s="39">
        <v>183.78620000000001</v>
      </c>
      <c r="BY25" s="39">
        <v>-0.30549999999999999</v>
      </c>
      <c r="BZ25" s="39">
        <v>2.6606000000000001</v>
      </c>
      <c r="CA25" s="39">
        <v>183.87350000000001</v>
      </c>
      <c r="CB25" s="39">
        <v>1.2904</v>
      </c>
      <c r="CC25" s="39">
        <v>2.3407</v>
      </c>
      <c r="CD25" s="39">
        <v>183.9075</v>
      </c>
      <c r="CE25" s="39">
        <v>2.6857000000000002</v>
      </c>
      <c r="CF25" s="39">
        <v>0.25519999999999998</v>
      </c>
      <c r="CG25" s="39">
        <v>183.9008</v>
      </c>
      <c r="CH25" s="39">
        <v>2.5266000000000002</v>
      </c>
      <c r="CI25" s="39">
        <v>-0.92049999999999998</v>
      </c>
      <c r="CJ25" s="40"/>
      <c r="CK25" s="43">
        <f t="shared" si="265"/>
        <v>-0.74707964336084842</v>
      </c>
      <c r="CL25" s="43">
        <f t="shared" ref="CL25" si="439">IF(BP25="","",(BP25-BP$20)*1000)+CL$18</f>
        <v>0.22763396820746351</v>
      </c>
      <c r="CM25" s="43">
        <f t="shared" ref="CM25" si="440">IF(BQ25="","",(BQ25-BQ$20)*1000)+CM$18</f>
        <v>1.7274707964460845</v>
      </c>
      <c r="CN25" s="43">
        <f t="shared" ref="CN25" si="441">IF(BR25="","",(BR25-BR$20)*1000)+CN$18</f>
        <v>-0.3375558976586035</v>
      </c>
      <c r="CO25" s="43">
        <f t="shared" ref="CO25" si="442">IF(BS25="","",(BS25-BS$20)*1000)+CO$18</f>
        <v>0.47751360690062583</v>
      </c>
      <c r="CP25" s="43">
        <f t="shared" ref="CP25" si="443">IF(BT25="","",(BT25-BT$20)*1000)+CP$18</f>
        <v>0.68337555897907132</v>
      </c>
      <c r="CQ25" s="43">
        <f t="shared" ref="CQ25" si="444">IF(BU25="","",(BU25-BU$20)*1000)+CQ$18</f>
        <v>-2.5448854914600361</v>
      </c>
      <c r="CR25" s="43">
        <f t="shared" ref="CR25" si="445">IF(BV25="","",(BV25-BV$20)*1000)+CR$18</f>
        <v>3.1724709854406008</v>
      </c>
      <c r="CS25" s="43">
        <f t="shared" ref="CS25" si="446">IF(BW25="","",(BW25-BW$20)*1000)+CS$18</f>
        <v>-6.6975511450719782</v>
      </c>
      <c r="CT25" s="43">
        <f t="shared" ref="CT25" si="447">IF(BX25="","",(BX25-BX$20)*1000)+CT$18</f>
        <v>-13.381202444179507</v>
      </c>
      <c r="CU25" s="43">
        <f t="shared" ref="CU25" si="448">IF(BY25="","",(BY25-BY$20)*1000)+CU$18</f>
        <v>-2.8811089710806534</v>
      </c>
      <c r="CV25" s="43">
        <f t="shared" ref="CV25" si="449">IF(BZ25="","",(BZ25-BZ$20)*1000)+CV$18</f>
        <v>-53.725187975550696</v>
      </c>
      <c r="CW25" s="43">
        <f t="shared" ref="CW25" si="450">IF(CA25="","",(CA25-CA$20)*1000)+CW$18</f>
        <v>-4.2936521362264557</v>
      </c>
      <c r="CX25" s="43">
        <f t="shared" ref="CX25" si="451">IF(CB25="","",(CB25-CB$20)*1000)+CX$18</f>
        <v>-15.629753847173911</v>
      </c>
      <c r="CY25" s="43">
        <f t="shared" ref="CY25" si="452">IF(CC25="","",(CC25-CC$20)*1000)+CY$18</f>
        <v>-20.134063478635333</v>
      </c>
      <c r="CZ25" s="43">
        <f t="shared" ref="CZ25" si="453">IF(CD25="","",(CD25-CD$20)*1000)+CZ$18</f>
        <v>0.83446686866750497</v>
      </c>
      <c r="DA25" s="43">
        <f t="shared" ref="DA25" si="454">IF(CE25="","",(CE25-CE$20)*1000)+DA$18</f>
        <v>-18.624604093085306</v>
      </c>
      <c r="DB25" s="43">
        <f t="shared" ref="DB25" si="455">IF(CF25="","",(CF25-CF$20)*1000)+DB$18</f>
        <v>0.43865533131032253</v>
      </c>
      <c r="DC25" s="43">
        <f t="shared" ref="DC25" si="456">IF(CG25="","",(CG25-CG$20)*1000)+DC$18</f>
        <v>12.42634561768341</v>
      </c>
      <c r="DD25" s="43">
        <f t="shared" ref="DD25" si="457">IF(CH25="","",(CH25-CH$20)*1000)+DD$18</f>
        <v>-16.064695174446086</v>
      </c>
      <c r="DE25" s="43">
        <f t="shared" ref="DE25" si="458">IF(CI25="","",(CI25-CI$20)*1000)+DE$18</f>
        <v>-32.399263456176158</v>
      </c>
    </row>
    <row r="26" spans="1:109" ht="29.25" customHeight="1" x14ac:dyDescent="0.2">
      <c r="A26" s="37">
        <v>43704</v>
      </c>
      <c r="B26" s="29">
        <f t="shared" si="10"/>
        <v>46</v>
      </c>
      <c r="C26" s="38">
        <v>197.2</v>
      </c>
      <c r="D26" s="38">
        <f t="shared" si="260"/>
        <v>13.299999999999983</v>
      </c>
      <c r="E26" s="39">
        <v>823233.37710000004</v>
      </c>
      <c r="F26" s="39">
        <v>1091513.5617</v>
      </c>
      <c r="G26" s="39">
        <v>-124.58159999999999</v>
      </c>
      <c r="H26" s="39">
        <v>823233.25020000001</v>
      </c>
      <c r="I26" s="39">
        <v>1091513.7638999999</v>
      </c>
      <c r="J26" s="39">
        <v>-123.4122</v>
      </c>
      <c r="K26" s="39">
        <v>823233.45270000002</v>
      </c>
      <c r="L26" s="39">
        <v>1091513.2904000001</v>
      </c>
      <c r="M26" s="39">
        <v>-121.967</v>
      </c>
      <c r="N26" s="39">
        <v>823234.11010000005</v>
      </c>
      <c r="O26" s="39">
        <v>1091511.5534999999</v>
      </c>
      <c r="P26" s="39">
        <v>-121.0462</v>
      </c>
      <c r="Q26" s="39">
        <v>823234.87860000005</v>
      </c>
      <c r="R26" s="39">
        <v>1091510.1453</v>
      </c>
      <c r="S26" s="39">
        <v>-121.3719</v>
      </c>
      <c r="T26" s="39">
        <v>823235.48369999998</v>
      </c>
      <c r="U26" s="39">
        <v>1091508.8943</v>
      </c>
      <c r="V26" s="39">
        <v>-123.4485</v>
      </c>
      <c r="W26" s="39">
        <v>823235.41079999995</v>
      </c>
      <c r="X26" s="39">
        <v>1091509.0356999999</v>
      </c>
      <c r="Y26" s="39">
        <v>-124.62439999999999</v>
      </c>
      <c r="Z26" s="39">
        <f t="shared" si="1"/>
        <v>4.1314899733839949</v>
      </c>
      <c r="AA26" s="39">
        <f t="shared" si="2"/>
        <v>3.3501122622961774</v>
      </c>
      <c r="AB26" s="39">
        <f t="shared" si="3"/>
        <v>2.072889049250036</v>
      </c>
      <c r="AC26" s="39">
        <f t="shared" si="4"/>
        <v>1.6369789185751911</v>
      </c>
      <c r="AD26" s="39">
        <f t="shared" si="5"/>
        <v>3.8378596755443568</v>
      </c>
      <c r="AE26" s="39">
        <f t="shared" si="6"/>
        <v>4.5644991587146944</v>
      </c>
      <c r="AF26" s="39">
        <f t="shared" si="7"/>
        <v>3.5041388144024617</v>
      </c>
      <c r="AG26" s="39">
        <f t="shared" si="8"/>
        <v>5.3575035322914326</v>
      </c>
      <c r="AH26" s="39">
        <f t="shared" si="9"/>
        <v>4.9621007174668863</v>
      </c>
      <c r="AI26" s="43">
        <f t="shared" si="261"/>
        <v>-48.854923844510623</v>
      </c>
      <c r="AJ26" s="43">
        <f t="shared" ref="AJ26" si="459">IF(AA26="","",(AA26-AA$20)*1000)+AJ$18</f>
        <v>-41.430325421527584</v>
      </c>
      <c r="AK26" s="43">
        <f t="shared" ref="AK26" si="460">IF(AB26="","",(AB26-AB$20)*1000)+AK$18</f>
        <v>-25.788591815847585</v>
      </c>
      <c r="AL26" s="43">
        <f t="shared" ref="AL26" si="461">IF(AC26="","",(AC26-AC$20)*1000)+AL$18</f>
        <v>-13.418220616602248</v>
      </c>
      <c r="AM26" s="43">
        <f t="shared" ref="AM26" si="462">IF(AD26="","",(AD26-AD$20)*1000)+AM$18</f>
        <v>-48.796744309905549</v>
      </c>
      <c r="AN26" s="43">
        <f t="shared" ref="AN26" si="463">IF(AE26="","",(AE26-AE$20)*1000)+AN$18</f>
        <v>-26.581531179000528</v>
      </c>
      <c r="AO26" s="43">
        <f t="shared" ref="AO26" si="464">IF(AF26="","",(AF26-AF$20)*1000)+AO$18</f>
        <v>-18.25114850710019</v>
      </c>
      <c r="AP26" s="43">
        <f t="shared" ref="AP26" si="465">IF(AG26="","",(AG26-AG$20)*1000)+AP$18</f>
        <v>-19.028722775032314</v>
      </c>
      <c r="AQ26" s="43">
        <f t="shared" ref="AQ26" si="466">IF(AH26="","",(AH26-AH$20)*1000)+AQ$18</f>
        <v>-15.770938828596037</v>
      </c>
      <c r="AR26" s="40"/>
      <c r="AS26" s="43">
        <f t="shared" si="263"/>
        <v>0.45000005047768354</v>
      </c>
      <c r="AT26" s="43">
        <f t="shared" ref="AT26" si="467">IF(F26="","",(F26-F$20)*1000)+AT$18</f>
        <v>-1.1500001419335604</v>
      </c>
      <c r="AU26" s="43">
        <f t="shared" ref="AU26" si="468">IF(G26="","",(G26-G$20)*1000)+AU$18</f>
        <v>1.6000000000104819</v>
      </c>
      <c r="AV26" s="43">
        <f t="shared" ref="AV26" si="469">IF(H26="","",(H26-H$20)*1000)+AV$18</f>
        <v>0.50000008195638657</v>
      </c>
      <c r="AW26" s="43">
        <f t="shared" ref="AW26" si="470">IF(I26="","",(I26-I$20)*1000)+AW$18</f>
        <v>-1.850000349804759</v>
      </c>
      <c r="AX26" s="43">
        <f t="shared" ref="AX26" si="471">IF(J26="","",(J26-J$20)*1000)+AX$18</f>
        <v>0.65000000000736691</v>
      </c>
      <c r="AY26" s="43">
        <f t="shared" ref="AY26" si="472">IF(K26="","",(K26-K$20)*1000)+AY$18</f>
        <v>0.15000009443610907</v>
      </c>
      <c r="AZ26" s="43">
        <f t="shared" ref="AZ26" si="473">IF(L26="","",(L26-L$20)*1000)+AZ$18</f>
        <v>-6.3000002410262823</v>
      </c>
      <c r="BA26" s="43">
        <f t="shared" ref="BA26" si="474">IF(M26="","",(M26-M$20)*1000)+BA$18</f>
        <v>-6.8999999999874717</v>
      </c>
      <c r="BB26" s="43">
        <f t="shared" ref="BB26" si="475">IF(N26="","",(N26-N$20)*1000)+BB$18</f>
        <v>-12.699999962933362</v>
      </c>
      <c r="BC26" s="43">
        <f t="shared" ref="BC26" si="476">IF(O26="","",(O26-O$20)*1000)+BC$18</f>
        <v>-5.2000000141561031</v>
      </c>
      <c r="BD26" s="43">
        <f t="shared" ref="BD26" si="477">IF(P26="","",(P26-P$20)*1000)+BD$18</f>
        <v>-55.649999999999977</v>
      </c>
      <c r="BE26" s="43">
        <f t="shared" ref="BE26" si="478">IF(Q26="","",(Q26-Q$20)*1000)+BE$18</f>
        <v>5.1499999826774001</v>
      </c>
      <c r="BF26" s="43">
        <f t="shared" ref="BF26" si="479">IF(R26="","",(R26-R$20)*1000)+BF$18</f>
        <v>12.500000186264515</v>
      </c>
      <c r="BG26" s="43">
        <f t="shared" ref="BG26" si="480">IF(S26="","",(S26-S$20)*1000)+BG$18</f>
        <v>-28.750000000002274</v>
      </c>
      <c r="BH26" s="43">
        <f t="shared" ref="BH26" si="481">IF(T26="","",(T26-T$20)*1000)+BH$18</f>
        <v>-6.9999998668208718</v>
      </c>
      <c r="BI26" s="43">
        <f t="shared" ref="BI26" si="482">IF(U26="","",(U26-U$20)*1000)+BI$18</f>
        <v>15.650000190362334</v>
      </c>
      <c r="BJ26" s="43">
        <f t="shared" ref="BJ26" si="483">IF(V26="","",(V26-V$20)*1000)+BJ$18</f>
        <v>0.50000000001659828</v>
      </c>
      <c r="BK26" s="43">
        <f t="shared" ref="BK26" si="484">IF(W26="","",(W26-W$20)*1000)+BK$18</f>
        <v>5.0000000046566129</v>
      </c>
      <c r="BL26" s="43">
        <f t="shared" ref="BL26" si="485">IF(X26="","",(X26-X$20)*1000)+BL$18</f>
        <v>18.449999857693911</v>
      </c>
      <c r="BM26" s="43">
        <f t="shared" ref="BM26" si="486">IF(Y26="","",(Y26-Y$20)*1000)+BM$18</f>
        <v>-32.299999999992224</v>
      </c>
      <c r="BN26" s="40"/>
      <c r="BO26" s="39">
        <v>183.97045356353959</v>
      </c>
      <c r="BP26" s="39">
        <v>-2.4332531724219764</v>
      </c>
      <c r="BQ26" s="39">
        <v>-0.87842453563538925</v>
      </c>
      <c r="BR26" s="39">
        <v>183.94090533888831</v>
      </c>
      <c r="BS26" s="39">
        <v>-2.6701399648027175</v>
      </c>
      <c r="BT26" s="39">
        <v>0.29127094661112096</v>
      </c>
      <c r="BU26" s="39">
        <v>183.92430375214147</v>
      </c>
      <c r="BV26" s="39">
        <v>-2.1554236476157738</v>
      </c>
      <c r="BW26" s="39">
        <v>1.7366369624785847</v>
      </c>
      <c r="BX26" s="39">
        <v>183.78599586889544</v>
      </c>
      <c r="BY26" s="39">
        <v>-0.30343355586777809</v>
      </c>
      <c r="BZ26" s="39">
        <v>2.6588200413110457</v>
      </c>
      <c r="CA26" s="39">
        <v>183.88730274808907</v>
      </c>
      <c r="CB26" s="39">
        <v>1.2976149774651744</v>
      </c>
      <c r="CC26" s="39">
        <v>2.3321069725191137</v>
      </c>
      <c r="CD26" s="39">
        <v>183.90696240237321</v>
      </c>
      <c r="CE26" s="39">
        <v>2.6871330621743357</v>
      </c>
      <c r="CF26" s="39">
        <v>0.25531037597626494</v>
      </c>
      <c r="CG26" s="39">
        <v>183.90065670612654</v>
      </c>
      <c r="CH26" s="39">
        <v>2.5281720350139278</v>
      </c>
      <c r="CI26" s="39">
        <v>-0.92052656706125902</v>
      </c>
      <c r="CJ26" s="40"/>
      <c r="CK26" s="43">
        <f t="shared" si="265"/>
        <v>-0.39351610377025281</v>
      </c>
      <c r="CL26" s="43">
        <f t="shared" ref="CL26:CL27" si="487">IF(BP26="","",(BP26-BP$20)*1000)+CL$18</f>
        <v>1.5744615462311984</v>
      </c>
      <c r="CM26" s="43">
        <f t="shared" ref="CM26:CM27" si="488">IF(BQ26="","",(BQ26-BQ$20)*1000)+CM$18</f>
        <v>1.6029351610568066</v>
      </c>
      <c r="CN26" s="43">
        <f t="shared" ref="CN26:CN27" si="489">IF(BR26="","",(BR26-BR$20)*1000)+CN$18</f>
        <v>-0.33221700934404907</v>
      </c>
      <c r="CO26" s="43">
        <f t="shared" ref="CO26:CO27" si="490">IF(BS26="","",(BS26-BS$20)*1000)+CO$18</f>
        <v>1.8375488041830756</v>
      </c>
      <c r="CP26" s="43">
        <f t="shared" ref="CP26:CP27" si="491">IF(BT26="","",(BT26-BT$20)*1000)+CP$18</f>
        <v>0.65432217010003013</v>
      </c>
      <c r="CQ26" s="43">
        <f t="shared" ref="CQ26:CQ27" si="492">IF(BU26="","",(BU26-BU$20)*1000)+CQ$18</f>
        <v>-2.2411333499974262</v>
      </c>
      <c r="CR26" s="43">
        <f t="shared" ref="CR26:CR27" si="493">IF(BV26="","",(BV26-BV$20)*1000)+CR$18</f>
        <v>5.1488233696668217</v>
      </c>
      <c r="CS26" s="43">
        <f t="shared" ref="CS26:CS27" si="494">IF(BW26="","",(BW26-BW$20)*1000)+CS$18</f>
        <v>-6.8605886664871996</v>
      </c>
      <c r="CT26" s="43">
        <f t="shared" ref="CT26:CT27" si="495">IF(BX26="","",(BX26-BX$20)*1000)+CT$18</f>
        <v>-13.585333548746803</v>
      </c>
      <c r="CU26" s="43">
        <f t="shared" ref="CU26:CU27" si="496">IF(BY26="","",(BY26-BY$20)*1000)+CU$18</f>
        <v>-0.81466483885875296</v>
      </c>
      <c r="CV26" s="43">
        <f t="shared" ref="CV26:CV27" si="497">IF(BZ26="","",(BZ26-BZ$20)*1000)+CV$18</f>
        <v>-55.505146664505119</v>
      </c>
      <c r="CW26" s="43">
        <f t="shared" ref="CW26:CW27" si="498">IF(CA26="","",(CA26-CA$20)*1000)+CW$18</f>
        <v>9.5090959528363328</v>
      </c>
      <c r="CX26" s="43">
        <f t="shared" ref="CX26:CX27" si="499">IF(CB26="","",(CB26-CB$20)*1000)+CX$18</f>
        <v>-8.4147763819995003</v>
      </c>
      <c r="CY26" s="43">
        <f t="shared" ref="CY26:CY27" si="500">IF(CC26="","",(CC26-CC$20)*1000)+CY$18</f>
        <v>-28.727090959521639</v>
      </c>
      <c r="CZ26" s="43">
        <f t="shared" ref="CZ26:CZ27" si="501">IF(CD26="","",(CD26-CD$20)*1000)+CZ$18</f>
        <v>0.29686924187899422</v>
      </c>
      <c r="DA26" s="43">
        <f t="shared" ref="DA26:DA27" si="502">IF(CE26="","",(CE26-CE$20)*1000)+DA$18</f>
        <v>-17.191541918749831</v>
      </c>
      <c r="DB26" s="43">
        <f t="shared" ref="DB26:DB27" si="503">IF(CF26="","",(CF26-CF$20)*1000)+DB$18</f>
        <v>0.54903130757527618</v>
      </c>
      <c r="DC26" s="43">
        <f t="shared" ref="DC26:DC27" si="504">IF(CG26="","",(CG26-CG$20)*1000)+DC$18</f>
        <v>12.28305174421962</v>
      </c>
      <c r="DD26" s="43">
        <f t="shared" ref="DD26:DD27" si="505">IF(CH26="","",(CH26-CH$20)*1000)+DD$18</f>
        <v>-14.492660160518422</v>
      </c>
      <c r="DE26" s="43">
        <f t="shared" ref="DE26:DE27" si="506">IF(CI26="","",(CI26-CI$20)*1000)+DE$18</f>
        <v>-32.425830517435188</v>
      </c>
    </row>
    <row r="27" spans="1:109" ht="29.25" customHeight="1" x14ac:dyDescent="0.2">
      <c r="A27" s="37">
        <v>43706</v>
      </c>
      <c r="B27" s="29">
        <f t="shared" si="10"/>
        <v>48</v>
      </c>
      <c r="C27" s="38">
        <v>198.3</v>
      </c>
      <c r="D27" s="38">
        <f t="shared" si="260"/>
        <v>14.400000000000006</v>
      </c>
      <c r="E27" s="39">
        <v>823233.37769999995</v>
      </c>
      <c r="F27" s="39">
        <v>1091513.5632</v>
      </c>
      <c r="G27" s="39">
        <v>-124.5808</v>
      </c>
      <c r="H27" s="39">
        <v>823233.25089999998</v>
      </c>
      <c r="I27" s="39">
        <v>1091513.7656</v>
      </c>
      <c r="J27" s="39">
        <v>-123.4114</v>
      </c>
      <c r="K27" s="39">
        <v>823233.45319999999</v>
      </c>
      <c r="L27" s="39">
        <v>1091513.2919999999</v>
      </c>
      <c r="M27" s="39">
        <v>-121.9662</v>
      </c>
      <c r="N27" s="39">
        <v>823234.11109999998</v>
      </c>
      <c r="O27" s="39">
        <v>1091511.5549000001</v>
      </c>
      <c r="P27" s="39">
        <v>-121.0457</v>
      </c>
      <c r="Q27" s="39">
        <v>823234.87990000006</v>
      </c>
      <c r="R27" s="39">
        <v>1091510.1469000001</v>
      </c>
      <c r="S27" s="39">
        <v>-121.37090000000001</v>
      </c>
      <c r="T27" s="39">
        <v>823235.48490000004</v>
      </c>
      <c r="U27" s="39">
        <v>1091508.8961</v>
      </c>
      <c r="V27" s="39">
        <v>-123.4478</v>
      </c>
      <c r="W27" s="39">
        <v>823235.41189999995</v>
      </c>
      <c r="X27" s="39">
        <v>1091509.0377</v>
      </c>
      <c r="Y27" s="39">
        <v>-124.6238</v>
      </c>
      <c r="Z27" s="39">
        <f t="shared" si="1"/>
        <v>4.1313528606883825</v>
      </c>
      <c r="AA27" s="39">
        <f t="shared" si="2"/>
        <v>3.3501753714868814</v>
      </c>
      <c r="AB27" s="39">
        <f t="shared" si="3"/>
        <v>2.0730820218397334</v>
      </c>
      <c r="AC27" s="39">
        <f t="shared" si="4"/>
        <v>1.6368483375902971</v>
      </c>
      <c r="AD27" s="39">
        <f t="shared" si="5"/>
        <v>3.8375289302691358</v>
      </c>
      <c r="AE27" s="39">
        <f t="shared" si="6"/>
        <v>4.5641183256477458</v>
      </c>
      <c r="AF27" s="39">
        <f t="shared" si="7"/>
        <v>3.5044983933861067</v>
      </c>
      <c r="AG27" s="39">
        <f t="shared" si="8"/>
        <v>5.357621786813227</v>
      </c>
      <c r="AH27" s="39">
        <f t="shared" si="9"/>
        <v>4.9618513570921161</v>
      </c>
      <c r="AI27" s="43">
        <f t="shared" ref="AI27" si="507">IF(Z27="","",(Z27-Z$20)*1000)+AI$18</f>
        <v>-48.992036540123074</v>
      </c>
      <c r="AJ27" s="43">
        <f t="shared" ref="AJ27" si="508">IF(AA27="","",(AA27-AA$20)*1000)+AJ$18</f>
        <v>-41.367216230823622</v>
      </c>
      <c r="AK27" s="43">
        <f t="shared" ref="AK27" si="509">IF(AB27="","",(AB27-AB$20)*1000)+AK$18</f>
        <v>-25.59561922615017</v>
      </c>
      <c r="AL27" s="43">
        <f t="shared" ref="AL27" si="510">IF(AC27="","",(AC27-AC$20)*1000)+AL$18</f>
        <v>-13.548801601496184</v>
      </c>
      <c r="AM27" s="43">
        <f t="shared" ref="AM27" si="511">IF(AD27="","",(AD27-AD$20)*1000)+AM$18</f>
        <v>-49.127489585126582</v>
      </c>
      <c r="AN27" s="43">
        <f t="shared" ref="AN27" si="512">IF(AE27="","",(AE27-AE$20)*1000)+AN$18</f>
        <v>-26.962364245949111</v>
      </c>
      <c r="AO27" s="43">
        <f t="shared" ref="AO27" si="513">IF(AF27="","",(AF27-AF$20)*1000)+AO$18</f>
        <v>-17.891569523455164</v>
      </c>
      <c r="AP27" s="43">
        <f t="shared" ref="AP27" si="514">IF(AG27="","",(AG27-AG$20)*1000)+AP$18</f>
        <v>-18.910468253237944</v>
      </c>
      <c r="AQ27" s="43">
        <f t="shared" ref="AQ27" si="515">IF(AH27="","",(AH27-AH$20)*1000)+AQ$18</f>
        <v>-16.020299203366228</v>
      </c>
      <c r="AR27" s="40"/>
      <c r="AS27" s="43">
        <f t="shared" ref="AS27" si="516">IF(E27="","",(E27-E$20)*1000)+AS$18</f>
        <v>1.0499999625608325</v>
      </c>
      <c r="AT27" s="43">
        <f t="shared" ref="AT27" si="517">IF(F27="","",(F27-F$20)*1000)+AT$18</f>
        <v>0.34999987110495567</v>
      </c>
      <c r="AU27" s="43">
        <f t="shared" ref="AU27" si="518">IF(G27="","",(G27-G$20)*1000)+AU$18</f>
        <v>2.4000000000086175</v>
      </c>
      <c r="AV27" s="43">
        <f t="shared" ref="AV27" si="519">IF(H27="","",(H27-H$20)*1000)+AV$18</f>
        <v>1.2000000569969416</v>
      </c>
      <c r="AW27" s="43">
        <f t="shared" ref="AW27" si="520">IF(I27="","",(I27-I$20)*1000)+AW$18</f>
        <v>-0.15000021085143089</v>
      </c>
      <c r="AX27" s="43">
        <f t="shared" ref="AX27" si="521">IF(J27="","",(J27-J$20)*1000)+AX$18</f>
        <v>1.4500000000055024</v>
      </c>
      <c r="AY27" s="43">
        <f t="shared" ref="AY27" si="522">IF(K27="","",(K27-K$20)*1000)+AY$18</f>
        <v>0.65000005997717381</v>
      </c>
      <c r="AZ27" s="43">
        <f t="shared" ref="AZ27" si="523">IF(L27="","",(L27-L$20)*1000)+AZ$18</f>
        <v>-4.7000003978610039</v>
      </c>
      <c r="BA27" s="43">
        <f t="shared" ref="BA27" si="524">IF(M27="","",(M27-M$20)*1000)+BA$18</f>
        <v>-6.0999999999893362</v>
      </c>
      <c r="BB27" s="43">
        <f t="shared" ref="BB27" si="525">IF(N27="","",(N27-N$20)*1000)+BB$18</f>
        <v>-11.700000031851232</v>
      </c>
      <c r="BC27" s="43">
        <f t="shared" ref="BC27" si="526">IF(O27="","",(O27-O$20)*1000)+BC$18</f>
        <v>-3.7999998312443495</v>
      </c>
      <c r="BD27" s="43">
        <f t="shared" ref="BD27" si="527">IF(P27="","",(P27-P$20)*1000)+BD$18</f>
        <v>-55.14999999999759</v>
      </c>
      <c r="BE27" s="43">
        <f t="shared" ref="BE27" si="528">IF(Q27="","",(Q27-Q$20)*1000)+BE$18</f>
        <v>6.4499999862164259</v>
      </c>
      <c r="BF27" s="43">
        <f t="shared" ref="BF27" si="529">IF(R27="","",(R27-R$20)*1000)+BF$18</f>
        <v>14.100000262260437</v>
      </c>
      <c r="BG27" s="43">
        <f t="shared" ref="BG27" si="530">IF(S27="","",(S27-S$20)*1000)+BG$18</f>
        <v>-27.75000000001171</v>
      </c>
      <c r="BH27" s="43">
        <f t="shared" ref="BH27" si="531">IF(T27="","",(T27-T$20)*1000)+BH$18</f>
        <v>-5.7999998098239303</v>
      </c>
      <c r="BI27" s="43">
        <f t="shared" ref="BI27" si="532">IF(U27="","",(U27-U$20)*1000)+BI$18</f>
        <v>17.450000159442425</v>
      </c>
      <c r="BJ27" s="43">
        <f t="shared" ref="BJ27" si="533">IF(V27="","",(V27-V$20)*1000)+BJ$18</f>
        <v>1.2000000000114142</v>
      </c>
      <c r="BK27" s="43">
        <f t="shared" ref="BK27" si="534">IF(W27="","",(W27-W$20)*1000)+BK$18</f>
        <v>6.0999999986961484</v>
      </c>
      <c r="BL27" s="43">
        <f t="shared" ref="BL27" si="535">IF(X27="","",(X27-X$20)*1000)+BL$18</f>
        <v>20.449999952688813</v>
      </c>
      <c r="BM27" s="43">
        <f t="shared" ref="BM27" si="536">IF(Y27="","",(Y27-Y$20)*1000)+BM$18</f>
        <v>-31.700000000000728</v>
      </c>
      <c r="BN27" s="40"/>
      <c r="BO27" s="39">
        <v>183.97200000000001</v>
      </c>
      <c r="BP27" s="39">
        <v>-2.4340000000000002</v>
      </c>
      <c r="BQ27" s="39">
        <v>-0.878</v>
      </c>
      <c r="BR27" s="39">
        <v>183.94200000000001</v>
      </c>
      <c r="BS27" s="39">
        <v>-2.6709999999999998</v>
      </c>
      <c r="BT27" s="39">
        <v>0.29199999999999998</v>
      </c>
      <c r="BU27" s="39">
        <v>183.92500000000001</v>
      </c>
      <c r="BV27" s="39">
        <v>-2.157</v>
      </c>
      <c r="BW27" s="39">
        <v>1.7370000000000001</v>
      </c>
      <c r="BX27" s="39">
        <v>183.78700000000001</v>
      </c>
      <c r="BY27" s="39">
        <v>-0.30399999999999999</v>
      </c>
      <c r="BZ27" s="39">
        <v>2.6589999999999998</v>
      </c>
      <c r="CA27" s="39">
        <v>183.88900000000001</v>
      </c>
      <c r="CB27" s="39">
        <v>1.2969999999999999</v>
      </c>
      <c r="CC27" s="39">
        <v>2.3330000000000002</v>
      </c>
      <c r="CD27" s="39">
        <v>183.90899999999999</v>
      </c>
      <c r="CE27" s="39">
        <v>2.6859999999999999</v>
      </c>
      <c r="CF27" s="39">
        <v>0.25600000000000001</v>
      </c>
      <c r="CG27" s="39">
        <v>183.90199999999999</v>
      </c>
      <c r="CH27" s="39">
        <v>2.5270000000000001</v>
      </c>
      <c r="CI27" s="39">
        <v>-0.92</v>
      </c>
      <c r="CJ27" s="40"/>
      <c r="CK27" s="43">
        <f t="shared" ref="CK27" si="537">IF(BO27="","",(BO27-BO$20)*1000)+CK$18</f>
        <v>1.1529203566453816</v>
      </c>
      <c r="CL27" s="43">
        <f t="shared" si="487"/>
        <v>0.82763396820739743</v>
      </c>
      <c r="CM27" s="43">
        <f t="shared" si="488"/>
        <v>2.0274707964460514</v>
      </c>
      <c r="CN27" s="43">
        <f t="shared" si="489"/>
        <v>0.762444102349491</v>
      </c>
      <c r="CO27" s="43">
        <f t="shared" si="490"/>
        <v>0.97751360690079281</v>
      </c>
      <c r="CP27" s="43">
        <f t="shared" si="491"/>
        <v>1.3833755589790497</v>
      </c>
      <c r="CQ27" s="43">
        <f t="shared" si="492"/>
        <v>-1.5448854914552612</v>
      </c>
      <c r="CR27" s="43">
        <f t="shared" si="493"/>
        <v>3.5724709854405567</v>
      </c>
      <c r="CS27" s="43">
        <f t="shared" si="494"/>
        <v>-6.4975511450717782</v>
      </c>
      <c r="CT27" s="43">
        <f t="shared" si="495"/>
        <v>-12.581202444181372</v>
      </c>
      <c r="CU27" s="43">
        <f t="shared" si="496"/>
        <v>-1.3811089710806523</v>
      </c>
      <c r="CV27" s="43">
        <f t="shared" si="497"/>
        <v>-55.325187975550968</v>
      </c>
      <c r="CW27" s="43">
        <f t="shared" si="498"/>
        <v>11.2063478637765</v>
      </c>
      <c r="CX27" s="43">
        <f t="shared" si="499"/>
        <v>-9.0297538471739713</v>
      </c>
      <c r="CY27" s="43">
        <f t="shared" si="500"/>
        <v>-27.834063478635152</v>
      </c>
      <c r="CZ27" s="43">
        <f t="shared" si="501"/>
        <v>2.3344668686604564</v>
      </c>
      <c r="DA27" s="43">
        <f t="shared" si="502"/>
        <v>-18.324604093085561</v>
      </c>
      <c r="DB27" s="43">
        <f t="shared" si="503"/>
        <v>1.2386553313103454</v>
      </c>
      <c r="DC27" s="43">
        <f t="shared" si="504"/>
        <v>13.626345617666402</v>
      </c>
      <c r="DD27" s="43">
        <f t="shared" si="505"/>
        <v>-15.66469517444613</v>
      </c>
      <c r="DE27" s="43">
        <f t="shared" si="506"/>
        <v>-31.899263456176215</v>
      </c>
    </row>
    <row r="28" spans="1:109" ht="29.25" customHeight="1" x14ac:dyDescent="0.2">
      <c r="A28" s="37">
        <v>43710</v>
      </c>
      <c r="B28" s="29">
        <f t="shared" si="10"/>
        <v>52</v>
      </c>
      <c r="C28" s="38">
        <v>199.4</v>
      </c>
      <c r="D28" s="38">
        <f t="shared" si="260"/>
        <v>15.5</v>
      </c>
      <c r="E28" s="39">
        <v>823233.37730000005</v>
      </c>
      <c r="F28" s="39">
        <v>1091513.5622</v>
      </c>
      <c r="G28" s="39">
        <v>-124.5812</v>
      </c>
      <c r="H28" s="39">
        <v>823233.25060000003</v>
      </c>
      <c r="I28" s="39">
        <v>1091513.7646000001</v>
      </c>
      <c r="J28" s="39">
        <v>-123.4117</v>
      </c>
      <c r="K28" s="39">
        <v>823233.45310000004</v>
      </c>
      <c r="L28" s="39">
        <v>1091513.2911</v>
      </c>
      <c r="M28" s="39">
        <v>-121.9669</v>
      </c>
      <c r="N28" s="39">
        <v>823234.11069999996</v>
      </c>
      <c r="O28" s="39">
        <v>1091511.5541000001</v>
      </c>
      <c r="P28" s="39">
        <v>-121.0468</v>
      </c>
      <c r="Q28" s="39">
        <v>823234.87919999997</v>
      </c>
      <c r="R28" s="39">
        <v>1091510.1461</v>
      </c>
      <c r="S28" s="39">
        <v>-121.3715</v>
      </c>
      <c r="T28" s="39">
        <v>823235.48419999995</v>
      </c>
      <c r="U28" s="39">
        <v>1091508.8954</v>
      </c>
      <c r="V28" s="39">
        <v>-123.4482</v>
      </c>
      <c r="W28" s="39">
        <v>823235.41139999998</v>
      </c>
      <c r="X28" s="39">
        <v>1091509.0368999999</v>
      </c>
      <c r="Y28" s="39">
        <v>-124.624</v>
      </c>
      <c r="Z28" s="39">
        <f t="shared" si="1"/>
        <v>4.1306566705279089</v>
      </c>
      <c r="AA28" s="39">
        <f t="shared" si="2"/>
        <v>3.3494528314459968</v>
      </c>
      <c r="AB28" s="39">
        <f t="shared" si="3"/>
        <v>2.0727254448599752</v>
      </c>
      <c r="AC28" s="39">
        <f t="shared" si="4"/>
        <v>1.6366081816246352</v>
      </c>
      <c r="AD28" s="39">
        <f t="shared" si="5"/>
        <v>3.8369141116421503</v>
      </c>
      <c r="AE28" s="39">
        <f t="shared" si="6"/>
        <v>4.5633842891709806</v>
      </c>
      <c r="AF28" s="39">
        <f t="shared" si="7"/>
        <v>3.5041814122417998</v>
      </c>
      <c r="AG28" s="39">
        <f t="shared" si="8"/>
        <v>5.357183014454411</v>
      </c>
      <c r="AH28" s="39">
        <f t="shared" si="9"/>
        <v>4.9616262193547396</v>
      </c>
      <c r="AI28" s="43">
        <f t="shared" ref="AI28:AI29" si="538">IF(Z28="","",(Z28-Z$20)*1000)+AI$18</f>
        <v>-49.688226700596694</v>
      </c>
      <c r="AJ28" s="43">
        <f t="shared" ref="AJ28:AJ29" si="539">IF(AA28="","",(AA28-AA$20)*1000)+AJ$18</f>
        <v>-42.08975627170819</v>
      </c>
      <c r="AK28" s="43">
        <f t="shared" ref="AK28:AK29" si="540">IF(AB28="","",(AB28-AB$20)*1000)+AK$18</f>
        <v>-25.952196205908386</v>
      </c>
      <c r="AL28" s="43">
        <f t="shared" ref="AL28:AL29" si="541">IF(AC28="","",(AC28-AC$20)*1000)+AL$18</f>
        <v>-13.788957567158143</v>
      </c>
      <c r="AM28" s="43">
        <f t="shared" ref="AM28:AM29" si="542">IF(AD28="","",(AD28-AD$20)*1000)+AM$18</f>
        <v>-49.742308212112007</v>
      </c>
      <c r="AN28" s="43">
        <f t="shared" ref="AN28:AN29" si="543">IF(AE28="","",(AE28-AE$20)*1000)+AN$18</f>
        <v>-27.696400722714287</v>
      </c>
      <c r="AO28" s="43">
        <f t="shared" ref="AO28:AO29" si="544">IF(AF28="","",(AF28-AF$20)*1000)+AO$18</f>
        <v>-18.208550667762058</v>
      </c>
      <c r="AP28" s="43">
        <f t="shared" ref="AP28:AP29" si="545">IF(AG28="","",(AG28-AG$20)*1000)+AP$18</f>
        <v>-19.349240612053897</v>
      </c>
      <c r="AQ28" s="43">
        <f t="shared" ref="AQ28:AQ29" si="546">IF(AH28="","",(AH28-AH$20)*1000)+AQ$18</f>
        <v>-16.245436940742763</v>
      </c>
      <c r="AR28" s="40"/>
      <c r="AS28" s="43">
        <f t="shared" ref="AS28:AS29" si="547">IF(E28="","",(E28-E$20)*1000)+AS$18</f>
        <v>0.65000005997717381</v>
      </c>
      <c r="AT28" s="43">
        <f t="shared" ref="AT28:AT29" si="548">IF(F28="","",(F28-F$20)*1000)+AT$18</f>
        <v>-0.65000005997717381</v>
      </c>
      <c r="AU28" s="43">
        <f t="shared" ref="AU28:AU29" si="549">IF(G28="","",(G28-G$20)*1000)+AU$18</f>
        <v>2.0000000000095497</v>
      </c>
      <c r="AV28" s="43">
        <f t="shared" ref="AV28:AV29" si="550">IF(H28="","",(H28-H$20)*1000)+AV$18</f>
        <v>0.90000010095536709</v>
      </c>
      <c r="AW28" s="43">
        <f t="shared" ref="AW28:AW29" si="551">IF(I28="","",(I28-I$20)*1000)+AW$18</f>
        <v>-1.1500001419335604</v>
      </c>
      <c r="AX28" s="43">
        <f t="shared" ref="AX28:AX29" si="552">IF(J28="","",(J28-J$20)*1000)+AX$18</f>
        <v>1.1500000000097543</v>
      </c>
      <c r="AY28" s="43">
        <f t="shared" ref="AY28:AY29" si="553">IF(K28="","",(K28-K$20)*1000)+AY$18</f>
        <v>0.55000011343508959</v>
      </c>
      <c r="AZ28" s="43">
        <f t="shared" ref="AZ28:AZ29" si="554">IF(L28="","",(L28-L$20)*1000)+AZ$18</f>
        <v>-5.6000002659857273</v>
      </c>
      <c r="BA28" s="43">
        <f t="shared" ref="BA28:BA29" si="555">IF(M28="","",(M28-M$20)*1000)+BA$18</f>
        <v>-6.7999999999841521</v>
      </c>
      <c r="BB28" s="43">
        <f t="shared" ref="BB28:BB29" si="556">IF(N28="","",(N28-N$20)*1000)+BB$18</f>
        <v>-12.100000050850213</v>
      </c>
      <c r="BC28" s="43">
        <f t="shared" ref="BC28:BC29" si="557">IF(O28="","",(O28-O$20)*1000)+BC$18</f>
        <v>-4.5999998692423105</v>
      </c>
      <c r="BD28" s="43">
        <f t="shared" ref="BD28:BD29" si="558">IF(P28="","",(P28-P$20)*1000)+BD$18</f>
        <v>-56.250000000005684</v>
      </c>
      <c r="BE28" s="43">
        <f t="shared" ref="BE28:BE29" si="559">IF(Q28="","",(Q28-Q$20)*1000)+BE$18</f>
        <v>5.7499998947605491</v>
      </c>
      <c r="BF28" s="43">
        <f t="shared" ref="BF28:BF29" si="560">IF(R28="","",(R28-R$20)*1000)+BF$18</f>
        <v>13.300000224262476</v>
      </c>
      <c r="BG28" s="43">
        <f t="shared" ref="BG28:BG29" si="561">IF(S28="","",(S28-S$20)*1000)+BG$18</f>
        <v>-28.350000000003206</v>
      </c>
      <c r="BH28" s="43">
        <f t="shared" ref="BH28:BH29" si="562">IF(T28="","",(T28-T$20)*1000)+BH$18</f>
        <v>-6.4999999012798071</v>
      </c>
      <c r="BI28" s="43">
        <f t="shared" ref="BI28:BI29" si="563">IF(U28="","",(U28-U$20)*1000)+BI$18</f>
        <v>16.75000018440187</v>
      </c>
      <c r="BJ28" s="43">
        <f t="shared" ref="BJ28:BJ29" si="564">IF(V28="","",(V28-V$20)*1000)+BJ$18</f>
        <v>0.80000000001234639</v>
      </c>
      <c r="BK28" s="43">
        <f t="shared" ref="BK28:BK29" si="565">IF(W28="","",(W28-W$20)*1000)+BK$18</f>
        <v>5.6000000331550837</v>
      </c>
      <c r="BL28" s="43">
        <f t="shared" ref="BL28:BL29" si="566">IF(X28="","",(X28-X$20)*1000)+BL$18</f>
        <v>19.649999914690852</v>
      </c>
      <c r="BM28" s="43">
        <f t="shared" ref="BM28:BM29" si="567">IF(Y28="","",(Y28-Y$20)*1000)+BM$18</f>
        <v>-31.899999999993156</v>
      </c>
      <c r="BN28" s="40"/>
      <c r="BO28" s="39">
        <v>183.9708</v>
      </c>
      <c r="BP28" s="39">
        <v>-2.4336000000000002</v>
      </c>
      <c r="BQ28" s="39">
        <v>-0.878</v>
      </c>
      <c r="BR28" s="39">
        <v>183.94159999999999</v>
      </c>
      <c r="BS28" s="39">
        <v>-2.6705999999999999</v>
      </c>
      <c r="BT28" s="39">
        <v>0.2918</v>
      </c>
      <c r="BU28" s="39">
        <v>183.92500000000001</v>
      </c>
      <c r="BV28" s="39">
        <v>-2.1558999999999999</v>
      </c>
      <c r="BW28" s="39">
        <v>1.7366999999999999</v>
      </c>
      <c r="BX28" s="39">
        <v>183.7868</v>
      </c>
      <c r="BY28" s="39">
        <v>-0.30370000000000003</v>
      </c>
      <c r="BZ28" s="39">
        <v>2.6581999999999999</v>
      </c>
      <c r="CA28" s="39">
        <v>183.88820000000001</v>
      </c>
      <c r="CB28" s="39">
        <v>1.2970999999999999</v>
      </c>
      <c r="CC28" s="39">
        <v>2.3325</v>
      </c>
      <c r="CD28" s="39">
        <v>183.90790000000001</v>
      </c>
      <c r="CE28" s="39">
        <v>2.6863000000000001</v>
      </c>
      <c r="CF28" s="39">
        <v>0.25559999999999999</v>
      </c>
      <c r="CG28" s="39">
        <v>183.90170000000001</v>
      </c>
      <c r="CH28" s="39">
        <v>2.5272999999999999</v>
      </c>
      <c r="CI28" s="39">
        <v>-0.92010000000000003</v>
      </c>
      <c r="CJ28" s="40"/>
      <c r="CK28" s="43">
        <f t="shared" ref="CK28:CK29" si="568">IF(BO28="","",(BO28-BO$20)*1000)+CK$18</f>
        <v>-4.7079643366032542E-2</v>
      </c>
      <c r="CL28" s="43">
        <f t="shared" ref="CL28:CL29" si="569">IF(BP28="","",(BP28-BP$20)*1000)+CL$18</f>
        <v>1.2276339682073534</v>
      </c>
      <c r="CM28" s="43">
        <f t="shared" ref="CM28:CM29" si="570">IF(BQ28="","",(BQ28-BQ$20)*1000)+CM$18</f>
        <v>2.0274707964460514</v>
      </c>
      <c r="CN28" s="43">
        <f t="shared" ref="CN28:CN29" si="571">IF(BR28="","",(BR28-BR$20)*1000)+CN$18</f>
        <v>0.36244410233621238</v>
      </c>
      <c r="CO28" s="43">
        <f t="shared" ref="CO28:CO29" si="572">IF(BS28="","",(BS28-BS$20)*1000)+CO$18</f>
        <v>1.3775136069007488</v>
      </c>
      <c r="CP28" s="43">
        <f t="shared" ref="CP28:CP29" si="573">IF(BT28="","",(BT28-BT$20)*1000)+CP$18</f>
        <v>1.1833755589790718</v>
      </c>
      <c r="CQ28" s="43">
        <f t="shared" ref="CQ28:CQ29" si="574">IF(BU28="","",(BU28-BU$20)*1000)+CQ$18</f>
        <v>-1.5448854914552612</v>
      </c>
      <c r="CR28" s="43">
        <f t="shared" ref="CR28:CR29" si="575">IF(BV28="","",(BV28-BV$20)*1000)+CR$18</f>
        <v>4.6724709854406576</v>
      </c>
      <c r="CS28" s="43">
        <f t="shared" ref="CS28:CS29" si="576">IF(BW28="","",(BW28-BW$20)*1000)+CS$18</f>
        <v>-6.7975511450719672</v>
      </c>
      <c r="CT28" s="43">
        <f t="shared" ref="CT28:CT29" si="577">IF(BX28="","",(BX28-BX$20)*1000)+CT$18</f>
        <v>-12.781202444188011</v>
      </c>
      <c r="CU28" s="43">
        <f t="shared" ref="CU28:CU29" si="578">IF(BY28="","",(BY28-BY$20)*1000)+CU$18</f>
        <v>-1.0811089710806854</v>
      </c>
      <c r="CV28" s="43">
        <f t="shared" ref="CV28:CV29" si="579">IF(BZ28="","",(BZ28-BZ$20)*1000)+CV$18</f>
        <v>-56.12518797555088</v>
      </c>
      <c r="CW28" s="43">
        <f t="shared" ref="CW28:CW29" si="580">IF(CA28="","",(CA28-CA$20)*1000)+CW$18</f>
        <v>10.406347863778365</v>
      </c>
      <c r="CX28" s="43">
        <f t="shared" ref="CX28:CX29" si="581">IF(CB28="","",(CB28-CB$20)*1000)+CX$18</f>
        <v>-8.9297538471739824</v>
      </c>
      <c r="CY28" s="43">
        <f t="shared" ref="CY28:CY29" si="582">IF(CC28="","",(CC28-CC$20)*1000)+CY$18</f>
        <v>-28.334063478635318</v>
      </c>
      <c r="CZ28" s="43">
        <f t="shared" ref="CZ28:CZ29" si="583">IF(CD28="","",(CD28-CD$20)*1000)+CZ$18</f>
        <v>1.2344668686807836</v>
      </c>
      <c r="DA28" s="43">
        <f t="shared" ref="DA28:DA29" si="584">IF(CE28="","",(CE28-CE$20)*1000)+DA$18</f>
        <v>-18.024604093085372</v>
      </c>
      <c r="DB28" s="43">
        <f t="shared" ref="DB28:DB29" si="585">IF(CF28="","",(CF28-CF$20)*1000)+DB$18</f>
        <v>0.83865533131033398</v>
      </c>
      <c r="DC28" s="43">
        <f t="shared" ref="DC28:DC29" si="586">IF(CG28="","",(CG28-CG$20)*1000)+DC$18</f>
        <v>13.326345617684865</v>
      </c>
      <c r="DD28" s="43">
        <f t="shared" ref="DD28:DD29" si="587">IF(CH28="","",(CH28-CH$20)*1000)+DD$18</f>
        <v>-15.364695174446386</v>
      </c>
      <c r="DE28" s="43">
        <f t="shared" ref="DE28:DE29" si="588">IF(CI28="","",(CI28-CI$20)*1000)+DE$18</f>
        <v>-31.999263456176205</v>
      </c>
    </row>
    <row r="29" spans="1:109" ht="29.25" customHeight="1" x14ac:dyDescent="0.2">
      <c r="A29" s="37">
        <v>43713</v>
      </c>
      <c r="B29" s="29">
        <f t="shared" si="10"/>
        <v>55</v>
      </c>
      <c r="C29" s="38">
        <v>200.6</v>
      </c>
      <c r="D29" s="38">
        <f t="shared" si="260"/>
        <v>16.699999999999989</v>
      </c>
      <c r="E29" s="39">
        <v>823233.37919999997</v>
      </c>
      <c r="F29" s="39">
        <v>1091513.5612999999</v>
      </c>
      <c r="G29" s="39">
        <v>-124.5802</v>
      </c>
      <c r="H29" s="39">
        <v>823233.2524</v>
      </c>
      <c r="I29" s="39">
        <v>1091513.7633</v>
      </c>
      <c r="J29" s="39">
        <v>-123.41079999999999</v>
      </c>
      <c r="K29" s="39">
        <v>823233.45460000006</v>
      </c>
      <c r="L29" s="39">
        <v>1091513.2896</v>
      </c>
      <c r="M29" s="39">
        <v>-121.96639999999999</v>
      </c>
      <c r="N29" s="39">
        <v>823234.11199999996</v>
      </c>
      <c r="O29" s="39">
        <v>1091511.5526999999</v>
      </c>
      <c r="P29" s="39">
        <v>-121.0467</v>
      </c>
      <c r="Q29" s="39">
        <v>823234.88040000002</v>
      </c>
      <c r="R29" s="39">
        <v>1091510.1446</v>
      </c>
      <c r="S29" s="39">
        <v>-121.371</v>
      </c>
      <c r="T29" s="39">
        <v>823235.48560000001</v>
      </c>
      <c r="U29" s="39">
        <v>1091508.8940999999</v>
      </c>
      <c r="V29" s="39">
        <v>-123.4474</v>
      </c>
      <c r="W29" s="39">
        <v>823235.41269999999</v>
      </c>
      <c r="X29" s="39">
        <v>1091509.0355</v>
      </c>
      <c r="Y29" s="39">
        <v>-124.6232</v>
      </c>
      <c r="Z29" s="39">
        <f t="shared" si="1"/>
        <v>4.1300232505683274</v>
      </c>
      <c r="AA29" s="39">
        <f t="shared" si="2"/>
        <v>3.3488256643813634</v>
      </c>
      <c r="AB29" s="39">
        <f t="shared" si="3"/>
        <v>2.0724006515024165</v>
      </c>
      <c r="AC29" s="39">
        <f t="shared" si="4"/>
        <v>1.6365679514656464</v>
      </c>
      <c r="AD29" s="39">
        <f t="shared" si="5"/>
        <v>3.8364425461561242</v>
      </c>
      <c r="AE29" s="39">
        <f t="shared" si="6"/>
        <v>4.5628355854096272</v>
      </c>
      <c r="AF29" s="39">
        <f t="shared" si="7"/>
        <v>3.5040593316932194</v>
      </c>
      <c r="AG29" s="39">
        <f t="shared" si="8"/>
        <v>5.3570169348989385</v>
      </c>
      <c r="AH29" s="39">
        <f t="shared" si="9"/>
        <v>4.9618380555576866</v>
      </c>
      <c r="AI29" s="43">
        <f t="shared" si="538"/>
        <v>-50.321646660178132</v>
      </c>
      <c r="AJ29" s="43">
        <f t="shared" si="539"/>
        <v>-42.71692333634158</v>
      </c>
      <c r="AK29" s="43">
        <f t="shared" si="540"/>
        <v>-26.276989563467136</v>
      </c>
      <c r="AL29" s="43">
        <f t="shared" si="541"/>
        <v>-13.829187726146939</v>
      </c>
      <c r="AM29" s="43">
        <f t="shared" si="542"/>
        <v>-50.213873698138123</v>
      </c>
      <c r="AN29" s="43">
        <f t="shared" si="543"/>
        <v>-28.245104484067696</v>
      </c>
      <c r="AO29" s="43">
        <f t="shared" si="544"/>
        <v>-18.330631216342486</v>
      </c>
      <c r="AP29" s="43">
        <f t="shared" si="545"/>
        <v>-19.51532016752644</v>
      </c>
      <c r="AQ29" s="43">
        <f t="shared" si="546"/>
        <v>-16.033600737795695</v>
      </c>
      <c r="AR29" s="40"/>
      <c r="AS29" s="43">
        <f t="shared" si="547"/>
        <v>2.5499999755993485</v>
      </c>
      <c r="AT29" s="43">
        <f t="shared" si="548"/>
        <v>-1.5500001609325409</v>
      </c>
      <c r="AU29" s="43">
        <f t="shared" si="549"/>
        <v>3.0000000000001137</v>
      </c>
      <c r="AV29" s="43">
        <f t="shared" si="550"/>
        <v>2.7000000700354576</v>
      </c>
      <c r="AW29" s="43">
        <f t="shared" si="551"/>
        <v>-2.450000261887908</v>
      </c>
      <c r="AX29" s="43">
        <f t="shared" si="552"/>
        <v>2.0500000000112095</v>
      </c>
      <c r="AY29" s="43">
        <f t="shared" si="553"/>
        <v>2.0500001264736056</v>
      </c>
      <c r="AZ29" s="43">
        <f t="shared" si="554"/>
        <v>-7.1000002790242434</v>
      </c>
      <c r="BA29" s="43">
        <f t="shared" si="555"/>
        <v>-6.2999999999817646</v>
      </c>
      <c r="BB29" s="43">
        <f t="shared" si="556"/>
        <v>-10.800000047311187</v>
      </c>
      <c r="BC29" s="43">
        <f t="shared" si="557"/>
        <v>-6.0000000521540642</v>
      </c>
      <c r="BD29" s="43">
        <f t="shared" si="558"/>
        <v>-56.150000000002365</v>
      </c>
      <c r="BE29" s="43">
        <f t="shared" si="559"/>
        <v>6.9499999517574906</v>
      </c>
      <c r="BF29" s="43">
        <f t="shared" si="560"/>
        <v>11.80000021122396</v>
      </c>
      <c r="BG29" s="43">
        <f t="shared" si="561"/>
        <v>-27.850000000000819</v>
      </c>
      <c r="BH29" s="43">
        <f t="shared" si="562"/>
        <v>-5.0999998347833753</v>
      </c>
      <c r="BI29" s="43">
        <f t="shared" si="563"/>
        <v>15.450000064447522</v>
      </c>
      <c r="BJ29" s="43">
        <f t="shared" si="564"/>
        <v>1.6000000000104819</v>
      </c>
      <c r="BK29" s="43">
        <f t="shared" si="565"/>
        <v>6.9000000366941094</v>
      </c>
      <c r="BL29" s="43">
        <f t="shared" si="566"/>
        <v>18.249999964609742</v>
      </c>
      <c r="BM29" s="43">
        <f t="shared" si="567"/>
        <v>-31.099999999995021</v>
      </c>
      <c r="BN29" s="40"/>
      <c r="BO29" s="39">
        <v>183.97219999999999</v>
      </c>
      <c r="BP29" s="39">
        <v>-2.4319999999999999</v>
      </c>
      <c r="BQ29" s="39">
        <v>-0.877</v>
      </c>
      <c r="BR29" s="39">
        <v>183.9426</v>
      </c>
      <c r="BS29" s="39">
        <v>-2.6686999999999999</v>
      </c>
      <c r="BT29" s="39">
        <v>0.29270000000000002</v>
      </c>
      <c r="BU29" s="39">
        <v>183.92570000000001</v>
      </c>
      <c r="BV29" s="39">
        <v>-2.1539000000000001</v>
      </c>
      <c r="BW29" s="39">
        <v>1.7372000000000001</v>
      </c>
      <c r="BX29" s="39">
        <v>183.78739999999999</v>
      </c>
      <c r="BY29" s="39">
        <v>-0.3019</v>
      </c>
      <c r="BZ29" s="39">
        <v>2.6583000000000001</v>
      </c>
      <c r="CA29" s="39">
        <v>183.8886</v>
      </c>
      <c r="CB29" s="39">
        <v>1.2989999999999999</v>
      </c>
      <c r="CC29" s="39">
        <v>2.3330000000000002</v>
      </c>
      <c r="CD29" s="39">
        <v>183.90860000000001</v>
      </c>
      <c r="CE29" s="39">
        <v>2.6880999999999999</v>
      </c>
      <c r="CF29" s="39">
        <v>0.25640000000000002</v>
      </c>
      <c r="CG29" s="39">
        <v>183.9023</v>
      </c>
      <c r="CH29" s="39">
        <v>2.5291999999999999</v>
      </c>
      <c r="CI29" s="39">
        <v>-0.91930000000000001</v>
      </c>
      <c r="CJ29" s="40"/>
      <c r="CK29" s="43">
        <f t="shared" si="568"/>
        <v>1.3529203566235992</v>
      </c>
      <c r="CL29" s="43">
        <f t="shared" si="569"/>
        <v>2.8276339682076213</v>
      </c>
      <c r="CM29" s="43">
        <f t="shared" si="570"/>
        <v>3.0274707964460523</v>
      </c>
      <c r="CN29" s="43">
        <f t="shared" si="571"/>
        <v>1.3624441023409872</v>
      </c>
      <c r="CO29" s="43">
        <f t="shared" si="572"/>
        <v>3.2775136069007615</v>
      </c>
      <c r="CP29" s="43">
        <f t="shared" si="573"/>
        <v>2.0833755589790837</v>
      </c>
      <c r="CQ29" s="43">
        <f t="shared" si="574"/>
        <v>-0.84488549146044534</v>
      </c>
      <c r="CR29" s="43">
        <f t="shared" si="575"/>
        <v>6.6724709854404374</v>
      </c>
      <c r="CS29" s="43">
        <f t="shared" si="576"/>
        <v>-6.2975511450718002</v>
      </c>
      <c r="CT29" s="43">
        <f t="shared" si="577"/>
        <v>-12.181202444196515</v>
      </c>
      <c r="CU29" s="43">
        <f t="shared" si="578"/>
        <v>0.71889102891933843</v>
      </c>
      <c r="CV29" s="43">
        <f t="shared" si="579"/>
        <v>-56.025187975550665</v>
      </c>
      <c r="CW29" s="43">
        <f t="shared" si="580"/>
        <v>10.806347863763222</v>
      </c>
      <c r="CX29" s="43">
        <f t="shared" si="581"/>
        <v>-7.0297538471739696</v>
      </c>
      <c r="CY29" s="43">
        <f t="shared" si="582"/>
        <v>-27.834063478635152</v>
      </c>
      <c r="CZ29" s="43">
        <f t="shared" si="583"/>
        <v>1.9344668686755995</v>
      </c>
      <c r="DA29" s="43">
        <f t="shared" si="584"/>
        <v>-16.224604093085571</v>
      </c>
      <c r="DB29" s="43">
        <f t="shared" si="585"/>
        <v>1.6386553313103569</v>
      </c>
      <c r="DC29" s="43">
        <f t="shared" si="586"/>
        <v>13.926345617676361</v>
      </c>
      <c r="DD29" s="43">
        <f t="shared" si="587"/>
        <v>-13.464695174446373</v>
      </c>
      <c r="DE29" s="43">
        <f t="shared" si="588"/>
        <v>-31.199263456176183</v>
      </c>
    </row>
    <row r="30" spans="1:109" ht="29.25" customHeight="1" x14ac:dyDescent="0.2">
      <c r="A30" s="37">
        <v>43718</v>
      </c>
      <c r="B30" s="29">
        <f t="shared" si="10"/>
        <v>60</v>
      </c>
      <c r="C30" s="38">
        <v>202.58</v>
      </c>
      <c r="D30" s="38">
        <f t="shared" si="260"/>
        <v>18.680000000000007</v>
      </c>
      <c r="E30" s="39">
        <v>823233.37670000002</v>
      </c>
      <c r="F30" s="39">
        <v>1091513.5634000001</v>
      </c>
      <c r="G30" s="39">
        <v>-124.5806</v>
      </c>
      <c r="H30" s="39">
        <v>823233.25020000001</v>
      </c>
      <c r="I30" s="39">
        <v>1091513.7659</v>
      </c>
      <c r="J30" s="39">
        <v>-123.4114</v>
      </c>
      <c r="K30" s="39">
        <v>823233.45259999996</v>
      </c>
      <c r="L30" s="39">
        <v>1091513.2923000001</v>
      </c>
      <c r="M30" s="39">
        <v>-121.967</v>
      </c>
      <c r="N30" s="39">
        <v>823234.11040000001</v>
      </c>
      <c r="O30" s="39">
        <v>1091511.5555</v>
      </c>
      <c r="P30" s="39">
        <v>-121.048</v>
      </c>
      <c r="Q30" s="39">
        <v>823234.87879999995</v>
      </c>
      <c r="R30" s="39">
        <v>1091510.1479</v>
      </c>
      <c r="S30" s="39">
        <v>-121.3719</v>
      </c>
      <c r="T30" s="39">
        <v>823235.48430000001</v>
      </c>
      <c r="U30" s="39">
        <v>1091508.8977999999</v>
      </c>
      <c r="V30" s="39">
        <v>-123.44799999999999</v>
      </c>
      <c r="W30" s="39">
        <v>823235.41099999996</v>
      </c>
      <c r="X30" s="39">
        <v>1091509.0390000001</v>
      </c>
      <c r="Y30" s="39">
        <v>-124.624</v>
      </c>
      <c r="Z30" s="39">
        <f t="shared" si="1"/>
        <v>4.1290726392632546</v>
      </c>
      <c r="AA30" s="39">
        <f t="shared" si="2"/>
        <v>3.3483535894393839</v>
      </c>
      <c r="AB30" s="39">
        <f t="shared" si="3"/>
        <v>2.0721332197296127</v>
      </c>
      <c r="AC30" s="39">
        <f t="shared" si="4"/>
        <v>1.6360585350195798</v>
      </c>
      <c r="AD30" s="39">
        <f t="shared" si="5"/>
        <v>3.8354883001434268</v>
      </c>
      <c r="AE30" s="39">
        <f t="shared" si="6"/>
        <v>4.5620290013811182</v>
      </c>
      <c r="AF30" s="39">
        <f t="shared" si="7"/>
        <v>3.503632659202927</v>
      </c>
      <c r="AG30" s="39">
        <f t="shared" si="8"/>
        <v>5.3563924408862018</v>
      </c>
      <c r="AH30" s="39">
        <f t="shared" si="9"/>
        <v>4.9608926021143951</v>
      </c>
      <c r="AI30" s="43">
        <f t="shared" ref="AI30" si="589">IF(Z30="","",(Z30-Z$20)*1000)+AI$18</f>
        <v>-51.272257965250922</v>
      </c>
      <c r="AJ30" s="43">
        <f t="shared" ref="AJ30" si="590">IF(AA30="","",(AA30-AA$20)*1000)+AJ$18</f>
        <v>-43.188998278321122</v>
      </c>
      <c r="AK30" s="43">
        <f t="shared" ref="AK30" si="591">IF(AB30="","",(AB30-AB$20)*1000)+AK$18</f>
        <v>-26.544421336270887</v>
      </c>
      <c r="AL30" s="43">
        <f t="shared" ref="AL30" si="592">IF(AC30="","",(AC30-AC$20)*1000)+AL$18</f>
        <v>-14.338604172213552</v>
      </c>
      <c r="AM30" s="43">
        <f t="shared" ref="AM30" si="593">IF(AD30="","",(AD30-AD$20)*1000)+AM$18</f>
        <v>-51.168119710835569</v>
      </c>
      <c r="AN30" s="43">
        <f t="shared" ref="AN30" si="594">IF(AE30="","",(AE30-AE$20)*1000)+AN$18</f>
        <v>-29.051688512576668</v>
      </c>
      <c r="AO30" s="43">
        <f t="shared" ref="AO30" si="595">IF(AF30="","",(AF30-AF$20)*1000)+AO$18</f>
        <v>-18.757303706634865</v>
      </c>
      <c r="AP30" s="43">
        <f t="shared" ref="AP30" si="596">IF(AG30="","",(AG30-AG$20)*1000)+AP$18</f>
        <v>-20.139814180263116</v>
      </c>
      <c r="AQ30" s="43">
        <f t="shared" ref="AQ30" si="597">IF(AH30="","",(AH30-AH$20)*1000)+AQ$18</f>
        <v>-16.97905418108725</v>
      </c>
      <c r="AR30" s="40"/>
      <c r="AS30" s="43">
        <f t="shared" ref="AS30" si="598">IF(E30="","",(E30-E$20)*1000)+AS$18</f>
        <v>5.0000031478703022E-2</v>
      </c>
      <c r="AT30" s="43">
        <f t="shared" ref="AT30" si="599">IF(F30="","",(F30-F$20)*1000)+AT$18</f>
        <v>0.54999999701976776</v>
      </c>
      <c r="AU30" s="43">
        <f t="shared" ref="AU30" si="600">IF(G30="","",(G30-G$20)*1000)+AU$18</f>
        <v>2.6000000000010459</v>
      </c>
      <c r="AV30" s="43">
        <f t="shared" ref="AV30" si="601">IF(H30="","",(H30-H$20)*1000)+AV$18</f>
        <v>0.50000008195638657</v>
      </c>
      <c r="AW30" s="43">
        <f t="shared" ref="AW30" si="602">IF(I30="","",(I30-I$20)*1000)+AW$18</f>
        <v>0.14999974519014359</v>
      </c>
      <c r="AX30" s="43">
        <f t="shared" ref="AX30" si="603">IF(J30="","",(J30-J$20)*1000)+AX$18</f>
        <v>1.4500000000055024</v>
      </c>
      <c r="AY30" s="43">
        <f t="shared" ref="AY30" si="604">IF(K30="","",(K30-K$20)*1000)+AY$18</f>
        <v>5.0000031478703022E-2</v>
      </c>
      <c r="AZ30" s="43">
        <f t="shared" ref="AZ30" si="605">IF(L30="","",(L30-L$20)*1000)+AZ$18</f>
        <v>-4.4000002089887857</v>
      </c>
      <c r="BA30" s="43">
        <f t="shared" ref="BA30" si="606">IF(M30="","",(M30-M$20)*1000)+BA$18</f>
        <v>-6.8999999999874717</v>
      </c>
      <c r="BB30" s="43">
        <f t="shared" ref="BB30" si="607">IF(N30="","",(N30-N$20)*1000)+BB$18</f>
        <v>-12.400000006891787</v>
      </c>
      <c r="BC30" s="43">
        <f t="shared" ref="BC30" si="608">IF(O30="","",(O30-O$20)*1000)+BC$18</f>
        <v>-3.1999999191612005</v>
      </c>
      <c r="BD30" s="43">
        <f t="shared" ref="BD30" si="609">IF(P30="","",(P30-P$20)*1000)+BD$18</f>
        <v>-57.450000000002888</v>
      </c>
      <c r="BE30" s="43">
        <f t="shared" ref="BE30" si="610">IF(Q30="","",(Q30-Q$20)*1000)+BE$18</f>
        <v>5.3499998757615685</v>
      </c>
      <c r="BF30" s="43">
        <f t="shared" ref="BF30" si="611">IF(R30="","",(R30-R$20)*1000)+BF$18</f>
        <v>15.100000193342566</v>
      </c>
      <c r="BG30" s="43">
        <f t="shared" ref="BG30" si="612">IF(S30="","",(S30-S$20)*1000)+BG$18</f>
        <v>-28.750000000002274</v>
      </c>
      <c r="BH30" s="43">
        <f t="shared" ref="BH30" si="613">IF(T30="","",(T30-T$20)*1000)+BH$18</f>
        <v>-6.399999838322401</v>
      </c>
      <c r="BI30" s="43">
        <f t="shared" ref="BI30" si="614">IF(U30="","",(U30-U$20)*1000)+BI$18</f>
        <v>19.150000065565109</v>
      </c>
      <c r="BJ30" s="43">
        <f t="shared" ref="BJ30" si="615">IF(V30="","",(V30-V$20)*1000)+BJ$18</f>
        <v>1.0000000000189857</v>
      </c>
      <c r="BK30" s="43">
        <f t="shared" ref="BK30" si="616">IF(W30="","",(W30-W$20)*1000)+BK$18</f>
        <v>5.2000000141561031</v>
      </c>
      <c r="BL30" s="43">
        <f t="shared" ref="BL30" si="617">IF(X30="","",(X30-X$20)*1000)+BL$18</f>
        <v>21.750000072643161</v>
      </c>
      <c r="BM30" s="43">
        <f t="shared" ref="BM30" si="618">IF(Y30="","",(Y30-Y$20)*1000)+BM$18</f>
        <v>-31.899999999993156</v>
      </c>
      <c r="BN30" s="40"/>
      <c r="BO30" s="39">
        <v>183.9708</v>
      </c>
      <c r="BP30" s="39">
        <v>-2.4350000000000001</v>
      </c>
      <c r="BQ30" s="39">
        <v>-0.87739999999999996</v>
      </c>
      <c r="BR30" s="39">
        <v>183.9418</v>
      </c>
      <c r="BS30" s="39">
        <v>-2.6720000000000002</v>
      </c>
      <c r="BT30" s="39">
        <v>0.29210000000000003</v>
      </c>
      <c r="BU30" s="39">
        <v>183.92500000000001</v>
      </c>
      <c r="BV30" s="39">
        <v>-2.1572</v>
      </c>
      <c r="BW30" s="39">
        <v>1.7365999999999999</v>
      </c>
      <c r="BX30" s="39">
        <v>183.78710000000001</v>
      </c>
      <c r="BY30" s="39">
        <v>-0.30509999999999998</v>
      </c>
      <c r="BZ30" s="39">
        <v>2.657</v>
      </c>
      <c r="CA30" s="39">
        <v>183.8886</v>
      </c>
      <c r="CB30" s="39">
        <v>1.2952999999999999</v>
      </c>
      <c r="CC30" s="39">
        <v>2.3321000000000001</v>
      </c>
      <c r="CD30" s="39">
        <v>183.90899999999999</v>
      </c>
      <c r="CE30" s="39">
        <v>2.6842000000000001</v>
      </c>
      <c r="CF30" s="39">
        <v>0.25580000000000003</v>
      </c>
      <c r="CG30" s="39">
        <v>183.90219999999999</v>
      </c>
      <c r="CH30" s="39">
        <v>2.5253000000000001</v>
      </c>
      <c r="CI30" s="39">
        <v>-0.92010000000000003</v>
      </c>
      <c r="CJ30" s="40"/>
      <c r="CK30" s="43">
        <f t="shared" ref="CK30" si="619">IF(BO30="","",(BO30-BO$20)*1000)+CK$18</f>
        <v>-4.7079643366032542E-2</v>
      </c>
      <c r="CL30" s="43">
        <f t="shared" ref="CL30" si="620">IF(BP30="","",(BP30-BP$20)*1000)+CL$18</f>
        <v>-0.17236603179249244</v>
      </c>
      <c r="CM30" s="43">
        <f t="shared" ref="CM30" si="621">IF(BQ30="","",(BQ30-BQ$20)*1000)+CM$18</f>
        <v>2.6274707964460964</v>
      </c>
      <c r="CN30" s="43">
        <f t="shared" ref="CN30" si="622">IF(BR30="","",(BR30-BR$20)*1000)+CN$18</f>
        <v>0.56244410234285169</v>
      </c>
      <c r="CO30" s="43">
        <f t="shared" ref="CO30" si="623">IF(BS30="","",(BS30-BS$20)*1000)+CO$18</f>
        <v>-2.2486393099541147E-2</v>
      </c>
      <c r="CP30" s="43">
        <f t="shared" ref="CP30" si="624">IF(BT30="","",(BT30-BT$20)*1000)+CP$18</f>
        <v>1.4833755589790942</v>
      </c>
      <c r="CQ30" s="43">
        <f t="shared" ref="CQ30" si="625">IF(BU30="","",(BU30-BU$20)*1000)+CQ$18</f>
        <v>-1.5448854914552612</v>
      </c>
      <c r="CR30" s="43">
        <f t="shared" ref="CR30" si="626">IF(BV30="","",(BV30-BV$20)*1000)+CR$18</f>
        <v>3.3724709854405788</v>
      </c>
      <c r="CS30" s="43">
        <f t="shared" ref="CS30" si="627">IF(BW30="","",(BW30-BW$20)*1000)+CS$18</f>
        <v>-6.8975511450719562</v>
      </c>
      <c r="CT30" s="43">
        <f t="shared" ref="CT30" si="628">IF(BX30="","",(BX30-BX$20)*1000)+CT$18</f>
        <v>-12.481202444178052</v>
      </c>
      <c r="CU30" s="43">
        <f t="shared" ref="CU30" si="629">IF(BY30="","",(BY30-BY$20)*1000)+CU$18</f>
        <v>-2.4811089710806424</v>
      </c>
      <c r="CV30" s="43">
        <f t="shared" ref="CV30" si="630">IF(BZ30="","",(BZ30-BZ$20)*1000)+CV$18</f>
        <v>-57.325187975550747</v>
      </c>
      <c r="CW30" s="43">
        <f t="shared" ref="CW30" si="631">IF(CA30="","",(CA30-CA$20)*1000)+CW$18</f>
        <v>10.806347863763222</v>
      </c>
      <c r="CX30" s="43">
        <f t="shared" ref="CX30" si="632">IF(CB30="","",(CB30-CB$20)*1000)+CX$18</f>
        <v>-10.729753847174006</v>
      </c>
      <c r="CY30" s="43">
        <f t="shared" ref="CY30" si="633">IF(CC30="","",(CC30-CC$20)*1000)+CY$18</f>
        <v>-28.734063478635274</v>
      </c>
      <c r="CZ30" s="43">
        <f t="shared" ref="CZ30" si="634">IF(CD30="","",(CD30-CD$20)*1000)+CZ$18</f>
        <v>2.3344668686604564</v>
      </c>
      <c r="DA30" s="43">
        <f t="shared" ref="DA30" si="635">IF(CE30="","",(CE30-CE$20)*1000)+DA$18</f>
        <v>-20.124604093085363</v>
      </c>
      <c r="DB30" s="43">
        <f t="shared" ref="DB30" si="636">IF(CF30="","",(CF30-CF$20)*1000)+DB$18</f>
        <v>1.0386553313103675</v>
      </c>
      <c r="DC30" s="43">
        <f t="shared" ref="DC30" si="637">IF(CG30="","",(CG30-CG$20)*1000)+DC$18</f>
        <v>13.826345617673041</v>
      </c>
      <c r="DD30" s="43">
        <f t="shared" ref="DD30" si="638">IF(CH30="","",(CH30-CH$20)*1000)+DD$18</f>
        <v>-17.364695174446165</v>
      </c>
      <c r="DE30" s="43">
        <f t="shared" ref="DE30" si="639">IF(CI30="","",(CI30-CI$20)*1000)+DE$18</f>
        <v>-31.999263456176205</v>
      </c>
    </row>
    <row r="31" spans="1:109" ht="29.25" customHeight="1" x14ac:dyDescent="0.2">
      <c r="A31" s="37">
        <v>43720</v>
      </c>
      <c r="B31" s="29">
        <f t="shared" si="10"/>
        <v>62</v>
      </c>
      <c r="C31" s="38">
        <v>203.6</v>
      </c>
      <c r="D31" s="38">
        <f t="shared" si="260"/>
        <v>19.699999999999989</v>
      </c>
      <c r="E31" s="39">
        <v>823233.37780000002</v>
      </c>
      <c r="F31" s="39">
        <v>1091513.5622</v>
      </c>
      <c r="G31" s="39">
        <v>-124.58110000000001</v>
      </c>
      <c r="H31" s="39">
        <v>823233.25120000006</v>
      </c>
      <c r="I31" s="39">
        <v>1091513.7645</v>
      </c>
      <c r="J31" s="39">
        <v>-123.4121</v>
      </c>
      <c r="K31" s="39">
        <v>823233.45360000001</v>
      </c>
      <c r="L31" s="39">
        <v>1091513.2908999999</v>
      </c>
      <c r="M31" s="39">
        <v>-121.9676</v>
      </c>
      <c r="N31" s="39">
        <v>823234.11100000003</v>
      </c>
      <c r="O31" s="39">
        <v>1091511.554</v>
      </c>
      <c r="P31" s="39">
        <v>-121.04900000000001</v>
      </c>
      <c r="Q31" s="39">
        <v>823234.87919999997</v>
      </c>
      <c r="R31" s="39">
        <v>1091510.1462000001</v>
      </c>
      <c r="S31" s="39">
        <v>-121.3725</v>
      </c>
      <c r="T31" s="39">
        <v>823235.48459999997</v>
      </c>
      <c r="U31" s="39">
        <v>1091508.8961</v>
      </c>
      <c r="V31" s="39">
        <v>-123.4486</v>
      </c>
      <c r="W31" s="39">
        <v>823235.41099999996</v>
      </c>
      <c r="X31" s="39">
        <v>1091509.0374</v>
      </c>
      <c r="Y31" s="39">
        <v>-124.6246</v>
      </c>
      <c r="Z31" s="39">
        <f t="shared" si="1"/>
        <v>4.1287019618987335</v>
      </c>
      <c r="AA31" s="39">
        <f t="shared" si="2"/>
        <v>3.348105120834354</v>
      </c>
      <c r="AB31" s="39">
        <f t="shared" si="3"/>
        <v>2.0719127225083365</v>
      </c>
      <c r="AC31" s="39">
        <f t="shared" si="4"/>
        <v>1.63605755696272</v>
      </c>
      <c r="AD31" s="39">
        <f t="shared" si="5"/>
        <v>3.8352691600159901</v>
      </c>
      <c r="AE31" s="39">
        <f t="shared" si="6"/>
        <v>4.5615996009826674</v>
      </c>
      <c r="AF31" s="39">
        <f t="shared" si="7"/>
        <v>3.5036577256934445</v>
      </c>
      <c r="AG31" s="39">
        <f t="shared" si="8"/>
        <v>5.35637250104456</v>
      </c>
      <c r="AH31" s="39">
        <f t="shared" si="9"/>
        <v>4.9608073465827749</v>
      </c>
      <c r="AI31" s="43">
        <f t="shared" ref="AI31" si="640">IF(Z31="","",(Z31-Z$20)*1000)+AI$18</f>
        <v>-51.642935329772044</v>
      </c>
      <c r="AJ31" s="43">
        <f t="shared" ref="AJ31" si="641">IF(AA31="","",(AA31-AA$20)*1000)+AJ$18</f>
        <v>-43.437466883351036</v>
      </c>
      <c r="AK31" s="43">
        <f t="shared" ref="AK31" si="642">IF(AB31="","",(AB31-AB$20)*1000)+AK$18</f>
        <v>-26.764918557547148</v>
      </c>
      <c r="AL31" s="43">
        <f t="shared" ref="AL31" si="643">IF(AC31="","",(AC31-AC$20)*1000)+AL$18</f>
        <v>-14.339582229073276</v>
      </c>
      <c r="AM31" s="43">
        <f t="shared" ref="AM31" si="644">IF(AD31="","",(AD31-AD$20)*1000)+AM$18</f>
        <v>-51.3872598382723</v>
      </c>
      <c r="AN31" s="43">
        <f t="shared" ref="AN31" si="645">IF(AE31="","",(AE31-AE$20)*1000)+AN$18</f>
        <v>-29.48108891102752</v>
      </c>
      <c r="AO31" s="43">
        <f t="shared" ref="AO31" si="646">IF(AF31="","",(AF31-AF$20)*1000)+AO$18</f>
        <v>-18.732237216117387</v>
      </c>
      <c r="AP31" s="43">
        <f t="shared" ref="AP31" si="647">IF(AG31="","",(AG31-AG$20)*1000)+AP$18</f>
        <v>-20.159754021904952</v>
      </c>
      <c r="AQ31" s="43">
        <f t="shared" ref="AQ31" si="648">IF(AH31="","",(AH31-AH$20)*1000)+AQ$18</f>
        <v>-17.064309712707448</v>
      </c>
      <c r="AR31" s="40"/>
      <c r="AS31" s="43">
        <f t="shared" ref="AS31" si="649">IF(E31="","",(E31-E$20)*1000)+AS$18</f>
        <v>1.1500000255182385</v>
      </c>
      <c r="AT31" s="43">
        <f t="shared" ref="AT31" si="650">IF(F31="","",(F31-F$20)*1000)+AT$18</f>
        <v>-0.65000005997717381</v>
      </c>
      <c r="AU31" s="43">
        <f t="shared" ref="AU31" si="651">IF(G31="","",(G31-G$20)*1000)+AU$18</f>
        <v>2.0999999999986585</v>
      </c>
      <c r="AV31" s="43">
        <f t="shared" ref="AV31" si="652">IF(H31="","",(H31-H$20)*1000)+AV$18</f>
        <v>1.5000001294538379</v>
      </c>
      <c r="AW31" s="43">
        <f t="shared" ref="AW31" si="653">IF(I31="","",(I31-I$20)*1000)+AW$18</f>
        <v>-1.2500002048909664</v>
      </c>
      <c r="AX31" s="43">
        <f t="shared" ref="AX31" si="654">IF(J31="","",(J31-J$20)*1000)+AX$18</f>
        <v>0.75000000001068656</v>
      </c>
      <c r="AY31" s="43">
        <f t="shared" ref="AY31" si="655">IF(K31="","",(K31-K$20)*1000)+AY$18</f>
        <v>1.0500000789761543</v>
      </c>
      <c r="AZ31" s="43">
        <f t="shared" ref="AZ31" si="656">IF(L31="","",(L31-L$20)*1000)+AZ$18</f>
        <v>-5.8000003919005394</v>
      </c>
      <c r="BA31" s="43">
        <f t="shared" ref="BA31" si="657">IF(M31="","",(M31-M$20)*1000)+BA$18</f>
        <v>-7.4999999999931788</v>
      </c>
      <c r="BB31" s="43">
        <f t="shared" ref="BB31" si="658">IF(N31="","",(N31-N$20)*1000)+BB$18</f>
        <v>-11.799999978393316</v>
      </c>
      <c r="BC31" s="43">
        <f t="shared" ref="BC31" si="659">IF(O31="","",(O31-O$20)*1000)+BC$18</f>
        <v>-4.6999999321997166</v>
      </c>
      <c r="BD31" s="43">
        <f t="shared" ref="BD31" si="660">IF(P31="","",(P31-P$20)*1000)+BD$18</f>
        <v>-58.450000000007662</v>
      </c>
      <c r="BE31" s="43">
        <f t="shared" ref="BE31" si="661">IF(Q31="","",(Q31-Q$20)*1000)+BE$18</f>
        <v>5.7499998947605491</v>
      </c>
      <c r="BF31" s="43">
        <f t="shared" ref="BF31" si="662">IF(R31="","",(R31-R$20)*1000)+BF$18</f>
        <v>13.400000287219882</v>
      </c>
      <c r="BG31" s="43">
        <f t="shared" ref="BG31" si="663">IF(S31="","",(S31-S$20)*1000)+BG$18</f>
        <v>-29.350000000007981</v>
      </c>
      <c r="BH31" s="43">
        <f t="shared" ref="BH31" si="664">IF(T31="","",(T31-T$20)*1000)+BH$18</f>
        <v>-6.0999998822808266</v>
      </c>
      <c r="BI31" s="43">
        <f t="shared" ref="BI31" si="665">IF(U31="","",(U31-U$20)*1000)+BI$18</f>
        <v>17.450000159442425</v>
      </c>
      <c r="BJ31" s="43">
        <f t="shared" ref="BJ31" si="666">IF(V31="","",(V31-V$20)*1000)+BJ$18</f>
        <v>0.40000000001327862</v>
      </c>
      <c r="BK31" s="43">
        <f t="shared" ref="BK31" si="667">IF(W31="","",(W31-W$20)*1000)+BK$18</f>
        <v>5.2000000141561031</v>
      </c>
      <c r="BL31" s="43">
        <f t="shared" ref="BL31" si="668">IF(X31="","",(X31-X$20)*1000)+BL$18</f>
        <v>20.149999996647239</v>
      </c>
      <c r="BM31" s="43">
        <f t="shared" ref="BM31" si="669">IF(Y31="","",(Y31-Y$20)*1000)+BM$18</f>
        <v>-32.499999999998863</v>
      </c>
      <c r="BN31" s="40"/>
      <c r="BO31" s="39">
        <v>183.971</v>
      </c>
      <c r="BP31" s="39">
        <v>-2.4329999999999998</v>
      </c>
      <c r="BQ31" s="39">
        <v>-0.878</v>
      </c>
      <c r="BR31" s="39">
        <v>183.94200000000001</v>
      </c>
      <c r="BS31" s="39">
        <v>-2.67</v>
      </c>
      <c r="BT31" s="39">
        <v>0.29099999999999998</v>
      </c>
      <c r="BU31" s="39">
        <v>183.92500000000001</v>
      </c>
      <c r="BV31" s="39">
        <v>-2.1549999999999998</v>
      </c>
      <c r="BW31" s="39">
        <v>1.736</v>
      </c>
      <c r="BX31" s="39">
        <v>183.78700000000001</v>
      </c>
      <c r="BY31" s="39">
        <v>-0.30399999999999999</v>
      </c>
      <c r="BZ31" s="39">
        <v>2.6560000000000001</v>
      </c>
      <c r="CA31" s="39">
        <v>183.88800000000001</v>
      </c>
      <c r="CB31" s="39">
        <v>1.2969999999999999</v>
      </c>
      <c r="CC31" s="39">
        <v>2.331</v>
      </c>
      <c r="CD31" s="39">
        <v>183.90899999999999</v>
      </c>
      <c r="CE31" s="39">
        <v>2.6859999999999999</v>
      </c>
      <c r="CF31" s="39">
        <v>0.255</v>
      </c>
      <c r="CG31" s="39">
        <v>183.90199999999999</v>
      </c>
      <c r="CH31" s="39">
        <v>2.5270000000000001</v>
      </c>
      <c r="CI31" s="39">
        <v>-0.92100000000000004</v>
      </c>
      <c r="CJ31" s="40"/>
      <c r="CK31" s="43">
        <f t="shared" ref="CK31" si="670">IF(BO31="","",(BO31-BO$20)*1000)+CK$18</f>
        <v>0.15292035664060677</v>
      </c>
      <c r="CL31" s="43">
        <f t="shared" ref="CL31" si="671">IF(BP31="","",(BP31-BP$20)*1000)+CL$18</f>
        <v>1.8276339682077314</v>
      </c>
      <c r="CM31" s="43">
        <f t="shared" ref="CM31" si="672">IF(BQ31="","",(BQ31-BQ$20)*1000)+CM$18</f>
        <v>2.0274707964460514</v>
      </c>
      <c r="CN31" s="43">
        <f t="shared" ref="CN31" si="673">IF(BR31="","",(BR31-BR$20)*1000)+CN$18</f>
        <v>0.762444102349491</v>
      </c>
      <c r="CO31" s="43">
        <f t="shared" ref="CO31" si="674">IF(BS31="","",(BS31-BS$20)*1000)+CO$18</f>
        <v>1.9775136069006827</v>
      </c>
      <c r="CP31" s="43">
        <f t="shared" ref="CP31" si="675">IF(BT31="","",(BT31-BT$20)*1000)+CP$18</f>
        <v>0.38337555897904885</v>
      </c>
      <c r="CQ31" s="43">
        <f t="shared" ref="CQ31" si="676">IF(BU31="","",(BU31-BU$20)*1000)+CQ$18</f>
        <v>-1.5448854914552612</v>
      </c>
      <c r="CR31" s="43">
        <f t="shared" ref="CR31" si="677">IF(BV31="","",(BV31-BV$20)*1000)+CR$18</f>
        <v>5.5724709854407806</v>
      </c>
      <c r="CS31" s="43">
        <f t="shared" ref="CS31" si="678">IF(BW31="","",(BW31-BW$20)*1000)+CS$18</f>
        <v>-7.4975511450718901</v>
      </c>
      <c r="CT31" s="43">
        <f t="shared" ref="CT31" si="679">IF(BX31="","",(BX31-BX$20)*1000)+CT$18</f>
        <v>-12.581202444181372</v>
      </c>
      <c r="CU31" s="43">
        <f t="shared" ref="CU31" si="680">IF(BY31="","",(BY31-BY$20)*1000)+CU$18</f>
        <v>-1.3811089710806523</v>
      </c>
      <c r="CV31" s="43">
        <f t="shared" ref="CV31" si="681">IF(BZ31="","",(BZ31-BZ$20)*1000)+CV$18</f>
        <v>-58.325187975550634</v>
      </c>
      <c r="CW31" s="43">
        <f t="shared" ref="CW31" si="682">IF(CA31="","",(CA31-CA$20)*1000)+CW$18</f>
        <v>10.206347863771725</v>
      </c>
      <c r="CX31" s="43">
        <f t="shared" ref="CX31" si="683">IF(CB31="","",(CB31-CB$20)*1000)+CX$18</f>
        <v>-9.0297538471739713</v>
      </c>
      <c r="CY31" s="43">
        <f t="shared" ref="CY31" si="684">IF(CC31="","",(CC31-CC$20)*1000)+CY$18</f>
        <v>-29.834063478635375</v>
      </c>
      <c r="CZ31" s="43">
        <f t="shared" ref="CZ31" si="685">IF(CD31="","",(CD31-CD$20)*1000)+CZ$18</f>
        <v>2.3344668686604564</v>
      </c>
      <c r="DA31" s="43">
        <f t="shared" ref="DA31" si="686">IF(CE31="","",(CE31-CE$20)*1000)+DA$18</f>
        <v>-18.324604093085561</v>
      </c>
      <c r="DB31" s="43">
        <f t="shared" ref="DB31" si="687">IF(CF31="","",(CF31-CF$20)*1000)+DB$18</f>
        <v>0.23865533131034455</v>
      </c>
      <c r="DC31" s="43">
        <f t="shared" ref="DC31" si="688">IF(CG31="","",(CG31-CG$20)*1000)+DC$18</f>
        <v>13.626345617666402</v>
      </c>
      <c r="DD31" s="43">
        <f t="shared" ref="DD31" si="689">IF(CH31="","",(CH31-CH$20)*1000)+DD$18</f>
        <v>-15.66469517444613</v>
      </c>
      <c r="DE31" s="43">
        <f t="shared" ref="DE31" si="690">IF(CI31="","",(CI31-CI$20)*1000)+DE$18</f>
        <v>-32.899263456176215</v>
      </c>
    </row>
    <row r="32" spans="1:109" ht="29.25" customHeight="1" x14ac:dyDescent="0.2">
      <c r="A32" s="37">
        <v>43724</v>
      </c>
      <c r="B32" s="29">
        <f t="shared" si="10"/>
        <v>66</v>
      </c>
      <c r="C32" s="38">
        <v>203.6</v>
      </c>
      <c r="D32" s="38">
        <f t="shared" si="260"/>
        <v>19.699999999999989</v>
      </c>
      <c r="E32" s="39">
        <v>823233.37769999995</v>
      </c>
      <c r="F32" s="39">
        <v>1091513.5614</v>
      </c>
      <c r="G32" s="39">
        <v>-124.5813</v>
      </c>
      <c r="H32" s="39">
        <v>823233.25100000005</v>
      </c>
      <c r="I32" s="39">
        <v>1091513.7638000001</v>
      </c>
      <c r="J32" s="39">
        <v>-123.4121</v>
      </c>
      <c r="K32" s="39">
        <v>823233.45319999999</v>
      </c>
      <c r="L32" s="39">
        <v>1091513.2901000001</v>
      </c>
      <c r="M32" s="39">
        <v>-121.968</v>
      </c>
      <c r="N32" s="39">
        <v>823234.11040000001</v>
      </c>
      <c r="O32" s="39">
        <v>1091511.5533</v>
      </c>
      <c r="P32" s="39">
        <v>-121.0502</v>
      </c>
      <c r="Q32" s="39">
        <v>823234.87849999999</v>
      </c>
      <c r="R32" s="39">
        <v>1091510.1461</v>
      </c>
      <c r="S32" s="39">
        <v>-121.3729</v>
      </c>
      <c r="T32" s="39">
        <v>823235.48380000005</v>
      </c>
      <c r="U32" s="39">
        <v>1091508.8961</v>
      </c>
      <c r="V32" s="39">
        <v>-123.44880000000001</v>
      </c>
      <c r="W32" s="39"/>
      <c r="X32" s="39"/>
      <c r="Y32" s="39"/>
      <c r="Z32" s="39">
        <f t="shared" si="1"/>
        <v>4.1277090631467752</v>
      </c>
      <c r="AA32" s="39">
        <f t="shared" si="2"/>
        <v>3.3471555416688661</v>
      </c>
      <c r="AB32" s="39">
        <f t="shared" si="3"/>
        <v>2.071410852600108</v>
      </c>
      <c r="AC32" s="39">
        <f t="shared" si="4"/>
        <v>1.6353362773523004</v>
      </c>
      <c r="AD32" s="39">
        <f t="shared" si="5"/>
        <v>3.8340867700400527</v>
      </c>
      <c r="AE32" s="39"/>
      <c r="AF32" s="39">
        <f t="shared" si="7"/>
        <v>3.5029073782442373</v>
      </c>
      <c r="AG32" s="39">
        <f t="shared" si="8"/>
        <v>5.3554874680632016</v>
      </c>
      <c r="AH32" s="39" t="str">
        <f t="shared" si="9"/>
        <v/>
      </c>
      <c r="AI32" s="43">
        <f t="shared" ref="AI32:AI33" si="691">IF(Z32="","",(Z32-Z$20)*1000)+AI$18</f>
        <v>-52.635834081730337</v>
      </c>
      <c r="AJ32" s="43">
        <f t="shared" ref="AJ32:AJ33" si="692">IF(AA32="","",(AA32-AA$20)*1000)+AJ$18</f>
        <v>-44.387046048838918</v>
      </c>
      <c r="AK32" s="43">
        <f t="shared" ref="AK32:AK33" si="693">IF(AB32="","",(AB32-AB$20)*1000)+AK$18</f>
        <v>-27.266788465775573</v>
      </c>
      <c r="AL32" s="43">
        <f t="shared" ref="AL32:AL33" si="694">IF(AC32="","",(AC32-AC$20)*1000)+AL$18</f>
        <v>-15.060861839492954</v>
      </c>
      <c r="AM32" s="43">
        <f t="shared" ref="AM32:AM33" si="695">IF(AD32="","",(AD32-AD$20)*1000)+AM$18</f>
        <v>-52.56964981420964</v>
      </c>
      <c r="AN32" s="43"/>
      <c r="AO32" s="43">
        <f t="shared" ref="AO32:AO33" si="696">IF(AF32="","",(AF32-AF$20)*1000)+AO$18</f>
        <v>-19.482584665324598</v>
      </c>
      <c r="AP32" s="43">
        <f t="shared" ref="AP32:AP33" si="697">IF(AG32="","",(AG32-AG$20)*1000)+AP$18</f>
        <v>-21.044787003263288</v>
      </c>
      <c r="AQ32" s="43"/>
      <c r="AR32" s="40"/>
      <c r="AS32" s="43">
        <f t="shared" ref="AS32:AS33" si="698">IF(E32="","",(E32-E$20)*1000)+AS$18</f>
        <v>1.0499999625608325</v>
      </c>
      <c r="AT32" s="43">
        <f t="shared" ref="AT32:AT33" si="699">IF(F32="","",(F32-F$20)*1000)+AT$18</f>
        <v>-1.4500000979751348</v>
      </c>
      <c r="AU32" s="43">
        <f t="shared" ref="AU32:AU33" si="700">IF(G32="","",(G32-G$20)*1000)+AU$18</f>
        <v>1.90000000000623</v>
      </c>
      <c r="AV32" s="43">
        <f t="shared" ref="AV32:AV33" si="701">IF(H32="","",(H32-H$20)*1000)+AV$18</f>
        <v>1.3000001199543476</v>
      </c>
      <c r="AW32" s="43">
        <f t="shared" ref="AW32:AW33" si="702">IF(I32="","",(I32-I$20)*1000)+AW$18</f>
        <v>-1.9500001799315214</v>
      </c>
      <c r="AX32" s="43">
        <f t="shared" ref="AX32:AX33" si="703">IF(J32="","",(J32-J$20)*1000)+AX$18</f>
        <v>0.75000000001068656</v>
      </c>
      <c r="AY32" s="43">
        <f t="shared" ref="AY32:AY33" si="704">IF(K32="","",(K32-K$20)*1000)+AY$18</f>
        <v>0.65000005997717381</v>
      </c>
      <c r="AZ32" s="43">
        <f t="shared" ref="AZ32:AZ33" si="705">IF(L32="","",(L32-L$20)*1000)+AZ$18</f>
        <v>-6.6000001970678568</v>
      </c>
      <c r="BA32" s="43">
        <f t="shared" ref="BA32:BA33" si="706">IF(M32="","",(M32-M$20)*1000)+BA$18</f>
        <v>-7.8999999999922466</v>
      </c>
      <c r="BB32" s="43">
        <f t="shared" ref="BB32:BB33" si="707">IF(N32="","",(N32-N$20)*1000)+BB$18</f>
        <v>-12.400000006891787</v>
      </c>
      <c r="BC32" s="43">
        <f t="shared" ref="BC32:BC33" si="708">IF(O32="","",(O32-O$20)*1000)+BC$18</f>
        <v>-5.3999999072402716</v>
      </c>
      <c r="BD32" s="43">
        <f t="shared" ref="BD32:BD33" si="709">IF(P32="","",(P32-P$20)*1000)+BD$18</f>
        <v>-59.650000000004866</v>
      </c>
      <c r="BE32" s="43">
        <f t="shared" ref="BE32:BE33" si="710">IF(Q32="","",(Q32-Q$20)*1000)+BE$18</f>
        <v>5.0499999197199941</v>
      </c>
      <c r="BF32" s="43">
        <f t="shared" ref="BF32:BF33" si="711">IF(R32="","",(R32-R$20)*1000)+BF$18</f>
        <v>13.300000224262476</v>
      </c>
      <c r="BG32" s="43">
        <f t="shared" ref="BG32:BG33" si="712">IF(S32="","",(S32-S$20)*1000)+BG$18</f>
        <v>-29.750000000007049</v>
      </c>
      <c r="BH32" s="43">
        <f t="shared" ref="BH32:BH33" si="713">IF(T32="","",(T32-T$20)*1000)+BH$18</f>
        <v>-6.8999998038634658</v>
      </c>
      <c r="BI32" s="43">
        <f t="shared" ref="BI32:BI33" si="714">IF(U32="","",(U32-U$20)*1000)+BI$18</f>
        <v>17.450000159442425</v>
      </c>
      <c r="BJ32" s="43">
        <f t="shared" ref="BJ32:BJ33" si="715">IF(V32="","",(V32-V$20)*1000)+BJ$18</f>
        <v>0.20000000000663931</v>
      </c>
      <c r="BK32" s="43"/>
      <c r="BL32" s="43"/>
      <c r="BM32" s="43"/>
      <c r="BN32" s="40"/>
      <c r="BO32" s="39">
        <v>183.9709</v>
      </c>
      <c r="BP32" s="39">
        <v>-2.4327000000000001</v>
      </c>
      <c r="BQ32" s="39">
        <v>-0.87809999999999999</v>
      </c>
      <c r="BR32" s="39">
        <v>183.94159999999999</v>
      </c>
      <c r="BS32" s="39">
        <v>-2.6697000000000002</v>
      </c>
      <c r="BT32" s="39">
        <v>0.29139999999999999</v>
      </c>
      <c r="BU32" s="39">
        <v>183.9246</v>
      </c>
      <c r="BV32" s="39">
        <v>-2.1549</v>
      </c>
      <c r="BW32" s="39">
        <v>1.7356</v>
      </c>
      <c r="BX32" s="39">
        <v>183.78620000000001</v>
      </c>
      <c r="BY32" s="39">
        <v>-0.30309999999999998</v>
      </c>
      <c r="BZ32" s="39">
        <v>2.6547999999999998</v>
      </c>
      <c r="CA32" s="39">
        <v>183.88759999999999</v>
      </c>
      <c r="CB32" s="39">
        <v>1.2968</v>
      </c>
      <c r="CC32" s="39">
        <v>2.3311000000000002</v>
      </c>
      <c r="CD32" s="39">
        <v>183.90780000000001</v>
      </c>
      <c r="CE32" s="39">
        <v>2.6855000000000002</v>
      </c>
      <c r="CF32" s="39">
        <v>0.255</v>
      </c>
      <c r="CG32" s="39"/>
      <c r="CH32" s="39"/>
      <c r="CI32" s="39"/>
      <c r="CJ32" s="40"/>
      <c r="CK32" s="43">
        <f t="shared" ref="CK32:CK33" si="716">IF(BO32="","",(BO32-BO$20)*1000)+CK$18</f>
        <v>5.2920356637287114E-2</v>
      </c>
      <c r="CL32" s="43">
        <f t="shared" ref="CL32:CL33" si="717">IF(BP32="","",(BP32-BP$20)*1000)+CL$18</f>
        <v>2.1276339682074763</v>
      </c>
      <c r="CM32" s="43">
        <f t="shared" ref="CM32:CM33" si="718">IF(BQ32="","",(BQ32-BQ$20)*1000)+CM$18</f>
        <v>1.9274707964460625</v>
      </c>
      <c r="CN32" s="43">
        <f t="shared" ref="CN32:CN33" si="719">IF(BR32="","",(BR32-BR$20)*1000)+CN$18</f>
        <v>0.36244410233621238</v>
      </c>
      <c r="CO32" s="43">
        <f t="shared" ref="CO32:CO33" si="720">IF(BS32="","",(BS32-BS$20)*1000)+CO$18</f>
        <v>2.2775136069004276</v>
      </c>
      <c r="CP32" s="43">
        <f t="shared" ref="CP32:CP33" si="721">IF(BT32="","",(BT32-BT$20)*1000)+CP$18</f>
        <v>0.7833755589790603</v>
      </c>
      <c r="CQ32" s="43">
        <f t="shared" ref="CQ32:CQ33" si="722">IF(BU32="","",(BU32-BU$20)*1000)+CQ$18</f>
        <v>-1.9448854914685398</v>
      </c>
      <c r="CR32" s="43">
        <f t="shared" ref="CR32:CR33" si="723">IF(BV32="","",(BV32-BV$20)*1000)+CR$18</f>
        <v>5.6724709854405475</v>
      </c>
      <c r="CS32" s="43">
        <f t="shared" ref="CS32:CS33" si="724">IF(BW32="","",(BW32-BW$20)*1000)+CS$18</f>
        <v>-7.8975511450718461</v>
      </c>
      <c r="CT32" s="43">
        <f t="shared" ref="CT32:CT33" si="725">IF(BX32="","",(BX32-BX$20)*1000)+CT$18</f>
        <v>-13.381202444179507</v>
      </c>
      <c r="CU32" s="43">
        <f t="shared" ref="CU32:CU33" si="726">IF(BY32="","",(BY32-BY$20)*1000)+CU$18</f>
        <v>-0.48110897108064044</v>
      </c>
      <c r="CV32" s="43">
        <f t="shared" ref="CV32:CV33" si="727">IF(BZ32="","",(BZ32-BZ$20)*1000)+CV$18</f>
        <v>-59.525187975550949</v>
      </c>
      <c r="CW32" s="43">
        <f t="shared" ref="CW32:CW33" si="728">IF(CA32="","",(CA32-CA$20)*1000)+CW$18</f>
        <v>9.8063478637584467</v>
      </c>
      <c r="CX32" s="43">
        <f t="shared" ref="CX32:CX33" si="729">IF(CB32="","",(CB32-CB$20)*1000)+CX$18</f>
        <v>-9.2297538471739493</v>
      </c>
      <c r="CY32" s="43">
        <f t="shared" ref="CY32:CY33" si="730">IF(CC32="","",(CC32-CC$20)*1000)+CY$18</f>
        <v>-29.734063478635164</v>
      </c>
      <c r="CZ32" s="43">
        <f t="shared" ref="CZ32:CZ33" si="731">IF(CD32="","",(CD32-CD$20)*1000)+CZ$18</f>
        <v>1.1344668686774639</v>
      </c>
      <c r="DA32" s="43">
        <f t="shared" ref="DA32:DA33" si="732">IF(CE32="","",(CE32-CE$20)*1000)+DA$18</f>
        <v>-18.824604093085284</v>
      </c>
      <c r="DB32" s="43">
        <f t="shared" ref="DB32:DB33" si="733">IF(CF32="","",(CF32-CF$20)*1000)+DB$18</f>
        <v>0.23865533131034455</v>
      </c>
      <c r="DC32" s="43"/>
      <c r="DD32" s="43"/>
      <c r="DE32" s="43"/>
    </row>
    <row r="33" spans="1:109" ht="29.25" customHeight="1" x14ac:dyDescent="0.2">
      <c r="A33" s="37">
        <v>43727</v>
      </c>
      <c r="B33" s="29">
        <f t="shared" si="10"/>
        <v>69</v>
      </c>
      <c r="C33" s="38">
        <v>206.32</v>
      </c>
      <c r="D33" s="38">
        <f t="shared" si="260"/>
        <v>22.419999999999987</v>
      </c>
      <c r="E33" s="39">
        <v>823233.37679999997</v>
      </c>
      <c r="F33" s="39">
        <v>1091513.5617</v>
      </c>
      <c r="G33" s="39">
        <v>-124.5806</v>
      </c>
      <c r="H33" s="39">
        <v>823233.25020000001</v>
      </c>
      <c r="I33" s="39">
        <v>1091513.7642999999</v>
      </c>
      <c r="J33" s="39">
        <v>-123.4114</v>
      </c>
      <c r="K33" s="39">
        <v>823233.45270000002</v>
      </c>
      <c r="L33" s="39">
        <v>1091513.2905999999</v>
      </c>
      <c r="M33" s="39">
        <v>-121.9674</v>
      </c>
      <c r="N33" s="39">
        <v>823234.10970000003</v>
      </c>
      <c r="O33" s="39">
        <v>1091511.5543</v>
      </c>
      <c r="P33" s="39">
        <v>-121.0501</v>
      </c>
      <c r="Q33" s="39">
        <v>823234.87789999996</v>
      </c>
      <c r="R33" s="39">
        <v>1091510.1470999999</v>
      </c>
      <c r="S33" s="39">
        <v>-121.37260000000001</v>
      </c>
      <c r="T33" s="39">
        <v>823235.48349999997</v>
      </c>
      <c r="U33" s="39">
        <v>1091508.8972</v>
      </c>
      <c r="V33" s="39">
        <v>-123.4482</v>
      </c>
      <c r="W33" s="39">
        <v>823235.41</v>
      </c>
      <c r="X33" s="39">
        <v>1091509.0384</v>
      </c>
      <c r="Y33" s="39">
        <v>-124.624</v>
      </c>
      <c r="Z33" s="39">
        <f t="shared" si="1"/>
        <v>4.1268907691018759</v>
      </c>
      <c r="AA33" s="39">
        <f t="shared" si="2"/>
        <v>3.3464276385229912</v>
      </c>
      <c r="AB33" s="39">
        <f t="shared" si="3"/>
        <v>2.0707066378346162</v>
      </c>
      <c r="AC33" s="39">
        <f t="shared" si="4"/>
        <v>1.6353437956412558</v>
      </c>
      <c r="AD33" s="39">
        <f t="shared" si="5"/>
        <v>3.8338479964122145</v>
      </c>
      <c r="AE33" s="39">
        <f t="shared" si="6"/>
        <v>4.5599664593063887</v>
      </c>
      <c r="AF33" s="39">
        <f t="shared" si="7"/>
        <v>3.5023669610512123</v>
      </c>
      <c r="AG33" s="39">
        <f t="shared" si="8"/>
        <v>5.3551513086949649</v>
      </c>
      <c r="AH33" s="39">
        <f t="shared" si="9"/>
        <v>4.9594383442346599</v>
      </c>
      <c r="AI33" s="43">
        <f t="shared" si="691"/>
        <v>-53.454128126629641</v>
      </c>
      <c r="AJ33" s="43">
        <f t="shared" si="692"/>
        <v>-45.114949194713816</v>
      </c>
      <c r="AK33" s="43">
        <f t="shared" si="693"/>
        <v>-27.971003231267446</v>
      </c>
      <c r="AL33" s="43">
        <f t="shared" si="694"/>
        <v>-15.053343550537555</v>
      </c>
      <c r="AM33" s="43">
        <f t="shared" si="695"/>
        <v>-52.80842344204784</v>
      </c>
      <c r="AN33" s="43">
        <f t="shared" ref="AN33" si="734">IF(AE33="","",(AE33-AE$20)*1000)+AN$18</f>
        <v>-31.114230587306224</v>
      </c>
      <c r="AO33" s="43">
        <f t="shared" si="696"/>
        <v>-20.023001858349598</v>
      </c>
      <c r="AP33" s="43">
        <f t="shared" si="697"/>
        <v>-21.380946371500009</v>
      </c>
      <c r="AQ33" s="43">
        <f t="shared" ref="AQ33" si="735">IF(AH33="","",(AH33-AH$20)*1000)+AQ$18</f>
        <v>-18.433312060822438</v>
      </c>
      <c r="AR33" s="40"/>
      <c r="AS33" s="43">
        <f t="shared" si="698"/>
        <v>0.14999997802078724</v>
      </c>
      <c r="AT33" s="43">
        <f t="shared" si="699"/>
        <v>-1.1500001419335604</v>
      </c>
      <c r="AU33" s="43">
        <f t="shared" si="700"/>
        <v>2.6000000000010459</v>
      </c>
      <c r="AV33" s="43">
        <f t="shared" si="701"/>
        <v>0.50000008195638657</v>
      </c>
      <c r="AW33" s="43">
        <f t="shared" si="702"/>
        <v>-1.4500003308057785</v>
      </c>
      <c r="AX33" s="43">
        <f t="shared" si="703"/>
        <v>1.4500000000055024</v>
      </c>
      <c r="AY33" s="43">
        <f t="shared" si="704"/>
        <v>0.15000009443610907</v>
      </c>
      <c r="AZ33" s="43">
        <f t="shared" si="705"/>
        <v>-6.1000003479421139</v>
      </c>
      <c r="BA33" s="43">
        <f t="shared" si="706"/>
        <v>-7.2999999999865395</v>
      </c>
      <c r="BB33" s="43">
        <f t="shared" si="707"/>
        <v>-13.099999981932342</v>
      </c>
      <c r="BC33" s="43">
        <f t="shared" si="708"/>
        <v>-4.3999999761581421</v>
      </c>
      <c r="BD33" s="43">
        <f t="shared" si="709"/>
        <v>-59.550000000001546</v>
      </c>
      <c r="BE33" s="43">
        <f t="shared" si="710"/>
        <v>4.4499998912215233</v>
      </c>
      <c r="BF33" s="43">
        <f t="shared" si="711"/>
        <v>14.300000155344605</v>
      </c>
      <c r="BG33" s="43">
        <f t="shared" si="712"/>
        <v>-29.4500000000113</v>
      </c>
      <c r="BH33" s="43">
        <f t="shared" si="713"/>
        <v>-7.1999998763203621</v>
      </c>
      <c r="BI33" s="43">
        <f t="shared" si="714"/>
        <v>18.55000015348196</v>
      </c>
      <c r="BJ33" s="43">
        <f t="shared" si="715"/>
        <v>0.80000000001234639</v>
      </c>
      <c r="BK33" s="43">
        <f t="shared" ref="BK33" si="736">IF(W33="","",(W33-W$20)*1000)+BK$18</f>
        <v>4.2000000830739737</v>
      </c>
      <c r="BL33" s="43">
        <f t="shared" ref="BL33" si="737">IF(X33="","",(X33-X$20)*1000)+BL$18</f>
        <v>21.149999927729368</v>
      </c>
      <c r="BM33" s="43">
        <f t="shared" ref="BM33" si="738">IF(Y33="","",(Y33-Y$20)*1000)+BM$18</f>
        <v>-31.899999999993156</v>
      </c>
      <c r="BN33" s="40"/>
      <c r="BO33" s="39">
        <v>183.97020000000001</v>
      </c>
      <c r="BP33" s="39">
        <v>-2.4333999999999998</v>
      </c>
      <c r="BQ33" s="39">
        <v>-0.87739999999999996</v>
      </c>
      <c r="BR33" s="39">
        <v>183.94110000000001</v>
      </c>
      <c r="BS33" s="39">
        <v>-2.6705000000000001</v>
      </c>
      <c r="BT33" s="39">
        <v>0.29210000000000003</v>
      </c>
      <c r="BU33" s="39">
        <v>183.92439999999999</v>
      </c>
      <c r="BV33" s="39">
        <v>-2.1556000000000002</v>
      </c>
      <c r="BW33" s="39">
        <v>1.7362</v>
      </c>
      <c r="BX33" s="39">
        <v>183.786</v>
      </c>
      <c r="BY33" s="39">
        <v>-0.30430000000000001</v>
      </c>
      <c r="BZ33" s="39">
        <v>2.6549</v>
      </c>
      <c r="CA33" s="39">
        <v>183.88740000000001</v>
      </c>
      <c r="CB33" s="39">
        <v>1.2957000000000001</v>
      </c>
      <c r="CC33" s="39">
        <v>2.3313999999999999</v>
      </c>
      <c r="CD33" s="39">
        <v>183.90799999999999</v>
      </c>
      <c r="CE33" s="39">
        <v>2.6844000000000001</v>
      </c>
      <c r="CF33" s="39">
        <v>0.25559999999999999</v>
      </c>
      <c r="CG33" s="39">
        <v>183.90110000000001</v>
      </c>
      <c r="CH33" s="39">
        <v>2.5253999999999999</v>
      </c>
      <c r="CI33" s="39">
        <v>-0.92010000000000003</v>
      </c>
      <c r="CJ33" s="40"/>
      <c r="CK33" s="43">
        <f t="shared" si="716"/>
        <v>-0.64707964335752877</v>
      </c>
      <c r="CL33" s="43">
        <f t="shared" si="717"/>
        <v>1.4276339682077754</v>
      </c>
      <c r="CM33" s="43">
        <f t="shared" si="718"/>
        <v>2.6274707964460964</v>
      </c>
      <c r="CN33" s="43">
        <f t="shared" si="719"/>
        <v>-0.13755589765196419</v>
      </c>
      <c r="CO33" s="43">
        <f t="shared" si="720"/>
        <v>1.4775136069005157</v>
      </c>
      <c r="CP33" s="43">
        <f t="shared" si="721"/>
        <v>1.4833755589790942</v>
      </c>
      <c r="CQ33" s="43">
        <f t="shared" si="722"/>
        <v>-2.1448854914751792</v>
      </c>
      <c r="CR33" s="43">
        <f t="shared" si="723"/>
        <v>4.9724709854404026</v>
      </c>
      <c r="CS33" s="43">
        <f t="shared" si="724"/>
        <v>-7.2975511450719122</v>
      </c>
      <c r="CT33" s="43">
        <f t="shared" si="725"/>
        <v>-13.581202444186147</v>
      </c>
      <c r="CU33" s="43">
        <f t="shared" si="726"/>
        <v>-1.6811089710806748</v>
      </c>
      <c r="CV33" s="43">
        <f t="shared" si="727"/>
        <v>-59.425187975550742</v>
      </c>
      <c r="CW33" s="43">
        <f t="shared" si="728"/>
        <v>9.6063478637802291</v>
      </c>
      <c r="CX33" s="43">
        <f t="shared" si="729"/>
        <v>-10.329753847173828</v>
      </c>
      <c r="CY33" s="43">
        <f t="shared" si="730"/>
        <v>-29.434063478635419</v>
      </c>
      <c r="CZ33" s="43">
        <f t="shared" si="731"/>
        <v>1.3344668686556815</v>
      </c>
      <c r="DA33" s="43">
        <f t="shared" si="732"/>
        <v>-19.924604093085385</v>
      </c>
      <c r="DB33" s="43">
        <f t="shared" si="733"/>
        <v>0.83865533131033398</v>
      </c>
      <c r="DC33" s="43">
        <f t="shared" ref="DC33" si="739">IF(CG33="","",(CG33-CG$20)*1000)+DC$18</f>
        <v>12.726345617693369</v>
      </c>
      <c r="DD33" s="43">
        <f t="shared" ref="DD33" si="740">IF(CH33="","",(CH33-CH$20)*1000)+DD$18</f>
        <v>-17.264695174446398</v>
      </c>
      <c r="DE33" s="43">
        <f t="shared" ref="DE33" si="741">IF(CI33="","",(CI33-CI$20)*1000)+DE$18</f>
        <v>-31.999263456176205</v>
      </c>
    </row>
    <row r="34" spans="1:109" ht="29.25" customHeight="1" x14ac:dyDescent="0.2">
      <c r="A34" s="37">
        <v>43731</v>
      </c>
      <c r="B34" s="29">
        <f t="shared" si="10"/>
        <v>73</v>
      </c>
      <c r="C34" s="38">
        <v>206.32</v>
      </c>
      <c r="D34" s="38">
        <f t="shared" ref="D34" si="742">C34-PM</f>
        <v>22.419999999999987</v>
      </c>
      <c r="E34" s="39">
        <v>823233.37600000005</v>
      </c>
      <c r="F34" s="39">
        <v>1091513.5619999999</v>
      </c>
      <c r="G34" s="39">
        <v>-124.58</v>
      </c>
      <c r="H34" s="39">
        <v>823233.24959999998</v>
      </c>
      <c r="I34" s="39">
        <v>1091513.7649999999</v>
      </c>
      <c r="J34" s="39">
        <v>-123.4113</v>
      </c>
      <c r="K34" s="39">
        <v>823233.45160000003</v>
      </c>
      <c r="L34" s="39">
        <v>1091513.291</v>
      </c>
      <c r="M34" s="39">
        <v>-121.96769999999999</v>
      </c>
      <c r="N34" s="39">
        <v>823234.10860000004</v>
      </c>
      <c r="O34" s="39">
        <v>1091511.5549999999</v>
      </c>
      <c r="P34" s="39">
        <v>-121.0509</v>
      </c>
      <c r="Q34" s="39">
        <v>823234.87730000005</v>
      </c>
      <c r="R34" s="39">
        <v>1091510.148</v>
      </c>
      <c r="S34" s="39">
        <v>-121.3729</v>
      </c>
      <c r="T34" s="39">
        <v>823235.48259999999</v>
      </c>
      <c r="U34" s="39">
        <v>1091508.898</v>
      </c>
      <c r="V34" s="39">
        <v>-123.4482</v>
      </c>
      <c r="W34" s="39">
        <v>823235.40930000006</v>
      </c>
      <c r="X34" s="39">
        <v>1091509.04</v>
      </c>
      <c r="Y34" s="39">
        <v>-124.624</v>
      </c>
      <c r="Z34" s="39">
        <f t="shared" si="1"/>
        <v>4.1254452571711315</v>
      </c>
      <c r="AA34" s="39">
        <f t="shared" si="2"/>
        <v>3.3456642329931641</v>
      </c>
      <c r="AB34" s="39">
        <f t="shared" si="3"/>
        <v>2.0702336196972952</v>
      </c>
      <c r="AC34" s="39">
        <f t="shared" si="4"/>
        <v>1.6353081329565842</v>
      </c>
      <c r="AD34" s="39">
        <f t="shared" si="5"/>
        <v>3.8333500087111139</v>
      </c>
      <c r="AE34" s="39">
        <f t="shared" si="6"/>
        <v>4.5589570188301716</v>
      </c>
      <c r="AF34" s="39">
        <f t="shared" si="7"/>
        <v>3.5021217182704469</v>
      </c>
      <c r="AG34" s="39">
        <f t="shared" si="8"/>
        <v>5.3549360041555047</v>
      </c>
      <c r="AH34" s="39">
        <f t="shared" si="9"/>
        <v>4.9582989914851625</v>
      </c>
      <c r="AI34" s="43">
        <f t="shared" ref="AI34" si="743">IF(Z34="","",(Z34-Z$20)*1000)+AI$18</f>
        <v>-54.899640057374022</v>
      </c>
      <c r="AJ34" s="43">
        <f t="shared" ref="AJ34" si="744">IF(AA34="","",(AA34-AA$20)*1000)+AJ$18</f>
        <v>-45.878354724540941</v>
      </c>
      <c r="AK34" s="43">
        <f t="shared" ref="AK34" si="745">IF(AB34="","",(AB34-AB$20)*1000)+AK$18</f>
        <v>-28.44402136858837</v>
      </c>
      <c r="AL34" s="43">
        <f t="shared" ref="AL34" si="746">IF(AC34="","",(AC34-AC$20)*1000)+AL$18</f>
        <v>-15.089006235209144</v>
      </c>
      <c r="AM34" s="43">
        <f t="shared" ref="AM34" si="747">IF(AD34="","",(AD34-AD$20)*1000)+AM$18</f>
        <v>-53.306411143148495</v>
      </c>
      <c r="AN34" s="43">
        <f t="shared" ref="AN34" si="748">IF(AE34="","",(AE34-AE$20)*1000)+AN$18</f>
        <v>-32.123671063523318</v>
      </c>
      <c r="AO34" s="43">
        <f t="shared" ref="AO34" si="749">IF(AF34="","",(AF34-AF$20)*1000)+AO$18</f>
        <v>-20.268244639114918</v>
      </c>
      <c r="AP34" s="43">
        <f t="shared" ref="AP34" si="750">IF(AG34="","",(AG34-AG$20)*1000)+AP$18</f>
        <v>-21.59625091096018</v>
      </c>
      <c r="AQ34" s="43">
        <f t="shared" ref="AQ34" si="751">IF(AH34="","",(AH34-AH$20)*1000)+AQ$18</f>
        <v>-19.572664810319829</v>
      </c>
      <c r="AR34" s="40"/>
      <c r="AS34" s="43">
        <f t="shared" ref="AS34" si="752">IF(E34="","",(E34-E$20)*1000)+AS$18</f>
        <v>-0.64999994356185198</v>
      </c>
      <c r="AT34" s="43">
        <f t="shared" ref="AT34" si="753">IF(F34="","",(F34-F$20)*1000)+AT$18</f>
        <v>-0.85000018589198589</v>
      </c>
      <c r="AU34" s="43">
        <f t="shared" ref="AU34" si="754">IF(G34="","",(G34-G$20)*1000)+AU$18</f>
        <v>3.200000000006753</v>
      </c>
      <c r="AV34" s="43">
        <f t="shared" ref="AV34" si="755">IF(H34="","",(H34-H$20)*1000)+AV$18</f>
        <v>-9.9999946542084217E-2</v>
      </c>
      <c r="AW34" s="43">
        <f t="shared" ref="AW34" si="756">IF(I34="","",(I34-I$20)*1000)+AW$18</f>
        <v>-0.7500003557652235</v>
      </c>
      <c r="AX34" s="43">
        <f t="shared" ref="AX34" si="757">IF(J34="","",(J34-J$20)*1000)+AX$18</f>
        <v>1.5500000000088221</v>
      </c>
      <c r="AY34" s="43">
        <f t="shared" ref="AY34" si="758">IF(K34="","",(K34-K$20)*1000)+AY$18</f>
        <v>-0.94999989960342646</v>
      </c>
      <c r="AZ34" s="43">
        <f t="shared" ref="AZ34" si="759">IF(L34="","",(L34-L$20)*1000)+AZ$18</f>
        <v>-5.7000003289431334</v>
      </c>
      <c r="BA34" s="43">
        <f t="shared" ref="BA34" si="760">IF(M34="","",(M34-M$20)*1000)+BA$18</f>
        <v>-7.5999999999822876</v>
      </c>
      <c r="BB34" s="43">
        <f t="shared" ref="BB34" si="761">IF(N34="","",(N34-N$20)*1000)+BB$18</f>
        <v>-14.199999975971878</v>
      </c>
      <c r="BC34" s="43">
        <f t="shared" ref="BC34" si="762">IF(O34="","",(O34-O$20)*1000)+BC$18</f>
        <v>-3.7000000011175871</v>
      </c>
      <c r="BD34" s="43">
        <f t="shared" ref="BD34" si="763">IF(P34="","",(P34-P$20)*1000)+BD$18</f>
        <v>-60.349999999999682</v>
      </c>
      <c r="BE34" s="43">
        <f t="shared" ref="BE34" si="764">IF(Q34="","",(Q34-Q$20)*1000)+BE$18</f>
        <v>3.8499999791383743</v>
      </c>
      <c r="BF34" s="43">
        <f t="shared" ref="BF34" si="765">IF(R34="","",(R34-R$20)*1000)+BF$18</f>
        <v>15.200000256299973</v>
      </c>
      <c r="BG34" s="43">
        <f t="shared" ref="BG34" si="766">IF(S34="","",(S34-S$20)*1000)+BG$18</f>
        <v>-29.750000000007049</v>
      </c>
      <c r="BH34" s="43">
        <f t="shared" ref="BH34" si="767">IF(T34="","",(T34-T$20)*1000)+BH$18</f>
        <v>-8.0999998608604074</v>
      </c>
      <c r="BI34" s="43">
        <f t="shared" ref="BI34" si="768">IF(U34="","",(U34-U$20)*1000)+BI$18</f>
        <v>19.350000191479921</v>
      </c>
      <c r="BJ34" s="43">
        <f t="shared" ref="BJ34" si="769">IF(V34="","",(V34-V$20)*1000)+BJ$18</f>
        <v>0.80000000001234639</v>
      </c>
      <c r="BK34" s="43">
        <f t="shared" ref="BK34" si="770">IF(W34="","",(W34-W$20)*1000)+BK$18</f>
        <v>3.5000001080334187</v>
      </c>
      <c r="BL34" s="43">
        <f t="shared" ref="BL34" si="771">IF(X34="","",(X34-X$20)*1000)+BL$18</f>
        <v>22.75000000372529</v>
      </c>
      <c r="BM34" s="43">
        <f t="shared" ref="BM34" si="772">IF(Y34="","",(Y34-Y$20)*1000)+BM$18</f>
        <v>-31.899999999993156</v>
      </c>
      <c r="BN34" s="40"/>
      <c r="BO34" s="39">
        <v>183.96969999999999</v>
      </c>
      <c r="BP34" s="39">
        <v>-2.4342999999999999</v>
      </c>
      <c r="BQ34" s="39">
        <v>-0.87719999999999998</v>
      </c>
      <c r="BR34" s="39">
        <v>183.94069999999999</v>
      </c>
      <c r="BS34" s="39">
        <v>-2.6711999999999998</v>
      </c>
      <c r="BT34" s="39">
        <v>0.29220000000000002</v>
      </c>
      <c r="BU34" s="39">
        <v>183.92349999999999</v>
      </c>
      <c r="BV34" s="39">
        <v>-2.1562999999999999</v>
      </c>
      <c r="BW34" s="39">
        <v>1.7359</v>
      </c>
      <c r="BX34" s="39">
        <v>183.7852</v>
      </c>
      <c r="BY34" s="39">
        <v>-0.30530000000000002</v>
      </c>
      <c r="BZ34" s="39">
        <v>2.6541000000000001</v>
      </c>
      <c r="CA34" s="39">
        <v>183.88720000000001</v>
      </c>
      <c r="CB34" s="39">
        <v>1.2948</v>
      </c>
      <c r="CC34" s="39">
        <v>2.3311000000000002</v>
      </c>
      <c r="CD34" s="39">
        <v>183.90770000000001</v>
      </c>
      <c r="CE34" s="39">
        <v>2.6829999999999998</v>
      </c>
      <c r="CF34" s="39">
        <v>0.25559999999999999</v>
      </c>
      <c r="CG34" s="39">
        <v>183.90090000000001</v>
      </c>
      <c r="CH34" s="39">
        <v>2.5240999999999998</v>
      </c>
      <c r="CI34" s="39">
        <v>-0.92010000000000003</v>
      </c>
      <c r="CJ34" s="40"/>
      <c r="CK34" s="43">
        <f t="shared" ref="CK34" si="773">IF(BO34="","",(BO34-BO$20)*1000)+CK$18</f>
        <v>-1.147079643374127</v>
      </c>
      <c r="CL34" s="43">
        <f t="shared" ref="CL34" si="774">IF(BP34="","",(BP34-BP$20)*1000)+CL$18</f>
        <v>0.52763396820765252</v>
      </c>
      <c r="CM34" s="43">
        <f t="shared" ref="CM34" si="775">IF(BQ34="","",(BQ34-BQ$20)*1000)+CM$18</f>
        <v>2.8274707964460744</v>
      </c>
      <c r="CN34" s="43">
        <f t="shared" ref="CN34" si="776">IF(BR34="","",(BR34-BR$20)*1000)+CN$18</f>
        <v>-0.53755589766524281</v>
      </c>
      <c r="CO34" s="43">
        <f t="shared" ref="CO34" si="777">IF(BS34="","",(BS34-BS$20)*1000)+CO$18</f>
        <v>0.77751360690081484</v>
      </c>
      <c r="CP34" s="43">
        <f t="shared" ref="CP34" si="778">IF(BT34="","",(BT34-BT$20)*1000)+CP$18</f>
        <v>1.5833755589790832</v>
      </c>
      <c r="CQ34" s="43">
        <f t="shared" ref="CQ34" si="779">IF(BU34="","",(BU34-BU$20)*1000)+CQ$18</f>
        <v>-3.0448854914766343</v>
      </c>
      <c r="CR34" s="43">
        <f t="shared" ref="CR34" si="780">IF(BV34="","",(BV34-BV$20)*1000)+CR$18</f>
        <v>4.2724709854407017</v>
      </c>
      <c r="CS34" s="43">
        <f t="shared" ref="CS34" si="781">IF(BW34="","",(BW34-BW$20)*1000)+CS$18</f>
        <v>-7.5975511450718791</v>
      </c>
      <c r="CT34" s="43">
        <f t="shared" ref="CT34" si="782">IF(BX34="","",(BX34-BX$20)*1000)+CT$18</f>
        <v>-14.381202444184282</v>
      </c>
      <c r="CU34" s="43">
        <f t="shared" ref="CU34" si="783">IF(BY34="","",(BY34-BY$20)*1000)+CU$18</f>
        <v>-2.6811089710806755</v>
      </c>
      <c r="CV34" s="43">
        <f t="shared" ref="CV34" si="784">IF(BZ34="","",(BZ34-BZ$20)*1000)+CV$18</f>
        <v>-60.225187975550654</v>
      </c>
      <c r="CW34" s="43">
        <f t="shared" ref="CW34" si="785">IF(CA34="","",(CA34-CA$20)*1000)+CW$18</f>
        <v>9.4063478637735898</v>
      </c>
      <c r="CX34" s="43">
        <f t="shared" ref="CX34" si="786">IF(CB34="","",(CB34-CB$20)*1000)+CX$18</f>
        <v>-11.229753847173951</v>
      </c>
      <c r="CY34" s="43">
        <f t="shared" ref="CY34" si="787">IF(CC34="","",(CC34-CC$20)*1000)+CY$18</f>
        <v>-29.734063478635164</v>
      </c>
      <c r="CZ34" s="43">
        <f t="shared" ref="CZ34" si="788">IF(CD34="","",(CD34-CD$20)*1000)+CZ$18</f>
        <v>1.0344668686741443</v>
      </c>
      <c r="DA34" s="43">
        <f t="shared" ref="DA34" si="789">IF(CE34="","",(CE34-CE$20)*1000)+DA$18</f>
        <v>-21.324604093085675</v>
      </c>
      <c r="DB34" s="43">
        <f t="shared" ref="DB34" si="790">IF(CF34="","",(CF34-CF$20)*1000)+DB$18</f>
        <v>0.83865533131033398</v>
      </c>
      <c r="DC34" s="43">
        <f t="shared" ref="DC34" si="791">IF(CG34="","",(CG34-CG$20)*1000)+DC$18</f>
        <v>12.526345617686729</v>
      </c>
      <c r="DD34" s="43">
        <f t="shared" ref="DD34" si="792">IF(CH34="","",(CH34-CH$20)*1000)+DD$18</f>
        <v>-18.564695174446477</v>
      </c>
      <c r="DE34" s="43">
        <f t="shared" ref="DE34" si="793">IF(CI34="","",(CI34-CI$20)*1000)+DE$18</f>
        <v>-31.999263456176205</v>
      </c>
    </row>
    <row r="35" spans="1:109" ht="29.25" customHeight="1" x14ac:dyDescent="0.2">
      <c r="A35" s="37">
        <v>43734</v>
      </c>
      <c r="B35" s="29">
        <f t="shared" si="10"/>
        <v>76</v>
      </c>
      <c r="C35" s="38">
        <v>206.32</v>
      </c>
      <c r="D35" s="38">
        <f t="shared" ref="D35" si="794">C35-PM</f>
        <v>22.419999999999987</v>
      </c>
      <c r="E35" s="39">
        <v>823233.37670000002</v>
      </c>
      <c r="F35" s="39">
        <v>1091513.5615000001</v>
      </c>
      <c r="G35" s="39">
        <v>-124.581</v>
      </c>
      <c r="H35" s="39">
        <v>823233.25009999995</v>
      </c>
      <c r="I35" s="39">
        <v>1091513.7638999999</v>
      </c>
      <c r="J35" s="39">
        <v>-123.41200000000001</v>
      </c>
      <c r="K35" s="39">
        <v>823233.45209999999</v>
      </c>
      <c r="L35" s="39">
        <v>1091513.2897000001</v>
      </c>
      <c r="M35" s="39">
        <v>-121.96850000000001</v>
      </c>
      <c r="N35" s="39">
        <v>823234.10880000005</v>
      </c>
      <c r="O35" s="39">
        <v>1091511.554</v>
      </c>
      <c r="P35" s="39">
        <v>-121.05200000000001</v>
      </c>
      <c r="Q35" s="39">
        <v>823234.87730000005</v>
      </c>
      <c r="R35" s="39">
        <v>1091510.1470000001</v>
      </c>
      <c r="S35" s="39">
        <v>-121.37350000000001</v>
      </c>
      <c r="T35" s="39">
        <v>823235.48250000004</v>
      </c>
      <c r="U35" s="39">
        <v>1091508.8973000001</v>
      </c>
      <c r="V35" s="39">
        <v>-123.4487</v>
      </c>
      <c r="W35" s="39">
        <v>823235.40890000004</v>
      </c>
      <c r="X35" s="39">
        <v>1091509.0385</v>
      </c>
      <c r="Y35" s="39">
        <v>-124.62439999999999</v>
      </c>
      <c r="Z35" s="39">
        <f t="shared" si="1"/>
        <v>4.1255142298015732</v>
      </c>
      <c r="AA35" s="39">
        <f t="shared" si="2"/>
        <v>3.3452389600336403</v>
      </c>
      <c r="AB35" s="39">
        <f t="shared" si="3"/>
        <v>2.0697540023720888</v>
      </c>
      <c r="AC35" s="39">
        <f t="shared" si="4"/>
        <v>1.6351157450466134</v>
      </c>
      <c r="AD35" s="39">
        <f t="shared" si="5"/>
        <v>3.8326593208423705</v>
      </c>
      <c r="AE35" s="39">
        <f t="shared" si="6"/>
        <v>4.5585131369646081</v>
      </c>
      <c r="AF35" s="39">
        <f t="shared" si="7"/>
        <v>3.5016829282440889</v>
      </c>
      <c r="AG35" s="39">
        <f t="shared" si="8"/>
        <v>5.3543208914678102</v>
      </c>
      <c r="AH35" s="39">
        <f t="shared" si="9"/>
        <v>4.958754823589234</v>
      </c>
      <c r="AI35" s="43">
        <f t="shared" ref="AI35" si="795">IF(Z35="","",(Z35-Z$20)*1000)+AI$18</f>
        <v>-54.830667426932322</v>
      </c>
      <c r="AJ35" s="43">
        <f t="shared" ref="AJ35" si="796">IF(AA35="","",(AA35-AA$20)*1000)+AJ$18</f>
        <v>-46.303627684064708</v>
      </c>
      <c r="AK35" s="43">
        <f t="shared" ref="AK35" si="797">IF(AB35="","",(AB35-AB$20)*1000)+AK$18</f>
        <v>-28.923638693794775</v>
      </c>
      <c r="AL35" s="43">
        <f t="shared" ref="AL35" si="798">IF(AC35="","",(AC35-AC$20)*1000)+AL$18</f>
        <v>-15.281394145179926</v>
      </c>
      <c r="AM35" s="43">
        <f t="shared" ref="AM35" si="799">IF(AD35="","",(AD35-AD$20)*1000)+AM$18</f>
        <v>-53.997099011891869</v>
      </c>
      <c r="AN35" s="43">
        <f t="shared" ref="AN35" si="800">IF(AE35="","",(AE35-AE$20)*1000)+AN$18</f>
        <v>-32.567552929086752</v>
      </c>
      <c r="AO35" s="43">
        <f t="shared" ref="AO35" si="801">IF(AF35="","",(AF35-AF$20)*1000)+AO$18</f>
        <v>-20.707034665472968</v>
      </c>
      <c r="AP35" s="43">
        <f t="shared" ref="AP35" si="802">IF(AG35="","",(AG35-AG$20)*1000)+AP$18</f>
        <v>-22.211363598654721</v>
      </c>
      <c r="AQ35" s="43">
        <f t="shared" ref="AQ35" si="803">IF(AH35="","",(AH35-AH$20)*1000)+AQ$18</f>
        <v>-19.11683270624831</v>
      </c>
      <c r="AR35" s="40"/>
      <c r="AS35" s="43">
        <f t="shared" ref="AS35" si="804">IF(E35="","",(E35-E$20)*1000)+AS$18</f>
        <v>5.0000031478703022E-2</v>
      </c>
      <c r="AT35" s="43">
        <f t="shared" ref="AT35" si="805">IF(F35="","",(F35-F$20)*1000)+AT$18</f>
        <v>-1.3500000350177288</v>
      </c>
      <c r="AU35" s="43">
        <f t="shared" ref="AU35" si="806">IF(G35="","",(G35-G$20)*1000)+AU$18</f>
        <v>2.2000000000019782</v>
      </c>
      <c r="AV35" s="43">
        <f t="shared" ref="AV35" si="807">IF(H35="","",(H35-H$20)*1000)+AV$18</f>
        <v>0.40000001899898052</v>
      </c>
      <c r="AW35" s="43">
        <f t="shared" ref="AW35" si="808">IF(I35="","",(I35-I$20)*1000)+AW$18</f>
        <v>-1.850000349804759</v>
      </c>
      <c r="AX35" s="43">
        <f t="shared" ref="AX35" si="809">IF(J35="","",(J35-J$20)*1000)+AX$18</f>
        <v>0.84999999999979536</v>
      </c>
      <c r="AY35" s="43">
        <f t="shared" ref="AY35" si="810">IF(K35="","",(K35-K$20)*1000)+AY$18</f>
        <v>-0.44999993406236172</v>
      </c>
      <c r="AZ35" s="43">
        <f t="shared" ref="AZ35" si="811">IF(L35="","",(L35-L$20)*1000)+AZ$18</f>
        <v>-7.0000002160668373</v>
      </c>
      <c r="BA35" s="43">
        <f t="shared" ref="BA35" si="812">IF(M35="","",(M35-M$20)*1000)+BA$18</f>
        <v>-8.399999999994634</v>
      </c>
      <c r="BB35" s="43">
        <f t="shared" ref="BB35" si="813">IF(N35="","",(N35-N$20)*1000)+BB$18</f>
        <v>-13.999999966472387</v>
      </c>
      <c r="BC35" s="43">
        <f t="shared" ref="BC35" si="814">IF(O35="","",(O35-O$20)*1000)+BC$18</f>
        <v>-4.6999999321997166</v>
      </c>
      <c r="BD35" s="43">
        <f t="shared" ref="BD35" si="815">IF(P35="","",(P35-P$20)*1000)+BD$18</f>
        <v>-61.450000000007776</v>
      </c>
      <c r="BE35" s="43">
        <f t="shared" ref="BE35" si="816">IF(Q35="","",(Q35-Q$20)*1000)+BE$18</f>
        <v>3.8499999791383743</v>
      </c>
      <c r="BF35" s="43">
        <f t="shared" ref="BF35" si="817">IF(R35="","",(R35-R$20)*1000)+BF$18</f>
        <v>14.200000325217843</v>
      </c>
      <c r="BG35" s="43">
        <f t="shared" ref="BG35" si="818">IF(S35="","",(S35-S$20)*1000)+BG$18</f>
        <v>-30.350000000012756</v>
      </c>
      <c r="BH35" s="43">
        <f t="shared" ref="BH35" si="819">IF(T35="","",(T35-T$20)*1000)+BH$18</f>
        <v>-8.1999998074024916</v>
      </c>
      <c r="BI35" s="43">
        <f t="shared" ref="BI35" si="820">IF(U35="","",(U35-U$20)*1000)+BI$18</f>
        <v>18.650000216439366</v>
      </c>
      <c r="BJ35" s="43">
        <f t="shared" ref="BJ35" si="821">IF(V35="","",(V35-V$20)*1000)+BJ$18</f>
        <v>0.30000000000995897</v>
      </c>
      <c r="BK35" s="43">
        <f t="shared" ref="BK35" si="822">IF(W35="","",(W35-W$20)*1000)+BK$18</f>
        <v>3.1000000890344381</v>
      </c>
      <c r="BL35" s="43">
        <f t="shared" ref="BL35" si="823">IF(X35="","",(X35-X$20)*1000)+BL$18</f>
        <v>21.249999990686774</v>
      </c>
      <c r="BM35" s="43">
        <f t="shared" ref="BM35" si="824">IF(Y35="","",(Y35-Y$20)*1000)+BM$18</f>
        <v>-32.299999999992224</v>
      </c>
      <c r="BN35" s="40"/>
      <c r="BO35" s="39">
        <v>183.97</v>
      </c>
      <c r="BP35" s="39">
        <v>-2.4331999999999998</v>
      </c>
      <c r="BQ35" s="39">
        <v>-0.87780000000000002</v>
      </c>
      <c r="BR35" s="39">
        <v>183.9408</v>
      </c>
      <c r="BS35" s="39">
        <v>-2.6701999999999999</v>
      </c>
      <c r="BT35" s="39">
        <v>0.29149999999999998</v>
      </c>
      <c r="BU35" s="39">
        <v>183.92349999999999</v>
      </c>
      <c r="BV35" s="39">
        <v>-2.1549999999999998</v>
      </c>
      <c r="BW35" s="39">
        <v>1.7351000000000001</v>
      </c>
      <c r="BX35" s="39">
        <v>183.785</v>
      </c>
      <c r="BY35" s="39">
        <v>-0.3044</v>
      </c>
      <c r="BZ35" s="39">
        <v>2.653</v>
      </c>
      <c r="CA35" s="39">
        <v>183.88679999999999</v>
      </c>
      <c r="CB35" s="39">
        <v>1.2955000000000001</v>
      </c>
      <c r="CC35" s="39">
        <v>2.3304999999999998</v>
      </c>
      <c r="CD35" s="39">
        <v>183.90710000000001</v>
      </c>
      <c r="CE35" s="39">
        <v>2.6839</v>
      </c>
      <c r="CF35" s="39">
        <v>0.25509999999999999</v>
      </c>
      <c r="CG35" s="39">
        <v>183.90010000000001</v>
      </c>
      <c r="CH35" s="39">
        <v>2.5247999999999999</v>
      </c>
      <c r="CI35" s="39">
        <v>-0.92049999999999998</v>
      </c>
      <c r="CJ35" s="40"/>
      <c r="CK35" s="43">
        <f t="shared" ref="CK35" si="825">IF(BO35="","",(BO35-BO$20)*1000)+CK$18</f>
        <v>-0.84707964336416808</v>
      </c>
      <c r="CL35" s="43">
        <f t="shared" ref="CL35" si="826">IF(BP35="","",(BP35-BP$20)*1000)+CL$18</f>
        <v>1.6276339682077534</v>
      </c>
      <c r="CM35" s="43">
        <f t="shared" ref="CM35" si="827">IF(BQ35="","",(BQ35-BQ$20)*1000)+CM$18</f>
        <v>2.2274707964460294</v>
      </c>
      <c r="CN35" s="43">
        <f t="shared" ref="CN35" si="828">IF(BR35="","",(BR35-BR$20)*1000)+CN$18</f>
        <v>-0.43755589766192315</v>
      </c>
      <c r="CO35" s="43">
        <f t="shared" ref="CO35" si="829">IF(BS35="","",(BS35-BS$20)*1000)+CO$18</f>
        <v>1.7775136069007047</v>
      </c>
      <c r="CP35" s="43">
        <f t="shared" ref="CP35" si="830">IF(BT35="","",(BT35-BT$20)*1000)+CP$18</f>
        <v>0.88337555897904929</v>
      </c>
      <c r="CQ35" s="43">
        <f t="shared" ref="CQ35" si="831">IF(BU35="","",(BU35-BU$20)*1000)+CQ$18</f>
        <v>-3.0448854914766343</v>
      </c>
      <c r="CR35" s="43">
        <f t="shared" ref="CR35" si="832">IF(BV35="","",(BV35-BV$20)*1000)+CR$18</f>
        <v>5.5724709854407806</v>
      </c>
      <c r="CS35" s="43">
        <f t="shared" ref="CS35" si="833">IF(BW35="","",(BW35-BW$20)*1000)+CS$18</f>
        <v>-8.397551145071791</v>
      </c>
      <c r="CT35" s="43">
        <f t="shared" ref="CT35" si="834">IF(BX35="","",(BX35-BX$20)*1000)+CT$18</f>
        <v>-14.581202444190922</v>
      </c>
      <c r="CU35" s="43">
        <f t="shared" ref="CU35" si="835">IF(BY35="","",(BY35-BY$20)*1000)+CU$18</f>
        <v>-1.7811089710806638</v>
      </c>
      <c r="CV35" s="43">
        <f t="shared" ref="CV35" si="836">IF(BZ35="","",(BZ35-BZ$20)*1000)+CV$18</f>
        <v>-61.325187975550747</v>
      </c>
      <c r="CW35" s="43">
        <f t="shared" ref="CW35" si="837">IF(CA35="","",(CA35-CA$20)*1000)+CW$18</f>
        <v>9.0063478637603112</v>
      </c>
      <c r="CX35" s="43">
        <f t="shared" ref="CX35" si="838">IF(CB35="","",(CB35-CB$20)*1000)+CX$18</f>
        <v>-10.529753847173806</v>
      </c>
      <c r="CY35" s="43">
        <f t="shared" ref="CY35" si="839">IF(CC35="","",(CC35-CC$20)*1000)+CY$18</f>
        <v>-30.334063478635542</v>
      </c>
      <c r="CZ35" s="43">
        <f t="shared" ref="CZ35" si="840">IF(CD35="","",(CD35-CD$20)*1000)+CZ$18</f>
        <v>0.43446686868264806</v>
      </c>
      <c r="DA35" s="43">
        <f t="shared" ref="DA35" si="841">IF(CE35="","",(CE35-CE$20)*1000)+DA$18</f>
        <v>-20.424604093085552</v>
      </c>
      <c r="DB35" s="43">
        <f t="shared" ref="DB35" si="842">IF(CF35="","",(CF35-CF$20)*1000)+DB$18</f>
        <v>0.33865533131033354</v>
      </c>
      <c r="DC35" s="43">
        <f t="shared" ref="DC35" si="843">IF(CG35="","",(CG35-CG$20)*1000)+DC$18</f>
        <v>11.726345617688594</v>
      </c>
      <c r="DD35" s="43">
        <f t="shared" ref="DD35" si="844">IF(CH35="","",(CH35-CH$20)*1000)+DD$18</f>
        <v>-17.864695174446332</v>
      </c>
      <c r="DE35" s="43">
        <f t="shared" ref="DE35" si="845">IF(CI35="","",(CI35-CI$20)*1000)+DE$18</f>
        <v>-32.399263456176158</v>
      </c>
    </row>
    <row r="36" spans="1:109" ht="29.25" customHeight="1" x14ac:dyDescent="0.2">
      <c r="A36" s="37">
        <v>43738</v>
      </c>
      <c r="B36" s="29">
        <f t="shared" si="10"/>
        <v>80</v>
      </c>
      <c r="C36" s="38">
        <v>206.32</v>
      </c>
      <c r="D36" s="38">
        <f t="shared" ref="D36:D37" si="846">C36-PM</f>
        <v>22.419999999999987</v>
      </c>
      <c r="E36" s="39">
        <v>823233.3763</v>
      </c>
      <c r="F36" s="39">
        <v>1091513.5612000001</v>
      </c>
      <c r="G36" s="39">
        <v>-124.58069999999999</v>
      </c>
      <c r="H36" s="39">
        <v>823233.24979999999</v>
      </c>
      <c r="I36" s="39">
        <v>1091513.7634999999</v>
      </c>
      <c r="J36" s="39">
        <v>-123.4118</v>
      </c>
      <c r="K36" s="39">
        <v>823233.45200000005</v>
      </c>
      <c r="L36" s="39">
        <v>1091513.2897000001</v>
      </c>
      <c r="M36" s="39">
        <v>-121.9684</v>
      </c>
      <c r="N36" s="39">
        <v>823234.10860000004</v>
      </c>
      <c r="O36" s="39">
        <v>1091511.5537</v>
      </c>
      <c r="P36" s="39">
        <v>-121.0521</v>
      </c>
      <c r="Q36" s="39">
        <v>823234.87679999997</v>
      </c>
      <c r="R36" s="39">
        <v>1091510.1469000001</v>
      </c>
      <c r="S36" s="39">
        <v>-121.37350000000001</v>
      </c>
      <c r="T36" s="39">
        <v>823235.48219999997</v>
      </c>
      <c r="U36" s="39">
        <v>1091508.8973999999</v>
      </c>
      <c r="V36" s="39">
        <v>-123.4485</v>
      </c>
      <c r="W36" s="39"/>
      <c r="X36" s="39"/>
      <c r="Y36" s="39"/>
      <c r="Z36" s="39">
        <f t="shared" si="1"/>
        <v>4.1252075705725639</v>
      </c>
      <c r="AA36" s="39">
        <f t="shared" si="2"/>
        <v>3.3449869311190059</v>
      </c>
      <c r="AB36" s="39">
        <f t="shared" si="3"/>
        <v>2.0698853229345899</v>
      </c>
      <c r="AC36" s="39">
        <f t="shared" si="4"/>
        <v>1.6347829947393278</v>
      </c>
      <c r="AD36" s="39">
        <f t="shared" si="5"/>
        <v>3.8321586097920086</v>
      </c>
      <c r="AE36" s="39"/>
      <c r="AF36" s="39">
        <f t="shared" si="7"/>
        <v>3.5015929075159336</v>
      </c>
      <c r="AG36" s="39">
        <f t="shared" si="8"/>
        <v>5.3538664402240537</v>
      </c>
      <c r="AH36" s="39" t="str">
        <f t="shared" si="9"/>
        <v/>
      </c>
      <c r="AI36" s="43">
        <f t="shared" ref="AI36:AI37" si="847">IF(Z36="","",(Z36-Z$20)*1000)+AI$18</f>
        <v>-55.137326655941621</v>
      </c>
      <c r="AJ36" s="43">
        <f t="shared" ref="AJ36:AJ37" si="848">IF(AA36="","",(AA36-AA$20)*1000)+AJ$18</f>
        <v>-46.555656598699088</v>
      </c>
      <c r="AK36" s="43">
        <f t="shared" ref="AK36:AK37" si="849">IF(AB36="","",(AB36-AB$20)*1000)+AK$18</f>
        <v>-28.792318131293683</v>
      </c>
      <c r="AL36" s="43">
        <f t="shared" ref="AL36:AL37" si="850">IF(AC36="","",(AC36-AC$20)*1000)+AL$18</f>
        <v>-15.61414445246556</v>
      </c>
      <c r="AM36" s="43">
        <f t="shared" ref="AM36:AM37" si="851">IF(AD36="","",(AD36-AD$20)*1000)+AM$18</f>
        <v>-54.497810062253734</v>
      </c>
      <c r="AN36" s="43"/>
      <c r="AO36" s="43">
        <f t="shared" ref="AO36:AO37" si="852">IF(AF36="","",(AF36-AF$20)*1000)+AO$18</f>
        <v>-20.797055393628305</v>
      </c>
      <c r="AP36" s="43">
        <f t="shared" ref="AP36:AP37" si="853">IF(AG36="","",(AG36-AG$20)*1000)+AP$18</f>
        <v>-22.665814842411258</v>
      </c>
      <c r="AQ36" s="43"/>
      <c r="AR36" s="40"/>
      <c r="AS36" s="43">
        <f t="shared" ref="AS36:AS37" si="854">IF(E36="","",(E36-E$20)*1000)+AS$18</f>
        <v>-0.3499999875202775</v>
      </c>
      <c r="AT36" s="43">
        <f t="shared" ref="AT36:AT37" si="855">IF(F36="","",(F36-F$20)*1000)+AT$18</f>
        <v>-1.6499999910593033</v>
      </c>
      <c r="AU36" s="43">
        <f t="shared" ref="AU36:AU37" si="856">IF(G36="","",(G36-G$20)*1000)+AU$18</f>
        <v>2.5000000000119371</v>
      </c>
      <c r="AV36" s="43">
        <f t="shared" ref="AV36:AV37" si="857">IF(H36="","",(H36-H$20)*1000)+AV$18</f>
        <v>0.10000006295740604</v>
      </c>
      <c r="AW36" s="43">
        <f t="shared" ref="AW36:AW37" si="858">IF(I36="","",(I36-I$20)*1000)+AW$18</f>
        <v>-2.2500003688037395</v>
      </c>
      <c r="AX36" s="43">
        <f t="shared" ref="AX36:AX37" si="859">IF(J36="","",(J36-J$20)*1000)+AX$18</f>
        <v>1.0500000000064347</v>
      </c>
      <c r="AY36" s="43">
        <f t="shared" ref="AY36:AY37" si="860">IF(K36="","",(K36-K$20)*1000)+AY$18</f>
        <v>-0.54999988060444593</v>
      </c>
      <c r="AZ36" s="43">
        <f t="shared" ref="AZ36:AZ37" si="861">IF(L36="","",(L36-L$20)*1000)+AZ$18</f>
        <v>-7.0000002160668373</v>
      </c>
      <c r="BA36" s="43">
        <f t="shared" ref="BA36:BA37" si="862">IF(M36="","",(M36-M$20)*1000)+BA$18</f>
        <v>-8.2999999999913143</v>
      </c>
      <c r="BB36" s="43">
        <f t="shared" ref="BB36:BB37" si="863">IF(N36="","",(N36-N$20)*1000)+BB$18</f>
        <v>-14.199999975971878</v>
      </c>
      <c r="BC36" s="43">
        <f t="shared" ref="BC36:BC37" si="864">IF(O36="","",(O36-O$20)*1000)+BC$18</f>
        <v>-4.999999888241291</v>
      </c>
      <c r="BD36" s="43">
        <f t="shared" ref="BD36:BD37" si="865">IF(P36="","",(P36-P$20)*1000)+BD$18</f>
        <v>-61.549999999996885</v>
      </c>
      <c r="BE36" s="43">
        <f t="shared" ref="BE36:BE37" si="866">IF(Q36="","",(Q36-Q$20)*1000)+BE$18</f>
        <v>3.3499998971819878</v>
      </c>
      <c r="BF36" s="43">
        <f t="shared" ref="BF36:BF37" si="867">IF(R36="","",(R36-R$20)*1000)+BF$18</f>
        <v>14.100000262260437</v>
      </c>
      <c r="BG36" s="43">
        <f t="shared" ref="BG36:BG37" si="868">IF(S36="","",(S36-S$20)*1000)+BG$18</f>
        <v>-30.350000000012756</v>
      </c>
      <c r="BH36" s="43">
        <f t="shared" ref="BH36:BH37" si="869">IF(T36="","",(T36-T$20)*1000)+BH$18</f>
        <v>-8.4999998798593879</v>
      </c>
      <c r="BI36" s="43">
        <f t="shared" ref="BI36:BI37" si="870">IF(U36="","",(U36-U$20)*1000)+BI$18</f>
        <v>18.750000046566129</v>
      </c>
      <c r="BJ36" s="43">
        <f t="shared" ref="BJ36:BJ37" si="871">IF(V36="","",(V36-V$20)*1000)+BJ$18</f>
        <v>0.50000000001659828</v>
      </c>
      <c r="BK36" s="43"/>
      <c r="BL36" s="43"/>
      <c r="BM36" s="43"/>
      <c r="BN36" s="40"/>
      <c r="BO36" s="39">
        <v>183.96950000000001</v>
      </c>
      <c r="BP36" s="39">
        <v>-2.4331</v>
      </c>
      <c r="BQ36" s="39">
        <v>-0.87749999999999995</v>
      </c>
      <c r="BR36" s="39">
        <v>183.94040000000001</v>
      </c>
      <c r="BS36" s="39">
        <v>-2.6699000000000002</v>
      </c>
      <c r="BT36" s="39">
        <v>0.29170000000000001</v>
      </c>
      <c r="BU36" s="39">
        <v>183.92339999999999</v>
      </c>
      <c r="BV36" s="39">
        <v>-2.1551</v>
      </c>
      <c r="BW36" s="39">
        <v>1.7352000000000001</v>
      </c>
      <c r="BX36" s="39">
        <v>183.78469999999999</v>
      </c>
      <c r="BY36" s="39">
        <v>-0.30420000000000003</v>
      </c>
      <c r="BZ36" s="39">
        <v>2.6528999999999998</v>
      </c>
      <c r="CA36" s="39">
        <v>183.88630000000001</v>
      </c>
      <c r="CB36" s="39">
        <v>1.2954000000000001</v>
      </c>
      <c r="CC36" s="39">
        <v>2.3304999999999998</v>
      </c>
      <c r="CD36" s="39">
        <v>183.90690000000001</v>
      </c>
      <c r="CE36" s="39">
        <v>2.6837</v>
      </c>
      <c r="CF36" s="39">
        <v>0.25530000000000003</v>
      </c>
      <c r="CG36" s="39"/>
      <c r="CH36" s="39"/>
      <c r="CI36" s="39"/>
      <c r="CJ36" s="40"/>
      <c r="CK36" s="43">
        <f t="shared" ref="CK36" si="872">IF(BO36="","",(BO36-BO$20)*1000)+CK$18</f>
        <v>-1.3470796433523446</v>
      </c>
      <c r="CL36" s="43">
        <f t="shared" ref="CL36" si="873">IF(BP36="","",(BP36-BP$20)*1000)+CL$18</f>
        <v>1.7276339682075204</v>
      </c>
      <c r="CM36" s="43">
        <f t="shared" ref="CM36" si="874">IF(BQ36="","",(BQ36-BQ$20)*1000)+CM$18</f>
        <v>2.5274707964461074</v>
      </c>
      <c r="CN36" s="43">
        <f t="shared" ref="CN36" si="875">IF(BR36="","",(BR36-BR$20)*1000)+CN$18</f>
        <v>-0.83755589764678007</v>
      </c>
      <c r="CO36" s="43">
        <f t="shared" ref="CO36" si="876">IF(BS36="","",(BS36-BS$20)*1000)+CO$18</f>
        <v>2.0775136069004496</v>
      </c>
      <c r="CP36" s="43">
        <f t="shared" ref="CP36" si="877">IF(BT36="","",(BT36-BT$20)*1000)+CP$18</f>
        <v>1.0833755589790828</v>
      </c>
      <c r="CQ36" s="43">
        <f t="shared" ref="CQ36" si="878">IF(BU36="","",(BU36-BU$20)*1000)+CQ$18</f>
        <v>-3.144885491479954</v>
      </c>
      <c r="CR36" s="43">
        <f t="shared" ref="CR36" si="879">IF(BV36="","",(BV36-BV$20)*1000)+CR$18</f>
        <v>5.4724709854405695</v>
      </c>
      <c r="CS36" s="43">
        <f t="shared" ref="CS36" si="880">IF(BW36="","",(BW36-BW$20)*1000)+CS$18</f>
        <v>-8.297551145071802</v>
      </c>
      <c r="CT36" s="43">
        <f t="shared" ref="CT36" si="881">IF(BX36="","",(BX36-BX$20)*1000)+CT$18</f>
        <v>-14.881202444200881</v>
      </c>
      <c r="CU36" s="43">
        <f t="shared" ref="CU36" si="882">IF(BY36="","",(BY36-BY$20)*1000)+CU$18</f>
        <v>-1.5811089710806858</v>
      </c>
      <c r="CV36" s="43">
        <f t="shared" ref="CV36" si="883">IF(BZ36="","",(BZ36-BZ$20)*1000)+CV$18</f>
        <v>-61.425187975550962</v>
      </c>
      <c r="CW36" s="43">
        <f t="shared" ref="CW36" si="884">IF(CA36="","",(CA36-CA$20)*1000)+CW$18</f>
        <v>8.5063478637721346</v>
      </c>
      <c r="CX36" s="43">
        <f t="shared" ref="CX36" si="885">IF(CB36="","",(CB36-CB$20)*1000)+CX$18</f>
        <v>-10.629753847173795</v>
      </c>
      <c r="CY36" s="43">
        <f t="shared" ref="CY36" si="886">IF(CC36="","",(CC36-CC$20)*1000)+CY$18</f>
        <v>-30.334063478635542</v>
      </c>
      <c r="CZ36" s="43">
        <f t="shared" ref="CZ36" si="887">IF(CD36="","",(CD36-CD$20)*1000)+CZ$18</f>
        <v>0.23446686867600874</v>
      </c>
      <c r="DA36" s="43">
        <f t="shared" ref="DA36" si="888">IF(CE36="","",(CE36-CE$20)*1000)+DA$18</f>
        <v>-20.62460409308553</v>
      </c>
      <c r="DB36" s="43">
        <f t="shared" ref="DB36" si="889">IF(CF36="","",(CF36-CF$20)*1000)+DB$18</f>
        <v>0.53865533131036702</v>
      </c>
      <c r="DC36" s="43"/>
      <c r="DD36" s="43"/>
      <c r="DE36" s="43"/>
    </row>
    <row r="37" spans="1:109" ht="29.25" customHeight="1" x14ac:dyDescent="0.2">
      <c r="A37" s="37">
        <v>43741</v>
      </c>
      <c r="B37" s="29">
        <f t="shared" si="10"/>
        <v>83</v>
      </c>
      <c r="C37" s="38">
        <v>207.2</v>
      </c>
      <c r="D37" s="38">
        <f t="shared" si="846"/>
        <v>23.299999999999983</v>
      </c>
      <c r="E37" s="39">
        <v>823233.37769999995</v>
      </c>
      <c r="F37" s="39">
        <v>1091513.5617</v>
      </c>
      <c r="G37" s="39">
        <v>-124.5805</v>
      </c>
      <c r="H37" s="39">
        <v>823233.25100000005</v>
      </c>
      <c r="I37" s="39">
        <v>1091513.764</v>
      </c>
      <c r="J37" s="39">
        <v>-123.4115</v>
      </c>
      <c r="K37" s="39">
        <v>823233.45310000004</v>
      </c>
      <c r="L37" s="39">
        <v>1091513.29</v>
      </c>
      <c r="M37" s="39">
        <v>-121.96810000000001</v>
      </c>
      <c r="N37" s="39">
        <v>823234.10959999997</v>
      </c>
      <c r="O37" s="39">
        <v>1091511.554</v>
      </c>
      <c r="P37" s="39">
        <v>-121.0521</v>
      </c>
      <c r="Q37" s="39">
        <v>823234.87809999997</v>
      </c>
      <c r="R37" s="39">
        <v>1091510.1469000001</v>
      </c>
      <c r="S37" s="39">
        <v>-121.3732</v>
      </c>
      <c r="T37" s="39">
        <v>823235.48340000003</v>
      </c>
      <c r="U37" s="39">
        <v>1091508.8973999999</v>
      </c>
      <c r="V37" s="39">
        <v>-123.4483</v>
      </c>
      <c r="W37" s="39">
        <v>823235.40980000002</v>
      </c>
      <c r="X37" s="39">
        <v>1091509.0386999999</v>
      </c>
      <c r="Y37" s="39">
        <v>-124.62390000000001</v>
      </c>
      <c r="Z37" s="39">
        <f t="shared" si="1"/>
        <v>4.1250628431397418</v>
      </c>
      <c r="AA37" s="39">
        <f t="shared" si="2"/>
        <v>3.3448560985036715</v>
      </c>
      <c r="AB37" s="39">
        <f t="shared" si="3"/>
        <v>2.0697208145103483</v>
      </c>
      <c r="AC37" s="39">
        <f t="shared" si="4"/>
        <v>1.6351231971556439</v>
      </c>
      <c r="AD37" s="39">
        <f t="shared" si="5"/>
        <v>3.832313197106354</v>
      </c>
      <c r="AE37" s="39">
        <f t="shared" si="6"/>
        <v>4.557961097967012</v>
      </c>
      <c r="AF37" s="39">
        <f t="shared" si="7"/>
        <v>3.5019435489048987</v>
      </c>
      <c r="AG37" s="39">
        <f t="shared" si="8"/>
        <v>5.3543215779924038</v>
      </c>
      <c r="AH37" s="39">
        <f t="shared" si="9"/>
        <v>4.9587138423876365</v>
      </c>
      <c r="AI37" s="43">
        <f t="shared" si="847"/>
        <v>-55.282054088763743</v>
      </c>
      <c r="AJ37" s="43">
        <f t="shared" si="848"/>
        <v>-46.686489214033514</v>
      </c>
      <c r="AK37" s="43">
        <f t="shared" si="849"/>
        <v>-28.956826555535333</v>
      </c>
      <c r="AL37" s="43">
        <f t="shared" si="850"/>
        <v>-15.2739420361494</v>
      </c>
      <c r="AM37" s="43">
        <f t="shared" si="851"/>
        <v>-54.343222747908371</v>
      </c>
      <c r="AN37" s="43">
        <f t="shared" ref="AN37" si="890">IF(AE37="","",(AE37-AE$20)*1000)+AN$18</f>
        <v>-33.119591926682901</v>
      </c>
      <c r="AO37" s="43">
        <f t="shared" si="852"/>
        <v>-20.446414004663183</v>
      </c>
      <c r="AP37" s="43">
        <f t="shared" si="853"/>
        <v>-22.210677074061103</v>
      </c>
      <c r="AQ37" s="43">
        <f t="shared" ref="AQ37" si="891">IF(AH37="","",(AH37-AH$20)*1000)+AQ$18</f>
        <v>-19.157813907845878</v>
      </c>
      <c r="AR37" s="40"/>
      <c r="AS37" s="43">
        <f t="shared" si="854"/>
        <v>1.0499999625608325</v>
      </c>
      <c r="AT37" s="43">
        <f t="shared" si="855"/>
        <v>-1.1500001419335604</v>
      </c>
      <c r="AU37" s="43">
        <f t="shared" si="856"/>
        <v>2.7000000000043656</v>
      </c>
      <c r="AV37" s="43">
        <f t="shared" si="857"/>
        <v>1.3000001199543476</v>
      </c>
      <c r="AW37" s="43">
        <f t="shared" si="858"/>
        <v>-1.750000286847353</v>
      </c>
      <c r="AX37" s="43">
        <f t="shared" si="859"/>
        <v>1.3500000000021828</v>
      </c>
      <c r="AY37" s="43">
        <f t="shared" si="860"/>
        <v>0.55000011343508959</v>
      </c>
      <c r="AZ37" s="43">
        <f t="shared" si="861"/>
        <v>-6.7000002600252628</v>
      </c>
      <c r="BA37" s="43">
        <f t="shared" si="862"/>
        <v>-7.9999999999955662</v>
      </c>
      <c r="BB37" s="43">
        <f t="shared" si="863"/>
        <v>-13.200000044889748</v>
      </c>
      <c r="BC37" s="43">
        <f t="shared" si="864"/>
        <v>-4.6999999321997166</v>
      </c>
      <c r="BD37" s="43">
        <f t="shared" si="865"/>
        <v>-61.549999999996885</v>
      </c>
      <c r="BE37" s="43">
        <f t="shared" si="866"/>
        <v>4.6499999007210135</v>
      </c>
      <c r="BF37" s="43">
        <f t="shared" si="867"/>
        <v>14.100000262260437</v>
      </c>
      <c r="BG37" s="43">
        <f t="shared" si="868"/>
        <v>-30.050000000002797</v>
      </c>
      <c r="BH37" s="43">
        <f t="shared" si="869"/>
        <v>-7.2999998228624463</v>
      </c>
      <c r="BI37" s="43">
        <f t="shared" si="870"/>
        <v>18.750000046566129</v>
      </c>
      <c r="BJ37" s="43">
        <f t="shared" si="871"/>
        <v>0.70000000000902673</v>
      </c>
      <c r="BK37" s="43">
        <f t="shared" ref="BK37" si="892">IF(W37="","",(W37-W$20)*1000)+BK$18</f>
        <v>4.0000000735744834</v>
      </c>
      <c r="BL37" s="43">
        <f t="shared" ref="BL37" si="893">IF(X37="","",(X37-X$20)*1000)+BL$18</f>
        <v>21.449999883770943</v>
      </c>
      <c r="BM37" s="43">
        <f t="shared" ref="BM37" si="894">IF(Y37="","",(Y37-Y$20)*1000)+BM$18</f>
        <v>-31.800000000004047</v>
      </c>
      <c r="BN37" s="40"/>
      <c r="BO37" s="39">
        <v>183.971</v>
      </c>
      <c r="BP37" s="39">
        <v>-2.4329999999999998</v>
      </c>
      <c r="BQ37" s="39">
        <v>-0.87729999999999997</v>
      </c>
      <c r="BR37" s="39">
        <v>183.9417</v>
      </c>
      <c r="BS37" s="39">
        <v>-2.6699000000000002</v>
      </c>
      <c r="BT37" s="39">
        <v>0.29199999999999998</v>
      </c>
      <c r="BU37" s="39">
        <v>183.92449999999999</v>
      </c>
      <c r="BV37" s="39">
        <v>-2.1549</v>
      </c>
      <c r="BW37" s="39">
        <v>1.7355</v>
      </c>
      <c r="BX37" s="39">
        <v>183.78579999999999</v>
      </c>
      <c r="BY37" s="39">
        <v>-0.30409999999999998</v>
      </c>
      <c r="BZ37" s="39">
        <v>2.6528999999999998</v>
      </c>
      <c r="CA37" s="39">
        <v>183.88749999999999</v>
      </c>
      <c r="CB37" s="39">
        <v>1.296</v>
      </c>
      <c r="CC37" s="39">
        <v>2.3308</v>
      </c>
      <c r="CD37" s="39">
        <v>183.90799999999999</v>
      </c>
      <c r="CE37" s="39">
        <v>2.6842000000000001</v>
      </c>
      <c r="CF37" s="39">
        <v>0.2555</v>
      </c>
      <c r="CG37" s="39">
        <v>183.90100000000001</v>
      </c>
      <c r="CH37" s="39">
        <v>2.5249999999999999</v>
      </c>
      <c r="CI37" s="39">
        <v>-0.92</v>
      </c>
      <c r="CJ37" s="40"/>
      <c r="CK37" s="43">
        <f t="shared" ref="CK37" si="895">IF(BO37="","",(BO37-BO$20)*1000)+CK$18</f>
        <v>0.15292035664060677</v>
      </c>
      <c r="CL37" s="43">
        <f t="shared" ref="CL37" si="896">IF(BP37="","",(BP37-BP$20)*1000)+CL$18</f>
        <v>1.8276339682077314</v>
      </c>
      <c r="CM37" s="43">
        <f t="shared" ref="CM37" si="897">IF(BQ37="","",(BQ37-BQ$20)*1000)+CM$18</f>
        <v>2.7274707964460854</v>
      </c>
      <c r="CN37" s="43">
        <f t="shared" ref="CN37" si="898">IF(BR37="","",(BR37-BR$20)*1000)+CN$18</f>
        <v>0.46244410233953204</v>
      </c>
      <c r="CO37" s="43">
        <f t="shared" ref="CO37" si="899">IF(BS37="","",(BS37-BS$20)*1000)+CO$18</f>
        <v>2.0775136069004496</v>
      </c>
      <c r="CP37" s="43">
        <f t="shared" ref="CP37" si="900">IF(BT37="","",(BT37-BT$20)*1000)+CP$18</f>
        <v>1.3833755589790497</v>
      </c>
      <c r="CQ37" s="43">
        <f t="shared" ref="CQ37" si="901">IF(BU37="","",(BU37-BU$20)*1000)+CQ$18</f>
        <v>-2.0448854914718595</v>
      </c>
      <c r="CR37" s="43">
        <f t="shared" ref="CR37" si="902">IF(BV37="","",(BV37-BV$20)*1000)+CR$18</f>
        <v>5.6724709854405475</v>
      </c>
      <c r="CS37" s="43">
        <f t="shared" ref="CS37" si="903">IF(BW37="","",(BW37-BW$20)*1000)+CS$18</f>
        <v>-7.9975511450718351</v>
      </c>
      <c r="CT37" s="43">
        <f t="shared" ref="CT37" si="904">IF(BX37="","",(BX37-BX$20)*1000)+CT$18</f>
        <v>-13.781202444192786</v>
      </c>
      <c r="CU37" s="43">
        <f t="shared" ref="CU37" si="905">IF(BY37="","",(BY37-BY$20)*1000)+CU$18</f>
        <v>-1.4811089710806413</v>
      </c>
      <c r="CV37" s="43">
        <f t="shared" ref="CV37" si="906">IF(BZ37="","",(BZ37-BZ$20)*1000)+CV$18</f>
        <v>-61.425187975550962</v>
      </c>
      <c r="CW37" s="43">
        <f t="shared" ref="CW37" si="907">IF(CA37="","",(CA37-CA$20)*1000)+CW$18</f>
        <v>9.706347863755127</v>
      </c>
      <c r="CX37" s="43">
        <f t="shared" ref="CX37" si="908">IF(CB37="","",(CB37-CB$20)*1000)+CX$18</f>
        <v>-10.029753847173861</v>
      </c>
      <c r="CY37" s="43">
        <f t="shared" ref="CY37" si="909">IF(CC37="","",(CC37-CC$20)*1000)+CY$18</f>
        <v>-30.034063478635353</v>
      </c>
      <c r="CZ37" s="43">
        <f t="shared" ref="CZ37" si="910">IF(CD37="","",(CD37-CD$20)*1000)+CZ$18</f>
        <v>1.3344668686556815</v>
      </c>
      <c r="DA37" s="43">
        <f t="shared" ref="DA37" si="911">IF(CE37="","",(CE37-CE$20)*1000)+DA$18</f>
        <v>-20.124604093085363</v>
      </c>
      <c r="DB37" s="43">
        <f t="shared" ref="DB37" si="912">IF(CF37="","",(CF37-CF$20)*1000)+DB$18</f>
        <v>0.738655331310345</v>
      </c>
      <c r="DC37" s="43">
        <f t="shared" ref="DC37" si="913">IF(CG37="","",(CG37-CG$20)*1000)+DC$18</f>
        <v>12.626345617690049</v>
      </c>
      <c r="DD37" s="43">
        <f t="shared" ref="DD37" si="914">IF(CH37="","",(CH37-CH$20)*1000)+DD$18</f>
        <v>-17.664695174446354</v>
      </c>
      <c r="DE37" s="43">
        <f t="shared" ref="DE37" si="915">IF(CI37="","",(CI37-CI$20)*1000)+DE$18</f>
        <v>-31.899263456176215</v>
      </c>
    </row>
    <row r="38" spans="1:109" ht="29.25" customHeight="1" x14ac:dyDescent="0.2">
      <c r="A38" s="37">
        <v>43746</v>
      </c>
      <c r="B38" s="29">
        <f t="shared" ref="B38" si="916">A38-A$10</f>
        <v>88</v>
      </c>
      <c r="C38" s="38">
        <v>208.3</v>
      </c>
      <c r="D38" s="38">
        <f t="shared" ref="D38" si="917">C38-PM</f>
        <v>24.400000000000006</v>
      </c>
      <c r="E38" s="39">
        <v>823233.37479999999</v>
      </c>
      <c r="F38" s="39">
        <v>1091513.5639000002</v>
      </c>
      <c r="G38" s="39">
        <v>-124.58023333333334</v>
      </c>
      <c r="H38" s="39">
        <v>823233.24780000001</v>
      </c>
      <c r="I38" s="39">
        <v>1091513.76605</v>
      </c>
      <c r="J38" s="39">
        <v>-123.41111666666666</v>
      </c>
      <c r="K38" s="39">
        <v>823233.45030000003</v>
      </c>
      <c r="L38" s="39">
        <v>1091513.2919166668</v>
      </c>
      <c r="M38" s="39">
        <v>-121.96759999999999</v>
      </c>
      <c r="N38" s="39">
        <v>823234.10726666672</v>
      </c>
      <c r="O38" s="39">
        <v>1091511.5561166664</v>
      </c>
      <c r="P38" s="39">
        <v>-121.05228333333332</v>
      </c>
      <c r="Q38" s="39">
        <v>823234.87654999981</v>
      </c>
      <c r="R38" s="39">
        <v>1091510.1495000001</v>
      </c>
      <c r="S38" s="39">
        <v>-121.373</v>
      </c>
      <c r="T38" s="39">
        <v>823235.48220000009</v>
      </c>
      <c r="U38" s="39">
        <v>1091508.9003999999</v>
      </c>
      <c r="V38" s="39">
        <v>-123.4481</v>
      </c>
      <c r="W38" s="39">
        <v>823235.40925000003</v>
      </c>
      <c r="X38" s="39">
        <v>1091509.0413500001</v>
      </c>
      <c r="Y38" s="39">
        <v>-124.62383333333332</v>
      </c>
      <c r="Z38" s="39">
        <f t="shared" si="1"/>
        <v>4.1248190912734248</v>
      </c>
      <c r="AA38" s="39">
        <f t="shared" si="2"/>
        <v>3.3446349553308719</v>
      </c>
      <c r="AB38" s="39">
        <f t="shared" si="3"/>
        <v>2.0693988119057023</v>
      </c>
      <c r="AC38" s="39">
        <f t="shared" si="4"/>
        <v>1.6350004504344124</v>
      </c>
      <c r="AD38" s="39">
        <f t="shared" si="5"/>
        <v>3.8318677148538218</v>
      </c>
      <c r="AE38" s="39">
        <f t="shared" si="6"/>
        <v>4.5579799680174373</v>
      </c>
      <c r="AF38" s="39">
        <f t="shared" si="7"/>
        <v>3.5017882187842</v>
      </c>
      <c r="AG38" s="39">
        <f t="shared" si="8"/>
        <v>5.354293702279314</v>
      </c>
      <c r="AH38" s="39">
        <f t="shared" si="9"/>
        <v>4.9592687229213048</v>
      </c>
      <c r="AI38" s="43">
        <f t="shared" ref="AI38" si="918">IF(Z38="","",(Z38-Z$20)*1000)+AI$18</f>
        <v>-55.52580595508072</v>
      </c>
      <c r="AJ38" s="43">
        <f t="shared" ref="AJ38" si="919">IF(AA38="","",(AA38-AA$20)*1000)+AJ$18</f>
        <v>-46.907632386833157</v>
      </c>
      <c r="AK38" s="43">
        <f t="shared" ref="AK38" si="920">IF(AB38="","",(AB38-AB$20)*1000)+AK$18</f>
        <v>-29.278829160181321</v>
      </c>
      <c r="AL38" s="43">
        <f t="shared" ref="AL38" si="921">IF(AC38="","",(AC38-AC$20)*1000)+AL$18</f>
        <v>-15.39668875738087</v>
      </c>
      <c r="AM38" s="43">
        <f t="shared" ref="AM38" si="922">IF(AD38="","",(AD38-AD$20)*1000)+AM$18</f>
        <v>-54.78870500044053</v>
      </c>
      <c r="AN38" s="43">
        <f t="shared" ref="AN38" si="923">IF(AE38="","",(AE38-AE$20)*1000)+AN$18</f>
        <v>-33.100721876257566</v>
      </c>
      <c r="AO38" s="43">
        <f t="shared" ref="AO38" si="924">IF(AF38="","",(AF38-AF$20)*1000)+AO$18</f>
        <v>-20.601744125361865</v>
      </c>
      <c r="AP38" s="43">
        <f t="shared" ref="AP38" si="925">IF(AG38="","",(AG38-AG$20)*1000)+AP$18</f>
        <v>-22.238552787150923</v>
      </c>
      <c r="AQ38" s="43">
        <f t="shared" ref="AQ38" si="926">IF(AH38="","",(AH38-AH$20)*1000)+AQ$18</f>
        <v>-18.60293337417751</v>
      </c>
      <c r="AR38" s="40"/>
      <c r="AS38" s="43">
        <f t="shared" ref="AS38" si="927">IF(E38="","",(E38-E$20)*1000)+AS$18</f>
        <v>-1.8500000005587935</v>
      </c>
      <c r="AT38" s="43">
        <f t="shared" ref="AT38" si="928">IF(F38="","",(F38-F$20)*1000)+AT$18</f>
        <v>1.0500000789761543</v>
      </c>
      <c r="AU38" s="43">
        <f t="shared" ref="AU38" si="929">IF(G38="","",(G38-G$20)*1000)+AU$18</f>
        <v>2.9666666666656738</v>
      </c>
      <c r="AV38" s="43">
        <f t="shared" ref="AV38" si="930">IF(H38="","",(H38-H$20)*1000)+AV$18</f>
        <v>-1.8999999156221747</v>
      </c>
      <c r="AW38" s="43">
        <f t="shared" ref="AW38" si="931">IF(I38="","",(I38-I$20)*1000)+AW$18</f>
        <v>0.29999972321093082</v>
      </c>
      <c r="AX38" s="43">
        <f t="shared" ref="AX38" si="932">IF(J38="","",(J38-J$20)*1000)+AX$18</f>
        <v>1.7333333333482415</v>
      </c>
      <c r="AY38" s="43">
        <f t="shared" ref="AY38" si="933">IF(K38="","",(K38-K$20)*1000)+AY$18</f>
        <v>-2.2499999031424522</v>
      </c>
      <c r="AZ38" s="43">
        <f t="shared" ref="AZ38" si="934">IF(L38="","",(L38-L$20)*1000)+AZ$18</f>
        <v>-4.7833335120230913</v>
      </c>
      <c r="BA38" s="43">
        <f t="shared" ref="BA38" si="935">IF(M38="","",(M38-M$20)*1000)+BA$18</f>
        <v>-7.4999999999789679</v>
      </c>
      <c r="BB38" s="43">
        <f t="shared" ref="BB38" si="936">IF(N38="","",(N38-N$20)*1000)+BB$18</f>
        <v>-15.533333295024931</v>
      </c>
      <c r="BC38" s="43">
        <f t="shared" ref="BC38" si="937">IF(O38="","",(O38-O$20)*1000)+BC$18</f>
        <v>-2.5833335239440203</v>
      </c>
      <c r="BD38" s="43">
        <f t="shared" ref="BD38" si="938">IF(P38="","",(P38-P$20)*1000)+BD$18</f>
        <v>-61.733333333322093</v>
      </c>
      <c r="BE38" s="43">
        <f t="shared" ref="BE38" si="939">IF(Q38="","",(Q38-Q$20)*1000)+BE$18</f>
        <v>3.0999997397884727</v>
      </c>
      <c r="BF38" s="43">
        <f t="shared" ref="BF38" si="940">IF(R38="","",(R38-R$20)*1000)+BF$18</f>
        <v>16.700000269338489</v>
      </c>
      <c r="BG38" s="43">
        <f t="shared" ref="BG38" si="941">IF(S38="","",(S38-S$20)*1000)+BG$18</f>
        <v>-29.850000000010368</v>
      </c>
      <c r="BH38" s="43">
        <f t="shared" ref="BH38" si="942">IF(T38="","",(T38-T$20)*1000)+BH$18</f>
        <v>-8.499999763444066</v>
      </c>
      <c r="BI38" s="43">
        <f t="shared" ref="BI38" si="943">IF(U38="","",(U38-U$20)*1000)+BI$18</f>
        <v>21.750000072643161</v>
      </c>
      <c r="BJ38" s="43">
        <f t="shared" ref="BJ38" si="944">IF(V38="","",(V38-V$20)*1000)+BJ$18</f>
        <v>0.90000000001566605</v>
      </c>
      <c r="BK38" s="43">
        <f t="shared" ref="BK38" si="945">IF(W38="","",(W38-W$20)*1000)+BK$18</f>
        <v>3.4500000765547156</v>
      </c>
      <c r="BL38" s="43">
        <f t="shared" ref="BL38" si="946">IF(X38="","",(X38-X$20)*1000)+BL$18</f>
        <v>24.100000038743019</v>
      </c>
      <c r="BM38" s="43">
        <f t="shared" ref="BM38" si="947">IF(Y38="","",(Y38-Y$20)*1000)+BM$18</f>
        <v>-31.733333333320957</v>
      </c>
      <c r="BN38" s="40"/>
      <c r="BO38" s="39">
        <v>183.96929892629586</v>
      </c>
      <c r="BP38" s="39">
        <v>-2.4362191147751204</v>
      </c>
      <c r="BQ38" s="39">
        <v>-0.87704632259629989</v>
      </c>
      <c r="BR38" s="39">
        <v>183.93963893982507</v>
      </c>
      <c r="BS38" s="39">
        <v>-2.6731028575977747</v>
      </c>
      <c r="BT38" s="39">
        <v>0.2923669439350931</v>
      </c>
      <c r="BU38" s="39">
        <v>183.92276967346734</v>
      </c>
      <c r="BV38" s="39">
        <v>-2.1578125554367129</v>
      </c>
      <c r="BW38" s="39">
        <v>1.736052303265339</v>
      </c>
      <c r="BX38" s="39">
        <v>183.78453398077579</v>
      </c>
      <c r="BY38" s="39">
        <v>-0.30700253393123883</v>
      </c>
      <c r="BZ38" s="39">
        <v>2.6527513268589189</v>
      </c>
      <c r="CA38" s="39">
        <v>183.88721998764566</v>
      </c>
      <c r="CB38" s="39">
        <v>1.2929421140600965</v>
      </c>
      <c r="CC38" s="39">
        <v>2.3310078001235297</v>
      </c>
      <c r="CD38" s="39">
        <v>183.90818114160496</v>
      </c>
      <c r="CE38" s="39">
        <v>2.6809707028097232</v>
      </c>
      <c r="CF38" s="39">
        <v>0.2556981885839491</v>
      </c>
      <c r="CG38" s="39">
        <v>183.90163993744903</v>
      </c>
      <c r="CH38" s="39">
        <v>2.5223963741868718</v>
      </c>
      <c r="CI38" s="39">
        <v>-0.91996973270781268</v>
      </c>
      <c r="CJ38" s="40"/>
      <c r="CK38" s="43">
        <f t="shared" ref="CK38" si="948">IF(BO38="","",(BO38-BO$20)*1000)+CK$18</f>
        <v>-1.5481533474996922</v>
      </c>
      <c r="CL38" s="43">
        <f t="shared" ref="CL38" si="949">IF(BP38="","",(BP38-BP$20)*1000)+CL$18</f>
        <v>-1.3914808069128703</v>
      </c>
      <c r="CM38" s="43">
        <f t="shared" ref="CM38" si="950">IF(BQ38="","",(BQ38-BQ$20)*1000)+CM$18</f>
        <v>2.9811482001461664</v>
      </c>
      <c r="CN38" s="43">
        <f t="shared" ref="CN38" si="951">IF(BR38="","",(BR38-BR$20)*1000)+CN$18</f>
        <v>-1.5986160725844911</v>
      </c>
      <c r="CO38" s="43">
        <f t="shared" ref="CO38" si="952">IF(BS38="","",(BS38-BS$20)*1000)+CO$18</f>
        <v>-1.1253439908740503</v>
      </c>
      <c r="CP38" s="43">
        <f t="shared" ref="CP38" si="953">IF(BT38="","",(BT38-BT$20)*1000)+CP$18</f>
        <v>1.7503194940721722</v>
      </c>
      <c r="CQ38" s="43">
        <f t="shared" ref="CQ38" si="954">IF(BU38="","",(BU38-BU$20)*1000)+CQ$18</f>
        <v>-3.7752120241236753</v>
      </c>
      <c r="CR38" s="43">
        <f t="shared" ref="CR38" si="955">IF(BV38="","",(BV38-BV$20)*1000)+CR$18</f>
        <v>2.7599155487276761</v>
      </c>
      <c r="CS38" s="43">
        <f t="shared" ref="CS38" si="956">IF(BW38="","",(BW38-BW$20)*1000)+CS$18</f>
        <v>-7.4452478797328858</v>
      </c>
      <c r="CT38" s="43">
        <f t="shared" ref="CT38" si="957">IF(BX38="","",(BX38-BX$20)*1000)+CT$18</f>
        <v>-15.04722166839656</v>
      </c>
      <c r="CU38" s="43">
        <f t="shared" ref="CU38" si="958">IF(BY38="","",(BY38-BY$20)*1000)+CU$18</f>
        <v>-4.3836429023194903</v>
      </c>
      <c r="CV38" s="43">
        <f t="shared" ref="CV38" si="959">IF(BZ38="","",(BZ38-BZ$20)*1000)+CV$18</f>
        <v>-61.573861116631875</v>
      </c>
      <c r="CW38" s="43">
        <f t="shared" ref="CW38" si="960">IF(CA38="","",(CA38-CA$20)*1000)+CW$18</f>
        <v>9.4263355094312828</v>
      </c>
      <c r="CX38" s="43">
        <f t="shared" ref="CX38" si="961">IF(CB38="","",(CB38-CB$20)*1000)+CX$18</f>
        <v>-13.087639787077388</v>
      </c>
      <c r="CY38" s="43">
        <f t="shared" ref="CY38" si="962">IF(CC38="","",(CC38-CC$20)*1000)+CY$18</f>
        <v>-29.826263355105631</v>
      </c>
      <c r="CZ38" s="43">
        <f t="shared" ref="CZ38" si="963">IF(CD38="","",(CD38-CD$20)*1000)+CZ$18</f>
        <v>1.5156084736247522</v>
      </c>
      <c r="DA38" s="43">
        <f t="shared" ref="DA38" si="964">IF(CE38="","",(CE38-CE$20)*1000)+DA$18</f>
        <v>-23.353901283362344</v>
      </c>
      <c r="DB38" s="43">
        <f t="shared" ref="DB38" si="965">IF(CF38="","",(CF38-CF$20)*1000)+DB$18</f>
        <v>0.93684391525944433</v>
      </c>
      <c r="DC38" s="43">
        <f t="shared" ref="DC38" si="966">IF(CG38="","",(CG38-CG$20)*1000)+DC$18</f>
        <v>13.266283066712958</v>
      </c>
      <c r="DD38" s="43">
        <f t="shared" ref="DD38" si="967">IF(CH38="","",(CH38-CH$20)*1000)+DD$18</f>
        <v>-20.268320987574473</v>
      </c>
      <c r="DE38" s="43">
        <f t="shared" ref="DE38" si="968">IF(CI38="","",(CI38-CI$20)*1000)+DE$18</f>
        <v>-31.868996163988857</v>
      </c>
    </row>
    <row r="39" spans="1:109" ht="29.25" customHeight="1" x14ac:dyDescent="0.2">
      <c r="A39" s="37">
        <v>43753</v>
      </c>
      <c r="B39" s="29">
        <f t="shared" ref="B39:B57" si="969">A39-A$10</f>
        <v>95</v>
      </c>
      <c r="C39" s="38">
        <v>211.45</v>
      </c>
      <c r="D39" s="38">
        <f t="shared" ref="D39:D44" si="970">C39-PM</f>
        <v>27.549999999999983</v>
      </c>
      <c r="E39" s="39">
        <v>823233.37636666663</v>
      </c>
      <c r="F39" s="39">
        <v>1091513.5609833335</v>
      </c>
      <c r="G39" s="39">
        <v>-124.58051666666667</v>
      </c>
      <c r="H39" s="39">
        <v>823233.24993333349</v>
      </c>
      <c r="I39" s="39">
        <v>1091513.7634999997</v>
      </c>
      <c r="J39" s="39">
        <v>-123.41155000000002</v>
      </c>
      <c r="K39" s="39">
        <v>823233.45216666674</v>
      </c>
      <c r="L39" s="39">
        <v>1091513.2895666666</v>
      </c>
      <c r="M39" s="39">
        <v>-121.96845</v>
      </c>
      <c r="N39" s="39">
        <v>823234.10876666661</v>
      </c>
      <c r="O39" s="39">
        <v>1091511.5538666667</v>
      </c>
      <c r="P39" s="39">
        <v>-121.05358333333335</v>
      </c>
      <c r="Q39" s="39">
        <v>823234.8774</v>
      </c>
      <c r="R39" s="39">
        <v>1091510.1472999996</v>
      </c>
      <c r="S39" s="39">
        <v>-121.37368333333335</v>
      </c>
      <c r="T39" s="39">
        <v>823235.48284999991</v>
      </c>
      <c r="U39" s="39">
        <v>1091508.8978500001</v>
      </c>
      <c r="V39" s="39">
        <v>-123.44856666666665</v>
      </c>
      <c r="W39" s="39">
        <v>823235.40938333329</v>
      </c>
      <c r="X39" s="39">
        <v>1091509.0390000001</v>
      </c>
      <c r="Y39" s="39">
        <v>-124.62408333333333</v>
      </c>
      <c r="Z39" s="39">
        <f t="shared" si="1"/>
        <v>4.1236131986088695</v>
      </c>
      <c r="AA39" s="39">
        <f t="shared" si="2"/>
        <v>3.3436628061319413</v>
      </c>
      <c r="AB39" s="39">
        <f t="shared" si="3"/>
        <v>2.0689995328827959</v>
      </c>
      <c r="AC39" s="39">
        <f t="shared" si="4"/>
        <v>1.6345308196212924</v>
      </c>
      <c r="AD39" s="39">
        <f t="shared" si="5"/>
        <v>3.8312497579055123</v>
      </c>
      <c r="AE39" s="39">
        <f t="shared" si="6"/>
        <v>4.5568221728070535</v>
      </c>
      <c r="AF39" s="39">
        <f t="shared" si="7"/>
        <v>3.5012679486762495</v>
      </c>
      <c r="AG39" s="39">
        <f t="shared" si="8"/>
        <v>5.3536750920543277</v>
      </c>
      <c r="AH39" s="39">
        <f t="shared" si="9"/>
        <v>4.9581637819722939</v>
      </c>
      <c r="AI39" s="43">
        <f t="shared" ref="AI39" si="971">IF(Z39="","",(Z39-Z$20)*1000)+AI$18</f>
        <v>-56.731698619636006</v>
      </c>
      <c r="AJ39" s="43">
        <f t="shared" ref="AJ39" si="972">IF(AA39="","",(AA39-AA$20)*1000)+AJ$18</f>
        <v>-47.879781585763666</v>
      </c>
      <c r="AK39" s="43">
        <f t="shared" ref="AK39" si="973">IF(AB39="","",(AB39-AB$20)*1000)+AK$18</f>
        <v>-29.678108183087694</v>
      </c>
      <c r="AL39" s="43">
        <f t="shared" ref="AL39" si="974">IF(AC39="","",(AC39-AC$20)*1000)+AL$18</f>
        <v>-15.866319570500885</v>
      </c>
      <c r="AM39" s="43">
        <f t="shared" ref="AM39" si="975">IF(AD39="","",(AD39-AD$20)*1000)+AM$18</f>
        <v>-55.406661948750099</v>
      </c>
      <c r="AN39" s="43">
        <f t="shared" ref="AN39" si="976">IF(AE39="","",(AE39-AE$20)*1000)+AN$18</f>
        <v>-34.258517086641405</v>
      </c>
      <c r="AO39" s="43">
        <f t="shared" ref="AO39" si="977">IF(AF39="","",(AF39-AF$20)*1000)+AO$18</f>
        <v>-21.122014233312392</v>
      </c>
      <c r="AP39" s="43">
        <f t="shared" ref="AP39" si="978">IF(AG39="","",(AG39-AG$20)*1000)+AP$18</f>
        <v>-22.857163012137249</v>
      </c>
      <c r="AQ39" s="43">
        <f t="shared" ref="AQ39" si="979">IF(AH39="","",(AH39-AH$20)*1000)+AQ$18</f>
        <v>-19.707874323188435</v>
      </c>
      <c r="AR39" s="40"/>
      <c r="AS39" s="43">
        <f t="shared" ref="AS39" si="980">IF(E39="","",(E39-E$20)*1000)+AS$18</f>
        <v>-0.28333335649222136</v>
      </c>
      <c r="AT39" s="43">
        <f t="shared" ref="AT39" si="981">IF(F39="","",(F39-F$20)*1000)+AT$18</f>
        <v>-1.8666666001081467</v>
      </c>
      <c r="AU39" s="43">
        <f t="shared" ref="AU39" si="982">IF(G39="","",(G39-G$20)*1000)+AU$18</f>
        <v>2.6833333333371456</v>
      </c>
      <c r="AV39" s="43">
        <f t="shared" ref="AV39" si="983">IF(H39="","",(H39-H$20)*1000)+AV$18</f>
        <v>0.23333355784416199</v>
      </c>
      <c r="AW39" s="43">
        <f t="shared" ref="AW39" si="984">IF(I39="","",(I39-I$20)*1000)+AW$18</f>
        <v>-2.2500006016343832</v>
      </c>
      <c r="AX39" s="43">
        <f t="shared" ref="AX39" si="985">IF(J39="","",(J39-J$20)*1000)+AX$18</f>
        <v>1.2999999999863121</v>
      </c>
      <c r="AY39" s="43">
        <f t="shared" ref="AY39" si="986">IF(K39="","",(K39-K$20)*1000)+AY$18</f>
        <v>-0.38333318661898375</v>
      </c>
      <c r="AZ39" s="43">
        <f t="shared" ref="AZ39" si="987">IF(L39="","",(L39-L$20)*1000)+AZ$18</f>
        <v>-7.1333337109535933</v>
      </c>
      <c r="BA39" s="43">
        <f t="shared" ref="BA39" si="988">IF(M39="","",(M39-M$20)*1000)+BA$18</f>
        <v>-8.3499999999929742</v>
      </c>
      <c r="BB39" s="43">
        <f t="shared" ref="BB39" si="989">IF(N39="","",(N39-N$20)*1000)+BB$18</f>
        <v>-14.033333398401737</v>
      </c>
      <c r="BC39" s="43">
        <f t="shared" ref="BC39" si="990">IF(O39="","",(O39-O$20)*1000)+BC$18</f>
        <v>-4.8333331942558289</v>
      </c>
      <c r="BD39" s="43">
        <f t="shared" ref="BD39" si="991">IF(P39="","",(P39-P$20)*1000)+BD$18</f>
        <v>-63.033333333351038</v>
      </c>
      <c r="BE39" s="43">
        <f t="shared" ref="BE39" si="992">IF(Q39="","",(Q39-Q$20)*1000)+BE$18</f>
        <v>3.9499999256804585</v>
      </c>
      <c r="BF39" s="43">
        <f t="shared" ref="BF39" si="993">IF(R39="","",(R39-R$20)*1000)+BF$18</f>
        <v>14.49999981559813</v>
      </c>
      <c r="BG39" s="43">
        <f t="shared" ref="BG39" si="994">IF(S39="","",(S39-S$20)*1000)+BG$18</f>
        <v>-30.533333333352175</v>
      </c>
      <c r="BH39" s="43">
        <f t="shared" ref="BH39" si="995">IF(T39="","",(T39-T$20)*1000)+BH$18</f>
        <v>-7.8499999362975359</v>
      </c>
      <c r="BI39" s="43">
        <f t="shared" ref="BI39" si="996">IF(U39="","",(U39-U$20)*1000)+BI$18</f>
        <v>19.200000213459134</v>
      </c>
      <c r="BJ39" s="43">
        <f t="shared" ref="BJ39" si="997">IF(V39="","",(V39-V$20)*1000)+BJ$18</f>
        <v>0.43333333336192936</v>
      </c>
      <c r="BK39" s="43">
        <f t="shared" ref="BK39" si="998">IF(W39="","",(W39-W$20)*1000)+BK$18</f>
        <v>3.5833333386108279</v>
      </c>
      <c r="BL39" s="43">
        <f t="shared" ref="BL39" si="999">IF(X39="","",(X39-X$20)*1000)+BL$18</f>
        <v>21.750000072643161</v>
      </c>
      <c r="BM39" s="43">
        <f t="shared" ref="BM39" si="1000">IF(Y39="","",(Y39-Y$20)*1000)+BM$18</f>
        <v>-31.983333333329256</v>
      </c>
      <c r="BN39" s="40"/>
      <c r="BO39" s="39">
        <v>183.96948604878435</v>
      </c>
      <c r="BP39" s="39">
        <v>-2.4329136081475835</v>
      </c>
      <c r="BQ39" s="39">
        <v>-0.87733152715451013</v>
      </c>
      <c r="BR39" s="39">
        <v>183.94049460022728</v>
      </c>
      <c r="BS39" s="39">
        <v>-2.669890154897268</v>
      </c>
      <c r="BT39" s="39">
        <v>0.29192505399770141</v>
      </c>
      <c r="BU39" s="39">
        <v>183.92346818636315</v>
      </c>
      <c r="BV39" s="39">
        <v>-2.1548938185009874</v>
      </c>
      <c r="BW39" s="39">
        <v>1.7351953181363626</v>
      </c>
      <c r="BX39" s="39">
        <v>183.7849424518725</v>
      </c>
      <c r="BY39" s="39">
        <v>-0.30432939914798302</v>
      </c>
      <c r="BZ39" s="39">
        <v>2.651447242147924</v>
      </c>
      <c r="CA39" s="39">
        <v>183.88706050144194</v>
      </c>
      <c r="CB39" s="39">
        <v>1.2952952112666112</v>
      </c>
      <c r="CC39" s="39">
        <v>2.3303260616522294</v>
      </c>
      <c r="CD39" s="39">
        <v>183.90769246871403</v>
      </c>
      <c r="CE39" s="39">
        <v>2.6835564711409474</v>
      </c>
      <c r="CF39" s="39">
        <v>0.255236408646212</v>
      </c>
      <c r="CG39" s="39">
        <v>183.90076754411496</v>
      </c>
      <c r="CH39" s="39">
        <v>2.5245825140428892</v>
      </c>
      <c r="CI39" s="39">
        <v>-0.92021100877448703</v>
      </c>
      <c r="CJ39" s="40"/>
      <c r="CK39" s="43">
        <f t="shared" ref="CK39" si="1001">IF(BO39="","",(BO39-BO$20)*1000)+CK$18</f>
        <v>-1.3610308590159548</v>
      </c>
      <c r="CL39" s="43">
        <f t="shared" ref="CL39" si="1002">IF(BP39="","",(BP39-BP$20)*1000)+CL$18</f>
        <v>1.9140258206240546</v>
      </c>
      <c r="CM39" s="43">
        <f t="shared" ref="CM39" si="1003">IF(BQ39="","",(BQ39-BQ$20)*1000)+CM$18</f>
        <v>2.6959436419359273</v>
      </c>
      <c r="CN39" s="43">
        <f t="shared" ref="CN39" si="1004">IF(BR39="","",(BR39-BR$20)*1000)+CN$18</f>
        <v>-0.74295567037552246</v>
      </c>
      <c r="CO39" s="43">
        <f t="shared" ref="CO39" si="1005">IF(BS39="","",(BS39-BS$20)*1000)+CO$18</f>
        <v>2.0873587096326141</v>
      </c>
      <c r="CP39" s="43">
        <f t="shared" ref="CP39" si="1006">IF(BT39="","",(BT39-BT$20)*1000)+CP$18</f>
        <v>1.3084295566804793</v>
      </c>
      <c r="CQ39" s="43">
        <f t="shared" ref="CQ39" si="1007">IF(BU39="","",(BU39-BU$20)*1000)+CQ$18</f>
        <v>-3.0766991283144307</v>
      </c>
      <c r="CR39" s="43">
        <f t="shared" ref="CR39" si="1008">IF(BV39="","",(BV39-BV$20)*1000)+CR$18</f>
        <v>5.678652484453206</v>
      </c>
      <c r="CS39" s="43">
        <f t="shared" ref="CS39" si="1009">IF(BW39="","",(BW39-BW$20)*1000)+CS$18</f>
        <v>-8.3022330087092477</v>
      </c>
      <c r="CT39" s="43">
        <f t="shared" ref="CT39" si="1010">IF(BX39="","",(BX39-BX$20)*1000)+CT$18</f>
        <v>-14.638750571691617</v>
      </c>
      <c r="CU39" s="43">
        <f t="shared" ref="CU39" si="1011">IF(BY39="","",(BY39-BY$20)*1000)+CU$18</f>
        <v>-1.7105081190636751</v>
      </c>
      <c r="CV39" s="43">
        <f t="shared" ref="CV39" si="1012">IF(BZ39="","",(BZ39-BZ$20)*1000)+CV$18</f>
        <v>-62.877945827626732</v>
      </c>
      <c r="CW39" s="43">
        <f t="shared" ref="CW39" si="1013">IF(CA39="","",(CA39-CA$20)*1000)+CW$18</f>
        <v>9.2668493057033174</v>
      </c>
      <c r="CX39" s="43">
        <f t="shared" ref="CX39" si="1014">IF(CB39="","",(CB39-CB$20)*1000)+CX$18</f>
        <v>-10.734542580562723</v>
      </c>
      <c r="CY39" s="43">
        <f t="shared" ref="CY39" si="1015">IF(CC39="","",(CC39-CC$20)*1000)+CY$18</f>
        <v>-30.508001826405895</v>
      </c>
      <c r="CZ39" s="43">
        <f t="shared" ref="CZ39" si="1016">IF(CD39="","",(CD39-CD$20)*1000)+CZ$18</f>
        <v>1.0269355827006166</v>
      </c>
      <c r="DA39" s="43">
        <f t="shared" ref="DA39" si="1017">IF(CE39="","",(CE39-CE$20)*1000)+DA$18</f>
        <v>-20.768132952138085</v>
      </c>
      <c r="DB39" s="43">
        <f t="shared" ref="DB39" si="1018">IF(CF39="","",(CF39-CF$20)*1000)+DB$18</f>
        <v>0.47506397752233864</v>
      </c>
      <c r="DC39" s="43">
        <f t="shared" ref="DC39" si="1019">IF(CG39="","",(CG39-CG$20)*1000)+DC$18</f>
        <v>12.393889732635444</v>
      </c>
      <c r="DD39" s="43">
        <f t="shared" ref="DD39" si="1020">IF(CH39="","",(CH39-CH$20)*1000)+DD$18</f>
        <v>-18.082181131557018</v>
      </c>
      <c r="DE39" s="43">
        <f t="shared" ref="DE39" si="1021">IF(CI39="","",(CI39-CI$20)*1000)+DE$18</f>
        <v>-32.110272230663199</v>
      </c>
    </row>
    <row r="40" spans="1:109" ht="29.25" customHeight="1" x14ac:dyDescent="0.2">
      <c r="A40" s="37">
        <v>43756</v>
      </c>
      <c r="B40" s="29">
        <f t="shared" si="969"/>
        <v>98</v>
      </c>
      <c r="C40" s="38">
        <v>213.5</v>
      </c>
      <c r="D40" s="38">
        <f t="shared" si="970"/>
        <v>29.599999999999994</v>
      </c>
      <c r="E40" s="39">
        <v>823233.3774</v>
      </c>
      <c r="F40" s="39">
        <v>1091513.5608999999</v>
      </c>
      <c r="G40" s="39">
        <v>-124.5805</v>
      </c>
      <c r="H40" s="39">
        <v>823233.25060000003</v>
      </c>
      <c r="I40" s="39">
        <v>1091513.7631000001</v>
      </c>
      <c r="J40" s="39">
        <v>-123.4118</v>
      </c>
      <c r="K40" s="39">
        <v>823233.45270000002</v>
      </c>
      <c r="L40" s="39">
        <v>1091513.2890000001</v>
      </c>
      <c r="M40" s="39">
        <v>-121.9689</v>
      </c>
      <c r="N40" s="39">
        <v>823234.10939999996</v>
      </c>
      <c r="O40" s="39">
        <v>1091511.5536</v>
      </c>
      <c r="P40" s="39">
        <v>-121.054</v>
      </c>
      <c r="Q40" s="39">
        <v>823234.87789999996</v>
      </c>
      <c r="R40" s="39">
        <v>1091510.1468</v>
      </c>
      <c r="S40" s="39">
        <v>-121.3741</v>
      </c>
      <c r="T40" s="39">
        <v>823235.48300000001</v>
      </c>
      <c r="U40" s="39">
        <v>1091508.8975</v>
      </c>
      <c r="V40" s="39">
        <v>-123.4487</v>
      </c>
      <c r="W40" s="39">
        <v>823235.40930000006</v>
      </c>
      <c r="X40" s="39">
        <v>1091509.0388</v>
      </c>
      <c r="Y40" s="39">
        <v>-124.6241</v>
      </c>
      <c r="Z40" s="39">
        <f t="shared" si="1"/>
        <v>4.123260789678187</v>
      </c>
      <c r="AA40" s="39">
        <f t="shared" si="2"/>
        <v>3.343448598435482</v>
      </c>
      <c r="AB40" s="39">
        <f t="shared" si="3"/>
        <v>2.0687943494545107</v>
      </c>
      <c r="AC40" s="39">
        <f t="shared" si="4"/>
        <v>1.634668926724981</v>
      </c>
      <c r="AD40" s="39">
        <f t="shared" si="5"/>
        <v>3.8309570945462044</v>
      </c>
      <c r="AE40" s="39">
        <f t="shared" si="6"/>
        <v>4.5562674482829149</v>
      </c>
      <c r="AF40" s="39">
        <f t="shared" si="7"/>
        <v>3.5012002114378524</v>
      </c>
      <c r="AG40" s="39">
        <f t="shared" si="8"/>
        <v>5.353413371973585</v>
      </c>
      <c r="AH40" s="39">
        <f t="shared" si="9"/>
        <v>4.9578127213253005</v>
      </c>
      <c r="AI40" s="43">
        <f t="shared" ref="AI40" si="1022">IF(Z40="","",(Z40-Z$20)*1000)+AI$18</f>
        <v>-57.084107550318564</v>
      </c>
      <c r="AJ40" s="43">
        <f t="shared" ref="AJ40" si="1023">IF(AA40="","",(AA40-AA$20)*1000)+AJ$18</f>
        <v>-48.093989282222971</v>
      </c>
      <c r="AK40" s="43">
        <f t="shared" ref="AK40" si="1024">IF(AB40="","",(AB40-AB$20)*1000)+AK$18</f>
        <v>-29.883291611372933</v>
      </c>
      <c r="AL40" s="43">
        <f t="shared" ref="AL40" si="1025">IF(AC40="","",(AC40-AC$20)*1000)+AL$18</f>
        <v>-15.728212466812328</v>
      </c>
      <c r="AM40" s="43">
        <f t="shared" ref="AM40" si="1026">IF(AD40="","",(AD40-AD$20)*1000)+AM$18</f>
        <v>-55.699325308057993</v>
      </c>
      <c r="AN40" s="43">
        <f t="shared" ref="AN40" si="1027">IF(AE40="","",(AE40-AE$20)*1000)+AN$18</f>
        <v>-34.813241610780032</v>
      </c>
      <c r="AO40" s="43">
        <f t="shared" ref="AO40" si="1028">IF(AF40="","",(AF40-AF$20)*1000)+AO$18</f>
        <v>-21.189751471709428</v>
      </c>
      <c r="AP40" s="43">
        <f t="shared" ref="AP40" si="1029">IF(AG40="","",(AG40-AG$20)*1000)+AP$18</f>
        <v>-23.118883092879905</v>
      </c>
      <c r="AQ40" s="43">
        <f t="shared" ref="AQ40" si="1030">IF(AH40="","",(AH40-AH$20)*1000)+AQ$18</f>
        <v>-20.058934970181852</v>
      </c>
      <c r="AR40" s="40"/>
      <c r="AS40" s="43">
        <f t="shared" ref="AS40" si="1031">IF(E40="","",(E40-E$20)*1000)+AS$18</f>
        <v>0.75000000651925802</v>
      </c>
      <c r="AT40" s="43">
        <f t="shared" ref="AT40" si="1032">IF(F40="","",(F40-F$20)*1000)+AT$18</f>
        <v>-1.9500001799315214</v>
      </c>
      <c r="AU40" s="43">
        <f t="shared" ref="AU40" si="1033">IF(G40="","",(G40-G$20)*1000)+AU$18</f>
        <v>2.7000000000043656</v>
      </c>
      <c r="AV40" s="43">
        <f t="shared" ref="AV40" si="1034">IF(H40="","",(H40-H$20)*1000)+AV$18</f>
        <v>0.90000010095536709</v>
      </c>
      <c r="AW40" s="43">
        <f t="shared" ref="AW40" si="1035">IF(I40="","",(I40-I$20)*1000)+AW$18</f>
        <v>-2.6500001549720764</v>
      </c>
      <c r="AX40" s="43">
        <f t="shared" ref="AX40" si="1036">IF(J40="","",(J40-J$20)*1000)+AX$18</f>
        <v>1.0500000000064347</v>
      </c>
      <c r="AY40" s="43">
        <f t="shared" ref="AY40" si="1037">IF(K40="","",(K40-K$20)*1000)+AY$18</f>
        <v>0.15000009443610907</v>
      </c>
      <c r="AZ40" s="43">
        <f t="shared" ref="AZ40" si="1038">IF(L40="","",(L40-L$20)*1000)+AZ$18</f>
        <v>-7.7000001911073923</v>
      </c>
      <c r="BA40" s="43">
        <f t="shared" ref="BA40" si="1039">IF(M40="","",(M40-M$20)*1000)+BA$18</f>
        <v>-8.7999999999937017</v>
      </c>
      <c r="BB40" s="43">
        <f t="shared" ref="BB40" si="1040">IF(N40="","",(N40-N$20)*1000)+BB$18</f>
        <v>-13.400000054389238</v>
      </c>
      <c r="BC40" s="43">
        <f t="shared" ref="BC40" si="1041">IF(O40="","",(O40-O$20)*1000)+BC$18</f>
        <v>-5.0999999511986971</v>
      </c>
      <c r="BD40" s="43">
        <f t="shared" ref="BD40" si="1042">IF(P40="","",(P40-P$20)*1000)+BD$18</f>
        <v>-63.450000000003115</v>
      </c>
      <c r="BE40" s="43">
        <f t="shared" ref="BE40" si="1043">IF(Q40="","",(Q40-Q$20)*1000)+BE$18</f>
        <v>4.4499998912215233</v>
      </c>
      <c r="BF40" s="43">
        <f t="shared" ref="BF40" si="1044">IF(R40="","",(R40-R$20)*1000)+BF$18</f>
        <v>14.000000199303031</v>
      </c>
      <c r="BG40" s="43">
        <f t="shared" ref="BG40" si="1045">IF(S40="","",(S40-S$20)*1000)+BG$18</f>
        <v>-30.950000000004252</v>
      </c>
      <c r="BH40" s="43">
        <f t="shared" ref="BH40" si="1046">IF(T40="","",(T40-T$20)*1000)+BH$18</f>
        <v>-7.6999998418614268</v>
      </c>
      <c r="BI40" s="43">
        <f t="shared" ref="BI40" si="1047">IF(U40="","",(U40-U$20)*1000)+BI$18</f>
        <v>18.850000109523535</v>
      </c>
      <c r="BJ40" s="43">
        <f t="shared" ref="BJ40" si="1048">IF(V40="","",(V40-V$20)*1000)+BJ$18</f>
        <v>0.30000000000995897</v>
      </c>
      <c r="BK40" s="43">
        <f t="shared" ref="BK40" si="1049">IF(W40="","",(W40-W$20)*1000)+BK$18</f>
        <v>3.5000001080334187</v>
      </c>
      <c r="BL40" s="43">
        <f t="shared" ref="BL40" si="1050">IF(X40="","",(X40-X$20)*1000)+BL$18</f>
        <v>21.549999946728349</v>
      </c>
      <c r="BM40" s="43">
        <f t="shared" ref="BM40" si="1051">IF(Y40="","",(Y40-Y$20)*1000)+BM$18</f>
        <v>-31.999999999996476</v>
      </c>
      <c r="BN40" s="40"/>
      <c r="BO40" s="39">
        <v>183.97038732949036</v>
      </c>
      <c r="BP40" s="39">
        <v>-2.4324013431637677</v>
      </c>
      <c r="BQ40" s="39">
        <v>-0.87732387329491246</v>
      </c>
      <c r="BR40" s="39">
        <v>183.94092973419947</v>
      </c>
      <c r="BS40" s="39">
        <v>-2.6692458705279276</v>
      </c>
      <c r="BT40" s="39">
        <v>0.29167070265799566</v>
      </c>
      <c r="BU40" s="39">
        <v>183.92371203934843</v>
      </c>
      <c r="BV40" s="39">
        <v>-2.1541548387921869</v>
      </c>
      <c r="BW40" s="39">
        <v>1.7347428796065145</v>
      </c>
      <c r="BX40" s="39">
        <v>183.78540372960575</v>
      </c>
      <c r="BY40" s="39">
        <v>-0.30382004157546849</v>
      </c>
      <c r="BZ40" s="39">
        <v>2.6510259627039403</v>
      </c>
      <c r="CA40" s="39">
        <v>183.88730232159241</v>
      </c>
      <c r="CB40" s="39">
        <v>1.2959596829339142</v>
      </c>
      <c r="CC40" s="39">
        <v>2.3299069767840734</v>
      </c>
      <c r="CD40" s="39">
        <v>183.9076804843595</v>
      </c>
      <c r="CE40" s="39">
        <v>2.6839370712937822</v>
      </c>
      <c r="CF40" s="39">
        <v>0.25510319515639424</v>
      </c>
      <c r="CG40" s="39">
        <v>183.90060748941545</v>
      </c>
      <c r="CH40" s="39">
        <v>2.5247285516094222</v>
      </c>
      <c r="CI40" s="39">
        <v>-0.92022607489415975</v>
      </c>
      <c r="CJ40" s="40"/>
      <c r="CK40" s="43">
        <f t="shared" ref="CK40" si="1052">IF(BO40="","",(BO40-BO$20)*1000)+CK$18</f>
        <v>-0.45975015299859479</v>
      </c>
      <c r="CL40" s="43">
        <f t="shared" ref="CL40" si="1053">IF(BP40="","",(BP40-BP$20)*1000)+CL$18</f>
        <v>2.4262908044399012</v>
      </c>
      <c r="CM40" s="43">
        <f t="shared" ref="CM40" si="1054">IF(BQ40="","",(BQ40-BQ$20)*1000)+CM$18</f>
        <v>2.7035975015335945</v>
      </c>
      <c r="CN40" s="43">
        <f t="shared" ref="CN40" si="1055">IF(BR40="","",(BR40-BR$20)*1000)+CN$18</f>
        <v>-0.30782169818621696</v>
      </c>
      <c r="CO40" s="43">
        <f t="shared" ref="CO40" si="1056">IF(BS40="","",(BS40-BS$20)*1000)+CO$18</f>
        <v>2.7316430789730006</v>
      </c>
      <c r="CP40" s="43">
        <f t="shared" ref="CP40" si="1057">IF(BT40="","",(BT40-BT$20)*1000)+CP$18</f>
        <v>1.0540782169747298</v>
      </c>
      <c r="CQ40" s="43">
        <f t="shared" ref="CQ40" si="1058">IF(BU40="","",(BU40-BU$20)*1000)+CQ$18</f>
        <v>-2.8328461430362495</v>
      </c>
      <c r="CR40" s="43">
        <f t="shared" ref="CR40" si="1059">IF(BV40="","",(BV40-BV$20)*1000)+CR$18</f>
        <v>6.4176321932536418</v>
      </c>
      <c r="CS40" s="43">
        <f t="shared" ref="CS40" si="1060">IF(BW40="","",(BW40-BW$20)*1000)+CS$18</f>
        <v>-8.754671538557357</v>
      </c>
      <c r="CT40" s="43">
        <f t="shared" ref="CT40" si="1061">IF(BX40="","",(BX40-BX$20)*1000)+CT$18</f>
        <v>-14.177472838440508</v>
      </c>
      <c r="CU40" s="43">
        <f t="shared" ref="CU40" si="1062">IF(BY40="","",(BY40-BY$20)*1000)+CU$18</f>
        <v>-1.2011505465491512</v>
      </c>
      <c r="CV40" s="43">
        <f t="shared" ref="CV40" si="1063">IF(BZ40="","",(BZ40-BZ$20)*1000)+CV$18</f>
        <v>-63.299225271610467</v>
      </c>
      <c r="CW40" s="43">
        <f t="shared" ref="CW40" si="1064">IF(CA40="","",(CA40-CA$20)*1000)+CW$18</f>
        <v>9.5086694561814511</v>
      </c>
      <c r="CX40" s="43">
        <f t="shared" ref="CX40" si="1065">IF(CB40="","",(CB40-CB$20)*1000)+CX$18</f>
        <v>-10.070070913259732</v>
      </c>
      <c r="CY40" s="43">
        <f t="shared" ref="CY40" si="1066">IF(CC40="","",(CC40-CC$20)*1000)+CY$18</f>
        <v>-30.927086694561901</v>
      </c>
      <c r="CZ40" s="43">
        <f t="shared" ref="CZ40" si="1067">IF(CD40="","",(CD40-CD$20)*1000)+CZ$18</f>
        <v>1.0149512281714124</v>
      </c>
      <c r="DA40" s="43">
        <f t="shared" ref="DA40" si="1068">IF(CE40="","",(CE40-CE$20)*1000)+DA$18</f>
        <v>-20.387532799303276</v>
      </c>
      <c r="DB40" s="43">
        <f t="shared" ref="DB40" si="1069">IF(CF40="","",(CF40-CF$20)*1000)+DB$18</f>
        <v>0.34185048770457582</v>
      </c>
      <c r="DC40" s="43">
        <f t="shared" ref="DC40" si="1070">IF(CG40="","",(CG40-CG$20)*1000)+DC$18</f>
        <v>12.233835033129026</v>
      </c>
      <c r="DD40" s="43">
        <f t="shared" ref="DD40" si="1071">IF(CH40="","",(CH40-CH$20)*1000)+DD$18</f>
        <v>-17.936143565024043</v>
      </c>
      <c r="DE40" s="43">
        <f t="shared" ref="DE40" si="1072">IF(CI40="","",(CI40-CI$20)*1000)+DE$18</f>
        <v>-32.125338350335923</v>
      </c>
    </row>
    <row r="41" spans="1:109" ht="29.25" customHeight="1" x14ac:dyDescent="0.2">
      <c r="A41" s="37">
        <v>43760</v>
      </c>
      <c r="B41" s="29">
        <f t="shared" si="969"/>
        <v>102</v>
      </c>
      <c r="C41" s="38">
        <v>213.98</v>
      </c>
      <c r="D41" s="38">
        <f t="shared" si="970"/>
        <v>30.079999999999984</v>
      </c>
      <c r="E41" s="39">
        <v>823233.3774</v>
      </c>
      <c r="F41" s="39">
        <v>1091513.5612999999</v>
      </c>
      <c r="G41" s="39">
        <v>-124.5805</v>
      </c>
      <c r="H41" s="39">
        <v>823233.25049999997</v>
      </c>
      <c r="I41" s="39">
        <v>1091513.7637</v>
      </c>
      <c r="J41" s="39">
        <v>-123.4119</v>
      </c>
      <c r="K41" s="39">
        <v>823233.45270000002</v>
      </c>
      <c r="L41" s="39">
        <v>1091513.2895</v>
      </c>
      <c r="M41" s="39">
        <v>-121.9691</v>
      </c>
      <c r="N41" s="39">
        <v>823234.10900000005</v>
      </c>
      <c r="O41" s="39">
        <v>1091511.5538999999</v>
      </c>
      <c r="P41" s="39">
        <v>-121.0547</v>
      </c>
      <c r="Q41" s="39">
        <v>823234.87710000004</v>
      </c>
      <c r="R41" s="39">
        <v>1091510.1473999999</v>
      </c>
      <c r="S41" s="39">
        <v>-121.3746</v>
      </c>
      <c r="T41" s="39">
        <v>823235.48250000004</v>
      </c>
      <c r="U41" s="39">
        <v>1091508.8981000001</v>
      </c>
      <c r="V41" s="39">
        <v>-123.44880000000001</v>
      </c>
      <c r="W41" s="39">
        <v>823235.40910000005</v>
      </c>
      <c r="X41" s="39">
        <v>1091509.0396</v>
      </c>
      <c r="Y41" s="39">
        <v>-124.6242</v>
      </c>
      <c r="Z41" s="39">
        <f t="shared" si="1"/>
        <v>4.1226398047965507</v>
      </c>
      <c r="AA41" s="39">
        <f t="shared" si="2"/>
        <v>3.3431467407909907</v>
      </c>
      <c r="AB41" s="39">
        <f t="shared" si="3"/>
        <v>2.0686141278865309</v>
      </c>
      <c r="AC41" s="39">
        <f t="shared" si="4"/>
        <v>1.6341835484714293</v>
      </c>
      <c r="AD41" s="39">
        <f t="shared" si="5"/>
        <v>3.8303381964361525</v>
      </c>
      <c r="AE41" s="39">
        <f t="shared" si="6"/>
        <v>4.5555784209683488</v>
      </c>
      <c r="AF41" s="39">
        <f t="shared" si="7"/>
        <v>3.5007339259647088</v>
      </c>
      <c r="AG41" s="39">
        <f t="shared" si="8"/>
        <v>5.3532465821587882</v>
      </c>
      <c r="AH41" s="39">
        <f t="shared" si="9"/>
        <v>4.9573667878748484</v>
      </c>
      <c r="AI41" s="43">
        <f t="shared" ref="AI41" si="1073">IF(Z41="","",(Z41-Z$20)*1000)+AI$18</f>
        <v>-57.705092431954874</v>
      </c>
      <c r="AJ41" s="43">
        <f t="shared" ref="AJ41" si="1074">IF(AA41="","",(AA41-AA$20)*1000)+AJ$18</f>
        <v>-48.395846926714285</v>
      </c>
      <c r="AK41" s="43">
        <f t="shared" ref="AK41" si="1075">IF(AB41="","",(AB41-AB$20)*1000)+AK$18</f>
        <v>-30.063513179352743</v>
      </c>
      <c r="AL41" s="43">
        <f t="shared" ref="AL41" si="1076">IF(AC41="","",(AC41-AC$20)*1000)+AL$18</f>
        <v>-16.213590720363989</v>
      </c>
      <c r="AM41" s="43">
        <f t="shared" ref="AM41" si="1077">IF(AD41="","",(AD41-AD$20)*1000)+AM$18</f>
        <v>-56.318223418109881</v>
      </c>
      <c r="AN41" s="43">
        <f t="shared" ref="AN41" si="1078">IF(AE41="","",(AE41-AE$20)*1000)+AN$18</f>
        <v>-35.502268925346137</v>
      </c>
      <c r="AO41" s="43">
        <f t="shared" ref="AO41" si="1079">IF(AF41="","",(AF41-AF$20)*1000)+AO$18</f>
        <v>-21.656036944853074</v>
      </c>
      <c r="AP41" s="43">
        <f t="shared" ref="AP41" si="1080">IF(AG41="","",(AG41-AG$20)*1000)+AP$18</f>
        <v>-23.285672907676691</v>
      </c>
      <c r="AQ41" s="43">
        <f t="shared" ref="AQ41" si="1081">IF(AH41="","",(AH41-AH$20)*1000)+AQ$18</f>
        <v>-20.504868420633926</v>
      </c>
      <c r="AR41" s="40"/>
      <c r="AS41" s="43">
        <f t="shared" ref="AS41" si="1082">IF(E41="","",(E41-E$20)*1000)+AS$18</f>
        <v>0.75000000651925802</v>
      </c>
      <c r="AT41" s="43">
        <f t="shared" ref="AT41" si="1083">IF(F41="","",(F41-F$20)*1000)+AT$18</f>
        <v>-1.5500001609325409</v>
      </c>
      <c r="AU41" s="43">
        <f t="shared" ref="AU41" si="1084">IF(G41="","",(G41-G$20)*1000)+AU$18</f>
        <v>2.7000000000043656</v>
      </c>
      <c r="AV41" s="43">
        <f t="shared" ref="AV41" si="1085">IF(H41="","",(H41-H$20)*1000)+AV$18</f>
        <v>0.80000003799796104</v>
      </c>
      <c r="AW41" s="43">
        <f t="shared" ref="AW41" si="1086">IF(I41="","",(I41-I$20)*1000)+AW$18</f>
        <v>-2.0500002428889275</v>
      </c>
      <c r="AX41" s="43">
        <f t="shared" ref="AX41" si="1087">IF(J41="","",(J41-J$20)*1000)+AX$18</f>
        <v>0.95000000000311502</v>
      </c>
      <c r="AY41" s="43">
        <f t="shared" ref="AY41" si="1088">IF(K41="","",(K41-K$20)*1000)+AY$18</f>
        <v>0.15000009443610907</v>
      </c>
      <c r="AZ41" s="43">
        <f t="shared" ref="AZ41" si="1089">IF(L41="","",(L41-L$20)*1000)+AZ$18</f>
        <v>-7.2000003419816494</v>
      </c>
      <c r="BA41" s="43">
        <f t="shared" ref="BA41" si="1090">IF(M41="","",(M41-M$20)*1000)+BA$18</f>
        <v>-8.9999999999861302</v>
      </c>
      <c r="BB41" s="43">
        <f t="shared" ref="BB41" si="1091">IF(N41="","",(N41-N$20)*1000)+BB$18</f>
        <v>-13.799999956972897</v>
      </c>
      <c r="BC41" s="43">
        <f t="shared" ref="BC41" si="1092">IF(O41="","",(O41-O$20)*1000)+BC$18</f>
        <v>-4.7999999951571226</v>
      </c>
      <c r="BD41" s="43">
        <f t="shared" ref="BD41" si="1093">IF(P41="","",(P41-P$20)*1000)+BD$18</f>
        <v>-64.149999999997931</v>
      </c>
      <c r="BE41" s="43">
        <f t="shared" ref="BE41" si="1094">IF(Q41="","",(Q41-Q$20)*1000)+BE$18</f>
        <v>3.6499999696388841</v>
      </c>
      <c r="BF41" s="43">
        <f t="shared" ref="BF41" si="1095">IF(R41="","",(R41-R$20)*1000)+BF$18</f>
        <v>14.60000011138618</v>
      </c>
      <c r="BG41" s="43">
        <f t="shared" ref="BG41" si="1096">IF(S41="","",(S41-S$20)*1000)+BG$18</f>
        <v>-31.450000000006639</v>
      </c>
      <c r="BH41" s="43">
        <f t="shared" ref="BH41" si="1097">IF(T41="","",(T41-T$20)*1000)+BH$18</f>
        <v>-8.1999998074024916</v>
      </c>
      <c r="BI41" s="43">
        <f t="shared" ref="BI41" si="1098">IF(U41="","",(U41-U$20)*1000)+BI$18</f>
        <v>19.450000254437327</v>
      </c>
      <c r="BJ41" s="43">
        <f t="shared" ref="BJ41" si="1099">IF(V41="","",(V41-V$20)*1000)+BJ$18</f>
        <v>0.20000000000663931</v>
      </c>
      <c r="BK41" s="43">
        <f t="shared" ref="BK41" si="1100">IF(W41="","",(W41-W$20)*1000)+BK$18</f>
        <v>3.3000000985339284</v>
      </c>
      <c r="BL41" s="43">
        <f t="shared" ref="BL41" si="1101">IF(X41="","",(X41-X$20)*1000)+BL$18</f>
        <v>22.34999998472631</v>
      </c>
      <c r="BM41" s="43">
        <f t="shared" ref="BM41" si="1102">IF(Y41="","",(Y41-Y$20)*1000)+BM$18</f>
        <v>-32.099999999999795</v>
      </c>
      <c r="BN41" s="40"/>
      <c r="BO41" s="39">
        <v>183.97055639030242</v>
      </c>
      <c r="BP41" s="39">
        <v>-2.4327638600006622</v>
      </c>
      <c r="BQ41" s="39">
        <v>-0.87732556390302818</v>
      </c>
      <c r="BR41" s="39">
        <v>183.94109269610641</v>
      </c>
      <c r="BS41" s="39">
        <v>-2.6698319109053568</v>
      </c>
      <c r="BT41" s="39">
        <v>0.29156907303892865</v>
      </c>
      <c r="BU41" s="39">
        <v>183.92392336528968</v>
      </c>
      <c r="BV41" s="39">
        <v>-2.154607984680049</v>
      </c>
      <c r="BW41" s="39">
        <v>1.7345407663471093</v>
      </c>
      <c r="BX41" s="39">
        <v>183.78516800845884</v>
      </c>
      <c r="BY41" s="39">
        <v>-0.30426098991325884</v>
      </c>
      <c r="BZ41" s="39">
        <v>2.6503283199154168</v>
      </c>
      <c r="CA41" s="39">
        <v>183.88683087919307</v>
      </c>
      <c r="CB41" s="39">
        <v>1.2950777862091774</v>
      </c>
      <c r="CC41" s="39">
        <v>2.3294116912080653</v>
      </c>
      <c r="CD41" s="39">
        <v>183.90748092963349</v>
      </c>
      <c r="CE41" s="39">
        <v>2.6831819699424528</v>
      </c>
      <c r="CF41" s="39">
        <v>0.25500519070365613</v>
      </c>
      <c r="CG41" s="39">
        <v>183.90076435262111</v>
      </c>
      <c r="CH41" s="39">
        <v>2.5239189875296244</v>
      </c>
      <c r="CI41" s="39">
        <v>-0.9203276435262211</v>
      </c>
      <c r="CJ41" s="40"/>
      <c r="CK41" s="43">
        <f t="shared" ref="CK41" si="1103">IF(BO41="","",(BO41-BO$20)*1000)+CK$18</f>
        <v>-0.29068934094311771</v>
      </c>
      <c r="CL41" s="43">
        <f t="shared" ref="CL41" si="1104">IF(BP41="","",(BP41-BP$20)*1000)+CL$18</f>
        <v>2.0637739675453126</v>
      </c>
      <c r="CM41" s="43">
        <f t="shared" ref="CM41" si="1105">IF(BQ41="","",(BQ41-BQ$20)*1000)+CM$18</f>
        <v>2.7019068934178714</v>
      </c>
      <c r="CN41" s="43">
        <f t="shared" ref="CN41" si="1106">IF(BR41="","",(BR41-BR$20)*1000)+CN$18</f>
        <v>-0.14485979124856385</v>
      </c>
      <c r="CO41" s="43">
        <f t="shared" ref="CO41" si="1107">IF(BS41="","",(BS41-BS$20)*1000)+CO$18</f>
        <v>2.1456027015438472</v>
      </c>
      <c r="CP41" s="43">
        <f t="shared" ref="CP41" si="1108">IF(BT41="","",(BT41-BT$20)*1000)+CP$18</f>
        <v>0.95244859790771796</v>
      </c>
      <c r="CQ41" s="43">
        <f t="shared" ref="CQ41" si="1109">IF(BU41="","",(BU41-BU$20)*1000)+CQ$18</f>
        <v>-2.621520201785188</v>
      </c>
      <c r="CR41" s="43">
        <f t="shared" ref="CR41" si="1110">IF(BV41="","",(BV41-BV$20)*1000)+CR$18</f>
        <v>5.964486305391592</v>
      </c>
      <c r="CS41" s="43">
        <f t="shared" ref="CS41" si="1111">IF(BW41="","",(BW41-BW$20)*1000)+CS$18</f>
        <v>-8.9567847979625803</v>
      </c>
      <c r="CT41" s="43">
        <f t="shared" ref="CT41" si="1112">IF(BX41="","",(BX41-BX$20)*1000)+CT$18</f>
        <v>-14.413193985348016</v>
      </c>
      <c r="CU41" s="43">
        <f t="shared" ref="CU41" si="1113">IF(BY41="","",(BY41-BY$20)*1000)+CU$18</f>
        <v>-1.642098884339499</v>
      </c>
      <c r="CV41" s="43">
        <f t="shared" ref="CV41" si="1114">IF(BZ41="","",(BZ41-BZ$20)*1000)+CV$18</f>
        <v>-63.996868060133934</v>
      </c>
      <c r="CW41" s="43">
        <f t="shared" ref="CW41" si="1115">IF(CA41="","",(CA41-CA$20)*1000)+CW$18</f>
        <v>9.0372270568366275</v>
      </c>
      <c r="CX41" s="43">
        <f t="shared" ref="CX41" si="1116">IF(CB41="","",(CB41-CB$20)*1000)+CX$18</f>
        <v>-10.951967637996551</v>
      </c>
      <c r="CY41" s="43">
        <f t="shared" ref="CY41" si="1117">IF(CC41="","",(CC41-CC$20)*1000)+CY$18</f>
        <v>-31.422372270569987</v>
      </c>
      <c r="CZ41" s="43">
        <f t="shared" ref="CZ41" si="1118">IF(CD41="","",(CD41-CD$20)*1000)+CZ$18</f>
        <v>0.81539650216200243</v>
      </c>
      <c r="DA41" s="43">
        <f t="shared" ref="DA41" si="1119">IF(CE41="","",(CE41-CE$20)*1000)+DA$18</f>
        <v>-21.142634150632666</v>
      </c>
      <c r="DB41" s="43">
        <f t="shared" ref="DB41" si="1120">IF(CF41="","",(CF41-CF$20)*1000)+DB$18</f>
        <v>0.24384603496646617</v>
      </c>
      <c r="DC41" s="43">
        <f t="shared" ref="DC41" si="1121">IF(CG41="","",(CG41-CG$20)*1000)+DC$18</f>
        <v>12.390698238789355</v>
      </c>
      <c r="DD41" s="43">
        <f t="shared" ref="DD41" si="1122">IF(CH41="","",(CH41-CH$20)*1000)+DD$18</f>
        <v>-18.745707644821863</v>
      </c>
      <c r="DE41" s="43">
        <f t="shared" ref="DE41" si="1123">IF(CI41="","",(CI41-CI$20)*1000)+DE$18</f>
        <v>-32.226906982397267</v>
      </c>
    </row>
    <row r="42" spans="1:109" ht="29.25" customHeight="1" x14ac:dyDescent="0.2">
      <c r="A42" s="37">
        <v>43762</v>
      </c>
      <c r="B42" s="29">
        <f t="shared" si="969"/>
        <v>104</v>
      </c>
      <c r="C42" s="38">
        <v>215</v>
      </c>
      <c r="D42" s="38">
        <f t="shared" si="970"/>
        <v>31.099999999999994</v>
      </c>
      <c r="E42" s="39">
        <v>823233.38069999998</v>
      </c>
      <c r="F42" s="39">
        <v>1091513.5588</v>
      </c>
      <c r="G42" s="39">
        <v>-124.58069999999999</v>
      </c>
      <c r="H42" s="39">
        <v>823233.25379999995</v>
      </c>
      <c r="I42" s="39">
        <v>1091513.7612999999</v>
      </c>
      <c r="J42" s="39">
        <v>-123.4114</v>
      </c>
      <c r="K42" s="39">
        <v>823233.45589999994</v>
      </c>
      <c r="L42" s="39">
        <v>1091513.2864999999</v>
      </c>
      <c r="M42" s="39">
        <v>-121.9688</v>
      </c>
      <c r="N42" s="39">
        <v>823234.11190000002</v>
      </c>
      <c r="O42" s="39">
        <v>1091511.5508999999</v>
      </c>
      <c r="P42" s="39">
        <v>-121.05459999999999</v>
      </c>
      <c r="Q42" s="39">
        <v>823234.88</v>
      </c>
      <c r="R42" s="39">
        <v>1091510.1439</v>
      </c>
      <c r="S42" s="39">
        <v>-121.374</v>
      </c>
      <c r="T42" s="39">
        <v>823235.48529999994</v>
      </c>
      <c r="U42" s="39">
        <v>1091508.8942</v>
      </c>
      <c r="V42" s="39">
        <v>-123.4486</v>
      </c>
      <c r="W42" s="39">
        <v>823235.41200000001</v>
      </c>
      <c r="X42" s="39">
        <v>1091509.0356999999</v>
      </c>
      <c r="Y42" s="39">
        <v>-124.62439999999999</v>
      </c>
      <c r="Z42" s="39">
        <f t="shared" si="1"/>
        <v>4.1230688886306766</v>
      </c>
      <c r="AA42" s="39">
        <f t="shared" si="2"/>
        <v>3.3431586875349142</v>
      </c>
      <c r="AB42" s="39">
        <f t="shared" si="3"/>
        <v>2.068430564497977</v>
      </c>
      <c r="AC42" s="39">
        <f t="shared" si="4"/>
        <v>1.6345161270755795</v>
      </c>
      <c r="AD42" s="39">
        <f t="shared" si="5"/>
        <v>3.8308639299041838</v>
      </c>
      <c r="AE42" s="39">
        <f t="shared" si="6"/>
        <v>4.5563102495440475</v>
      </c>
      <c r="AF42" s="39">
        <f t="shared" si="7"/>
        <v>3.5011116248382121</v>
      </c>
      <c r="AG42" s="39">
        <f t="shared" si="8"/>
        <v>5.3544036548578893</v>
      </c>
      <c r="AH42" s="39">
        <f t="shared" si="9"/>
        <v>4.9584799073004024</v>
      </c>
      <c r="AI42" s="43">
        <f t="shared" ref="AI42:AI43" si="1124">IF(Z42="","",(Z42-Z$20)*1000)+AI$18</f>
        <v>-57.276008597828998</v>
      </c>
      <c r="AJ42" s="43">
        <f t="shared" ref="AJ42:AJ43" si="1125">IF(AA42="","",(AA42-AA$20)*1000)+AJ$18</f>
        <v>-48.383900182790818</v>
      </c>
      <c r="AK42" s="43">
        <f t="shared" ref="AK42:AK43" si="1126">IF(AB42="","",(AB42-AB$20)*1000)+AK$18</f>
        <v>-30.247076567906596</v>
      </c>
      <c r="AL42" s="43">
        <f t="shared" ref="AL42:AL43" si="1127">IF(AC42="","",(AC42-AC$20)*1000)+AL$18</f>
        <v>-15.881012116213842</v>
      </c>
      <c r="AM42" s="43">
        <f t="shared" ref="AM42:AM43" si="1128">IF(AD42="","",(AD42-AD$20)*1000)+AM$18</f>
        <v>-55.792489950078576</v>
      </c>
      <c r="AN42" s="43">
        <f t="shared" ref="AN42:AN43" si="1129">IF(AE42="","",(AE42-AE$20)*1000)+AN$18</f>
        <v>-34.77044034964738</v>
      </c>
      <c r="AO42" s="43">
        <f t="shared" ref="AO42:AO43" si="1130">IF(AF42="","",(AF42-AF$20)*1000)+AO$18</f>
        <v>-21.278338071349712</v>
      </c>
      <c r="AP42" s="43">
        <f t="shared" ref="AP42:AP43" si="1131">IF(AG42="","",(AG42-AG$20)*1000)+AP$18</f>
        <v>-22.128600208575655</v>
      </c>
      <c r="AQ42" s="43">
        <f t="shared" ref="AQ42:AQ43" si="1132">IF(AH42="","",(AH42-AH$20)*1000)+AQ$18</f>
        <v>-19.391748995079894</v>
      </c>
      <c r="AR42" s="40"/>
      <c r="AS42" s="43">
        <f t="shared" ref="AS42:AS43" si="1133">IF(E42="","",(E42-E$20)*1000)+AS$18</f>
        <v>4.0499999886378646</v>
      </c>
      <c r="AT42" s="43">
        <f t="shared" ref="AT42:AT43" si="1134">IF(F42="","",(F42-F$20)*1000)+AT$18</f>
        <v>-4.0500001050531864</v>
      </c>
      <c r="AU42" s="43">
        <f t="shared" ref="AU42:AU43" si="1135">IF(G42="","",(G42-G$20)*1000)+AU$18</f>
        <v>2.5000000000119371</v>
      </c>
      <c r="AV42" s="43">
        <f t="shared" ref="AV42:AV43" si="1136">IF(H42="","",(H42-H$20)*1000)+AV$18</f>
        <v>4.1000000201165676</v>
      </c>
      <c r="AW42" s="43">
        <f t="shared" ref="AW42:AW43" si="1137">IF(I42="","",(I42-I$20)*1000)+AW$18</f>
        <v>-4.4500003568828106</v>
      </c>
      <c r="AX42" s="43">
        <f t="shared" ref="AX42:AX43" si="1138">IF(J42="","",(J42-J$20)*1000)+AX$18</f>
        <v>1.4500000000055024</v>
      </c>
      <c r="AY42" s="43">
        <f t="shared" ref="AY42:AY43" si="1139">IF(K42="","",(K42-K$20)*1000)+AY$18</f>
        <v>3.3500000135973096</v>
      </c>
      <c r="AZ42" s="43">
        <f t="shared" ref="AZ42:AZ43" si="1140">IF(L42="","",(L42-L$20)*1000)+AZ$18</f>
        <v>-10.200000368058681</v>
      </c>
      <c r="BA42" s="43">
        <f t="shared" ref="BA42:BA43" si="1141">IF(M42="","",(M42-M$20)*1000)+BA$18</f>
        <v>-8.6999999999903821</v>
      </c>
      <c r="BB42" s="43">
        <f t="shared" ref="BB42:BB43" si="1142">IF(N42="","",(N42-N$20)*1000)+BB$18</f>
        <v>-10.899999993853271</v>
      </c>
      <c r="BC42" s="43">
        <f t="shared" ref="BC42:BC43" si="1143">IF(O42="","",(O42-O$20)*1000)+BC$18</f>
        <v>-7.8000000212341547</v>
      </c>
      <c r="BD42" s="43">
        <f t="shared" ref="BD42:BD43" si="1144">IF(P42="","",(P42-P$20)*1000)+BD$18</f>
        <v>-64.049999999994611</v>
      </c>
      <c r="BE42" s="43">
        <f t="shared" ref="BE42:BE43" si="1145">IF(Q42="","",(Q42-Q$20)*1000)+BE$18</f>
        <v>6.5499999327585101</v>
      </c>
      <c r="BF42" s="43">
        <f t="shared" ref="BF42:BF43" si="1146">IF(R42="","",(R42-R$20)*1000)+BF$18</f>
        <v>11.100000236183405</v>
      </c>
      <c r="BG42" s="43">
        <f t="shared" ref="BG42:BG43" si="1147">IF(S42="","",(S42-S$20)*1000)+BG$18</f>
        <v>-30.850000000000932</v>
      </c>
      <c r="BH42" s="43">
        <f t="shared" ref="BH42:BH43" si="1148">IF(T42="","",(T42-T$20)*1000)+BH$18</f>
        <v>-5.3999999072402716</v>
      </c>
      <c r="BI42" s="43">
        <f t="shared" ref="BI42:BI43" si="1149">IF(U42="","",(U42-U$20)*1000)+BI$18</f>
        <v>15.550000127404928</v>
      </c>
      <c r="BJ42" s="43">
        <f t="shared" ref="BJ42:BJ43" si="1150">IF(V42="","",(V42-V$20)*1000)+BJ$18</f>
        <v>0.40000000001327862</v>
      </c>
      <c r="BK42" s="43">
        <f t="shared" ref="BK42:BK43" si="1151">IF(W42="","",(W42-W$20)*1000)+BK$18</f>
        <v>6.2000000616535544</v>
      </c>
      <c r="BL42" s="43">
        <f t="shared" ref="BL42:BL43" si="1152">IF(X42="","",(X42-X$20)*1000)+BL$18</f>
        <v>18.449999857693911</v>
      </c>
      <c r="BM42" s="43">
        <f t="shared" ref="BM42:BM43" si="1153">IF(Y42="","",(Y42-Y$20)*1000)+BM$18</f>
        <v>-32.299999999992224</v>
      </c>
      <c r="BN42" s="40"/>
      <c r="BO42" s="39">
        <v>183.97249052404683</v>
      </c>
      <c r="BP42" s="39">
        <v>-2.4291033783026768</v>
      </c>
      <c r="BQ42" s="39">
        <v>-0.87754490524046957</v>
      </c>
      <c r="BR42" s="39">
        <v>183.94306909498002</v>
      </c>
      <c r="BS42" s="39">
        <v>-2.6662620582583241</v>
      </c>
      <c r="BT42" s="39">
        <v>0.29204930905019921</v>
      </c>
      <c r="BU42" s="39">
        <v>183.92555554373246</v>
      </c>
      <c r="BV42" s="39">
        <v>-2.1505366221108244</v>
      </c>
      <c r="BW42" s="39">
        <v>1.7348244445626761</v>
      </c>
      <c r="BX42" s="39">
        <v>183.7865282993267</v>
      </c>
      <c r="BY42" s="39">
        <v>-0.30031642292847777</v>
      </c>
      <c r="BZ42" s="39">
        <v>2.6504147170067398</v>
      </c>
      <c r="CA42" s="39">
        <v>183.88797984411963</v>
      </c>
      <c r="CB42" s="39">
        <v>1.2994754990817909</v>
      </c>
      <c r="CC42" s="39">
        <v>2.3300002015588035</v>
      </c>
      <c r="CD42" s="39">
        <v>183.90837020438764</v>
      </c>
      <c r="CE42" s="39">
        <v>2.6878999346353689</v>
      </c>
      <c r="CF42" s="39">
        <v>0.2551962979561182</v>
      </c>
      <c r="CG42" s="39">
        <v>183.90174425663719</v>
      </c>
      <c r="CH42" s="39">
        <v>2.5286792174501631</v>
      </c>
      <c r="CI42" s="39">
        <v>-0.9205374425663706</v>
      </c>
      <c r="CJ42" s="40"/>
      <c r="CK42" s="43">
        <f t="shared" ref="CK42:CK43" si="1154">IF(BO42="","",(BO42-BO$20)*1000)+CK$18</f>
        <v>1.6434444034700846</v>
      </c>
      <c r="CL42" s="43">
        <f t="shared" ref="CL42:CL43" si="1155">IF(BP42="","",(BP42-BP$20)*1000)+CL$18</f>
        <v>5.7242556655308086</v>
      </c>
      <c r="CM42" s="43">
        <f t="shared" ref="CM42:CM43" si="1156">IF(BQ42="","",(BQ42-BQ$20)*1000)+CM$18</f>
        <v>2.4825655559764792</v>
      </c>
      <c r="CN42" s="43">
        <f t="shared" ref="CN42:CN43" si="1157">IF(BR42="","",(BR42-BR$20)*1000)+CN$18</f>
        <v>1.8315390823602229</v>
      </c>
      <c r="CO42" s="43">
        <f t="shared" ref="CO42:CO43" si="1158">IF(BS42="","",(BS42-BS$20)*1000)+CO$18</f>
        <v>5.7154553485765369</v>
      </c>
      <c r="CP42" s="43">
        <f t="shared" ref="CP42:CP43" si="1159">IF(BT42="","",(BT42-BT$20)*1000)+CP$18</f>
        <v>1.4326846091782808</v>
      </c>
      <c r="CQ42" s="43">
        <f t="shared" ref="CQ42:CQ43" si="1160">IF(BU42="","",(BU42-BU$20)*1000)+CQ$18</f>
        <v>-0.98934175900922128</v>
      </c>
      <c r="CR42" s="43">
        <f t="shared" ref="CR42:CR43" si="1161">IF(BV42="","",(BV42-BV$20)*1000)+CR$18</f>
        <v>10.035848874616171</v>
      </c>
      <c r="CS42" s="43">
        <f t="shared" ref="CS42:CS43" si="1162">IF(BW42="","",(BW42-BW$20)*1000)+CS$18</f>
        <v>-8.6731065823957287</v>
      </c>
      <c r="CT42" s="43">
        <f t="shared" ref="CT42:CT43" si="1163">IF(BX42="","",(BX42-BX$20)*1000)+CT$18</f>
        <v>-13.052903117483083</v>
      </c>
      <c r="CU42" s="43">
        <f t="shared" ref="CU42:CU43" si="1164">IF(BY42="","",(BY42-BY$20)*1000)+CU$18</f>
        <v>2.3024681004415735</v>
      </c>
      <c r="CV42" s="43">
        <f t="shared" ref="CV42:CV43" si="1165">IF(BZ42="","",(BZ42-BZ$20)*1000)+CV$18</f>
        <v>-63.910470968810969</v>
      </c>
      <c r="CW42" s="43">
        <f t="shared" ref="CW42:CW43" si="1166">IF(CA42="","",(CA42-CA$20)*1000)+CW$18</f>
        <v>10.186191983393655</v>
      </c>
      <c r="CX42" s="43">
        <f t="shared" ref="CX42:CX43" si="1167">IF(CB42="","",(CB42-CB$20)*1000)+CX$18</f>
        <v>-6.5542547653829608</v>
      </c>
      <c r="CY42" s="43">
        <f t="shared" ref="CY42:CY43" si="1168">IF(CC42="","",(CC42-CC$20)*1000)+CY$18</f>
        <v>-30.83386191983184</v>
      </c>
      <c r="CZ42" s="43">
        <f t="shared" ref="CZ42:CZ43" si="1169">IF(CD42="","",(CD42-CD$20)*1000)+CZ$18</f>
        <v>1.7046712563058009</v>
      </c>
      <c r="DA42" s="43">
        <f t="shared" ref="DA42:DA43" si="1170">IF(CE42="","",(CE42-CE$20)*1000)+DA$18</f>
        <v>-16.42466945771659</v>
      </c>
      <c r="DB42" s="43">
        <f t="shared" ref="DB42:DB43" si="1171">IF(CF42="","",(CF42-CF$20)*1000)+DB$18</f>
        <v>0.43495328742854111</v>
      </c>
      <c r="DC42" s="43">
        <f t="shared" ref="DC42:DC43" si="1172">IF(CG42="","",(CG42-CG$20)*1000)+DC$18</f>
        <v>13.370602254866526</v>
      </c>
      <c r="DD42" s="43">
        <f t="shared" ref="DD42:DD43" si="1173">IF(CH42="","",(CH42-CH$20)*1000)+DD$18</f>
        <v>-13.985477724283157</v>
      </c>
      <c r="DE42" s="43">
        <f t="shared" ref="DE42:DE43" si="1174">IF(CI42="","",(CI42-CI$20)*1000)+DE$18</f>
        <v>-32.436706022546772</v>
      </c>
    </row>
    <row r="43" spans="1:109" ht="29.25" customHeight="1" x14ac:dyDescent="0.2">
      <c r="A43" s="37">
        <v>43766</v>
      </c>
      <c r="B43" s="29">
        <f t="shared" si="969"/>
        <v>108</v>
      </c>
      <c r="C43" s="38">
        <v>215.56</v>
      </c>
      <c r="D43" s="38">
        <f t="shared" si="970"/>
        <v>31.659999999999997</v>
      </c>
      <c r="E43" s="39">
        <v>823233.37699999998</v>
      </c>
      <c r="F43" s="39">
        <v>1091513.5636</v>
      </c>
      <c r="G43" s="39">
        <v>-124.5809</v>
      </c>
      <c r="H43" s="39">
        <v>823233.25009999995</v>
      </c>
      <c r="I43" s="39">
        <v>1091513.7660999999</v>
      </c>
      <c r="J43" s="39">
        <v>-123.4117</v>
      </c>
      <c r="K43" s="39">
        <v>823233.45209999999</v>
      </c>
      <c r="L43" s="39">
        <v>1091513.2914</v>
      </c>
      <c r="M43" s="39">
        <v>-121.9688</v>
      </c>
      <c r="N43" s="39">
        <v>823234.10800000001</v>
      </c>
      <c r="O43" s="39">
        <v>1091511.5556999999</v>
      </c>
      <c r="P43" s="39">
        <v>-121.0553</v>
      </c>
      <c r="Q43" s="39">
        <v>823234.87749999994</v>
      </c>
      <c r="R43" s="39">
        <v>1091510.149</v>
      </c>
      <c r="S43" s="39">
        <v>-121.3745</v>
      </c>
      <c r="T43" s="39">
        <v>823235.48259999999</v>
      </c>
      <c r="U43" s="39">
        <v>1091508.9003999999</v>
      </c>
      <c r="V43" s="39">
        <v>-123.4492</v>
      </c>
      <c r="W43" s="39">
        <v>823235.4094</v>
      </c>
      <c r="X43" s="39">
        <v>1091509.0414</v>
      </c>
      <c r="Y43" s="39">
        <v>-124.6249</v>
      </c>
      <c r="Z43" s="39">
        <f t="shared" si="1"/>
        <v>4.1226058228237497</v>
      </c>
      <c r="AA43" s="39">
        <f t="shared" si="2"/>
        <v>3.342825381323975</v>
      </c>
      <c r="AB43" s="39">
        <f t="shared" si="3"/>
        <v>2.0681734816705668</v>
      </c>
      <c r="AC43" s="39">
        <f t="shared" si="4"/>
        <v>1.6348772980615467</v>
      </c>
      <c r="AD43" s="39">
        <f t="shared" si="5"/>
        <v>3.8302611477368886</v>
      </c>
      <c r="AE43" s="39">
        <f t="shared" si="6"/>
        <v>4.5560279421445156</v>
      </c>
      <c r="AF43" s="39">
        <f t="shared" si="7"/>
        <v>3.5013762165650837</v>
      </c>
      <c r="AG43" s="39">
        <f t="shared" si="8"/>
        <v>5.3535501295732359</v>
      </c>
      <c r="AH43" s="39">
        <f t="shared" si="9"/>
        <v>4.9581124029376715</v>
      </c>
      <c r="AI43" s="43">
        <f t="shared" si="1124"/>
        <v>-57.739074404755897</v>
      </c>
      <c r="AJ43" s="43">
        <f t="shared" si="1125"/>
        <v>-48.717206393730009</v>
      </c>
      <c r="AK43" s="43">
        <f t="shared" si="1126"/>
        <v>-30.504159395316812</v>
      </c>
      <c r="AL43" s="43">
        <f t="shared" si="1127"/>
        <v>-15.519841130246624</v>
      </c>
      <c r="AM43" s="43">
        <f t="shared" si="1128"/>
        <v>-56.395272117373722</v>
      </c>
      <c r="AN43" s="43">
        <f t="shared" si="1129"/>
        <v>-35.052747749179325</v>
      </c>
      <c r="AO43" s="43">
        <f t="shared" si="1130"/>
        <v>-21.013746344478168</v>
      </c>
      <c r="AP43" s="43">
        <f t="shared" si="1131"/>
        <v>-22.982125493228978</v>
      </c>
      <c r="AQ43" s="43">
        <f t="shared" si="1132"/>
        <v>-19.759253357810813</v>
      </c>
      <c r="AR43" s="40"/>
      <c r="AS43" s="43">
        <f t="shared" si="1133"/>
        <v>0.3499999875202775</v>
      </c>
      <c r="AT43" s="43">
        <f t="shared" si="1134"/>
        <v>0.7499998901039362</v>
      </c>
      <c r="AU43" s="43">
        <f t="shared" si="1135"/>
        <v>2.3000000000052978</v>
      </c>
      <c r="AV43" s="43">
        <f t="shared" si="1136"/>
        <v>0.40000001899898052</v>
      </c>
      <c r="AW43" s="43">
        <f t="shared" si="1137"/>
        <v>0.34999963827431202</v>
      </c>
      <c r="AX43" s="43">
        <f t="shared" si="1138"/>
        <v>1.1500000000097543</v>
      </c>
      <c r="AY43" s="43">
        <f t="shared" si="1139"/>
        <v>-0.44999993406236172</v>
      </c>
      <c r="AZ43" s="43">
        <f t="shared" si="1140"/>
        <v>-5.3000003099441528</v>
      </c>
      <c r="BA43" s="43">
        <f t="shared" si="1141"/>
        <v>-8.6999999999903821</v>
      </c>
      <c r="BB43" s="43">
        <f t="shared" si="1142"/>
        <v>-14.800000004470348</v>
      </c>
      <c r="BC43" s="43">
        <f t="shared" si="1143"/>
        <v>-3.0000000260770321</v>
      </c>
      <c r="BD43" s="43">
        <f t="shared" si="1144"/>
        <v>-64.750000000003638</v>
      </c>
      <c r="BE43" s="43">
        <f t="shared" si="1145"/>
        <v>4.0499998722225428</v>
      </c>
      <c r="BF43" s="43">
        <f t="shared" si="1146"/>
        <v>16.200000187382102</v>
      </c>
      <c r="BG43" s="43">
        <f t="shared" si="1147"/>
        <v>-31.35000000000332</v>
      </c>
      <c r="BH43" s="43">
        <f t="shared" si="1148"/>
        <v>-8.0999998608604074</v>
      </c>
      <c r="BI43" s="43">
        <f t="shared" si="1149"/>
        <v>21.750000072643161</v>
      </c>
      <c r="BJ43" s="43">
        <f t="shared" si="1150"/>
        <v>-0.19999999999242846</v>
      </c>
      <c r="BK43" s="43">
        <f t="shared" si="1151"/>
        <v>3.6000000545755029</v>
      </c>
      <c r="BL43" s="43">
        <f t="shared" si="1152"/>
        <v>24.1499999538064</v>
      </c>
      <c r="BM43" s="43">
        <f t="shared" si="1153"/>
        <v>-32.799999999994611</v>
      </c>
      <c r="BN43" s="40"/>
      <c r="BO43" s="39">
        <v>183.97116597311035</v>
      </c>
      <c r="BP43" s="39">
        <v>-2.4350173925720315</v>
      </c>
      <c r="BQ43" s="39">
        <v>-0.87773165973111134</v>
      </c>
      <c r="BR43" s="39">
        <v>183.94174454404353</v>
      </c>
      <c r="BS43" s="39">
        <v>-2.6721760725277064</v>
      </c>
      <c r="BT43" s="39">
        <v>0.29176255455956834</v>
      </c>
      <c r="BU43" s="39">
        <v>183.9241826288671</v>
      </c>
      <c r="BV43" s="39">
        <v>-2.156583530820587</v>
      </c>
      <c r="BW43" s="39">
        <v>1.7348381737113243</v>
      </c>
      <c r="BX43" s="39">
        <v>183.78502248997174</v>
      </c>
      <c r="BY43" s="39">
        <v>-0.30631496760389015</v>
      </c>
      <c r="BZ43" s="39">
        <v>2.6497297751002833</v>
      </c>
      <c r="CA43" s="39">
        <v>183.88786963917272</v>
      </c>
      <c r="CB43" s="39">
        <v>1.2937967796245247</v>
      </c>
      <c r="CC43" s="39">
        <v>2.3295013036082679</v>
      </c>
      <c r="CD43" s="39">
        <v>183.90854365833633</v>
      </c>
      <c r="CE43" s="39">
        <v>2.68113976357257</v>
      </c>
      <c r="CF43" s="39">
        <v>0.25459456341663156</v>
      </c>
      <c r="CG43" s="39">
        <v>183.90179701380112</v>
      </c>
      <c r="CH43" s="39">
        <v>2.5224144574535896</v>
      </c>
      <c r="CI43" s="39">
        <v>-0.92103797013801625</v>
      </c>
      <c r="CJ43" s="40"/>
      <c r="CK43" s="43">
        <f t="shared" si="1154"/>
        <v>0.31889346698221743</v>
      </c>
      <c r="CL43" s="43">
        <f t="shared" si="1155"/>
        <v>-0.18975860382397514</v>
      </c>
      <c r="CM43" s="43">
        <f t="shared" si="1156"/>
        <v>2.2958110653347186</v>
      </c>
      <c r="CN43" s="43">
        <f t="shared" si="1157"/>
        <v>0.50698814587235574</v>
      </c>
      <c r="CO43" s="43">
        <f t="shared" si="1158"/>
        <v>-0.1985589208057803</v>
      </c>
      <c r="CP43" s="43">
        <f t="shared" si="1159"/>
        <v>1.1459301185474113</v>
      </c>
      <c r="CQ43" s="43">
        <f t="shared" si="1160"/>
        <v>-2.3622566243659548</v>
      </c>
      <c r="CR43" s="43">
        <f t="shared" si="1161"/>
        <v>3.9889401648536271</v>
      </c>
      <c r="CS43" s="43">
        <f t="shared" si="1162"/>
        <v>-8.6593774337475615</v>
      </c>
      <c r="CT43" s="43">
        <f t="shared" si="1163"/>
        <v>-14.558712472449997</v>
      </c>
      <c r="CU43" s="43">
        <f t="shared" si="1164"/>
        <v>-3.6960765749708138</v>
      </c>
      <c r="CV43" s="43">
        <f t="shared" si="1165"/>
        <v>-64.595412875267485</v>
      </c>
      <c r="CW43" s="43">
        <f t="shared" si="1166"/>
        <v>10.075987036486822</v>
      </c>
      <c r="CX43" s="43">
        <f t="shared" si="1167"/>
        <v>-12.23297422264924</v>
      </c>
      <c r="CY43" s="43">
        <f t="shared" si="1168"/>
        <v>-31.332759870367433</v>
      </c>
      <c r="CZ43" s="43">
        <f t="shared" si="1169"/>
        <v>1.878125204996195</v>
      </c>
      <c r="DA43" s="43">
        <f t="shared" si="1170"/>
        <v>-23.184840520515504</v>
      </c>
      <c r="DB43" s="43">
        <f t="shared" si="1171"/>
        <v>-0.16678125205810135</v>
      </c>
      <c r="DC43" s="43">
        <f t="shared" si="1172"/>
        <v>13.423359418794689</v>
      </c>
      <c r="DD43" s="43">
        <f t="shared" si="1173"/>
        <v>-20.250237720856656</v>
      </c>
      <c r="DE43" s="43">
        <f t="shared" si="1174"/>
        <v>-32.937233594192421</v>
      </c>
    </row>
    <row r="44" spans="1:109" ht="29.25" customHeight="1" x14ac:dyDescent="0.2">
      <c r="A44" s="37">
        <v>43769</v>
      </c>
      <c r="B44" s="29">
        <f t="shared" si="969"/>
        <v>111</v>
      </c>
      <c r="C44" s="38">
        <v>216.87</v>
      </c>
      <c r="D44" s="38">
        <f t="shared" si="970"/>
        <v>32.97</v>
      </c>
      <c r="E44" s="39">
        <v>823233.37919999997</v>
      </c>
      <c r="F44" s="39">
        <v>1091513.5604000001</v>
      </c>
      <c r="G44" s="39">
        <v>-124.5804</v>
      </c>
      <c r="H44" s="39">
        <v>823233.25249999994</v>
      </c>
      <c r="I44" s="39">
        <v>1091513.7629</v>
      </c>
      <c r="J44" s="39">
        <v>-123.4111</v>
      </c>
      <c r="K44" s="39">
        <v>823233.45449999999</v>
      </c>
      <c r="L44" s="39">
        <v>1091513.2884</v>
      </c>
      <c r="M44" s="39">
        <v>-121.9683</v>
      </c>
      <c r="N44" s="39">
        <v>823234.11010000005</v>
      </c>
      <c r="O44" s="39">
        <v>1091511.5523999999</v>
      </c>
      <c r="P44" s="39">
        <v>-121.05459999999999</v>
      </c>
      <c r="Q44" s="39">
        <v>823234.87840000005</v>
      </c>
      <c r="R44" s="39">
        <v>1091510.1455999999</v>
      </c>
      <c r="S44" s="39">
        <v>-121.374</v>
      </c>
      <c r="T44" s="39">
        <v>823235.48340000003</v>
      </c>
      <c r="U44" s="39">
        <v>1091508.8961</v>
      </c>
      <c r="V44" s="39">
        <v>-123.44840000000001</v>
      </c>
      <c r="W44" s="39">
        <v>823235.41029999999</v>
      </c>
      <c r="X44" s="39">
        <v>1091509.0374</v>
      </c>
      <c r="Y44" s="39">
        <v>-124.62390000000001</v>
      </c>
      <c r="Z44" s="39">
        <f t="shared" si="1"/>
        <v>4.1228078357730089</v>
      </c>
      <c r="AA44" s="39">
        <f t="shared" si="2"/>
        <v>3.3428850205141001</v>
      </c>
      <c r="AB44" s="39">
        <f t="shared" si="3"/>
        <v>2.0684184901006906</v>
      </c>
      <c r="AC44" s="39">
        <f t="shared" si="4"/>
        <v>1.6344379737345818</v>
      </c>
      <c r="AD44" s="39">
        <f t="shared" si="5"/>
        <v>3.8304256969019677</v>
      </c>
      <c r="AE44" s="39">
        <f t="shared" si="6"/>
        <v>4.555836644275983</v>
      </c>
      <c r="AF44" s="39">
        <f t="shared" si="7"/>
        <v>3.501124896421377</v>
      </c>
      <c r="AG44" s="39">
        <f t="shared" si="8"/>
        <v>5.3538816143033756</v>
      </c>
      <c r="AH44" s="39">
        <f t="shared" si="9"/>
        <v>4.9583049987363292</v>
      </c>
      <c r="AI44" s="43">
        <f t="shared" ref="AI44" si="1175">IF(Z44="","",(Z44-Z$20)*1000)+AI$18</f>
        <v>-57.537061455496641</v>
      </c>
      <c r="AJ44" s="43">
        <f t="shared" ref="AJ44" si="1176">IF(AA44="","",(AA44-AA$20)*1000)+AJ$18</f>
        <v>-48.657567203604927</v>
      </c>
      <c r="AK44" s="43">
        <f t="shared" ref="AK44" si="1177">IF(AB44="","",(AB44-AB$20)*1000)+AK$18</f>
        <v>-30.259150965193051</v>
      </c>
      <c r="AL44" s="43">
        <f t="shared" ref="AL44" si="1178">IF(AC44="","",(AC44-AC$20)*1000)+AL$18</f>
        <v>-15.959165457211542</v>
      </c>
      <c r="AM44" s="43">
        <f t="shared" ref="AM44" si="1179">IF(AD44="","",(AD44-AD$20)*1000)+AM$18</f>
        <v>-56.230722952294698</v>
      </c>
      <c r="AN44" s="43">
        <f t="shared" ref="AN44" si="1180">IF(AE44="","",(AE44-AE$20)*1000)+AN$18</f>
        <v>-35.244045617711883</v>
      </c>
      <c r="AO44" s="43">
        <f t="shared" ref="AO44" si="1181">IF(AF44="","",(AF44-AF$20)*1000)+AO$18</f>
        <v>-21.265066488184825</v>
      </c>
      <c r="AP44" s="43">
        <f t="shared" ref="AP44" si="1182">IF(AG44="","",(AG44-AG$20)*1000)+AP$18</f>
        <v>-22.650640763089314</v>
      </c>
      <c r="AQ44" s="43">
        <f t="shared" ref="AQ44" si="1183">IF(AH44="","",(AH44-AH$20)*1000)+AQ$18</f>
        <v>-19.5666575591531</v>
      </c>
      <c r="AR44" s="40"/>
      <c r="AS44" s="43">
        <f t="shared" ref="AS44" si="1184">IF(E44="","",(E44-E$20)*1000)+AS$18</f>
        <v>2.5499999755993485</v>
      </c>
      <c r="AT44" s="43">
        <f t="shared" ref="AT44" si="1185">IF(F44="","",(F44-F$20)*1000)+AT$18</f>
        <v>-2.4500000290572643</v>
      </c>
      <c r="AU44" s="43">
        <f t="shared" ref="AU44" si="1186">IF(G44="","",(G44-G$20)*1000)+AU$18</f>
        <v>2.8000000000076852</v>
      </c>
      <c r="AV44" s="43">
        <f t="shared" ref="AV44" si="1187">IF(H44="","",(H44-H$20)*1000)+AV$18</f>
        <v>2.8000000165775418</v>
      </c>
      <c r="AW44" s="43">
        <f t="shared" ref="AW44" si="1188">IF(I44="","",(I44-I$20)*1000)+AW$18</f>
        <v>-2.8500002808868885</v>
      </c>
      <c r="AX44" s="43">
        <f t="shared" ref="AX44" si="1189">IF(J44="","",(J44-J$20)*1000)+AX$18</f>
        <v>1.7500000000012506</v>
      </c>
      <c r="AY44" s="43">
        <f t="shared" ref="AY44" si="1190">IF(K44="","",(K44-K$20)*1000)+AY$18</f>
        <v>1.9500000635161996</v>
      </c>
      <c r="AZ44" s="43">
        <f t="shared" ref="AZ44" si="1191">IF(L44="","",(L44-L$20)*1000)+AZ$18</f>
        <v>-8.3000003360211849</v>
      </c>
      <c r="BA44" s="43">
        <f t="shared" ref="BA44" si="1192">IF(M44="","",(M44-M$20)*1000)+BA$18</f>
        <v>-8.1999999999879947</v>
      </c>
      <c r="BB44" s="43">
        <f t="shared" ref="BB44" si="1193">IF(N44="","",(N44-N$20)*1000)+BB$18</f>
        <v>-12.699999962933362</v>
      </c>
      <c r="BC44" s="43">
        <f t="shared" ref="BC44" si="1194">IF(O44="","",(O44-O$20)*1000)+BC$18</f>
        <v>-6.3000000081956387</v>
      </c>
      <c r="BD44" s="43">
        <f t="shared" ref="BD44" si="1195">IF(P44="","",(P44-P$20)*1000)+BD$18</f>
        <v>-64.049999999994611</v>
      </c>
      <c r="BE44" s="43">
        <f t="shared" ref="BE44" si="1196">IF(Q44="","",(Q44-Q$20)*1000)+BE$18</f>
        <v>4.9499999731779099</v>
      </c>
      <c r="BF44" s="43">
        <f t="shared" ref="BF44" si="1197">IF(R44="","",(R44-R$20)*1000)+BF$18</f>
        <v>12.800000142306089</v>
      </c>
      <c r="BG44" s="43">
        <f t="shared" ref="BG44" si="1198">IF(S44="","",(S44-S$20)*1000)+BG$18</f>
        <v>-30.850000000000932</v>
      </c>
      <c r="BH44" s="43">
        <f t="shared" ref="BH44" si="1199">IF(T44="","",(T44-T$20)*1000)+BH$18</f>
        <v>-7.2999998228624463</v>
      </c>
      <c r="BI44" s="43">
        <f t="shared" ref="BI44" si="1200">IF(U44="","",(U44-U$20)*1000)+BI$18</f>
        <v>17.450000159442425</v>
      </c>
      <c r="BJ44" s="43">
        <f t="shared" ref="BJ44" si="1201">IF(V44="","",(V44-V$20)*1000)+BJ$18</f>
        <v>0.60000000000570708</v>
      </c>
      <c r="BK44" s="43">
        <f t="shared" ref="BK44" si="1202">IF(W44="","",(W44-W$20)*1000)+BK$18</f>
        <v>4.5000000391155481</v>
      </c>
      <c r="BL44" s="43">
        <f t="shared" ref="BL44" si="1203">IF(X44="","",(X44-X$20)*1000)+BL$18</f>
        <v>20.149999996647239</v>
      </c>
      <c r="BM44" s="43">
        <f t="shared" ref="BM44" si="1204">IF(Y44="","",(Y44-Y$20)*1000)+BM$18</f>
        <v>-31.800000000004047</v>
      </c>
      <c r="BN44" s="40"/>
      <c r="BO44" s="39">
        <v>183.97180732920955</v>
      </c>
      <c r="BP44" s="39">
        <v>-2.4311874236708539</v>
      </c>
      <c r="BQ44" s="39">
        <v>-0.8772380732920908</v>
      </c>
      <c r="BR44" s="39">
        <v>183.94256715856119</v>
      </c>
      <c r="BS44" s="39">
        <v>-2.6682615732204722</v>
      </c>
      <c r="BT44" s="39">
        <v>0.29235432841437614</v>
      </c>
      <c r="BU44" s="39">
        <v>183.92508977374158</v>
      </c>
      <c r="BV44" s="39">
        <v>-2.1528502898262589</v>
      </c>
      <c r="BW44" s="39">
        <v>1.7353291022625825</v>
      </c>
      <c r="BX44" s="39">
        <v>183.78553095168687</v>
      </c>
      <c r="BY44" s="39">
        <v>-0.30243663461909676</v>
      </c>
      <c r="BZ44" s="39">
        <v>2.6504246904831348</v>
      </c>
      <c r="CA44" s="39">
        <v>183.88724828525508</v>
      </c>
      <c r="CB44" s="39">
        <v>1.2972585594842221</v>
      </c>
      <c r="CC44" s="39">
        <v>2.3300075171474504</v>
      </c>
      <c r="CD44" s="39">
        <v>183.90745128840337</v>
      </c>
      <c r="CE44" s="39">
        <v>2.6853749409293903</v>
      </c>
      <c r="CF44" s="39">
        <v>0.25540548711595079</v>
      </c>
      <c r="CG44" s="39">
        <v>183.90092206860908</v>
      </c>
      <c r="CH44" s="39">
        <v>2.5264200124139577</v>
      </c>
      <c r="CI44" s="39">
        <v>-0.9200292206861036</v>
      </c>
      <c r="CJ44" s="40"/>
      <c r="CK44" s="43">
        <f t="shared" ref="CK44" si="1205">IF(BO44="","",(BO44-BO$20)*1000)+CK$18</f>
        <v>0.96024956619089608</v>
      </c>
      <c r="CL44" s="43">
        <f t="shared" ref="CL44" si="1206">IF(BP44="","",(BP44-BP$20)*1000)+CL$18</f>
        <v>3.6402102973536188</v>
      </c>
      <c r="CM44" s="43">
        <f t="shared" ref="CM44" si="1207">IF(BQ44="","",(BQ44-BQ$20)*1000)+CM$18</f>
        <v>2.789397504355251</v>
      </c>
      <c r="CN44" s="43">
        <f t="shared" ref="CN44" si="1208">IF(BR44="","",(BR44-BR$20)*1000)+CN$18</f>
        <v>1.3296026635316593</v>
      </c>
      <c r="CO44" s="43">
        <f t="shared" ref="CO44" si="1209">IF(BS44="","",(BS44-BS$20)*1000)+CO$18</f>
        <v>3.715940386428418</v>
      </c>
      <c r="CP44" s="43">
        <f t="shared" ref="CP44" si="1210">IF(BT44="","",(BT44-BT$20)*1000)+CP$18</f>
        <v>1.7377039733552091</v>
      </c>
      <c r="CQ44" s="43">
        <f t="shared" ref="CQ44" si="1211">IF(BU44="","",(BU44-BU$20)*1000)+CQ$18</f>
        <v>-1.4551117498911026</v>
      </c>
      <c r="CR44" s="43">
        <f t="shared" ref="CR44" si="1212">IF(BV44="","",(BV44-BV$20)*1000)+CR$18</f>
        <v>7.7221811591816625</v>
      </c>
      <c r="CS44" s="43">
        <f t="shared" ref="CS44" si="1213">IF(BW44="","",(BW44-BW$20)*1000)+CS$18</f>
        <v>-8.1684488824893542</v>
      </c>
      <c r="CT44" s="43">
        <f t="shared" ref="CT44" si="1214">IF(BX44="","",(BX44-BX$20)*1000)+CT$18</f>
        <v>-14.050250757321692</v>
      </c>
      <c r="CU44" s="43">
        <f t="shared" ref="CU44" si="1215">IF(BY44="","",(BY44-BY$20)*1000)+CU$18</f>
        <v>0.18225640982258429</v>
      </c>
      <c r="CV44" s="43">
        <f t="shared" ref="CV44" si="1216">IF(BZ44="","",(BZ44-BZ$20)*1000)+CV$18</f>
        <v>-63.900497492415994</v>
      </c>
      <c r="CW44" s="43">
        <f t="shared" ref="CW44" si="1217">IF(CA44="","",(CA44-CA$20)*1000)+CW$18</f>
        <v>9.4546331188496424</v>
      </c>
      <c r="CX44" s="43">
        <f t="shared" ref="CX44" si="1218">IF(CB44="","",(CB44-CB$20)*1000)+CX$18</f>
        <v>-8.7711943629518174</v>
      </c>
      <c r="CY44" s="43">
        <f t="shared" ref="CY44" si="1219">IF(CC44="","",(CC44-CC$20)*1000)+CY$18</f>
        <v>-30.826546331184979</v>
      </c>
      <c r="CZ44" s="43">
        <f t="shared" ref="CZ44" si="1220">IF(CD44="","",(CD44-CD$20)*1000)+CZ$18</f>
        <v>0.78575527203383899</v>
      </c>
      <c r="DA44" s="43">
        <f t="shared" ref="DA44" si="1221">IF(CE44="","",(CE44-CE$20)*1000)+DA$18</f>
        <v>-18.949663163695174</v>
      </c>
      <c r="DB44" s="43">
        <f t="shared" ref="DB44" si="1222">IF(CF44="","",(CF44-CF$20)*1000)+DB$18</f>
        <v>0.64414244726113123</v>
      </c>
      <c r="DC44" s="43">
        <f t="shared" ref="DC44" si="1223">IF(CG44="","",(CG44-CG$20)*1000)+DC$18</f>
        <v>12.548414226756677</v>
      </c>
      <c r="DD44" s="43">
        <f t="shared" ref="DD44" si="1224">IF(CH44="","",(CH44-CH$20)*1000)+DD$18</f>
        <v>-16.244682760488516</v>
      </c>
      <c r="DE44" s="43">
        <f t="shared" ref="DE44" si="1225">IF(CI44="","",(CI44-CI$20)*1000)+DE$18</f>
        <v>-31.928484142279775</v>
      </c>
    </row>
    <row r="45" spans="1:109" ht="29.25" customHeight="1" x14ac:dyDescent="0.2">
      <c r="A45" s="37">
        <v>43774</v>
      </c>
      <c r="B45" s="29">
        <f t="shared" si="969"/>
        <v>116</v>
      </c>
      <c r="C45" s="38">
        <v>217.87</v>
      </c>
      <c r="D45" s="38">
        <f t="shared" ref="D45:D52" si="1226">C45-PM</f>
        <v>33.97</v>
      </c>
      <c r="E45" s="39">
        <v>823233.37589999998</v>
      </c>
      <c r="F45" s="39">
        <v>1091513.5626999999</v>
      </c>
      <c r="G45" s="39">
        <v>-124.57989999999999</v>
      </c>
      <c r="H45" s="39">
        <v>823233.24950000003</v>
      </c>
      <c r="I45" s="39">
        <v>1091513.7653999999</v>
      </c>
      <c r="J45" s="39">
        <v>-123.411</v>
      </c>
      <c r="K45" s="39">
        <v>823233.45140000002</v>
      </c>
      <c r="L45" s="39">
        <v>1091513.291</v>
      </c>
      <c r="M45" s="39">
        <v>-121.9688</v>
      </c>
      <c r="N45" s="39">
        <v>823234.10759999999</v>
      </c>
      <c r="O45" s="39">
        <v>1091511.5559</v>
      </c>
      <c r="P45" s="39">
        <v>-121.0553</v>
      </c>
      <c r="Q45" s="39">
        <v>823234.87609999999</v>
      </c>
      <c r="R45" s="39">
        <v>1091510.1495000001</v>
      </c>
      <c r="S45" s="39">
        <v>-121.37430000000001</v>
      </c>
      <c r="T45" s="39">
        <v>823235.48179999995</v>
      </c>
      <c r="U45" s="39">
        <v>1091508.9005</v>
      </c>
      <c r="V45" s="39">
        <v>-123.4481</v>
      </c>
      <c r="W45" s="39">
        <v>823235.40819999995</v>
      </c>
      <c r="X45" s="39">
        <v>1091509.0419999999</v>
      </c>
      <c r="Y45" s="39">
        <v>-124.62350000000001</v>
      </c>
      <c r="Z45" s="39">
        <f t="shared" si="1"/>
        <v>4.1213391378814013</v>
      </c>
      <c r="AA45" s="39">
        <f t="shared" si="2"/>
        <v>3.3417881963694605</v>
      </c>
      <c r="AB45" s="39">
        <f t="shared" si="3"/>
        <v>2.0677651461722384</v>
      </c>
      <c r="AC45" s="39">
        <f t="shared" si="4"/>
        <v>1.6341096076906123</v>
      </c>
      <c r="AD45" s="39">
        <f t="shared" si="5"/>
        <v>3.8294995286779732</v>
      </c>
      <c r="AE45" s="39">
        <f t="shared" si="6"/>
        <v>4.5544818377701306</v>
      </c>
      <c r="AF45" s="39">
        <f t="shared" si="7"/>
        <v>3.5003174983656096</v>
      </c>
      <c r="AG45" s="39">
        <f t="shared" si="8"/>
        <v>5.3527368428610211</v>
      </c>
      <c r="AH45" s="39">
        <f t="shared" si="9"/>
        <v>4.9566997831007038</v>
      </c>
      <c r="AI45" s="43">
        <f t="shared" ref="AI45" si="1227">IF(Z45="","",(Z45-Z$20)*1000)+AI$18</f>
        <v>-59.005759347104281</v>
      </c>
      <c r="AJ45" s="43">
        <f t="shared" ref="AJ45" si="1228">IF(AA45="","",(AA45-AA$20)*1000)+AJ$18</f>
        <v>-49.754391348244553</v>
      </c>
      <c r="AK45" s="43">
        <f t="shared" ref="AK45" si="1229">IF(AB45="","",(AB45-AB$20)*1000)+AK$18</f>
        <v>-30.912494893645228</v>
      </c>
      <c r="AL45" s="43">
        <f t="shared" ref="AL45" si="1230">IF(AC45="","",(AC45-AC$20)*1000)+AL$18</f>
        <v>-16.287531501181007</v>
      </c>
      <c r="AM45" s="43">
        <f t="shared" ref="AM45" si="1231">IF(AD45="","",(AD45-AD$20)*1000)+AM$18</f>
        <v>-57.156891176289193</v>
      </c>
      <c r="AN45" s="43">
        <f t="shared" ref="AN45" si="1232">IF(AE45="","",(AE45-AE$20)*1000)+AN$18</f>
        <v>-36.598852123564285</v>
      </c>
      <c r="AO45" s="43">
        <f t="shared" ref="AO45" si="1233">IF(AF45="","",(AF45-AF$20)*1000)+AO$18</f>
        <v>-22.072464543952286</v>
      </c>
      <c r="AP45" s="43">
        <f t="shared" ref="AP45" si="1234">IF(AG45="","",(AG45-AG$20)*1000)+AP$18</f>
        <v>-23.795412205443789</v>
      </c>
      <c r="AQ45" s="43">
        <f t="shared" ref="AQ45" si="1235">IF(AH45="","",(AH45-AH$20)*1000)+AQ$18</f>
        <v>-21.171873194778534</v>
      </c>
      <c r="AR45" s="40"/>
      <c r="AS45" s="43">
        <f t="shared" ref="AS45" si="1236">IF(E45="","",(E45-E$20)*1000)+AS$18</f>
        <v>-0.75000000651925802</v>
      </c>
      <c r="AT45" s="43">
        <f t="shared" ref="AT45" si="1237">IF(F45="","",(F45-F$20)*1000)+AT$18</f>
        <v>-0.15000021085143089</v>
      </c>
      <c r="AU45" s="43">
        <f t="shared" ref="AU45" si="1238">IF(G45="","",(G45-G$20)*1000)+AU$18</f>
        <v>3.3000000000100727</v>
      </c>
      <c r="AV45" s="43">
        <f t="shared" ref="AV45" si="1239">IF(H45="","",(H45-H$20)*1000)+AV$18</f>
        <v>-0.19999989308416843</v>
      </c>
      <c r="AW45" s="43">
        <f t="shared" ref="AW45" si="1240">IF(I45="","",(I45-I$20)*1000)+AW$18</f>
        <v>-0.35000033676624298</v>
      </c>
      <c r="AX45" s="43">
        <f t="shared" ref="AX45" si="1241">IF(J45="","",(J45-J$20)*1000)+AX$18</f>
        <v>1.8500000000045702</v>
      </c>
      <c r="AY45" s="43">
        <f t="shared" ref="AY45" si="1242">IF(K45="","",(K45-K$20)*1000)+AY$18</f>
        <v>-1.1499999091029167</v>
      </c>
      <c r="AZ45" s="43">
        <f t="shared" ref="AZ45" si="1243">IF(L45="","",(L45-L$20)*1000)+AZ$18</f>
        <v>-5.7000003289431334</v>
      </c>
      <c r="BA45" s="43">
        <f t="shared" ref="BA45" si="1244">IF(M45="","",(M45-M$20)*1000)+BA$18</f>
        <v>-8.6999999999903821</v>
      </c>
      <c r="BB45" s="43">
        <f t="shared" ref="BB45" si="1245">IF(N45="","",(N45-N$20)*1000)+BB$18</f>
        <v>-15.200000023469329</v>
      </c>
      <c r="BC45" s="43">
        <f t="shared" ref="BC45" si="1246">IF(O45="","",(O45-O$20)*1000)+BC$18</f>
        <v>-2.79999990016222</v>
      </c>
      <c r="BD45" s="43">
        <f t="shared" ref="BD45" si="1247">IF(P45="","",(P45-P$20)*1000)+BD$18</f>
        <v>-64.750000000003638</v>
      </c>
      <c r="BE45" s="43">
        <f t="shared" ref="BE45" si="1248">IF(Q45="","",(Q45-Q$20)*1000)+BE$18</f>
        <v>2.6499999221414328</v>
      </c>
      <c r="BF45" s="43">
        <f t="shared" ref="BF45" si="1249">IF(R45="","",(R45-R$20)*1000)+BF$18</f>
        <v>16.700000269338489</v>
      </c>
      <c r="BG45" s="43">
        <f t="shared" ref="BG45" si="1250">IF(S45="","",(S45-S$20)*1000)+BG$18</f>
        <v>-31.150000000010891</v>
      </c>
      <c r="BH45" s="43">
        <f t="shared" ref="BH45" si="1251">IF(T45="","",(T45-T$20)*1000)+BH$18</f>
        <v>-8.8999998988583684</v>
      </c>
      <c r="BI45" s="43">
        <f t="shared" ref="BI45" si="1252">IF(U45="","",(U45-U$20)*1000)+BI$18</f>
        <v>21.850000135600567</v>
      </c>
      <c r="BJ45" s="43">
        <f t="shared" ref="BJ45" si="1253">IF(V45="","",(V45-V$20)*1000)+BJ$18</f>
        <v>0.90000000001566605</v>
      </c>
      <c r="BK45" s="43">
        <f t="shared" ref="BK45" si="1254">IF(W45="","",(W45-W$20)*1000)+BK$18</f>
        <v>2.3999999975785613</v>
      </c>
      <c r="BL45" s="43">
        <f t="shared" ref="BL45" si="1255">IF(X45="","",(X45-X$20)*1000)+BL$18</f>
        <v>24.749999865889549</v>
      </c>
      <c r="BM45" s="43">
        <f t="shared" ref="BM45" si="1256">IF(Y45="","",(Y45-Y$20)*1000)+BM$18</f>
        <v>-31.400000000004979</v>
      </c>
      <c r="BN45" s="40"/>
      <c r="BO45" s="39">
        <v>183.9697886650099</v>
      </c>
      <c r="BP45" s="39">
        <v>-2.4346666468448999</v>
      </c>
      <c r="BQ45" s="39">
        <v>-0.87671788665009842</v>
      </c>
      <c r="BR45" s="39">
        <v>183.94090491249719</v>
      </c>
      <c r="BS45" s="39">
        <v>-2.6717952592847918</v>
      </c>
      <c r="BT45" s="39">
        <v>0.29247095087502828</v>
      </c>
      <c r="BU45" s="39">
        <v>183.92337916364323</v>
      </c>
      <c r="BV45" s="39">
        <v>-2.1565168703802255</v>
      </c>
      <c r="BW45" s="39">
        <v>1.7348462083635638</v>
      </c>
      <c r="BX45" s="39">
        <v>183.7847445035901</v>
      </c>
      <c r="BY45" s="39">
        <v>-0.30666528693990658</v>
      </c>
      <c r="BZ45" s="39">
        <v>2.6497325549640891</v>
      </c>
      <c r="CA45" s="39">
        <v>183.88681215638883</v>
      </c>
      <c r="CB45" s="39">
        <v>1.2927519207326073</v>
      </c>
      <c r="CC45" s="39">
        <v>2.3297118784361004</v>
      </c>
      <c r="CD45" s="39">
        <v>183.90786088989017</v>
      </c>
      <c r="CE45" s="39">
        <v>2.6807110126864671</v>
      </c>
      <c r="CF45" s="39">
        <v>0.25570139110109835</v>
      </c>
      <c r="CG45" s="39">
        <v>183.90096305445937</v>
      </c>
      <c r="CH45" s="39">
        <v>2.5213634998676029</v>
      </c>
      <c r="CI45" s="39">
        <v>-0.91962963054460545</v>
      </c>
      <c r="CJ45" s="40"/>
      <c r="CK45" s="43">
        <f t="shared" ref="CK45" si="1257">IF(BO45="","",(BO45-BO$20)*1000)+CK$18</f>
        <v>-1.0584146334622346</v>
      </c>
      <c r="CL45" s="43">
        <f t="shared" ref="CL45" si="1258">IF(BP45="","",(BP45-BP$20)*1000)+CL$18</f>
        <v>0.16098712330769871</v>
      </c>
      <c r="CM45" s="43">
        <f t="shared" ref="CM45" si="1259">IF(BQ45="","",(BQ45-BQ$20)*1000)+CM$18</f>
        <v>3.3095841463476328</v>
      </c>
      <c r="CN45" s="43">
        <f t="shared" ref="CN45" si="1260">IF(BR45="","",(BR45-BR$20)*1000)+CN$18</f>
        <v>-0.33264340046912366</v>
      </c>
      <c r="CO45" s="43">
        <f t="shared" ref="CO45" si="1261">IF(BS45="","",(BS45-BS$20)*1000)+CO$18</f>
        <v>0.18225432210883241</v>
      </c>
      <c r="CP45" s="43">
        <f t="shared" ref="CP45" si="1262">IF(BT45="","",(BT45-BT$20)*1000)+CP$18</f>
        <v>1.8543264340073473</v>
      </c>
      <c r="CQ45" s="43">
        <f t="shared" ref="CQ45" si="1263">IF(BU45="","",(BU45-BU$20)*1000)+CQ$18</f>
        <v>-3.1657218482337157</v>
      </c>
      <c r="CR45" s="43">
        <f t="shared" ref="CR45" si="1264">IF(BV45="","",(BV45-BV$20)*1000)+CR$18</f>
        <v>4.0556006052150373</v>
      </c>
      <c r="CS45" s="43">
        <f t="shared" ref="CS45" si="1265">IF(BW45="","",(BW45-BW$20)*1000)+CS$18</f>
        <v>-8.6513427815080313</v>
      </c>
      <c r="CT45" s="43">
        <f t="shared" ref="CT45" si="1266">IF(BX45="","",(BX45-BX$20)*1000)+CT$18</f>
        <v>-14.836698854082897</v>
      </c>
      <c r="CU45" s="43">
        <f t="shared" ref="CU45" si="1267">IF(BY45="","",(BY45-BY$20)*1000)+CU$18</f>
        <v>-4.0463959109872381</v>
      </c>
      <c r="CV45" s="43">
        <f t="shared" ref="CV45" si="1268">IF(BZ45="","",(BZ45-BZ$20)*1000)+CV$18</f>
        <v>-64.592633011461672</v>
      </c>
      <c r="CW45" s="43">
        <f t="shared" ref="CW45" si="1269">IF(CA45="","",(CA45-CA$20)*1000)+CW$18</f>
        <v>9.0185042525945391</v>
      </c>
      <c r="CX45" s="43">
        <f t="shared" ref="CX45" si="1270">IF(CB45="","",(CB45-CB$20)*1000)+CX$18</f>
        <v>-13.277833114566651</v>
      </c>
      <c r="CY45" s="43">
        <f t="shared" ref="CY45" si="1271">IF(CC45="","",(CC45-CC$20)*1000)+CY$18</f>
        <v>-31.122185042534944</v>
      </c>
      <c r="CZ45" s="43">
        <f t="shared" ref="CZ45" si="1272">IF(CD45="","",(CD45-CD$20)*1000)+CZ$18</f>
        <v>1.195356758842081</v>
      </c>
      <c r="DA45" s="43">
        <f t="shared" ref="DA45" si="1273">IF(CE45="","",(CE45-CE$20)*1000)+DA$18</f>
        <v>-23.61359140661845</v>
      </c>
      <c r="DB45" s="43">
        <f t="shared" ref="DB45" si="1274">IF(CF45="","",(CF45-CF$20)*1000)+DB$18</f>
        <v>0.94004643240869212</v>
      </c>
      <c r="DC45" s="43">
        <f t="shared" ref="DC45" si="1275">IF(CG45="","",(CG45-CG$20)*1000)+DC$18</f>
        <v>12.58940007704723</v>
      </c>
      <c r="DD45" s="43">
        <f t="shared" ref="DD45" si="1276">IF(CH45="","",(CH45-CH$20)*1000)+DD$18</f>
        <v>-21.301195306843379</v>
      </c>
      <c r="DE45" s="43">
        <f t="shared" ref="DE45" si="1277">IF(CI45="","",(CI45-CI$20)*1000)+DE$18</f>
        <v>-31.528894000781623</v>
      </c>
    </row>
    <row r="46" spans="1:109" ht="29.25" customHeight="1" x14ac:dyDescent="0.2">
      <c r="A46" s="37">
        <v>43776</v>
      </c>
      <c r="B46" s="29">
        <f t="shared" si="969"/>
        <v>118</v>
      </c>
      <c r="C46" s="38">
        <v>218.9</v>
      </c>
      <c r="D46" s="38">
        <f t="shared" si="1226"/>
        <v>35</v>
      </c>
      <c r="E46" s="39">
        <v>823233.37860000005</v>
      </c>
      <c r="F46" s="39">
        <v>1091513.5599</v>
      </c>
      <c r="G46" s="39">
        <v>-124.58069999999999</v>
      </c>
      <c r="H46" s="39">
        <v>823233.25210000004</v>
      </c>
      <c r="I46" s="39">
        <v>1091513.7623999999</v>
      </c>
      <c r="J46" s="39">
        <v>-123.4121</v>
      </c>
      <c r="K46" s="39">
        <v>823233.45400000003</v>
      </c>
      <c r="L46" s="39">
        <v>1091513.2879999999</v>
      </c>
      <c r="M46" s="39">
        <v>-121.9697</v>
      </c>
      <c r="N46" s="39">
        <v>823234.10959999997</v>
      </c>
      <c r="O46" s="39">
        <v>1091511.5527999999</v>
      </c>
      <c r="P46" s="39">
        <v>-121.05670000000001</v>
      </c>
      <c r="Q46" s="39">
        <v>823234.87820000004</v>
      </c>
      <c r="R46" s="39">
        <v>1091510.1465</v>
      </c>
      <c r="S46" s="39">
        <v>-121.3754</v>
      </c>
      <c r="T46" s="39">
        <v>823235.48320000002</v>
      </c>
      <c r="U46" s="39">
        <v>1091508.8977000001</v>
      </c>
      <c r="V46" s="39">
        <v>-123.449</v>
      </c>
      <c r="W46" s="39">
        <v>823235.41009999998</v>
      </c>
      <c r="X46" s="39">
        <v>1091509.0390000001</v>
      </c>
      <c r="Y46" s="39">
        <v>-124.6242</v>
      </c>
      <c r="Z46" s="39">
        <f t="shared" si="1"/>
        <v>4.1208478994082451</v>
      </c>
      <c r="AA46" s="39">
        <f t="shared" si="2"/>
        <v>3.3414888253028145</v>
      </c>
      <c r="AB46" s="39">
        <f t="shared" si="3"/>
        <v>2.0674378829618649</v>
      </c>
      <c r="AC46" s="39">
        <f t="shared" si="4"/>
        <v>1.6340120378584946</v>
      </c>
      <c r="AD46" s="39">
        <f t="shared" si="5"/>
        <v>3.8287638030287794</v>
      </c>
      <c r="AE46" s="39">
        <f t="shared" si="6"/>
        <v>4.5538496834249855</v>
      </c>
      <c r="AF46" s="39">
        <f t="shared" si="7"/>
        <v>3.500080053293448</v>
      </c>
      <c r="AG46" s="39">
        <f t="shared" si="8"/>
        <v>5.3520533356798738</v>
      </c>
      <c r="AH46" s="39">
        <f t="shared" si="9"/>
        <v>4.9565533699002504</v>
      </c>
      <c r="AI46" s="43">
        <f t="shared" ref="AI46" si="1278">IF(Z46="","",(Z46-Z$20)*1000)+AI$18</f>
        <v>-59.496997820260411</v>
      </c>
      <c r="AJ46" s="43">
        <f t="shared" ref="AJ46" si="1279">IF(AA46="","",(AA46-AA$20)*1000)+AJ$18</f>
        <v>-50.053762414890457</v>
      </c>
      <c r="AK46" s="43">
        <f t="shared" ref="AK46" si="1280">IF(AB46="","",(AB46-AB$20)*1000)+AK$18</f>
        <v>-31.239758104018691</v>
      </c>
      <c r="AL46" s="43">
        <f t="shared" ref="AL46" si="1281">IF(AC46="","",(AC46-AC$20)*1000)+AL$18</f>
        <v>-16.385101333298735</v>
      </c>
      <c r="AM46" s="43">
        <f t="shared" ref="AM46" si="1282">IF(AD46="","",(AD46-AD$20)*1000)+AM$18</f>
        <v>-57.892616825482968</v>
      </c>
      <c r="AN46" s="43">
        <f t="shared" ref="AN46" si="1283">IF(AE46="","",(AE46-AE$20)*1000)+AN$18</f>
        <v>-37.23100646870936</v>
      </c>
      <c r="AO46" s="43">
        <f t="shared" ref="AO46" si="1284">IF(AF46="","",(AF46-AF$20)*1000)+AO$18</f>
        <v>-22.309909616113899</v>
      </c>
      <c r="AP46" s="43">
        <f t="shared" ref="AP46" si="1285">IF(AG46="","",(AG46-AG$20)*1000)+AP$18</f>
        <v>-24.47891938659108</v>
      </c>
      <c r="AQ46" s="43">
        <f t="shared" ref="AQ46" si="1286">IF(AH46="","",(AH46-AH$20)*1000)+AQ$18</f>
        <v>-21.318286395231922</v>
      </c>
      <c r="AR46" s="40"/>
      <c r="AS46" s="43">
        <f t="shared" ref="AS46" si="1287">IF(E46="","",(E46-E$20)*1000)+AS$18</f>
        <v>1.9500000635161996</v>
      </c>
      <c r="AT46" s="43">
        <f t="shared" ref="AT46" si="1288">IF(F46="","",(F46-F$20)*1000)+AT$18</f>
        <v>-2.9500001110136509</v>
      </c>
      <c r="AU46" s="43">
        <f t="shared" ref="AU46" si="1289">IF(G46="","",(G46-G$20)*1000)+AU$18</f>
        <v>2.5000000000119371</v>
      </c>
      <c r="AV46" s="43">
        <f t="shared" ref="AV46" si="1290">IF(H46="","",(H46-H$20)*1000)+AV$18</f>
        <v>2.4000001139938831</v>
      </c>
      <c r="AW46" s="43">
        <f t="shared" ref="AW46" si="1291">IF(I46="","",(I46-I$20)*1000)+AW$18</f>
        <v>-3.3500003628432751</v>
      </c>
      <c r="AX46" s="43">
        <f t="shared" ref="AX46" si="1292">IF(J46="","",(J46-J$20)*1000)+AX$18</f>
        <v>0.75000000001068656</v>
      </c>
      <c r="AY46" s="43">
        <f t="shared" ref="AY46" si="1293">IF(K46="","",(K46-K$20)*1000)+AY$18</f>
        <v>1.4500000979751348</v>
      </c>
      <c r="AZ46" s="43">
        <f t="shared" ref="AZ46" si="1294">IF(L46="","",(L46-L$20)*1000)+AZ$18</f>
        <v>-8.7000003550201654</v>
      </c>
      <c r="BA46" s="43">
        <f t="shared" ref="BA46" si="1295">IF(M46="","",(M46-M$20)*1000)+BA$18</f>
        <v>-9.5999999999918373</v>
      </c>
      <c r="BB46" s="43">
        <f t="shared" ref="BB46" si="1296">IF(N46="","",(N46-N$20)*1000)+BB$18</f>
        <v>-13.200000044889748</v>
      </c>
      <c r="BC46" s="43">
        <f t="shared" ref="BC46" si="1297">IF(O46="","",(O46-O$20)*1000)+BC$18</f>
        <v>-5.8999999891966581</v>
      </c>
      <c r="BD46" s="43">
        <f t="shared" ref="BD46" si="1298">IF(P46="","",(P46-P$20)*1000)+BD$18</f>
        <v>-66.150000000007481</v>
      </c>
      <c r="BE46" s="43">
        <f t="shared" ref="BE46" si="1299">IF(Q46="","",(Q46-Q$20)*1000)+BE$18</f>
        <v>4.7499999636784196</v>
      </c>
      <c r="BF46" s="43">
        <f t="shared" ref="BF46" si="1300">IF(R46="","",(R46-R$20)*1000)+BF$18</f>
        <v>13.700000243261456</v>
      </c>
      <c r="BG46" s="43">
        <f t="shared" ref="BG46" si="1301">IF(S46="","",(S46-S$20)*1000)+BG$18</f>
        <v>-32.250000000004775</v>
      </c>
      <c r="BH46" s="43">
        <f t="shared" ref="BH46" si="1302">IF(T46="","",(T46-T$20)*1000)+BH$18</f>
        <v>-7.4999998323619366</v>
      </c>
      <c r="BI46" s="43">
        <f t="shared" ref="BI46" si="1303">IF(U46="","",(U46-U$20)*1000)+BI$18</f>
        <v>19.050000235438347</v>
      </c>
      <c r="BJ46" s="43">
        <f t="shared" ref="BJ46" si="1304">IF(V46="","",(V46-V$20)*1000)+BJ$18</f>
        <v>1.4210854715202004E-11</v>
      </c>
      <c r="BK46" s="43">
        <f t="shared" ref="BK46" si="1305">IF(W46="","",(W46-W$20)*1000)+BK$18</f>
        <v>4.3000000296160579</v>
      </c>
      <c r="BL46" s="43">
        <f t="shared" ref="BL46" si="1306">IF(X46="","",(X46-X$20)*1000)+BL$18</f>
        <v>21.750000072643161</v>
      </c>
      <c r="BM46" s="43">
        <f t="shared" ref="BM46" si="1307">IF(Y46="","",(Y46-Y$20)*1000)+BM$18</f>
        <v>-32.099999999999795</v>
      </c>
      <c r="BN46" s="40"/>
      <c r="BO46" s="39">
        <v>183.97110000000001</v>
      </c>
      <c r="BP46" s="39">
        <v>-2.431</v>
      </c>
      <c r="BQ46" s="39">
        <v>-0.87749999999999995</v>
      </c>
      <c r="BR46" s="39">
        <v>183.94200000000001</v>
      </c>
      <c r="BS46" s="39">
        <v>-2.6680000000000001</v>
      </c>
      <c r="BT46" s="39">
        <v>0.29139999999999999</v>
      </c>
      <c r="BU46" s="39">
        <v>183.92449999999999</v>
      </c>
      <c r="BV46" s="39">
        <v>-2.1526999999999998</v>
      </c>
      <c r="BW46" s="39">
        <v>1.7339</v>
      </c>
      <c r="BX46" s="39">
        <v>183.7852</v>
      </c>
      <c r="BY46" s="39">
        <v>-0.30299999999999999</v>
      </c>
      <c r="BZ46" s="39">
        <v>2.6482999999999999</v>
      </c>
      <c r="CA46" s="39">
        <v>183.88740000000001</v>
      </c>
      <c r="CB46" s="39">
        <v>1.2964</v>
      </c>
      <c r="CC46" s="39">
        <v>2.3285999999999998</v>
      </c>
      <c r="CD46" s="39">
        <v>183.90790000000001</v>
      </c>
      <c r="CE46" s="39">
        <v>2.6838000000000002</v>
      </c>
      <c r="CF46" s="39">
        <v>0.25480000000000003</v>
      </c>
      <c r="CG46" s="39">
        <v>183.9014</v>
      </c>
      <c r="CH46" s="39">
        <v>2.5249000000000001</v>
      </c>
      <c r="CI46" s="39">
        <v>-0.92030000000000001</v>
      </c>
      <c r="CJ46" s="40"/>
      <c r="CK46" s="43">
        <f t="shared" ref="CK46" si="1308">IF(BO46="","",(BO46-BO$20)*1000)+CK$18</f>
        <v>0.25292035664392643</v>
      </c>
      <c r="CL46" s="43">
        <f t="shared" ref="CL46" si="1309">IF(BP46="","",(BP46-BP$20)*1000)+CL$18</f>
        <v>3.8276339682075111</v>
      </c>
      <c r="CM46" s="43">
        <f t="shared" ref="CM46" si="1310">IF(BQ46="","",(BQ46-BQ$20)*1000)+CM$18</f>
        <v>2.5274707964461074</v>
      </c>
      <c r="CN46" s="43">
        <f t="shared" ref="CN46" si="1311">IF(BR46="","",(BR46-BR$20)*1000)+CN$18</f>
        <v>0.762444102349491</v>
      </c>
      <c r="CO46" s="43">
        <f t="shared" ref="CO46" si="1312">IF(BS46="","",(BS46-BS$20)*1000)+CO$18</f>
        <v>3.9775136069004624</v>
      </c>
      <c r="CP46" s="43">
        <f t="shared" ref="CP46" si="1313">IF(BT46="","",(BT46-BT$20)*1000)+CP$18</f>
        <v>0.7833755589790603</v>
      </c>
      <c r="CQ46" s="43">
        <f t="shared" ref="CQ46" si="1314">IF(BU46="","",(BU46-BU$20)*1000)+CQ$18</f>
        <v>-2.0448854914718595</v>
      </c>
      <c r="CR46" s="43">
        <f t="shared" ref="CR46" si="1315">IF(BV46="","",(BV46-BV$20)*1000)+CR$18</f>
        <v>7.8724709854407493</v>
      </c>
      <c r="CS46" s="43">
        <f t="shared" ref="CS46" si="1316">IF(BW46="","",(BW46-BW$20)*1000)+CS$18</f>
        <v>-9.5975511450718809</v>
      </c>
      <c r="CT46" s="43">
        <f t="shared" ref="CT46" si="1317">IF(BX46="","",(BX46-BX$20)*1000)+CT$18</f>
        <v>-14.381202444184282</v>
      </c>
      <c r="CU46" s="43">
        <f t="shared" ref="CU46" si="1318">IF(BY46="","",(BY46-BY$20)*1000)+CU$18</f>
        <v>-0.38110897108065145</v>
      </c>
      <c r="CV46" s="43">
        <f t="shared" ref="CV46" si="1319">IF(BZ46="","",(BZ46-BZ$20)*1000)+CV$18</f>
        <v>-66.025187975550892</v>
      </c>
      <c r="CW46" s="43">
        <f t="shared" ref="CW46" si="1320">IF(CA46="","",(CA46-CA$20)*1000)+CW$18</f>
        <v>9.6063478637802291</v>
      </c>
      <c r="CX46" s="43">
        <f t="shared" ref="CX46" si="1321">IF(CB46="","",(CB46-CB$20)*1000)+CX$18</f>
        <v>-9.6297538471739053</v>
      </c>
      <c r="CY46" s="43">
        <f t="shared" ref="CY46" si="1322">IF(CC46="","",(CC46-CC$20)*1000)+CY$18</f>
        <v>-32.234063478635555</v>
      </c>
      <c r="CZ46" s="43">
        <f t="shared" ref="CZ46" si="1323">IF(CD46="","",(CD46-CD$20)*1000)+CZ$18</f>
        <v>1.2344668686807836</v>
      </c>
      <c r="DA46" s="43">
        <f t="shared" ref="DA46" si="1324">IF(CE46="","",(CE46-CE$20)*1000)+DA$18</f>
        <v>-20.524604093085319</v>
      </c>
      <c r="DB46" s="43">
        <f t="shared" ref="DB46" si="1325">IF(CF46="","",(CF46-CF$20)*1000)+DB$18</f>
        <v>3.8655331310366581E-2</v>
      </c>
      <c r="DC46" s="43">
        <f t="shared" ref="DC46" si="1326">IF(CG46="","",(CG46-CG$20)*1000)+DC$18</f>
        <v>13.026345617674906</v>
      </c>
      <c r="DD46" s="43">
        <f t="shared" ref="DD46" si="1327">IF(CH46="","",(CH46-CH$20)*1000)+DD$18</f>
        <v>-17.764695174446121</v>
      </c>
      <c r="DE46" s="43">
        <f t="shared" ref="DE46" si="1328">IF(CI46="","",(CI46-CI$20)*1000)+DE$18</f>
        <v>-32.199263456176183</v>
      </c>
    </row>
    <row r="47" spans="1:109" ht="29.25" customHeight="1" x14ac:dyDescent="0.2">
      <c r="A47" s="37">
        <v>43781</v>
      </c>
      <c r="B47" s="29">
        <f t="shared" si="969"/>
        <v>123</v>
      </c>
      <c r="C47" s="38">
        <v>218.9</v>
      </c>
      <c r="D47" s="38">
        <f t="shared" si="1226"/>
        <v>35</v>
      </c>
      <c r="E47" s="39">
        <v>823233.37529999996</v>
      </c>
      <c r="F47" s="39">
        <v>1091513.5612999999</v>
      </c>
      <c r="G47" s="39">
        <v>-124.58029999999999</v>
      </c>
      <c r="H47" s="39">
        <v>823233.24890000001</v>
      </c>
      <c r="I47" s="39">
        <v>1091513.7638000001</v>
      </c>
      <c r="J47" s="39">
        <v>-123.41160000000001</v>
      </c>
      <c r="K47" s="39">
        <v>823233.45120000001</v>
      </c>
      <c r="L47" s="39">
        <v>1091513.2896</v>
      </c>
      <c r="M47" s="39">
        <v>-121.9693</v>
      </c>
      <c r="N47" s="39">
        <v>823234.10719999997</v>
      </c>
      <c r="O47" s="39">
        <v>1091511.5548</v>
      </c>
      <c r="P47" s="39">
        <v>-121.0565</v>
      </c>
      <c r="Q47" s="39">
        <v>823234.87569999998</v>
      </c>
      <c r="R47" s="39">
        <v>1091510.1486</v>
      </c>
      <c r="S47" s="39">
        <v>-121.37520000000001</v>
      </c>
      <c r="T47" s="39">
        <v>823235.48129999998</v>
      </c>
      <c r="U47" s="39">
        <v>1091508.8998</v>
      </c>
      <c r="V47" s="39">
        <v>-123.44880000000001</v>
      </c>
      <c r="W47" s="39">
        <v>823235.40780000004</v>
      </c>
      <c r="X47" s="39">
        <v>1091509.0411</v>
      </c>
      <c r="Y47" s="39">
        <v>-124.6238</v>
      </c>
      <c r="Z47" s="39">
        <f t="shared" si="1"/>
        <v>4.120544417868035</v>
      </c>
      <c r="AA47" s="39">
        <f t="shared" si="2"/>
        <v>3.3410860360184174</v>
      </c>
      <c r="AB47" s="39">
        <f t="shared" si="3"/>
        <v>2.0671407498921823</v>
      </c>
      <c r="AC47" s="39">
        <f t="shared" si="4"/>
        <v>1.6338789368394064</v>
      </c>
      <c r="AD47" s="39">
        <f t="shared" si="5"/>
        <v>3.8288738684097283</v>
      </c>
      <c r="AE47" s="39">
        <f t="shared" si="6"/>
        <v>4.5536663624213531</v>
      </c>
      <c r="AF47" s="39">
        <f t="shared" si="7"/>
        <v>3.4997194259376432</v>
      </c>
      <c r="AG47" s="39">
        <f t="shared" si="8"/>
        <v>5.351961285406114</v>
      </c>
      <c r="AH47" s="39">
        <f t="shared" si="9"/>
        <v>4.956324902542355</v>
      </c>
      <c r="AI47" s="43">
        <f t="shared" ref="AI47" si="1329">IF(Z47="","",(Z47-Z$20)*1000)+AI$18</f>
        <v>-59.800479360470504</v>
      </c>
      <c r="AJ47" s="43">
        <f t="shared" ref="AJ47" si="1330">IF(AA47="","",(AA47-AA$20)*1000)+AJ$18</f>
        <v>-50.456551699287644</v>
      </c>
      <c r="AK47" s="43">
        <f t="shared" ref="AK47" si="1331">IF(AB47="","",(AB47-AB$20)*1000)+AK$18</f>
        <v>-31.536891173701289</v>
      </c>
      <c r="AL47" s="43">
        <f t="shared" ref="AL47" si="1332">IF(AC47="","",(AC47-AC$20)*1000)+AL$18</f>
        <v>-16.518202352386879</v>
      </c>
      <c r="AM47" s="43">
        <f t="shared" ref="AM47" si="1333">IF(AD47="","",(AD47-AD$20)*1000)+AM$18</f>
        <v>-57.782551444534036</v>
      </c>
      <c r="AN47" s="43">
        <f t="shared" ref="AN47" si="1334">IF(AE47="","",(AE47-AE$20)*1000)+AN$18</f>
        <v>-37.414327472341746</v>
      </c>
      <c r="AO47" s="43">
        <f t="shared" ref="AO47" si="1335">IF(AF47="","",(AF47-AF$20)*1000)+AO$18</f>
        <v>-22.670536971918676</v>
      </c>
      <c r="AP47" s="43">
        <f t="shared" ref="AP47" si="1336">IF(AG47="","",(AG47-AG$20)*1000)+AP$18</f>
        <v>-24.570969660350883</v>
      </c>
      <c r="AQ47" s="43">
        <f t="shared" ref="AQ47" si="1337">IF(AH47="","",(AH47-AH$20)*1000)+AQ$18</f>
        <v>-21.546753753127312</v>
      </c>
      <c r="AR47" s="40"/>
      <c r="AS47" s="43">
        <f t="shared" ref="AS47" si="1338">IF(E47="","",(E47-E$20)*1000)+AS$18</f>
        <v>-1.3500000350177288</v>
      </c>
      <c r="AT47" s="43">
        <f t="shared" ref="AT47" si="1339">IF(F47="","",(F47-F$20)*1000)+AT$18</f>
        <v>-1.5500001609325409</v>
      </c>
      <c r="AU47" s="43">
        <f t="shared" ref="AU47" si="1340">IF(G47="","",(G47-G$20)*1000)+AU$18</f>
        <v>2.9000000000110049</v>
      </c>
      <c r="AV47" s="43">
        <f t="shared" ref="AV47" si="1341">IF(H47="","",(H47-H$20)*1000)+AV$18</f>
        <v>-0.79999992158263922</v>
      </c>
      <c r="AW47" s="43">
        <f t="shared" ref="AW47" si="1342">IF(I47="","",(I47-I$20)*1000)+AW$18</f>
        <v>-1.9500001799315214</v>
      </c>
      <c r="AX47" s="43">
        <f t="shared" ref="AX47" si="1343">IF(J47="","",(J47-J$20)*1000)+AX$18</f>
        <v>1.2499999999988631</v>
      </c>
      <c r="AY47" s="43">
        <f t="shared" ref="AY47" si="1344">IF(K47="","",(K47-K$20)*1000)+AY$18</f>
        <v>-1.349999918602407</v>
      </c>
      <c r="AZ47" s="43">
        <f t="shared" ref="AZ47" si="1345">IF(L47="","",(L47-L$20)*1000)+AZ$18</f>
        <v>-7.1000002790242434</v>
      </c>
      <c r="BA47" s="43">
        <f t="shared" ref="BA47" si="1346">IF(M47="","",(M47-M$20)*1000)+BA$18</f>
        <v>-9.1999999999927695</v>
      </c>
      <c r="BB47" s="43">
        <f t="shared" ref="BB47" si="1347">IF(N47="","",(N47-N$20)*1000)+BB$18</f>
        <v>-15.600000042468309</v>
      </c>
      <c r="BC47" s="43">
        <f t="shared" ref="BC47" si="1348">IF(O47="","",(O47-O$20)*1000)+BC$18</f>
        <v>-3.8999998942017555</v>
      </c>
      <c r="BD47" s="43">
        <f t="shared" ref="BD47" si="1349">IF(P47="","",(P47-P$20)*1000)+BD$18</f>
        <v>-65.950000000000841</v>
      </c>
      <c r="BE47" s="43">
        <f t="shared" ref="BE47" si="1350">IF(Q47="","",(Q47-Q$20)*1000)+BE$18</f>
        <v>2.2499999031424522</v>
      </c>
      <c r="BF47" s="43">
        <f t="shared" ref="BF47" si="1351">IF(R47="","",(R47-R$20)*1000)+BF$18</f>
        <v>15.800000168383121</v>
      </c>
      <c r="BG47" s="43">
        <f t="shared" ref="BG47" si="1352">IF(S47="","",(S47-S$20)*1000)+BG$18</f>
        <v>-32.050000000012346</v>
      </c>
      <c r="BH47" s="43">
        <f t="shared" ref="BH47" si="1353">IF(T47="","",(T47-T$20)*1000)+BH$18</f>
        <v>-9.3999998643994331</v>
      </c>
      <c r="BI47" s="43">
        <f t="shared" ref="BI47" si="1354">IF(U47="","",(U47-U$20)*1000)+BI$18</f>
        <v>21.150000160560012</v>
      </c>
      <c r="BJ47" s="43">
        <f t="shared" ref="BJ47" si="1355">IF(V47="","",(V47-V$20)*1000)+BJ$18</f>
        <v>0.20000000000663931</v>
      </c>
      <c r="BK47" s="43">
        <f t="shared" ref="BK47" si="1356">IF(W47="","",(W47-W$20)*1000)+BK$18</f>
        <v>2.0000000949949026</v>
      </c>
      <c r="BL47" s="43">
        <f t="shared" ref="BL47" si="1357">IF(X47="","",(X47-X$20)*1000)+BL$18</f>
        <v>23.849999997764826</v>
      </c>
      <c r="BM47" s="43">
        <f t="shared" ref="BM47" si="1358">IF(Y47="","",(Y47-Y$20)*1000)+BM$18</f>
        <v>-31.700000000000728</v>
      </c>
      <c r="BN47" s="40"/>
      <c r="BO47" s="39">
        <v>183.96870000000001</v>
      </c>
      <c r="BP47" s="39">
        <v>-2.4337</v>
      </c>
      <c r="BQ47" s="39">
        <v>-0.87709999999999999</v>
      </c>
      <c r="BR47" s="39">
        <v>183.93969999999999</v>
      </c>
      <c r="BS47" s="39">
        <v>-2.6705999999999999</v>
      </c>
      <c r="BT47" s="39">
        <v>0.29189999999999999</v>
      </c>
      <c r="BU47" s="39">
        <v>183.92259999999999</v>
      </c>
      <c r="BV47" s="39">
        <v>-2.1553</v>
      </c>
      <c r="BW47" s="39">
        <v>1.7343999999999999</v>
      </c>
      <c r="BX47" s="39">
        <v>183.78389999999999</v>
      </c>
      <c r="BY47" s="39">
        <v>-0.30580000000000002</v>
      </c>
      <c r="BZ47" s="39">
        <v>2.6484999999999999</v>
      </c>
      <c r="CA47" s="39">
        <v>183.8861</v>
      </c>
      <c r="CB47" s="39">
        <v>1.2934000000000001</v>
      </c>
      <c r="CC47" s="39">
        <v>2.3288000000000002</v>
      </c>
      <c r="CD47" s="39">
        <v>183.90710000000001</v>
      </c>
      <c r="CE47" s="39">
        <v>2.6810999999999998</v>
      </c>
      <c r="CF47" s="39">
        <v>0.255</v>
      </c>
      <c r="CG47" s="39">
        <v>183.90020000000001</v>
      </c>
      <c r="CH47" s="39">
        <v>2.5219999999999998</v>
      </c>
      <c r="CI47" s="39">
        <v>-0.91990000000000005</v>
      </c>
      <c r="CJ47" s="40"/>
      <c r="CK47" s="43">
        <f t="shared" ref="CK47" si="1359">IF(BO47="","",(BO47-BO$20)*1000)+CK$18</f>
        <v>-2.1470796433504802</v>
      </c>
      <c r="CL47" s="43">
        <f t="shared" ref="CL47" si="1360">IF(BP47="","",(BP47-BP$20)*1000)+CL$18</f>
        <v>1.1276339682075864</v>
      </c>
      <c r="CM47" s="43">
        <f t="shared" ref="CM47" si="1361">IF(BQ47="","",(BQ47-BQ$20)*1000)+CM$18</f>
        <v>2.9274707964460633</v>
      </c>
      <c r="CN47" s="43">
        <f t="shared" ref="CN47" si="1362">IF(BR47="","",(BR47-BR$20)*1000)+CN$18</f>
        <v>-1.5375558976700177</v>
      </c>
      <c r="CO47" s="43">
        <f t="shared" ref="CO47" si="1363">IF(BS47="","",(BS47-BS$20)*1000)+CO$18</f>
        <v>1.3775136069007488</v>
      </c>
      <c r="CP47" s="43">
        <f t="shared" ref="CP47" si="1364">IF(BT47="","",(BT47-BT$20)*1000)+CP$18</f>
        <v>1.2833755589790607</v>
      </c>
      <c r="CQ47" s="43">
        <f t="shared" ref="CQ47" si="1365">IF(BU47="","",(BU47-BU$20)*1000)+CQ$18</f>
        <v>-3.9448854914780895</v>
      </c>
      <c r="CR47" s="43">
        <f t="shared" ref="CR47" si="1366">IF(BV47="","",(BV47-BV$20)*1000)+CR$18</f>
        <v>5.2724709854405916</v>
      </c>
      <c r="CS47" s="43">
        <f t="shared" ref="CS47" si="1367">IF(BW47="","",(BW47-BW$20)*1000)+CS$18</f>
        <v>-9.097551145071936</v>
      </c>
      <c r="CT47" s="43">
        <f t="shared" ref="CT47" si="1368">IF(BX47="","",(BX47-BX$20)*1000)+CT$18</f>
        <v>-15.681202444199016</v>
      </c>
      <c r="CU47" s="43">
        <f t="shared" ref="CU47" si="1369">IF(BY47="","",(BY47-BY$20)*1000)+CU$18</f>
        <v>-3.1811089710806764</v>
      </c>
      <c r="CV47" s="43">
        <f t="shared" ref="CV47" si="1370">IF(BZ47="","",(BZ47-BZ$20)*1000)+CV$18</f>
        <v>-65.825187975550918</v>
      </c>
      <c r="CW47" s="43">
        <f t="shared" ref="CW47" si="1371">IF(CA47="","",(CA47-CA$20)*1000)+CW$18</f>
        <v>8.3063478637654953</v>
      </c>
      <c r="CX47" s="43">
        <f t="shared" ref="CX47" si="1372">IF(CB47="","",(CB47-CB$20)*1000)+CX$18</f>
        <v>-12.629753847173797</v>
      </c>
      <c r="CY47" s="43">
        <f t="shared" ref="CY47" si="1373">IF(CC47="","",(CC47-CC$20)*1000)+CY$18</f>
        <v>-32.034063478635133</v>
      </c>
      <c r="CZ47" s="43">
        <f t="shared" ref="CZ47" si="1374">IF(CD47="","",(CD47-CD$20)*1000)+CZ$18</f>
        <v>0.43446686868264806</v>
      </c>
      <c r="DA47" s="43">
        <f t="shared" ref="DA47" si="1375">IF(CE47="","",(CE47-CE$20)*1000)+DA$18</f>
        <v>-23.224604093085688</v>
      </c>
      <c r="DB47" s="43">
        <f t="shared" ref="DB47" si="1376">IF(CF47="","",(CF47-CF$20)*1000)+DB$18</f>
        <v>0.23865533131034455</v>
      </c>
      <c r="DC47" s="43">
        <f t="shared" ref="DC47" si="1377">IF(CG47="","",(CG47-CG$20)*1000)+DC$18</f>
        <v>11.826345617691914</v>
      </c>
      <c r="DD47" s="43">
        <f t="shared" ref="DD47" si="1378">IF(CH47="","",(CH47-CH$20)*1000)+DD$18</f>
        <v>-20.664695174446468</v>
      </c>
      <c r="DE47" s="43">
        <f t="shared" ref="DE47" si="1379">IF(CI47="","",(CI47-CI$20)*1000)+DE$18</f>
        <v>-31.799263456176227</v>
      </c>
    </row>
    <row r="48" spans="1:109" ht="29.25" customHeight="1" x14ac:dyDescent="0.2">
      <c r="A48" s="37">
        <v>43783</v>
      </c>
      <c r="B48" s="29">
        <f t="shared" si="969"/>
        <v>125</v>
      </c>
      <c r="C48" s="38">
        <v>220.5</v>
      </c>
      <c r="D48" s="38">
        <f t="shared" si="1226"/>
        <v>36.599999999999994</v>
      </c>
      <c r="E48" s="39">
        <v>823233.37659999996</v>
      </c>
      <c r="F48" s="39">
        <v>1091513.5619999999</v>
      </c>
      <c r="G48" s="39">
        <v>-124.57980000000001</v>
      </c>
      <c r="H48" s="39">
        <v>823233.24990000005</v>
      </c>
      <c r="I48" s="39">
        <v>1091513.7644</v>
      </c>
      <c r="J48" s="39">
        <v>-123.411</v>
      </c>
      <c r="K48" s="39">
        <v>823233.45200000005</v>
      </c>
      <c r="L48" s="39">
        <v>1091513.2901000001</v>
      </c>
      <c r="M48" s="39">
        <v>-121.9688</v>
      </c>
      <c r="N48" s="39">
        <v>823234.10809999995</v>
      </c>
      <c r="O48" s="39">
        <v>1091511.5552000001</v>
      </c>
      <c r="P48" s="39">
        <v>-121.0561</v>
      </c>
      <c r="Q48" s="39">
        <v>823234.87699999998</v>
      </c>
      <c r="R48" s="39">
        <v>1091510.1488999999</v>
      </c>
      <c r="S48" s="39">
        <v>-121.37439999999999</v>
      </c>
      <c r="T48" s="39">
        <v>823235.48239999998</v>
      </c>
      <c r="U48" s="39">
        <v>1091508.9001</v>
      </c>
      <c r="V48" s="39">
        <v>-123.4481</v>
      </c>
      <c r="W48" s="39">
        <v>823235.40899999999</v>
      </c>
      <c r="X48" s="39">
        <v>1091509.0415000001</v>
      </c>
      <c r="Y48" s="39">
        <v>-124.6233</v>
      </c>
      <c r="Z48" s="39">
        <f t="shared" si="1"/>
        <v>4.120533967754568</v>
      </c>
      <c r="AA48" s="39">
        <f t="shared" si="2"/>
        <v>3.3410516143119957</v>
      </c>
      <c r="AB48" s="39">
        <f t="shared" si="3"/>
        <v>2.067212255675043</v>
      </c>
      <c r="AC48" s="39">
        <f t="shared" si="4"/>
        <v>1.6340752095462963</v>
      </c>
      <c r="AD48" s="39">
        <f t="shared" si="5"/>
        <v>3.8288275621332524</v>
      </c>
      <c r="AE48" s="39">
        <f t="shared" si="6"/>
        <v>4.5536737191122256</v>
      </c>
      <c r="AF48" s="39">
        <f t="shared" si="7"/>
        <v>3.500153396778225</v>
      </c>
      <c r="AG48" s="39">
        <f t="shared" si="8"/>
        <v>5.3522749508801901</v>
      </c>
      <c r="AH48" s="39">
        <f t="shared" si="9"/>
        <v>4.9565575008172829</v>
      </c>
      <c r="AI48" s="43">
        <f t="shared" ref="AI48" si="1380">IF(Z48="","",(Z48-Z$20)*1000)+AI$18</f>
        <v>-59.810929473937513</v>
      </c>
      <c r="AJ48" s="43">
        <f t="shared" ref="AJ48" si="1381">IF(AA48="","",(AA48-AA$20)*1000)+AJ$18</f>
        <v>-50.490973405709298</v>
      </c>
      <c r="AK48" s="43">
        <f t="shared" ref="AK48" si="1382">IF(AB48="","",(AB48-AB$20)*1000)+AK$18</f>
        <v>-31.465385390840652</v>
      </c>
      <c r="AL48" s="43">
        <f t="shared" ref="AL48" si="1383">IF(AC48="","",(AC48-AC$20)*1000)+AL$18</f>
        <v>-16.321929645497057</v>
      </c>
      <c r="AM48" s="43">
        <f t="shared" ref="AM48" si="1384">IF(AD48="","",(AD48-AD$20)*1000)+AM$18</f>
        <v>-57.828857721009982</v>
      </c>
      <c r="AN48" s="43">
        <f t="shared" ref="AN48" si="1385">IF(AE48="","",(AE48-AE$20)*1000)+AN$18</f>
        <v>-37.406970781469262</v>
      </c>
      <c r="AO48" s="43">
        <f t="shared" ref="AO48" si="1386">IF(AF48="","",(AF48-AF$20)*1000)+AO$18</f>
        <v>-22.236566131336843</v>
      </c>
      <c r="AP48" s="43">
        <f t="shared" ref="AP48" si="1387">IF(AG48="","",(AG48-AG$20)*1000)+AP$18</f>
        <v>-24.257304186274808</v>
      </c>
      <c r="AQ48" s="43">
        <f t="shared" ref="AQ48" si="1388">IF(AH48="","",(AH48-AH$20)*1000)+AQ$18</f>
        <v>-21.314155478199481</v>
      </c>
      <c r="AR48" s="40"/>
      <c r="AS48" s="43">
        <f t="shared" ref="AS48" si="1389">IF(E48="","",(E48-E$20)*1000)+AS$18</f>
        <v>-5.0000031478703022E-2</v>
      </c>
      <c r="AT48" s="43">
        <f t="shared" ref="AT48" si="1390">IF(F48="","",(F48-F$20)*1000)+AT$18</f>
        <v>-0.85000018589198589</v>
      </c>
      <c r="AU48" s="43">
        <f t="shared" ref="AU48" si="1391">IF(G48="","",(G48-G$20)*1000)+AU$18</f>
        <v>3.3999999999991815</v>
      </c>
      <c r="AV48" s="43">
        <f t="shared" ref="AV48" si="1392">IF(H48="","",(H48-H$20)*1000)+AV$18</f>
        <v>0.20000012591481209</v>
      </c>
      <c r="AW48" s="43">
        <f t="shared" ref="AW48" si="1393">IF(I48="","",(I48-I$20)*1000)+AW$18</f>
        <v>-1.3500002678483725</v>
      </c>
      <c r="AX48" s="43">
        <f t="shared" ref="AX48" si="1394">IF(J48="","",(J48-J$20)*1000)+AX$18</f>
        <v>1.8500000000045702</v>
      </c>
      <c r="AY48" s="43">
        <f t="shared" ref="AY48" si="1395">IF(K48="","",(K48-K$20)*1000)+AY$18</f>
        <v>-0.54999988060444593</v>
      </c>
      <c r="AZ48" s="43">
        <f t="shared" ref="AZ48" si="1396">IF(L48="","",(L48-L$20)*1000)+AZ$18</f>
        <v>-6.6000001970678568</v>
      </c>
      <c r="BA48" s="43">
        <f t="shared" ref="BA48" si="1397">IF(M48="","",(M48-M$20)*1000)+BA$18</f>
        <v>-8.6999999999903821</v>
      </c>
      <c r="BB48" s="43">
        <f t="shared" ref="BB48" si="1398">IF(N48="","",(N48-N$20)*1000)+BB$18</f>
        <v>-14.700000057928264</v>
      </c>
      <c r="BC48" s="43">
        <f t="shared" ref="BC48" si="1399">IF(O48="","",(O48-O$20)*1000)+BC$18</f>
        <v>-3.499999875202775</v>
      </c>
      <c r="BD48" s="43">
        <f t="shared" ref="BD48" si="1400">IF(P48="","",(P48-P$20)*1000)+BD$18</f>
        <v>-65.550000000001774</v>
      </c>
      <c r="BE48" s="43">
        <f t="shared" ref="BE48" si="1401">IF(Q48="","",(Q48-Q$20)*1000)+BE$18</f>
        <v>3.549999906681478</v>
      </c>
      <c r="BF48" s="43">
        <f t="shared" ref="BF48" si="1402">IF(R48="","",(R48-R$20)*1000)+BF$18</f>
        <v>16.100000124424696</v>
      </c>
      <c r="BG48" s="43">
        <f t="shared" ref="BG48" si="1403">IF(S48="","",(S48-S$20)*1000)+BG$18</f>
        <v>-31.25</v>
      </c>
      <c r="BH48" s="43">
        <f t="shared" ref="BH48" si="1404">IF(T48="","",(T48-T$20)*1000)+BH$18</f>
        <v>-8.2999998703598976</v>
      </c>
      <c r="BI48" s="43">
        <f t="shared" ref="BI48" si="1405">IF(U48="","",(U48-U$20)*1000)+BI$18</f>
        <v>21.450000116601586</v>
      </c>
      <c r="BJ48" s="43">
        <f t="shared" ref="BJ48" si="1406">IF(V48="","",(V48-V$20)*1000)+BJ$18</f>
        <v>0.90000000001566605</v>
      </c>
      <c r="BK48" s="43">
        <f t="shared" ref="BK48" si="1407">IF(W48="","",(W48-W$20)*1000)+BK$18</f>
        <v>3.2000000355765224</v>
      </c>
      <c r="BL48" s="43">
        <f t="shared" ref="BL48" si="1408">IF(X48="","",(X48-X$20)*1000)+BL$18</f>
        <v>24.250000016763806</v>
      </c>
      <c r="BM48" s="43">
        <f t="shared" ref="BM48" si="1409">IF(Y48="","",(Y48-Y$20)*1000)+BM$18</f>
        <v>-31.19999999999834</v>
      </c>
      <c r="BN48" s="40"/>
      <c r="BO48" s="39">
        <v>183.9701</v>
      </c>
      <c r="BP48" s="39">
        <v>-2.4337</v>
      </c>
      <c r="BQ48" s="39">
        <v>-0.87660000000000005</v>
      </c>
      <c r="BR48" s="39">
        <v>183.9408</v>
      </c>
      <c r="BS48" s="39">
        <v>-2.6707000000000001</v>
      </c>
      <c r="BT48" s="39">
        <v>0.29249999999999998</v>
      </c>
      <c r="BU48" s="39">
        <v>183.92349999999999</v>
      </c>
      <c r="BV48" s="39">
        <v>-2.1554000000000002</v>
      </c>
      <c r="BW48" s="39">
        <v>1.7347999999999999</v>
      </c>
      <c r="BX48" s="39">
        <v>183.78489999999999</v>
      </c>
      <c r="BY48" s="39">
        <v>-0.30580000000000002</v>
      </c>
      <c r="BZ48" s="39">
        <v>2.6488999999999998</v>
      </c>
      <c r="CA48" s="39">
        <v>183.88740000000001</v>
      </c>
      <c r="CB48" s="39">
        <v>1.2937000000000001</v>
      </c>
      <c r="CC48" s="39">
        <v>2.3296000000000001</v>
      </c>
      <c r="CD48" s="39">
        <v>183.90819999999999</v>
      </c>
      <c r="CE48" s="39">
        <v>2.6812999999999998</v>
      </c>
      <c r="CF48" s="39">
        <v>0.25569999999999998</v>
      </c>
      <c r="CG48" s="39">
        <v>183.9015</v>
      </c>
      <c r="CH48" s="39">
        <v>2.5222000000000002</v>
      </c>
      <c r="CI48" s="39">
        <v>-0.9194</v>
      </c>
      <c r="CJ48" s="40"/>
      <c r="CK48" s="43">
        <f t="shared" ref="CK48" si="1410">IF(BO48="","",(BO48-BO$20)*1000)+CK$18</f>
        <v>-0.74707964336084842</v>
      </c>
      <c r="CL48" s="43">
        <f t="shared" ref="CL48" si="1411">IF(BP48="","",(BP48-BP$20)*1000)+CL$18</f>
        <v>1.1276339682075864</v>
      </c>
      <c r="CM48" s="43">
        <f t="shared" ref="CM48" si="1412">IF(BQ48="","",(BQ48-BQ$20)*1000)+CM$18</f>
        <v>3.4274707964460083</v>
      </c>
      <c r="CN48" s="43">
        <f t="shared" ref="CN48" si="1413">IF(BR48="","",(BR48-BR$20)*1000)+CN$18</f>
        <v>-0.43755589766192315</v>
      </c>
      <c r="CO48" s="43">
        <f t="shared" ref="CO48" si="1414">IF(BS48="","",(BS48-BS$20)*1000)+CO$18</f>
        <v>1.2775136069005377</v>
      </c>
      <c r="CP48" s="43">
        <f t="shared" ref="CP48" si="1415">IF(BT48="","",(BT48-BT$20)*1000)+CP$18</f>
        <v>1.8833755589790502</v>
      </c>
      <c r="CQ48" s="43">
        <f t="shared" ref="CQ48" si="1416">IF(BU48="","",(BU48-BU$20)*1000)+CQ$18</f>
        <v>-3.0448854914766343</v>
      </c>
      <c r="CR48" s="43">
        <f t="shared" ref="CR48" si="1417">IF(BV48="","",(BV48-BV$20)*1000)+CR$18</f>
        <v>5.1724709854403805</v>
      </c>
      <c r="CS48" s="43">
        <f t="shared" ref="CS48" si="1418">IF(BW48="","",(BW48-BW$20)*1000)+CS$18</f>
        <v>-8.69755114507198</v>
      </c>
      <c r="CT48" s="43">
        <f t="shared" ref="CT48" si="1419">IF(BX48="","",(BX48-BX$20)*1000)+CT$18</f>
        <v>-14.681202444194241</v>
      </c>
      <c r="CU48" s="43">
        <f t="shared" ref="CU48" si="1420">IF(BY48="","",(BY48-BY$20)*1000)+CU$18</f>
        <v>-3.1811089710806764</v>
      </c>
      <c r="CV48" s="43">
        <f t="shared" ref="CV48" si="1421">IF(BZ48="","",(BZ48-BZ$20)*1000)+CV$18</f>
        <v>-65.425187975550969</v>
      </c>
      <c r="CW48" s="43">
        <f t="shared" ref="CW48" si="1422">IF(CA48="","",(CA48-CA$20)*1000)+CW$18</f>
        <v>9.6063478637802291</v>
      </c>
      <c r="CX48" s="43">
        <f t="shared" ref="CX48" si="1423">IF(CB48="","",(CB48-CB$20)*1000)+CX$18</f>
        <v>-12.32975384717383</v>
      </c>
      <c r="CY48" s="43">
        <f t="shared" ref="CY48" si="1424">IF(CC48="","",(CC48-CC$20)*1000)+CY$18</f>
        <v>-31.234063478635221</v>
      </c>
      <c r="CZ48" s="43">
        <f t="shared" ref="CZ48" si="1425">IF(CD48="","",(CD48-CD$20)*1000)+CZ$18</f>
        <v>1.5344668686623208</v>
      </c>
      <c r="DA48" s="43">
        <f t="shared" ref="DA48" si="1426">IF(CE48="","",(CE48-CE$20)*1000)+DA$18</f>
        <v>-23.02460409308571</v>
      </c>
      <c r="DB48" s="43">
        <f t="shared" ref="DB48" si="1427">IF(CF48="","",(CF48-CF$20)*1000)+DB$18</f>
        <v>0.93865533131032297</v>
      </c>
      <c r="DC48" s="43">
        <f t="shared" ref="DC48" si="1428">IF(CG48="","",(CG48-CG$20)*1000)+DC$18</f>
        <v>13.126345617678226</v>
      </c>
      <c r="DD48" s="43">
        <f t="shared" ref="DD48" si="1429">IF(CH48="","",(CH48-CH$20)*1000)+DD$18</f>
        <v>-20.464695174446046</v>
      </c>
      <c r="DE48" s="43">
        <f t="shared" ref="DE48" si="1430">IF(CI48="","",(CI48-CI$20)*1000)+DE$18</f>
        <v>-31.29926345617617</v>
      </c>
    </row>
    <row r="49" spans="1:109" ht="29.25" customHeight="1" x14ac:dyDescent="0.2">
      <c r="A49" s="37">
        <v>43787</v>
      </c>
      <c r="B49" s="29">
        <f t="shared" si="969"/>
        <v>129</v>
      </c>
      <c r="C49" s="38">
        <v>221.7</v>
      </c>
      <c r="D49" s="38">
        <f t="shared" si="1226"/>
        <v>37.799999999999983</v>
      </c>
      <c r="E49" s="39">
        <v>823233.3763</v>
      </c>
      <c r="F49" s="39">
        <v>1091513.5617</v>
      </c>
      <c r="G49" s="39">
        <v>-124.5797</v>
      </c>
      <c r="H49" s="39">
        <v>823233.24979999999</v>
      </c>
      <c r="I49" s="39">
        <v>1091513.7644</v>
      </c>
      <c r="J49" s="39">
        <v>-123.4111</v>
      </c>
      <c r="K49" s="39">
        <v>823233.45180000004</v>
      </c>
      <c r="L49" s="39">
        <v>1091513.2899</v>
      </c>
      <c r="M49" s="39">
        <v>-121.9689</v>
      </c>
      <c r="N49" s="39">
        <v>823234.10789999994</v>
      </c>
      <c r="O49" s="39">
        <v>1091511.5547</v>
      </c>
      <c r="P49" s="39">
        <v>-121.0564</v>
      </c>
      <c r="Q49" s="39">
        <v>823234.87659999996</v>
      </c>
      <c r="R49" s="39">
        <v>1091510.1487</v>
      </c>
      <c r="S49" s="39">
        <v>-121.3746</v>
      </c>
      <c r="T49" s="39">
        <v>823235.48210000002</v>
      </c>
      <c r="U49" s="39">
        <v>1091508.8999999999</v>
      </c>
      <c r="V49" s="39">
        <v>-123.4481</v>
      </c>
      <c r="W49" s="39">
        <v>823235.40879999998</v>
      </c>
      <c r="X49" s="39">
        <v>1091509.0412999999</v>
      </c>
      <c r="Y49" s="39">
        <v>-124.6233</v>
      </c>
      <c r="Z49" s="39">
        <f t="shared" si="1"/>
        <v>4.120307081983861</v>
      </c>
      <c r="AA49" s="39">
        <f t="shared" si="2"/>
        <v>3.3412156156032067</v>
      </c>
      <c r="AB49" s="39">
        <f t="shared" si="3"/>
        <v>2.0673757519765443</v>
      </c>
      <c r="AC49" s="39">
        <f t="shared" si="4"/>
        <v>1.6337034400122832</v>
      </c>
      <c r="AD49" s="39">
        <f t="shared" si="5"/>
        <v>3.8283268696125279</v>
      </c>
      <c r="AE49" s="39">
        <f t="shared" si="6"/>
        <v>4.5532731062779845</v>
      </c>
      <c r="AF49" s="39">
        <f t="shared" si="7"/>
        <v>3.5000549952091276</v>
      </c>
      <c r="AG49" s="39">
        <f t="shared" si="8"/>
        <v>5.3522817237986846</v>
      </c>
      <c r="AH49" s="39">
        <f t="shared" si="9"/>
        <v>4.9565081832098885</v>
      </c>
      <c r="AI49" s="43">
        <f t="shared" ref="AI49" si="1431">IF(Z49="","",(Z49-Z$20)*1000)+AI$18</f>
        <v>-60.037815244644577</v>
      </c>
      <c r="AJ49" s="43">
        <f t="shared" ref="AJ49" si="1432">IF(AA49="","",(AA49-AA$20)*1000)+AJ$18</f>
        <v>-50.326972114498325</v>
      </c>
      <c r="AK49" s="43">
        <f t="shared" ref="AK49" si="1433">IF(AB49="","",(AB49-AB$20)*1000)+AK$18</f>
        <v>-31.301889089339287</v>
      </c>
      <c r="AL49" s="43">
        <f t="shared" ref="AL49" si="1434">IF(AC49="","",(AC49-AC$20)*1000)+AL$18</f>
        <v>-16.693699179510133</v>
      </c>
      <c r="AM49" s="43">
        <f t="shared" ref="AM49" si="1435">IF(AD49="","",(AD49-AD$20)*1000)+AM$18</f>
        <v>-58.329550241734474</v>
      </c>
      <c r="AN49" s="43">
        <f t="shared" ref="AN49" si="1436">IF(AE49="","",(AE49-AE$20)*1000)+AN$18</f>
        <v>-37.80758361571035</v>
      </c>
      <c r="AO49" s="43">
        <f t="shared" ref="AO49" si="1437">IF(AF49="","",(AF49-AF$20)*1000)+AO$18</f>
        <v>-22.334967700434305</v>
      </c>
      <c r="AP49" s="43">
        <f t="shared" ref="AP49" si="1438">IF(AG49="","",(AG49-AG$20)*1000)+AP$18</f>
        <v>-24.250531267780318</v>
      </c>
      <c r="AQ49" s="43">
        <f t="shared" ref="AQ49" si="1439">IF(AH49="","",(AH49-AH$20)*1000)+AQ$18</f>
        <v>-21.363473085593832</v>
      </c>
      <c r="AR49" s="40"/>
      <c r="AS49" s="43">
        <f t="shared" ref="AS49" si="1440">IF(E49="","",(E49-E$20)*1000)+AS$18</f>
        <v>-0.3499999875202775</v>
      </c>
      <c r="AT49" s="43">
        <f t="shared" ref="AT49" si="1441">IF(F49="","",(F49-F$20)*1000)+AT$18</f>
        <v>-1.1500001419335604</v>
      </c>
      <c r="AU49" s="43">
        <f t="shared" ref="AU49" si="1442">IF(G49="","",(G49-G$20)*1000)+AU$18</f>
        <v>3.5000000000025011</v>
      </c>
      <c r="AV49" s="43">
        <f t="shared" ref="AV49" si="1443">IF(H49="","",(H49-H$20)*1000)+AV$18</f>
        <v>0.10000006295740604</v>
      </c>
      <c r="AW49" s="43">
        <f t="shared" ref="AW49" si="1444">IF(I49="","",(I49-I$20)*1000)+AW$18</f>
        <v>-1.3500002678483725</v>
      </c>
      <c r="AX49" s="43">
        <f t="shared" ref="AX49" si="1445">IF(J49="","",(J49-J$20)*1000)+AX$18</f>
        <v>1.7500000000012506</v>
      </c>
      <c r="AY49" s="43">
        <f t="shared" ref="AY49" si="1446">IF(K49="","",(K49-K$20)*1000)+AY$18</f>
        <v>-0.7499998901039362</v>
      </c>
      <c r="AZ49" s="43">
        <f t="shared" ref="AZ49" si="1447">IF(L49="","",(L49-L$20)*1000)+AZ$18</f>
        <v>-6.8000003229826689</v>
      </c>
      <c r="BA49" s="43">
        <f t="shared" ref="BA49" si="1448">IF(M49="","",(M49-M$20)*1000)+BA$18</f>
        <v>-8.7999999999937017</v>
      </c>
      <c r="BB49" s="43">
        <f t="shared" ref="BB49" si="1449">IF(N49="","",(N49-N$20)*1000)+BB$18</f>
        <v>-14.900000067427754</v>
      </c>
      <c r="BC49" s="43">
        <f t="shared" ref="BC49" si="1450">IF(O49="","",(O49-O$20)*1000)+BC$18</f>
        <v>-3.9999999571591616</v>
      </c>
      <c r="BD49" s="43">
        <f t="shared" ref="BD49" si="1451">IF(P49="","",(P49-P$20)*1000)+BD$18</f>
        <v>-65.849999999997522</v>
      </c>
      <c r="BE49" s="43">
        <f t="shared" ref="BE49" si="1452">IF(Q49="","",(Q49-Q$20)*1000)+BE$18</f>
        <v>3.1499998876824975</v>
      </c>
      <c r="BF49" s="43">
        <f t="shared" ref="BF49" si="1453">IF(R49="","",(R49-R$20)*1000)+BF$18</f>
        <v>15.900000231340528</v>
      </c>
      <c r="BG49" s="43">
        <f t="shared" ref="BG49" si="1454">IF(S49="","",(S49-S$20)*1000)+BG$18</f>
        <v>-31.450000000006639</v>
      </c>
      <c r="BH49" s="43">
        <f t="shared" ref="BH49" si="1455">IF(T49="","",(T49-T$20)*1000)+BH$18</f>
        <v>-8.5999998264014721</v>
      </c>
      <c r="BI49" s="43">
        <f t="shared" ref="BI49" si="1456">IF(U49="","",(U49-U$20)*1000)+BI$18</f>
        <v>21.35000005364418</v>
      </c>
      <c r="BJ49" s="43">
        <f t="shared" ref="BJ49" si="1457">IF(V49="","",(V49-V$20)*1000)+BJ$18</f>
        <v>0.90000000001566605</v>
      </c>
      <c r="BK49" s="43">
        <f t="shared" ref="BK49" si="1458">IF(W49="","",(W49-W$20)*1000)+BK$18</f>
        <v>3.0000000260770321</v>
      </c>
      <c r="BL49" s="43">
        <f t="shared" ref="BL49" si="1459">IF(X49="","",(X49-X$20)*1000)+BL$18</f>
        <v>24.049999890848994</v>
      </c>
      <c r="BM49" s="43">
        <f t="shared" ref="BM49" si="1460">IF(Y49="","",(Y49-Y$20)*1000)+BM$18</f>
        <v>-31.19999999999834</v>
      </c>
      <c r="BN49" s="40"/>
      <c r="BO49" s="39">
        <v>183.96969999999999</v>
      </c>
      <c r="BP49" s="39">
        <v>-2.4336000000000002</v>
      </c>
      <c r="BQ49" s="39">
        <v>-0.87649999999999995</v>
      </c>
      <c r="BR49" s="39">
        <v>183.9408</v>
      </c>
      <c r="BS49" s="39">
        <v>-2.6707999999999998</v>
      </c>
      <c r="BT49" s="39">
        <v>0.29239999999999999</v>
      </c>
      <c r="BU49" s="39">
        <v>183.92330000000001</v>
      </c>
      <c r="BV49" s="39">
        <v>-2.1554000000000002</v>
      </c>
      <c r="BW49" s="39">
        <v>1.7346999999999999</v>
      </c>
      <c r="BX49" s="39">
        <v>183.78450000000001</v>
      </c>
      <c r="BY49" s="39">
        <v>-0.30549999999999999</v>
      </c>
      <c r="BZ49" s="39">
        <v>2.6486000000000001</v>
      </c>
      <c r="CA49" s="39">
        <v>183.8869</v>
      </c>
      <c r="CB49" s="39">
        <v>1.2937000000000001</v>
      </c>
      <c r="CC49" s="39">
        <v>2.3294000000000001</v>
      </c>
      <c r="CD49" s="39">
        <v>183.90790000000001</v>
      </c>
      <c r="CE49" s="39">
        <v>2.6812999999999998</v>
      </c>
      <c r="CF49" s="39">
        <v>0.25569999999999998</v>
      </c>
      <c r="CG49" s="39">
        <v>183.90119999999999</v>
      </c>
      <c r="CH49" s="39">
        <v>2.5223</v>
      </c>
      <c r="CI49" s="39">
        <v>-0.9194</v>
      </c>
      <c r="CJ49" s="40"/>
      <c r="CK49" s="43">
        <f t="shared" ref="CK49" si="1461">IF(BO49="","",(BO49-BO$20)*1000)+CK$18</f>
        <v>-1.147079643374127</v>
      </c>
      <c r="CL49" s="43">
        <f t="shared" ref="CL49" si="1462">IF(BP49="","",(BP49-BP$20)*1000)+CL$18</f>
        <v>1.2276339682073534</v>
      </c>
      <c r="CM49" s="43">
        <f t="shared" ref="CM49" si="1463">IF(BQ49="","",(BQ49-BQ$20)*1000)+CM$18</f>
        <v>3.5274707964461083</v>
      </c>
      <c r="CN49" s="43">
        <f t="shared" ref="CN49" si="1464">IF(BR49="","",(BR49-BR$20)*1000)+CN$18</f>
        <v>-0.43755589766192315</v>
      </c>
      <c r="CO49" s="43">
        <f t="shared" ref="CO49" si="1465">IF(BS49="","",(BS49-BS$20)*1000)+CO$18</f>
        <v>1.1775136069007708</v>
      </c>
      <c r="CP49" s="43">
        <f t="shared" ref="CP49" si="1466">IF(BT49="","",(BT49-BT$20)*1000)+CP$18</f>
        <v>1.7833755589790612</v>
      </c>
      <c r="CQ49" s="43">
        <f t="shared" ref="CQ49" si="1467">IF(BU49="","",(BU49-BU$20)*1000)+CQ$18</f>
        <v>-3.2448854914548519</v>
      </c>
      <c r="CR49" s="43">
        <f t="shared" ref="CR49" si="1468">IF(BV49="","",(BV49-BV$20)*1000)+CR$18</f>
        <v>5.1724709854403805</v>
      </c>
      <c r="CS49" s="43">
        <f t="shared" ref="CS49" si="1469">IF(BW49="","",(BW49-BW$20)*1000)+CS$18</f>
        <v>-8.797551145071969</v>
      </c>
      <c r="CT49" s="43">
        <f t="shared" ref="CT49" si="1470">IF(BX49="","",(BX49-BX$20)*1000)+CT$18</f>
        <v>-15.081202444179098</v>
      </c>
      <c r="CU49" s="43">
        <f t="shared" ref="CU49" si="1471">IF(BY49="","",(BY49-BY$20)*1000)+CU$18</f>
        <v>-2.8811089710806534</v>
      </c>
      <c r="CV49" s="43">
        <f t="shared" ref="CV49" si="1472">IF(BZ49="","",(BZ49-BZ$20)*1000)+CV$18</f>
        <v>-65.72518797555071</v>
      </c>
      <c r="CW49" s="43">
        <f t="shared" ref="CW49" si="1473">IF(CA49="","",(CA49-CA$20)*1000)+CW$18</f>
        <v>9.1063478637636308</v>
      </c>
      <c r="CX49" s="43">
        <f t="shared" ref="CX49" si="1474">IF(CB49="","",(CB49-CB$20)*1000)+CX$18</f>
        <v>-12.32975384717383</v>
      </c>
      <c r="CY49" s="43">
        <f t="shared" ref="CY49" si="1475">IF(CC49="","",(CC49-CC$20)*1000)+CY$18</f>
        <v>-31.434063478635199</v>
      </c>
      <c r="CZ49" s="43">
        <f t="shared" ref="CZ49" si="1476">IF(CD49="","",(CD49-CD$20)*1000)+CZ$18</f>
        <v>1.2344668686807836</v>
      </c>
      <c r="DA49" s="43">
        <f t="shared" ref="DA49" si="1477">IF(CE49="","",(CE49-CE$20)*1000)+DA$18</f>
        <v>-23.02460409308571</v>
      </c>
      <c r="DB49" s="43">
        <f t="shared" ref="DB49" si="1478">IF(CF49="","",(CF49-CF$20)*1000)+DB$18</f>
        <v>0.93865533131032297</v>
      </c>
      <c r="DC49" s="43">
        <f t="shared" ref="DC49" si="1479">IF(CG49="","",(CG49-CG$20)*1000)+DC$18</f>
        <v>12.826345617668267</v>
      </c>
      <c r="DD49" s="43">
        <f t="shared" ref="DD49" si="1480">IF(CH49="","",(CH49-CH$20)*1000)+DD$18</f>
        <v>-20.364695174446279</v>
      </c>
      <c r="DE49" s="43">
        <f t="shared" ref="DE49" si="1481">IF(CI49="","",(CI49-CI$20)*1000)+DE$18</f>
        <v>-31.29926345617617</v>
      </c>
    </row>
    <row r="50" spans="1:109" ht="29.25" customHeight="1" x14ac:dyDescent="0.2">
      <c r="A50" s="37">
        <v>43790</v>
      </c>
      <c r="B50" s="29">
        <f t="shared" si="969"/>
        <v>132</v>
      </c>
      <c r="C50" s="38">
        <v>222.9</v>
      </c>
      <c r="D50" s="38">
        <f t="shared" si="1226"/>
        <v>39</v>
      </c>
      <c r="E50" s="39">
        <v>823233.37730000005</v>
      </c>
      <c r="F50" s="39">
        <v>1091513.5622</v>
      </c>
      <c r="G50" s="39">
        <v>-124.5801</v>
      </c>
      <c r="H50" s="39">
        <v>823233.25069999998</v>
      </c>
      <c r="I50" s="39">
        <v>1091513.7646999999</v>
      </c>
      <c r="J50" s="39">
        <v>-123.4114</v>
      </c>
      <c r="K50" s="39">
        <v>823233.45259999996</v>
      </c>
      <c r="L50" s="39">
        <v>1091513.2901999999</v>
      </c>
      <c r="M50" s="39">
        <v>-121.9691</v>
      </c>
      <c r="N50" s="39">
        <v>823234.10840000003</v>
      </c>
      <c r="O50" s="39">
        <v>1091511.5549999999</v>
      </c>
      <c r="P50" s="39">
        <v>-121.0568</v>
      </c>
      <c r="Q50" s="39">
        <v>823234.87699999998</v>
      </c>
      <c r="R50" s="39">
        <v>1091510.1488999999</v>
      </c>
      <c r="S50" s="39">
        <v>-121.375</v>
      </c>
      <c r="T50" s="39">
        <v>823235.48250000004</v>
      </c>
      <c r="U50" s="39">
        <v>1091508.8999999999</v>
      </c>
      <c r="V50" s="39">
        <v>-123.44840000000001</v>
      </c>
      <c r="W50" s="39">
        <v>823235.40899999999</v>
      </c>
      <c r="X50" s="39">
        <v>1091509.0412999999</v>
      </c>
      <c r="Y50" s="39">
        <v>-124.62350000000001</v>
      </c>
      <c r="Z50" s="39">
        <f t="shared" si="1"/>
        <v>4.1203157573664511</v>
      </c>
      <c r="AA50" s="39">
        <f t="shared" si="2"/>
        <v>3.3410424331513426</v>
      </c>
      <c r="AB50" s="39">
        <f t="shared" si="3"/>
        <v>2.0671922915082122</v>
      </c>
      <c r="AC50" s="39">
        <f t="shared" si="4"/>
        <v>1.6337424552199857</v>
      </c>
      <c r="AD50" s="39">
        <f t="shared" si="5"/>
        <v>3.8284365438375625</v>
      </c>
      <c r="AE50" s="39">
        <f t="shared" si="6"/>
        <v>4.5531963432236209</v>
      </c>
      <c r="AF50" s="39">
        <f t="shared" si="7"/>
        <v>3.4999479796364787</v>
      </c>
      <c r="AG50" s="39">
        <f t="shared" si="8"/>
        <v>5.3523458717309698</v>
      </c>
      <c r="AH50" s="39">
        <f t="shared" si="9"/>
        <v>4.9566344691547819</v>
      </c>
      <c r="AI50" s="43">
        <f t="shared" ref="AI50" si="1482">IF(Z50="","",(Z50-Z$20)*1000)+AI$18</f>
        <v>-60.029139862054492</v>
      </c>
      <c r="AJ50" s="43">
        <f t="shared" ref="AJ50" si="1483">IF(AA50="","",(AA50-AA$20)*1000)+AJ$18</f>
        <v>-50.500154566362369</v>
      </c>
      <c r="AK50" s="43">
        <f t="shared" ref="AK50:AK52" si="1484">IF(AB50="","",(AB50-AB$20)*1000)+AK$18</f>
        <v>-31.485349557671462</v>
      </c>
      <c r="AL50" s="43">
        <f t="shared" ref="AL50" si="1485">IF(AC50="","",(AC50-AC$20)*1000)+AL$18</f>
        <v>-16.654683971807579</v>
      </c>
      <c r="AM50" s="43">
        <f t="shared" ref="AM50" si="1486">IF(AD50="","",(AD50-AD$20)*1000)+AM$18</f>
        <v>-58.219876016699871</v>
      </c>
      <c r="AN50" s="43">
        <f t="shared" ref="AN50" si="1487">IF(AE50="","",(AE50-AE$20)*1000)+AN$18</f>
        <v>-37.884346670074009</v>
      </c>
      <c r="AO50" s="43">
        <f t="shared" ref="AO50:AO52" si="1488">IF(AF50="","",(AF50-AF$20)*1000)+AO$18</f>
        <v>-22.44198327308311</v>
      </c>
      <c r="AP50" s="43">
        <f t="shared" ref="AP50" si="1489">IF(AG50="","",(AG50-AG$20)*1000)+AP$18</f>
        <v>-24.186383335495165</v>
      </c>
      <c r="AQ50" s="43">
        <f t="shared" ref="AQ50" si="1490">IF(AH50="","",(AH50-AH$20)*1000)+AQ$18</f>
        <v>-21.237187140700442</v>
      </c>
      <c r="AR50" s="40"/>
      <c r="AS50" s="43">
        <f t="shared" ref="AS50" si="1491">IF(E50="","",(E50-E$20)*1000)+AS$18</f>
        <v>0.65000005997717381</v>
      </c>
      <c r="AT50" s="43">
        <f t="shared" ref="AT50" si="1492">IF(F50="","",(F50-F$20)*1000)+AT$18</f>
        <v>-0.65000005997717381</v>
      </c>
      <c r="AU50" s="43">
        <f t="shared" ref="AU50" si="1493">IF(G50="","",(G50-G$20)*1000)+AU$18</f>
        <v>3.1000000000034333</v>
      </c>
      <c r="AV50" s="43">
        <f t="shared" ref="AV50" si="1494">IF(H50="","",(H50-H$20)*1000)+AV$18</f>
        <v>1.0000000474974513</v>
      </c>
      <c r="AW50" s="43">
        <f t="shared" ref="AW50" si="1495">IF(I50="","",(I50-I$20)*1000)+AW$18</f>
        <v>-1.050000311806798</v>
      </c>
      <c r="AX50" s="43">
        <f t="shared" ref="AX50" si="1496">IF(J50="","",(J50-J$20)*1000)+AX$18</f>
        <v>1.4500000000055024</v>
      </c>
      <c r="AY50" s="43">
        <f t="shared" ref="AY50" si="1497">IF(K50="","",(K50-K$20)*1000)+AY$18</f>
        <v>5.0000031478703022E-2</v>
      </c>
      <c r="AZ50" s="43">
        <f t="shared" ref="AZ50" si="1498">IF(L50="","",(L50-L$20)*1000)+AZ$18</f>
        <v>-6.5000003669410944</v>
      </c>
      <c r="BA50" s="43">
        <f t="shared" ref="BA50" si="1499">IF(M50="","",(M50-M$20)*1000)+BA$18</f>
        <v>-8.9999999999861302</v>
      </c>
      <c r="BB50" s="43">
        <f t="shared" ref="BB50" si="1500">IF(N50="","",(N50-N$20)*1000)+BB$18</f>
        <v>-14.399999985471368</v>
      </c>
      <c r="BC50" s="43">
        <f t="shared" ref="BC50" si="1501">IF(O50="","",(O50-O$20)*1000)+BC$18</f>
        <v>-3.7000000011175871</v>
      </c>
      <c r="BD50" s="43">
        <f t="shared" ref="BD50" si="1502">IF(P50="","",(P50-P$20)*1000)+BD$18</f>
        <v>-66.249999999996589</v>
      </c>
      <c r="BE50" s="43">
        <f t="shared" ref="BE50" si="1503">IF(Q50="","",(Q50-Q$20)*1000)+BE$18</f>
        <v>3.549999906681478</v>
      </c>
      <c r="BF50" s="43">
        <f t="shared" ref="BF50" si="1504">IF(R50="","",(R50-R$20)*1000)+BF$18</f>
        <v>16.100000124424696</v>
      </c>
      <c r="BG50" s="43">
        <f t="shared" ref="BG50" si="1505">IF(S50="","",(S50-S$20)*1000)+BG$18</f>
        <v>-31.850000000005707</v>
      </c>
      <c r="BH50" s="43">
        <f t="shared" ref="BH50" si="1506">IF(T50="","",(T50-T$20)*1000)+BH$18</f>
        <v>-8.1999998074024916</v>
      </c>
      <c r="BI50" s="43">
        <f t="shared" ref="BI50" si="1507">IF(U50="","",(U50-U$20)*1000)+BI$18</f>
        <v>21.35000005364418</v>
      </c>
      <c r="BJ50" s="43">
        <f t="shared" ref="BJ50" si="1508">IF(V50="","",(V50-V$20)*1000)+BJ$18</f>
        <v>0.60000000000570708</v>
      </c>
      <c r="BK50" s="43">
        <f t="shared" ref="BK50" si="1509">IF(W50="","",(W50-W$20)*1000)+BK$18</f>
        <v>3.2000000355765224</v>
      </c>
      <c r="BL50" s="43">
        <f t="shared" ref="BL50" si="1510">IF(X50="","",(X50-X$20)*1000)+BL$18</f>
        <v>24.049999890848994</v>
      </c>
      <c r="BM50" s="43">
        <f t="shared" ref="BM50" si="1511">IF(Y50="","",(Y50-Y$20)*1000)+BM$18</f>
        <v>-31.400000000004979</v>
      </c>
      <c r="BN50" s="40"/>
      <c r="BO50" s="39">
        <v>183.9708</v>
      </c>
      <c r="BP50" s="39">
        <v>-2.4336000000000002</v>
      </c>
      <c r="BQ50" s="39">
        <v>-0.87690000000000001</v>
      </c>
      <c r="BR50" s="39">
        <v>183.9417</v>
      </c>
      <c r="BS50" s="39">
        <v>-2.6707000000000001</v>
      </c>
      <c r="BT50" s="39">
        <v>0.29210000000000003</v>
      </c>
      <c r="BU50" s="39">
        <v>183.92410000000001</v>
      </c>
      <c r="BV50" s="39">
        <v>-2.1553</v>
      </c>
      <c r="BW50" s="39">
        <v>1.7344999999999999</v>
      </c>
      <c r="BX50" s="39">
        <v>183.7851</v>
      </c>
      <c r="BY50" s="39">
        <v>-0.30549999999999999</v>
      </c>
      <c r="BZ50" s="39">
        <v>2.6482000000000001</v>
      </c>
      <c r="CA50" s="39">
        <v>183.88740000000001</v>
      </c>
      <c r="CB50" s="39">
        <v>1.2937000000000001</v>
      </c>
      <c r="CC50" s="39">
        <v>2.3290000000000002</v>
      </c>
      <c r="CD50" s="39">
        <v>183.9083</v>
      </c>
      <c r="CE50" s="39">
        <v>2.6815000000000002</v>
      </c>
      <c r="CF50" s="39">
        <v>0.25540000000000002</v>
      </c>
      <c r="CG50" s="39">
        <v>183.9014</v>
      </c>
      <c r="CH50" s="39">
        <v>2.5223</v>
      </c>
      <c r="CI50" s="39">
        <v>-0.91959999999999997</v>
      </c>
      <c r="CJ50" s="40"/>
      <c r="CK50" s="43">
        <f t="shared" ref="CK50" si="1512">IF(BO50="","",(BO50-BO$20)*1000)+CK$18</f>
        <v>-4.7079643366032542E-2</v>
      </c>
      <c r="CL50" s="43">
        <f t="shared" ref="CL50" si="1513">IF(BP50="","",(BP50-BP$20)*1000)+CL$18</f>
        <v>1.2276339682073534</v>
      </c>
      <c r="CM50" s="43">
        <f t="shared" ref="CM50" si="1514">IF(BQ50="","",(BQ50-BQ$20)*1000)+CM$18</f>
        <v>3.1274707964460413</v>
      </c>
      <c r="CN50" s="43">
        <f t="shared" ref="CN50" si="1515">IF(BR50="","",(BR50-BR$20)*1000)+CN$18</f>
        <v>0.46244410233953204</v>
      </c>
      <c r="CO50" s="43">
        <f t="shared" ref="CO50" si="1516">IF(BS50="","",(BS50-BS$20)*1000)+CO$18</f>
        <v>1.2775136069005377</v>
      </c>
      <c r="CP50" s="43">
        <f t="shared" ref="CP50" si="1517">IF(BT50="","",(BT50-BT$20)*1000)+CP$18</f>
        <v>1.4833755589790942</v>
      </c>
      <c r="CQ50" s="43">
        <f t="shared" ref="CQ50" si="1518">IF(BU50="","",(BU50-BU$20)*1000)+CQ$18</f>
        <v>-2.4448854914567164</v>
      </c>
      <c r="CR50" s="43">
        <f t="shared" ref="CR50" si="1519">IF(BV50="","",(BV50-BV$20)*1000)+CR$18</f>
        <v>5.2724709854405916</v>
      </c>
      <c r="CS50" s="43">
        <f t="shared" ref="CS50" si="1520">IF(BW50="","",(BW50-BW$20)*1000)+CS$18</f>
        <v>-8.997551145071947</v>
      </c>
      <c r="CT50" s="43">
        <f t="shared" ref="CT50" si="1521">IF(BX50="","",(BX50-BX$20)*1000)+CT$18</f>
        <v>-14.481202444187602</v>
      </c>
      <c r="CU50" s="43">
        <f t="shared" ref="CU50" si="1522">IF(BY50="","",(BY50-BY$20)*1000)+CU$18</f>
        <v>-2.8811089710806534</v>
      </c>
      <c r="CV50" s="43">
        <f t="shared" ref="CV50" si="1523">IF(BZ50="","",(BZ50-BZ$20)*1000)+CV$18</f>
        <v>-66.125187975550659</v>
      </c>
      <c r="CW50" s="43">
        <f t="shared" ref="CW50" si="1524">IF(CA50="","",(CA50-CA$20)*1000)+CW$18</f>
        <v>9.6063478637802291</v>
      </c>
      <c r="CX50" s="43">
        <f t="shared" ref="CX50" si="1525">IF(CB50="","",(CB50-CB$20)*1000)+CX$18</f>
        <v>-12.32975384717383</v>
      </c>
      <c r="CY50" s="43">
        <f t="shared" ref="CY50" si="1526">IF(CC50="","",(CC50-CC$20)*1000)+CY$18</f>
        <v>-31.834063478635155</v>
      </c>
      <c r="CZ50" s="43">
        <f t="shared" ref="CZ50" si="1527">IF(CD50="","",(CD50-CD$20)*1000)+CZ$18</f>
        <v>1.6344668686656405</v>
      </c>
      <c r="DA50" s="43">
        <f t="shared" ref="DA50" si="1528">IF(CE50="","",(CE50-CE$20)*1000)+DA$18</f>
        <v>-22.824604093085288</v>
      </c>
      <c r="DB50" s="43">
        <f t="shared" ref="DB50" si="1529">IF(CF50="","",(CF50-CF$20)*1000)+DB$18</f>
        <v>0.63865533131035601</v>
      </c>
      <c r="DC50" s="43">
        <f t="shared" ref="DC50" si="1530">IF(CG50="","",(CG50-CG$20)*1000)+DC$18</f>
        <v>13.026345617674906</v>
      </c>
      <c r="DD50" s="43">
        <f t="shared" ref="DD50" si="1531">IF(CH50="","",(CH50-CH$20)*1000)+DD$18</f>
        <v>-20.364695174446279</v>
      </c>
      <c r="DE50" s="43">
        <f t="shared" ref="DE50" si="1532">IF(CI50="","",(CI50-CI$20)*1000)+DE$18</f>
        <v>-31.499263456176148</v>
      </c>
    </row>
    <row r="51" spans="1:109" ht="29.25" customHeight="1" x14ac:dyDescent="0.2">
      <c r="A51" s="37">
        <v>43795</v>
      </c>
      <c r="B51" s="29">
        <f t="shared" si="969"/>
        <v>137</v>
      </c>
      <c r="C51" s="38">
        <v>222.9</v>
      </c>
      <c r="D51" s="38">
        <f t="shared" si="1226"/>
        <v>39</v>
      </c>
      <c r="E51" s="39">
        <v>823233.37620000006</v>
      </c>
      <c r="F51" s="39">
        <v>1091513.5608000001</v>
      </c>
      <c r="G51" s="39">
        <v>-124.5801</v>
      </c>
      <c r="H51" s="39">
        <v>823233.24939999997</v>
      </c>
      <c r="I51" s="39">
        <v>1091513.7631999999</v>
      </c>
      <c r="J51" s="39">
        <v>-123.4117</v>
      </c>
      <c r="K51" s="39" t="s">
        <v>61</v>
      </c>
      <c r="L51" s="39" t="s">
        <v>61</v>
      </c>
      <c r="M51" s="39" t="s">
        <v>61</v>
      </c>
      <c r="N51" s="39">
        <v>823234.10730000003</v>
      </c>
      <c r="O51" s="39">
        <v>1091511.554</v>
      </c>
      <c r="P51" s="39">
        <v>-121.05759999999999</v>
      </c>
      <c r="Q51" s="39">
        <v>823234.87560000003</v>
      </c>
      <c r="R51" s="39">
        <v>1091510.1477000001</v>
      </c>
      <c r="S51" s="39">
        <v>-121.37569999999999</v>
      </c>
      <c r="T51" s="39">
        <v>823235.48129999998</v>
      </c>
      <c r="U51" s="39">
        <v>1091508.8992999999</v>
      </c>
      <c r="V51" s="39">
        <v>-123.4486</v>
      </c>
      <c r="W51" s="39">
        <v>823235.40800000005</v>
      </c>
      <c r="X51" s="39">
        <v>1091509.0404999999</v>
      </c>
      <c r="Y51" s="39">
        <v>-124.6237</v>
      </c>
      <c r="Z51" s="39">
        <f t="shared" si="1"/>
        <v>4.1194368183437335</v>
      </c>
      <c r="AA51" s="39">
        <f t="shared" si="2"/>
        <v>3.3404107321962715</v>
      </c>
      <c r="AB51" s="39"/>
      <c r="AC51" s="39">
        <f t="shared" si="4"/>
        <v>1.6337540175176608</v>
      </c>
      <c r="AD51" s="39">
        <f t="shared" si="5"/>
        <v>3.8278177974207757</v>
      </c>
      <c r="AE51" s="39">
        <f t="shared" si="6"/>
        <v>4.552644500797987</v>
      </c>
      <c r="AF51" s="39"/>
      <c r="AG51" s="39">
        <f t="shared" si="8"/>
        <v>5.3516597827241643</v>
      </c>
      <c r="AH51" s="39">
        <f t="shared" si="9"/>
        <v>4.9561299712440761</v>
      </c>
      <c r="AI51" s="43">
        <f t="shared" ref="AI51" si="1533">IF(Z51="","",(Z51-Z$20)*1000)+AI$18</f>
        <v>-60.90807888477201</v>
      </c>
      <c r="AJ51" s="43">
        <f t="shared" ref="AJ51" si="1534">IF(AA51="","",(AA51-AA$20)*1000)+AJ$18</f>
        <v>-51.131855521433508</v>
      </c>
      <c r="AK51" s="43"/>
      <c r="AL51" s="43">
        <f t="shared" ref="AL51" si="1535">IF(AC51="","",(AC51-AC$20)*1000)+AL$18</f>
        <v>-16.643121674132509</v>
      </c>
      <c r="AM51" s="43">
        <f t="shared" ref="AM51" si="1536">IF(AD51="","",(AD51-AD$20)*1000)+AM$18</f>
        <v>-58.838622433486698</v>
      </c>
      <c r="AN51" s="43">
        <f t="shared" ref="AN51" si="1537">IF(AE51="","",(AE51-AE$20)*1000)+AN$18</f>
        <v>-38.436189095707896</v>
      </c>
      <c r="AO51" s="43"/>
      <c r="AP51" s="43">
        <f t="shared" ref="AP51" si="1538">IF(AG51="","",(AG51-AG$20)*1000)+AP$18</f>
        <v>-24.872472342300611</v>
      </c>
      <c r="AQ51" s="43">
        <f t="shared" ref="AQ51" si="1539">IF(AH51="","",(AH51-AH$20)*1000)+AQ$18</f>
        <v>-21.741685051406279</v>
      </c>
      <c r="AR51" s="40"/>
      <c r="AS51" s="43">
        <f t="shared" ref="AS51:AS52" si="1540">IF(E51="","",(E51-E$20)*1000)+AS$18</f>
        <v>-0.44999993406236172</v>
      </c>
      <c r="AT51" s="43">
        <f t="shared" ref="AT51:AT52" si="1541">IF(F51="","",(F51-F$20)*1000)+AT$18</f>
        <v>-2.0500000100582838</v>
      </c>
      <c r="AU51" s="43">
        <f t="shared" ref="AU51:AU52" si="1542">IF(G51="","",(G51-G$20)*1000)+AU$18</f>
        <v>3.1000000000034333</v>
      </c>
      <c r="AV51" s="43">
        <f t="shared" ref="AV51:AV52" si="1543">IF(H51="","",(H51-H$20)*1000)+AV$18</f>
        <v>-0.29999995604157448</v>
      </c>
      <c r="AW51" s="43">
        <f t="shared" ref="AW51:AW52" si="1544">IF(I51="","",(I51-I$20)*1000)+AW$18</f>
        <v>-2.550000324845314</v>
      </c>
      <c r="AX51" s="43">
        <f t="shared" ref="AX51:AX52" si="1545">IF(J51="","",(J51-J$20)*1000)+AX$18</f>
        <v>1.1500000000097543</v>
      </c>
      <c r="AY51" s="43"/>
      <c r="AZ51" s="43"/>
      <c r="BA51" s="43"/>
      <c r="BB51" s="43">
        <f t="shared" ref="BB51:BB52" si="1546">IF(N51="","",(N51-N$20)*1000)+BB$18</f>
        <v>-15.499999979510903</v>
      </c>
      <c r="BC51" s="43">
        <f t="shared" ref="BC51:BC52" si="1547">IF(O51="","",(O51-O$20)*1000)+BC$18</f>
        <v>-4.6999999321997166</v>
      </c>
      <c r="BD51" s="43">
        <f t="shared" ref="BD51:BD52" si="1548">IF(P51="","",(P51-P$20)*1000)+BD$18</f>
        <v>-67.049999999994725</v>
      </c>
      <c r="BE51" s="43">
        <f t="shared" ref="BE51:BE52" si="1549">IF(Q51="","",(Q51-Q$20)*1000)+BE$18</f>
        <v>2.149999956600368</v>
      </c>
      <c r="BF51" s="43">
        <f t="shared" ref="BF51:BF52" si="1550">IF(R51="","",(R51-R$20)*1000)+BF$18</f>
        <v>14.900000300258398</v>
      </c>
      <c r="BG51" s="43">
        <f t="shared" ref="BG51:BG52" si="1551">IF(S51="","",(S51-S$20)*1000)+BG$18</f>
        <v>-32.550000000000523</v>
      </c>
      <c r="BH51" s="43">
        <f t="shared" ref="BH51:BH52" si="1552">IF(T51="","",(T51-T$20)*1000)+BH$18</f>
        <v>-9.3999998643994331</v>
      </c>
      <c r="BI51" s="43">
        <f t="shared" ref="BI51:BI52" si="1553">IF(U51="","",(U51-U$20)*1000)+BI$18</f>
        <v>20.650000078603625</v>
      </c>
      <c r="BJ51" s="43">
        <f t="shared" ref="BJ51:BJ52" si="1554">IF(V51="","",(V51-V$20)*1000)+BJ$18</f>
        <v>0.40000000001327862</v>
      </c>
      <c r="BK51" s="43">
        <f t="shared" ref="BK51:BK52" si="1555">IF(W51="","",(W51-W$20)*1000)+BK$18</f>
        <v>2.2000001044943929</v>
      </c>
      <c r="BL51" s="43">
        <f t="shared" ref="BL51:BL52" si="1556">IF(X51="","",(X51-X$20)*1000)+BL$18</f>
        <v>23.249999852851033</v>
      </c>
      <c r="BM51" s="43">
        <f t="shared" ref="BM51:BM52" si="1557">IF(Y51="","",(Y51-Y$20)*1000)+BM$18</f>
        <v>-31.599999999997408</v>
      </c>
      <c r="BN51" s="40"/>
      <c r="BO51" s="39">
        <v>183.9693</v>
      </c>
      <c r="BP51" s="39">
        <v>-2.4327999999999999</v>
      </c>
      <c r="BQ51" s="39">
        <v>-0.87690000000000001</v>
      </c>
      <c r="BR51" s="39">
        <v>183.93989999999999</v>
      </c>
      <c r="BS51" s="39">
        <v>-2.6698</v>
      </c>
      <c r="BT51" s="39">
        <v>0.2918</v>
      </c>
      <c r="BU51" s="39" t="s">
        <v>61</v>
      </c>
      <c r="BV51" s="39" t="s">
        <v>61</v>
      </c>
      <c r="BW51" s="39" t="s">
        <v>61</v>
      </c>
      <c r="BX51" s="39">
        <v>183.78370000000001</v>
      </c>
      <c r="BY51" s="39">
        <v>-0.30509999999999998</v>
      </c>
      <c r="BZ51" s="39">
        <v>2.6474000000000002</v>
      </c>
      <c r="CA51" s="39">
        <v>183.88560000000001</v>
      </c>
      <c r="CB51" s="39">
        <v>1.2942</v>
      </c>
      <c r="CC51" s="39">
        <v>2.3283</v>
      </c>
      <c r="CD51" s="39">
        <v>183.90690000000001</v>
      </c>
      <c r="CE51" s="39">
        <v>2.6816</v>
      </c>
      <c r="CF51" s="39">
        <v>0.25519999999999998</v>
      </c>
      <c r="CG51" s="39">
        <v>183.90010000000001</v>
      </c>
      <c r="CH51" s="39">
        <v>2.5226000000000002</v>
      </c>
      <c r="CI51" s="39">
        <v>-0.91979999999999995</v>
      </c>
      <c r="CJ51" s="40"/>
      <c r="CK51" s="43">
        <f t="shared" ref="CK51:CK52" si="1558">IF(BO51="","",(BO51-BO$20)*1000)+CK$18</f>
        <v>-1.547079643358984</v>
      </c>
      <c r="CL51" s="43">
        <f t="shared" ref="CL51:CL52" si="1559">IF(BP51="","",(BP51-BP$20)*1000)+CL$18</f>
        <v>2.0276339682077094</v>
      </c>
      <c r="CM51" s="43">
        <f t="shared" ref="CM51:CM52" si="1560">IF(BQ51="","",(BQ51-BQ$20)*1000)+CM$18</f>
        <v>3.1274707964460413</v>
      </c>
      <c r="CN51" s="43">
        <f t="shared" ref="CN51:CN52" si="1561">IF(BR51="","",(BR51-BR$20)*1000)+CN$18</f>
        <v>-1.3375558976633783</v>
      </c>
      <c r="CO51" s="43">
        <f t="shared" ref="CO51:CO52" si="1562">IF(BS51="","",(BS51-BS$20)*1000)+CO$18</f>
        <v>2.1775136069006606</v>
      </c>
      <c r="CP51" s="43">
        <f t="shared" ref="CP51:CP52" si="1563">IF(BT51="","",(BT51-BT$20)*1000)+CP$18</f>
        <v>1.1833755589790718</v>
      </c>
      <c r="CQ51" s="43"/>
      <c r="CR51" s="43"/>
      <c r="CS51" s="43"/>
      <c r="CT51" s="43">
        <f t="shared" ref="CT51:CT52" si="1564">IF(BX51="","",(BX51-BX$20)*1000)+CT$18</f>
        <v>-15.881202444177234</v>
      </c>
      <c r="CU51" s="43">
        <f t="shared" ref="CU51:CU52" si="1565">IF(BY51="","",(BY51-BY$20)*1000)+CU$18</f>
        <v>-2.4811089710806424</v>
      </c>
      <c r="CV51" s="43">
        <f t="shared" ref="CV51:CV52" si="1566">IF(BZ51="","",(BZ51-BZ$20)*1000)+CV$18</f>
        <v>-66.925187975550585</v>
      </c>
      <c r="CW51" s="43">
        <f t="shared" ref="CW51:CW52" si="1567">IF(CA51="","",(CA51-CA$20)*1000)+CW$18</f>
        <v>7.8063478637773187</v>
      </c>
      <c r="CX51" s="43">
        <f t="shared" ref="CX51:CX52" si="1568">IF(CB51="","",(CB51-CB$20)*1000)+CX$18</f>
        <v>-11.829753847173885</v>
      </c>
      <c r="CY51" s="43">
        <f t="shared" ref="CY51:CY52" si="1569">IF(CC51="","",(CC51-CC$20)*1000)+CY$18</f>
        <v>-32.534063478635304</v>
      </c>
      <c r="CZ51" s="43">
        <f t="shared" ref="CZ51:CZ52" si="1570">IF(CD51="","",(CD51-CD$20)*1000)+CZ$18</f>
        <v>0.23446686867600874</v>
      </c>
      <c r="DA51" s="43">
        <f t="shared" ref="DA51:DA52" si="1571">IF(CE51="","",(CE51-CE$20)*1000)+DA$18</f>
        <v>-22.724604093085521</v>
      </c>
      <c r="DB51" s="43">
        <f t="shared" ref="DB51:DB52" si="1572">IF(CF51="","",(CF51-CF$20)*1000)+DB$18</f>
        <v>0.43865533131032253</v>
      </c>
      <c r="DC51" s="43">
        <f t="shared" ref="DC51:DC52" si="1573">IF(CG51="","",(CG51-CG$20)*1000)+DC$18</f>
        <v>11.726345617688594</v>
      </c>
      <c r="DD51" s="43">
        <f t="shared" ref="DD51:DD52" si="1574">IF(CH51="","",(CH51-CH$20)*1000)+DD$18</f>
        <v>-20.06469517444609</v>
      </c>
      <c r="DE51" s="43">
        <f t="shared" ref="DE51:DE52" si="1575">IF(CI51="","",(CI51-CI$20)*1000)+DE$18</f>
        <v>-31.699263456176126</v>
      </c>
    </row>
    <row r="52" spans="1:109" ht="29.25" customHeight="1" x14ac:dyDescent="0.2">
      <c r="A52" s="37">
        <v>43797</v>
      </c>
      <c r="B52" s="29">
        <f t="shared" si="969"/>
        <v>139</v>
      </c>
      <c r="C52" s="38">
        <v>222.9</v>
      </c>
      <c r="D52" s="38">
        <f t="shared" si="1226"/>
        <v>39</v>
      </c>
      <c r="E52" s="39">
        <v>823233.37609999999</v>
      </c>
      <c r="F52" s="39">
        <v>1091513.5589999999</v>
      </c>
      <c r="G52" s="39">
        <v>-124.5802</v>
      </c>
      <c r="H52" s="39">
        <v>823233.24970000004</v>
      </c>
      <c r="I52" s="39">
        <v>1091513.7614</v>
      </c>
      <c r="J52" s="39">
        <v>-123.4117</v>
      </c>
      <c r="K52" s="39">
        <v>823233.45559999999</v>
      </c>
      <c r="L52" s="39">
        <v>1091513.287</v>
      </c>
      <c r="M52" s="39">
        <v>-121.9689</v>
      </c>
      <c r="N52" s="39">
        <v>823234.10679999995</v>
      </c>
      <c r="O52" s="39">
        <v>1091511.5522</v>
      </c>
      <c r="P52" s="39">
        <v>-121.0587</v>
      </c>
      <c r="Q52" s="39">
        <v>823234.87529999996</v>
      </c>
      <c r="R52" s="39">
        <v>1091510.1464</v>
      </c>
      <c r="S52" s="39">
        <v>-121.3762</v>
      </c>
      <c r="T52" s="39">
        <v>823235.48100000003</v>
      </c>
      <c r="U52" s="39">
        <v>1091508.8977999999</v>
      </c>
      <c r="V52" s="39">
        <v>-123.449</v>
      </c>
      <c r="W52" s="39">
        <v>823235.40780000004</v>
      </c>
      <c r="X52" s="39">
        <v>1091509.0393000001</v>
      </c>
      <c r="Y52" s="39">
        <v>-124.6238</v>
      </c>
      <c r="Z52" s="39">
        <f t="shared" si="1"/>
        <v>4.1185107720344343</v>
      </c>
      <c r="AA52" s="39">
        <f t="shared" si="2"/>
        <v>3.3394301983283312</v>
      </c>
      <c r="AB52" s="39">
        <f t="shared" si="3"/>
        <v>2.0644748775103836</v>
      </c>
      <c r="AC52" s="39">
        <f t="shared" si="4"/>
        <v>1.6333009949773423</v>
      </c>
      <c r="AD52" s="39">
        <f t="shared" si="5"/>
        <v>3.8272443207653417</v>
      </c>
      <c r="AE52" s="39">
        <f t="shared" si="6"/>
        <v>4.5516156933671601</v>
      </c>
      <c r="AF52" s="39">
        <f t="shared" si="7"/>
        <v>3.4971716772529233</v>
      </c>
      <c r="AG52" s="39">
        <f t="shared" si="8"/>
        <v>5.3511396861161877</v>
      </c>
      <c r="AH52" s="39">
        <f t="shared" si="9"/>
        <v>4.9555417401799975</v>
      </c>
      <c r="AI52" s="43">
        <f t="shared" ref="AI52" si="1576">IF(Z52="","",(Z52-Z$20)*1000)+AI$18</f>
        <v>-61.834125194071277</v>
      </c>
      <c r="AJ52" s="43">
        <f t="shared" ref="AJ52" si="1577">IF(AA52="","",(AA52-AA$20)*1000)+AJ$18</f>
        <v>-52.112389389373789</v>
      </c>
      <c r="AK52" s="43">
        <f t="shared" si="1484"/>
        <v>-34.202763555500006</v>
      </c>
      <c r="AL52" s="43">
        <f t="shared" ref="AL52" si="1578">IF(AC52="","",(AC52-AC$20)*1000)+AL$18</f>
        <v>-17.096144214451044</v>
      </c>
      <c r="AM52" s="43">
        <f t="shared" ref="AM52" si="1579">IF(AD52="","",(AD52-AD$20)*1000)+AM$18</f>
        <v>-59.412099088920641</v>
      </c>
      <c r="AN52" s="43">
        <f t="shared" ref="AN52" si="1580">IF(AE52="","",(AE52-AE$20)*1000)+AN$18</f>
        <v>-39.46499652653479</v>
      </c>
      <c r="AO52" s="43">
        <f t="shared" si="1488"/>
        <v>-25.218285656638528</v>
      </c>
      <c r="AP52" s="43">
        <f t="shared" ref="AP52" si="1581">IF(AG52="","",(AG52-AG$20)*1000)+AP$18</f>
        <v>-25.392568950277195</v>
      </c>
      <c r="AQ52" s="43">
        <f t="shared" ref="AQ52" si="1582">IF(AH52="","",(AH52-AH$20)*1000)+AQ$18</f>
        <v>-22.329916115484849</v>
      </c>
      <c r="AR52" s="40"/>
      <c r="AS52" s="43">
        <f t="shared" si="1540"/>
        <v>-0.54999999701976776</v>
      </c>
      <c r="AT52" s="43">
        <f t="shared" si="1541"/>
        <v>-3.850000211969018</v>
      </c>
      <c r="AU52" s="43">
        <f t="shared" si="1542"/>
        <v>3.0000000000001137</v>
      </c>
      <c r="AV52" s="43">
        <f t="shared" si="1543"/>
        <v>1.1641532182693481E-7</v>
      </c>
      <c r="AW52" s="43">
        <f t="shared" si="1544"/>
        <v>-4.3500002939254045</v>
      </c>
      <c r="AX52" s="43">
        <f t="shared" si="1545"/>
        <v>1.1500000000097543</v>
      </c>
      <c r="AY52" s="43">
        <f t="shared" ref="AY52" si="1583">IF(K52="","",(K52-K$20)*1000)+AY$18</f>
        <v>3.0500000575557351</v>
      </c>
      <c r="AZ52" s="43">
        <f t="shared" ref="AZ52" si="1584">IF(L52="","",(L52-L$20)*1000)+AZ$18</f>
        <v>-9.7000002861022949</v>
      </c>
      <c r="BA52" s="43">
        <f t="shared" ref="BA52" si="1585">IF(M52="","",(M52-M$20)*1000)+BA$18</f>
        <v>-8.7999999999937017</v>
      </c>
      <c r="BB52" s="43">
        <f t="shared" si="1546"/>
        <v>-16.00000006146729</v>
      </c>
      <c r="BC52" s="43">
        <f t="shared" si="1547"/>
        <v>-6.4999999012798071</v>
      </c>
      <c r="BD52" s="43">
        <f t="shared" si="1548"/>
        <v>-68.150000000002819</v>
      </c>
      <c r="BE52" s="43">
        <f t="shared" si="1549"/>
        <v>1.8499998841434717</v>
      </c>
      <c r="BF52" s="43">
        <f t="shared" si="1550"/>
        <v>13.60000018030405</v>
      </c>
      <c r="BG52" s="43">
        <f t="shared" si="1551"/>
        <v>-33.05000000000291</v>
      </c>
      <c r="BH52" s="43">
        <f t="shared" si="1552"/>
        <v>-9.6999998204410076</v>
      </c>
      <c r="BI52" s="43">
        <f t="shared" si="1553"/>
        <v>19.150000065565109</v>
      </c>
      <c r="BJ52" s="43">
        <f t="shared" si="1554"/>
        <v>1.4210854715202004E-11</v>
      </c>
      <c r="BK52" s="43">
        <f t="shared" si="1555"/>
        <v>2.0000000949949026</v>
      </c>
      <c r="BL52" s="43">
        <f t="shared" si="1556"/>
        <v>22.050000028684735</v>
      </c>
      <c r="BM52" s="43">
        <f t="shared" si="1557"/>
        <v>-31.700000000000728</v>
      </c>
      <c r="BN52" s="40"/>
      <c r="BO52" s="39">
        <v>183.9684</v>
      </c>
      <c r="BP52" s="39">
        <v>-2.4312</v>
      </c>
      <c r="BQ52" s="39">
        <v>-0.877</v>
      </c>
      <c r="BR52" s="39">
        <v>183.93940000000001</v>
      </c>
      <c r="BS52" s="39">
        <v>-2.6680999999999999</v>
      </c>
      <c r="BT52" s="39">
        <v>0.2918</v>
      </c>
      <c r="BU52" s="39">
        <v>183.9255</v>
      </c>
      <c r="BV52" s="39">
        <v>-2.1511</v>
      </c>
      <c r="BW52" s="39">
        <v>1.7346999999999999</v>
      </c>
      <c r="BX52" s="39">
        <v>183.7825</v>
      </c>
      <c r="BY52" s="39">
        <v>-0.30370000000000003</v>
      </c>
      <c r="BZ52" s="39">
        <v>2.6463999999999999</v>
      </c>
      <c r="CA52" s="39">
        <v>183.88480000000001</v>
      </c>
      <c r="CB52" s="39">
        <v>1.2951999999999999</v>
      </c>
      <c r="CC52" s="39">
        <v>2.3277999999999999</v>
      </c>
      <c r="CD52" s="39">
        <v>183.90600000000001</v>
      </c>
      <c r="CE52" s="39">
        <v>2.6827999999999999</v>
      </c>
      <c r="CF52" s="39">
        <v>0.25480000000000003</v>
      </c>
      <c r="CG52" s="39">
        <v>183.89949999999999</v>
      </c>
      <c r="CH52" s="39">
        <v>2.5236000000000001</v>
      </c>
      <c r="CI52" s="39">
        <v>-0.91990000000000005</v>
      </c>
      <c r="CJ52" s="40"/>
      <c r="CK52" s="43">
        <f t="shared" si="1558"/>
        <v>-2.4470796433604391</v>
      </c>
      <c r="CL52" s="43">
        <f t="shared" si="1559"/>
        <v>3.6276339682075331</v>
      </c>
      <c r="CM52" s="43">
        <f t="shared" si="1560"/>
        <v>3.0274707964460523</v>
      </c>
      <c r="CN52" s="43">
        <f t="shared" si="1561"/>
        <v>-1.8375558976515549</v>
      </c>
      <c r="CO52" s="43">
        <f t="shared" si="1562"/>
        <v>3.8775136069006955</v>
      </c>
      <c r="CP52" s="43">
        <f t="shared" si="1563"/>
        <v>1.1833755589790718</v>
      </c>
      <c r="CQ52" s="43">
        <f t="shared" ref="CQ52" si="1586">IF(BU52="","",(BU52-BU$20)*1000)+CQ$18</f>
        <v>-1.0448854914670846</v>
      </c>
      <c r="CR52" s="43">
        <f t="shared" ref="CR52" si="1587">IF(BV52="","",(BV52-BV$20)*1000)+CR$18</f>
        <v>9.4724709854405731</v>
      </c>
      <c r="CS52" s="43">
        <f t="shared" ref="CS52" si="1588">IF(BW52="","",(BW52-BW$20)*1000)+CS$18</f>
        <v>-8.797551145071969</v>
      </c>
      <c r="CT52" s="43">
        <f t="shared" si="1564"/>
        <v>-17.081202444188648</v>
      </c>
      <c r="CU52" s="43">
        <f t="shared" si="1565"/>
        <v>-1.0811089710806854</v>
      </c>
      <c r="CV52" s="43">
        <f t="shared" si="1566"/>
        <v>-67.925187975550912</v>
      </c>
      <c r="CW52" s="43">
        <f t="shared" si="1567"/>
        <v>7.0063478637791832</v>
      </c>
      <c r="CX52" s="43">
        <f t="shared" si="1568"/>
        <v>-10.829753847173995</v>
      </c>
      <c r="CY52" s="43">
        <f t="shared" si="1569"/>
        <v>-33.034063478635467</v>
      </c>
      <c r="CZ52" s="43">
        <f t="shared" si="1570"/>
        <v>-0.66553313132544645</v>
      </c>
      <c r="DA52" s="43">
        <f t="shared" si="1571"/>
        <v>-21.524604093085653</v>
      </c>
      <c r="DB52" s="43">
        <f t="shared" si="1572"/>
        <v>3.8655331310366581E-2</v>
      </c>
      <c r="DC52" s="43">
        <f t="shared" si="1573"/>
        <v>11.126345617668676</v>
      </c>
      <c r="DD52" s="43">
        <f t="shared" si="1574"/>
        <v>-19.0646951744462</v>
      </c>
      <c r="DE52" s="43">
        <f t="shared" si="1575"/>
        <v>-31.799263456176227</v>
      </c>
    </row>
    <row r="53" spans="1:109" ht="29.25" customHeight="1" x14ac:dyDescent="0.2">
      <c r="A53" s="37">
        <v>43798</v>
      </c>
      <c r="B53" s="29">
        <f t="shared" si="969"/>
        <v>140</v>
      </c>
      <c r="C53" s="38">
        <v>222.9</v>
      </c>
      <c r="D53" s="38">
        <f t="shared" ref="D53" si="1589">C53-PM</f>
        <v>39</v>
      </c>
      <c r="E53" s="39">
        <v>823233.37540000002</v>
      </c>
      <c r="F53" s="39">
        <v>1091513.5612000001</v>
      </c>
      <c r="G53" s="39">
        <v>-124.57989999999999</v>
      </c>
      <c r="H53" s="39">
        <v>823233.24879999994</v>
      </c>
      <c r="I53" s="39">
        <v>1091513.7633</v>
      </c>
      <c r="J53" s="39">
        <v>-123.4114</v>
      </c>
      <c r="K53" s="39">
        <v>823233.45460000006</v>
      </c>
      <c r="L53" s="39">
        <v>1091513.2888</v>
      </c>
      <c r="M53" s="39">
        <v>-121.96850000000001</v>
      </c>
      <c r="N53" s="39">
        <v>823234.10589999997</v>
      </c>
      <c r="O53" s="39">
        <v>1091511.5543</v>
      </c>
      <c r="P53" s="39">
        <v>-121.0592</v>
      </c>
      <c r="Q53" s="39">
        <v>823234.87520000001</v>
      </c>
      <c r="R53" s="39">
        <v>1091510.1486</v>
      </c>
      <c r="S53" s="39">
        <v>-121.3758</v>
      </c>
      <c r="T53" s="39">
        <v>823235.48100000003</v>
      </c>
      <c r="U53" s="39">
        <v>1091508.9001</v>
      </c>
      <c r="V53" s="39">
        <v>-123.4485</v>
      </c>
      <c r="W53" s="39">
        <v>823235.40749999997</v>
      </c>
      <c r="X53" s="39">
        <v>1091509.0416999999</v>
      </c>
      <c r="Y53" s="39">
        <v>-124.6234</v>
      </c>
      <c r="Z53" s="39">
        <f t="shared" si="1"/>
        <v>4.1178400103132864</v>
      </c>
      <c r="AA53" s="39">
        <f t="shared" si="2"/>
        <v>3.3387342287428559</v>
      </c>
      <c r="AB53" s="39">
        <f t="shared" si="3"/>
        <v>2.0638576573868597</v>
      </c>
      <c r="AC53" s="39">
        <f t="shared" si="4"/>
        <v>1.6334168298616969</v>
      </c>
      <c r="AD53" s="39">
        <f t="shared" si="5"/>
        <v>3.826804429301256</v>
      </c>
      <c r="AE53" s="39">
        <f t="shared" si="6"/>
        <v>4.5509167164537709</v>
      </c>
      <c r="AF53" s="39">
        <f t="shared" si="7"/>
        <v>3.4971779608731222</v>
      </c>
      <c r="AG53" s="39">
        <f t="shared" si="8"/>
        <v>5.3511501091441547</v>
      </c>
      <c r="AH53" s="39">
        <f t="shared" si="9"/>
        <v>4.9555224660313417</v>
      </c>
      <c r="AI53" s="43">
        <f t="shared" ref="AI53" si="1590">IF(Z53="","",(Z53-Z$20)*1000)+AI$18</f>
        <v>-62.50488691521916</v>
      </c>
      <c r="AJ53" s="43">
        <f t="shared" ref="AJ53" si="1591">IF(AA53="","",(AA53-AA$20)*1000)+AJ$18</f>
        <v>-52.808358974849142</v>
      </c>
      <c r="AK53" s="43">
        <f t="shared" ref="AK53" si="1592">IF(AB53="","",(AB53-AB$20)*1000)+AK$18</f>
        <v>-34.819983679023949</v>
      </c>
      <c r="AL53" s="43">
        <f t="shared" ref="AL53" si="1593">IF(AC53="","",(AC53-AC$20)*1000)+AL$18</f>
        <v>-16.980309330096418</v>
      </c>
      <c r="AM53" s="43">
        <f t="shared" ref="AM53" si="1594">IF(AD53="","",(AD53-AD$20)*1000)+AM$18</f>
        <v>-59.851990553006388</v>
      </c>
      <c r="AN53" s="43">
        <f t="shared" ref="AN53" si="1595">IF(AE53="","",(AE53-AE$20)*1000)+AN$18</f>
        <v>-40.16397343992395</v>
      </c>
      <c r="AO53" s="43">
        <f t="shared" ref="AO53" si="1596">IF(AF53="","",(AF53-AF$20)*1000)+AO$18</f>
        <v>-25.212002036439696</v>
      </c>
      <c r="AP53" s="43">
        <f t="shared" ref="AP53" si="1597">IF(AG53="","",(AG53-AG$20)*1000)+AP$18</f>
        <v>-25.382145922310251</v>
      </c>
      <c r="AQ53" s="43">
        <f t="shared" ref="AQ53" si="1598">IF(AH53="","",(AH53-AH$20)*1000)+AQ$18</f>
        <v>-22.349190264140617</v>
      </c>
      <c r="AR53" s="40"/>
      <c r="AS53" s="43">
        <f t="shared" ref="AS53" si="1599">IF(E53="","",(E53-E$20)*1000)+AS$18</f>
        <v>-1.2499999720603228</v>
      </c>
      <c r="AT53" s="43">
        <f t="shared" ref="AT53" si="1600">IF(F53="","",(F53-F$20)*1000)+AT$18</f>
        <v>-1.6499999910593033</v>
      </c>
      <c r="AU53" s="43">
        <f t="shared" ref="AU53" si="1601">IF(G53="","",(G53-G$20)*1000)+AU$18</f>
        <v>3.3000000000100727</v>
      </c>
      <c r="AV53" s="43">
        <f t="shared" ref="AV53" si="1602">IF(H53="","",(H53-H$20)*1000)+AV$18</f>
        <v>-0.89999998454004526</v>
      </c>
      <c r="AW53" s="43">
        <f t="shared" ref="AW53" si="1603">IF(I53="","",(I53-I$20)*1000)+AW$18</f>
        <v>-2.450000261887908</v>
      </c>
      <c r="AX53" s="43">
        <f t="shared" ref="AX53" si="1604">IF(J53="","",(J53-J$20)*1000)+AX$18</f>
        <v>1.4500000000055024</v>
      </c>
      <c r="AY53" s="43">
        <f t="shared" ref="AY53" si="1605">IF(K53="","",(K53-K$20)*1000)+AY$18</f>
        <v>2.0500001264736056</v>
      </c>
      <c r="AZ53" s="43">
        <f t="shared" ref="AZ53" si="1606">IF(L53="","",(L53-L$20)*1000)+AZ$18</f>
        <v>-7.9000003170222044</v>
      </c>
      <c r="BA53" s="43">
        <f t="shared" ref="BA53" si="1607">IF(M53="","",(M53-M$20)*1000)+BA$18</f>
        <v>-8.399999999994634</v>
      </c>
      <c r="BB53" s="43">
        <f t="shared" ref="BB53" si="1608">IF(N53="","",(N53-N$20)*1000)+BB$18</f>
        <v>-16.900000046007335</v>
      </c>
      <c r="BC53" s="43">
        <f t="shared" ref="BC53" si="1609">IF(O53="","",(O53-O$20)*1000)+BC$18</f>
        <v>-4.3999999761581421</v>
      </c>
      <c r="BD53" s="43">
        <f t="shared" ref="BD53" si="1610">IF(P53="","",(P53-P$20)*1000)+BD$18</f>
        <v>-68.650000000005207</v>
      </c>
      <c r="BE53" s="43">
        <f t="shared" ref="BE53" si="1611">IF(Q53="","",(Q53-Q$20)*1000)+BE$18</f>
        <v>1.7499999376013875</v>
      </c>
      <c r="BF53" s="43">
        <f t="shared" ref="BF53" si="1612">IF(R53="","",(R53-R$20)*1000)+BF$18</f>
        <v>15.800000168383121</v>
      </c>
      <c r="BG53" s="43">
        <f t="shared" ref="BG53" si="1613">IF(S53="","",(S53-S$20)*1000)+BG$18</f>
        <v>-32.650000000003843</v>
      </c>
      <c r="BH53" s="43">
        <f t="shared" ref="BH53" si="1614">IF(T53="","",(T53-T$20)*1000)+BH$18</f>
        <v>-9.6999998204410076</v>
      </c>
      <c r="BI53" s="43">
        <f t="shared" ref="BI53" si="1615">IF(U53="","",(U53-U$20)*1000)+BI$18</f>
        <v>21.450000116601586</v>
      </c>
      <c r="BJ53" s="43">
        <f t="shared" ref="BJ53" si="1616">IF(V53="","",(V53-V$20)*1000)+BJ$18</f>
        <v>0.50000000001659828</v>
      </c>
      <c r="BK53" s="43">
        <f t="shared" ref="BK53" si="1617">IF(W53="","",(W53-W$20)*1000)+BK$18</f>
        <v>1.7000000225380063</v>
      </c>
      <c r="BL53" s="43">
        <f t="shared" ref="BL53" si="1618">IF(X53="","",(X53-X$20)*1000)+BL$18</f>
        <v>24.449999909847975</v>
      </c>
      <c r="BM53" s="43">
        <f t="shared" ref="BM53" si="1619">IF(Y53="","",(Y53-Y$20)*1000)+BM$18</f>
        <v>-31.30000000000166</v>
      </c>
      <c r="BN53" s="40"/>
      <c r="BO53" s="39">
        <v>183.9687015410943</v>
      </c>
      <c r="BP53" s="39">
        <v>-2.4335185349608293</v>
      </c>
      <c r="BQ53" s="39">
        <v>-0.87670701541094331</v>
      </c>
      <c r="BR53" s="39">
        <v>183.93938293879032</v>
      </c>
      <c r="BS53" s="39">
        <v>-2.6701879024951602</v>
      </c>
      <c r="BT53" s="39">
        <v>0.29208617061209452</v>
      </c>
      <c r="BU53" s="39">
        <v>183.92534946381565</v>
      </c>
      <c r="BV53" s="39">
        <v>-2.1531705414355287</v>
      </c>
      <c r="BW53" s="39">
        <v>1.7351265053618334</v>
      </c>
      <c r="BX53" s="39">
        <v>183.78252756383785</v>
      </c>
      <c r="BY53" s="39">
        <v>-0.3059337280190596</v>
      </c>
      <c r="BZ53" s="39">
        <v>2.6458547243616124</v>
      </c>
      <c r="CA53" s="39">
        <v>183.88561610670683</v>
      </c>
      <c r="CB53" s="39">
        <v>1.2931871968658031</v>
      </c>
      <c r="CC53" s="39">
        <v>2.3282238389329279</v>
      </c>
      <c r="CD53" s="39">
        <v>183.90696679550985</v>
      </c>
      <c r="CE53" s="39">
        <v>2.6807354079484091</v>
      </c>
      <c r="CF53" s="39">
        <v>0.25531033204489972</v>
      </c>
      <c r="CG53" s="39">
        <v>183.90020185446312</v>
      </c>
      <c r="CH53" s="39">
        <v>2.5213395310459723</v>
      </c>
      <c r="CI53" s="39">
        <v>-0.91952201854464022</v>
      </c>
      <c r="CJ53" s="40"/>
      <c r="CK53" s="43">
        <f t="shared" ref="CK53" si="1620">IF(BO53="","",(BO53-BO$20)*1000)+CK$18</f>
        <v>-2.1455385490583012</v>
      </c>
      <c r="CL53" s="43">
        <f t="shared" ref="CL53" si="1621">IF(BP53="","",(BP53-BP$20)*1000)+CL$18</f>
        <v>1.3090990073783004</v>
      </c>
      <c r="CM53" s="43">
        <f t="shared" ref="CM53" si="1622">IF(BQ53="","",(BQ53-BQ$20)*1000)+CM$18</f>
        <v>3.3204553855027408</v>
      </c>
      <c r="CN53" s="43">
        <f t="shared" ref="CN53" si="1623">IF(BR53="","",(BR53-BR$20)*1000)+CN$18</f>
        <v>-1.8546171073410278</v>
      </c>
      <c r="CO53" s="43">
        <f t="shared" ref="CO53" si="1624">IF(BS53="","",(BS53-BS$20)*1000)+CO$18</f>
        <v>1.7896111117403635</v>
      </c>
      <c r="CP53" s="43">
        <f t="shared" ref="CP53" si="1625">IF(BT53="","",(BT53-BT$20)*1000)+CP$18</f>
        <v>1.469546171073588</v>
      </c>
      <c r="CQ53" s="43">
        <f t="shared" ref="CQ53" si="1626">IF(BU53="","",(BU53-BU$20)*1000)+CQ$18</f>
        <v>-1.1954216758169878</v>
      </c>
      <c r="CR53" s="43">
        <f t="shared" ref="CR53" si="1627">IF(BV53="","",(BV53-BV$20)*1000)+CR$18</f>
        <v>7.4019295499119231</v>
      </c>
      <c r="CS53" s="43">
        <f t="shared" ref="CS53" si="1628">IF(BW53="","",(BW53-BW$20)*1000)+CS$18</f>
        <v>-8.37104578323844</v>
      </c>
      <c r="CT53" s="43">
        <f t="shared" ref="CT53" si="1629">IF(BX53="","",(BX53-BX$20)*1000)+CT$18</f>
        <v>-17.053638606341792</v>
      </c>
      <c r="CU53" s="43">
        <f t="shared" ref="CU53" si="1630">IF(BY53="","",(BY53-BY$20)*1000)+CU$18</f>
        <v>-3.3148369901402628</v>
      </c>
      <c r="CV53" s="43">
        <f t="shared" ref="CV53" si="1631">IF(BZ53="","",(BZ53-BZ$20)*1000)+CV$18</f>
        <v>-68.470463613938378</v>
      </c>
      <c r="CW53" s="43">
        <f t="shared" ref="CW53" si="1632">IF(CA53="","",(CA53-CA$20)*1000)+CW$18</f>
        <v>7.822454570600712</v>
      </c>
      <c r="CX53" s="43">
        <f t="shared" ref="CX53" si="1633">IF(CB53="","",(CB53-CB$20)*1000)+CX$18</f>
        <v>-12.842556981370823</v>
      </c>
      <c r="CY53" s="43">
        <f t="shared" ref="CY53" si="1634">IF(CC53="","",(CC53-CC$20)*1000)+CY$18</f>
        <v>-32.610224545707389</v>
      </c>
      <c r="CZ53" s="43">
        <f t="shared" ref="CZ53" si="1635">IF(CD53="","",(CD53-CD$20)*1000)+CZ$18</f>
        <v>0.30126237851391124</v>
      </c>
      <c r="DA53" s="43">
        <f t="shared" ref="DA53" si="1636">IF(CE53="","",(CE53-CE$20)*1000)+DA$18</f>
        <v>-23.589196144676361</v>
      </c>
      <c r="DB53" s="43">
        <f t="shared" ref="DB53" si="1637">IF(CF53="","",(CF53-CF$20)*1000)+DB$18</f>
        <v>0.54898737621006388</v>
      </c>
      <c r="DC53" s="43">
        <f t="shared" ref="DC53" si="1638">IF(CG53="","",(CG53-CG$20)*1000)+DC$18</f>
        <v>11.828200080799434</v>
      </c>
      <c r="DD53" s="43">
        <f t="shared" ref="DD53" si="1639">IF(CH53="","",(CH53-CH$20)*1000)+DD$18</f>
        <v>-21.325164128473961</v>
      </c>
      <c r="DE53" s="43">
        <f t="shared" ref="DE53" si="1640">IF(CI53="","",(CI53-CI$20)*1000)+DE$18</f>
        <v>-31.421282000816394</v>
      </c>
    </row>
    <row r="54" spans="1:109" ht="29.25" customHeight="1" x14ac:dyDescent="0.2">
      <c r="A54" s="37">
        <v>43801</v>
      </c>
      <c r="B54" s="29">
        <f t="shared" si="969"/>
        <v>143</v>
      </c>
      <c r="C54" s="38">
        <v>222.9</v>
      </c>
      <c r="D54" s="38">
        <f t="shared" ref="D54" si="1641">C54-PM</f>
        <v>39</v>
      </c>
      <c r="E54" s="39">
        <v>823233.37639999995</v>
      </c>
      <c r="F54" s="39">
        <v>1091513.5604999999</v>
      </c>
      <c r="G54" s="39">
        <v>-124.58029999999999</v>
      </c>
      <c r="H54" s="39">
        <v>823233.24939999997</v>
      </c>
      <c r="I54" s="39">
        <v>1091513.763</v>
      </c>
      <c r="J54" s="39">
        <v>-123.4118</v>
      </c>
      <c r="K54" s="39">
        <v>823233.45519999997</v>
      </c>
      <c r="L54" s="39">
        <v>1091513.2881</v>
      </c>
      <c r="M54" s="39">
        <v>-121.9691</v>
      </c>
      <c r="N54" s="39">
        <v>823234.10649999999</v>
      </c>
      <c r="O54" s="39">
        <v>1091511.5537</v>
      </c>
      <c r="P54" s="39">
        <v>-121.06</v>
      </c>
      <c r="Q54" s="39">
        <v>823234.87529999996</v>
      </c>
      <c r="R54" s="39">
        <v>1091510.1479</v>
      </c>
      <c r="S54" s="39">
        <v>-121.37649999999999</v>
      </c>
      <c r="T54" s="39">
        <v>823235.48109999998</v>
      </c>
      <c r="U54" s="39">
        <v>1091508.8995000001</v>
      </c>
      <c r="V54" s="39">
        <v>-123.449</v>
      </c>
      <c r="W54" s="39">
        <v>823235.40780000004</v>
      </c>
      <c r="X54" s="39">
        <v>1091509.0414</v>
      </c>
      <c r="Y54" s="39">
        <v>-124.6241</v>
      </c>
      <c r="Z54" s="39">
        <f t="shared" si="1"/>
        <v>4.117378333295596</v>
      </c>
      <c r="AA54" s="39">
        <f t="shared" si="2"/>
        <v>3.3386509461135558</v>
      </c>
      <c r="AB54" s="39">
        <f t="shared" si="3"/>
        <v>2.0636855041133608</v>
      </c>
      <c r="AC54" s="39">
        <f t="shared" si="4"/>
        <v>1.6332480920320667</v>
      </c>
      <c r="AD54" s="39">
        <f t="shared" si="5"/>
        <v>3.8264374815086621</v>
      </c>
      <c r="AE54" s="39">
        <f t="shared" si="6"/>
        <v>4.550586972076637</v>
      </c>
      <c r="AF54" s="39">
        <f t="shared" si="7"/>
        <v>3.496957936566381</v>
      </c>
      <c r="AG54" s="39">
        <f t="shared" si="8"/>
        <v>5.3512149068973152</v>
      </c>
      <c r="AH54" s="39">
        <f t="shared" si="9"/>
        <v>4.9548732788679439</v>
      </c>
      <c r="AI54" s="43">
        <f t="shared" ref="AI54" si="1642">IF(Z54="","",(Z54-Z$20)*1000)+AI$18</f>
        <v>-62.966563932909558</v>
      </c>
      <c r="AJ54" s="43">
        <f t="shared" ref="AJ54" si="1643">IF(AA54="","",(AA54-AA$20)*1000)+AJ$18</f>
        <v>-52.891641604149164</v>
      </c>
      <c r="AK54" s="43">
        <f t="shared" ref="AK54" si="1644">IF(AB54="","",(AB54-AB$20)*1000)+AK$18</f>
        <v>-34.992136952522792</v>
      </c>
      <c r="AL54" s="43">
        <f t="shared" ref="AL54" si="1645">IF(AC54="","",(AC54-AC$20)*1000)+AL$18</f>
        <v>-17.149047159726649</v>
      </c>
      <c r="AM54" s="43">
        <f t="shared" ref="AM54" si="1646">IF(AD54="","",(AD54-AD$20)*1000)+AM$18</f>
        <v>-60.218938345600215</v>
      </c>
      <c r="AN54" s="43">
        <f t="shared" ref="AN54" si="1647">IF(AE54="","",(AE54-AE$20)*1000)+AN$18</f>
        <v>-40.493717817057906</v>
      </c>
      <c r="AO54" s="43">
        <f t="shared" ref="AO54" si="1648">IF(AF54="","",(AF54-AF$20)*1000)+AO$18</f>
        <v>-25.432026343180869</v>
      </c>
      <c r="AP54" s="43">
        <f t="shared" ref="AP54" si="1649">IF(AG54="","",(AG54-AG$20)*1000)+AP$18</f>
        <v>-25.317348169149767</v>
      </c>
      <c r="AQ54" s="43">
        <f t="shared" ref="AQ54" si="1650">IF(AH54="","",(AH54-AH$20)*1000)+AQ$18</f>
        <v>-22.998377427538408</v>
      </c>
      <c r="AR54" s="40"/>
      <c r="AS54" s="43">
        <f t="shared" ref="AS54" si="1651">IF(E54="","",(E54-E$20)*1000)+AS$18</f>
        <v>-0.25000004097819328</v>
      </c>
      <c r="AT54" s="43">
        <f t="shared" ref="AT54" si="1652">IF(F54="","",(F54-F$20)*1000)+AT$18</f>
        <v>-2.3500001989305019</v>
      </c>
      <c r="AU54" s="43">
        <f t="shared" ref="AU54" si="1653">IF(G54="","",(G54-G$20)*1000)+AU$18</f>
        <v>2.9000000000110049</v>
      </c>
      <c r="AV54" s="43">
        <f t="shared" ref="AV54" si="1654">IF(H54="","",(H54-H$20)*1000)+AV$18</f>
        <v>-0.29999995604157448</v>
      </c>
      <c r="AW54" s="43">
        <f t="shared" ref="AW54" si="1655">IF(I54="","",(I54-I$20)*1000)+AW$18</f>
        <v>-2.7500002179294825</v>
      </c>
      <c r="AX54" s="43">
        <f t="shared" ref="AX54" si="1656">IF(J54="","",(J54-J$20)*1000)+AX$18</f>
        <v>1.0500000000064347</v>
      </c>
      <c r="AY54" s="43">
        <f t="shared" ref="AY54" si="1657">IF(K54="","",(K54-K$20)*1000)+AY$18</f>
        <v>2.6500000385567546</v>
      </c>
      <c r="AZ54" s="43">
        <f t="shared" ref="AZ54" si="1658">IF(L54="","",(L54-L$20)*1000)+AZ$18</f>
        <v>-8.6000002920627594</v>
      </c>
      <c r="BA54" s="43">
        <f t="shared" ref="BA54" si="1659">IF(M54="","",(M54-M$20)*1000)+BA$18</f>
        <v>-8.9999999999861302</v>
      </c>
      <c r="BB54" s="43">
        <f t="shared" ref="BB54" si="1660">IF(N54="","",(N54-N$20)*1000)+BB$18</f>
        <v>-16.300000017508864</v>
      </c>
      <c r="BC54" s="43">
        <f t="shared" ref="BC54" si="1661">IF(O54="","",(O54-O$20)*1000)+BC$18</f>
        <v>-4.999999888241291</v>
      </c>
      <c r="BD54" s="43">
        <f t="shared" ref="BD54" si="1662">IF(P54="","",(P54-P$20)*1000)+BD$18</f>
        <v>-69.450000000003342</v>
      </c>
      <c r="BE54" s="43">
        <f t="shared" ref="BE54" si="1663">IF(Q54="","",(Q54-Q$20)*1000)+BE$18</f>
        <v>1.8499998841434717</v>
      </c>
      <c r="BF54" s="43">
        <f t="shared" ref="BF54" si="1664">IF(R54="","",(R54-R$20)*1000)+BF$18</f>
        <v>15.100000193342566</v>
      </c>
      <c r="BG54" s="43">
        <f t="shared" ref="BG54" si="1665">IF(S54="","",(S54-S$20)*1000)+BG$18</f>
        <v>-33.349999999998658</v>
      </c>
      <c r="BH54" s="43">
        <f t="shared" ref="BH54" si="1666">IF(T54="","",(T54-T$20)*1000)+BH$18</f>
        <v>-9.5999998738989234</v>
      </c>
      <c r="BI54" s="43">
        <f t="shared" ref="BI54" si="1667">IF(U54="","",(U54-U$20)*1000)+BI$18</f>
        <v>20.850000204518437</v>
      </c>
      <c r="BJ54" s="43">
        <f t="shared" ref="BJ54" si="1668">IF(V54="","",(V54-V$20)*1000)+BJ$18</f>
        <v>1.4210854715202004E-11</v>
      </c>
      <c r="BK54" s="43">
        <f t="shared" ref="BK54" si="1669">IF(W54="","",(W54-W$20)*1000)+BK$18</f>
        <v>2.0000000949949026</v>
      </c>
      <c r="BL54" s="43">
        <f t="shared" ref="BL54" si="1670">IF(X54="","",(X54-X$20)*1000)+BL$18</f>
        <v>24.1499999538064</v>
      </c>
      <c r="BM54" s="43">
        <f t="shared" ref="BM54" si="1671">IF(Y54="","",(Y54-Y$20)*1000)+BM$18</f>
        <v>-31.999999999996476</v>
      </c>
      <c r="BN54" s="40"/>
      <c r="BO54" s="39">
        <v>183.9693</v>
      </c>
      <c r="BP54" s="39">
        <v>-2.4325000000000001</v>
      </c>
      <c r="BQ54" s="39">
        <v>-0.87709999999999999</v>
      </c>
      <c r="BR54" s="39">
        <v>183.93979999999999</v>
      </c>
      <c r="BS54" s="39">
        <v>-2.6697000000000002</v>
      </c>
      <c r="BT54" s="39">
        <v>0.29170000000000001</v>
      </c>
      <c r="BU54" s="39">
        <v>183.9256</v>
      </c>
      <c r="BV54" s="39">
        <v>-2.1522999999999999</v>
      </c>
      <c r="BW54" s="39">
        <v>1.7344999999999999</v>
      </c>
      <c r="BX54" s="39">
        <v>183.78280000000001</v>
      </c>
      <c r="BY54" s="39">
        <v>-0.30509999999999998</v>
      </c>
      <c r="BZ54" s="39">
        <v>2.6450999999999998</v>
      </c>
      <c r="CA54" s="39">
        <v>183.8854</v>
      </c>
      <c r="CB54" s="39">
        <v>1.2939000000000001</v>
      </c>
      <c r="CC54" s="39">
        <v>2.3275000000000001</v>
      </c>
      <c r="CD54" s="39">
        <v>183.9068</v>
      </c>
      <c r="CE54" s="39">
        <v>2.6812999999999998</v>
      </c>
      <c r="CF54" s="39">
        <v>0.25480000000000003</v>
      </c>
      <c r="CG54" s="39">
        <v>183.90029999999999</v>
      </c>
      <c r="CH54" s="39">
        <v>2.5217000000000001</v>
      </c>
      <c r="CI54" s="39">
        <v>-0.92020000000000002</v>
      </c>
      <c r="CJ54" s="40"/>
      <c r="CK54" s="43">
        <f t="shared" ref="CK54" si="1672">IF(BO54="","",(BO54-BO$20)*1000)+CK$18</f>
        <v>-1.547079643358984</v>
      </c>
      <c r="CL54" s="43">
        <f t="shared" ref="CL54" si="1673">IF(BP54="","",(BP54-BP$20)*1000)+CL$18</f>
        <v>2.3276339682074543</v>
      </c>
      <c r="CM54" s="43">
        <f t="shared" ref="CM54" si="1674">IF(BQ54="","",(BQ54-BQ$20)*1000)+CM$18</f>
        <v>2.9274707964460633</v>
      </c>
      <c r="CN54" s="43">
        <f t="shared" ref="CN54" si="1675">IF(BR54="","",(BR54-BR$20)*1000)+CN$18</f>
        <v>-1.437555897666698</v>
      </c>
      <c r="CO54" s="43">
        <f t="shared" ref="CO54" si="1676">IF(BS54="","",(BS54-BS$20)*1000)+CO$18</f>
        <v>2.2775136069004276</v>
      </c>
      <c r="CP54" s="43">
        <f t="shared" ref="CP54" si="1677">IF(BT54="","",(BT54-BT$20)*1000)+CP$18</f>
        <v>1.0833755589790828</v>
      </c>
      <c r="CQ54" s="43">
        <f t="shared" ref="CQ54" si="1678">IF(BU54="","",(BU54-BU$20)*1000)+CQ$18</f>
        <v>-0.94488549146376499</v>
      </c>
      <c r="CR54" s="43">
        <f t="shared" ref="CR54" si="1679">IF(BV54="","",(BV54-BV$20)*1000)+CR$18</f>
        <v>8.2724709854407052</v>
      </c>
      <c r="CS54" s="43">
        <f t="shared" ref="CS54" si="1680">IF(BW54="","",(BW54-BW$20)*1000)+CS$18</f>
        <v>-8.997551145071947</v>
      </c>
      <c r="CT54" s="43">
        <f t="shared" ref="CT54" si="1681">IF(BX54="","",(BX54-BX$20)*1000)+CT$18</f>
        <v>-16.781202444178689</v>
      </c>
      <c r="CU54" s="43">
        <f t="shared" ref="CU54" si="1682">IF(BY54="","",(BY54-BY$20)*1000)+CU$18</f>
        <v>-2.4811089710806424</v>
      </c>
      <c r="CV54" s="43">
        <f t="shared" ref="CV54" si="1683">IF(BZ54="","",(BZ54-BZ$20)*1000)+CV$18</f>
        <v>-69.225187975550995</v>
      </c>
      <c r="CW54" s="43">
        <f t="shared" ref="CW54" si="1684">IF(CA54="","",(CA54-CA$20)*1000)+CW$18</f>
        <v>7.6063478637706794</v>
      </c>
      <c r="CX54" s="43">
        <f t="shared" ref="CX54" si="1685">IF(CB54="","",(CB54-CB$20)*1000)+CX$18</f>
        <v>-12.129753847173852</v>
      </c>
      <c r="CY54" s="43">
        <f t="shared" ref="CY54" si="1686">IF(CC54="","",(CC54-CC$20)*1000)+CY$18</f>
        <v>-33.334063478635215</v>
      </c>
      <c r="CZ54" s="43">
        <f t="shared" ref="CZ54" si="1687">IF(CD54="","",(CD54-CD$20)*1000)+CZ$18</f>
        <v>0.13446686867268909</v>
      </c>
      <c r="DA54" s="43">
        <f t="shared" ref="DA54" si="1688">IF(CE54="","",(CE54-CE$20)*1000)+DA$18</f>
        <v>-23.02460409308571</v>
      </c>
      <c r="DB54" s="43">
        <f t="shared" ref="DB54" si="1689">IF(CF54="","",(CF54-CF$20)*1000)+DB$18</f>
        <v>3.8655331310366581E-2</v>
      </c>
      <c r="DC54" s="43">
        <f t="shared" ref="DC54" si="1690">IF(CG54="","",(CG54-CG$20)*1000)+DC$18</f>
        <v>11.926345617666811</v>
      </c>
      <c r="DD54" s="43">
        <f t="shared" ref="DD54" si="1691">IF(CH54="","",(CH54-CH$20)*1000)+DD$18</f>
        <v>-20.964695174446213</v>
      </c>
      <c r="DE54" s="43">
        <f t="shared" ref="DE54" si="1692">IF(CI54="","",(CI54-CI$20)*1000)+DE$18</f>
        <v>-32.099263456176196</v>
      </c>
    </row>
    <row r="55" spans="1:109" ht="29.25" customHeight="1" x14ac:dyDescent="0.2">
      <c r="A55" s="37">
        <v>43803</v>
      </c>
      <c r="B55" s="29">
        <f t="shared" si="969"/>
        <v>145</v>
      </c>
      <c r="C55" s="38">
        <v>222.9</v>
      </c>
      <c r="D55" s="38">
        <f t="shared" ref="D55" si="1693">C55-PM</f>
        <v>39</v>
      </c>
      <c r="E55" s="39">
        <v>823233.3763</v>
      </c>
      <c r="F55" s="39">
        <v>1091513.5604000001</v>
      </c>
      <c r="G55" s="39">
        <v>-124.57989999999999</v>
      </c>
      <c r="H55" s="39">
        <v>823233.24970000004</v>
      </c>
      <c r="I55" s="39">
        <v>1091513.7627000001</v>
      </c>
      <c r="J55" s="39">
        <v>-123.4115</v>
      </c>
      <c r="K55" s="39">
        <v>823233.45559999999</v>
      </c>
      <c r="L55" s="39">
        <v>1091513.2879999999</v>
      </c>
      <c r="M55" s="39">
        <v>-121.9689</v>
      </c>
      <c r="N55" s="39">
        <v>823234.10660000006</v>
      </c>
      <c r="O55" s="39">
        <v>1091511.5536</v>
      </c>
      <c r="P55" s="39">
        <v>-121.0605</v>
      </c>
      <c r="Q55" s="39">
        <v>823234.87569999998</v>
      </c>
      <c r="R55" s="39">
        <v>1091510.1483</v>
      </c>
      <c r="S55" s="39">
        <v>-121.3764</v>
      </c>
      <c r="T55" s="39">
        <v>823235.48120000004</v>
      </c>
      <c r="U55" s="39">
        <v>1091508.8997</v>
      </c>
      <c r="V55" s="39">
        <v>-123.4487</v>
      </c>
      <c r="W55" s="39">
        <v>823235.40800000005</v>
      </c>
      <c r="X55" s="39">
        <v>1091509.0412999999</v>
      </c>
      <c r="Y55" s="39">
        <v>-124.6236</v>
      </c>
      <c r="Z55" s="39">
        <f t="shared" si="1"/>
        <v>4.1166443483060799</v>
      </c>
      <c r="AA55" s="39">
        <f t="shared" si="2"/>
        <v>3.3379037464314396</v>
      </c>
      <c r="AB55" s="39">
        <f t="shared" si="3"/>
        <v>2.0632825594049988</v>
      </c>
      <c r="AC55" s="39">
        <f t="shared" si="4"/>
        <v>1.6328428307183576</v>
      </c>
      <c r="AD55" s="39">
        <f t="shared" si="5"/>
        <v>3.8257299447461905</v>
      </c>
      <c r="AE55" s="39">
        <f t="shared" si="6"/>
        <v>4.54983239914334</v>
      </c>
      <c r="AF55" s="39">
        <f t="shared" si="7"/>
        <v>3.4964920062256595</v>
      </c>
      <c r="AG55" s="39">
        <f t="shared" si="8"/>
        <v>5.3506770684862932</v>
      </c>
      <c r="AH55" s="39">
        <f t="shared" si="9"/>
        <v>4.9549953977340264</v>
      </c>
      <c r="AI55" s="43">
        <f t="shared" ref="AI55" si="1694">IF(Z55="","",(Z55-Z$20)*1000)+AI$18</f>
        <v>-63.700548922425604</v>
      </c>
      <c r="AJ55" s="43">
        <f t="shared" ref="AJ55" si="1695">IF(AA55="","",(AA55-AA$20)*1000)+AJ$18</f>
        <v>-53.638841286265389</v>
      </c>
      <c r="AK55" s="43">
        <f t="shared" ref="AK55" si="1696">IF(AB55="","",(AB55-AB$20)*1000)+AK$18</f>
        <v>-35.395081660884784</v>
      </c>
      <c r="AL55" s="43">
        <f t="shared" ref="AL55" si="1697">IF(AC55="","",(AC55-AC$20)*1000)+AL$18</f>
        <v>-17.554308473435754</v>
      </c>
      <c r="AM55" s="43">
        <f t="shared" ref="AM55" si="1698">IF(AD55="","",(AD55-AD$20)*1000)+AM$18</f>
        <v>-60.926475108071813</v>
      </c>
      <c r="AN55" s="43">
        <f t="shared" ref="AN55" si="1699">IF(AE55="","",(AE55-AE$20)*1000)+AN$18</f>
        <v>-41.248290750354855</v>
      </c>
      <c r="AO55" s="43">
        <f t="shared" ref="AO55" si="1700">IF(AF55="","",(AF55-AF$20)*1000)+AO$18</f>
        <v>-25.897956683902379</v>
      </c>
      <c r="AP55" s="43">
        <f t="shared" ref="AP55" si="1701">IF(AG55="","",(AG55-AG$20)*1000)+AP$18</f>
        <v>-25.855186580171718</v>
      </c>
      <c r="AQ55" s="43">
        <f t="shared" ref="AQ55" si="1702">IF(AH55="","",(AH55-AH$20)*1000)+AQ$18</f>
        <v>-22.87625856145592</v>
      </c>
      <c r="AR55" s="40"/>
      <c r="AS55" s="43">
        <f t="shared" ref="AS55" si="1703">IF(E55="","",(E55-E$20)*1000)+AS$18</f>
        <v>-0.3499999875202775</v>
      </c>
      <c r="AT55" s="43">
        <f t="shared" ref="AT55" si="1704">IF(F55="","",(F55-F$20)*1000)+AT$18</f>
        <v>-2.4500000290572643</v>
      </c>
      <c r="AU55" s="43">
        <f t="shared" ref="AU55" si="1705">IF(G55="","",(G55-G$20)*1000)+AU$18</f>
        <v>3.3000000000100727</v>
      </c>
      <c r="AV55" s="43">
        <f t="shared" ref="AV55" si="1706">IF(H55="","",(H55-H$20)*1000)+AV$18</f>
        <v>1.1641532182693481E-7</v>
      </c>
      <c r="AW55" s="43">
        <f t="shared" ref="AW55" si="1707">IF(I55="","",(I55-I$20)*1000)+AW$18</f>
        <v>-3.0500001739710569</v>
      </c>
      <c r="AX55" s="43">
        <f t="shared" ref="AX55" si="1708">IF(J55="","",(J55-J$20)*1000)+AX$18</f>
        <v>1.3500000000021828</v>
      </c>
      <c r="AY55" s="43">
        <f t="shared" ref="AY55" si="1709">IF(K55="","",(K55-K$20)*1000)+AY$18</f>
        <v>3.0500000575557351</v>
      </c>
      <c r="AZ55" s="43">
        <f t="shared" ref="AZ55" si="1710">IF(L55="","",(L55-L$20)*1000)+AZ$18</f>
        <v>-8.7000003550201654</v>
      </c>
      <c r="BA55" s="43">
        <f t="shared" ref="BA55" si="1711">IF(M55="","",(M55-M$20)*1000)+BA$18</f>
        <v>-8.7999999999937017</v>
      </c>
      <c r="BB55" s="43">
        <f t="shared" ref="BB55" si="1712">IF(N55="","",(N55-N$20)*1000)+BB$18</f>
        <v>-16.199999954551458</v>
      </c>
      <c r="BC55" s="43">
        <f t="shared" ref="BC55" si="1713">IF(O55="","",(O55-O$20)*1000)+BC$18</f>
        <v>-5.0999999511986971</v>
      </c>
      <c r="BD55" s="43">
        <f t="shared" ref="BD55" si="1714">IF(P55="","",(P55-P$20)*1000)+BD$18</f>
        <v>-69.95000000000573</v>
      </c>
      <c r="BE55" s="43">
        <f t="shared" ref="BE55" si="1715">IF(Q55="","",(Q55-Q$20)*1000)+BE$18</f>
        <v>2.2499999031424522</v>
      </c>
      <c r="BF55" s="43">
        <f t="shared" ref="BF55" si="1716">IF(R55="","",(R55-R$20)*1000)+BF$18</f>
        <v>15.500000212341547</v>
      </c>
      <c r="BG55" s="43">
        <f t="shared" ref="BG55" si="1717">IF(S55="","",(S55-S$20)*1000)+BG$18</f>
        <v>-33.25000000000955</v>
      </c>
      <c r="BH55" s="43">
        <f t="shared" ref="BH55" si="1718">IF(T55="","",(T55-T$20)*1000)+BH$18</f>
        <v>-9.4999998109415174</v>
      </c>
      <c r="BI55" s="43">
        <f t="shared" ref="BI55" si="1719">IF(U55="","",(U55-U$20)*1000)+BI$18</f>
        <v>21.050000097602606</v>
      </c>
      <c r="BJ55" s="43">
        <f t="shared" ref="BJ55" si="1720">IF(V55="","",(V55-V$20)*1000)+BJ$18</f>
        <v>0.30000000000995897</v>
      </c>
      <c r="BK55" s="43">
        <f t="shared" ref="BK55" si="1721">IF(W55="","",(W55-W$20)*1000)+BK$18</f>
        <v>2.2000001044943929</v>
      </c>
      <c r="BL55" s="43">
        <f t="shared" ref="BL55" si="1722">IF(X55="","",(X55-X$20)*1000)+BL$18</f>
        <v>24.049999890848994</v>
      </c>
      <c r="BM55" s="43">
        <f t="shared" ref="BM55" si="1723">IF(Y55="","",(Y55-Y$20)*1000)+BM$18</f>
        <v>-31.499999999994088</v>
      </c>
      <c r="BN55" s="40"/>
      <c r="BO55" s="39">
        <v>183.9692</v>
      </c>
      <c r="BP55" s="39">
        <v>-2.4323999999999999</v>
      </c>
      <c r="BQ55" s="39">
        <v>-0.87670000000000003</v>
      </c>
      <c r="BR55" s="39">
        <v>183.93989999999999</v>
      </c>
      <c r="BS55" s="39">
        <v>-2.6692999999999998</v>
      </c>
      <c r="BT55" s="39">
        <v>0.29199999999999998</v>
      </c>
      <c r="BU55" s="39">
        <v>183.92590000000001</v>
      </c>
      <c r="BV55" s="39">
        <v>-2.1520000000000001</v>
      </c>
      <c r="BW55" s="39">
        <v>1.7346999999999999</v>
      </c>
      <c r="BX55" s="39">
        <v>183.78290000000001</v>
      </c>
      <c r="BY55" s="39">
        <v>-0.30499999999999999</v>
      </c>
      <c r="BZ55" s="39">
        <v>2.6446000000000001</v>
      </c>
      <c r="CA55" s="39">
        <v>183.88589999999999</v>
      </c>
      <c r="CB55" s="39">
        <v>1.2937000000000001</v>
      </c>
      <c r="CC55" s="39">
        <v>2.3275999999999999</v>
      </c>
      <c r="CD55" s="39">
        <v>183.90700000000001</v>
      </c>
      <c r="CE55" s="39">
        <v>2.6812</v>
      </c>
      <c r="CF55" s="39">
        <v>0.25509999999999999</v>
      </c>
      <c r="CG55" s="39">
        <v>183.90049999999999</v>
      </c>
      <c r="CH55" s="39">
        <v>2.5219</v>
      </c>
      <c r="CI55" s="39">
        <v>-0.91969999999999996</v>
      </c>
      <c r="CJ55" s="40"/>
      <c r="CK55" s="43">
        <f t="shared" ref="CK55" si="1724">IF(BO55="","",(BO55-BO$20)*1000)+CK$18</f>
        <v>-1.6470796433623036</v>
      </c>
      <c r="CL55" s="43">
        <f t="shared" ref="CL55" si="1725">IF(BP55="","",(BP55-BP$20)*1000)+CL$18</f>
        <v>2.4276339682076653</v>
      </c>
      <c r="CM55" s="43">
        <f t="shared" ref="CM55" si="1726">IF(BQ55="","",(BQ55-BQ$20)*1000)+CM$18</f>
        <v>3.3274707964460193</v>
      </c>
      <c r="CN55" s="43">
        <f t="shared" ref="CN55" si="1727">IF(BR55="","",(BR55-BR$20)*1000)+CN$18</f>
        <v>-1.3375558976633783</v>
      </c>
      <c r="CO55" s="43">
        <f t="shared" ref="CO55" si="1728">IF(BS55="","",(BS55-BS$20)*1000)+CO$18</f>
        <v>2.6775136069008276</v>
      </c>
      <c r="CP55" s="43">
        <f t="shared" ref="CP55" si="1729">IF(BT55="","",(BT55-BT$20)*1000)+CP$18</f>
        <v>1.3833755589790497</v>
      </c>
      <c r="CQ55" s="43">
        <f t="shared" ref="CQ55" si="1730">IF(BU55="","",(BU55-BU$20)*1000)+CQ$18</f>
        <v>-0.64488549145380603</v>
      </c>
      <c r="CR55" s="43">
        <f t="shared" ref="CR55" si="1731">IF(BV55="","",(BV55-BV$20)*1000)+CR$18</f>
        <v>8.5724709854404502</v>
      </c>
      <c r="CS55" s="43">
        <f t="shared" ref="CS55" si="1732">IF(BW55="","",(BW55-BW$20)*1000)+CS$18</f>
        <v>-8.797551145071969</v>
      </c>
      <c r="CT55" s="43">
        <f t="shared" ref="CT55" si="1733">IF(BX55="","",(BX55-BX$20)*1000)+CT$18</f>
        <v>-16.681202444175369</v>
      </c>
      <c r="CU55" s="43">
        <f t="shared" ref="CU55" si="1734">IF(BY55="","",(BY55-BY$20)*1000)+CU$18</f>
        <v>-2.3811089710806534</v>
      </c>
      <c r="CV55" s="43">
        <f t="shared" ref="CV55" si="1735">IF(BZ55="","",(BZ55-BZ$20)*1000)+CV$18</f>
        <v>-69.72518797555071</v>
      </c>
      <c r="CW55" s="43">
        <f t="shared" ref="CW55" si="1736">IF(CA55="","",(CA55-CA$20)*1000)+CW$18</f>
        <v>8.106347863758856</v>
      </c>
      <c r="CX55" s="43">
        <f t="shared" ref="CX55" si="1737">IF(CB55="","",(CB55-CB$20)*1000)+CX$18</f>
        <v>-12.32975384717383</v>
      </c>
      <c r="CY55" s="43">
        <f t="shared" ref="CY55" si="1738">IF(CC55="","",(CC55-CC$20)*1000)+CY$18</f>
        <v>-33.234063478635449</v>
      </c>
      <c r="CZ55" s="43">
        <f t="shared" ref="CZ55" si="1739">IF(CD55="","",(CD55-CD$20)*1000)+CZ$18</f>
        <v>0.3344668686793284</v>
      </c>
      <c r="DA55" s="43">
        <f t="shared" ref="DA55" si="1740">IF(CE55="","",(CE55-CE$20)*1000)+DA$18</f>
        <v>-23.124604093085477</v>
      </c>
      <c r="DB55" s="43">
        <f t="shared" ref="DB55" si="1741">IF(CF55="","",(CF55-CF$20)*1000)+DB$18</f>
        <v>0.33865533131033354</v>
      </c>
      <c r="DC55" s="43">
        <f t="shared" ref="DC55" si="1742">IF(CG55="","",(CG55-CG$20)*1000)+DC$18</f>
        <v>12.126345617673451</v>
      </c>
      <c r="DD55" s="43">
        <f t="shared" ref="DD55" si="1743">IF(CH55="","",(CH55-CH$20)*1000)+DD$18</f>
        <v>-20.764695174446235</v>
      </c>
      <c r="DE55" s="43">
        <f t="shared" ref="DE55" si="1744">IF(CI55="","",(CI55-CI$20)*1000)+DE$18</f>
        <v>-31.599263456176139</v>
      </c>
    </row>
    <row r="56" spans="1:109" ht="29.25" customHeight="1" x14ac:dyDescent="0.2">
      <c r="A56" s="37">
        <v>43808</v>
      </c>
      <c r="B56" s="29">
        <f t="shared" si="969"/>
        <v>150</v>
      </c>
      <c r="C56" s="38">
        <v>222.9</v>
      </c>
      <c r="D56" s="38">
        <f t="shared" ref="D56" si="1745">C56-PM</f>
        <v>39</v>
      </c>
      <c r="E56" s="39">
        <v>823233.37650000001</v>
      </c>
      <c r="F56" s="39">
        <v>1091513.5604000001</v>
      </c>
      <c r="G56" s="39">
        <v>-124.57980000000001</v>
      </c>
      <c r="H56" s="39">
        <v>823233.24979999999</v>
      </c>
      <c r="I56" s="39">
        <v>1091513.7627999999</v>
      </c>
      <c r="J56" s="39">
        <v>-123.4113</v>
      </c>
      <c r="K56" s="39">
        <v>823233.45550000004</v>
      </c>
      <c r="L56" s="39">
        <v>1091513.2879000001</v>
      </c>
      <c r="M56" s="39">
        <v>-121.96899999999999</v>
      </c>
      <c r="N56" s="39">
        <v>823234.10600000003</v>
      </c>
      <c r="O56" s="39">
        <v>1091511.5534999999</v>
      </c>
      <c r="P56" s="39">
        <v>-121.0611</v>
      </c>
      <c r="Q56" s="39">
        <v>823234.87520000001</v>
      </c>
      <c r="R56" s="39">
        <v>1091510.148</v>
      </c>
      <c r="S56" s="39">
        <v>-121.3766</v>
      </c>
      <c r="T56" s="39">
        <v>823235.48100000003</v>
      </c>
      <c r="U56" s="39">
        <v>1091508.8994</v>
      </c>
      <c r="V56" s="39">
        <v>-123.44880000000001</v>
      </c>
      <c r="W56" s="39">
        <v>823235.40780000004</v>
      </c>
      <c r="X56" s="39">
        <v>1091509.0408999999</v>
      </c>
      <c r="Y56" s="39">
        <v>-124.6234</v>
      </c>
      <c r="Z56" s="39">
        <f t="shared" si="1"/>
        <v>4.1159528120032816</v>
      </c>
      <c r="AA56" s="39">
        <f t="shared" si="2"/>
        <v>3.3372930602527835</v>
      </c>
      <c r="AB56" s="39">
        <f t="shared" si="3"/>
        <v>2.0629047531686444</v>
      </c>
      <c r="AC56" s="39">
        <f t="shared" si="4"/>
        <v>1.6329847334328111</v>
      </c>
      <c r="AD56" s="39">
        <f t="shared" si="5"/>
        <v>3.8257003410633801</v>
      </c>
      <c r="AE56" s="39">
        <f t="shared" si="6"/>
        <v>4.5494860468104701</v>
      </c>
      <c r="AF56" s="39">
        <f t="shared" si="7"/>
        <v>3.4964922222617187</v>
      </c>
      <c r="AG56" s="39">
        <f t="shared" si="8"/>
        <v>5.3509176081623089</v>
      </c>
      <c r="AH56" s="39">
        <f t="shared" si="9"/>
        <v>4.9551953444501056</v>
      </c>
      <c r="AI56" s="43">
        <f t="shared" ref="AI56" si="1746">IF(Z56="","",(Z56-Z$20)*1000)+AI$18</f>
        <v>-64.392085225223994</v>
      </c>
      <c r="AJ56" s="43">
        <f t="shared" ref="AJ56" si="1747">IF(AA56="","",(AA56-AA$20)*1000)+AJ$18</f>
        <v>-54.249527464921513</v>
      </c>
      <c r="AK56" s="43">
        <f t="shared" ref="AK56" si="1748">IF(AB56="","",(AB56-AB$20)*1000)+AK$18</f>
        <v>-35.772887897239201</v>
      </c>
      <c r="AL56" s="43">
        <f t="shared" ref="AL56" si="1749">IF(AC56="","",(AC56-AC$20)*1000)+AL$18</f>
        <v>-17.412405758982175</v>
      </c>
      <c r="AM56" s="43">
        <f t="shared" ref="AM56" si="1750">IF(AD56="","",(AD56-AD$20)*1000)+AM$18</f>
        <v>-60.956078790882273</v>
      </c>
      <c r="AN56" s="43">
        <f t="shared" ref="AN56" si="1751">IF(AE56="","",(AE56-AE$20)*1000)+AN$18</f>
        <v>-41.594643083224803</v>
      </c>
      <c r="AO56" s="43">
        <f t="shared" ref="AO56" si="1752">IF(AF56="","",(AF56-AF$20)*1000)+AO$18</f>
        <v>-25.897740647843115</v>
      </c>
      <c r="AP56" s="43">
        <f t="shared" ref="AP56" si="1753">IF(AG56="","",(AG56-AG$20)*1000)+AP$18</f>
        <v>-25.614646904156047</v>
      </c>
      <c r="AQ56" s="43">
        <f t="shared" ref="AQ56" si="1754">IF(AH56="","",(AH56-AH$20)*1000)+AQ$18</f>
        <v>-22.676311845376773</v>
      </c>
      <c r="AR56" s="40"/>
      <c r="AS56" s="43">
        <f t="shared" ref="AS56" si="1755">IF(E56="","",(E56-E$20)*1000)+AS$18</f>
        <v>-0.14999997802078724</v>
      </c>
      <c r="AT56" s="43">
        <f t="shared" ref="AT56" si="1756">IF(F56="","",(F56-F$20)*1000)+AT$18</f>
        <v>-2.4500000290572643</v>
      </c>
      <c r="AU56" s="43">
        <f t="shared" ref="AU56" si="1757">IF(G56="","",(G56-G$20)*1000)+AU$18</f>
        <v>3.3999999999991815</v>
      </c>
      <c r="AV56" s="43">
        <f t="shared" ref="AV56" si="1758">IF(H56="","",(H56-H$20)*1000)+AV$18</f>
        <v>0.10000006295740604</v>
      </c>
      <c r="AW56" s="43">
        <f t="shared" ref="AW56" si="1759">IF(I56="","",(I56-I$20)*1000)+AW$18</f>
        <v>-2.9500003438442945</v>
      </c>
      <c r="AX56" s="43">
        <f t="shared" ref="AX56" si="1760">IF(J56="","",(J56-J$20)*1000)+AX$18</f>
        <v>1.5500000000088221</v>
      </c>
      <c r="AY56" s="43">
        <f t="shared" ref="AY56" si="1761">IF(K56="","",(K56-K$20)*1000)+AY$18</f>
        <v>2.9500001110136509</v>
      </c>
      <c r="AZ56" s="43">
        <f t="shared" ref="AZ56" si="1762">IF(L56="","",(L56-L$20)*1000)+AZ$18</f>
        <v>-8.8000001851469278</v>
      </c>
      <c r="BA56" s="43">
        <f t="shared" ref="BA56" si="1763">IF(M56="","",(M56-M$20)*1000)+BA$18</f>
        <v>-8.8999999999828106</v>
      </c>
      <c r="BB56" s="43">
        <f t="shared" ref="BB56" si="1764">IF(N56="","",(N56-N$20)*1000)+BB$18</f>
        <v>-16.799999983049929</v>
      </c>
      <c r="BC56" s="43">
        <f t="shared" ref="BC56" si="1765">IF(O56="","",(O56-O$20)*1000)+BC$18</f>
        <v>-5.2000000141561031</v>
      </c>
      <c r="BD56" s="43">
        <f t="shared" ref="BD56" si="1766">IF(P56="","",(P56-P$20)*1000)+BD$18</f>
        <v>-70.549999999997226</v>
      </c>
      <c r="BE56" s="43">
        <f t="shared" ref="BE56" si="1767">IF(Q56="","",(Q56-Q$20)*1000)+BE$18</f>
        <v>1.7499999376013875</v>
      </c>
      <c r="BF56" s="43">
        <f t="shared" ref="BF56" si="1768">IF(R56="","",(R56-R$20)*1000)+BF$18</f>
        <v>15.200000256299973</v>
      </c>
      <c r="BG56" s="43">
        <f t="shared" ref="BG56" si="1769">IF(S56="","",(S56-S$20)*1000)+BG$18</f>
        <v>-33.450000000001978</v>
      </c>
      <c r="BH56" s="43">
        <f t="shared" ref="BH56" si="1770">IF(T56="","",(T56-T$20)*1000)+BH$18</f>
        <v>-9.6999998204410076</v>
      </c>
      <c r="BI56" s="43">
        <f t="shared" ref="BI56" si="1771">IF(U56="","",(U56-U$20)*1000)+BI$18</f>
        <v>20.750000141561031</v>
      </c>
      <c r="BJ56" s="43">
        <f t="shared" ref="BJ56" si="1772">IF(V56="","",(V56-V$20)*1000)+BJ$18</f>
        <v>0.20000000000663931</v>
      </c>
      <c r="BK56" s="43">
        <f t="shared" ref="BK56" si="1773">IF(W56="","",(W56-W$20)*1000)+BK$18</f>
        <v>2.0000000949949026</v>
      </c>
      <c r="BL56" s="43">
        <f t="shared" ref="BL56" si="1774">IF(X56="","",(X56-X$20)*1000)+BL$18</f>
        <v>23.649999871850014</v>
      </c>
      <c r="BM56" s="43">
        <f t="shared" ref="BM56" si="1775">IF(Y56="","",(Y56-Y$20)*1000)+BM$18</f>
        <v>-31.30000000000166</v>
      </c>
      <c r="BN56" s="40"/>
      <c r="BO56" s="39">
        <v>183.96940000000001</v>
      </c>
      <c r="BP56" s="39">
        <v>-2.4323000000000001</v>
      </c>
      <c r="BQ56" s="39">
        <v>-0.87660000000000005</v>
      </c>
      <c r="BR56" s="39">
        <v>183.9401</v>
      </c>
      <c r="BS56" s="39">
        <v>-2.6692999999999998</v>
      </c>
      <c r="BT56" s="39">
        <v>0.29220000000000002</v>
      </c>
      <c r="BU56" s="39">
        <v>183.92580000000001</v>
      </c>
      <c r="BV56" s="39">
        <v>-2.1520000000000001</v>
      </c>
      <c r="BW56" s="39">
        <v>1.7345999999999999</v>
      </c>
      <c r="BX56" s="39">
        <v>183.78229999999999</v>
      </c>
      <c r="BY56" s="39">
        <v>-0.30520000000000003</v>
      </c>
      <c r="BZ56" s="39">
        <v>2.6440000000000001</v>
      </c>
      <c r="CA56" s="39">
        <v>183.8854</v>
      </c>
      <c r="CB56" s="39">
        <v>1.2937000000000001</v>
      </c>
      <c r="CC56" s="39">
        <v>2.3273999999999999</v>
      </c>
      <c r="CD56" s="39">
        <v>183.9067</v>
      </c>
      <c r="CE56" s="39">
        <v>2.6814</v>
      </c>
      <c r="CF56" s="39">
        <v>0.255</v>
      </c>
      <c r="CG56" s="39">
        <v>183.90010000000001</v>
      </c>
      <c r="CH56" s="39">
        <v>2.5222000000000002</v>
      </c>
      <c r="CI56" s="39">
        <v>-0.91949999999999998</v>
      </c>
      <c r="CJ56" s="40"/>
      <c r="CK56" s="43">
        <f t="shared" ref="CK56" si="1776">IF(BO56="","",(BO56-BO$20)*1000)+CK$18</f>
        <v>-1.4470796433556643</v>
      </c>
      <c r="CL56" s="43">
        <f t="shared" ref="CL56" si="1777">IF(BP56="","",(BP56-BP$20)*1000)+CL$18</f>
        <v>2.5276339682074322</v>
      </c>
      <c r="CM56" s="43">
        <f t="shared" ref="CM56" si="1778">IF(BQ56="","",(BQ56-BQ$20)*1000)+CM$18</f>
        <v>3.4274707964460083</v>
      </c>
      <c r="CN56" s="43">
        <f t="shared" ref="CN56" si="1779">IF(BR56="","",(BR56-BR$20)*1000)+CN$18</f>
        <v>-1.137555897656739</v>
      </c>
      <c r="CO56" s="43">
        <f t="shared" ref="CO56" si="1780">IF(BS56="","",(BS56-BS$20)*1000)+CO$18</f>
        <v>2.6775136069008276</v>
      </c>
      <c r="CP56" s="43">
        <f t="shared" ref="CP56" si="1781">IF(BT56="","",(BT56-BT$20)*1000)+CP$18</f>
        <v>1.5833755589790832</v>
      </c>
      <c r="CQ56" s="43">
        <f t="shared" ref="CQ56" si="1782">IF(BU56="","",(BU56-BU$20)*1000)+CQ$18</f>
        <v>-0.74488549145712568</v>
      </c>
      <c r="CR56" s="43">
        <f t="shared" ref="CR56" si="1783">IF(BV56="","",(BV56-BV$20)*1000)+CR$18</f>
        <v>8.5724709854404502</v>
      </c>
      <c r="CS56" s="43">
        <f t="shared" ref="CS56" si="1784">IF(BW56="","",(BW56-BW$20)*1000)+CS$18</f>
        <v>-8.897551145071958</v>
      </c>
      <c r="CT56" s="43">
        <f t="shared" ref="CT56" si="1785">IF(BX56="","",(BX56-BX$20)*1000)+CT$18</f>
        <v>-17.281202444195287</v>
      </c>
      <c r="CU56" s="43">
        <f t="shared" ref="CU56" si="1786">IF(BY56="","",(BY56-BY$20)*1000)+CU$18</f>
        <v>-2.5811089710806865</v>
      </c>
      <c r="CV56" s="43">
        <f t="shared" ref="CV56" si="1787">IF(BZ56="","",(BZ56-BZ$20)*1000)+CV$18</f>
        <v>-70.325187975550648</v>
      </c>
      <c r="CW56" s="43">
        <f t="shared" ref="CW56" si="1788">IF(CA56="","",(CA56-CA$20)*1000)+CW$18</f>
        <v>7.6063478637706794</v>
      </c>
      <c r="CX56" s="43">
        <f t="shared" ref="CX56" si="1789">IF(CB56="","",(CB56-CB$20)*1000)+CX$18</f>
        <v>-12.32975384717383</v>
      </c>
      <c r="CY56" s="43">
        <f t="shared" ref="CY56" si="1790">IF(CC56="","",(CC56-CC$20)*1000)+CY$18</f>
        <v>-33.434063478635423</v>
      </c>
      <c r="CZ56" s="43">
        <f t="shared" ref="CZ56" si="1791">IF(CD56="","",(CD56-CD$20)*1000)+CZ$18</f>
        <v>3.4466868669369433E-2</v>
      </c>
      <c r="DA56" s="43">
        <f t="shared" ref="DA56" si="1792">IF(CE56="","",(CE56-CE$20)*1000)+DA$18</f>
        <v>-22.924604093085499</v>
      </c>
      <c r="DB56" s="43">
        <f t="shared" ref="DB56" si="1793">IF(CF56="","",(CF56-CF$20)*1000)+DB$18</f>
        <v>0.23865533131034455</v>
      </c>
      <c r="DC56" s="43">
        <f t="shared" ref="DC56" si="1794">IF(CG56="","",(CG56-CG$20)*1000)+DC$18</f>
        <v>11.726345617688594</v>
      </c>
      <c r="DD56" s="43">
        <f t="shared" ref="DD56" si="1795">IF(CH56="","",(CH56-CH$20)*1000)+DD$18</f>
        <v>-20.464695174446046</v>
      </c>
      <c r="DE56" s="43">
        <f t="shared" ref="DE56" si="1796">IF(CI56="","",(CI56-CI$20)*1000)+DE$18</f>
        <v>-31.399263456176158</v>
      </c>
    </row>
    <row r="57" spans="1:109" ht="29.25" customHeight="1" x14ac:dyDescent="0.2">
      <c r="A57" s="37">
        <v>43811</v>
      </c>
      <c r="B57" s="29">
        <f t="shared" si="969"/>
        <v>153</v>
      </c>
      <c r="C57" s="38">
        <v>222.9</v>
      </c>
      <c r="D57" s="38">
        <f t="shared" ref="D57" si="1797">C57-PM</f>
        <v>39</v>
      </c>
      <c r="E57" s="39">
        <v>823233.37639999995</v>
      </c>
      <c r="F57" s="39">
        <v>1091513.5618</v>
      </c>
      <c r="G57" s="39">
        <v>-124.5796</v>
      </c>
      <c r="H57" s="39">
        <v>823233.24959999998</v>
      </c>
      <c r="I57" s="39">
        <v>1091513.764</v>
      </c>
      <c r="J57" s="39">
        <v>-123.4114</v>
      </c>
      <c r="K57" s="39">
        <v>823233.45539999998</v>
      </c>
      <c r="L57" s="39">
        <v>1091513.2892</v>
      </c>
      <c r="M57" s="39">
        <v>-121.9688</v>
      </c>
      <c r="N57" s="39">
        <v>823234.10640000005</v>
      </c>
      <c r="O57" s="39">
        <v>1091511.5549000001</v>
      </c>
      <c r="P57" s="39">
        <v>-121.0608</v>
      </c>
      <c r="Q57" s="39">
        <v>823234.87580000004</v>
      </c>
      <c r="R57" s="39">
        <v>1091510.1492999999</v>
      </c>
      <c r="S57" s="39">
        <v>-121.37649999999999</v>
      </c>
      <c r="T57" s="39">
        <v>823235.48149999999</v>
      </c>
      <c r="U57" s="39">
        <v>1091508.9009</v>
      </c>
      <c r="V57" s="39">
        <v>-123.44840000000001</v>
      </c>
      <c r="W57" s="39">
        <v>823235.40800000005</v>
      </c>
      <c r="X57" s="39">
        <v>1091509.0422</v>
      </c>
      <c r="Y57" s="39">
        <v>-124.6233</v>
      </c>
      <c r="Z57" s="39">
        <f t="shared" si="1"/>
        <v>4.1161269477292333</v>
      </c>
      <c r="AA57" s="39">
        <f t="shared" si="2"/>
        <v>3.3375963520929184</v>
      </c>
      <c r="AB57" s="39">
        <f t="shared" si="3"/>
        <v>2.0630224161958295</v>
      </c>
      <c r="AC57" s="39">
        <f t="shared" si="4"/>
        <v>1.6332036647248653</v>
      </c>
      <c r="AD57" s="39">
        <f t="shared" si="5"/>
        <v>3.8256044973790915</v>
      </c>
      <c r="AE57" s="39">
        <f t="shared" si="6"/>
        <v>4.5496406561853604</v>
      </c>
      <c r="AF57" s="39">
        <f t="shared" si="7"/>
        <v>3.4967595657403256</v>
      </c>
      <c r="AG57" s="39">
        <f t="shared" si="8"/>
        <v>5.3509333970493111</v>
      </c>
      <c r="AH57" s="39">
        <f t="shared" si="9"/>
        <v>4.9554104179592375</v>
      </c>
      <c r="AI57" s="43">
        <f t="shared" ref="AI57" si="1798">IF(Z57="","",(Z57-Z$20)*1000)+AI$18</f>
        <v>-64.217949499272294</v>
      </c>
      <c r="AJ57" s="43">
        <f t="shared" ref="AJ57" si="1799">IF(AA57="","",(AA57-AA$20)*1000)+AJ$18</f>
        <v>-53.946235624786624</v>
      </c>
      <c r="AK57" s="43">
        <f t="shared" ref="AK57" si="1800">IF(AB57="","",(AB57-AB$20)*1000)+AK$18</f>
        <v>-35.655224870054127</v>
      </c>
      <c r="AL57" s="43">
        <f t="shared" ref="AL57" si="1801">IF(AC57="","",(AC57-AC$20)*1000)+AL$18</f>
        <v>-17.193474466927981</v>
      </c>
      <c r="AM57" s="43">
        <f t="shared" ref="AM57" si="1802">IF(AD57="","",(AD57-AD$20)*1000)+AM$18</f>
        <v>-61.051922475170883</v>
      </c>
      <c r="AN57" s="43">
        <f t="shared" ref="AN57" si="1803">IF(AE57="","",(AE57-AE$20)*1000)+AN$18</f>
        <v>-41.440033708334489</v>
      </c>
      <c r="AO57" s="43">
        <f t="shared" ref="AO57" si="1804">IF(AF57="","",(AF57-AF$20)*1000)+AO$18</f>
        <v>-25.630397169236208</v>
      </c>
      <c r="AP57" s="43">
        <f t="shared" ref="AP57" si="1805">IF(AG57="","",(AG57-AG$20)*1000)+AP$18</f>
        <v>-25.598858017153781</v>
      </c>
      <c r="AQ57" s="43">
        <f t="shared" ref="AQ57" si="1806">IF(AH57="","",(AH57-AH$20)*1000)+AQ$18</f>
        <v>-22.461238336244804</v>
      </c>
      <c r="AR57" s="40"/>
      <c r="AS57" s="43">
        <f t="shared" ref="AS57" si="1807">IF(E57="","",(E57-E$20)*1000)+AS$18</f>
        <v>-0.25000004097819328</v>
      </c>
      <c r="AT57" s="43">
        <f t="shared" ref="AT57" si="1808">IF(F57="","",(F57-F$20)*1000)+AT$18</f>
        <v>-1.0500000789761543</v>
      </c>
      <c r="AU57" s="43">
        <f t="shared" ref="AU57" si="1809">IF(G57="","",(G57-G$20)*1000)+AU$18</f>
        <v>3.6000000000058208</v>
      </c>
      <c r="AV57" s="43">
        <f t="shared" ref="AV57" si="1810">IF(H57="","",(H57-H$20)*1000)+AV$18</f>
        <v>-9.9999946542084217E-2</v>
      </c>
      <c r="AW57" s="43">
        <f t="shared" ref="AW57" si="1811">IF(I57="","",(I57-I$20)*1000)+AW$18</f>
        <v>-1.750000286847353</v>
      </c>
      <c r="AX57" s="43">
        <f t="shared" ref="AX57" si="1812">IF(J57="","",(J57-J$20)*1000)+AX$18</f>
        <v>1.4500000000055024</v>
      </c>
      <c r="AY57" s="43">
        <f t="shared" ref="AY57" si="1813">IF(K57="","",(K57-K$20)*1000)+AY$18</f>
        <v>2.8500000480562449</v>
      </c>
      <c r="AZ57" s="43">
        <f t="shared" ref="AZ57" si="1814">IF(L57="","",(L57-L$20)*1000)+AZ$18</f>
        <v>-7.5000002980232239</v>
      </c>
      <c r="BA57" s="43">
        <f t="shared" ref="BA57" si="1815">IF(M57="","",(M57-M$20)*1000)+BA$18</f>
        <v>-8.6999999999903821</v>
      </c>
      <c r="BB57" s="43">
        <f t="shared" ref="BB57" si="1816">IF(N57="","",(N57-N$20)*1000)+BB$18</f>
        <v>-16.399999964050949</v>
      </c>
      <c r="BC57" s="43">
        <f t="shared" ref="BC57" si="1817">IF(O57="","",(O57-O$20)*1000)+BC$18</f>
        <v>-3.7999998312443495</v>
      </c>
      <c r="BD57" s="43">
        <f t="shared" ref="BD57" si="1818">IF(P57="","",(P57-P$20)*1000)+BD$18</f>
        <v>-70.250000000001478</v>
      </c>
      <c r="BE57" s="43">
        <f t="shared" ref="BE57" si="1819">IF(Q57="","",(Q57-Q$20)*1000)+BE$18</f>
        <v>2.3499999660998583</v>
      </c>
      <c r="BF57" s="43">
        <f t="shared" ref="BF57" si="1820">IF(R57="","",(R57-R$20)*1000)+BF$18</f>
        <v>16.500000143423676</v>
      </c>
      <c r="BG57" s="43">
        <f t="shared" ref="BG57" si="1821">IF(S57="","",(S57-S$20)*1000)+BG$18</f>
        <v>-33.349999999998658</v>
      </c>
      <c r="BH57" s="43">
        <f t="shared" ref="BH57" si="1822">IF(T57="","",(T57-T$20)*1000)+BH$18</f>
        <v>-9.1999998548999429</v>
      </c>
      <c r="BI57" s="43">
        <f t="shared" ref="BI57" si="1823">IF(U57="","",(U57-U$20)*1000)+BI$18</f>
        <v>22.250000154599547</v>
      </c>
      <c r="BJ57" s="43">
        <f t="shared" ref="BJ57" si="1824">IF(V57="","",(V57-V$20)*1000)+BJ$18</f>
        <v>0.60000000000570708</v>
      </c>
      <c r="BK57" s="43">
        <f t="shared" ref="BK57" si="1825">IF(W57="","",(W57-W$20)*1000)+BK$18</f>
        <v>2.2000001044943929</v>
      </c>
      <c r="BL57" s="43">
        <f t="shared" ref="BL57" si="1826">IF(X57="","",(X57-X$20)*1000)+BL$18</f>
        <v>24.949999991804361</v>
      </c>
      <c r="BM57" s="43">
        <f t="shared" ref="BM57" si="1827">IF(Y57="","",(Y57-Y$20)*1000)+BM$18</f>
        <v>-31.19999999999834</v>
      </c>
      <c r="BN57" s="40"/>
      <c r="BO57" s="39">
        <v>183.9699</v>
      </c>
      <c r="BP57" s="39">
        <v>-2.4336000000000002</v>
      </c>
      <c r="BQ57" s="39">
        <v>-0.87639999999999996</v>
      </c>
      <c r="BR57" s="39">
        <v>183.94040000000001</v>
      </c>
      <c r="BS57" s="39">
        <v>-2.6705000000000001</v>
      </c>
      <c r="BT57" s="39">
        <v>0.29210000000000003</v>
      </c>
      <c r="BU57" s="39">
        <v>183.92619999999999</v>
      </c>
      <c r="BV57" s="39">
        <v>-2.1532</v>
      </c>
      <c r="BW57" s="39">
        <v>1.7347999999999999</v>
      </c>
      <c r="BX57" s="39">
        <v>183.78319999999999</v>
      </c>
      <c r="BY57" s="39">
        <v>-0.30630000000000002</v>
      </c>
      <c r="BZ57" s="39">
        <v>2.6442000000000001</v>
      </c>
      <c r="CA57" s="39">
        <v>183.88650000000001</v>
      </c>
      <c r="CB57" s="39">
        <v>1.2927999999999999</v>
      </c>
      <c r="CC57" s="39">
        <v>2.3275000000000001</v>
      </c>
      <c r="CD57" s="39">
        <v>183.90780000000001</v>
      </c>
      <c r="CE57" s="39">
        <v>2.6802000000000001</v>
      </c>
      <c r="CF57" s="39">
        <v>0.25540000000000002</v>
      </c>
      <c r="CG57" s="39">
        <v>183.90090000000001</v>
      </c>
      <c r="CH57" s="39">
        <v>2.5211000000000001</v>
      </c>
      <c r="CI57" s="39">
        <v>-0.9194</v>
      </c>
      <c r="CJ57" s="40"/>
      <c r="CK57" s="43">
        <f t="shared" ref="CK57" si="1828">IF(BO57="","",(BO57-BO$20)*1000)+CK$18</f>
        <v>-0.94707964336748773</v>
      </c>
      <c r="CL57" s="43">
        <f t="shared" ref="CL57" si="1829">IF(BP57="","",(BP57-BP$20)*1000)+CL$18</f>
        <v>1.2276339682073534</v>
      </c>
      <c r="CM57" s="43">
        <f t="shared" ref="CM57" si="1830">IF(BQ57="","",(BQ57-BQ$20)*1000)+CM$18</f>
        <v>3.6274707964460973</v>
      </c>
      <c r="CN57" s="43">
        <f t="shared" ref="CN57" si="1831">IF(BR57="","",(BR57-BR$20)*1000)+CN$18</f>
        <v>-0.83755589764678007</v>
      </c>
      <c r="CO57" s="43">
        <f t="shared" ref="CO57" si="1832">IF(BS57="","",(BS57-BS$20)*1000)+CO$18</f>
        <v>1.4775136069005157</v>
      </c>
      <c r="CP57" s="43">
        <f t="shared" ref="CP57" si="1833">IF(BT57="","",(BT57-BT$20)*1000)+CP$18</f>
        <v>1.4833755589790942</v>
      </c>
      <c r="CQ57" s="43">
        <f t="shared" ref="CQ57" si="1834">IF(BU57="","",(BU57-BU$20)*1000)+CQ$18</f>
        <v>-0.34488549147226877</v>
      </c>
      <c r="CR57" s="43">
        <f t="shared" ref="CR57" si="1835">IF(BV57="","",(BV57-BV$20)*1000)+CR$18</f>
        <v>7.3724709854405823</v>
      </c>
      <c r="CS57" s="43">
        <f t="shared" ref="CS57" si="1836">IF(BW57="","",(BW57-BW$20)*1000)+CS$18</f>
        <v>-8.69755114507198</v>
      </c>
      <c r="CT57" s="43">
        <f t="shared" ref="CT57" si="1837">IF(BX57="","",(BX57-BX$20)*1000)+CT$18</f>
        <v>-16.381202444193832</v>
      </c>
      <c r="CU57" s="43">
        <f t="shared" ref="CU57" si="1838">IF(BY57="","",(BY57-BY$20)*1000)+CU$18</f>
        <v>-3.6811089710806764</v>
      </c>
      <c r="CV57" s="43">
        <f t="shared" ref="CV57" si="1839">IF(BZ57="","",(BZ57-BZ$20)*1000)+CV$18</f>
        <v>-70.125187975550674</v>
      </c>
      <c r="CW57" s="43">
        <f t="shared" ref="CW57" si="1840">IF(CA57="","",(CA57-CA$20)*1000)+CW$18</f>
        <v>8.7063478637787739</v>
      </c>
      <c r="CX57" s="43">
        <f t="shared" ref="CX57" si="1841">IF(CB57="","",(CB57-CB$20)*1000)+CX$18</f>
        <v>-13.229753847173953</v>
      </c>
      <c r="CY57" s="43">
        <f t="shared" ref="CY57" si="1842">IF(CC57="","",(CC57-CC$20)*1000)+CY$18</f>
        <v>-33.334063478635215</v>
      </c>
      <c r="CZ57" s="43">
        <f t="shared" ref="CZ57" si="1843">IF(CD57="","",(CD57-CD$20)*1000)+CZ$18</f>
        <v>1.1344668686774639</v>
      </c>
      <c r="DA57" s="43">
        <f t="shared" ref="DA57" si="1844">IF(CE57="","",(CE57-CE$20)*1000)+DA$18</f>
        <v>-24.124604093085367</v>
      </c>
      <c r="DB57" s="43">
        <f t="shared" ref="DB57" si="1845">IF(CF57="","",(CF57-CF$20)*1000)+DB$18</f>
        <v>0.63865533131035601</v>
      </c>
      <c r="DC57" s="43">
        <f t="shared" ref="DC57" si="1846">IF(CG57="","",(CG57-CG$20)*1000)+DC$18</f>
        <v>12.526345617686729</v>
      </c>
      <c r="DD57" s="43">
        <f t="shared" ref="DD57" si="1847">IF(CH57="","",(CH57-CH$20)*1000)+DD$18</f>
        <v>-21.564695174446147</v>
      </c>
      <c r="DE57" s="43">
        <f t="shared" ref="DE57" si="1848">IF(CI57="","",(CI57-CI$20)*1000)+DE$18</f>
        <v>-31.29926345617617</v>
      </c>
    </row>
    <row r="58" spans="1:109" ht="29.25" customHeight="1" x14ac:dyDescent="0.2">
      <c r="A58" s="37">
        <v>43815</v>
      </c>
      <c r="B58" s="29">
        <f t="shared" ref="B58:B71" si="1849">IF(A58="","",A58-excav)</f>
        <v>157</v>
      </c>
      <c r="C58" s="38">
        <v>222.9</v>
      </c>
      <c r="D58" s="38">
        <f t="shared" ref="D58" si="1850">C58-PM</f>
        <v>39</v>
      </c>
      <c r="E58" s="39">
        <v>823233.37760000001</v>
      </c>
      <c r="F58" s="39">
        <v>1091513.5619999999</v>
      </c>
      <c r="G58" s="39">
        <v>-124.57980000000001</v>
      </c>
      <c r="H58" s="39">
        <v>823233.25080000004</v>
      </c>
      <c r="I58" s="39">
        <v>1091513.7645</v>
      </c>
      <c r="J58" s="39">
        <v>-123.41119999999999</v>
      </c>
      <c r="K58" s="39">
        <v>823233.45660000003</v>
      </c>
      <c r="L58" s="39">
        <v>1091513.2892</v>
      </c>
      <c r="M58" s="39">
        <v>-121.9687</v>
      </c>
      <c r="N58" s="39">
        <v>823234.10739999998</v>
      </c>
      <c r="O58" s="39">
        <v>1091511.5547</v>
      </c>
      <c r="P58" s="39">
        <v>-121.0609</v>
      </c>
      <c r="Q58" s="39">
        <v>823234.87719999999</v>
      </c>
      <c r="R58" s="39">
        <v>1091510.1488999999</v>
      </c>
      <c r="S58" s="39">
        <v>-121.376</v>
      </c>
      <c r="T58" s="39">
        <v>823235.48230000003</v>
      </c>
      <c r="U58" s="39">
        <v>1091508.9006000001</v>
      </c>
      <c r="V58" s="39">
        <v>-123.44840000000001</v>
      </c>
      <c r="W58" s="39">
        <v>823235.40930000006</v>
      </c>
      <c r="X58" s="39">
        <v>1091509.0419000001</v>
      </c>
      <c r="Y58" s="39">
        <v>-124.6234</v>
      </c>
      <c r="Z58" s="39">
        <f t="shared" si="1"/>
        <v>4.1163720118224481</v>
      </c>
      <c r="AA58" s="39">
        <f t="shared" si="2"/>
        <v>3.3377971313737262</v>
      </c>
      <c r="AB58" s="39">
        <f t="shared" si="3"/>
        <v>2.0630394397585579</v>
      </c>
      <c r="AC58" s="39">
        <f t="shared" si="4"/>
        <v>1.633448404510973</v>
      </c>
      <c r="AD58" s="39">
        <f t="shared" si="5"/>
        <v>3.8255395789037956</v>
      </c>
      <c r="AE58" s="39">
        <f t="shared" si="6"/>
        <v>4.5497817200113815</v>
      </c>
      <c r="AF58" s="39">
        <f t="shared" si="7"/>
        <v>3.4972677536059615</v>
      </c>
      <c r="AG58" s="39">
        <f t="shared" si="8"/>
        <v>5.3514950527812735</v>
      </c>
      <c r="AH58" s="39">
        <f t="shared" si="9"/>
        <v>4.9559065627630439</v>
      </c>
      <c r="AI58" s="43">
        <f t="shared" ref="AI58" si="1851">IF(Z58="","",(Z58-Z$20)*1000)+AI$18</f>
        <v>-63.9728854060575</v>
      </c>
      <c r="AJ58" s="43">
        <f t="shared" ref="AJ58" si="1852">IF(AA58="","",(AA58-AA$20)*1000)+AJ$18</f>
        <v>-53.745456343978759</v>
      </c>
      <c r="AK58" s="43">
        <f t="shared" ref="AK58" si="1853">IF(AB58="","",(AB58-AB$20)*1000)+AK$18</f>
        <v>-35.638201307325758</v>
      </c>
      <c r="AL58" s="43">
        <f t="shared" ref="AL58" si="1854">IF(AC58="","",(AC58-AC$20)*1000)+AL$18</f>
        <v>-16.948734680820365</v>
      </c>
      <c r="AM58" s="43">
        <f t="shared" ref="AM58" si="1855">IF(AD58="","",(AD58-AD$20)*1000)+AM$18</f>
        <v>-61.116840950466766</v>
      </c>
      <c r="AN58" s="43">
        <f t="shared" ref="AN58" si="1856">IF(AE58="","",(AE58-AE$20)*1000)+AN$18</f>
        <v>-41.298969882313408</v>
      </c>
      <c r="AO58" s="43">
        <f t="shared" ref="AO58" si="1857">IF(AF58="","",(AF58-AF$20)*1000)+AO$18</f>
        <v>-25.122209303600318</v>
      </c>
      <c r="AP58" s="43">
        <f t="shared" ref="AP58" si="1858">IF(AG58="","",(AG58-AG$20)*1000)+AP$18</f>
        <v>-25.037202285191462</v>
      </c>
      <c r="AQ58" s="43">
        <f t="shared" ref="AQ58" si="1859">IF(AH58="","",(AH58-AH$20)*1000)+AQ$18</f>
        <v>-21.965093532438473</v>
      </c>
      <c r="AR58" s="40"/>
      <c r="AS58" s="43">
        <f t="shared" ref="AS58" si="1860">IF(E58="","",(E58-E$20)*1000)+AS$18</f>
        <v>0.95000001601874828</v>
      </c>
      <c r="AT58" s="43">
        <f t="shared" ref="AT58" si="1861">IF(F58="","",(F58-F$20)*1000)+AT$18</f>
        <v>-0.85000018589198589</v>
      </c>
      <c r="AU58" s="43">
        <f t="shared" ref="AU58" si="1862">IF(G58="","",(G58-G$20)*1000)+AU$18</f>
        <v>3.3999999999991815</v>
      </c>
      <c r="AV58" s="43">
        <f t="shared" ref="AV58" si="1863">IF(H58="","",(H58-H$20)*1000)+AV$18</f>
        <v>1.1000001104548573</v>
      </c>
      <c r="AW58" s="43">
        <f t="shared" ref="AW58" si="1864">IF(I58="","",(I58-I$20)*1000)+AW$18</f>
        <v>-1.2500002048909664</v>
      </c>
      <c r="AX58" s="43">
        <f t="shared" ref="AX58" si="1865">IF(J58="","",(J58-J$20)*1000)+AX$18</f>
        <v>1.6500000000121418</v>
      </c>
      <c r="AY58" s="43">
        <f t="shared" ref="AY58" si="1866">IF(K58="","",(K58-K$20)*1000)+AY$18</f>
        <v>4.0500001050531864</v>
      </c>
      <c r="AZ58" s="43">
        <f t="shared" ref="AZ58" si="1867">IF(L58="","",(L58-L$20)*1000)+AZ$18</f>
        <v>-7.5000002980232239</v>
      </c>
      <c r="BA58" s="43">
        <f t="shared" ref="BA58" si="1868">IF(M58="","",(M58-M$20)*1000)+BA$18</f>
        <v>-8.5999999999870624</v>
      </c>
      <c r="BB58" s="43">
        <f t="shared" ref="BB58" si="1869">IF(N58="","",(N58-N$20)*1000)+BB$18</f>
        <v>-15.400000032968819</v>
      </c>
      <c r="BC58" s="43">
        <f t="shared" ref="BC58" si="1870">IF(O58="","",(O58-O$20)*1000)+BC$18</f>
        <v>-3.9999999571591616</v>
      </c>
      <c r="BD58" s="43">
        <f t="shared" ref="BD58" si="1871">IF(P58="","",(P58-P$20)*1000)+BD$18</f>
        <v>-70.350000000004798</v>
      </c>
      <c r="BE58" s="43">
        <f t="shared" ref="BE58" si="1872">IF(Q58="","",(Q58-Q$20)*1000)+BE$18</f>
        <v>3.7499999161809683</v>
      </c>
      <c r="BF58" s="43">
        <f t="shared" ref="BF58" si="1873">IF(R58="","",(R58-R$20)*1000)+BF$18</f>
        <v>16.100000124424696</v>
      </c>
      <c r="BG58" s="43">
        <f t="shared" ref="BG58" si="1874">IF(S58="","",(S58-S$20)*1000)+BG$18</f>
        <v>-32.850000000010482</v>
      </c>
      <c r="BH58" s="43">
        <f t="shared" ref="BH58" si="1875">IF(T58="","",(T58-T$20)*1000)+BH$18</f>
        <v>-8.3999998169019818</v>
      </c>
      <c r="BI58" s="43">
        <f t="shared" ref="BI58" si="1876">IF(U58="","",(U58-U$20)*1000)+BI$18</f>
        <v>21.950000198557973</v>
      </c>
      <c r="BJ58" s="43">
        <f t="shared" ref="BJ58" si="1877">IF(V58="","",(V58-V$20)*1000)+BJ$18</f>
        <v>0.60000000000570708</v>
      </c>
      <c r="BK58" s="43">
        <f t="shared" ref="BK58" si="1878">IF(W58="","",(W58-W$20)*1000)+BK$18</f>
        <v>3.5000001080334187</v>
      </c>
      <c r="BL58" s="43">
        <f t="shared" ref="BL58" si="1879">IF(X58="","",(X58-X$20)*1000)+BL$18</f>
        <v>24.650000035762787</v>
      </c>
      <c r="BM58" s="43">
        <f t="shared" ref="BM58" si="1880">IF(Y58="","",(Y58-Y$20)*1000)+BM$18</f>
        <v>-31.30000000000166</v>
      </c>
      <c r="BN58" s="40"/>
      <c r="BO58" s="39">
        <v>183.971</v>
      </c>
      <c r="BP58" s="39">
        <v>-2.4333</v>
      </c>
      <c r="BQ58" s="39">
        <v>-0.87660000000000005</v>
      </c>
      <c r="BR58" s="39">
        <v>183.9417</v>
      </c>
      <c r="BS58" s="39">
        <v>-2.6703999999999999</v>
      </c>
      <c r="BT58" s="39">
        <v>0.2923</v>
      </c>
      <c r="BU58" s="41">
        <v>183.9273</v>
      </c>
      <c r="BV58" s="42">
        <v>-2.1526999999999998</v>
      </c>
      <c r="BW58" s="42">
        <v>1.7349000000000001</v>
      </c>
      <c r="BX58" s="41">
        <v>183.7841</v>
      </c>
      <c r="BY58" s="42">
        <v>-0.30570000000000003</v>
      </c>
      <c r="BZ58" s="42">
        <v>2.6440999999999999</v>
      </c>
      <c r="CA58" s="41">
        <v>183.88759999999999</v>
      </c>
      <c r="CB58" s="42">
        <v>1.2938000000000001</v>
      </c>
      <c r="CC58" s="42">
        <v>2.3279999999999998</v>
      </c>
      <c r="CD58" s="41">
        <v>183.9084</v>
      </c>
      <c r="CE58" s="42">
        <v>2.6808000000000001</v>
      </c>
      <c r="CF58" s="42">
        <v>0.25540000000000002</v>
      </c>
      <c r="CG58" s="41">
        <v>183.90190000000001</v>
      </c>
      <c r="CH58" s="42">
        <v>2.5219</v>
      </c>
      <c r="CI58" s="42">
        <v>-0.91949999999999998</v>
      </c>
      <c r="CJ58" s="40"/>
      <c r="CK58" s="43">
        <f t="shared" ref="CK58" si="1881">IF(BO58="","",(BO58-BO$20)*1000)+CK$18</f>
        <v>0.15292035664060677</v>
      </c>
      <c r="CL58" s="43">
        <f t="shared" ref="CL58" si="1882">IF(BP58="","",(BP58-BP$20)*1000)+CL$18</f>
        <v>1.5276339682075424</v>
      </c>
      <c r="CM58" s="43">
        <f t="shared" ref="CM58" si="1883">IF(BQ58="","",(BQ58-BQ$20)*1000)+CM$18</f>
        <v>3.4274707964460083</v>
      </c>
      <c r="CN58" s="43">
        <f t="shared" ref="CN58" si="1884">IF(BR58="","",(BR58-BR$20)*1000)+CN$18</f>
        <v>0.46244410233953204</v>
      </c>
      <c r="CO58" s="43">
        <f t="shared" ref="CO58" si="1885">IF(BS58="","",(BS58-BS$20)*1000)+CO$18</f>
        <v>1.5775136069007267</v>
      </c>
      <c r="CP58" s="43">
        <f t="shared" ref="CP58" si="1886">IF(BT58="","",(BT58-BT$20)*1000)+CP$18</f>
        <v>1.6833755589790722</v>
      </c>
      <c r="CQ58" s="43">
        <f t="shared" ref="CQ58" si="1887">IF(BU58="","",(BU58-BU$20)*1000)+CQ$18</f>
        <v>0.75511450853582573</v>
      </c>
      <c r="CR58" s="43">
        <f t="shared" ref="CR58" si="1888">IF(BV58="","",(BV58-BV$20)*1000)+CR$18</f>
        <v>7.8724709854407493</v>
      </c>
      <c r="CS58" s="43">
        <f t="shared" ref="CS58" si="1889">IF(BW58="","",(BW58-BW$20)*1000)+CS$18</f>
        <v>-8.597551145071769</v>
      </c>
      <c r="CT58" s="43">
        <f t="shared" ref="CT58" si="1890">IF(BX58="","",(BX58-BX$20)*1000)+CT$18</f>
        <v>-15.481202444192377</v>
      </c>
      <c r="CU58" s="43">
        <f t="shared" ref="CU58" si="1891">IF(BY58="","",(BY58-BY$20)*1000)+CU$18</f>
        <v>-3.0811089710806874</v>
      </c>
      <c r="CV58" s="43">
        <f t="shared" ref="CV58" si="1892">IF(BZ58="","",(BZ58-BZ$20)*1000)+CV$18</f>
        <v>-70.225187975550881</v>
      </c>
      <c r="CW58" s="43">
        <f t="shared" ref="CW58" si="1893">IF(CA58="","",(CA58-CA$20)*1000)+CW$18</f>
        <v>9.8063478637584467</v>
      </c>
      <c r="CX58" s="43">
        <f t="shared" ref="CX58" si="1894">IF(CB58="","",(CB58-CB$20)*1000)+CX$18</f>
        <v>-12.229753847173841</v>
      </c>
      <c r="CY58" s="43">
        <f t="shared" ref="CY58" si="1895">IF(CC58="","",(CC58-CC$20)*1000)+CY$18</f>
        <v>-32.834063478635485</v>
      </c>
      <c r="CZ58" s="43">
        <f t="shared" ref="CZ58" si="1896">IF(CD58="","",(CD58-CD$20)*1000)+CZ$18</f>
        <v>1.7344668686689602</v>
      </c>
      <c r="DA58" s="43">
        <f t="shared" ref="DA58" si="1897">IF(CE58="","",(CE58-CE$20)*1000)+DA$18</f>
        <v>-23.524604093085433</v>
      </c>
      <c r="DB58" s="43">
        <f t="shared" ref="DB58" si="1898">IF(CF58="","",(CF58-CF$20)*1000)+DB$18</f>
        <v>0.63865533131035601</v>
      </c>
      <c r="DC58" s="43">
        <f t="shared" ref="DC58" si="1899">IF(CG58="","",(CG58-CG$20)*1000)+DC$18</f>
        <v>13.526345617691504</v>
      </c>
      <c r="DD58" s="43">
        <f t="shared" ref="DD58" si="1900">IF(CH58="","",(CH58-CH$20)*1000)+DD$18</f>
        <v>-20.764695174446235</v>
      </c>
      <c r="DE58" s="43">
        <f t="shared" ref="DE58" si="1901">IF(CI58="","",(CI58-CI$20)*1000)+DE$18</f>
        <v>-31.399263456176158</v>
      </c>
    </row>
    <row r="59" spans="1:109" ht="29.25" customHeight="1" x14ac:dyDescent="0.2">
      <c r="A59" s="37">
        <v>43818</v>
      </c>
      <c r="B59" s="29">
        <f t="shared" si="1849"/>
        <v>160</v>
      </c>
      <c r="C59" s="38">
        <v>222.9</v>
      </c>
      <c r="D59" s="38">
        <f t="shared" ref="D59" si="1902">C59-PM</f>
        <v>39</v>
      </c>
      <c r="E59" s="39">
        <v>823233.37919999997</v>
      </c>
      <c r="F59" s="39">
        <v>1091513.5589999999</v>
      </c>
      <c r="G59" s="39">
        <v>-124.5797</v>
      </c>
      <c r="H59" s="39">
        <v>823233.25260000001</v>
      </c>
      <c r="I59" s="39">
        <v>1091513.7609999999</v>
      </c>
      <c r="J59" s="39">
        <v>-123.4114</v>
      </c>
      <c r="K59" s="39">
        <v>823233.45830000006</v>
      </c>
      <c r="L59" s="39">
        <v>1091513.2860000001</v>
      </c>
      <c r="M59" s="39">
        <v>-121.9688</v>
      </c>
      <c r="N59" s="39">
        <v>823234.10820000002</v>
      </c>
      <c r="O59" s="39">
        <v>1091511.5519999999</v>
      </c>
      <c r="P59" s="39">
        <v>-121.0615</v>
      </c>
      <c r="Q59" s="39">
        <v>823234.87730000005</v>
      </c>
      <c r="R59" s="39">
        <v>1091510.1459999999</v>
      </c>
      <c r="S59" s="39">
        <v>-121.37649999999999</v>
      </c>
      <c r="T59" s="39">
        <v>823235.48239999998</v>
      </c>
      <c r="U59" s="39">
        <v>1091508.8970000001</v>
      </c>
      <c r="V59" s="39">
        <v>-123.44840000000001</v>
      </c>
      <c r="W59" s="39">
        <v>823235.40910000005</v>
      </c>
      <c r="X59" s="39">
        <v>1091509.0390000001</v>
      </c>
      <c r="Y59" s="39">
        <v>-124.6233</v>
      </c>
      <c r="Z59" s="39">
        <f t="shared" si="1"/>
        <v>4.1154855412218474</v>
      </c>
      <c r="AA59" s="39">
        <f t="shared" si="2"/>
        <v>3.3367292923095833</v>
      </c>
      <c r="AB59" s="39">
        <f t="shared" si="3"/>
        <v>2.0621152490932051</v>
      </c>
      <c r="AC59" s="39">
        <f t="shared" si="4"/>
        <v>1.6332715052731432</v>
      </c>
      <c r="AD59" s="39">
        <f t="shared" si="5"/>
        <v>3.8255381645995441</v>
      </c>
      <c r="AE59" s="39">
        <f t="shared" si="6"/>
        <v>4.549058039758191</v>
      </c>
      <c r="AF59" s="39">
        <f t="shared" si="7"/>
        <v>3.4962809227524856</v>
      </c>
      <c r="AG59" s="39">
        <f t="shared" si="8"/>
        <v>5.3508759131743497</v>
      </c>
      <c r="AH59" s="39">
        <f t="shared" si="9"/>
        <v>4.9550776954952029</v>
      </c>
      <c r="AI59" s="43">
        <f t="shared" ref="AI59" si="1903">IF(Z59="","",(Z59-Z$20)*1000)+AI$18</f>
        <v>-64.859356006658146</v>
      </c>
      <c r="AJ59" s="43">
        <f t="shared" ref="AJ59" si="1904">IF(AA59="","",(AA59-AA$20)*1000)+AJ$18</f>
        <v>-54.813295408121746</v>
      </c>
      <c r="AK59" s="43">
        <f t="shared" ref="AK59" si="1905">IF(AB59="","",(AB59-AB$20)*1000)+AK$18</f>
        <v>-36.562391972678526</v>
      </c>
      <c r="AL59" s="43">
        <f t="shared" ref="AL59" si="1906">IF(AC59="","",(AC59-AC$20)*1000)+AL$18</f>
        <v>-17.125633918650074</v>
      </c>
      <c r="AM59" s="43">
        <f t="shared" ref="AM59" si="1907">IF(AD59="","",(AD59-AD$20)*1000)+AM$18</f>
        <v>-61.118255254718257</v>
      </c>
      <c r="AN59" s="43">
        <f t="shared" ref="AN59" si="1908">IF(AE59="","",(AE59-AE$20)*1000)+AN$18</f>
        <v>-42.022650135503881</v>
      </c>
      <c r="AO59" s="43">
        <f t="shared" ref="AO59" si="1909">IF(AF59="","",(AF59-AF$20)*1000)+AO$18</f>
        <v>-26.109040157076269</v>
      </c>
      <c r="AP59" s="43">
        <f t="shared" ref="AP59" si="1910">IF(AG59="","",(AG59-AG$20)*1000)+AP$18</f>
        <v>-25.656341892115186</v>
      </c>
      <c r="AQ59" s="43">
        <f t="shared" ref="AQ59" si="1911">IF(AH59="","",(AH59-AH$20)*1000)+AQ$18</f>
        <v>-22.7939608002794</v>
      </c>
      <c r="AR59" s="40"/>
      <c r="AS59" s="43">
        <f t="shared" ref="AS59" si="1912">IF(E59="","",(E59-E$20)*1000)+AS$18</f>
        <v>2.5499999755993485</v>
      </c>
      <c r="AT59" s="43">
        <f t="shared" ref="AT59" si="1913">IF(F59="","",(F59-F$20)*1000)+AT$18</f>
        <v>-3.850000211969018</v>
      </c>
      <c r="AU59" s="43">
        <f t="shared" ref="AU59" si="1914">IF(G59="","",(G59-G$20)*1000)+AU$18</f>
        <v>3.5000000000025011</v>
      </c>
      <c r="AV59" s="43">
        <f t="shared" ref="AV59" si="1915">IF(H59="","",(H59-H$20)*1000)+AV$18</f>
        <v>2.9000000795349479</v>
      </c>
      <c r="AW59" s="43">
        <f t="shared" ref="AW59" si="1916">IF(I59="","",(I59-I$20)*1000)+AW$18</f>
        <v>-4.7500003129243851</v>
      </c>
      <c r="AX59" s="43">
        <f t="shared" ref="AX59" si="1917">IF(J59="","",(J59-J$20)*1000)+AX$18</f>
        <v>1.4500000000055024</v>
      </c>
      <c r="AY59" s="43">
        <f t="shared" ref="AY59" si="1918">IF(K59="","",(K59-K$20)*1000)+AY$18</f>
        <v>5.7500001275911927</v>
      </c>
      <c r="AZ59" s="43">
        <f t="shared" ref="AZ59" si="1919">IF(L59="","",(L59-L$20)*1000)+AZ$18</f>
        <v>-10.700000217184424</v>
      </c>
      <c r="BA59" s="43">
        <f t="shared" ref="BA59" si="1920">IF(M59="","",(M59-M$20)*1000)+BA$18</f>
        <v>-8.6999999999903821</v>
      </c>
      <c r="BB59" s="43">
        <f t="shared" ref="BB59" si="1921">IF(N59="","",(N59-N$20)*1000)+BB$18</f>
        <v>-14.599999994970858</v>
      </c>
      <c r="BC59" s="43">
        <f t="shared" ref="BC59" si="1922">IF(O59="","",(O59-O$20)*1000)+BC$18</f>
        <v>-6.7000000271946192</v>
      </c>
      <c r="BD59" s="43">
        <f t="shared" ref="BD59" si="1923">IF(P59="","",(P59-P$20)*1000)+BD$18</f>
        <v>-70.949999999996294</v>
      </c>
      <c r="BE59" s="43">
        <f t="shared" ref="BE59" si="1924">IF(Q59="","",(Q59-Q$20)*1000)+BE$18</f>
        <v>3.8499999791383743</v>
      </c>
      <c r="BF59" s="43">
        <f t="shared" ref="BF59" si="1925">IF(R59="","",(R59-R$20)*1000)+BF$18</f>
        <v>13.20000016130507</v>
      </c>
      <c r="BG59" s="43">
        <f t="shared" ref="BG59" si="1926">IF(S59="","",(S59-S$20)*1000)+BG$18</f>
        <v>-33.349999999998658</v>
      </c>
      <c r="BH59" s="43">
        <f t="shared" ref="BH59" si="1927">IF(T59="","",(T59-T$20)*1000)+BH$18</f>
        <v>-8.2999998703598976</v>
      </c>
      <c r="BI59" s="43">
        <f t="shared" ref="BI59" si="1928">IF(U59="","",(U59-U$20)*1000)+BI$18</f>
        <v>18.350000260397792</v>
      </c>
      <c r="BJ59" s="43">
        <f t="shared" ref="BJ59" si="1929">IF(V59="","",(V59-V$20)*1000)+BJ$18</f>
        <v>0.60000000000570708</v>
      </c>
      <c r="BK59" s="43">
        <f t="shared" ref="BK59" si="1930">IF(W59="","",(W59-W$20)*1000)+BK$18</f>
        <v>3.3000000985339284</v>
      </c>
      <c r="BL59" s="43">
        <f t="shared" ref="BL59" si="1931">IF(X59="","",(X59-X$20)*1000)+BL$18</f>
        <v>21.750000072643161</v>
      </c>
      <c r="BM59" s="43">
        <f t="shared" ref="BM59" si="1932">IF(Y59="","",(Y59-Y$20)*1000)+BM$18</f>
        <v>-31.19999999999834</v>
      </c>
      <c r="BN59" s="40"/>
      <c r="BO59" s="39">
        <v>183.97120000000001</v>
      </c>
      <c r="BP59" s="39">
        <v>-2.4298000000000002</v>
      </c>
      <c r="BQ59" s="39">
        <v>-0.87649999999999995</v>
      </c>
      <c r="BR59" s="39">
        <v>183.94200000000001</v>
      </c>
      <c r="BS59" s="39">
        <v>-2.6667999999999998</v>
      </c>
      <c r="BT59" s="39">
        <v>0.29210000000000003</v>
      </c>
      <c r="BU59" s="41">
        <v>183.92760000000001</v>
      </c>
      <c r="BV59" s="42">
        <v>-2.1493000000000002</v>
      </c>
      <c r="BW59" s="42">
        <v>1.7347999999999999</v>
      </c>
      <c r="BX59" s="41">
        <v>183.78360000000001</v>
      </c>
      <c r="BY59" s="42">
        <v>-0.30270000000000002</v>
      </c>
      <c r="BZ59" s="42">
        <v>2.6435</v>
      </c>
      <c r="CA59" s="41">
        <v>183.88640000000001</v>
      </c>
      <c r="CB59" s="42">
        <v>1.2965</v>
      </c>
      <c r="CC59" s="42">
        <v>2.3275000000000001</v>
      </c>
      <c r="CD59" s="41">
        <v>183.90710000000001</v>
      </c>
      <c r="CE59" s="42">
        <v>2.6839</v>
      </c>
      <c r="CF59" s="42">
        <v>0.25540000000000002</v>
      </c>
      <c r="CG59" s="41">
        <v>183.90039999999999</v>
      </c>
      <c r="CH59" s="42">
        <v>2.5246</v>
      </c>
      <c r="CI59" s="42">
        <v>-0.9194</v>
      </c>
      <c r="CJ59" s="40"/>
      <c r="CK59" s="43">
        <f t="shared" ref="CK59" si="1933">IF(BO59="","",(BO59-BO$20)*1000)+CK$18</f>
        <v>0.35292035664724608</v>
      </c>
      <c r="CL59" s="43">
        <f t="shared" ref="CL59" si="1934">IF(BP59="","",(BP59-BP$20)*1000)+CL$18</f>
        <v>5.027633968207379</v>
      </c>
      <c r="CM59" s="43">
        <f t="shared" ref="CM59" si="1935">IF(BQ59="","",(BQ59-BQ$20)*1000)+CM$18</f>
        <v>3.5274707964461083</v>
      </c>
      <c r="CN59" s="43">
        <f t="shared" ref="CN59" si="1936">IF(BR59="","",(BR59-BR$20)*1000)+CN$18</f>
        <v>0.762444102349491</v>
      </c>
      <c r="CO59" s="43">
        <f t="shared" ref="CO59" si="1937">IF(BS59="","",(BS59-BS$20)*1000)+CO$18</f>
        <v>5.1775136069007743</v>
      </c>
      <c r="CP59" s="43">
        <f t="shared" ref="CP59" si="1938">IF(BT59="","",(BT59-BT$20)*1000)+CP$18</f>
        <v>1.4833755589790942</v>
      </c>
      <c r="CQ59" s="43">
        <f t="shared" ref="CQ59" si="1939">IF(BU59="","",(BU59-BU$20)*1000)+CQ$18</f>
        <v>1.0551145085457847</v>
      </c>
      <c r="CR59" s="43">
        <f t="shared" ref="CR59" si="1940">IF(BV59="","",(BV59-BV$20)*1000)+CR$18</f>
        <v>11.272470985440375</v>
      </c>
      <c r="CS59" s="43">
        <f t="shared" ref="CS59" si="1941">IF(BW59="","",(BW59-BW$20)*1000)+CS$18</f>
        <v>-8.69755114507198</v>
      </c>
      <c r="CT59" s="43">
        <f t="shared" ref="CT59" si="1942">IF(BX59="","",(BX59-BX$20)*1000)+CT$18</f>
        <v>-15.981202444180553</v>
      </c>
      <c r="CU59" s="43">
        <f t="shared" ref="CU59" si="1943">IF(BY59="","",(BY59-BY$20)*1000)+CU$18</f>
        <v>-8.1108971080684489E-2</v>
      </c>
      <c r="CV59" s="43">
        <f t="shared" ref="CV59" si="1944">IF(BZ59="","",(BZ59-BZ$20)*1000)+CV$18</f>
        <v>-70.825187975550818</v>
      </c>
      <c r="CW59" s="43">
        <f t="shared" ref="CW59" si="1945">IF(CA59="","",(CA59-CA$20)*1000)+CW$18</f>
        <v>8.6063478637754542</v>
      </c>
      <c r="CX59" s="43">
        <f t="shared" ref="CX59" si="1946">IF(CB59="","",(CB59-CB$20)*1000)+CX$18</f>
        <v>-9.5297538471739163</v>
      </c>
      <c r="CY59" s="43">
        <f t="shared" ref="CY59" si="1947">IF(CC59="","",(CC59-CC$20)*1000)+CY$18</f>
        <v>-33.334063478635215</v>
      </c>
      <c r="CZ59" s="43">
        <f t="shared" ref="CZ59" si="1948">IF(CD59="","",(CD59-CD$20)*1000)+CZ$18</f>
        <v>0.43446686868264806</v>
      </c>
      <c r="DA59" s="43">
        <f t="shared" ref="DA59" si="1949">IF(CE59="","",(CE59-CE$20)*1000)+DA$18</f>
        <v>-20.424604093085552</v>
      </c>
      <c r="DB59" s="43">
        <f t="shared" ref="DB59" si="1950">IF(CF59="","",(CF59-CF$20)*1000)+DB$18</f>
        <v>0.63865533131035601</v>
      </c>
      <c r="DC59" s="43">
        <f t="shared" ref="DC59" si="1951">IF(CG59="","",(CG59-CG$20)*1000)+DC$18</f>
        <v>12.026345617670131</v>
      </c>
      <c r="DD59" s="43">
        <f t="shared" ref="DD59" si="1952">IF(CH59="","",(CH59-CH$20)*1000)+DD$18</f>
        <v>-18.06469517444631</v>
      </c>
      <c r="DE59" s="43">
        <f t="shared" ref="DE59" si="1953">IF(CI59="","",(CI59-CI$20)*1000)+DE$18</f>
        <v>-31.29926345617617</v>
      </c>
    </row>
    <row r="60" spans="1:109" ht="29.25" customHeight="1" x14ac:dyDescent="0.2">
      <c r="A60" s="37">
        <v>43837</v>
      </c>
      <c r="B60" s="29">
        <f t="shared" si="1849"/>
        <v>179</v>
      </c>
      <c r="C60" s="38">
        <v>222.9</v>
      </c>
      <c r="D60" s="38">
        <f t="shared" ref="D60" si="1954">C60-PM</f>
        <v>39</v>
      </c>
      <c r="E60" s="39">
        <v>823233.37670000002</v>
      </c>
      <c r="F60" s="39">
        <v>1091513.561</v>
      </c>
      <c r="G60" s="39">
        <v>-124.5793</v>
      </c>
      <c r="H60" s="39">
        <v>823233.24990000005</v>
      </c>
      <c r="I60" s="39">
        <v>1091513.7631999999</v>
      </c>
      <c r="J60" s="39">
        <v>-123.4111</v>
      </c>
      <c r="K60" s="39">
        <v>823233.45570000005</v>
      </c>
      <c r="L60" s="39">
        <v>1091513.2881</v>
      </c>
      <c r="M60" s="39">
        <v>-121.96899999999999</v>
      </c>
      <c r="N60" s="39">
        <v>823234.10609999998</v>
      </c>
      <c r="O60" s="39">
        <v>1091511.5541000001</v>
      </c>
      <c r="P60" s="39">
        <v>-121.0622</v>
      </c>
      <c r="Q60" s="39">
        <v>823234.87549999997</v>
      </c>
      <c r="R60" s="39">
        <v>1091510.1487</v>
      </c>
      <c r="S60" s="39">
        <v>-121.3768</v>
      </c>
      <c r="T60" s="39">
        <v>823235.48120000004</v>
      </c>
      <c r="U60" s="39">
        <v>1091508.9006000001</v>
      </c>
      <c r="V60" s="39">
        <v>-123.4482</v>
      </c>
      <c r="W60" s="39">
        <v>823235.40800000005</v>
      </c>
      <c r="X60" s="39">
        <v>1091509.0419999999</v>
      </c>
      <c r="Y60" s="39">
        <v>-124.62309999999999</v>
      </c>
      <c r="Z60" s="39">
        <f t="shared" si="1"/>
        <v>4.1145673380820087</v>
      </c>
      <c r="AA60" s="39">
        <f t="shared" si="2"/>
        <v>3.3362452636542965</v>
      </c>
      <c r="AB60" s="39">
        <f t="shared" si="3"/>
        <v>2.0620529575377984</v>
      </c>
      <c r="AC60" s="39">
        <f t="shared" si="4"/>
        <v>1.6328192429404864</v>
      </c>
      <c r="AD60" s="39">
        <f t="shared" si="5"/>
        <v>3.8242591779653488</v>
      </c>
      <c r="AE60" s="39">
        <f t="shared" si="6"/>
        <v>4.5481423494702726</v>
      </c>
      <c r="AF60" s="39">
        <f t="shared" si="7"/>
        <v>3.4960499481086118</v>
      </c>
      <c r="AG60" s="39">
        <f t="shared" si="8"/>
        <v>5.3502294211307877</v>
      </c>
      <c r="AH60" s="39">
        <f t="shared" si="9"/>
        <v>4.9547410760724029</v>
      </c>
      <c r="AI60" s="43">
        <f t="shared" ref="AI60" si="1955">IF(Z60="","",(Z60-Z$20)*1000)+AI$18</f>
        <v>-65.777559146496856</v>
      </c>
      <c r="AJ60" s="43">
        <f t="shared" ref="AJ60" si="1956">IF(AA60="","",(AA60-AA$20)*1000)+AJ$18</f>
        <v>-55.297324063408482</v>
      </c>
      <c r="AK60" s="43">
        <f t="shared" ref="AK60" si="1957">IF(AB60="","",(AB60-AB$20)*1000)+AK$18</f>
        <v>-36.624683528085235</v>
      </c>
      <c r="AL60" s="43">
        <f t="shared" ref="AL60" si="1958">IF(AC60="","",(AC60-AC$20)*1000)+AL$18</f>
        <v>-17.5778962513069</v>
      </c>
      <c r="AM60" s="43">
        <f t="shared" ref="AM60" si="1959">IF(AD60="","",(AD60-AD$20)*1000)+AM$18</f>
        <v>-62.397241888913598</v>
      </c>
      <c r="AN60" s="43">
        <f t="shared" ref="AN60" si="1960">IF(AE60="","",(AE60-AE$20)*1000)+AN$18</f>
        <v>-42.938340423422261</v>
      </c>
      <c r="AO60" s="43">
        <f t="shared" ref="AO60" si="1961">IF(AF60="","",(AF60-AF$20)*1000)+AO$18</f>
        <v>-26.340014800950051</v>
      </c>
      <c r="AP60" s="43">
        <f t="shared" ref="AP60" si="1962">IF(AG60="","",(AG60-AG$20)*1000)+AP$18</f>
        <v>-26.302833935677228</v>
      </c>
      <c r="AQ60" s="43">
        <f t="shared" ref="AQ60" si="1963">IF(AH60="","",(AH60-AH$20)*1000)+AQ$18</f>
        <v>-23.130580223079455</v>
      </c>
      <c r="AR60" s="40"/>
      <c r="AS60" s="43">
        <f t="shared" ref="AS60" si="1964">IF(E60="","",(E60-E$20)*1000)+AS$18</f>
        <v>5.0000031478703022E-2</v>
      </c>
      <c r="AT60" s="43">
        <f t="shared" ref="AT60" si="1965">IF(F60="","",(F60-F$20)*1000)+AT$18</f>
        <v>-1.8500001169741154</v>
      </c>
      <c r="AU60" s="43">
        <f t="shared" ref="AU60" si="1966">IF(G60="","",(G60-G$20)*1000)+AU$18</f>
        <v>3.9000000000015689</v>
      </c>
      <c r="AV60" s="43">
        <f t="shared" ref="AV60" si="1967">IF(H60="","",(H60-H$20)*1000)+AV$18</f>
        <v>0.20000012591481209</v>
      </c>
      <c r="AW60" s="43">
        <f t="shared" ref="AW60" si="1968">IF(I60="","",(I60-I$20)*1000)+AW$18</f>
        <v>-2.550000324845314</v>
      </c>
      <c r="AX60" s="43">
        <f t="shared" ref="AX60" si="1969">IF(J60="","",(J60-J$20)*1000)+AX$18</f>
        <v>1.7500000000012506</v>
      </c>
      <c r="AY60" s="43">
        <f t="shared" ref="AY60" si="1970">IF(K60="","",(K60-K$20)*1000)+AY$18</f>
        <v>3.1500001205131412</v>
      </c>
      <c r="AZ60" s="43">
        <f t="shared" ref="AZ60" si="1971">IF(L60="","",(L60-L$20)*1000)+AZ$18</f>
        <v>-8.6000002920627594</v>
      </c>
      <c r="BA60" s="43">
        <f t="shared" ref="BA60" si="1972">IF(M60="","",(M60-M$20)*1000)+BA$18</f>
        <v>-8.8999999999828106</v>
      </c>
      <c r="BB60" s="43">
        <f t="shared" ref="BB60" si="1973">IF(N60="","",(N60-N$20)*1000)+BB$18</f>
        <v>-16.700000036507845</v>
      </c>
      <c r="BC60" s="43">
        <f t="shared" ref="BC60" si="1974">IF(O60="","",(O60-O$20)*1000)+BC$18</f>
        <v>-4.5999998692423105</v>
      </c>
      <c r="BD60" s="43">
        <f t="shared" ref="BD60" si="1975">IF(P60="","",(P60-P$20)*1000)+BD$18</f>
        <v>-71.650000000005321</v>
      </c>
      <c r="BE60" s="43">
        <f t="shared" ref="BE60" si="1976">IF(Q60="","",(Q60-Q$20)*1000)+BE$18</f>
        <v>2.049999893642962</v>
      </c>
      <c r="BF60" s="43">
        <f t="shared" ref="BF60" si="1977">IF(R60="","",(R60-R$20)*1000)+BF$18</f>
        <v>15.900000231340528</v>
      </c>
      <c r="BG60" s="43">
        <f t="shared" ref="BG60" si="1978">IF(S60="","",(S60-S$20)*1000)+BG$18</f>
        <v>-33.650000000008617</v>
      </c>
      <c r="BH60" s="43">
        <f t="shared" ref="BH60" si="1979">IF(T60="","",(T60-T$20)*1000)+BH$18</f>
        <v>-9.4999998109415174</v>
      </c>
      <c r="BI60" s="43">
        <f t="shared" ref="BI60" si="1980">IF(U60="","",(U60-U$20)*1000)+BI$18</f>
        <v>21.950000198557973</v>
      </c>
      <c r="BJ60" s="43">
        <f t="shared" ref="BJ60" si="1981">IF(V60="","",(V60-V$20)*1000)+BJ$18</f>
        <v>0.80000000001234639</v>
      </c>
      <c r="BK60" s="43">
        <f t="shared" ref="BK60" si="1982">IF(W60="","",(W60-W$20)*1000)+BK$18</f>
        <v>2.2000001044943929</v>
      </c>
      <c r="BL60" s="43">
        <f t="shared" ref="BL60" si="1983">IF(X60="","",(X60-X$20)*1000)+BL$18</f>
        <v>24.749999865889549</v>
      </c>
      <c r="BM60" s="43">
        <f t="shared" ref="BM60" si="1984">IF(Y60="","",(Y60-Y$20)*1000)+BM$18</f>
        <v>-30.999999999991701</v>
      </c>
      <c r="BN60" s="40"/>
      <c r="BO60" s="39">
        <v>183.96979999999999</v>
      </c>
      <c r="BP60" s="39">
        <v>-2.4327999999999999</v>
      </c>
      <c r="BQ60" s="39">
        <v>-0.87609999999999999</v>
      </c>
      <c r="BR60" s="39">
        <v>183.94030000000001</v>
      </c>
      <c r="BS60" s="39">
        <v>-2.6696</v>
      </c>
      <c r="BT60" s="39">
        <v>0.29239999999999999</v>
      </c>
      <c r="BU60" s="41">
        <v>183.92609999999999</v>
      </c>
      <c r="BV60" s="42">
        <v>-2.1520999999999999</v>
      </c>
      <c r="BW60" s="42">
        <v>1.7345999999999999</v>
      </c>
      <c r="BX60" s="41">
        <v>183.7826</v>
      </c>
      <c r="BY60" s="42">
        <v>-0.30570000000000003</v>
      </c>
      <c r="BZ60" s="42">
        <v>2.6429</v>
      </c>
      <c r="CA60" s="41">
        <v>183.88589999999999</v>
      </c>
      <c r="CB60" s="42">
        <v>1.2931999999999999</v>
      </c>
      <c r="CC60" s="42">
        <v>2.3271999999999999</v>
      </c>
      <c r="CD60" s="41">
        <v>183.9074</v>
      </c>
      <c r="CE60" s="42">
        <v>2.6804000000000001</v>
      </c>
      <c r="CF60" s="42">
        <v>0.25559999999999999</v>
      </c>
      <c r="CG60" s="41">
        <v>183.9008</v>
      </c>
      <c r="CH60" s="42">
        <v>2.5213000000000001</v>
      </c>
      <c r="CI60" s="42">
        <v>-0.91920000000000002</v>
      </c>
      <c r="CJ60" s="40"/>
      <c r="CK60" s="43">
        <f t="shared" ref="CK60" si="1985">IF(BO60="","",(BO60-BO$20)*1000)+CK$18</f>
        <v>-1.0470796433708074</v>
      </c>
      <c r="CL60" s="43">
        <f t="shared" ref="CL60" si="1986">IF(BP60="","",(BP60-BP$20)*1000)+CL$18</f>
        <v>2.0276339682077094</v>
      </c>
      <c r="CM60" s="43">
        <f t="shared" ref="CM60" si="1987">IF(BQ60="","",(BQ60-BQ$20)*1000)+CM$18</f>
        <v>3.9274707964460642</v>
      </c>
      <c r="CN60" s="43">
        <f t="shared" ref="CN60" si="1988">IF(BR60="","",(BR60-BR$20)*1000)+CN$18</f>
        <v>-0.93755589765009972</v>
      </c>
      <c r="CO60" s="43">
        <f t="shared" ref="CO60" si="1989">IF(BS60="","",(BS60-BS$20)*1000)+CO$18</f>
        <v>2.3775136069006386</v>
      </c>
      <c r="CP60" s="43">
        <f t="shared" ref="CP60" si="1990">IF(BT60="","",(BT60-BT$20)*1000)+CP$18</f>
        <v>1.7833755589790612</v>
      </c>
      <c r="CQ60" s="43">
        <f t="shared" ref="CQ60" si="1991">IF(BU60="","",(BU60-BU$20)*1000)+CQ$18</f>
        <v>-0.44488549147558842</v>
      </c>
      <c r="CR60" s="43">
        <f t="shared" ref="CR60" si="1992">IF(BV60="","",(BV60-BV$20)*1000)+CR$18</f>
        <v>8.4724709854406832</v>
      </c>
      <c r="CS60" s="43">
        <f t="shared" ref="CS60" si="1993">IF(BW60="","",(BW60-BW$20)*1000)+CS$18</f>
        <v>-8.897551145071958</v>
      </c>
      <c r="CT60" s="43">
        <f t="shared" ref="CT60" si="1994">IF(BX60="","",(BX60-BX$20)*1000)+CT$18</f>
        <v>-16.981202444185328</v>
      </c>
      <c r="CU60" s="43">
        <f t="shared" ref="CU60" si="1995">IF(BY60="","",(BY60-BY$20)*1000)+CU$18</f>
        <v>-3.0811089710806874</v>
      </c>
      <c r="CV60" s="43">
        <f t="shared" ref="CV60" si="1996">IF(BZ60="","",(BZ60-BZ$20)*1000)+CV$18</f>
        <v>-71.425187975550756</v>
      </c>
      <c r="CW60" s="43">
        <f t="shared" ref="CW60" si="1997">IF(CA60="","",(CA60-CA$20)*1000)+CW$18</f>
        <v>8.106347863758856</v>
      </c>
      <c r="CX60" s="43">
        <f t="shared" ref="CX60" si="1998">IF(CB60="","",(CB60-CB$20)*1000)+CX$18</f>
        <v>-12.829753847173997</v>
      </c>
      <c r="CY60" s="43">
        <f t="shared" ref="CY60" si="1999">IF(CC60="","",(CC60-CC$20)*1000)+CY$18</f>
        <v>-33.634063478635397</v>
      </c>
      <c r="CZ60" s="43">
        <f t="shared" ref="CZ60" si="2000">IF(CD60="","",(CD60-CD$20)*1000)+CZ$18</f>
        <v>0.73446686866418531</v>
      </c>
      <c r="DA60" s="43">
        <f t="shared" ref="DA60" si="2001">IF(CE60="","",(CE60-CE$20)*1000)+DA$18</f>
        <v>-23.924604093085389</v>
      </c>
      <c r="DB60" s="43">
        <f t="shared" ref="DB60" si="2002">IF(CF60="","",(CF60-CF$20)*1000)+DB$18</f>
        <v>0.83865533131033398</v>
      </c>
      <c r="DC60" s="43">
        <f t="shared" ref="DC60" si="2003">IF(CG60="","",(CG60-CG$20)*1000)+DC$18</f>
        <v>12.42634561768341</v>
      </c>
      <c r="DD60" s="43">
        <f t="shared" ref="DD60" si="2004">IF(CH60="","",(CH60-CH$20)*1000)+DD$18</f>
        <v>-21.364695174446169</v>
      </c>
      <c r="DE60" s="43">
        <f t="shared" ref="DE60" si="2005">IF(CI60="","",(CI60-CI$20)*1000)+DE$18</f>
        <v>-31.099263456176192</v>
      </c>
    </row>
    <row r="61" spans="1:109" ht="29.25" customHeight="1" x14ac:dyDescent="0.2">
      <c r="A61" s="37">
        <v>43843</v>
      </c>
      <c r="B61" s="29">
        <f t="shared" si="1849"/>
        <v>185</v>
      </c>
      <c r="C61" s="38">
        <v>222.9</v>
      </c>
      <c r="D61" s="38">
        <f t="shared" ref="D61" si="2006">C61-PM</f>
        <v>39</v>
      </c>
      <c r="E61" s="39">
        <v>823233.37569999998</v>
      </c>
      <c r="F61" s="39">
        <v>1091513.561</v>
      </c>
      <c r="G61" s="39">
        <v>-124.5795</v>
      </c>
      <c r="H61" s="39">
        <v>823233.24919999996</v>
      </c>
      <c r="I61" s="39">
        <v>1091513.7633</v>
      </c>
      <c r="J61" s="39">
        <v>-123.4114</v>
      </c>
      <c r="K61" s="39">
        <v>823233.45530000003</v>
      </c>
      <c r="L61" s="39">
        <v>1091513.2878</v>
      </c>
      <c r="M61" s="39">
        <v>-121.9688</v>
      </c>
      <c r="N61" s="39">
        <v>823234.10530000005</v>
      </c>
      <c r="O61" s="39">
        <v>1091511.5545000001</v>
      </c>
      <c r="P61" s="39">
        <v>-121.0633</v>
      </c>
      <c r="Q61" s="39">
        <v>823234.87479999999</v>
      </c>
      <c r="R61" s="39">
        <v>1091510.1492000001</v>
      </c>
      <c r="S61" s="39">
        <v>-121.37739999999999</v>
      </c>
      <c r="T61" s="39">
        <v>823235.48069999996</v>
      </c>
      <c r="U61" s="39">
        <v>1091508.9010999999</v>
      </c>
      <c r="V61" s="39">
        <v>-123.4485</v>
      </c>
      <c r="W61" s="39">
        <v>823235.40729999996</v>
      </c>
      <c r="X61" s="39">
        <v>1091509.0423999999</v>
      </c>
      <c r="Y61" s="39">
        <v>-124.6232</v>
      </c>
      <c r="Z61" s="39">
        <f t="shared" si="1"/>
        <v>4.1136383955956548</v>
      </c>
      <c r="AA61" s="39">
        <f t="shared" si="2"/>
        <v>3.3354577286694673</v>
      </c>
      <c r="AB61" s="39">
        <f t="shared" si="3"/>
        <v>2.0607666388758616</v>
      </c>
      <c r="AC61" s="39">
        <f t="shared" si="4"/>
        <v>1.6326840324623473</v>
      </c>
      <c r="AD61" s="39">
        <f t="shared" si="5"/>
        <v>3.8237986035763676</v>
      </c>
      <c r="AE61" s="39">
        <f t="shared" si="6"/>
        <v>4.5473880877491313</v>
      </c>
      <c r="AF61" s="39">
        <f t="shared" si="7"/>
        <v>3.4950742723948793</v>
      </c>
      <c r="AG61" s="39">
        <f t="shared" si="8"/>
        <v>5.3499492989051172</v>
      </c>
      <c r="AH61" s="39">
        <f t="shared" si="9"/>
        <v>4.9544983813266859</v>
      </c>
      <c r="AI61" s="43">
        <f t="shared" ref="AI61" si="2007">IF(Z61="","",(Z61-Z$20)*1000)+AI$18</f>
        <v>-66.706501632850745</v>
      </c>
      <c r="AJ61" s="43">
        <f t="shared" ref="AJ61" si="2008">IF(AA61="","",(AA61-AA$20)*1000)+AJ$18</f>
        <v>-56.084859048237675</v>
      </c>
      <c r="AK61" s="43">
        <f t="shared" ref="AK61" si="2009">IF(AB61="","",(AB61-AB$20)*1000)+AK$18</f>
        <v>-37.911002190021975</v>
      </c>
      <c r="AL61" s="43">
        <f t="shared" ref="AL61" si="2010">IF(AC61="","",(AC61-AC$20)*1000)+AL$18</f>
        <v>-17.713106729446036</v>
      </c>
      <c r="AM61" s="43">
        <f t="shared" ref="AM61" si="2011">IF(AD61="","",(AD61-AD$20)*1000)+AM$18</f>
        <v>-62.85781627789477</v>
      </c>
      <c r="AN61" s="43">
        <f t="shared" ref="AN61" si="2012">IF(AE61="","",(AE61-AE$20)*1000)+AN$18</f>
        <v>-43.692602144563608</v>
      </c>
      <c r="AO61" s="43">
        <f t="shared" ref="AO61" si="2013">IF(AF61="","",(AF61-AF$20)*1000)+AO$18</f>
        <v>-27.315690514682522</v>
      </c>
      <c r="AP61" s="43">
        <f t="shared" ref="AP61" si="2014">IF(AG61="","",(AG61-AG$20)*1000)+AP$18</f>
        <v>-26.582956161347759</v>
      </c>
      <c r="AQ61" s="43">
        <f t="shared" ref="AQ61" si="2015">IF(AH61="","",(AH61-AH$20)*1000)+AQ$18</f>
        <v>-23.373274968796487</v>
      </c>
      <c r="AR61" s="40"/>
      <c r="AS61" s="43">
        <f t="shared" ref="AS61" si="2016">IF(E61="","",(E61-E$20)*1000)+AS$18</f>
        <v>-0.95000001601874828</v>
      </c>
      <c r="AT61" s="43">
        <f t="shared" ref="AT61" si="2017">IF(F61="","",(F61-F$20)*1000)+AT$18</f>
        <v>-1.8500001169741154</v>
      </c>
      <c r="AU61" s="43">
        <f t="shared" ref="AU61" si="2018">IF(G61="","",(G61-G$20)*1000)+AU$18</f>
        <v>3.7000000000091404</v>
      </c>
      <c r="AV61" s="43">
        <f t="shared" ref="AV61" si="2019">IF(H61="","",(H61-H$20)*1000)+AV$18</f>
        <v>-0.49999996554106474</v>
      </c>
      <c r="AW61" s="43">
        <f t="shared" ref="AW61" si="2020">IF(I61="","",(I61-I$20)*1000)+AW$18</f>
        <v>-2.450000261887908</v>
      </c>
      <c r="AX61" s="43">
        <f t="shared" ref="AX61" si="2021">IF(J61="","",(J61-J$20)*1000)+AX$18</f>
        <v>1.4500000000055024</v>
      </c>
      <c r="AY61" s="43">
        <f t="shared" ref="AY61" si="2022">IF(K61="","",(K61-K$20)*1000)+AY$18</f>
        <v>2.7500001015141606</v>
      </c>
      <c r="AZ61" s="43">
        <f t="shared" ref="AZ61" si="2023">IF(L61="","",(L61-L$20)*1000)+AZ$18</f>
        <v>-8.9000002481043339</v>
      </c>
      <c r="BA61" s="43">
        <f t="shared" ref="BA61" si="2024">IF(M61="","",(M61-M$20)*1000)+BA$18</f>
        <v>-8.6999999999903821</v>
      </c>
      <c r="BB61" s="43">
        <f t="shared" ref="BB61" si="2025">IF(N61="","",(N61-N$20)*1000)+BB$18</f>
        <v>-17.499999958090484</v>
      </c>
      <c r="BC61" s="43">
        <f t="shared" ref="BC61" si="2026">IF(O61="","",(O61-O$20)*1000)+BC$18</f>
        <v>-4.19999985024333</v>
      </c>
      <c r="BD61" s="43">
        <f t="shared" ref="BD61" si="2027">IF(P61="","",(P61-P$20)*1000)+BD$18</f>
        <v>-72.749999999999204</v>
      </c>
      <c r="BE61" s="43">
        <f t="shared" ref="BE61" si="2028">IF(Q61="","",(Q61-Q$20)*1000)+BE$18</f>
        <v>1.349999918602407</v>
      </c>
      <c r="BF61" s="43">
        <f t="shared" ref="BF61" si="2029">IF(R61="","",(R61-R$20)*1000)+BF$18</f>
        <v>16.400000313296914</v>
      </c>
      <c r="BG61" s="43">
        <f t="shared" ref="BG61" si="2030">IF(S61="","",(S61-S$20)*1000)+BG$18</f>
        <v>-34.250000000000114</v>
      </c>
      <c r="BH61" s="43">
        <f t="shared" ref="BH61" si="2031">IF(T61="","",(T61-T$20)*1000)+BH$18</f>
        <v>-9.9999998928979039</v>
      </c>
      <c r="BI61" s="43">
        <f t="shared" ref="BI61" si="2032">IF(U61="","",(U61-U$20)*1000)+BI$18</f>
        <v>22.450000047683716</v>
      </c>
      <c r="BJ61" s="43">
        <f t="shared" ref="BJ61" si="2033">IF(V61="","",(V61-V$20)*1000)+BJ$18</f>
        <v>0.50000000001659828</v>
      </c>
      <c r="BK61" s="43">
        <f t="shared" ref="BK61" si="2034">IF(W61="","",(W61-W$20)*1000)+BK$18</f>
        <v>1.500000013038516</v>
      </c>
      <c r="BL61" s="43">
        <f t="shared" ref="BL61" si="2035">IF(X61="","",(X61-X$20)*1000)+BL$18</f>
        <v>25.14999988488853</v>
      </c>
      <c r="BM61" s="43">
        <f t="shared" ref="BM61" si="2036">IF(Y61="","",(Y61-Y$20)*1000)+BM$18</f>
        <v>-31.099999999995021</v>
      </c>
      <c r="BN61" s="40"/>
      <c r="BO61" s="39">
        <v>183.96889999999999</v>
      </c>
      <c r="BP61" s="39">
        <v>-2.4331999999999998</v>
      </c>
      <c r="BQ61" s="39">
        <v>-0.87629999999999997</v>
      </c>
      <c r="BR61" s="39">
        <v>183.93969999999999</v>
      </c>
      <c r="BS61" s="39">
        <v>-2.67</v>
      </c>
      <c r="BT61" s="39">
        <v>0.29210000000000003</v>
      </c>
      <c r="BU61" s="41">
        <v>183.9256</v>
      </c>
      <c r="BV61" s="42">
        <v>-2.1520000000000001</v>
      </c>
      <c r="BW61" s="42">
        <v>1.7347999999999999</v>
      </c>
      <c r="BX61" s="41">
        <v>183.78210000000001</v>
      </c>
      <c r="BY61" s="42">
        <v>-0.30640000000000001</v>
      </c>
      <c r="BZ61" s="42">
        <v>2.6417999999999999</v>
      </c>
      <c r="CA61" s="41">
        <v>183.88550000000001</v>
      </c>
      <c r="CB61" s="42">
        <v>1.2925</v>
      </c>
      <c r="CC61" s="42">
        <v>2.3266</v>
      </c>
      <c r="CD61" s="41">
        <v>183.90710000000001</v>
      </c>
      <c r="CE61" s="42">
        <v>2.6797</v>
      </c>
      <c r="CF61" s="42">
        <v>0.25530000000000003</v>
      </c>
      <c r="CG61" s="41">
        <v>183.90029999999999</v>
      </c>
      <c r="CH61" s="42">
        <v>2.5206</v>
      </c>
      <c r="CI61" s="42">
        <v>-0.91930000000000001</v>
      </c>
      <c r="CJ61" s="40"/>
      <c r="CK61" s="43">
        <f t="shared" ref="CK61" si="2037">IF(BO61="","",(BO61-BO$20)*1000)+CK$18</f>
        <v>-1.9470796433722626</v>
      </c>
      <c r="CL61" s="43">
        <f t="shared" ref="CL61" si="2038">IF(BP61="","",(BP61-BP$20)*1000)+CL$18</f>
        <v>1.6276339682077534</v>
      </c>
      <c r="CM61" s="43">
        <f t="shared" ref="CM61" si="2039">IF(BQ61="","",(BQ61-BQ$20)*1000)+CM$18</f>
        <v>3.7274707964460863</v>
      </c>
      <c r="CN61" s="43">
        <f t="shared" ref="CN61" si="2040">IF(BR61="","",(BR61-BR$20)*1000)+CN$18</f>
        <v>-1.5375558976700177</v>
      </c>
      <c r="CO61" s="43">
        <f t="shared" ref="CO61" si="2041">IF(BS61="","",(BS61-BS$20)*1000)+CO$18</f>
        <v>1.9775136069006827</v>
      </c>
      <c r="CP61" s="43">
        <f t="shared" ref="CP61" si="2042">IF(BT61="","",(BT61-BT$20)*1000)+CP$18</f>
        <v>1.4833755589790942</v>
      </c>
      <c r="CQ61" s="43">
        <f t="shared" ref="CQ61" si="2043">IF(BU61="","",(BU61-BU$20)*1000)+CQ$18</f>
        <v>-0.94488549146376499</v>
      </c>
      <c r="CR61" s="43">
        <f t="shared" ref="CR61" si="2044">IF(BV61="","",(BV61-BV$20)*1000)+CR$18</f>
        <v>8.5724709854404502</v>
      </c>
      <c r="CS61" s="43">
        <f t="shared" ref="CS61" si="2045">IF(BW61="","",(BW61-BW$20)*1000)+CS$18</f>
        <v>-8.69755114507198</v>
      </c>
      <c r="CT61" s="43">
        <f t="shared" ref="CT61" si="2046">IF(BX61="","",(BX61-BX$20)*1000)+CT$18</f>
        <v>-17.481202444173505</v>
      </c>
      <c r="CU61" s="43">
        <f t="shared" ref="CU61" si="2047">IF(BY61="","",(BY61-BY$20)*1000)+CU$18</f>
        <v>-3.7811089710806653</v>
      </c>
      <c r="CV61" s="43">
        <f t="shared" ref="CV61" si="2048">IF(BZ61="","",(BZ61-BZ$20)*1000)+CV$18</f>
        <v>-72.52518797555085</v>
      </c>
      <c r="CW61" s="43">
        <f t="shared" ref="CW61" si="2049">IF(CA61="","",(CA61-CA$20)*1000)+CW$18</f>
        <v>7.7063478637739991</v>
      </c>
      <c r="CX61" s="43">
        <f t="shared" ref="CX61" si="2050">IF(CB61="","",(CB61-CB$20)*1000)+CX$18</f>
        <v>-13.52975384717392</v>
      </c>
      <c r="CY61" s="43">
        <f t="shared" ref="CY61" si="2051">IF(CC61="","",(CC61-CC$20)*1000)+CY$18</f>
        <v>-34.234063478635335</v>
      </c>
      <c r="CZ61" s="43">
        <f t="shared" ref="CZ61" si="2052">IF(CD61="","",(CD61-CD$20)*1000)+CZ$18</f>
        <v>0.43446686868264806</v>
      </c>
      <c r="DA61" s="43">
        <f t="shared" ref="DA61" si="2053">IF(CE61="","",(CE61-CE$20)*1000)+DA$18</f>
        <v>-24.624604093085534</v>
      </c>
      <c r="DB61" s="43">
        <f t="shared" ref="DB61" si="2054">IF(CF61="","",(CF61-CF$20)*1000)+DB$18</f>
        <v>0.53865533131036702</v>
      </c>
      <c r="DC61" s="43">
        <f t="shared" ref="DC61" si="2055">IF(CG61="","",(CG61-CG$20)*1000)+DC$18</f>
        <v>11.926345617666811</v>
      </c>
      <c r="DD61" s="43">
        <f t="shared" ref="DD61" si="2056">IF(CH61="","",(CH61-CH$20)*1000)+DD$18</f>
        <v>-22.064695174446314</v>
      </c>
      <c r="DE61" s="43">
        <f t="shared" ref="DE61" si="2057">IF(CI61="","",(CI61-CI$20)*1000)+DE$18</f>
        <v>-31.199263456176183</v>
      </c>
    </row>
    <row r="62" spans="1:109" ht="29.25" customHeight="1" x14ac:dyDescent="0.2">
      <c r="A62" s="37">
        <v>43850</v>
      </c>
      <c r="B62" s="29">
        <f t="shared" si="1849"/>
        <v>192</v>
      </c>
      <c r="C62" s="38">
        <v>222.9</v>
      </c>
      <c r="D62" s="38">
        <f t="shared" ref="D62" si="2058">C62-PM</f>
        <v>39</v>
      </c>
      <c r="E62" s="39">
        <v>823233.37730000005</v>
      </c>
      <c r="F62" s="39">
        <v>1091513.5612000001</v>
      </c>
      <c r="G62" s="39">
        <v>-124.5791</v>
      </c>
      <c r="H62" s="39">
        <v>823233.25049999997</v>
      </c>
      <c r="I62" s="39">
        <v>1091513.7634000001</v>
      </c>
      <c r="J62" s="39">
        <v>-123.411</v>
      </c>
      <c r="K62" s="39">
        <v>823233.45660000003</v>
      </c>
      <c r="L62" s="39">
        <v>1091513.2886000001</v>
      </c>
      <c r="M62" s="39">
        <v>-121.9689</v>
      </c>
      <c r="N62" s="39">
        <v>823234.1067</v>
      </c>
      <c r="O62" s="39">
        <v>1091511.5543</v>
      </c>
      <c r="P62" s="39">
        <v>-121.06270000000001</v>
      </c>
      <c r="Q62" s="39">
        <v>823234.87609999999</v>
      </c>
      <c r="R62" s="39">
        <v>1091510.1488999999</v>
      </c>
      <c r="S62" s="39">
        <v>-121.3768</v>
      </c>
      <c r="T62" s="39">
        <v>823235.48160000006</v>
      </c>
      <c r="U62" s="39">
        <v>1091508.9007000001</v>
      </c>
      <c r="V62" s="39">
        <v>-123.4481</v>
      </c>
      <c r="W62" s="39">
        <v>823235.40859999997</v>
      </c>
      <c r="X62" s="39">
        <v>1091509.0421</v>
      </c>
      <c r="Y62" s="39">
        <v>-124.6229</v>
      </c>
      <c r="Z62" s="39">
        <f t="shared" si="1"/>
        <v>4.1139689997064561</v>
      </c>
      <c r="AA62" s="39">
        <f t="shared" si="2"/>
        <v>3.3358228580792089</v>
      </c>
      <c r="AB62" s="39">
        <f t="shared" si="3"/>
        <v>2.0619468810817314</v>
      </c>
      <c r="AC62" s="39">
        <f t="shared" si="4"/>
        <v>1.6327229802133434</v>
      </c>
      <c r="AD62" s="39">
        <f t="shared" si="5"/>
        <v>3.8238823372751001</v>
      </c>
      <c r="AE62" s="39">
        <f t="shared" si="6"/>
        <v>4.547649556626852</v>
      </c>
      <c r="AF62" s="39">
        <f t="shared" si="7"/>
        <v>3.4961805947320688</v>
      </c>
      <c r="AG62" s="39">
        <f t="shared" si="8"/>
        <v>5.3502369022149692</v>
      </c>
      <c r="AH62" s="39">
        <f t="shared" si="9"/>
        <v>4.9548322818250066</v>
      </c>
      <c r="AI62" s="43">
        <f t="shared" ref="AI62" si="2059">IF(Z62="","",(Z62-Z$20)*1000)+AI$18</f>
        <v>-66.375897522049428</v>
      </c>
      <c r="AJ62" s="43">
        <f t="shared" ref="AJ62" si="2060">IF(AA62="","",(AA62-AA$20)*1000)+AJ$18</f>
        <v>-55.71972963849614</v>
      </c>
      <c r="AK62" s="43">
        <f t="shared" ref="AK62" si="2061">IF(AB62="","",(AB62-AB$20)*1000)+AK$18</f>
        <v>-36.730759984152208</v>
      </c>
      <c r="AL62" s="43">
        <f t="shared" ref="AL62" si="2062">IF(AC62="","",(AC62-AC$20)*1000)+AL$18</f>
        <v>-17.674158978449924</v>
      </c>
      <c r="AM62" s="43">
        <f t="shared" ref="AM62" si="2063">IF(AD62="","",(AD62-AD$20)*1000)+AM$18</f>
        <v>-62.774082579162283</v>
      </c>
      <c r="AN62" s="43">
        <f t="shared" ref="AN62" si="2064">IF(AE62="","",(AE62-AE$20)*1000)+AN$18</f>
        <v>-43.431133266842892</v>
      </c>
      <c r="AO62" s="43">
        <f t="shared" ref="AO62" si="2065">IF(AF62="","",(AF62-AF$20)*1000)+AO$18</f>
        <v>-26.209368177493086</v>
      </c>
      <c r="AP62" s="43">
        <f t="shared" ref="AP62" si="2066">IF(AG62="","",(AG62-AG$20)*1000)+AP$18</f>
        <v>-26.295352851495757</v>
      </c>
      <c r="AQ62" s="43">
        <f t="shared" ref="AQ62" si="2067">IF(AH62="","",(AH62-AH$20)*1000)+AQ$18</f>
        <v>-23.039374470475771</v>
      </c>
      <c r="AR62" s="40"/>
      <c r="AS62" s="43">
        <f t="shared" ref="AS62" si="2068">IF(E62="","",(E62-E$20)*1000)+AS$18</f>
        <v>0.65000005997717381</v>
      </c>
      <c r="AT62" s="43">
        <f t="shared" ref="AT62" si="2069">IF(F62="","",(F62-F$20)*1000)+AT$18</f>
        <v>-1.6499999910593033</v>
      </c>
      <c r="AU62" s="43">
        <f t="shared" ref="AU62" si="2070">IF(G62="","",(G62-G$20)*1000)+AU$18</f>
        <v>4.1000000000082082</v>
      </c>
      <c r="AV62" s="43">
        <f t="shared" ref="AV62" si="2071">IF(H62="","",(H62-H$20)*1000)+AV$18</f>
        <v>0.80000003799796104</v>
      </c>
      <c r="AW62" s="43">
        <f t="shared" ref="AW62" si="2072">IF(I62="","",(I62-I$20)*1000)+AW$18</f>
        <v>-2.3500001989305019</v>
      </c>
      <c r="AX62" s="43">
        <f t="shared" ref="AX62" si="2073">IF(J62="","",(J62-J$20)*1000)+AX$18</f>
        <v>1.8500000000045702</v>
      </c>
      <c r="AY62" s="43">
        <f t="shared" ref="AY62" si="2074">IF(K62="","",(K62-K$20)*1000)+AY$18</f>
        <v>4.0500001050531864</v>
      </c>
      <c r="AZ62" s="43">
        <f t="shared" ref="AZ62" si="2075">IF(L62="","",(L62-L$20)*1000)+AZ$18</f>
        <v>-8.1000002101063728</v>
      </c>
      <c r="BA62" s="43">
        <f t="shared" ref="BA62" si="2076">IF(M62="","",(M62-M$20)*1000)+BA$18</f>
        <v>-8.7999999999937017</v>
      </c>
      <c r="BB62" s="43">
        <f t="shared" ref="BB62" si="2077">IF(N62="","",(N62-N$20)*1000)+BB$18</f>
        <v>-16.100000008009374</v>
      </c>
      <c r="BC62" s="43">
        <f t="shared" ref="BC62" si="2078">IF(O62="","",(O62-O$20)*1000)+BC$18</f>
        <v>-4.3999999761581421</v>
      </c>
      <c r="BD62" s="43">
        <f t="shared" ref="BD62" si="2079">IF(P62="","",(P62-P$20)*1000)+BD$18</f>
        <v>-72.150000000007708</v>
      </c>
      <c r="BE62" s="43">
        <f t="shared" ref="BE62" si="2080">IF(Q62="","",(Q62-Q$20)*1000)+BE$18</f>
        <v>2.6499999221414328</v>
      </c>
      <c r="BF62" s="43">
        <f t="shared" ref="BF62" si="2081">IF(R62="","",(R62-R$20)*1000)+BF$18</f>
        <v>16.100000124424696</v>
      </c>
      <c r="BG62" s="43">
        <f t="shared" ref="BG62" si="2082">IF(S62="","",(S62-S$20)*1000)+BG$18</f>
        <v>-33.650000000008617</v>
      </c>
      <c r="BH62" s="43">
        <f t="shared" ref="BH62" si="2083">IF(T62="","",(T62-T$20)*1000)+BH$18</f>
        <v>-9.0999997919425368</v>
      </c>
      <c r="BI62" s="43">
        <f t="shared" ref="BI62" si="2084">IF(U62="","",(U62-U$20)*1000)+BI$18</f>
        <v>22.050000261515379</v>
      </c>
      <c r="BJ62" s="43">
        <f t="shared" ref="BJ62" si="2085">IF(V62="","",(V62-V$20)*1000)+BJ$18</f>
        <v>0.90000000001566605</v>
      </c>
      <c r="BK62" s="43">
        <f t="shared" ref="BK62" si="2086">IF(W62="","",(W62-W$20)*1000)+BK$18</f>
        <v>2.8000000165775418</v>
      </c>
      <c r="BL62" s="43">
        <f t="shared" ref="BL62" si="2087">IF(X62="","",(X62-X$20)*1000)+BL$18</f>
        <v>24.849999928846955</v>
      </c>
      <c r="BM62" s="43">
        <f t="shared" ref="BM62" si="2088">IF(Y62="","",(Y62-Y$20)*1000)+BM$18</f>
        <v>-30.799999999999272</v>
      </c>
      <c r="BN62" s="40"/>
      <c r="BO62" s="39">
        <v>183.97040000000001</v>
      </c>
      <c r="BP62" s="39">
        <v>-2.4327000000000001</v>
      </c>
      <c r="BQ62" s="39">
        <v>-0.87590000000000001</v>
      </c>
      <c r="BR62" s="39">
        <v>183.941</v>
      </c>
      <c r="BS62" s="39">
        <v>-2.6696</v>
      </c>
      <c r="BT62" s="39">
        <v>0.29249999999999998</v>
      </c>
      <c r="BU62" s="41">
        <v>183.9271</v>
      </c>
      <c r="BV62" s="42">
        <v>-2.1520999999999999</v>
      </c>
      <c r="BW62" s="42">
        <v>1.7346999999999999</v>
      </c>
      <c r="BX62" s="41">
        <v>183.7833</v>
      </c>
      <c r="BY62" s="42">
        <v>-0.30559999999999998</v>
      </c>
      <c r="BZ62" s="42">
        <v>2.6423000000000001</v>
      </c>
      <c r="CA62" s="41">
        <v>183.88659999999999</v>
      </c>
      <c r="CB62" s="42">
        <v>1.2932999999999999</v>
      </c>
      <c r="CC62" s="42">
        <v>2.3271999999999999</v>
      </c>
      <c r="CD62" s="41">
        <v>183.90780000000001</v>
      </c>
      <c r="CE62" s="42">
        <v>2.6804000000000001</v>
      </c>
      <c r="CF62" s="42">
        <v>0.25569999999999998</v>
      </c>
      <c r="CG62" s="41">
        <v>183.9014</v>
      </c>
      <c r="CH62" s="42">
        <v>2.5213999999999999</v>
      </c>
      <c r="CI62" s="42">
        <v>-0.91900000000000004</v>
      </c>
      <c r="CJ62" s="40"/>
      <c r="CK62" s="43">
        <f t="shared" ref="CK62" si="2089">IF(BO62="","",(BO62-BO$20)*1000)+CK$18</f>
        <v>-0.44707964335088946</v>
      </c>
      <c r="CL62" s="43">
        <f t="shared" ref="CL62" si="2090">IF(BP62="","",(BP62-BP$20)*1000)+CL$18</f>
        <v>2.1276339682074763</v>
      </c>
      <c r="CM62" s="43">
        <f t="shared" ref="CM62" si="2091">IF(BQ62="","",(BQ62-BQ$20)*1000)+CM$18</f>
        <v>4.1274707964460422</v>
      </c>
      <c r="CN62" s="43">
        <f t="shared" ref="CN62" si="2092">IF(BR62="","",(BR62-BR$20)*1000)+CN$18</f>
        <v>-0.23755589765528384</v>
      </c>
      <c r="CO62" s="43">
        <f t="shared" ref="CO62" si="2093">IF(BS62="","",(BS62-BS$20)*1000)+CO$18</f>
        <v>2.3775136069006386</v>
      </c>
      <c r="CP62" s="43">
        <f t="shared" ref="CP62" si="2094">IF(BT62="","",(BT62-BT$20)*1000)+CP$18</f>
        <v>1.8833755589790502</v>
      </c>
      <c r="CQ62" s="43">
        <f t="shared" ref="CQ62" si="2095">IF(BU62="","",(BU62-BU$20)*1000)+CQ$18</f>
        <v>0.55511450852918642</v>
      </c>
      <c r="CR62" s="43">
        <f t="shared" ref="CR62" si="2096">IF(BV62="","",(BV62-BV$20)*1000)+CR$18</f>
        <v>8.4724709854406832</v>
      </c>
      <c r="CS62" s="43">
        <f t="shared" ref="CS62" si="2097">IF(BW62="","",(BW62-BW$20)*1000)+CS$18</f>
        <v>-8.797551145071969</v>
      </c>
      <c r="CT62" s="43">
        <f t="shared" ref="CT62" si="2098">IF(BX62="","",(BX62-BX$20)*1000)+CT$18</f>
        <v>-16.281202444190512</v>
      </c>
      <c r="CU62" s="43">
        <f t="shared" ref="CU62" si="2099">IF(BY62="","",(BY62-BY$20)*1000)+CU$18</f>
        <v>-2.9811089710806424</v>
      </c>
      <c r="CV62" s="43">
        <f t="shared" ref="CV62" si="2100">IF(BZ62="","",(BZ62-BZ$20)*1000)+CV$18</f>
        <v>-72.025187975550679</v>
      </c>
      <c r="CW62" s="43">
        <f t="shared" ref="CW62" si="2101">IF(CA62="","",(CA62-CA$20)*1000)+CW$18</f>
        <v>8.8063478637536718</v>
      </c>
      <c r="CX62" s="43">
        <f t="shared" ref="CX62" si="2102">IF(CB62="","",(CB62-CB$20)*1000)+CX$18</f>
        <v>-12.729753847174008</v>
      </c>
      <c r="CY62" s="43">
        <f t="shared" ref="CY62" si="2103">IF(CC62="","",(CC62-CC$20)*1000)+CY$18</f>
        <v>-33.634063478635397</v>
      </c>
      <c r="CZ62" s="43">
        <f t="shared" ref="CZ62" si="2104">IF(CD62="","",(CD62-CD$20)*1000)+CZ$18</f>
        <v>1.1344668686774639</v>
      </c>
      <c r="DA62" s="43">
        <f t="shared" ref="DA62" si="2105">IF(CE62="","",(CE62-CE$20)*1000)+DA$18</f>
        <v>-23.924604093085389</v>
      </c>
      <c r="DB62" s="43">
        <f t="shared" ref="DB62" si="2106">IF(CF62="","",(CF62-CF$20)*1000)+DB$18</f>
        <v>0.93865533131032297</v>
      </c>
      <c r="DC62" s="43">
        <f t="shared" ref="DC62" si="2107">IF(CG62="","",(CG62-CG$20)*1000)+DC$18</f>
        <v>13.026345617674906</v>
      </c>
      <c r="DD62" s="43">
        <f t="shared" ref="DD62" si="2108">IF(CH62="","",(CH62-CH$20)*1000)+DD$18</f>
        <v>-21.264695174446402</v>
      </c>
      <c r="DE62" s="43">
        <f t="shared" ref="DE62" si="2109">IF(CI62="","",(CI62-CI$20)*1000)+DE$18</f>
        <v>-30.899263456176215</v>
      </c>
    </row>
    <row r="63" spans="1:109" ht="29.25" customHeight="1" x14ac:dyDescent="0.2">
      <c r="A63" s="37">
        <v>43859</v>
      </c>
      <c r="B63" s="29">
        <f t="shared" si="1849"/>
        <v>201</v>
      </c>
      <c r="C63" s="38">
        <v>222.9</v>
      </c>
      <c r="D63" s="38">
        <f t="shared" ref="D63" si="2110">C63-PM</f>
        <v>39</v>
      </c>
      <c r="E63" s="39">
        <v>823233.37719999999</v>
      </c>
      <c r="F63" s="39">
        <v>1091513.561</v>
      </c>
      <c r="G63" s="39">
        <v>-124.58150000000001</v>
      </c>
      <c r="H63" s="39">
        <v>823233.25020000001</v>
      </c>
      <c r="I63" s="39">
        <v>1091513.764</v>
      </c>
      <c r="J63" s="39">
        <v>-123.411</v>
      </c>
      <c r="K63" s="39">
        <v>823233.45539999998</v>
      </c>
      <c r="L63" s="39">
        <v>1091513.2879999999</v>
      </c>
      <c r="M63" s="39">
        <v>-121.9695</v>
      </c>
      <c r="N63" s="39">
        <v>823234.10629999998</v>
      </c>
      <c r="O63" s="39">
        <v>1091511.5549999999</v>
      </c>
      <c r="P63" s="39">
        <v>-121.06319999999999</v>
      </c>
      <c r="Q63" s="39">
        <v>823234.87569999998</v>
      </c>
      <c r="R63" s="39">
        <v>1091510.149</v>
      </c>
      <c r="S63" s="39">
        <v>-121.3771</v>
      </c>
      <c r="T63" s="39">
        <v>823235.48149999999</v>
      </c>
      <c r="U63" s="39">
        <v>1091508.9010000001</v>
      </c>
      <c r="V63" s="39">
        <v>-123.4483</v>
      </c>
      <c r="W63" s="39">
        <v>823235.40839999996</v>
      </c>
      <c r="X63" s="39">
        <v>1091509.0419999999</v>
      </c>
      <c r="Y63" s="39">
        <v>-124.6229</v>
      </c>
      <c r="Z63" s="39">
        <f t="shared" si="1"/>
        <v>4.1151011773958484</v>
      </c>
      <c r="AA63" s="39">
        <f t="shared" si="2"/>
        <v>3.3353789964706904</v>
      </c>
      <c r="AB63" s="39">
        <f t="shared" si="3"/>
        <v>2.0611500430672223</v>
      </c>
      <c r="AC63" s="39">
        <f t="shared" si="4"/>
        <v>1.6332010194307314</v>
      </c>
      <c r="AD63" s="39">
        <f t="shared" si="5"/>
        <v>3.8240806802817877</v>
      </c>
      <c r="AE63" s="39">
        <f t="shared" si="6"/>
        <v>4.5477574143861483</v>
      </c>
      <c r="AF63" s="39">
        <f t="shared" si="7"/>
        <v>3.4959277523689889</v>
      </c>
      <c r="AG63" s="39">
        <f t="shared" si="8"/>
        <v>5.3505943575380641</v>
      </c>
      <c r="AH63" s="39">
        <f t="shared" si="9"/>
        <v>4.954679444793916</v>
      </c>
      <c r="AI63" s="43">
        <f t="shared" ref="AI63:AI64" si="2111">IF(Z63="","",(Z63-Z$20)*1000)+AI$18</f>
        <v>-65.243719832657206</v>
      </c>
      <c r="AJ63" s="43">
        <f t="shared" ref="AJ63:AJ64" si="2112">IF(AA63="","",(AA63-AA$20)*1000)+AJ$18</f>
        <v>-56.163591247014644</v>
      </c>
      <c r="AK63" s="43">
        <f t="shared" ref="AK63:AK64" si="2113">IF(AB63="","",(AB63-AB$20)*1000)+AK$18</f>
        <v>-37.527597998661349</v>
      </c>
      <c r="AL63" s="43">
        <f t="shared" ref="AL63:AL64" si="2114">IF(AC63="","",(AC63-AC$20)*1000)+AL$18</f>
        <v>-17.196119761061944</v>
      </c>
      <c r="AM63" s="43">
        <f t="shared" ref="AM63:AM64" si="2115">IF(AD63="","",(AD63-AD$20)*1000)+AM$18</f>
        <v>-62.575739572474646</v>
      </c>
      <c r="AN63" s="43">
        <f t="shared" ref="AN63:AN64" si="2116">IF(AE63="","",(AE63-AE$20)*1000)+AN$18</f>
        <v>-43.323275507546555</v>
      </c>
      <c r="AO63" s="43">
        <f t="shared" ref="AO63:AO64" si="2117">IF(AF63="","",(AF63-AF$20)*1000)+AO$18</f>
        <v>-26.462210540572961</v>
      </c>
      <c r="AP63" s="43">
        <f t="shared" ref="AP63:AP64" si="2118">IF(AG63="","",(AG63-AG$20)*1000)+AP$18</f>
        <v>-25.937897528400811</v>
      </c>
      <c r="AQ63" s="43">
        <f t="shared" ref="AQ63:AQ64" si="2119">IF(AH63="","",(AH63-AH$20)*1000)+AQ$18</f>
        <v>-23.192211501566362</v>
      </c>
      <c r="AR63" s="40"/>
      <c r="AS63" s="43">
        <f t="shared" ref="AS63:AS64" si="2120">IF(E63="","",(E63-E$20)*1000)+AS$18</f>
        <v>0.54999999701976776</v>
      </c>
      <c r="AT63" s="43">
        <f t="shared" ref="AT63:AT64" si="2121">IF(F63="","",(F63-F$20)*1000)+AT$18</f>
        <v>-1.8500001169741154</v>
      </c>
      <c r="AU63" s="43">
        <f t="shared" ref="AU63:AU64" si="2122">IF(G63="","",(G63-G$20)*1000)+AU$18</f>
        <v>1.6999999999995907</v>
      </c>
      <c r="AV63" s="43">
        <f t="shared" ref="AV63:AV64" si="2123">IF(H63="","",(H63-H$20)*1000)+AV$18</f>
        <v>0.50000008195638657</v>
      </c>
      <c r="AW63" s="43">
        <f t="shared" ref="AW63:AW64" si="2124">IF(I63="","",(I63-I$20)*1000)+AW$18</f>
        <v>-1.750000286847353</v>
      </c>
      <c r="AX63" s="43">
        <f t="shared" ref="AX63:AX64" si="2125">IF(J63="","",(J63-J$20)*1000)+AX$18</f>
        <v>1.8500000000045702</v>
      </c>
      <c r="AY63" s="43">
        <f t="shared" ref="AY63:AY64" si="2126">IF(K63="","",(K63-K$20)*1000)+AY$18</f>
        <v>2.8500000480562449</v>
      </c>
      <c r="AZ63" s="43">
        <f t="shared" ref="AZ63:AZ64" si="2127">IF(L63="","",(L63-L$20)*1000)+AZ$18</f>
        <v>-8.7000003550201654</v>
      </c>
      <c r="BA63" s="43">
        <f t="shared" ref="BA63:BA64" si="2128">IF(M63="","",(M63-M$20)*1000)+BA$18</f>
        <v>-9.399999999985198</v>
      </c>
      <c r="BB63" s="43">
        <f t="shared" ref="BB63:BB64" si="2129">IF(N63="","",(N63-N$20)*1000)+BB$18</f>
        <v>-16.500000027008355</v>
      </c>
      <c r="BC63" s="43">
        <f t="shared" ref="BC63:BC64" si="2130">IF(O63="","",(O63-O$20)*1000)+BC$18</f>
        <v>-3.7000000011175871</v>
      </c>
      <c r="BD63" s="43">
        <f t="shared" ref="BD63:BD64" si="2131">IF(P63="","",(P63-P$20)*1000)+BD$18</f>
        <v>-72.649999999995885</v>
      </c>
      <c r="BE63" s="43">
        <f t="shared" ref="BE63:BE64" si="2132">IF(Q63="","",(Q63-Q$20)*1000)+BE$18</f>
        <v>2.2499999031424522</v>
      </c>
      <c r="BF63" s="43">
        <f t="shared" ref="BF63:BF64" si="2133">IF(R63="","",(R63-R$20)*1000)+BF$18</f>
        <v>16.200000187382102</v>
      </c>
      <c r="BG63" s="43">
        <f t="shared" ref="BG63:BG64" si="2134">IF(S63="","",(S63-S$20)*1000)+BG$18</f>
        <v>-33.950000000004366</v>
      </c>
      <c r="BH63" s="43">
        <f t="shared" ref="BH63:BH64" si="2135">IF(T63="","",(T63-T$20)*1000)+BH$18</f>
        <v>-9.1999998548999429</v>
      </c>
      <c r="BI63" s="43">
        <f t="shared" ref="BI63:BI64" si="2136">IF(U63="","",(U63-U$20)*1000)+BI$18</f>
        <v>22.350000217556953</v>
      </c>
      <c r="BJ63" s="43">
        <f t="shared" ref="BJ63:BJ64" si="2137">IF(V63="","",(V63-V$20)*1000)+BJ$18</f>
        <v>0.70000000000902673</v>
      </c>
      <c r="BK63" s="43">
        <f t="shared" ref="BK63:BK64" si="2138">IF(W63="","",(W63-W$20)*1000)+BK$18</f>
        <v>2.6000000070780516</v>
      </c>
      <c r="BL63" s="43">
        <f t="shared" ref="BL63:BL64" si="2139">IF(X63="","",(X63-X$20)*1000)+BL$18</f>
        <v>24.749999865889549</v>
      </c>
      <c r="BM63" s="43">
        <f t="shared" ref="BM63:BM64" si="2140">IF(Y63="","",(Y63-Y$20)*1000)+BM$18</f>
        <v>-30.799999999999272</v>
      </c>
      <c r="BN63" s="40"/>
      <c r="BO63" s="39">
        <v>183.97020000000001</v>
      </c>
      <c r="BP63" s="39">
        <v>-2.4325999999999999</v>
      </c>
      <c r="BQ63" s="39">
        <v>-0.87829999999999997</v>
      </c>
      <c r="BR63" s="39">
        <v>183.9409</v>
      </c>
      <c r="BS63" s="39">
        <v>-2.6701999999999999</v>
      </c>
      <c r="BT63" s="39">
        <v>0.29249999999999998</v>
      </c>
      <c r="BU63" s="41">
        <v>183.92580000000001</v>
      </c>
      <c r="BV63" s="42">
        <v>-2.1522999999999999</v>
      </c>
      <c r="BW63" s="42">
        <v>1.7341</v>
      </c>
      <c r="BX63" s="41">
        <v>183.78309999999999</v>
      </c>
      <c r="BY63" s="42">
        <v>-0.30609999999999998</v>
      </c>
      <c r="BZ63" s="42">
        <v>2.6417999999999999</v>
      </c>
      <c r="CA63" s="41">
        <v>183.88640000000001</v>
      </c>
      <c r="CB63" s="42">
        <v>1.2927999999999999</v>
      </c>
      <c r="CC63" s="42">
        <v>2.3269000000000002</v>
      </c>
      <c r="CD63" s="41">
        <v>183.90780000000001</v>
      </c>
      <c r="CE63" s="42">
        <v>2.6802000000000001</v>
      </c>
      <c r="CF63" s="42">
        <v>0.2555</v>
      </c>
      <c r="CG63" s="41">
        <v>183.90129999999999</v>
      </c>
      <c r="CH63" s="42">
        <v>2.5211000000000001</v>
      </c>
      <c r="CI63" s="42">
        <v>-0.91900000000000004</v>
      </c>
      <c r="CJ63" s="40"/>
      <c r="CK63" s="43">
        <f t="shared" ref="CK63:CK64" si="2141">IF(BO63="","",(BO63-BO$20)*1000)+CK$18</f>
        <v>-0.64707964335752877</v>
      </c>
      <c r="CL63" s="43">
        <f t="shared" ref="CL63:CL64" si="2142">IF(BP63="","",(BP63-BP$20)*1000)+CL$18</f>
        <v>2.2276339682076873</v>
      </c>
      <c r="CM63" s="43">
        <f t="shared" ref="CM63:CM64" si="2143">IF(BQ63="","",(BQ63-BQ$20)*1000)+CM$18</f>
        <v>1.7274707964460845</v>
      </c>
      <c r="CN63" s="43">
        <f t="shared" ref="CN63:CN64" si="2144">IF(BR63="","",(BR63-BR$20)*1000)+CN$18</f>
        <v>-0.3375558976586035</v>
      </c>
      <c r="CO63" s="43">
        <f t="shared" ref="CO63:CO64" si="2145">IF(BS63="","",(BS63-BS$20)*1000)+CO$18</f>
        <v>1.7775136069007047</v>
      </c>
      <c r="CP63" s="43">
        <f t="shared" ref="CP63:CP64" si="2146">IF(BT63="","",(BT63-BT$20)*1000)+CP$18</f>
        <v>1.8833755589790502</v>
      </c>
      <c r="CQ63" s="43">
        <f t="shared" ref="CQ63:CQ64" si="2147">IF(BU63="","",(BU63-BU$20)*1000)+CQ$18</f>
        <v>-0.74488549145712568</v>
      </c>
      <c r="CR63" s="43">
        <f t="shared" ref="CR63:CR64" si="2148">IF(BV63="","",(BV63-BV$20)*1000)+CR$18</f>
        <v>8.2724709854407052</v>
      </c>
      <c r="CS63" s="43">
        <f t="shared" ref="CS63:CS64" si="2149">IF(BW63="","",(BW63-BW$20)*1000)+CS$18</f>
        <v>-9.3975511450719029</v>
      </c>
      <c r="CT63" s="43">
        <f t="shared" ref="CT63:CT64" si="2150">IF(BX63="","",(BX63-BX$20)*1000)+CT$18</f>
        <v>-16.481202444197152</v>
      </c>
      <c r="CU63" s="43">
        <f t="shared" ref="CU63:CU64" si="2151">IF(BY63="","",(BY63-BY$20)*1000)+CU$18</f>
        <v>-3.4811089710806433</v>
      </c>
      <c r="CV63" s="43">
        <f t="shared" ref="CV63:CV64" si="2152">IF(BZ63="","",(BZ63-BZ$20)*1000)+CV$18</f>
        <v>-72.52518797555085</v>
      </c>
      <c r="CW63" s="43">
        <f t="shared" ref="CW63:CW64" si="2153">IF(CA63="","",(CA63-CA$20)*1000)+CW$18</f>
        <v>8.6063478637754542</v>
      </c>
      <c r="CX63" s="43">
        <f t="shared" ref="CX63:CX64" si="2154">IF(CB63="","",(CB63-CB$20)*1000)+CX$18</f>
        <v>-13.229753847173953</v>
      </c>
      <c r="CY63" s="43">
        <f t="shared" ref="CY63:CY64" si="2155">IF(CC63="","",(CC63-CC$20)*1000)+CY$18</f>
        <v>-33.934063478635146</v>
      </c>
      <c r="CZ63" s="43">
        <f t="shared" ref="CZ63:CZ64" si="2156">IF(CD63="","",(CD63-CD$20)*1000)+CZ$18</f>
        <v>1.1344668686774639</v>
      </c>
      <c r="DA63" s="43">
        <f t="shared" ref="DA63:DA64" si="2157">IF(CE63="","",(CE63-CE$20)*1000)+DA$18</f>
        <v>-24.124604093085367</v>
      </c>
      <c r="DB63" s="43">
        <f t="shared" ref="DB63:DB64" si="2158">IF(CF63="","",(CF63-CF$20)*1000)+DB$18</f>
        <v>0.738655331310345</v>
      </c>
      <c r="DC63" s="43">
        <f t="shared" ref="DC63:DC64" si="2159">IF(CG63="","",(CG63-CG$20)*1000)+DC$18</f>
        <v>12.926345617671586</v>
      </c>
      <c r="DD63" s="43">
        <f t="shared" ref="DD63:DD64" si="2160">IF(CH63="","",(CH63-CH$20)*1000)+DD$18</f>
        <v>-21.564695174446147</v>
      </c>
      <c r="DE63" s="43">
        <f t="shared" ref="DE63:DE64" si="2161">IF(CI63="","",(CI63-CI$20)*1000)+DE$18</f>
        <v>-30.899263456176215</v>
      </c>
    </row>
    <row r="64" spans="1:109" ht="29.25" customHeight="1" x14ac:dyDescent="0.2">
      <c r="A64" s="37">
        <v>43865</v>
      </c>
      <c r="B64" s="29">
        <f t="shared" ref="B64" si="2162">IF(A64="","",A64-excav)</f>
        <v>207</v>
      </c>
      <c r="C64" s="38">
        <v>222.9</v>
      </c>
      <c r="D64" s="38">
        <f t="shared" ref="D64" si="2163">C64-PM</f>
        <v>39</v>
      </c>
      <c r="E64" s="39">
        <v>823233.37879999995</v>
      </c>
      <c r="F64" s="39">
        <v>1091513.5604999999</v>
      </c>
      <c r="G64" s="39">
        <v>-124.58069999999999</v>
      </c>
      <c r="H64" s="39">
        <v>823233.25199999998</v>
      </c>
      <c r="I64" s="39">
        <v>1091513.7631999999</v>
      </c>
      <c r="J64" s="39">
        <v>-123.4113</v>
      </c>
      <c r="K64" s="39">
        <v>823233.45730000001</v>
      </c>
      <c r="L64" s="39">
        <v>1091513.2878</v>
      </c>
      <c r="M64" s="39">
        <v>-121.9697</v>
      </c>
      <c r="N64" s="39">
        <v>823234.10750000004</v>
      </c>
      <c r="O64" s="39">
        <v>1091511.5538999999</v>
      </c>
      <c r="P64" s="39">
        <v>-121.0639</v>
      </c>
      <c r="Q64" s="39">
        <v>823234.87710000004</v>
      </c>
      <c r="R64" s="39">
        <v>1091510.1487</v>
      </c>
      <c r="S64" s="39">
        <v>-121.3775</v>
      </c>
      <c r="T64" s="39">
        <v>823235.48270000005</v>
      </c>
      <c r="U64" s="39">
        <v>1091508.9001</v>
      </c>
      <c r="V64" s="39">
        <v>-123.4485</v>
      </c>
      <c r="W64" s="39">
        <v>823235.40949999995</v>
      </c>
      <c r="X64" s="39">
        <v>1091509.0415000001</v>
      </c>
      <c r="Y64" s="39">
        <v>-124.6232</v>
      </c>
      <c r="Z64" s="39">
        <f t="shared" ref="Z64" si="2164">IF(Xhaut="","",SQRT(((Xbasgauche-Xhaut)^2+(Ybasgauche-Yhaut)^2)+(Zbasgauche-Zhaut)^2))</f>
        <v>4.1140405309128596</v>
      </c>
      <c r="AA64" s="39">
        <f t="shared" ref="AA64:AA71" si="2165">IF(Xhaut="","",SQRT(((Xintergauche-Xhaut)^2+(Yintergauche-Yhaut)^2)+(Zintergauche-Zhaut)^2))</f>
        <v>3.3351422008745</v>
      </c>
      <c r="AB64" s="39">
        <f t="shared" ref="AB64:AB70" si="2166">IF(Xhaut="","",SQRT(((Xhautgauche-Xhaut)^2+(Yhautgauche-Yhaut)^2)+(Zhautgauche-Zhaut)^2))</f>
        <v>2.0614661991938066</v>
      </c>
      <c r="AC64" s="39">
        <f t="shared" ref="AC64:AC70" si="2167">IF(Xhaut="","",SQRT(((Xhautdroit-Xhaut)^2+(Yhautdroit-Yhaut)^2)+(Zhautdroit-Zhaut)^2))</f>
        <v>1.6325489762262779</v>
      </c>
      <c r="AD64" s="39">
        <f t="shared" ref="AD64:AD73" si="2168">IF(Xhaut="","",SQRT(((Xinterdroit-Xhaut)^2+(Yinterdroit-Yhaut)^2)+(Zinterdroit-Zhaut)^2))</f>
        <v>3.8236300343877234</v>
      </c>
      <c r="AE64" s="39">
        <f t="shared" ref="AE64:AE70" si="2169">IF(Xhaut="","",SQRT(((Xbasdroit-Xhaut)^2+(Ybasdroit-Yhaut)^2)+(Zbasdroit-Zhaut)^2))</f>
        <v>4.5470841480240889</v>
      </c>
      <c r="AF64" s="39">
        <f t="shared" ref="AF64:AF70" si="2170">IF(Xhautdroit="","",SQRT(((Xhautdroit-Xhautgauche)^2+(Yhautdroit-Yhautgauche)^2)+(Zhautdroit-Zhautgauche)^2))</f>
        <v>3.4957805552232255</v>
      </c>
      <c r="AG64" s="39">
        <f t="shared" ref="AG64:AG73" si="2171">IF(Xinterdroit="","",SQRT(((Xinterdroit-Xintergauche)^2+(Yinterdroit-Yintergauche)^2)+(Zinterdroit-Zintergauche)^2))</f>
        <v>5.3504343692753338</v>
      </c>
      <c r="AH64" s="39">
        <f t="shared" ref="AH64:AH70" si="2172">IF(Xbasdroit="","",SQRT(((Xbasdroit-Xbasgauche)^2+(Ybasdroit-Ybasgauche)^2)+(Zbasdroit-Zbasgauche)^2))</f>
        <v>4.9544838014367354</v>
      </c>
      <c r="AI64" s="43">
        <f t="shared" si="2111"/>
        <v>-66.30436631564595</v>
      </c>
      <c r="AJ64" s="43">
        <f t="shared" si="2112"/>
        <v>-56.400386843205027</v>
      </c>
      <c r="AK64" s="43">
        <f t="shared" si="2113"/>
        <v>-37.211441872077032</v>
      </c>
      <c r="AL64" s="43">
        <f t="shared" si="2114"/>
        <v>-17.848162965515389</v>
      </c>
      <c r="AM64" s="43">
        <f t="shared" si="2115"/>
        <v>-63.02638546653894</v>
      </c>
      <c r="AN64" s="43">
        <f t="shared" si="2116"/>
        <v>-43.996541869605998</v>
      </c>
      <c r="AO64" s="43">
        <f t="shared" si="2117"/>
        <v>-26.60940768633635</v>
      </c>
      <c r="AP64" s="43">
        <f t="shared" si="2118"/>
        <v>-26.097885791131148</v>
      </c>
      <c r="AQ64" s="43">
        <f t="shared" si="2119"/>
        <v>-23.387854858746948</v>
      </c>
      <c r="AR64" s="40"/>
      <c r="AS64" s="43">
        <f t="shared" si="2120"/>
        <v>2.149999956600368</v>
      </c>
      <c r="AT64" s="43">
        <f t="shared" si="2121"/>
        <v>-2.3500001989305019</v>
      </c>
      <c r="AU64" s="43">
        <f t="shared" si="2122"/>
        <v>2.5000000000119371</v>
      </c>
      <c r="AV64" s="43">
        <f t="shared" si="2123"/>
        <v>2.3000000510364771</v>
      </c>
      <c r="AW64" s="43">
        <f t="shared" si="2124"/>
        <v>-2.550000324845314</v>
      </c>
      <c r="AX64" s="43">
        <f t="shared" si="2125"/>
        <v>1.5500000000088221</v>
      </c>
      <c r="AY64" s="43">
        <f t="shared" si="2126"/>
        <v>4.7500000800937414</v>
      </c>
      <c r="AZ64" s="43">
        <f t="shared" si="2127"/>
        <v>-8.9000002481043339</v>
      </c>
      <c r="BA64" s="43">
        <f t="shared" si="2128"/>
        <v>-9.5999999999918373</v>
      </c>
      <c r="BB64" s="43">
        <f t="shared" si="2129"/>
        <v>-15.299999970011413</v>
      </c>
      <c r="BC64" s="43">
        <f t="shared" si="2130"/>
        <v>-4.7999999951571226</v>
      </c>
      <c r="BD64" s="43">
        <f t="shared" si="2131"/>
        <v>-73.350000000004911</v>
      </c>
      <c r="BE64" s="43">
        <f t="shared" si="2132"/>
        <v>3.6499999696388841</v>
      </c>
      <c r="BF64" s="43">
        <f t="shared" si="2133"/>
        <v>15.900000231340528</v>
      </c>
      <c r="BG64" s="43">
        <f t="shared" si="2134"/>
        <v>-34.350000000003433</v>
      </c>
      <c r="BH64" s="43">
        <f t="shared" si="2135"/>
        <v>-7.9999997979030013</v>
      </c>
      <c r="BI64" s="43">
        <f t="shared" si="2136"/>
        <v>21.450000116601586</v>
      </c>
      <c r="BJ64" s="43">
        <f t="shared" si="2137"/>
        <v>0.50000000001659828</v>
      </c>
      <c r="BK64" s="43">
        <f t="shared" si="2138"/>
        <v>3.7000000011175871</v>
      </c>
      <c r="BL64" s="43">
        <f t="shared" si="2139"/>
        <v>24.250000016763806</v>
      </c>
      <c r="BM64" s="43">
        <f t="shared" si="2140"/>
        <v>-31.099999999995021</v>
      </c>
      <c r="BN64" s="40"/>
      <c r="BO64" s="39">
        <v>183.97149999999999</v>
      </c>
      <c r="BP64" s="39">
        <v>-2.4314</v>
      </c>
      <c r="BQ64" s="39">
        <v>-0.87749999999999995</v>
      </c>
      <c r="BR64" s="39">
        <v>183.94220000000001</v>
      </c>
      <c r="BS64" s="39">
        <v>-2.6686999999999999</v>
      </c>
      <c r="BT64" s="39">
        <v>0.29220000000000002</v>
      </c>
      <c r="BU64" s="41">
        <v>183.92740000000001</v>
      </c>
      <c r="BV64" s="42">
        <v>-2.1511</v>
      </c>
      <c r="BW64" s="42">
        <v>1.7339</v>
      </c>
      <c r="BX64" s="41">
        <v>183.78380000000001</v>
      </c>
      <c r="BY64" s="42">
        <v>-0.3049</v>
      </c>
      <c r="BZ64" s="42">
        <v>2.6410999999999998</v>
      </c>
      <c r="CA64" s="41">
        <v>183.88740000000001</v>
      </c>
      <c r="CB64" s="42">
        <v>1.2939000000000001</v>
      </c>
      <c r="CC64" s="42">
        <v>2.3264999999999998</v>
      </c>
      <c r="CD64" s="41">
        <v>183.9085</v>
      </c>
      <c r="CE64" s="42">
        <v>2.6815000000000002</v>
      </c>
      <c r="CF64" s="42">
        <v>0.25530000000000003</v>
      </c>
      <c r="CG64" s="41">
        <v>183.90190000000001</v>
      </c>
      <c r="CH64" s="42">
        <v>2.5224000000000002</v>
      </c>
      <c r="CI64" s="42">
        <v>-0.91930000000000001</v>
      </c>
      <c r="CJ64" s="40"/>
      <c r="CK64" s="43">
        <f t="shared" si="2141"/>
        <v>0.65292035662878334</v>
      </c>
      <c r="CL64" s="43">
        <f t="shared" si="2142"/>
        <v>3.4276339682075552</v>
      </c>
      <c r="CM64" s="43">
        <f t="shared" si="2143"/>
        <v>2.5274707964461074</v>
      </c>
      <c r="CN64" s="43">
        <f t="shared" si="2144"/>
        <v>0.96244410235613032</v>
      </c>
      <c r="CO64" s="43">
        <f t="shared" si="2145"/>
        <v>3.2775136069007615</v>
      </c>
      <c r="CP64" s="43">
        <f t="shared" si="2146"/>
        <v>1.5833755589790832</v>
      </c>
      <c r="CQ64" s="43">
        <f t="shared" si="2147"/>
        <v>0.85511450853914539</v>
      </c>
      <c r="CR64" s="43">
        <f t="shared" si="2148"/>
        <v>9.4724709854405731</v>
      </c>
      <c r="CS64" s="43">
        <f t="shared" si="2149"/>
        <v>-9.5975511450718809</v>
      </c>
      <c r="CT64" s="43">
        <f t="shared" si="2150"/>
        <v>-15.781202444173914</v>
      </c>
      <c r="CU64" s="43">
        <f t="shared" si="2151"/>
        <v>-2.2811089710806645</v>
      </c>
      <c r="CV64" s="43">
        <f t="shared" si="2152"/>
        <v>-73.225187975550995</v>
      </c>
      <c r="CW64" s="43">
        <f t="shared" si="2153"/>
        <v>9.6063478637802291</v>
      </c>
      <c r="CX64" s="43">
        <f t="shared" si="2154"/>
        <v>-12.129753847173852</v>
      </c>
      <c r="CY64" s="43">
        <f t="shared" si="2155"/>
        <v>-34.334063478635542</v>
      </c>
      <c r="CZ64" s="43">
        <f t="shared" si="2156"/>
        <v>1.8344668686722798</v>
      </c>
      <c r="DA64" s="43">
        <f t="shared" si="2157"/>
        <v>-22.824604093085288</v>
      </c>
      <c r="DB64" s="43">
        <f t="shared" si="2158"/>
        <v>0.53865533131036702</v>
      </c>
      <c r="DC64" s="43">
        <f t="shared" si="2159"/>
        <v>13.526345617691504</v>
      </c>
      <c r="DD64" s="43">
        <f t="shared" si="2160"/>
        <v>-20.264695174446068</v>
      </c>
      <c r="DE64" s="43">
        <f t="shared" si="2161"/>
        <v>-31.199263456176183</v>
      </c>
    </row>
    <row r="65" spans="1:109" ht="29.25" customHeight="1" x14ac:dyDescent="0.2">
      <c r="A65" s="37">
        <v>43886</v>
      </c>
      <c r="B65" s="29">
        <f t="shared" si="1849"/>
        <v>228</v>
      </c>
      <c r="C65" s="38">
        <v>222.9</v>
      </c>
      <c r="D65" s="38">
        <f t="shared" ref="D65" si="2173">C65-PM</f>
        <v>39</v>
      </c>
      <c r="E65" s="39">
        <v>823233.37600000005</v>
      </c>
      <c r="F65" s="39">
        <v>1091513.5625</v>
      </c>
      <c r="G65" s="39">
        <v>-124.57980000000001</v>
      </c>
      <c r="H65" s="39">
        <v>823233.24930000002</v>
      </c>
      <c r="I65" s="39">
        <v>1091513.7652</v>
      </c>
      <c r="J65" s="39">
        <v>-123.41070000000001</v>
      </c>
      <c r="K65" s="39">
        <v>823233.45510000002</v>
      </c>
      <c r="L65" s="39">
        <v>1091513.29</v>
      </c>
      <c r="M65" s="39">
        <v>-121.9691</v>
      </c>
      <c r="N65" s="39">
        <v>823234.1054</v>
      </c>
      <c r="O65" s="39">
        <v>1091511.5559</v>
      </c>
      <c r="P65" s="39">
        <v>-121.0638</v>
      </c>
      <c r="Q65" s="39">
        <v>823234.87549999997</v>
      </c>
      <c r="R65" s="39">
        <v>1091510.1507999999</v>
      </c>
      <c r="S65" s="39">
        <v>-121.3768</v>
      </c>
      <c r="T65" s="39">
        <v>823235.48129999998</v>
      </c>
      <c r="U65" s="39">
        <v>1091508.9024</v>
      </c>
      <c r="V65" s="39">
        <v>-123.4479</v>
      </c>
      <c r="W65" s="39">
        <v>823235.40800000005</v>
      </c>
      <c r="X65" s="39">
        <v>1091509.044</v>
      </c>
      <c r="Y65" s="39">
        <v>-124.62260000000001</v>
      </c>
      <c r="Z65" s="39">
        <f t="shared" ref="Z65:Z75" si="2174">IF(Xhaut="","",SQRT(((Xbasgauche-Xhaut)^2+(Ybasgauche-Yhaut)^2)+(Zbasgauche-Zhaut)^2))</f>
        <v>4.1134807547608352</v>
      </c>
      <c r="AA65" s="39">
        <f t="shared" si="2165"/>
        <v>3.3349442738827895</v>
      </c>
      <c r="AB65" s="39">
        <f t="shared" si="2166"/>
        <v>2.0614463344890335</v>
      </c>
      <c r="AC65" s="39">
        <f t="shared" si="2167"/>
        <v>1.6325835415689431</v>
      </c>
      <c r="AD65" s="39">
        <f t="shared" si="2168"/>
        <v>3.8233618544464969</v>
      </c>
      <c r="AE65" s="39">
        <f t="shared" si="2169"/>
        <v>4.5465883704539962</v>
      </c>
      <c r="AF65" s="39">
        <f t="shared" si="2170"/>
        <v>3.4961310173422211</v>
      </c>
      <c r="AG65" s="39">
        <f t="shared" si="2171"/>
        <v>5.3507038490133789</v>
      </c>
      <c r="AH65" s="39">
        <f t="shared" si="2172"/>
        <v>4.9545633601839212</v>
      </c>
      <c r="AI65" s="43">
        <f t="shared" ref="AI65" si="2175">IF(Z65="","",(Z65-Z$20)*1000)+AI$18</f>
        <v>-66.864142467670362</v>
      </c>
      <c r="AJ65" s="43">
        <f t="shared" ref="AJ65" si="2176">IF(AA65="","",(AA65-AA$20)*1000)+AJ$18</f>
        <v>-56.598313834915537</v>
      </c>
      <c r="AK65" s="43">
        <f t="shared" ref="AK65" si="2177">IF(AB65="","",(AB65-AB$20)*1000)+AK$18</f>
        <v>-37.231306576850145</v>
      </c>
      <c r="AL65" s="43">
        <f t="shared" ref="AL65" si="2178">IF(AC65="","",(AC65-AC$20)*1000)+AL$18</f>
        <v>-17.813597622850175</v>
      </c>
      <c r="AM65" s="43">
        <f t="shared" ref="AM65" si="2179">IF(AD65="","",(AD65-AD$20)*1000)+AM$18</f>
        <v>-63.294565407765461</v>
      </c>
      <c r="AN65" s="43">
        <f t="shared" ref="AN65" si="2180">IF(AE65="","",(AE65-AE$20)*1000)+AN$18</f>
        <v>-44.492319439698669</v>
      </c>
      <c r="AO65" s="43">
        <f t="shared" ref="AO65" si="2181">IF(AF65="","",(AF65-AF$20)*1000)+AO$18</f>
        <v>-26.258945567340763</v>
      </c>
      <c r="AP65" s="43">
        <f t="shared" ref="AP65" si="2182">IF(AG65="","",(AG65-AG$20)*1000)+AP$18</f>
        <v>-25.828406053086006</v>
      </c>
      <c r="AQ65" s="43">
        <f t="shared" ref="AQ65" si="2183">IF(AH65="","",(AH65-AH$20)*1000)+AQ$18</f>
        <v>-23.308296111561155</v>
      </c>
      <c r="AR65" s="40"/>
      <c r="AS65" s="43">
        <f t="shared" ref="AS65" si="2184">IF(E65="","",(E65-E$20)*1000)+AS$18</f>
        <v>-0.64999994356185198</v>
      </c>
      <c r="AT65" s="43">
        <f t="shared" ref="AT65" si="2185">IF(F65="","",(F65-F$20)*1000)+AT$18</f>
        <v>-0.35000010393559933</v>
      </c>
      <c r="AU65" s="43">
        <f t="shared" ref="AU65" si="2186">IF(G65="","",(G65-G$20)*1000)+AU$18</f>
        <v>3.3999999999991815</v>
      </c>
      <c r="AV65" s="43">
        <f t="shared" ref="AV65" si="2187">IF(H65="","",(H65-H$20)*1000)+AV$18</f>
        <v>-0.3999999025836587</v>
      </c>
      <c r="AW65" s="43">
        <f t="shared" ref="AW65" si="2188">IF(I65="","",(I65-I$20)*1000)+AW$18</f>
        <v>-0.55000022985041142</v>
      </c>
      <c r="AX65" s="43">
        <f t="shared" ref="AX65" si="2189">IF(J65="","",(J65-J$20)*1000)+AX$18</f>
        <v>2.1500000000003183</v>
      </c>
      <c r="AY65" s="43">
        <f t="shared" ref="AY65" si="2190">IF(K65="","",(K65-K$20)*1000)+AY$18</f>
        <v>2.5500000920146704</v>
      </c>
      <c r="AZ65" s="43">
        <f t="shared" ref="AZ65" si="2191">IF(L65="","",(L65-L$20)*1000)+AZ$18</f>
        <v>-6.7000002600252628</v>
      </c>
      <c r="BA65" s="43">
        <f t="shared" ref="BA65" si="2192">IF(M65="","",(M65-M$20)*1000)+BA$18</f>
        <v>-8.9999999999861302</v>
      </c>
      <c r="BB65" s="43">
        <f t="shared" ref="BB65" si="2193">IF(N65="","",(N65-N$20)*1000)+BB$18</f>
        <v>-17.4000000115484</v>
      </c>
      <c r="BC65" s="43">
        <f t="shared" ref="BC65" si="2194">IF(O65="","",(O65-O$20)*1000)+BC$18</f>
        <v>-2.79999990016222</v>
      </c>
      <c r="BD65" s="43">
        <f t="shared" ref="BD65" si="2195">IF(P65="","",(P65-P$20)*1000)+BD$18</f>
        <v>-73.250000000001592</v>
      </c>
      <c r="BE65" s="43">
        <f t="shared" ref="BE65" si="2196">IF(Q65="","",(Q65-Q$20)*1000)+BE$18</f>
        <v>2.049999893642962</v>
      </c>
      <c r="BF65" s="43">
        <f t="shared" ref="BF65" si="2197">IF(R65="","",(R65-R$20)*1000)+BF$18</f>
        <v>18.000000156462193</v>
      </c>
      <c r="BG65" s="43">
        <f t="shared" ref="BG65" si="2198">IF(S65="","",(S65-S$20)*1000)+BG$18</f>
        <v>-33.650000000008617</v>
      </c>
      <c r="BH65" s="43">
        <f t="shared" ref="BH65" si="2199">IF(T65="","",(T65-T$20)*1000)+BH$18</f>
        <v>-9.3999998643994331</v>
      </c>
      <c r="BI65" s="43">
        <f t="shared" ref="BI65" si="2200">IF(U65="","",(U65-U$20)*1000)+BI$18</f>
        <v>23.750000167638063</v>
      </c>
      <c r="BJ65" s="43">
        <f t="shared" ref="BJ65" si="2201">IF(V65="","",(V65-V$20)*1000)+BJ$18</f>
        <v>1.1000000000080945</v>
      </c>
      <c r="BK65" s="43">
        <f t="shared" ref="BK65" si="2202">IF(W65="","",(W65-W$20)*1000)+BK$18</f>
        <v>2.2000001044943929</v>
      </c>
      <c r="BL65" s="43">
        <f t="shared" ref="BL65" si="2203">IF(X65="","",(X65-X$20)*1000)+BL$18</f>
        <v>26.749999960884452</v>
      </c>
      <c r="BM65" s="43">
        <f t="shared" ref="BM65" si="2204">IF(Y65="","",(Y65-Y$20)*1000)+BM$18</f>
        <v>-30.500000000003524</v>
      </c>
      <c r="BN65" s="40"/>
      <c r="BO65" s="39">
        <v>183.96979999999999</v>
      </c>
      <c r="BP65" s="39">
        <v>-2.4344000000000001</v>
      </c>
      <c r="BQ65" s="39">
        <v>-0.87660000000000005</v>
      </c>
      <c r="BR65" s="39">
        <v>183.94059999999999</v>
      </c>
      <c r="BS65" s="39">
        <v>-2.6717</v>
      </c>
      <c r="BT65" s="39">
        <v>0.2928</v>
      </c>
      <c r="BU65" s="41">
        <v>183.9263</v>
      </c>
      <c r="BV65" s="42">
        <v>-2.1539999999999999</v>
      </c>
      <c r="BW65" s="42">
        <v>1.7344999999999999</v>
      </c>
      <c r="BX65" s="41">
        <v>183.78280000000001</v>
      </c>
      <c r="BY65" s="42">
        <v>-0.30759999999999998</v>
      </c>
      <c r="BZ65" s="42">
        <v>2.6413000000000002</v>
      </c>
      <c r="CA65" s="41">
        <v>183.88679999999999</v>
      </c>
      <c r="CB65" s="42">
        <v>1.2912999999999999</v>
      </c>
      <c r="CC65" s="42">
        <v>2.3271999999999999</v>
      </c>
      <c r="CD65" s="41">
        <v>183.90819999999999</v>
      </c>
      <c r="CE65" s="42">
        <v>2.6787999999999998</v>
      </c>
      <c r="CF65" s="42">
        <v>0.25590000000000002</v>
      </c>
      <c r="CG65" s="41">
        <v>183.9016</v>
      </c>
      <c r="CH65" s="42">
        <v>2.5194999999999999</v>
      </c>
      <c r="CI65" s="42">
        <v>-0.91869999999999996</v>
      </c>
      <c r="CJ65" s="40"/>
      <c r="CK65" s="43">
        <f t="shared" ref="CK65" si="2205">IF(BO65="","",(BO65-BO$20)*1000)+CK$18</f>
        <v>-1.0470796433708074</v>
      </c>
      <c r="CL65" s="43">
        <f t="shared" ref="CL65" si="2206">IF(BP65="","",(BP65-BP$20)*1000)+CL$18</f>
        <v>0.42763396820744148</v>
      </c>
      <c r="CM65" s="43">
        <f t="shared" ref="CM65" si="2207">IF(BQ65="","",(BQ65-BQ$20)*1000)+CM$18</f>
        <v>3.4274707964460083</v>
      </c>
      <c r="CN65" s="43">
        <f t="shared" ref="CN65" si="2208">IF(BR65="","",(BR65-BR$20)*1000)+CN$18</f>
        <v>-0.63755589766856247</v>
      </c>
      <c r="CO65" s="43">
        <f t="shared" ref="CO65" si="2209">IF(BS65="","",(BS65-BS$20)*1000)+CO$18</f>
        <v>0.27751360690064786</v>
      </c>
      <c r="CP65" s="43">
        <f t="shared" ref="CP65" si="2210">IF(BT65="","",(BT65-BT$20)*1000)+CP$18</f>
        <v>2.1833755589790727</v>
      </c>
      <c r="CQ65" s="43">
        <f t="shared" ref="CQ65" si="2211">IF(BU65="","",(BU65-BU$20)*1000)+CQ$18</f>
        <v>-0.24488549146894911</v>
      </c>
      <c r="CR65" s="43">
        <f t="shared" ref="CR65" si="2212">IF(BV65="","",(BV65-BV$20)*1000)+CR$18</f>
        <v>6.5724709854406704</v>
      </c>
      <c r="CS65" s="43">
        <f t="shared" ref="CS65" si="2213">IF(BW65="","",(BW65-BW$20)*1000)+CS$18</f>
        <v>-8.997551145071947</v>
      </c>
      <c r="CT65" s="43">
        <f t="shared" ref="CT65" si="2214">IF(BX65="","",(BX65-BX$20)*1000)+CT$18</f>
        <v>-16.781202444178689</v>
      </c>
      <c r="CU65" s="43">
        <f t="shared" ref="CU65" si="2215">IF(BY65="","",(BY65-BY$20)*1000)+CU$18</f>
        <v>-4.9811089710806442</v>
      </c>
      <c r="CV65" s="43">
        <f t="shared" ref="CV65" si="2216">IF(BZ65="","",(BZ65-BZ$20)*1000)+CV$18</f>
        <v>-73.02518797555058</v>
      </c>
      <c r="CW65" s="43">
        <f t="shared" ref="CW65" si="2217">IF(CA65="","",(CA65-CA$20)*1000)+CW$18</f>
        <v>9.0063478637603112</v>
      </c>
      <c r="CX65" s="43">
        <f t="shared" ref="CX65" si="2218">IF(CB65="","",(CB65-CB$20)*1000)+CX$18</f>
        <v>-14.72975384717401</v>
      </c>
      <c r="CY65" s="43">
        <f t="shared" ref="CY65" si="2219">IF(CC65="","",(CC65-CC$20)*1000)+CY$18</f>
        <v>-33.634063478635397</v>
      </c>
      <c r="CZ65" s="43">
        <f t="shared" ref="CZ65" si="2220">IF(CD65="","",(CD65-CD$20)*1000)+CZ$18</f>
        <v>1.5344668686623208</v>
      </c>
      <c r="DA65" s="43">
        <f t="shared" ref="DA65" si="2221">IF(CE65="","",(CE65-CE$20)*1000)+DA$18</f>
        <v>-25.524604093085657</v>
      </c>
      <c r="DB65" s="43">
        <f t="shared" ref="DB65" si="2222">IF(CF65="","",(CF65-CF$20)*1000)+DB$18</f>
        <v>1.1386553313103565</v>
      </c>
      <c r="DC65" s="43">
        <f t="shared" ref="DC65" si="2223">IF(CG65="","",(CG65-CG$20)*1000)+DC$18</f>
        <v>13.226345617681545</v>
      </c>
      <c r="DD65" s="43">
        <f t="shared" ref="DD65" si="2224">IF(CH65="","",(CH65-CH$20)*1000)+DD$18</f>
        <v>-23.164695174446415</v>
      </c>
      <c r="DE65" s="43">
        <f t="shared" ref="DE65" si="2225">IF(CI65="","",(CI65-CI$20)*1000)+DE$18</f>
        <v>-30.599263456176136</v>
      </c>
    </row>
    <row r="66" spans="1:109" ht="29.25" customHeight="1" x14ac:dyDescent="0.2">
      <c r="A66" s="37">
        <v>43970</v>
      </c>
      <c r="B66" s="29">
        <f t="shared" si="1849"/>
        <v>312</v>
      </c>
      <c r="C66" s="38">
        <v>222.9</v>
      </c>
      <c r="D66" s="38">
        <f t="shared" ref="D66" si="2226">C66-PM</f>
        <v>39</v>
      </c>
      <c r="E66" s="39">
        <v>823233.37719999999</v>
      </c>
      <c r="F66" s="39">
        <v>1091513.5623999999</v>
      </c>
      <c r="G66" s="39">
        <v>-124.5796</v>
      </c>
      <c r="H66" s="39">
        <v>823233.25049999997</v>
      </c>
      <c r="I66" s="39">
        <v>1091513.7648</v>
      </c>
      <c r="J66" s="39">
        <v>-123.4114</v>
      </c>
      <c r="K66" s="39">
        <v>823233.45600000001</v>
      </c>
      <c r="L66" s="39">
        <v>1091513.2893000001</v>
      </c>
      <c r="M66" s="39">
        <v>-121.9701</v>
      </c>
      <c r="N66" s="39">
        <v>823234.10679999995</v>
      </c>
      <c r="O66" s="39">
        <v>1091511.5555</v>
      </c>
      <c r="P66" s="39">
        <v>-121.06529999999999</v>
      </c>
      <c r="Q66" s="39">
        <v>823234.87600000005</v>
      </c>
      <c r="R66" s="39">
        <v>1091510.1499999999</v>
      </c>
      <c r="S66" s="39">
        <v>-121.37820000000001</v>
      </c>
      <c r="T66" s="39">
        <v>823235.48149999999</v>
      </c>
      <c r="U66" s="39">
        <v>1091508.9017</v>
      </c>
      <c r="V66" s="39">
        <v>-123.4487</v>
      </c>
      <c r="W66" s="39">
        <v>823235.40859999997</v>
      </c>
      <c r="X66" s="39">
        <v>1091509.0430000001</v>
      </c>
      <c r="Y66" s="39">
        <v>-124.6232</v>
      </c>
      <c r="Z66" s="39">
        <f t="shared" si="2174"/>
        <v>4.1122096565745707</v>
      </c>
      <c r="AA66" s="39">
        <f t="shared" si="2165"/>
        <v>3.3344326938656108</v>
      </c>
      <c r="AB66" s="39">
        <f t="shared" si="2166"/>
        <v>2.0611322422605132</v>
      </c>
      <c r="AC66" s="39">
        <f t="shared" si="2167"/>
        <v>1.6324843951653008</v>
      </c>
      <c r="AD66" s="39">
        <f t="shared" si="2168"/>
        <v>3.8227019357996874</v>
      </c>
      <c r="AE66" s="39">
        <f t="shared" si="2169"/>
        <v>4.5459863505961788</v>
      </c>
      <c r="AF66" s="39">
        <f t="shared" si="2170"/>
        <v>3.495990575086604</v>
      </c>
      <c r="AG66" s="39">
        <f t="shared" si="2171"/>
        <v>5.3505601482206178</v>
      </c>
      <c r="AH66" s="39">
        <f t="shared" si="2172"/>
        <v>4.9551451319582176</v>
      </c>
      <c r="AI66" s="43">
        <f t="shared" ref="AI66" si="2227">IF(Z66="","",(Z66-Z$20)*1000)+AI$18</f>
        <v>-68.135240653934829</v>
      </c>
      <c r="AJ66" s="43">
        <f t="shared" ref="AJ66" si="2228">IF(AA66="","",(AA66-AA$20)*1000)+AJ$18</f>
        <v>-57.109893852094196</v>
      </c>
      <c r="AK66" s="43">
        <f t="shared" ref="AK66" si="2229">IF(AB66="","",(AB66-AB$20)*1000)+AK$18</f>
        <v>-37.545398805370446</v>
      </c>
      <c r="AL66" s="43">
        <f t="shared" ref="AL66" si="2230">IF(AC66="","",(AC66-AC$20)*1000)+AL$18</f>
        <v>-17.912744026492565</v>
      </c>
      <c r="AM66" s="43">
        <f t="shared" ref="AM66" si="2231">IF(AD66="","",(AD66-AD$20)*1000)+AM$18</f>
        <v>-63.954484054574934</v>
      </c>
      <c r="AN66" s="43">
        <f t="shared" ref="AN66" si="2232">IF(AE66="","",(AE66-AE$20)*1000)+AN$18</f>
        <v>-45.094339297516051</v>
      </c>
      <c r="AO66" s="43">
        <f t="shared" ref="AO66" si="2233">IF(AF66="","",(AF66-AF$20)*1000)+AO$18</f>
        <v>-26.399387822957809</v>
      </c>
      <c r="AP66" s="43">
        <f t="shared" ref="AP66" si="2234">IF(AG66="","",(AG66-AG$20)*1000)+AP$18</f>
        <v>-25.972106845847165</v>
      </c>
      <c r="AQ66" s="43">
        <f t="shared" ref="AQ66" si="2235">IF(AH66="","",(AH66-AH$20)*1000)+AQ$18</f>
        <v>-22.726524337264742</v>
      </c>
      <c r="AR66" s="40"/>
      <c r="AS66" s="43">
        <f t="shared" ref="AS66" si="2236">IF(E66="","",(E66-E$20)*1000)+AS$18</f>
        <v>0.54999999701976776</v>
      </c>
      <c r="AT66" s="43">
        <f t="shared" ref="AT66" si="2237">IF(F66="","",(F66-F$20)*1000)+AT$18</f>
        <v>-0.45000016689300537</v>
      </c>
      <c r="AU66" s="43">
        <f t="shared" ref="AU66" si="2238">IF(G66="","",(G66-G$20)*1000)+AU$18</f>
        <v>3.6000000000058208</v>
      </c>
      <c r="AV66" s="43">
        <f t="shared" ref="AV66" si="2239">IF(H66="","",(H66-H$20)*1000)+AV$18</f>
        <v>0.80000003799796104</v>
      </c>
      <c r="AW66" s="43">
        <f t="shared" ref="AW66" si="2240">IF(I66="","",(I66-I$20)*1000)+AW$18</f>
        <v>-0.95000024884939194</v>
      </c>
      <c r="AX66" s="43">
        <f t="shared" ref="AX66" si="2241">IF(J66="","",(J66-J$20)*1000)+AX$18</f>
        <v>1.4500000000055024</v>
      </c>
      <c r="AY66" s="43">
        <f t="shared" ref="AY66" si="2242">IF(K66="","",(K66-K$20)*1000)+AY$18</f>
        <v>3.4500000765547156</v>
      </c>
      <c r="AZ66" s="43">
        <f t="shared" ref="AZ66" si="2243">IF(L66="","",(L66-L$20)*1000)+AZ$18</f>
        <v>-7.4000002350658178</v>
      </c>
      <c r="BA66" s="43">
        <f t="shared" ref="BA66" si="2244">IF(M66="","",(M66-M$20)*1000)+BA$18</f>
        <v>-9.9999999999909051</v>
      </c>
      <c r="BB66" s="43">
        <f t="shared" ref="BB66" si="2245">IF(N66="","",(N66-N$20)*1000)+BB$18</f>
        <v>-16.00000006146729</v>
      </c>
      <c r="BC66" s="43">
        <f t="shared" ref="BC66" si="2246">IF(O66="","",(O66-O$20)*1000)+BC$18</f>
        <v>-3.1999999191612005</v>
      </c>
      <c r="BD66" s="43">
        <f t="shared" ref="BD66" si="2247">IF(P66="","",(P66-P$20)*1000)+BD$18</f>
        <v>-74.749999999994543</v>
      </c>
      <c r="BE66" s="43">
        <f t="shared" ref="BE66" si="2248">IF(Q66="","",(Q66-Q$20)*1000)+BE$18</f>
        <v>2.5499999755993485</v>
      </c>
      <c r="BF66" s="43">
        <f t="shared" ref="BF66" si="2249">IF(R66="","",(R66-R$20)*1000)+BF$18</f>
        <v>17.200000118464231</v>
      </c>
      <c r="BG66" s="43">
        <f t="shared" ref="BG66" si="2250">IF(S66="","",(S66-S$20)*1000)+BG$18</f>
        <v>-35.05000000001246</v>
      </c>
      <c r="BH66" s="43">
        <f t="shared" ref="BH66" si="2251">IF(T66="","",(T66-T$20)*1000)+BH$18</f>
        <v>-9.1999998548999429</v>
      </c>
      <c r="BI66" s="43">
        <f t="shared" ref="BI66" si="2252">IF(U66="","",(U66-U$20)*1000)+BI$18</f>
        <v>23.050000192597508</v>
      </c>
      <c r="BJ66" s="43">
        <f t="shared" ref="BJ66" si="2253">IF(V66="","",(V66-V$20)*1000)+BJ$18</f>
        <v>0.30000000000995897</v>
      </c>
      <c r="BK66" s="43">
        <f t="shared" ref="BK66" si="2254">IF(W66="","",(W66-W$20)*1000)+BK$18</f>
        <v>2.8000000165775418</v>
      </c>
      <c r="BL66" s="43">
        <f t="shared" ref="BL66" si="2255">IF(X66="","",(X66-X$20)*1000)+BL$18</f>
        <v>25.750000029802322</v>
      </c>
      <c r="BM66" s="43">
        <f t="shared" ref="BM66" si="2256">IF(Y66="","",(Y66-Y$20)*1000)+BM$18</f>
        <v>-31.099999999995021</v>
      </c>
      <c r="BN66" s="40"/>
      <c r="BO66" s="39">
        <v>183.9708</v>
      </c>
      <c r="BP66" s="39">
        <v>-2.4338000000000002</v>
      </c>
      <c r="BQ66" s="39">
        <v>-0.87639999999999996</v>
      </c>
      <c r="BR66" s="39">
        <v>183.94159999999999</v>
      </c>
      <c r="BS66" s="39">
        <v>-2.6707999999999998</v>
      </c>
      <c r="BT66" s="39">
        <v>0.29210000000000003</v>
      </c>
      <c r="BU66" s="41">
        <v>183.92679999999999</v>
      </c>
      <c r="BV66" s="42">
        <v>-2.153</v>
      </c>
      <c r="BW66" s="42">
        <v>1.7335</v>
      </c>
      <c r="BX66" s="41">
        <v>183.78389999999999</v>
      </c>
      <c r="BY66" s="42">
        <v>-0.30659999999999998</v>
      </c>
      <c r="BZ66" s="42">
        <v>2.6396999999999999</v>
      </c>
      <c r="CA66" s="41">
        <v>183.8869</v>
      </c>
      <c r="CB66" s="42">
        <v>1.2923</v>
      </c>
      <c r="CC66" s="42">
        <v>2.3258000000000001</v>
      </c>
      <c r="CD66" s="41">
        <v>183.90809999999999</v>
      </c>
      <c r="CE66" s="42">
        <v>2.6795</v>
      </c>
      <c r="CF66" s="42">
        <v>0.25509999999999999</v>
      </c>
      <c r="CG66" s="41">
        <v>183.90170000000001</v>
      </c>
      <c r="CH66" s="42">
        <v>2.5206</v>
      </c>
      <c r="CI66" s="42">
        <v>-0.91930000000000001</v>
      </c>
      <c r="CJ66" s="40"/>
      <c r="CK66" s="43">
        <f t="shared" ref="CK66" si="2257">IF(BO66="","",(BO66-BO$20)*1000)+CK$18</f>
        <v>-4.7079643366032542E-2</v>
      </c>
      <c r="CL66" s="43">
        <f t="shared" ref="CL66" si="2258">IF(BP66="","",(BP66-BP$20)*1000)+CL$18</f>
        <v>1.0276339682073754</v>
      </c>
      <c r="CM66" s="43">
        <f t="shared" ref="CM66" si="2259">IF(BQ66="","",(BQ66-BQ$20)*1000)+CM$18</f>
        <v>3.6274707964460973</v>
      </c>
      <c r="CN66" s="43">
        <f t="shared" ref="CN66" si="2260">IF(BR66="","",(BR66-BR$20)*1000)+CN$18</f>
        <v>0.36244410233621238</v>
      </c>
      <c r="CO66" s="43">
        <f t="shared" ref="CO66" si="2261">IF(BS66="","",(BS66-BS$20)*1000)+CO$18</f>
        <v>1.1775136069007708</v>
      </c>
      <c r="CP66" s="43">
        <f t="shared" ref="CP66" si="2262">IF(BT66="","",(BT66-BT$20)*1000)+CP$18</f>
        <v>1.4833755589790942</v>
      </c>
      <c r="CQ66" s="43">
        <f t="shared" ref="CQ66" si="2263">IF(BU66="","",(BU66-BU$20)*1000)+CQ$18</f>
        <v>0.25511450851922746</v>
      </c>
      <c r="CR66" s="43">
        <f t="shared" ref="CR66" si="2264">IF(BV66="","",(BV66-BV$20)*1000)+CR$18</f>
        <v>7.5724709854405603</v>
      </c>
      <c r="CS66" s="43">
        <f t="shared" ref="CS66" si="2265">IF(BW66="","",(BW66-BW$20)*1000)+CS$18</f>
        <v>-9.9975511450718368</v>
      </c>
      <c r="CT66" s="43">
        <f t="shared" ref="CT66" si="2266">IF(BX66="","",(BX66-BX$20)*1000)+CT$18</f>
        <v>-15.681202444199016</v>
      </c>
      <c r="CU66" s="43">
        <f t="shared" ref="CU66" si="2267">IF(BY66="","",(BY66-BY$20)*1000)+CU$18</f>
        <v>-3.9811089710806433</v>
      </c>
      <c r="CV66" s="43">
        <f t="shared" ref="CV66" si="2268">IF(BZ66="","",(BZ66-BZ$20)*1000)+CV$18</f>
        <v>-74.625187975550844</v>
      </c>
      <c r="CW66" s="43">
        <f t="shared" ref="CW66" si="2269">IF(CA66="","",(CA66-CA$20)*1000)+CW$18</f>
        <v>9.1063478637636308</v>
      </c>
      <c r="CX66" s="43">
        <f t="shared" ref="CX66" si="2270">IF(CB66="","",(CB66-CB$20)*1000)+CX$18</f>
        <v>-13.729753847173898</v>
      </c>
      <c r="CY66" s="43">
        <f t="shared" ref="CY66" si="2271">IF(CC66="","",(CC66-CC$20)*1000)+CY$18</f>
        <v>-35.034063478635247</v>
      </c>
      <c r="CZ66" s="43">
        <f t="shared" ref="CZ66" si="2272">IF(CD66="","",(CD66-CD$20)*1000)+CZ$18</f>
        <v>1.4344668686590012</v>
      </c>
      <c r="DA66" s="43">
        <f t="shared" ref="DA66" si="2273">IF(CE66="","",(CE66-CE$20)*1000)+DA$18</f>
        <v>-24.824604093085512</v>
      </c>
      <c r="DB66" s="43">
        <f t="shared" ref="DB66" si="2274">IF(CF66="","",(CF66-CF$20)*1000)+DB$18</f>
        <v>0.33865533131033354</v>
      </c>
      <c r="DC66" s="43">
        <f t="shared" ref="DC66" si="2275">IF(CG66="","",(CG66-CG$20)*1000)+DC$18</f>
        <v>13.326345617684865</v>
      </c>
      <c r="DD66" s="43">
        <f t="shared" ref="DD66" si="2276">IF(CH66="","",(CH66-CH$20)*1000)+DD$18</f>
        <v>-22.064695174446314</v>
      </c>
      <c r="DE66" s="43">
        <f t="shared" ref="DE66" si="2277">IF(CI66="","",(CI66-CI$20)*1000)+DE$18</f>
        <v>-31.199263456176183</v>
      </c>
    </row>
    <row r="67" spans="1:109" ht="29.25" customHeight="1" x14ac:dyDescent="0.2">
      <c r="A67" s="37">
        <v>43977</v>
      </c>
      <c r="B67" s="29">
        <f t="shared" si="1849"/>
        <v>319</v>
      </c>
      <c r="C67" s="38">
        <v>222.9</v>
      </c>
      <c r="D67" s="38">
        <f t="shared" ref="D67" si="2278">C67-PM</f>
        <v>39</v>
      </c>
      <c r="E67" s="39">
        <v>823233.37710000004</v>
      </c>
      <c r="F67" s="39">
        <v>1091513.5612000001</v>
      </c>
      <c r="G67" s="39">
        <v>-124.57980000000001</v>
      </c>
      <c r="H67" s="39">
        <v>823233.25060000003</v>
      </c>
      <c r="I67" s="39">
        <v>1091513.7634999999</v>
      </c>
      <c r="J67" s="39">
        <v>-123.4118</v>
      </c>
      <c r="K67" s="39">
        <v>823233.45640000002</v>
      </c>
      <c r="L67" s="39">
        <v>1091513.2886000001</v>
      </c>
      <c r="M67" s="39">
        <v>-121.97029999999999</v>
      </c>
      <c r="N67" s="39">
        <v>823234.10560000001</v>
      </c>
      <c r="O67" s="39">
        <v>1091511.5541000001</v>
      </c>
      <c r="P67" s="39">
        <v>-121.0668</v>
      </c>
      <c r="Q67" s="39">
        <v>823234.87580000004</v>
      </c>
      <c r="R67" s="39">
        <v>1091510.1491</v>
      </c>
      <c r="S67" s="39">
        <v>-121.3788</v>
      </c>
      <c r="T67" s="39">
        <v>823235.48129999998</v>
      </c>
      <c r="U67" s="39">
        <v>1091508.9010000001</v>
      </c>
      <c r="V67" s="39">
        <v>-123.44889999999999</v>
      </c>
      <c r="W67" s="39">
        <v>823235.40830000001</v>
      </c>
      <c r="X67" s="39">
        <v>1091509.0425</v>
      </c>
      <c r="Y67" s="39">
        <v>-124.6233</v>
      </c>
      <c r="Z67" s="39">
        <f t="shared" si="2174"/>
        <v>4.1110012965382694</v>
      </c>
      <c r="AA67" s="39">
        <f t="shared" si="2165"/>
        <v>3.333391420035035</v>
      </c>
      <c r="AB67" s="39">
        <f t="shared" si="2166"/>
        <v>2.060646291834666</v>
      </c>
      <c r="AC67" s="39">
        <f t="shared" si="2167"/>
        <v>1.6323532216165206</v>
      </c>
      <c r="AD67" s="39">
        <f t="shared" si="2168"/>
        <v>3.8217653656274551</v>
      </c>
      <c r="AE67" s="39">
        <f t="shared" si="2169"/>
        <v>4.544651152776086</v>
      </c>
      <c r="AF67" s="39">
        <f t="shared" si="2170"/>
        <v>3.4958588158479955</v>
      </c>
      <c r="AG67" s="39">
        <f t="shared" si="2171"/>
        <v>5.3498883304228064</v>
      </c>
      <c r="AH67" s="39">
        <f t="shared" si="2172"/>
        <v>4.9544238192811649</v>
      </c>
      <c r="AI67" s="43">
        <f t="shared" ref="AI67" si="2279">IF(Z67="","",(Z67-Z$20)*1000)+AI$18</f>
        <v>-69.343600690236144</v>
      </c>
      <c r="AJ67" s="43">
        <f t="shared" ref="AJ67" si="2280">IF(AA67="","",(AA67-AA$20)*1000)+AJ$18</f>
        <v>-58.151167682670035</v>
      </c>
      <c r="AK67" s="43">
        <f t="shared" ref="AK67" si="2281">IF(AB67="","",(AB67-AB$20)*1000)+AK$18</f>
        <v>-38.031349231217646</v>
      </c>
      <c r="AL67" s="43">
        <f t="shared" ref="AL67" si="2282">IF(AC67="","",(AC67-AC$20)*1000)+AL$18</f>
        <v>-18.04391757527268</v>
      </c>
      <c r="AM67" s="43">
        <f t="shared" ref="AM67" si="2283">IF(AD67="","",(AD67-AD$20)*1000)+AM$18</f>
        <v>-64.891054226807299</v>
      </c>
      <c r="AN67" s="43">
        <f t="shared" ref="AN67" si="2284">IF(AE67="","",(AE67-AE$20)*1000)+AN$18</f>
        <v>-46.429537117608888</v>
      </c>
      <c r="AO67" s="43">
        <f t="shared" ref="AO67" si="2285">IF(AF67="","",(AF67-AF$20)*1000)+AO$18</f>
        <v>-26.53114706156634</v>
      </c>
      <c r="AP67" s="43">
        <f t="shared" ref="AP67" si="2286">IF(AG67="","",(AG67-AG$20)*1000)+AP$18</f>
        <v>-26.643924643658501</v>
      </c>
      <c r="AQ67" s="43">
        <f t="shared" ref="AQ67" si="2287">IF(AH67="","",(AH67-AH$20)*1000)+AQ$18</f>
        <v>-23.447837014317408</v>
      </c>
      <c r="AR67" s="40"/>
      <c r="AS67" s="43">
        <f t="shared" ref="AS67" si="2288">IF(E67="","",(E67-E$20)*1000)+AS$18</f>
        <v>0.45000005047768354</v>
      </c>
      <c r="AT67" s="43">
        <f t="shared" ref="AT67" si="2289">IF(F67="","",(F67-F$20)*1000)+AT$18</f>
        <v>-1.6499999910593033</v>
      </c>
      <c r="AU67" s="43">
        <f t="shared" ref="AU67" si="2290">IF(G67="","",(G67-G$20)*1000)+AU$18</f>
        <v>3.3999999999991815</v>
      </c>
      <c r="AV67" s="43">
        <f t="shared" ref="AV67" si="2291">IF(H67="","",(H67-H$20)*1000)+AV$18</f>
        <v>0.90000010095536709</v>
      </c>
      <c r="AW67" s="43">
        <f t="shared" ref="AW67" si="2292">IF(I67="","",(I67-I$20)*1000)+AW$18</f>
        <v>-2.2500003688037395</v>
      </c>
      <c r="AX67" s="43">
        <f t="shared" ref="AX67" si="2293">IF(J67="","",(J67-J$20)*1000)+AX$18</f>
        <v>1.0500000000064347</v>
      </c>
      <c r="AY67" s="43">
        <f t="shared" ref="AY67" si="2294">IF(K67="","",(K67-K$20)*1000)+AY$18</f>
        <v>3.8500000955536962</v>
      </c>
      <c r="AZ67" s="43">
        <f t="shared" ref="AZ67" si="2295">IF(L67="","",(L67-L$20)*1000)+AZ$18</f>
        <v>-8.1000002101063728</v>
      </c>
      <c r="BA67" s="43">
        <f t="shared" ref="BA67" si="2296">IF(M67="","",(M67-M$20)*1000)+BA$18</f>
        <v>-10.199999999983334</v>
      </c>
      <c r="BB67" s="43">
        <f t="shared" ref="BB67" si="2297">IF(N67="","",(N67-N$20)*1000)+BB$18</f>
        <v>-17.20000000204891</v>
      </c>
      <c r="BC67" s="43">
        <f t="shared" ref="BC67" si="2298">IF(O67="","",(O67-O$20)*1000)+BC$18</f>
        <v>-4.5999998692423105</v>
      </c>
      <c r="BD67" s="43">
        <f t="shared" ref="BD67" si="2299">IF(P67="","",(P67-P$20)*1000)+BD$18</f>
        <v>-76.250000000001705</v>
      </c>
      <c r="BE67" s="43">
        <f t="shared" ref="BE67" si="2300">IF(Q67="","",(Q67-Q$20)*1000)+BE$18</f>
        <v>2.3499999660998583</v>
      </c>
      <c r="BF67" s="43">
        <f t="shared" ref="BF67" si="2301">IF(R67="","",(R67-R$20)*1000)+BF$18</f>
        <v>16.300000250339508</v>
      </c>
      <c r="BG67" s="43">
        <f t="shared" ref="BG67" si="2302">IF(S67="","",(S67-S$20)*1000)+BG$18</f>
        <v>-35.650000000003956</v>
      </c>
      <c r="BH67" s="43">
        <f t="shared" ref="BH67" si="2303">IF(T67="","",(T67-T$20)*1000)+BH$18</f>
        <v>-9.3999998643994331</v>
      </c>
      <c r="BI67" s="43">
        <f t="shared" ref="BI67" si="2304">IF(U67="","",(U67-U$20)*1000)+BI$18</f>
        <v>22.350000217556953</v>
      </c>
      <c r="BJ67" s="43">
        <f t="shared" ref="BJ67" si="2305">IF(V67="","",(V67-V$20)*1000)+BJ$18</f>
        <v>0.10000000001753051</v>
      </c>
      <c r="BK67" s="43">
        <f t="shared" ref="BK67" si="2306">IF(W67="","",(W67-W$20)*1000)+BK$18</f>
        <v>2.5000000605359674</v>
      </c>
      <c r="BL67" s="43">
        <f t="shared" ref="BL67" si="2307">IF(X67="","",(X67-X$20)*1000)+BL$18</f>
        <v>25.249999947845936</v>
      </c>
      <c r="BM67" s="43">
        <f t="shared" ref="BM67" si="2308">IF(Y67="","",(Y67-Y$20)*1000)+BM$18</f>
        <v>-31.19999999999834</v>
      </c>
      <c r="BN67" s="40"/>
      <c r="BO67" s="39">
        <v>183.97020000000001</v>
      </c>
      <c r="BP67" s="39">
        <v>-2.4327999999999999</v>
      </c>
      <c r="BQ67" s="39">
        <v>-0.87660000000000005</v>
      </c>
      <c r="BR67" s="39">
        <v>183.94110000000001</v>
      </c>
      <c r="BS67" s="39">
        <v>-2.6696</v>
      </c>
      <c r="BT67" s="39">
        <v>0.29170000000000001</v>
      </c>
      <c r="BU67" s="41">
        <v>183.92689999999999</v>
      </c>
      <c r="BV67" s="42">
        <v>-2.1522000000000001</v>
      </c>
      <c r="BW67" s="42">
        <v>1.7333000000000001</v>
      </c>
      <c r="BX67" s="41">
        <v>183.78219999999999</v>
      </c>
      <c r="BY67" s="42">
        <v>-0.30590000000000001</v>
      </c>
      <c r="BZ67" s="42">
        <v>2.6383000000000001</v>
      </c>
      <c r="CA67" s="41">
        <v>183.88640000000001</v>
      </c>
      <c r="CB67" s="42">
        <v>1.2929999999999999</v>
      </c>
      <c r="CC67" s="42">
        <v>2.3252000000000002</v>
      </c>
      <c r="CD67" s="41">
        <v>183.9076</v>
      </c>
      <c r="CE67" s="42">
        <v>2.68</v>
      </c>
      <c r="CF67" s="42">
        <v>0.25490000000000002</v>
      </c>
      <c r="CG67" s="41">
        <v>183.90129999999999</v>
      </c>
      <c r="CH67" s="42">
        <v>2.5209999999999999</v>
      </c>
      <c r="CI67" s="42">
        <v>-0.9194</v>
      </c>
      <c r="CJ67" s="40"/>
      <c r="CK67" s="43">
        <f t="shared" ref="CK67" si="2309">IF(BO67="","",(BO67-BO$20)*1000)+CK$18</f>
        <v>-0.64707964335752877</v>
      </c>
      <c r="CL67" s="43">
        <f t="shared" ref="CL67" si="2310">IF(BP67="","",(BP67-BP$20)*1000)+CL$18</f>
        <v>2.0276339682077094</v>
      </c>
      <c r="CM67" s="43">
        <f t="shared" ref="CM67" si="2311">IF(BQ67="","",(BQ67-BQ$20)*1000)+CM$18</f>
        <v>3.4274707964460083</v>
      </c>
      <c r="CN67" s="43">
        <f t="shared" ref="CN67" si="2312">IF(BR67="","",(BR67-BR$20)*1000)+CN$18</f>
        <v>-0.13755589765196419</v>
      </c>
      <c r="CO67" s="43">
        <f t="shared" ref="CO67" si="2313">IF(BS67="","",(BS67-BS$20)*1000)+CO$18</f>
        <v>2.3775136069006386</v>
      </c>
      <c r="CP67" s="43">
        <f t="shared" ref="CP67" si="2314">IF(BT67="","",(BT67-BT$20)*1000)+CP$18</f>
        <v>1.0833755589790828</v>
      </c>
      <c r="CQ67" s="43">
        <f t="shared" ref="CQ67" si="2315">IF(BU67="","",(BU67-BU$20)*1000)+CQ$18</f>
        <v>0.35511450852254711</v>
      </c>
      <c r="CR67" s="43">
        <f t="shared" ref="CR67" si="2316">IF(BV67="","",(BV67-BV$20)*1000)+CR$18</f>
        <v>8.3724709854404722</v>
      </c>
      <c r="CS67" s="43">
        <f t="shared" ref="CS67" si="2317">IF(BW67="","",(BW67-BW$20)*1000)+CS$18</f>
        <v>-10.197551145071815</v>
      </c>
      <c r="CT67" s="43">
        <f t="shared" ref="CT67" si="2318">IF(BX67="","",(BX67-BX$20)*1000)+CT$18</f>
        <v>-17.381202444198607</v>
      </c>
      <c r="CU67" s="43">
        <f t="shared" ref="CU67" si="2319">IF(BY67="","",(BY67-BY$20)*1000)+CU$18</f>
        <v>-3.2811089710806653</v>
      </c>
      <c r="CV67" s="43">
        <f t="shared" ref="CV67" si="2320">IF(BZ67="","",(BZ67-BZ$20)*1000)+CV$18</f>
        <v>-76.025187975550693</v>
      </c>
      <c r="CW67" s="43">
        <f t="shared" ref="CW67" si="2321">IF(CA67="","",(CA67-CA$20)*1000)+CW$18</f>
        <v>8.6063478637754542</v>
      </c>
      <c r="CX67" s="43">
        <f t="shared" ref="CX67" si="2322">IF(CB67="","",(CB67-CB$20)*1000)+CX$18</f>
        <v>-13.029753847173975</v>
      </c>
      <c r="CY67" s="43">
        <f t="shared" ref="CY67" si="2323">IF(CC67="","",(CC67-CC$20)*1000)+CY$18</f>
        <v>-35.634063478635184</v>
      </c>
      <c r="CZ67" s="43">
        <f t="shared" ref="CZ67" si="2324">IF(CD67="","",(CD67-CD$20)*1000)+CZ$18</f>
        <v>0.93446686867082462</v>
      </c>
      <c r="DA67" s="43">
        <f t="shared" ref="DA67" si="2325">IF(CE67="","",(CE67-CE$20)*1000)+DA$18</f>
        <v>-24.324604093085345</v>
      </c>
      <c r="DB67" s="43">
        <f t="shared" ref="DB67" si="2326">IF(CF67="","",(CF67-CF$20)*1000)+DB$18</f>
        <v>0.13865533131035557</v>
      </c>
      <c r="DC67" s="43">
        <f t="shared" ref="DC67" si="2327">IF(CG67="","",(CG67-CG$20)*1000)+DC$18</f>
        <v>12.926345617671586</v>
      </c>
      <c r="DD67" s="43">
        <f t="shared" ref="DD67" si="2328">IF(CH67="","",(CH67-CH$20)*1000)+DD$18</f>
        <v>-21.664695174446358</v>
      </c>
      <c r="DE67" s="43">
        <f t="shared" ref="DE67" si="2329">IF(CI67="","",(CI67-CI$20)*1000)+DE$18</f>
        <v>-31.29926345617617</v>
      </c>
    </row>
    <row r="68" spans="1:109" ht="29.25" customHeight="1" x14ac:dyDescent="0.2">
      <c r="A68" s="37">
        <v>43999</v>
      </c>
      <c r="B68" s="29">
        <f t="shared" si="1849"/>
        <v>341</v>
      </c>
      <c r="C68" s="38">
        <v>222.9</v>
      </c>
      <c r="D68" s="38">
        <f t="shared" ref="D68" si="2330">C68-PM</f>
        <v>39</v>
      </c>
      <c r="E68" s="39">
        <v>823233.37769999995</v>
      </c>
      <c r="F68" s="39">
        <v>1091513.5606</v>
      </c>
      <c r="G68" s="39">
        <v>-124.5793</v>
      </c>
      <c r="H68" s="39">
        <v>823233.25150000001</v>
      </c>
      <c r="I68" s="39">
        <v>1091513.7634000001</v>
      </c>
      <c r="J68" s="39">
        <v>-123.4113</v>
      </c>
      <c r="K68" s="39">
        <v>823233.45700000005</v>
      </c>
      <c r="L68" s="39">
        <v>1091513.2881</v>
      </c>
      <c r="M68" s="39">
        <v>-121.9701</v>
      </c>
      <c r="N68" s="39">
        <v>823234.10679999995</v>
      </c>
      <c r="O68" s="39">
        <v>1091511.5543</v>
      </c>
      <c r="P68" s="39">
        <v>-121.06619999999999</v>
      </c>
      <c r="Q68" s="39">
        <v>823234.87620000006</v>
      </c>
      <c r="R68" s="39">
        <v>1091510.1494</v>
      </c>
      <c r="S68" s="39">
        <v>-121.37860000000001</v>
      </c>
      <c r="T68" s="39">
        <v>823235.48190000001</v>
      </c>
      <c r="U68" s="39">
        <v>1091508.9007999999</v>
      </c>
      <c r="V68" s="39">
        <v>-123.4486</v>
      </c>
      <c r="W68" s="39">
        <v>823235.40859999997</v>
      </c>
      <c r="X68" s="39">
        <v>1091509.0423000001</v>
      </c>
      <c r="Y68" s="39">
        <v>-124.6229</v>
      </c>
      <c r="Z68" s="39">
        <f t="shared" si="2174"/>
        <v>4.1108026114164531</v>
      </c>
      <c r="AA68" s="39">
        <f t="shared" si="2165"/>
        <v>3.333339903206844</v>
      </c>
      <c r="AB68" s="39">
        <f t="shared" si="2166"/>
        <v>2.0604217262551447</v>
      </c>
      <c r="AC68" s="39">
        <f t="shared" si="2167"/>
        <v>1.6319663385209766</v>
      </c>
      <c r="AD68" s="39">
        <f t="shared" si="2168"/>
        <v>3.82201413135172</v>
      </c>
      <c r="AE68" s="39">
        <f t="shared" si="2169"/>
        <v>4.5447708555432236</v>
      </c>
      <c r="AF68" s="39">
        <f t="shared" si="2170"/>
        <v>3.4950591668921112</v>
      </c>
      <c r="AG68" s="39">
        <f t="shared" si="2171"/>
        <v>5.3498555317939944</v>
      </c>
      <c r="AH68" s="39">
        <f t="shared" si="2172"/>
        <v>4.9539368848384964</v>
      </c>
      <c r="AI68" s="43">
        <f t="shared" ref="AI68" si="2331">IF(Z68="","",(Z68-Z$20)*1000)+AI$18</f>
        <v>-69.542285812052455</v>
      </c>
      <c r="AJ68" s="43">
        <f t="shared" ref="AJ68" si="2332">IF(AA68="","",(AA68-AA$20)*1000)+AJ$18</f>
        <v>-58.202684510860969</v>
      </c>
      <c r="AK68" s="43">
        <f t="shared" ref="AK68" si="2333">IF(AB68="","",(AB68-AB$20)*1000)+AK$18</f>
        <v>-38.255914810738872</v>
      </c>
      <c r="AL68" s="43">
        <f t="shared" ref="AL68" si="2334">IF(AC68="","",(AC68-AC$20)*1000)+AL$18</f>
        <v>-18.430800670816701</v>
      </c>
      <c r="AM68" s="43">
        <f t="shared" ref="AM68" si="2335">IF(AD68="","",(AD68-AD$20)*1000)+AM$18</f>
        <v>-64.642288502542385</v>
      </c>
      <c r="AN68" s="43">
        <f t="shared" ref="AN68" si="2336">IF(AE68="","",(AE68-AE$20)*1000)+AN$18</f>
        <v>-46.309834350471313</v>
      </c>
      <c r="AO68" s="43">
        <f t="shared" ref="AO68" si="2337">IF(AF68="","",(AF68-AF$20)*1000)+AO$18</f>
        <v>-27.330796017450698</v>
      </c>
      <c r="AP68" s="43">
        <f t="shared" ref="AP68" si="2338">IF(AG68="","",(AG68-AG$20)*1000)+AP$18</f>
        <v>-26.676723272470504</v>
      </c>
      <c r="AQ68" s="43">
        <f t="shared" ref="AQ68" si="2339">IF(AH68="","",(AH68-AH$20)*1000)+AQ$18</f>
        <v>-23.93477145698597</v>
      </c>
      <c r="AR68" s="40"/>
      <c r="AS68" s="43">
        <f t="shared" ref="AS68" si="2340">IF(E68="","",(E68-E$20)*1000)+AS$18</f>
        <v>1.0499999625608325</v>
      </c>
      <c r="AT68" s="43">
        <f t="shared" ref="AT68" si="2341">IF(F68="","",(F68-F$20)*1000)+AT$18</f>
        <v>-2.2500001359730959</v>
      </c>
      <c r="AU68" s="43">
        <f t="shared" ref="AU68" si="2342">IF(G68="","",(G68-G$20)*1000)+AU$18</f>
        <v>3.9000000000015689</v>
      </c>
      <c r="AV68" s="43">
        <f t="shared" ref="AV68" si="2343">IF(H68="","",(H68-H$20)*1000)+AV$18</f>
        <v>1.8000000854954123</v>
      </c>
      <c r="AW68" s="43">
        <f t="shared" ref="AW68" si="2344">IF(I68="","",(I68-I$20)*1000)+AW$18</f>
        <v>-2.3500001989305019</v>
      </c>
      <c r="AX68" s="43">
        <f t="shared" ref="AX68" si="2345">IF(J68="","",(J68-J$20)*1000)+AX$18</f>
        <v>1.5500000000088221</v>
      </c>
      <c r="AY68" s="43">
        <f t="shared" ref="AY68" si="2346">IF(K68="","",(K68-K$20)*1000)+AY$18</f>
        <v>4.4500001240521669</v>
      </c>
      <c r="AZ68" s="43">
        <f t="shared" ref="AZ68" si="2347">IF(L68="","",(L68-L$20)*1000)+AZ$18</f>
        <v>-8.6000002920627594</v>
      </c>
      <c r="BA68" s="43">
        <f t="shared" ref="BA68" si="2348">IF(M68="","",(M68-M$20)*1000)+BA$18</f>
        <v>-9.9999999999909051</v>
      </c>
      <c r="BB68" s="43">
        <f t="shared" ref="BB68" si="2349">IF(N68="","",(N68-N$20)*1000)+BB$18</f>
        <v>-16.00000006146729</v>
      </c>
      <c r="BC68" s="43">
        <f t="shared" ref="BC68" si="2350">IF(O68="","",(O68-O$20)*1000)+BC$18</f>
        <v>-4.3999999761581421</v>
      </c>
      <c r="BD68" s="43">
        <f t="shared" ref="BD68" si="2351">IF(P68="","",(P68-P$20)*1000)+BD$18</f>
        <v>-75.649999999995998</v>
      </c>
      <c r="BE68" s="43">
        <f t="shared" ref="BE68" si="2352">IF(Q68="","",(Q68-Q$20)*1000)+BE$18</f>
        <v>2.7499999850988388</v>
      </c>
      <c r="BF68" s="43">
        <f t="shared" ref="BF68" si="2353">IF(R68="","",(R68-R$20)*1000)+BF$18</f>
        <v>16.600000206381083</v>
      </c>
      <c r="BG68" s="43">
        <f t="shared" ref="BG68" si="2354">IF(S68="","",(S68-S$20)*1000)+BG$18</f>
        <v>-35.450000000011528</v>
      </c>
      <c r="BH68" s="43">
        <f t="shared" ref="BH68" si="2355">IF(T68="","",(T68-T$20)*1000)+BH$18</f>
        <v>-8.7999998359009624</v>
      </c>
      <c r="BI68" s="43">
        <f t="shared" ref="BI68" si="2356">IF(U68="","",(U68-U$20)*1000)+BI$18</f>
        <v>22.150000091642141</v>
      </c>
      <c r="BJ68" s="43">
        <f t="shared" ref="BJ68" si="2357">IF(V68="","",(V68-V$20)*1000)+BJ$18</f>
        <v>0.40000000001327862</v>
      </c>
      <c r="BK68" s="43">
        <f t="shared" ref="BK68" si="2358">IF(W68="","",(W68-W$20)*1000)+BK$18</f>
        <v>2.8000000165775418</v>
      </c>
      <c r="BL68" s="43">
        <f t="shared" ref="BL68" si="2359">IF(X68="","",(X68-X$20)*1000)+BL$18</f>
        <v>25.050000054761767</v>
      </c>
      <c r="BM68" s="43">
        <f t="shared" ref="BM68" si="2360">IF(Y68="","",(Y68-Y$20)*1000)+BM$18</f>
        <v>-30.799999999999272</v>
      </c>
      <c r="BN68" s="40"/>
      <c r="BO68" s="39">
        <v>183.97053242148084</v>
      </c>
      <c r="BP68" s="39">
        <v>-2.4320026600044415</v>
      </c>
      <c r="BQ68" s="39">
        <v>-0.87612532421481149</v>
      </c>
      <c r="BR68" s="39">
        <v>183.94187219261414</v>
      </c>
      <c r="BS68" s="39">
        <v>-2.6691373713002662</v>
      </c>
      <c r="BT68" s="39">
        <v>0.29216127807386272</v>
      </c>
      <c r="BU68" s="41">
        <v>183.92722870833492</v>
      </c>
      <c r="BV68" s="42">
        <v>-2.1515217722005255</v>
      </c>
      <c r="BW68" s="42">
        <v>1.7335077129166478</v>
      </c>
      <c r="BX68" s="41">
        <v>183.78334322666808</v>
      </c>
      <c r="BY68" s="42">
        <v>-0.3055533412164772</v>
      </c>
      <c r="BZ68" s="42">
        <v>2.6388465677333244</v>
      </c>
      <c r="CA68" s="41">
        <v>183.88686052042317</v>
      </c>
      <c r="CB68" s="42">
        <v>1.2928848152222117</v>
      </c>
      <c r="CC68" s="42">
        <v>2.3254113947957649</v>
      </c>
      <c r="CD68" s="41">
        <v>183.9080783147366</v>
      </c>
      <c r="CE68" s="42">
        <v>2.6804813903391627</v>
      </c>
      <c r="CF68" s="42">
        <v>0.25519921685263114</v>
      </c>
      <c r="CG68" s="41">
        <v>183.9014523669791</v>
      </c>
      <c r="CH68" s="42">
        <v>2.5212606728937255</v>
      </c>
      <c r="CI68" s="42">
        <v>-0.91903452366979366</v>
      </c>
      <c r="CJ68" s="40"/>
      <c r="CK68" s="43">
        <f t="shared" ref="CK68" si="2361">IF(BO68="","",(BO68-BO$20)*1000)+CK$18</f>
        <v>-0.31465816252307377</v>
      </c>
      <c r="CL68" s="43">
        <f t="shared" ref="CL68" si="2362">IF(BP68="","",(BP68-BP$20)*1000)+CL$18</f>
        <v>2.8249739637660198</v>
      </c>
      <c r="CM68" s="43">
        <f t="shared" ref="CM68" si="2363">IF(BQ68="","",(BQ68-BQ$20)*1000)+CM$18</f>
        <v>3.9021465816345691</v>
      </c>
      <c r="CN68" s="43">
        <f t="shared" ref="CN68" si="2364">IF(BR68="","",(BR68-BR$20)*1000)+CN$18</f>
        <v>0.63463671648378295</v>
      </c>
      <c r="CO68" s="43">
        <f t="shared" ref="CO68" si="2365">IF(BS68="","",(BS68-BS$20)*1000)+CO$18</f>
        <v>2.84014230663443</v>
      </c>
      <c r="CP68" s="43">
        <f t="shared" ref="CP68" si="2366">IF(BT68="","",(BT68-BT$20)*1000)+CP$18</f>
        <v>1.5446536328417859</v>
      </c>
      <c r="CQ68" s="43">
        <f t="shared" ref="CQ68" si="2367">IF(BU68="","",(BU68-BU$20)*1000)+CQ$18</f>
        <v>0.68382284345602784</v>
      </c>
      <c r="CR68" s="43">
        <f t="shared" ref="CR68" si="2368">IF(BV68="","",(BV68-BV$20)*1000)+CR$18</f>
        <v>9.0506987849150455</v>
      </c>
      <c r="CS68" s="43">
        <f t="shared" ref="CS68" si="2369">IF(BW68="","",(BW68-BW$20)*1000)+CS$18</f>
        <v>-9.9898382284240306</v>
      </c>
      <c r="CT68" s="43">
        <f t="shared" ref="CT68" si="2370">IF(BX68="","",(BX68-BX$20)*1000)+CT$18</f>
        <v>-16.237975776107305</v>
      </c>
      <c r="CU68" s="43">
        <f t="shared" ref="CU68" si="2371">IF(BY68="","",(BY68-BY$20)*1000)+CU$18</f>
        <v>-2.9344501875578635</v>
      </c>
      <c r="CV68" s="43">
        <f t="shared" ref="CV68" si="2372">IF(BZ68="","",(BZ68-BZ$20)*1000)+CV$18</f>
        <v>-75.478620242226398</v>
      </c>
      <c r="CW68" s="43">
        <f t="shared" ref="CW68" si="2373">IF(CA68="","",(CA68-CA$20)*1000)+CW$18</f>
        <v>9.0668682869363693</v>
      </c>
      <c r="CX68" s="43">
        <f t="shared" ref="CX68" si="2374">IF(CB68="","",(CB68-CB$20)*1000)+CX$18</f>
        <v>-13.144938624962244</v>
      </c>
      <c r="CY68" s="43">
        <f t="shared" ref="CY68" si="2375">IF(CC68="","",(CC68-CC$20)*1000)+CY$18</f>
        <v>-35.422668682870473</v>
      </c>
      <c r="CZ68" s="43">
        <f t="shared" ref="CZ68" si="2376">IF(CD68="","",(CD68-CD$20)*1000)+CZ$18</f>
        <v>1.4127816052678099</v>
      </c>
      <c r="DA68" s="43">
        <f t="shared" ref="DA68" si="2377">IF(CE68="","",(CE68-CE$20)*1000)+DA$18</f>
        <v>-23.843213753922843</v>
      </c>
      <c r="DB68" s="43">
        <f t="shared" ref="DB68" si="2378">IF(CF68="","",(CF68-CF$20)*1000)+DB$18</f>
        <v>0.43787218394147898</v>
      </c>
      <c r="DC68" s="43">
        <f t="shared" ref="DC68" si="2379">IF(CG68="","",(CG68-CG$20)*1000)+DC$18</f>
        <v>13.078712596779951</v>
      </c>
      <c r="DD68" s="43">
        <f t="shared" ref="DD68" si="2380">IF(CH68="","",(CH68-CH$20)*1000)+DD$18</f>
        <v>-21.404022280720802</v>
      </c>
      <c r="DE68" s="43">
        <f t="shared" ref="DE68" si="2381">IF(CI68="","",(CI68-CI$20)*1000)+DE$18</f>
        <v>-30.933787125969832</v>
      </c>
    </row>
    <row r="69" spans="1:109" ht="29.25" customHeight="1" x14ac:dyDescent="0.2">
      <c r="A69" s="37">
        <v>44029</v>
      </c>
      <c r="B69" s="29">
        <f t="shared" si="1849"/>
        <v>371</v>
      </c>
      <c r="C69" s="38">
        <v>222.9</v>
      </c>
      <c r="D69" s="38">
        <f t="shared" ref="D69" si="2382">C69-PM</f>
        <v>39</v>
      </c>
      <c r="E69" s="39">
        <v>823233.37840000005</v>
      </c>
      <c r="F69" s="39">
        <v>1091513.5611</v>
      </c>
      <c r="G69" s="39">
        <v>-124.5792</v>
      </c>
      <c r="H69" s="39">
        <v>823233.25179999997</v>
      </c>
      <c r="I69" s="39">
        <v>1091513.7634999999</v>
      </c>
      <c r="J69" s="39">
        <v>-123.4113</v>
      </c>
      <c r="K69" s="39">
        <v>823233.45739999996</v>
      </c>
      <c r="L69" s="39">
        <v>1091513.2882000001</v>
      </c>
      <c r="M69" s="39">
        <v>-121.97</v>
      </c>
      <c r="N69" s="39">
        <v>823234.10750000004</v>
      </c>
      <c r="O69" s="39">
        <v>1091511.5541999999</v>
      </c>
      <c r="P69" s="39">
        <v>-121.06610000000001</v>
      </c>
      <c r="Q69" s="39">
        <v>823234.87690000003</v>
      </c>
      <c r="R69" s="39">
        <v>1091510.1491</v>
      </c>
      <c r="S69" s="39">
        <v>-121.3783</v>
      </c>
      <c r="T69" s="39">
        <v>823235.48230000003</v>
      </c>
      <c r="U69" s="39">
        <v>1091508.9006000001</v>
      </c>
      <c r="V69" s="39">
        <v>-123.4483</v>
      </c>
      <c r="W69" s="39">
        <v>823235.40910000005</v>
      </c>
      <c r="X69" s="39">
        <v>1091509.0419999999</v>
      </c>
      <c r="Y69" s="39">
        <v>-124.6229</v>
      </c>
      <c r="Z69" s="39">
        <f t="shared" si="2174"/>
        <v>4.1110954781675764</v>
      </c>
      <c r="AA69" s="39">
        <f t="shared" si="2165"/>
        <v>3.3336454550642123</v>
      </c>
      <c r="AB69" s="39">
        <f t="shared" si="2166"/>
        <v>2.0606846485346577</v>
      </c>
      <c r="AC69" s="39">
        <f t="shared" si="2167"/>
        <v>1.6321002449561548</v>
      </c>
      <c r="AD69" s="39">
        <f t="shared" si="2168"/>
        <v>3.8218509702958592</v>
      </c>
      <c r="AE69" s="39">
        <f t="shared" si="2169"/>
        <v>4.5449023795900025</v>
      </c>
      <c r="AF69" s="39">
        <f t="shared" si="2170"/>
        <v>3.4955740516260816</v>
      </c>
      <c r="AG69" s="39">
        <f t="shared" si="2171"/>
        <v>5.3501678159339754</v>
      </c>
      <c r="AH69" s="39">
        <f t="shared" si="2172"/>
        <v>4.9545854510112521</v>
      </c>
      <c r="AI69" s="43">
        <f t="shared" ref="AI69" si="2383">IF(Z69="","",(Z69-Z$20)*1000)+AI$18</f>
        <v>-69.249419060929185</v>
      </c>
      <c r="AJ69" s="43">
        <f t="shared" ref="AJ69" si="2384">IF(AA69="","",(AA69-AA$20)*1000)+AJ$18</f>
        <v>-57.897132653492719</v>
      </c>
      <c r="AK69" s="43">
        <f t="shared" ref="AK69" si="2385">IF(AB69="","",(AB69-AB$20)*1000)+AK$18</f>
        <v>-37.992992531225902</v>
      </c>
      <c r="AL69" s="43">
        <f t="shared" ref="AL69" si="2386">IF(AC69="","",(AC69-AC$20)*1000)+AL$18</f>
        <v>-18.296894235638515</v>
      </c>
      <c r="AM69" s="43">
        <f t="shared" ref="AM69" si="2387">IF(AD69="","",(AD69-AD$20)*1000)+AM$18</f>
        <v>-64.805449558403168</v>
      </c>
      <c r="AN69" s="43">
        <f t="shared" ref="AN69" si="2388">IF(AE69="","",(AE69-AE$20)*1000)+AN$18</f>
        <v>-46.178310303692349</v>
      </c>
      <c r="AO69" s="43">
        <f t="shared" ref="AO69" si="2389">IF(AF69="","",(AF69-AF$20)*1000)+AO$18</f>
        <v>-26.815911283480265</v>
      </c>
      <c r="AP69" s="43">
        <f t="shared" ref="AP69" si="2390">IF(AG69="","",(AG69-AG$20)*1000)+AP$18</f>
        <v>-26.364439132489537</v>
      </c>
      <c r="AQ69" s="43">
        <f t="shared" ref="AQ69" si="2391">IF(AH69="","",(AH69-AH$20)*1000)+AQ$18</f>
        <v>-23.286205284230199</v>
      </c>
      <c r="AR69" s="40"/>
      <c r="AS69" s="43">
        <f t="shared" ref="AS69" si="2392">IF(E69="","",(E69-E$20)*1000)+AS$18</f>
        <v>1.7500000540167093</v>
      </c>
      <c r="AT69" s="43">
        <f t="shared" ref="AT69" si="2393">IF(F69="","",(F69-F$20)*1000)+AT$18</f>
        <v>-1.7500000540167093</v>
      </c>
      <c r="AU69" s="43">
        <f t="shared" ref="AU69" si="2394">IF(G69="","",(G69-G$20)*1000)+AU$18</f>
        <v>4.0000000000048885</v>
      </c>
      <c r="AV69" s="43">
        <f t="shared" ref="AV69" si="2395">IF(H69="","",(H69-H$20)*1000)+AV$18</f>
        <v>2.1000000415369868</v>
      </c>
      <c r="AW69" s="43">
        <f t="shared" ref="AW69" si="2396">IF(I69="","",(I69-I$20)*1000)+AW$18</f>
        <v>-2.2500003688037395</v>
      </c>
      <c r="AX69" s="43">
        <f t="shared" ref="AX69" si="2397">IF(J69="","",(J69-J$20)*1000)+AX$18</f>
        <v>1.5500000000088221</v>
      </c>
      <c r="AY69" s="43">
        <f t="shared" ref="AY69" si="2398">IF(K69="","",(K69-K$20)*1000)+AY$18</f>
        <v>4.8500000266358256</v>
      </c>
      <c r="AZ69" s="43">
        <f t="shared" ref="AZ69" si="2399">IF(L69="","",(L69-L$20)*1000)+AZ$18</f>
        <v>-8.5000002291053534</v>
      </c>
      <c r="BA69" s="43">
        <f t="shared" ref="BA69" si="2400">IF(M69="","",(M69-M$20)*1000)+BA$18</f>
        <v>-9.8999999999875854</v>
      </c>
      <c r="BB69" s="43">
        <f t="shared" ref="BB69" si="2401">IF(N69="","",(N69-N$20)*1000)+BB$18</f>
        <v>-15.299999970011413</v>
      </c>
      <c r="BC69" s="43">
        <f t="shared" ref="BC69" si="2402">IF(O69="","",(O69-O$20)*1000)+BC$18</f>
        <v>-4.5000000391155481</v>
      </c>
      <c r="BD69" s="43">
        <f t="shared" ref="BD69" si="2403">IF(P69="","",(P69-P$20)*1000)+BD$18</f>
        <v>-75.550000000006889</v>
      </c>
      <c r="BE69" s="43">
        <f t="shared" ref="BE69" si="2404">IF(Q69="","",(Q69-Q$20)*1000)+BE$18</f>
        <v>3.4499999601393938</v>
      </c>
      <c r="BF69" s="43">
        <f t="shared" ref="BF69" si="2405">IF(R69="","",(R69-R$20)*1000)+BF$18</f>
        <v>16.300000250339508</v>
      </c>
      <c r="BG69" s="43">
        <f t="shared" ref="BG69" si="2406">IF(S69="","",(S69-S$20)*1000)+BG$18</f>
        <v>-35.150000000001569</v>
      </c>
      <c r="BH69" s="43">
        <f t="shared" ref="BH69" si="2407">IF(T69="","",(T69-T$20)*1000)+BH$18</f>
        <v>-8.3999998169019818</v>
      </c>
      <c r="BI69" s="43">
        <f t="shared" ref="BI69" si="2408">IF(U69="","",(U69-U$20)*1000)+BI$18</f>
        <v>21.950000198557973</v>
      </c>
      <c r="BJ69" s="43">
        <f t="shared" ref="BJ69" si="2409">IF(V69="","",(V69-V$20)*1000)+BJ$18</f>
        <v>0.70000000000902673</v>
      </c>
      <c r="BK69" s="43">
        <f t="shared" ref="BK69" si="2410">IF(W69="","",(W69-W$20)*1000)+BK$18</f>
        <v>3.3000000985339284</v>
      </c>
      <c r="BL69" s="43">
        <f t="shared" ref="BL69" si="2411">IF(X69="","",(X69-X$20)*1000)+BL$18</f>
        <v>24.749999865889549</v>
      </c>
      <c r="BM69" s="43">
        <f t="shared" ref="BM69" si="2412">IF(Y69="","",(Y69-Y$20)*1000)+BM$18</f>
        <v>-30.799999999999272</v>
      </c>
      <c r="BN69" s="40"/>
      <c r="BO69" s="39">
        <v>183.97137815203777</v>
      </c>
      <c r="BP69" s="39">
        <v>-2.4321599496575561</v>
      </c>
      <c r="BQ69" s="39">
        <v>-0.87603378152037692</v>
      </c>
      <c r="BR69" s="39">
        <v>183.94218634531828</v>
      </c>
      <c r="BS69" s="39">
        <v>-2.6691012047667866</v>
      </c>
      <c r="BT69" s="39">
        <v>0.2921581365468171</v>
      </c>
      <c r="BU69" s="41">
        <v>183.92763349029391</v>
      </c>
      <c r="BV69" s="42">
        <v>-2.151443340699664</v>
      </c>
      <c r="BW69" s="42">
        <v>1.7336036650970641</v>
      </c>
      <c r="BX69" s="41">
        <v>183.78393536595775</v>
      </c>
      <c r="BY69" s="42">
        <v>-0.30516685550880474</v>
      </c>
      <c r="BZ69" s="42">
        <v>2.6389406463404157</v>
      </c>
      <c r="CA69" s="41">
        <v>183.88736812925052</v>
      </c>
      <c r="CB69" s="42">
        <v>1.293452559193651</v>
      </c>
      <c r="CC69" s="42">
        <v>2.3257063187074891</v>
      </c>
      <c r="CD69" s="41">
        <v>183.90835630121666</v>
      </c>
      <c r="CE69" s="42">
        <v>2.6808317094641567</v>
      </c>
      <c r="CF69" s="42">
        <v>0.25549643698782631</v>
      </c>
      <c r="CG69" s="41">
        <v>183.9017787173951</v>
      </c>
      <c r="CH69" s="42">
        <v>2.5217438867193258</v>
      </c>
      <c r="CI69" s="42">
        <v>-0.91903778717396278</v>
      </c>
      <c r="CJ69" s="40"/>
      <c r="CK69" s="43">
        <f t="shared" ref="CK69" si="2413">IF(BO69="","",(BO69-BO$20)*1000)+CK$18</f>
        <v>0.53107239440919329</v>
      </c>
      <c r="CL69" s="43">
        <f t="shared" ref="CL69" si="2414">IF(BP69="","",(BP69-BP$20)*1000)+CL$18</f>
        <v>2.6676843106514525</v>
      </c>
      <c r="CM69" s="43">
        <f t="shared" ref="CM69" si="2415">IF(BQ69="","",(BQ69-BQ$20)*1000)+CM$18</f>
        <v>3.9936892760691345</v>
      </c>
      <c r="CN69" s="43">
        <f t="shared" ref="CN69" si="2416">IF(BR69="","",(BR69-BR$20)*1000)+CN$18</f>
        <v>0.94878942061882299</v>
      </c>
      <c r="CO69" s="43">
        <f t="shared" ref="CO69" si="2417">IF(BS69="","",(BS69-BS$20)*1000)+CO$18</f>
        <v>2.876308840114028</v>
      </c>
      <c r="CP69" s="43">
        <f t="shared" ref="CP69" si="2418">IF(BT69="","",(BT69-BT$20)*1000)+CP$18</f>
        <v>1.5415121057961723</v>
      </c>
      <c r="CQ69" s="43">
        <f t="shared" ref="CQ69" si="2419">IF(BU69="","",(BU69-BU$20)*1000)+CQ$18</f>
        <v>1.0886048024474348</v>
      </c>
      <c r="CR69" s="43">
        <f t="shared" ref="CR69" si="2420">IF(BV69="","",(BV69-BV$20)*1000)+CR$18</f>
        <v>9.1291302857765544</v>
      </c>
      <c r="CS69" s="43">
        <f t="shared" ref="CS69" si="2421">IF(BW69="","",(BW69-BW$20)*1000)+CS$18</f>
        <v>-9.8938860480077828</v>
      </c>
      <c r="CT69" s="43">
        <f t="shared" ref="CT69" si="2422">IF(BX69="","",(BX69-BX$20)*1000)+CT$18</f>
        <v>-15.645836486442022</v>
      </c>
      <c r="CU69" s="43">
        <f t="shared" ref="CU69" si="2423">IF(BY69="","",(BY69-BY$20)*1000)+CU$18</f>
        <v>-2.5479644798853949</v>
      </c>
      <c r="CV69" s="43">
        <f t="shared" ref="CV69" si="2424">IF(BZ69="","",(BZ69-BZ$20)*1000)+CV$18</f>
        <v>-75.384541635135079</v>
      </c>
      <c r="CW69" s="43">
        <f t="shared" ref="CW69" si="2425">IF(CA69="","",(CA69-CA$20)*1000)+CW$18</f>
        <v>9.5744771142847185</v>
      </c>
      <c r="CX69" s="43">
        <f t="shared" ref="CX69" si="2426">IF(CB69="","",(CB69-CB$20)*1000)+CX$18</f>
        <v>-12.577194653522916</v>
      </c>
      <c r="CY69" s="43">
        <f t="shared" ref="CY69" si="2427">IF(CC69="","",(CC69-CC$20)*1000)+CY$18</f>
        <v>-35.127744771146219</v>
      </c>
      <c r="CZ69" s="43">
        <f t="shared" ref="CZ69" si="2428">IF(CD69="","",(CD69-CD$20)*1000)+CZ$18</f>
        <v>1.6907680853250895</v>
      </c>
      <c r="DA69" s="43">
        <f t="shared" ref="DA69" si="2429">IF(CE69="","",(CE69-CE$20)*1000)+DA$18</f>
        <v>-23.492894628928784</v>
      </c>
      <c r="DB69" s="43">
        <f t="shared" ref="DB69" si="2430">IF(CF69="","",(CF69-CF$20)*1000)+DB$18</f>
        <v>0.73509231913665429</v>
      </c>
      <c r="DC69" s="43">
        <f t="shared" ref="DC69" si="2431">IF(CG69="","",(CG69-CG$20)*1000)+DC$18</f>
        <v>13.405063012783103</v>
      </c>
      <c r="DD69" s="43">
        <f t="shared" ref="DD69" si="2432">IF(CH69="","",(CH69-CH$20)*1000)+DD$18</f>
        <v>-20.920808455120454</v>
      </c>
      <c r="DE69" s="43">
        <f t="shared" ref="DE69" si="2433">IF(CI69="","",(CI69-CI$20)*1000)+DE$18</f>
        <v>-30.937050630138959</v>
      </c>
    </row>
    <row r="70" spans="1:109" ht="29.25" customHeight="1" x14ac:dyDescent="0.2">
      <c r="A70" s="37">
        <v>44055</v>
      </c>
      <c r="B70" s="29">
        <f t="shared" si="1849"/>
        <v>397</v>
      </c>
      <c r="C70" s="38">
        <v>222.9</v>
      </c>
      <c r="D70" s="38">
        <f t="shared" ref="D70" si="2434">C70-PM</f>
        <v>39</v>
      </c>
      <c r="E70" s="39">
        <v>823233.37970000005</v>
      </c>
      <c r="F70" s="39">
        <v>1091513.5581</v>
      </c>
      <c r="G70" s="39">
        <v>-124.5788</v>
      </c>
      <c r="H70" s="39">
        <v>823233.25309999997</v>
      </c>
      <c r="I70" s="39">
        <v>1091513.7605999999</v>
      </c>
      <c r="J70" s="39">
        <v>-123.411</v>
      </c>
      <c r="K70" s="39">
        <v>823233.45869999996</v>
      </c>
      <c r="L70" s="39">
        <v>1091513.2852</v>
      </c>
      <c r="M70" s="39">
        <v>-121.9699</v>
      </c>
      <c r="N70" s="39">
        <v>823234.10800000001</v>
      </c>
      <c r="O70" s="39">
        <v>1091511.5512000001</v>
      </c>
      <c r="P70" s="39">
        <v>-121.06699999999999</v>
      </c>
      <c r="Q70" s="39">
        <v>823234.87690000003</v>
      </c>
      <c r="R70" s="39">
        <v>1091510.1462999999</v>
      </c>
      <c r="S70" s="39">
        <v>-121.3784</v>
      </c>
      <c r="T70" s="39">
        <v>823235.48230000003</v>
      </c>
      <c r="U70" s="39">
        <v>1091508.8981000001</v>
      </c>
      <c r="V70" s="39">
        <v>-123.4481</v>
      </c>
      <c r="W70" s="39">
        <v>823235.40910000005</v>
      </c>
      <c r="X70" s="39">
        <v>1091509.0395</v>
      </c>
      <c r="Y70" s="39">
        <v>-124.6224</v>
      </c>
      <c r="Z70" s="39">
        <f t="shared" si="2174"/>
        <v>4.1098427877012655</v>
      </c>
      <c r="AA70" s="39">
        <f t="shared" si="2165"/>
        <v>3.3326623545229777</v>
      </c>
      <c r="AB70" s="39">
        <f t="shared" si="2166"/>
        <v>2.0599939077214486</v>
      </c>
      <c r="AC70" s="39">
        <f t="shared" si="2167"/>
        <v>1.6315395124218195</v>
      </c>
      <c r="AD70" s="39">
        <f t="shared" si="2168"/>
        <v>3.8206383380329099</v>
      </c>
      <c r="AE70" s="39">
        <f t="shared" si="2169"/>
        <v>4.5433872012905203</v>
      </c>
      <c r="AF70" s="39">
        <f t="shared" si="2170"/>
        <v>3.4948328573856746</v>
      </c>
      <c r="AG70" s="39">
        <f t="shared" si="2171"/>
        <v>5.3492630612501335</v>
      </c>
      <c r="AH70" s="39">
        <f t="shared" si="2172"/>
        <v>4.9535957930191667</v>
      </c>
      <c r="AI70" s="43">
        <f t="shared" ref="AI70:AI73" si="2435">IF(Z70="","",(Z70-Z$20)*1000)+AI$18</f>
        <v>-70.502109527240009</v>
      </c>
      <c r="AJ70" s="43">
        <f t="shared" ref="AJ70:AJ73" si="2436">IF(AA70="","",(AA70-AA$20)*1000)+AJ$18</f>
        <v>-58.880233194727353</v>
      </c>
      <c r="AK70" s="43">
        <f t="shared" ref="AK70" si="2437">IF(AB70="","",(AB70-AB$20)*1000)+AK$18</f>
        <v>-38.683733344434984</v>
      </c>
      <c r="AL70" s="43">
        <f t="shared" ref="AL70:AL73" si="2438">IF(AC70="","",(AC70-AC$20)*1000)+AL$18</f>
        <v>-18.85762676997382</v>
      </c>
      <c r="AM70" s="43">
        <f t="shared" ref="AM70:AM73" si="2439">IF(AD70="","",(AD70-AD$20)*1000)+AM$18</f>
        <v>-66.018081821352496</v>
      </c>
      <c r="AN70" s="43">
        <f t="shared" ref="AN70:AN73" si="2440">IF(AE70="","",(AE70-AE$20)*1000)+AN$18</f>
        <v>-47.693488603174572</v>
      </c>
      <c r="AO70" s="43">
        <f t="shared" ref="AO70" si="2441">IF(AF70="","",(AF70-AF$20)*1000)+AO$18</f>
        <v>-27.557105523887238</v>
      </c>
      <c r="AP70" s="43">
        <f t="shared" ref="AP70:AP75" si="2442">IF(AG70="","",(AG70-AG$20)*1000)+AP$18</f>
        <v>-27.269193816331416</v>
      </c>
      <c r="AQ70" s="43">
        <f t="shared" ref="AQ70:AQ73" si="2443">IF(AH70="","",(AH70-AH$20)*1000)+AQ$18</f>
        <v>-24.27586327631559</v>
      </c>
      <c r="AR70" s="40"/>
      <c r="AS70" s="43">
        <f t="shared" ref="AS70" si="2444">IF(E70="","",(E70-E$20)*1000)+AS$18</f>
        <v>3.0500000575557351</v>
      </c>
      <c r="AT70" s="43">
        <f t="shared" ref="AT70" si="2445">IF(F70="","",(F70-F$20)*1000)+AT$18</f>
        <v>-4.7500000800937414</v>
      </c>
      <c r="AU70" s="43">
        <f t="shared" ref="AU70" si="2446">IF(G70="","",(G70-G$20)*1000)+AU$18</f>
        <v>4.4000000000039563</v>
      </c>
      <c r="AV70" s="43">
        <f t="shared" ref="AV70" si="2447">IF(H70="","",(H70-H$20)*1000)+AV$18</f>
        <v>3.4000000450760126</v>
      </c>
      <c r="AW70" s="43">
        <f t="shared" ref="AW70" si="2448">IF(I70="","",(I70-I$20)*1000)+AW$18</f>
        <v>-5.1500003319233656</v>
      </c>
      <c r="AX70" s="43">
        <f t="shared" ref="AX70" si="2449">IF(J70="","",(J70-J$20)*1000)+AX$18</f>
        <v>1.8500000000045702</v>
      </c>
      <c r="AY70" s="43">
        <f t="shared" ref="AY70" si="2450">IF(K70="","",(K70-K$20)*1000)+AY$18</f>
        <v>6.1500000301748514</v>
      </c>
      <c r="AZ70" s="43">
        <f t="shared" ref="AZ70" si="2451">IF(L70="","",(L70-L$20)*1000)+AZ$18</f>
        <v>-11.500000255182385</v>
      </c>
      <c r="BA70" s="43">
        <f t="shared" ref="BA70" si="2452">IF(M70="","",(M70-M$20)*1000)+BA$18</f>
        <v>-9.7999999999842657</v>
      </c>
      <c r="BB70" s="43">
        <f t="shared" ref="BB70" si="2453">IF(N70="","",(N70-N$20)*1000)+BB$18</f>
        <v>-14.800000004470348</v>
      </c>
      <c r="BC70" s="43">
        <f t="shared" ref="BC70" si="2454">IF(O70="","",(O70-O$20)*1000)+BC$18</f>
        <v>-7.4999998323619366</v>
      </c>
      <c r="BD70" s="43">
        <f t="shared" ref="BD70" si="2455">IF(P70="","",(P70-P$20)*1000)+BD$18</f>
        <v>-76.449999999994134</v>
      </c>
      <c r="BE70" s="43">
        <f t="shared" ref="BE70" si="2456">IF(Q70="","",(Q70-Q$20)*1000)+BE$18</f>
        <v>3.4499999601393938</v>
      </c>
      <c r="BF70" s="43">
        <f t="shared" ref="BF70" si="2457">IF(R70="","",(R70-R$20)*1000)+BF$18</f>
        <v>13.500000117346644</v>
      </c>
      <c r="BG70" s="43">
        <f t="shared" ref="BG70" si="2458">IF(S70="","",(S70-S$20)*1000)+BG$18</f>
        <v>-35.250000000004889</v>
      </c>
      <c r="BH70" s="43">
        <f t="shared" ref="BH70" si="2459">IF(T70="","",(T70-T$20)*1000)+BH$18</f>
        <v>-8.3999998169019818</v>
      </c>
      <c r="BI70" s="43">
        <f t="shared" ref="BI70" si="2460">IF(U70="","",(U70-U$20)*1000)+BI$18</f>
        <v>19.450000254437327</v>
      </c>
      <c r="BJ70" s="43">
        <f t="shared" ref="BJ70" si="2461">IF(V70="","",(V70-V$20)*1000)+BJ$18</f>
        <v>0.90000000001566605</v>
      </c>
      <c r="BK70" s="43">
        <f t="shared" ref="BK70" si="2462">IF(W70="","",(W70-W$20)*1000)+BK$18</f>
        <v>3.3000000985339284</v>
      </c>
      <c r="BL70" s="43">
        <f t="shared" ref="BL70" si="2463">IF(X70="","",(X70-X$20)*1000)+BL$18</f>
        <v>22.249999921768904</v>
      </c>
      <c r="BM70" s="43">
        <f t="shared" ref="BM70" si="2464">IF(Y70="","",(Y70-Y$20)*1000)+BM$18</f>
        <v>-30.299999999996885</v>
      </c>
      <c r="BN70" s="40"/>
      <c r="BO70" s="39">
        <v>183.97128837566362</v>
      </c>
      <c r="BP70" s="39">
        <v>-2.4288916258718563</v>
      </c>
      <c r="BQ70" s="39">
        <v>-0.87563288375663717</v>
      </c>
      <c r="BR70" s="39">
        <v>183.94213883417169</v>
      </c>
      <c r="BS70" s="39">
        <v>-2.6659235102430539</v>
      </c>
      <c r="BT70" s="39">
        <v>0.29245861165827591</v>
      </c>
      <c r="BU70" s="41">
        <v>183.9275437139197</v>
      </c>
      <c r="BV70" s="42">
        <v>-2.1481750169139397</v>
      </c>
      <c r="BW70" s="42">
        <v>1.7337045628608081</v>
      </c>
      <c r="BX70" s="41">
        <v>183.78312055600821</v>
      </c>
      <c r="BY70" s="42">
        <v>-0.30223665355821661</v>
      </c>
      <c r="BZ70" s="42">
        <v>2.6380487944399249</v>
      </c>
      <c r="CA70" s="41">
        <v>183.88618470356604</v>
      </c>
      <c r="CB70" s="42">
        <v>1.2959901770517936</v>
      </c>
      <c r="CC70" s="42">
        <v>2.3256181529643385</v>
      </c>
      <c r="CD70" s="41">
        <v>183.90729967121504</v>
      </c>
      <c r="CE70" s="42">
        <v>2.6830974395364184</v>
      </c>
      <c r="CF70" s="42">
        <v>0.25570700328785279</v>
      </c>
      <c r="CG70" s="41">
        <v>183.90072208739349</v>
      </c>
      <c r="CH70" s="42">
        <v>2.5240096167916004</v>
      </c>
      <c r="CI70" s="42">
        <v>-0.91852722087394056</v>
      </c>
      <c r="CJ70" s="40"/>
      <c r="CK70" s="43">
        <f t="shared" ref="CK70" si="2465">IF(BO70="","",(BO70-BO$20)*1000)+CK$18</f>
        <v>0.44129602025577697</v>
      </c>
      <c r="CL70" s="43">
        <f t="shared" ref="CL70" si="2466">IF(BP70="","",(BP70-BP$20)*1000)+CL$18</f>
        <v>5.9360080963513084</v>
      </c>
      <c r="CM70" s="43">
        <f t="shared" ref="CM70" si="2467">IF(BQ70="","",(BQ70-BQ$20)*1000)+CM$18</f>
        <v>4.3945870398088838</v>
      </c>
      <c r="CN70" s="43">
        <f t="shared" ref="CN70" si="2468">IF(BR70="","",(BR70-BR$20)*1000)+CN$18</f>
        <v>0.90127827402852745</v>
      </c>
      <c r="CO70" s="43">
        <f t="shared" ref="CO70" si="2469">IF(BS70="","",(BS70-BS$20)*1000)+CO$18</f>
        <v>6.0540033638467605</v>
      </c>
      <c r="CP70" s="43">
        <f t="shared" ref="CP70" si="2470">IF(BT70="","",(BT70-BT$20)*1000)+CP$18</f>
        <v>1.8419872172549812</v>
      </c>
      <c r="CQ70" s="43">
        <f t="shared" ref="CQ70" si="2471">IF(BU70="","",(BU70-BU$20)*1000)+CQ$18</f>
        <v>0.9988284282371751</v>
      </c>
      <c r="CR70" s="43">
        <f t="shared" ref="CR70" si="2472">IF(BV70="","",(BV70-BV$20)*1000)+CR$18</f>
        <v>12.397454071500835</v>
      </c>
      <c r="CS70" s="43">
        <f t="shared" ref="CS70" si="2473">IF(BW70="","",(BW70-BW$20)*1000)+CS$18</f>
        <v>-9.7929882842637817</v>
      </c>
      <c r="CT70" s="43">
        <f t="shared" ref="CT70" si="2474">IF(BX70="","",(BX70-BX$20)*1000)+CT$18</f>
        <v>-16.460646435973558</v>
      </c>
      <c r="CU70" s="43">
        <f t="shared" ref="CU70" si="2475">IF(BY70="","",(BY70-BY$20)*1000)+CU$18</f>
        <v>0.38223747070273428</v>
      </c>
      <c r="CV70" s="43">
        <f t="shared" ref="CV70" si="2476">IF(BZ70="","",(BZ70-BZ$20)*1000)+CV$18</f>
        <v>-76.276393535625871</v>
      </c>
      <c r="CW70" s="43">
        <f t="shared" ref="CW70" si="2477">IF(CA70="","",(CA70-CA$20)*1000)+CW$18</f>
        <v>8.3910514298111138</v>
      </c>
      <c r="CX70" s="43">
        <f t="shared" ref="CX70" si="2478">IF(CB70="","",(CB70-CB$20)*1000)+CX$18</f>
        <v>-10.039576795380256</v>
      </c>
      <c r="CY70" s="43">
        <f t="shared" ref="CY70" si="2479">IF(CC70="","",(CC70-CC$20)*1000)+CY$18</f>
        <v>-35.215910514296844</v>
      </c>
      <c r="CZ70" s="43">
        <f t="shared" ref="CZ70" si="2480">IF(CD70="","",(CD70-CD$20)*1000)+CZ$18</f>
        <v>0.63413808371137748</v>
      </c>
      <c r="DA70" s="43">
        <f t="shared" ref="DA70" si="2481">IF(CE70="","",(CE70-CE$20)*1000)+DA$18</f>
        <v>-21.227164556667066</v>
      </c>
      <c r="DB70" s="43">
        <f t="shared" ref="DB70" si="2482">IF(CF70="","",(CF70-CF$20)*1000)+DB$18</f>
        <v>0.94565861916312555</v>
      </c>
      <c r="DC70" s="43">
        <f t="shared" ref="DC70" si="2483">IF(CG70="","",(CG70-CG$20)*1000)+DC$18</f>
        <v>12.348433011169391</v>
      </c>
      <c r="DD70" s="43">
        <f t="shared" ref="DD70" si="2484">IF(CH70="","",(CH70-CH$20)*1000)+DD$18</f>
        <v>-18.655078382845858</v>
      </c>
      <c r="DE70" s="43">
        <f t="shared" ref="DE70" si="2485">IF(CI70="","",(CI70-CI$20)*1000)+DE$18</f>
        <v>-30.42648433011674</v>
      </c>
    </row>
    <row r="71" spans="1:109" ht="29.25" customHeight="1" x14ac:dyDescent="0.2">
      <c r="A71" s="37">
        <v>44082</v>
      </c>
      <c r="B71" s="29">
        <f t="shared" si="1849"/>
        <v>424</v>
      </c>
      <c r="C71" s="38">
        <v>222.9</v>
      </c>
      <c r="D71" s="38">
        <f t="shared" ref="D71" si="2486">C71-PM</f>
        <v>39</v>
      </c>
      <c r="E71" s="39">
        <v>823233.37749999994</v>
      </c>
      <c r="F71" s="39">
        <v>1091513.5615999999</v>
      </c>
      <c r="G71" s="39">
        <v>-124.57980000000001</v>
      </c>
      <c r="H71" s="39">
        <v>823233.25089999998</v>
      </c>
      <c r="I71" s="39">
        <v>1091513.764</v>
      </c>
      <c r="J71" s="39">
        <v>-123.4118</v>
      </c>
      <c r="K71" s="39"/>
      <c r="L71" s="39"/>
      <c r="M71" s="39"/>
      <c r="N71" s="39">
        <v>823234.10730000003</v>
      </c>
      <c r="O71" s="39">
        <v>1091511.5552000001</v>
      </c>
      <c r="P71" s="39">
        <v>-121.0673</v>
      </c>
      <c r="Q71" s="39">
        <v>823234.87609999999</v>
      </c>
      <c r="R71" s="39">
        <v>1091510.1502</v>
      </c>
      <c r="S71" s="39">
        <v>-121.3794</v>
      </c>
      <c r="T71" s="39">
        <v>823235.48149999999</v>
      </c>
      <c r="U71" s="39">
        <v>1091508.9018999999</v>
      </c>
      <c r="V71" s="39">
        <v>-123.4491</v>
      </c>
      <c r="W71" s="39">
        <v>823235.40839999996</v>
      </c>
      <c r="X71" s="39">
        <v>1091509.0433</v>
      </c>
      <c r="Y71" s="39">
        <v>-124.6232</v>
      </c>
      <c r="Z71" s="39">
        <f t="shared" si="2174"/>
        <v>4.110462899659856</v>
      </c>
      <c r="AA71" s="39">
        <f t="shared" si="2165"/>
        <v>3.3330014475942877</v>
      </c>
      <c r="AB71" s="39"/>
      <c r="AC71" s="39">
        <f t="shared" ref="AC71:AC73" si="2487">IF(Xhaut="","",SQRT(((Xhautdroit-Xhaut)^2+(Yhautdroit-Yhaut)^2)+(Zhautdroit-Zhaut)^2))</f>
        <v>1.6317122448579935</v>
      </c>
      <c r="AD71" s="39">
        <f t="shared" si="2168"/>
        <v>3.8211775371659966</v>
      </c>
      <c r="AE71" s="39">
        <f t="shared" ref="AE71:AE75" si="2488">IF(Xhaut="","",SQRT(((Xbasdroit-Xhaut)^2+(Ybasdroit-Yhaut)^2)+(Zbasdroit-Zhaut)^2))</f>
        <v>4.5438890424404539</v>
      </c>
      <c r="AF71" s="39"/>
      <c r="AG71" s="39">
        <f t="shared" si="2171"/>
        <v>5.3494844667792156</v>
      </c>
      <c r="AH71" s="39">
        <f t="shared" ref="AH71:AH75" si="2489">IF(Xbasdroit="","",SQRT(((Xbasdroit-Xbasgauche)^2+(Ybasdroit-Ybasgauche)^2)+(Zbasdroit-Zbasgauche)^2))</f>
        <v>4.95393512865917</v>
      </c>
      <c r="AI71" s="43">
        <f t="shared" si="2435"/>
        <v>-69.881997568649552</v>
      </c>
      <c r="AJ71" s="43">
        <f t="shared" si="2436"/>
        <v>-58.541140123417264</v>
      </c>
      <c r="AK71" s="43" t="str">
        <f t="shared" ref="AK71:AK80" si="2490">IF(AB71="","",(AB71-AB$10)*1000)</f>
        <v/>
      </c>
      <c r="AL71" s="43">
        <f t="shared" si="2438"/>
        <v>-18.684894333799825</v>
      </c>
      <c r="AM71" s="43">
        <f t="shared" si="2439"/>
        <v>-65.478882688265742</v>
      </c>
      <c r="AN71" s="43">
        <f t="shared" si="2440"/>
        <v>-47.191647453241004</v>
      </c>
      <c r="AO71" s="43" t="str">
        <f t="shared" ref="AO71:AO80" si="2491">IF(AF71="","",(AF71-AF$10)*1000)</f>
        <v/>
      </c>
      <c r="AP71" s="43">
        <f t="shared" si="2442"/>
        <v>-27.047788287249297</v>
      </c>
      <c r="AQ71" s="43">
        <f t="shared" si="2443"/>
        <v>-23.936527636312377</v>
      </c>
      <c r="AR71" s="40"/>
      <c r="AS71" s="43">
        <f t="shared" ref="AS71" si="2492">IF(E71="","",(E71-E$20)*1000)+AS$18</f>
        <v>0.84999995306134224</v>
      </c>
      <c r="AT71" s="43">
        <f t="shared" ref="AT71" si="2493">IF(F71="","",(F71-F$20)*1000)+AT$18</f>
        <v>-1.2500002048909664</v>
      </c>
      <c r="AU71" s="43">
        <f t="shared" ref="AU71" si="2494">IF(G71="","",(G71-G$20)*1000)+AU$18</f>
        <v>3.3999999999991815</v>
      </c>
      <c r="AV71" s="43">
        <f t="shared" ref="AV71" si="2495">IF(H71="","",(H71-H$20)*1000)+AV$18</f>
        <v>1.2000000569969416</v>
      </c>
      <c r="AW71" s="43">
        <f t="shared" ref="AW71" si="2496">IF(I71="","",(I71-I$20)*1000)+AW$18</f>
        <v>-1.750000286847353</v>
      </c>
      <c r="AX71" s="43">
        <f t="shared" ref="AX71" si="2497">IF(J71="","",(J71-J$20)*1000)+AX$18</f>
        <v>1.0500000000064347</v>
      </c>
      <c r="AY71" s="43"/>
      <c r="AZ71" s="43"/>
      <c r="BA71" s="43"/>
      <c r="BB71" s="43">
        <f t="shared" ref="BB71" si="2498">IF(N71="","",(N71-N$20)*1000)+BB$18</f>
        <v>-15.499999979510903</v>
      </c>
      <c r="BC71" s="43">
        <f t="shared" ref="BC71" si="2499">IF(O71="","",(O71-O$20)*1000)+BC$18</f>
        <v>-3.499999875202775</v>
      </c>
      <c r="BD71" s="43">
        <f t="shared" ref="BD71" si="2500">IF(P71="","",(P71-P$20)*1000)+BD$18</f>
        <v>-76.750000000004093</v>
      </c>
      <c r="BE71" s="43">
        <f t="shared" ref="BE71" si="2501">IF(Q71="","",(Q71-Q$20)*1000)+BE$18</f>
        <v>2.6499999221414328</v>
      </c>
      <c r="BF71" s="43">
        <f t="shared" ref="BF71" si="2502">IF(R71="","",(R71-R$20)*1000)+BF$18</f>
        <v>17.400000244379044</v>
      </c>
      <c r="BG71" s="43">
        <f t="shared" ref="BG71" si="2503">IF(S71="","",(S71-S$20)*1000)+BG$18</f>
        <v>-36.250000000009663</v>
      </c>
      <c r="BH71" s="43">
        <f t="shared" ref="BH71" si="2504">IF(T71="","",(T71-T$20)*1000)+BH$18</f>
        <v>-9.1999998548999429</v>
      </c>
      <c r="BI71" s="43">
        <f t="shared" ref="BI71" si="2505">IF(U71="","",(U71-U$20)*1000)+BI$18</f>
        <v>23.250000085681677</v>
      </c>
      <c r="BJ71" s="43">
        <f t="shared" ref="BJ71" si="2506">IF(V71="","",(V71-V$20)*1000)+BJ$18</f>
        <v>-9.9999999989108801E-2</v>
      </c>
      <c r="BK71" s="43">
        <f t="shared" ref="BK71" si="2507">IF(W71="","",(W71-W$20)*1000)+BK$18</f>
        <v>2.6000000070780516</v>
      </c>
      <c r="BL71" s="43">
        <f t="shared" ref="BL71" si="2508">IF(X71="","",(X71-X$20)*1000)+BL$18</f>
        <v>26.049999985843897</v>
      </c>
      <c r="BM71" s="43">
        <f t="shared" ref="BM71" si="2509">IF(Y71="","",(Y71-Y$20)*1000)+BM$18</f>
        <v>-31.099999999995021</v>
      </c>
      <c r="BN71" s="40"/>
      <c r="BO71" s="39">
        <v>183.97077381504334</v>
      </c>
      <c r="BP71" s="39">
        <v>-2.4329934823971557</v>
      </c>
      <c r="BQ71" s="39">
        <v>-0.87662773815044659</v>
      </c>
      <c r="BR71" s="39">
        <v>183.94158200852772</v>
      </c>
      <c r="BS71" s="39">
        <v>-2.6699347376682074</v>
      </c>
      <c r="BT71" s="39">
        <v>0.2916641799147186</v>
      </c>
      <c r="BU71" s="41"/>
      <c r="BV71" s="42"/>
      <c r="BW71" s="42"/>
      <c r="BX71" s="41">
        <v>183.78417675961867</v>
      </c>
      <c r="BY71" s="42">
        <v>-0.30615767811255157</v>
      </c>
      <c r="BZ71" s="42">
        <v>2.6377382324038052</v>
      </c>
      <c r="CA71" s="41">
        <v>183.88710801278535</v>
      </c>
      <c r="CB71" s="42">
        <v>1.2921175163208072</v>
      </c>
      <c r="CC71" s="42">
        <v>2.3246089198721336</v>
      </c>
      <c r="CD71" s="41">
        <v>183.9081807151083</v>
      </c>
      <c r="CE71" s="42">
        <v>2.6793154082784159</v>
      </c>
      <c r="CF71" s="42">
        <v>0.25469819284890605</v>
      </c>
      <c r="CG71" s="41">
        <v>183.90169376054163</v>
      </c>
      <c r="CH71" s="42">
        <v>2.5202698505009975</v>
      </c>
      <c r="CI71" s="42">
        <v>-0.91933693760542212</v>
      </c>
      <c r="CJ71" s="40"/>
      <c r="CK71" s="43">
        <f t="shared" ref="CK71" si="2510">IF(BO71="","",(BO71-BO$20)*1000)+CK$18</f>
        <v>-7.3264600018774217E-2</v>
      </c>
      <c r="CL71" s="43">
        <f t="shared" ref="CL71" si="2511">IF(BP71="","",(BP71-BP$20)*1000)+CL$18</f>
        <v>1.834151571051823</v>
      </c>
      <c r="CM71" s="43">
        <f t="shared" ref="CM71" si="2512">IF(BQ71="","",(BQ71-BQ$20)*1000)+CM$18</f>
        <v>3.3997326459994648</v>
      </c>
      <c r="CN71" s="43">
        <f t="shared" ref="CN71" si="2513">IF(BR71="","",(BR71-BR$20)*1000)+CN$18</f>
        <v>0.34445263005977722</v>
      </c>
      <c r="CO71" s="43">
        <f t="shared" ref="CO71" si="2514">IF(BS71="","",(BS71-BS$20)*1000)+CO$18</f>
        <v>2.0427759386931754</v>
      </c>
      <c r="CP71" s="43">
        <f t="shared" ref="CP71" si="2515">IF(BT71="","",(BT71-BT$20)*1000)+CP$18</f>
        <v>1.04755547369767</v>
      </c>
      <c r="CQ71" s="43"/>
      <c r="CR71" s="43"/>
      <c r="CS71" s="43"/>
      <c r="CT71" s="43">
        <f t="shared" ref="CT71" si="2516">IF(BX71="","",(BX71-BX$20)*1000)+CT$18</f>
        <v>-15.404442825513343</v>
      </c>
      <c r="CU71" s="43">
        <f t="shared" ref="CU71" si="2517">IF(BY71="","",(BY71-BY$20)*1000)+CU$18</f>
        <v>-3.5387870836322275</v>
      </c>
      <c r="CV71" s="43">
        <f t="shared" ref="CV71" si="2518">IF(BZ71="","",(BZ71-BZ$20)*1000)+CV$18</f>
        <v>-76.586955571745548</v>
      </c>
      <c r="CW71" s="43">
        <f t="shared" ref="CW71" si="2519">IF(CA71="","",(CA71-CA$20)*1000)+CW$18</f>
        <v>9.3143606491139508</v>
      </c>
      <c r="CX71" s="43">
        <f t="shared" ref="CX71" si="2520">IF(CB71="","",(CB71-CB$20)*1000)+CX$18</f>
        <v>-13.912237526366722</v>
      </c>
      <c r="CY71" s="43">
        <f t="shared" ref="CY71" si="2521">IF(CC71="","",(CC71-CC$20)*1000)+CY$18</f>
        <v>-36.225143606501753</v>
      </c>
      <c r="CZ71" s="43">
        <f t="shared" ref="CZ71" si="2522">IF(CD71="","",(CD71-CD$20)*1000)+CZ$18</f>
        <v>1.5151819769698704</v>
      </c>
      <c r="DA71" s="43">
        <f t="shared" ref="DA71" si="2523">IF(CE71="","",(CE71-CE$20)*1000)+DA$18</f>
        <v>-25.009195814669649</v>
      </c>
      <c r="DB71" s="43">
        <f t="shared" ref="DB71" si="2524">IF(CF71="","",(CF71-CF$20)*1000)+DB$18</f>
        <v>-6.3151819783613394E-2</v>
      </c>
      <c r="DC71" s="43">
        <f t="shared" ref="DC71" si="2525">IF(CG71="","",(CG71-CG$20)*1000)+DC$18</f>
        <v>13.320106159312672</v>
      </c>
      <c r="DD71" s="43">
        <f t="shared" ref="DD71" si="2526">IF(CH71="","",(CH71-CH$20)*1000)+DD$18</f>
        <v>-22.394844673448766</v>
      </c>
      <c r="DE71" s="43">
        <f t="shared" ref="DE71" si="2527">IF(CI71="","",(CI71-CI$20)*1000)+DE$18</f>
        <v>-31.236201061598297</v>
      </c>
    </row>
    <row r="72" spans="1:109" s="83" customFormat="1" ht="29.25" customHeight="1" x14ac:dyDescent="0.2">
      <c r="A72" s="123" t="s">
        <v>80</v>
      </c>
      <c r="B72" s="124"/>
      <c r="C72" s="124"/>
      <c r="D72" s="124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  <c r="U72" s="125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5"/>
      <c r="AH72" s="125"/>
      <c r="AI72" s="125"/>
      <c r="AJ72" s="125"/>
      <c r="AK72" s="125"/>
      <c r="AL72" s="125"/>
      <c r="AM72" s="125"/>
      <c r="AN72" s="125"/>
      <c r="AO72" s="125"/>
      <c r="AP72" s="125"/>
      <c r="AQ72" s="125"/>
      <c r="AR72" s="82"/>
      <c r="AS72" s="82"/>
      <c r="AT72" s="82"/>
      <c r="AU72" s="82"/>
      <c r="AV72" s="82"/>
      <c r="AW72" s="82"/>
      <c r="AX72" s="82"/>
      <c r="AY72" s="82"/>
      <c r="AZ72" s="82"/>
      <c r="BA72" s="82"/>
      <c r="BB72" s="82"/>
      <c r="BC72" s="82"/>
      <c r="BD72" s="82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2"/>
      <c r="BT72" s="82"/>
      <c r="BU72" s="82"/>
      <c r="BV72" s="82"/>
      <c r="BW72" s="82"/>
      <c r="BX72" s="82"/>
      <c r="BY72" s="82"/>
      <c r="BZ72" s="82"/>
      <c r="CA72" s="82"/>
      <c r="CB72" s="82"/>
      <c r="CC72" s="82"/>
      <c r="CD72" s="82"/>
      <c r="CE72" s="82"/>
      <c r="CF72" s="82"/>
      <c r="CG72" s="82"/>
      <c r="CH72" s="82"/>
      <c r="CI72" s="82"/>
      <c r="CJ72" s="82"/>
      <c r="CK72" s="82"/>
      <c r="CL72" s="82"/>
      <c r="CM72" s="82"/>
      <c r="CN72" s="82"/>
      <c r="CO72" s="82"/>
      <c r="CP72" s="82"/>
      <c r="CQ72" s="82"/>
      <c r="CR72" s="82"/>
      <c r="CS72" s="82"/>
      <c r="CT72" s="82"/>
      <c r="CU72" s="82"/>
      <c r="CV72" s="82"/>
      <c r="CW72" s="82"/>
      <c r="CX72" s="82"/>
      <c r="CY72" s="82"/>
      <c r="CZ72" s="82"/>
      <c r="DA72" s="82"/>
      <c r="DB72" s="82"/>
      <c r="DC72" s="82"/>
      <c r="DD72" s="82"/>
      <c r="DE72" s="82"/>
    </row>
    <row r="73" spans="1:109" ht="29.25" customHeight="1" x14ac:dyDescent="0.2">
      <c r="A73" s="37">
        <v>44082</v>
      </c>
      <c r="B73" s="29">
        <f t="shared" ref="B73" si="2528">IF(A73="","",A73-excav)</f>
        <v>424</v>
      </c>
      <c r="C73" s="38">
        <v>222.9</v>
      </c>
      <c r="D73" s="38">
        <f t="shared" ref="D73" si="2529">C73-PM</f>
        <v>39</v>
      </c>
      <c r="E73" s="39">
        <v>823233.37820000004</v>
      </c>
      <c r="F73" s="39">
        <v>1091513.5582000001</v>
      </c>
      <c r="G73" s="39">
        <v>-124.5808</v>
      </c>
      <c r="H73" s="39">
        <v>823233.25170000002</v>
      </c>
      <c r="I73" s="39">
        <v>1091513.7605999999</v>
      </c>
      <c r="J73" s="39">
        <v>-123.41289999999999</v>
      </c>
      <c r="K73" s="39"/>
      <c r="L73" s="39"/>
      <c r="M73" s="39"/>
      <c r="N73" s="39">
        <v>823234.10770000005</v>
      </c>
      <c r="O73" s="39">
        <v>1091511.5515000001</v>
      </c>
      <c r="P73" s="39">
        <v>-121.0684</v>
      </c>
      <c r="Q73" s="39">
        <v>823234.87620000006</v>
      </c>
      <c r="R73" s="39">
        <v>1091510.1462999999</v>
      </c>
      <c r="S73" s="39">
        <v>-121.3805</v>
      </c>
      <c r="T73" s="39">
        <v>823235.48140000005</v>
      </c>
      <c r="U73" s="39">
        <v>1091508.8977999999</v>
      </c>
      <c r="V73" s="39">
        <v>-123.45010000000001</v>
      </c>
      <c r="W73" s="39">
        <v>823235.40830000001</v>
      </c>
      <c r="X73" s="39">
        <v>1091509.0392</v>
      </c>
      <c r="Y73" s="39">
        <v>-124.62430000000001</v>
      </c>
      <c r="Z73" s="39">
        <f t="shared" si="2174"/>
        <v>4.1104706421688793</v>
      </c>
      <c r="AA73" s="39">
        <f t="shared" ref="AA73" si="2530">IF(Xhaut="","",SQRT(((Xintergauche-Xhaut)^2+(Yintergauche-Yhaut)^2)+(Zintergauche-Zhaut)^2))</f>
        <v>3.3330975172410993</v>
      </c>
      <c r="AB73" s="39"/>
      <c r="AC73" s="39">
        <f t="shared" si="2487"/>
        <v>1.6317431478149316</v>
      </c>
      <c r="AD73" s="39">
        <f t="shared" si="2168"/>
        <v>3.8212131935731728</v>
      </c>
      <c r="AE73" s="39">
        <f t="shared" si="2488"/>
        <v>4.5439670399548158</v>
      </c>
      <c r="AF73" s="39"/>
      <c r="AG73" s="39">
        <f t="shared" si="2171"/>
        <v>5.3497448322455838</v>
      </c>
      <c r="AH73" s="39">
        <f t="shared" si="2489"/>
        <v>4.9542465886033185</v>
      </c>
      <c r="AI73" s="43">
        <f t="shared" si="2435"/>
        <v>-69.874255059626307</v>
      </c>
      <c r="AJ73" s="43">
        <f t="shared" si="2436"/>
        <v>-58.445070476605743</v>
      </c>
      <c r="AK73" s="43" t="str">
        <f t="shared" si="2490"/>
        <v/>
      </c>
      <c r="AL73" s="43">
        <f t="shared" si="2438"/>
        <v>-18.653991376861743</v>
      </c>
      <c r="AM73" s="43">
        <f t="shared" si="2439"/>
        <v>-65.443226281089565</v>
      </c>
      <c r="AN73" s="43">
        <f t="shared" si="2440"/>
        <v>-47.113649938879121</v>
      </c>
      <c r="AO73" s="43" t="str">
        <f t="shared" si="2491"/>
        <v/>
      </c>
      <c r="AP73" s="43">
        <f t="shared" si="2442"/>
        <v>-26.787422820881091</v>
      </c>
      <c r="AQ73" s="43">
        <f t="shared" si="2443"/>
        <v>-23.625067692163881</v>
      </c>
      <c r="AR73" s="40"/>
      <c r="AS73" s="43">
        <f>AS71</f>
        <v>0.84999995306134224</v>
      </c>
      <c r="AT73" s="43">
        <f t="shared" ref="AT73:AX73" si="2531">AT71</f>
        <v>-1.2500002048909664</v>
      </c>
      <c r="AU73" s="43">
        <f t="shared" si="2531"/>
        <v>3.3999999999991815</v>
      </c>
      <c r="AV73" s="43">
        <f t="shared" si="2531"/>
        <v>1.2000000569969416</v>
      </c>
      <c r="AW73" s="43">
        <f t="shared" si="2531"/>
        <v>-1.750000286847353</v>
      </c>
      <c r="AX73" s="43">
        <f t="shared" si="2531"/>
        <v>1.0500000000064347</v>
      </c>
      <c r="AY73" s="43" t="str">
        <f t="shared" ref="AY73:AY83" si="2532">IF(K73="","",(K73-K$10)*1000)</f>
        <v/>
      </c>
      <c r="AZ73" s="43" t="str">
        <f t="shared" ref="AZ73:AZ84" si="2533">IF(L73="","",(L73-L$10)*1000)</f>
        <v/>
      </c>
      <c r="BA73" s="43" t="str">
        <f t="shared" ref="BA73:BA84" si="2534">IF(M73="","",(M73-M$10)*1000)</f>
        <v/>
      </c>
      <c r="BB73" s="43">
        <f t="shared" ref="BB73:BM75" si="2535">BB71</f>
        <v>-15.499999979510903</v>
      </c>
      <c r="BC73" s="43">
        <f t="shared" si="2535"/>
        <v>-3.499999875202775</v>
      </c>
      <c r="BD73" s="43">
        <f t="shared" si="2535"/>
        <v>-76.750000000004093</v>
      </c>
      <c r="BE73" s="43">
        <f t="shared" si="2535"/>
        <v>2.6499999221414328</v>
      </c>
      <c r="BF73" s="43">
        <f t="shared" si="2535"/>
        <v>17.400000244379044</v>
      </c>
      <c r="BG73" s="43">
        <f t="shared" si="2535"/>
        <v>-36.250000000009663</v>
      </c>
      <c r="BH73" s="43">
        <f t="shared" si="2535"/>
        <v>-9.1999998548999429</v>
      </c>
      <c r="BI73" s="43">
        <f t="shared" si="2535"/>
        <v>23.250000085681677</v>
      </c>
      <c r="BJ73" s="43">
        <f t="shared" si="2535"/>
        <v>-9.9999999989108801E-2</v>
      </c>
      <c r="BK73" s="43">
        <f t="shared" si="2535"/>
        <v>2.6000000070780516</v>
      </c>
      <c r="BL73" s="43">
        <f t="shared" si="2535"/>
        <v>26.049999985843897</v>
      </c>
      <c r="BM73" s="43">
        <f t="shared" si="2535"/>
        <v>-31.099999999995021</v>
      </c>
      <c r="BN73" s="40"/>
      <c r="BO73" s="39">
        <v>183.97</v>
      </c>
      <c r="BP73" s="39">
        <v>-2.4296000000000002</v>
      </c>
      <c r="BQ73" s="39">
        <v>-0.87760000000000005</v>
      </c>
      <c r="BR73" s="39">
        <v>183.9409</v>
      </c>
      <c r="BS73" s="39">
        <v>-2.6665000000000001</v>
      </c>
      <c r="BT73" s="39">
        <v>0.29060000000000002</v>
      </c>
      <c r="BU73" s="41"/>
      <c r="BV73" s="42"/>
      <c r="BW73" s="42"/>
      <c r="BX73" s="41">
        <v>183.78299999999999</v>
      </c>
      <c r="BY73" s="42">
        <v>-0.30259999999999998</v>
      </c>
      <c r="BZ73" s="42">
        <v>2.6366999999999998</v>
      </c>
      <c r="CA73" s="41">
        <v>183.88560000000001</v>
      </c>
      <c r="CB73" s="42">
        <v>1.2957000000000001</v>
      </c>
      <c r="CC73" s="42">
        <v>2.3235000000000001</v>
      </c>
      <c r="CD73" s="41">
        <v>183.90639999999999</v>
      </c>
      <c r="CE73" s="42">
        <v>2.6829999999999998</v>
      </c>
      <c r="CF73" s="42">
        <v>0.25369999999999998</v>
      </c>
      <c r="CG73" s="41">
        <v>183.8999</v>
      </c>
      <c r="CH73" s="42">
        <v>2.5238999999999998</v>
      </c>
      <c r="CI73" s="42">
        <v>-0.9204</v>
      </c>
      <c r="CJ73" s="40"/>
      <c r="CK73" s="43">
        <f>CK71</f>
        <v>-7.3264600018774217E-2</v>
      </c>
      <c r="CL73" s="43">
        <f t="shared" ref="CL73:CM75" si="2536">CL71</f>
        <v>1.834151571051823</v>
      </c>
      <c r="CM73" s="43">
        <f t="shared" si="2536"/>
        <v>3.3997326459994648</v>
      </c>
      <c r="CN73" s="43">
        <f>CN71</f>
        <v>0.34445263005977722</v>
      </c>
      <c r="CO73" s="43">
        <f t="shared" ref="CO73:CP73" si="2537">CO71</f>
        <v>2.0427759386931754</v>
      </c>
      <c r="CP73" s="43">
        <f t="shared" si="2537"/>
        <v>1.04755547369767</v>
      </c>
      <c r="CQ73" s="43" t="str">
        <f t="shared" ref="CQ73:CQ75" si="2538">IF(BU73="","",(BU73-BU$10)*1000)</f>
        <v/>
      </c>
      <c r="CR73" s="43" t="str">
        <f t="shared" ref="CR73:CR75" si="2539">IF(BV73="","",(BV73-BV$10)*1000)</f>
        <v/>
      </c>
      <c r="CS73" s="43" t="str">
        <f t="shared" ref="CS73:CS75" si="2540">IF(BW73="","",(BW73-BW$10)*1000)</f>
        <v/>
      </c>
      <c r="CT73" s="43">
        <f>CT71</f>
        <v>-15.404442825513343</v>
      </c>
      <c r="CU73" s="43">
        <f t="shared" ref="CU73:CV73" si="2541">CU71</f>
        <v>-3.5387870836322275</v>
      </c>
      <c r="CV73" s="43">
        <f t="shared" si="2541"/>
        <v>-76.586955571745548</v>
      </c>
      <c r="CW73" s="43">
        <f>CW71</f>
        <v>9.3143606491139508</v>
      </c>
      <c r="CX73" s="43">
        <f t="shared" ref="CX73:CY73" si="2542">CX71</f>
        <v>-13.912237526366722</v>
      </c>
      <c r="CY73" s="43">
        <f t="shared" si="2542"/>
        <v>-36.225143606501753</v>
      </c>
      <c r="CZ73" s="43">
        <f>CZ71</f>
        <v>1.5151819769698704</v>
      </c>
      <c r="DA73" s="43">
        <f t="shared" ref="DA73:DE73" si="2543">DA71</f>
        <v>-25.009195814669649</v>
      </c>
      <c r="DB73" s="43">
        <f t="shared" si="2543"/>
        <v>-6.3151819783613394E-2</v>
      </c>
      <c r="DC73" s="43">
        <f>DC71</f>
        <v>13.320106159312672</v>
      </c>
      <c r="DD73" s="43">
        <f t="shared" si="2543"/>
        <v>-22.394844673448766</v>
      </c>
      <c r="DE73" s="43">
        <f t="shared" si="2543"/>
        <v>-31.236201061598297</v>
      </c>
    </row>
    <row r="74" spans="1:109" s="83" customFormat="1" ht="29.25" customHeight="1" x14ac:dyDescent="0.2">
      <c r="A74" s="123" t="s">
        <v>81</v>
      </c>
      <c r="B74" s="124"/>
      <c r="C74" s="124"/>
      <c r="D74" s="124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5"/>
      <c r="AH74" s="125"/>
      <c r="AI74" s="125"/>
      <c r="AJ74" s="125"/>
      <c r="AK74" s="125"/>
      <c r="AL74" s="125"/>
      <c r="AM74" s="125"/>
      <c r="AN74" s="125"/>
      <c r="AO74" s="125"/>
      <c r="AP74" s="125"/>
      <c r="AQ74" s="125"/>
      <c r="AR74" s="82"/>
      <c r="AS74" s="82"/>
      <c r="AT74" s="82"/>
      <c r="AU74" s="82"/>
      <c r="AV74" s="82"/>
      <c r="AW74" s="82"/>
      <c r="AX74" s="82"/>
      <c r="AY74" s="82"/>
      <c r="AZ74" s="82"/>
      <c r="BA74" s="82"/>
      <c r="BB74" s="82"/>
      <c r="BC74" s="82"/>
      <c r="BD74" s="82"/>
      <c r="BE74" s="82"/>
      <c r="BF74" s="82"/>
      <c r="BG74" s="82"/>
      <c r="BH74" s="82"/>
      <c r="BI74" s="82"/>
      <c r="BJ74" s="82"/>
      <c r="BK74" s="82"/>
      <c r="BL74" s="82"/>
      <c r="BM74" s="82"/>
      <c r="BN74" s="82"/>
      <c r="BO74" s="82"/>
      <c r="BP74" s="82"/>
      <c r="BQ74" s="82"/>
      <c r="BR74" s="82"/>
      <c r="BS74" s="82"/>
      <c r="BT74" s="82"/>
      <c r="BU74" s="82"/>
      <c r="BV74" s="82"/>
      <c r="BW74" s="82"/>
      <c r="BX74" s="82"/>
      <c r="BY74" s="82"/>
      <c r="BZ74" s="82"/>
      <c r="CA74" s="82"/>
      <c r="CB74" s="82"/>
      <c r="CC74" s="82"/>
      <c r="CD74" s="82"/>
      <c r="CE74" s="82"/>
      <c r="CF74" s="82"/>
      <c r="CG74" s="82"/>
      <c r="CH74" s="82"/>
      <c r="CI74" s="82"/>
      <c r="CJ74" s="82"/>
      <c r="CK74" s="82"/>
      <c r="CL74" s="82"/>
      <c r="CM74" s="82"/>
      <c r="CN74" s="82"/>
      <c r="CO74" s="82"/>
      <c r="CP74" s="82"/>
      <c r="CQ74" s="82"/>
      <c r="CR74" s="82"/>
      <c r="CS74" s="82"/>
      <c r="CT74" s="82"/>
      <c r="CU74" s="82"/>
      <c r="CV74" s="82"/>
      <c r="CW74" s="82"/>
      <c r="CX74" s="82"/>
      <c r="CY74" s="82"/>
      <c r="CZ74" s="82"/>
      <c r="DA74" s="82"/>
      <c r="DB74" s="82"/>
      <c r="DC74" s="82"/>
      <c r="DD74" s="82"/>
      <c r="DE74" s="82"/>
    </row>
    <row r="75" spans="1:109" ht="29.25" customHeight="1" x14ac:dyDescent="0.2">
      <c r="A75" s="37">
        <v>44140</v>
      </c>
      <c r="B75" s="29">
        <f t="shared" ref="B75:B85" si="2544">IF(A75="","",A75-excav)</f>
        <v>482</v>
      </c>
      <c r="C75" s="38">
        <v>222.9</v>
      </c>
      <c r="D75" s="38">
        <f t="shared" ref="D75" si="2545">C75-PM</f>
        <v>39</v>
      </c>
      <c r="E75" s="39">
        <v>823233.37820000004</v>
      </c>
      <c r="F75" s="39">
        <v>1091513.5582000001</v>
      </c>
      <c r="G75" s="39">
        <v>-124.5808</v>
      </c>
      <c r="H75" s="39">
        <v>823233.25199999998</v>
      </c>
      <c r="I75" s="39">
        <v>1091513.7589</v>
      </c>
      <c r="J75" s="39">
        <v>-123.4128</v>
      </c>
      <c r="K75" s="39"/>
      <c r="L75" s="39"/>
      <c r="M75" s="39"/>
      <c r="N75" s="100">
        <v>823234.4375</v>
      </c>
      <c r="O75" s="100">
        <v>1091511.1092999999</v>
      </c>
      <c r="P75" s="100">
        <v>-121.31740000000001</v>
      </c>
      <c r="Q75" s="39">
        <v>823234.87620000006</v>
      </c>
      <c r="R75" s="39">
        <v>1091510.1462999999</v>
      </c>
      <c r="S75" s="39">
        <v>-121.3805</v>
      </c>
      <c r="T75" s="39">
        <v>823235.4804</v>
      </c>
      <c r="U75" s="39">
        <v>1091508.8973999999</v>
      </c>
      <c r="V75" s="39">
        <v>-123.4503</v>
      </c>
      <c r="W75" s="39">
        <v>823235.40830000001</v>
      </c>
      <c r="X75" s="39">
        <v>1091509.0392</v>
      </c>
      <c r="Y75" s="39">
        <v>-124.62430000000001</v>
      </c>
      <c r="Z75" s="39">
        <f t="shared" si="2174"/>
        <v>4.2153300298868697</v>
      </c>
      <c r="AA75" s="39">
        <f t="shared" ref="AA75:AA107" si="2546">IF(Xhaut="","",SQRT(((Xintergauche-Xhaut)^2+(Yintergauche-Yhaut)^2)+(Zintergauche-Zhaut)^2))</f>
        <v>3.5800127891797242</v>
      </c>
      <c r="AB75" s="39"/>
      <c r="AC75" s="39">
        <f t="shared" ref="AC75" si="2547">IF(Xhaut="","",SQRT(((Xhautdroit-Xhaut)^2+(Yhautdroit-Yhaut)^2)+(Zhautdroit-Zhaut)^2))</f>
        <v>1.0600982501770688</v>
      </c>
      <c r="AD75" s="39">
        <f t="shared" ref="AD75:AD107" si="2548">IF(Xhaut="","",SQRT(((Xinterdroit-Xhaut)^2+(Yinterdroit-Yhaut)^2)+(Zinterdroit-Zhaut)^2))</f>
        <v>3.2449043791732399</v>
      </c>
      <c r="AE75" s="39">
        <f t="shared" si="2488"/>
        <v>4.0203674284306556</v>
      </c>
      <c r="AF75" s="39">
        <f t="shared" ref="AF75" si="2549">IF(Xhautdroit="","",SQRT(((Xhautdroit-Xhautgauche)^2+(Yhautdroit-Yhautgauche)^2)+(Zhautdroit-Zhautgauche)^2))</f>
        <v>1367154.0058095511</v>
      </c>
      <c r="AG75" s="39">
        <f t="shared" ref="AG75:AG107" si="2550">IF(Xinterdroit="","",SQRT(((Xinterdroit-Xintergauche)^2+(Yinterdroit-Yintergauche)^2)+(Zinterdroit-Zintergauche)^2))</f>
        <v>5.3480234723886522</v>
      </c>
      <c r="AH75" s="39">
        <f t="shared" si="2489"/>
        <v>4.9542465886033185</v>
      </c>
      <c r="AI75" s="43">
        <f>AI73</f>
        <v>-69.874255059626307</v>
      </c>
      <c r="AJ75" s="43">
        <f>AJ73</f>
        <v>-58.445070476605743</v>
      </c>
      <c r="AK75" s="43" t="str">
        <f t="shared" si="2490"/>
        <v/>
      </c>
      <c r="AL75" s="43">
        <f>AL73</f>
        <v>-18.653991376861743</v>
      </c>
      <c r="AM75" s="43">
        <f>AM73</f>
        <v>-65.443226281089565</v>
      </c>
      <c r="AN75" s="43">
        <f>AN73</f>
        <v>-47.113649938879121</v>
      </c>
      <c r="AO75" s="43"/>
      <c r="AP75" s="43">
        <f t="shared" si="2442"/>
        <v>-28.508782677812761</v>
      </c>
      <c r="AQ75" s="43">
        <f>AQ73</f>
        <v>-23.625067692163881</v>
      </c>
      <c r="AR75" s="40"/>
      <c r="AS75" s="43">
        <f>AS73</f>
        <v>0.84999995306134224</v>
      </c>
      <c r="AT75" s="43">
        <f t="shared" ref="AT75:AU75" si="2551">AT73</f>
        <v>-1.2500002048909664</v>
      </c>
      <c r="AU75" s="43">
        <f t="shared" si="2551"/>
        <v>3.3999999999991815</v>
      </c>
      <c r="AV75" s="43">
        <f>IF(H75="","",(H75-H$73)*1000)+AV$73</f>
        <v>1.500000013038516</v>
      </c>
      <c r="AW75" s="43">
        <f t="shared" ref="AW75" si="2552">IF(I75="","",(I75-I$73)*1000)+AW$73</f>
        <v>-3.4500001929700375</v>
      </c>
      <c r="AX75" s="43">
        <f t="shared" ref="AX75" si="2553">IF(J75="","",(J75-J$73)*1000)+AX$73</f>
        <v>1.1499999999955435</v>
      </c>
      <c r="AY75" s="43"/>
      <c r="AZ75" s="43"/>
      <c r="BA75" s="43"/>
      <c r="BB75" s="103">
        <f>BB73</f>
        <v>-15.499999979510903</v>
      </c>
      <c r="BC75" s="103">
        <f>BC73</f>
        <v>-3.499999875202775</v>
      </c>
      <c r="BD75" s="103">
        <f>BD73</f>
        <v>-76.750000000004093</v>
      </c>
      <c r="BE75" s="43"/>
      <c r="BF75" s="43"/>
      <c r="BG75" s="43"/>
      <c r="BH75" s="43">
        <f>IF(T75="","",(T75-T$73)*1000)+BH$73</f>
        <v>-10.199999902397394</v>
      </c>
      <c r="BI75" s="43">
        <f t="shared" ref="BI75:BJ75" si="2554">IF(U75="","",(U75-U$73)*1000)+BI$73</f>
        <v>22.850000066682696</v>
      </c>
      <c r="BJ75" s="43">
        <f t="shared" si="2554"/>
        <v>-0.29999999998153726</v>
      </c>
      <c r="BK75" s="43">
        <f t="shared" si="2535"/>
        <v>2.6000000070780516</v>
      </c>
      <c r="BL75" s="43">
        <f t="shared" si="2535"/>
        <v>26.049999985843897</v>
      </c>
      <c r="BM75" s="43">
        <f t="shared" si="2535"/>
        <v>-31.099999999995021</v>
      </c>
      <c r="BN75" s="40"/>
      <c r="BO75" s="39">
        <v>183.97</v>
      </c>
      <c r="BP75" s="39">
        <v>-2.4296000000000002</v>
      </c>
      <c r="BQ75" s="39">
        <v>-0.87760000000000005</v>
      </c>
      <c r="BR75" s="39">
        <v>183.94040000000001</v>
      </c>
      <c r="BS75" s="39">
        <v>-2.6648000000000001</v>
      </c>
      <c r="BT75" s="39">
        <v>0.29070000000000001</v>
      </c>
      <c r="BU75" s="41"/>
      <c r="BV75" s="42"/>
      <c r="BW75" s="42"/>
      <c r="BX75" s="101">
        <v>183.89500000000001</v>
      </c>
      <c r="BY75" s="102">
        <v>0.23749999999999999</v>
      </c>
      <c r="BZ75" s="102">
        <v>2.3864999999999998</v>
      </c>
      <c r="CA75" s="41"/>
      <c r="CB75" s="42"/>
      <c r="CC75" s="42"/>
      <c r="CD75" s="41">
        <v>183.90530000000001</v>
      </c>
      <c r="CE75" s="42">
        <v>2.6829000000000001</v>
      </c>
      <c r="CF75" s="42">
        <v>0.2535</v>
      </c>
      <c r="CG75" s="41">
        <v>183.8999</v>
      </c>
      <c r="CH75" s="42">
        <v>2.5238999999999998</v>
      </c>
      <c r="CI75" s="42">
        <v>-0.9204</v>
      </c>
      <c r="CJ75" s="40"/>
      <c r="CK75" s="43">
        <f>CK73</f>
        <v>-7.3264600018774217E-2</v>
      </c>
      <c r="CL75" s="43">
        <f t="shared" si="2536"/>
        <v>1.834151571051823</v>
      </c>
      <c r="CM75" s="43">
        <f t="shared" si="2536"/>
        <v>3.3997326459994648</v>
      </c>
      <c r="CN75" s="43">
        <f>IF(BR75="","",(BR75-BR$73)*1000)+CN$73</f>
        <v>-0.15554736992839935</v>
      </c>
      <c r="CO75" s="43">
        <f t="shared" ref="CO75" si="2555">IF(BS75="","",(BS75-BS$73)*1000)+CO$73</f>
        <v>3.7427759386932102</v>
      </c>
      <c r="CP75" s="43">
        <f t="shared" ref="CP75" si="2556">IF(BT75="","",(BT75-BT$73)*1000)+CP$73</f>
        <v>1.147555473697659</v>
      </c>
      <c r="CQ75" s="43" t="str">
        <f t="shared" si="2538"/>
        <v/>
      </c>
      <c r="CR75" s="43" t="str">
        <f t="shared" si="2539"/>
        <v/>
      </c>
      <c r="CS75" s="43" t="str">
        <f t="shared" si="2540"/>
        <v/>
      </c>
      <c r="CT75" s="43">
        <f>CT73</f>
        <v>-15.404442825513343</v>
      </c>
      <c r="CU75" s="43">
        <f>CU73</f>
        <v>-3.5387870836322275</v>
      </c>
      <c r="CV75" s="43">
        <f>CV73</f>
        <v>-76.586955571745548</v>
      </c>
      <c r="CW75" s="43"/>
      <c r="CX75" s="43"/>
      <c r="CY75" s="43"/>
      <c r="CZ75" s="43">
        <f>IF(CD75="","",(CD75-CD$73)*1000)+CZ$73</f>
        <v>0.41518197699019765</v>
      </c>
      <c r="DA75" s="43">
        <f t="shared" ref="DA75:DB75" si="2557">IF(CE75="","",(CE75-CE$73)*1000)+DA$73</f>
        <v>-25.109195814669416</v>
      </c>
      <c r="DB75" s="43">
        <f t="shared" si="2557"/>
        <v>-0.26315181978359137</v>
      </c>
      <c r="DC75" s="43">
        <f>DC73</f>
        <v>13.320106159312672</v>
      </c>
      <c r="DD75" s="43">
        <f t="shared" ref="DD75:DE75" si="2558">DD73</f>
        <v>-22.394844673448766</v>
      </c>
      <c r="DE75" s="43">
        <f t="shared" si="2558"/>
        <v>-31.236201061598297</v>
      </c>
    </row>
    <row r="76" spans="1:109" ht="29.25" customHeight="1" x14ac:dyDescent="0.2">
      <c r="A76" s="37">
        <v>44172</v>
      </c>
      <c r="B76" s="29">
        <f t="shared" si="2544"/>
        <v>514</v>
      </c>
      <c r="C76" s="38">
        <v>222.9</v>
      </c>
      <c r="D76" s="38">
        <f t="shared" ref="D76" si="2559">C76-PM</f>
        <v>39</v>
      </c>
      <c r="E76" s="39"/>
      <c r="F76" s="39"/>
      <c r="G76" s="39"/>
      <c r="H76" s="39">
        <v>823233.25260000001</v>
      </c>
      <c r="I76" s="39">
        <v>1091513.7594000001</v>
      </c>
      <c r="J76" s="39">
        <v>-123.4135</v>
      </c>
      <c r="K76" s="39"/>
      <c r="L76" s="39"/>
      <c r="M76" s="39"/>
      <c r="N76" s="39">
        <v>823234.43850000005</v>
      </c>
      <c r="O76" s="39">
        <v>1091511.1094</v>
      </c>
      <c r="P76" s="39">
        <v>-121.31789999999999</v>
      </c>
      <c r="Q76" s="39"/>
      <c r="R76" s="39"/>
      <c r="S76" s="39"/>
      <c r="T76" s="39">
        <v>823235.48140000005</v>
      </c>
      <c r="U76" s="39">
        <v>1091508.8973000001</v>
      </c>
      <c r="V76" s="39">
        <v>-123.45050000000001</v>
      </c>
      <c r="W76" s="39"/>
      <c r="X76" s="39"/>
      <c r="Y76" s="39"/>
      <c r="Z76" s="39"/>
      <c r="AA76" s="39">
        <f t="shared" si="2546"/>
        <v>3.5805583602053308</v>
      </c>
      <c r="AB76" s="39"/>
      <c r="AC76" s="39"/>
      <c r="AD76" s="39">
        <f t="shared" si="2548"/>
        <v>3.2448435369836757</v>
      </c>
      <c r="AE76" s="39"/>
      <c r="AF76" s="39"/>
      <c r="AG76" s="39">
        <f t="shared" si="2550"/>
        <v>5.3487320787687525</v>
      </c>
      <c r="AH76" s="39" t="str">
        <f t="shared" ref="AH76:AH107" si="2560">IF(Xbasdroit="","",SQRT(((Xbasdroit-Xbasgauche)^2+(Ybasdroit-Ybasgauche)^2)+(Zbasdroit-Zbasgauche)^2))</f>
        <v/>
      </c>
      <c r="AI76" s="43" t="str">
        <f t="shared" ref="AI76:AI78" si="2561">IF(Z76="","",(Z76-Z$10)*1000)</f>
        <v/>
      </c>
      <c r="AJ76" s="43">
        <f>IF(AA76="","",AJ$75+(AA76-AA$75)*1000)</f>
        <v>-57.899499450999144</v>
      </c>
      <c r="AK76" s="43" t="str">
        <f t="shared" si="2490"/>
        <v/>
      </c>
      <c r="AL76" s="43" t="str">
        <f t="shared" ref="AL76:AL78" si="2562">IF(AC76="","",(AC76-AC$10)*1000)</f>
        <v/>
      </c>
      <c r="AM76" s="43">
        <f>IF(AD76="","",AM$75+(AD76-AD$75)*1000)</f>
        <v>-65.50406847065382</v>
      </c>
      <c r="AN76" s="43" t="str">
        <f t="shared" ref="AN76:AN78" si="2563">IF(AE76="","",(AE76-AE$10)*1000)</f>
        <v/>
      </c>
      <c r="AO76" s="43" t="str">
        <f t="shared" si="2491"/>
        <v/>
      </c>
      <c r="AP76" s="43">
        <f>IF(AG76="","",AP$75+(AG76-AG$75)*1000)</f>
        <v>-27.800176297712476</v>
      </c>
      <c r="AQ76" s="43" t="str">
        <f t="shared" ref="AQ76:AQ78" si="2564">IF(AH76="","",(AH76-AH$10)*1000)</f>
        <v/>
      </c>
      <c r="AR76" s="40"/>
      <c r="AS76" s="43" t="str">
        <f t="shared" ref="AS76:AS78" si="2565">IF(E76="","",(E76-E$10)*1000)</f>
        <v/>
      </c>
      <c r="AT76" s="43" t="str">
        <f t="shared" ref="AT76:AT78" si="2566">IF(F76="","",(F76-F$10)*1000)</f>
        <v/>
      </c>
      <c r="AU76" s="43" t="str">
        <f t="shared" ref="AU76:AU78" si="2567">IF(G76="","",(G76-G$10)*1000)</f>
        <v/>
      </c>
      <c r="AV76" s="43">
        <f t="shared" ref="AV76:AV81" si="2568">IF(H76="","",(H76-H$75)*1000+AV$75)</f>
        <v>2.1000000415369868</v>
      </c>
      <c r="AW76" s="43">
        <f t="shared" ref="AW76:AX76" si="2569">IF(I76="","",(I76-I$75)*1000+AW$75)</f>
        <v>-2.9500001110136509</v>
      </c>
      <c r="AX76" s="43">
        <f t="shared" si="2569"/>
        <v>0.4500000000007276</v>
      </c>
      <c r="AY76" s="43" t="str">
        <f t="shared" si="2532"/>
        <v/>
      </c>
      <c r="AZ76" s="43" t="str">
        <f t="shared" si="2533"/>
        <v/>
      </c>
      <c r="BA76" s="43" t="str">
        <f t="shared" si="2534"/>
        <v/>
      </c>
      <c r="BB76" s="43">
        <f>IF(N76="","",(N76-N$75)*1000+BB$75)</f>
        <v>-14.499999932013452</v>
      </c>
      <c r="BC76" s="43">
        <f t="shared" ref="BC76" si="2570">IF(O76="","",(O76-O$75)*1000+BC$75)</f>
        <v>-3.399999812245369</v>
      </c>
      <c r="BD76" s="43">
        <f t="shared" ref="BD76" si="2571">IF(P76="","",(P76-P$75)*1000+BD$75)</f>
        <v>-77.249999999992269</v>
      </c>
      <c r="BE76" s="43" t="str">
        <f t="shared" ref="BE76:BE79" si="2572">IF(Q76="","",(Q76-Q$10)*1000)</f>
        <v/>
      </c>
      <c r="BF76" s="43" t="str">
        <f t="shared" ref="BF76:BF79" si="2573">IF(R76="","",(R76-R$10)*1000)</f>
        <v/>
      </c>
      <c r="BG76" s="43" t="str">
        <f t="shared" ref="BG76:BG79" si="2574">IF(S76="","",(S76-S$10)*1000)</f>
        <v/>
      </c>
      <c r="BH76" s="43">
        <f>IF(T76="","",(T76-T$75)*1000+BH$75)</f>
        <v>-9.1999998548999429</v>
      </c>
      <c r="BI76" s="43">
        <f t="shared" ref="BI76" si="2575">IF(U76="","",(U76-U$75)*1000+BI$75)</f>
        <v>22.750000236555934</v>
      </c>
      <c r="BJ76" s="43">
        <f t="shared" ref="BJ76" si="2576">IF(V76="","",(V76-V$75)*1000+BJ$75)</f>
        <v>-0.49999999998817657</v>
      </c>
      <c r="BK76" s="43" t="str">
        <f t="shared" ref="BK76:BK78" si="2577">IF(W76="","",(W76-W$10)*1000)</f>
        <v/>
      </c>
      <c r="BL76" s="43" t="str">
        <f t="shared" ref="BL76:BL78" si="2578">IF(X76="","",(X76-X$10)*1000)</f>
        <v/>
      </c>
      <c r="BM76" s="43" t="str">
        <f t="shared" ref="BM76:BM78" si="2579">IF(Y76="","",(Y76-Y$10)*1000)</f>
        <v/>
      </c>
      <c r="BN76" s="40"/>
      <c r="BO76" s="39"/>
      <c r="BP76" s="39"/>
      <c r="BQ76" s="39"/>
      <c r="BR76" s="39">
        <v>183.94117850584058</v>
      </c>
      <c r="BS76" s="39">
        <v>-2.6650472859338974</v>
      </c>
      <c r="BT76" s="39">
        <v>0.28996821494159519</v>
      </c>
      <c r="BU76" s="41"/>
      <c r="BV76" s="42"/>
      <c r="BW76" s="42"/>
      <c r="BX76" s="41">
        <v>183.89592242017071</v>
      </c>
      <c r="BY76" s="42">
        <v>0.23784966324396981</v>
      </c>
      <c r="BZ76" s="42">
        <v>2.3860207757983005</v>
      </c>
      <c r="CA76" s="41"/>
      <c r="CB76" s="42"/>
      <c r="CC76" s="42"/>
      <c r="CD76" s="41">
        <v>183.9061458867607</v>
      </c>
      <c r="CE76" s="42">
        <v>2.6834420864076582</v>
      </c>
      <c r="CF76" s="42">
        <v>0.25331854113238705</v>
      </c>
      <c r="CG76" s="41"/>
      <c r="CH76" s="42"/>
      <c r="CI76" s="42"/>
      <c r="CJ76" s="40"/>
      <c r="CK76" s="43" t="str">
        <f t="shared" ref="CK76:CK78" si="2580">IF(BO76="","",(BO76-BO$10)*1000)</f>
        <v/>
      </c>
      <c r="CL76" s="43" t="str">
        <f t="shared" ref="CL76:CL78" si="2581">IF(BP76="","",(BP76-BP$10)*1000)</f>
        <v/>
      </c>
      <c r="CM76" s="43" t="str">
        <f t="shared" ref="CM76:CM78" si="2582">IF(BQ76="","",(BQ76-BQ$10)*1000)</f>
        <v/>
      </c>
      <c r="CN76" s="43">
        <f t="shared" ref="CN76:CN81" si="2583">IF(BR76="","",CN$75+(BR76-BR$75)*1000)</f>
        <v>0.62295847064319787</v>
      </c>
      <c r="CO76" s="43">
        <f t="shared" ref="CO76:CP76" si="2584">IF(BS76="","",CO$75+(BS76-BS$75)*1000)</f>
        <v>3.4954900047958759</v>
      </c>
      <c r="CP76" s="43">
        <f t="shared" si="2584"/>
        <v>0.41577041529283765</v>
      </c>
      <c r="CQ76" s="43" t="str">
        <f t="shared" ref="CQ76:CQ79" si="2585">IF(BU76="","",(BU76-BU$10)*1000)</f>
        <v/>
      </c>
      <c r="CR76" s="43" t="str">
        <f t="shared" ref="CR76:CR79" si="2586">IF(BV76="","",(BV76-BV$10)*1000)</f>
        <v/>
      </c>
      <c r="CS76" s="43" t="str">
        <f t="shared" ref="CS76:CS79" si="2587">IF(BW76="","",(BW76-BW$10)*1000)</f>
        <v/>
      </c>
      <c r="CT76" s="43">
        <f t="shared" ref="CT76:CT81" si="2588">IF(BX76="","",CT$75+(BX76-BX$75)*1000)</f>
        <v>-14.482022654817683</v>
      </c>
      <c r="CU76" s="43">
        <f t="shared" ref="CU76" si="2589">IF(BY76="","",CU$75+(BY76-BY$75)*1000)</f>
        <v>-3.1891238396624111</v>
      </c>
      <c r="CV76" s="43">
        <f t="shared" ref="CV76" si="2590">IF(BZ76="","",CV$75+(BZ76-BZ$75)*1000)</f>
        <v>-77.066179773444873</v>
      </c>
      <c r="CW76" s="43" t="str">
        <f t="shared" ref="CW76:CW79" si="2591">IF(CA76="","",(CA76-CA$10)*1000)</f>
        <v/>
      </c>
      <c r="CX76" s="43" t="str">
        <f t="shared" ref="CX76:CX79" si="2592">IF(CB76="","",(CB76-CB$10)*1000)</f>
        <v/>
      </c>
      <c r="CY76" s="43" t="str">
        <f t="shared" ref="CY76:CY79" si="2593">IF(CC76="","",(CC76-CC$10)*1000)</f>
        <v/>
      </c>
      <c r="CZ76" s="43">
        <f t="shared" ref="CZ76:CZ81" si="2594">IF(CD76="","",CZ$75+(CD76-CD$75)*1000)</f>
        <v>1.2610687376763963</v>
      </c>
      <c r="DA76" s="43">
        <f t="shared" ref="DA76" si="2595">IF(CE76="","",DA$75+(CE76-CE$75)*1000)</f>
        <v>-24.567109407011234</v>
      </c>
      <c r="DB76" s="43">
        <f t="shared" ref="DB76" si="2596">IF(CF76="","",DB$75+(CF76-CF$75)*1000)</f>
        <v>-0.44461068739654053</v>
      </c>
      <c r="DC76" s="43" t="str">
        <f t="shared" ref="DC76:DC78" si="2597">IF(CG76="","",(CG76-CG$10)*1000)</f>
        <v/>
      </c>
      <c r="DD76" s="43" t="str">
        <f t="shared" ref="DD76:DD78" si="2598">IF(CH76="","",(CH76-CH$10)*1000)</f>
        <v/>
      </c>
      <c r="DE76" s="43" t="str">
        <f t="shared" ref="DE76:DE78" si="2599">IF(CI76="","",(CI76-CI$10)*1000)</f>
        <v/>
      </c>
    </row>
    <row r="77" spans="1:109" ht="29.25" customHeight="1" x14ac:dyDescent="0.2">
      <c r="A77" s="37">
        <v>44229</v>
      </c>
      <c r="B77" s="29">
        <f t="shared" si="2544"/>
        <v>571</v>
      </c>
      <c r="C77" s="38">
        <v>222.9</v>
      </c>
      <c r="D77" s="38">
        <f t="shared" ref="D77" si="2600">C77-PM</f>
        <v>39</v>
      </c>
      <c r="E77" s="39"/>
      <c r="F77" s="39"/>
      <c r="G77" s="39"/>
      <c r="H77" s="39">
        <v>823233.25269999995</v>
      </c>
      <c r="I77" s="39">
        <v>1091513.7596</v>
      </c>
      <c r="J77" s="39">
        <v>-123.41249999999999</v>
      </c>
      <c r="K77" s="39"/>
      <c r="L77" s="39"/>
      <c r="M77" s="39"/>
      <c r="N77" s="39">
        <v>823234.43900000001</v>
      </c>
      <c r="O77" s="39">
        <v>1091511.1100000001</v>
      </c>
      <c r="P77" s="39">
        <v>-121.318</v>
      </c>
      <c r="Q77" s="39"/>
      <c r="R77" s="39"/>
      <c r="S77" s="39"/>
      <c r="T77" s="39">
        <v>823235.48199999996</v>
      </c>
      <c r="U77" s="39">
        <v>1091508.898</v>
      </c>
      <c r="V77" s="39">
        <v>-123.45</v>
      </c>
      <c r="W77" s="39"/>
      <c r="X77" s="39"/>
      <c r="Y77" s="39"/>
      <c r="Z77" s="39"/>
      <c r="AA77" s="39">
        <f t="shared" si="2546"/>
        <v>3.5797511225707797</v>
      </c>
      <c r="AB77" s="39"/>
      <c r="AC77" s="39"/>
      <c r="AD77" s="39">
        <f t="shared" si="2548"/>
        <v>3.2444131981214626</v>
      </c>
      <c r="AE77" s="39"/>
      <c r="AF77" s="39" t="str">
        <f t="shared" ref="AF77:AF87" si="2601">IF(Xhautdroit="","",SQRT(((Xhautdroit-Xhautgauche)^2+(Yhautdroit-Yhautgauche)^2)+(Zhautdroit-Zhautgauche)^2))</f>
        <v/>
      </c>
      <c r="AG77" s="39">
        <f t="shared" si="2550"/>
        <v>5.3484894409075352</v>
      </c>
      <c r="AH77" s="39" t="str">
        <f t="shared" si="2560"/>
        <v/>
      </c>
      <c r="AI77" s="43" t="str">
        <f t="shared" si="2561"/>
        <v/>
      </c>
      <c r="AJ77" s="43">
        <f>IF(AA77="","",AJ$75+(AA77-AA$75)*1000)</f>
        <v>-58.706737085550301</v>
      </c>
      <c r="AK77" s="43" t="str">
        <f t="shared" si="2490"/>
        <v/>
      </c>
      <c r="AL77" s="43" t="str">
        <f t="shared" si="2562"/>
        <v/>
      </c>
      <c r="AM77" s="43">
        <f>IF(AD77="","",AM$75+(AD77-AD$75)*1000)</f>
        <v>-65.934407332866925</v>
      </c>
      <c r="AN77" s="43" t="str">
        <f t="shared" ref="AN77" si="2602">IF(AE77="","",(AE77-AE$10)*1000)</f>
        <v/>
      </c>
      <c r="AO77" s="43" t="str">
        <f t="shared" ref="AO77" si="2603">IF(AF77="","",(AF77-AF$10)*1000)</f>
        <v/>
      </c>
      <c r="AP77" s="43">
        <f>IF(AG77="","",AP$75+(AG77-AG$75)*1000)</f>
        <v>-28.04281415892973</v>
      </c>
      <c r="AQ77" s="43" t="str">
        <f t="shared" si="2564"/>
        <v/>
      </c>
      <c r="AR77" s="40"/>
      <c r="AS77" s="43" t="str">
        <f t="shared" si="2565"/>
        <v/>
      </c>
      <c r="AT77" s="43" t="str">
        <f t="shared" si="2566"/>
        <v/>
      </c>
      <c r="AU77" s="43" t="str">
        <f t="shared" si="2567"/>
        <v/>
      </c>
      <c r="AV77" s="43">
        <f t="shared" si="2568"/>
        <v>2.199999988079071</v>
      </c>
      <c r="AW77" s="43">
        <f t="shared" ref="AW77" si="2604">IF(I77="","",(I77-I$75)*1000+AW$75)</f>
        <v>-2.7500002179294825</v>
      </c>
      <c r="AX77" s="43">
        <f t="shared" ref="AX77" si="2605">IF(J77="","",(J77-J$75)*1000+AX$75)</f>
        <v>1.4500000000055024</v>
      </c>
      <c r="AY77" s="43" t="str">
        <f t="shared" ref="AY77" si="2606">IF(K77="","",(K77-K$10)*1000)</f>
        <v/>
      </c>
      <c r="AZ77" s="43" t="str">
        <f t="shared" ref="AZ77" si="2607">IF(L77="","",(L77-L$10)*1000)</f>
        <v/>
      </c>
      <c r="BA77" s="43" t="str">
        <f t="shared" ref="BA77" si="2608">IF(M77="","",(M77-M$10)*1000)</f>
        <v/>
      </c>
      <c r="BB77" s="43">
        <f>IF(N77="","",(N77-N$75)*1000+BB$75)</f>
        <v>-13.999999966472387</v>
      </c>
      <c r="BC77" s="43">
        <f t="shared" ref="BC77" si="2609">IF(O77="","",(O77-O$75)*1000+BC$75)</f>
        <v>-2.7999996673315763</v>
      </c>
      <c r="BD77" s="43">
        <f t="shared" ref="BD77" si="2610">IF(P77="","",(P77-P$75)*1000+BD$75)</f>
        <v>-77.349999999995589</v>
      </c>
      <c r="BE77" s="43" t="str">
        <f t="shared" ref="BE77" si="2611">IF(Q77="","",(Q77-Q$10)*1000)</f>
        <v/>
      </c>
      <c r="BF77" s="43" t="str">
        <f t="shared" ref="BF77" si="2612">IF(R77="","",(R77-R$10)*1000)</f>
        <v/>
      </c>
      <c r="BG77" s="43" t="str">
        <f t="shared" ref="BG77" si="2613">IF(S77="","",(S77-S$10)*1000)</f>
        <v/>
      </c>
      <c r="BH77" s="43">
        <f>IF(T77="","",(T77-T$75)*1000+BH$75)</f>
        <v>-8.5999999428167939</v>
      </c>
      <c r="BI77" s="43">
        <f t="shared" ref="BI77" si="2614">IF(U77="","",(U77-U$75)*1000+BI$75)</f>
        <v>23.450000211596489</v>
      </c>
      <c r="BJ77" s="43">
        <f t="shared" ref="BJ77" si="2615">IF(V77="","",(V77-V$75)*1000+BJ$75)</f>
        <v>1.4210854715202004E-11</v>
      </c>
      <c r="BK77" s="43" t="str">
        <f t="shared" si="2577"/>
        <v/>
      </c>
      <c r="BL77" s="43" t="str">
        <f t="shared" si="2578"/>
        <v/>
      </c>
      <c r="BM77" s="43" t="str">
        <f t="shared" si="2579"/>
        <v/>
      </c>
      <c r="BN77" s="40"/>
      <c r="BO77" s="39"/>
      <c r="BP77" s="39"/>
      <c r="BQ77" s="39"/>
      <c r="BR77" s="39">
        <v>183.94135366535386</v>
      </c>
      <c r="BS77" s="39">
        <v>-2.6651862790683962</v>
      </c>
      <c r="BT77" s="39">
        <v>0.29096646334646437</v>
      </c>
      <c r="BU77" s="41"/>
      <c r="BV77" s="42"/>
      <c r="BW77" s="42"/>
      <c r="BX77" s="41">
        <v>183.89649626294175</v>
      </c>
      <c r="BY77" s="42">
        <v>0.23756557790794799</v>
      </c>
      <c r="BZ77" s="42">
        <v>2.3860150373705835</v>
      </c>
      <c r="CA77" s="41"/>
      <c r="CB77" s="42"/>
      <c r="CC77" s="42"/>
      <c r="CD77" s="41">
        <v>183.90600000000001</v>
      </c>
      <c r="CE77" s="42">
        <v>2.6829999999999998</v>
      </c>
      <c r="CF77" s="42">
        <v>0.254</v>
      </c>
      <c r="CG77" s="41"/>
      <c r="CH77" s="42"/>
      <c r="CI77" s="42"/>
      <c r="CJ77" s="40"/>
      <c r="CK77" s="43" t="str">
        <f t="shared" si="2580"/>
        <v/>
      </c>
      <c r="CL77" s="43" t="str">
        <f t="shared" si="2581"/>
        <v/>
      </c>
      <c r="CM77" s="43" t="str">
        <f t="shared" si="2582"/>
        <v/>
      </c>
      <c r="CN77" s="43">
        <f t="shared" si="2583"/>
        <v>0.79811798391915545</v>
      </c>
      <c r="CO77" s="43">
        <f t="shared" ref="CO77" si="2616">IF(BS77="","",CO$75+(BS77-BS$75)*1000)</f>
        <v>3.3564968702970432</v>
      </c>
      <c r="CP77" s="43">
        <f t="shared" ref="CP77" si="2617">IF(BT77="","",CP$75+(BT77-BT$75)*1000)</f>
        <v>1.4140188201620107</v>
      </c>
      <c r="CQ77" s="43" t="str">
        <f t="shared" si="2585"/>
        <v/>
      </c>
      <c r="CR77" s="43" t="str">
        <f t="shared" si="2586"/>
        <v/>
      </c>
      <c r="CS77" s="43" t="str">
        <f t="shared" si="2587"/>
        <v/>
      </c>
      <c r="CT77" s="43">
        <f t="shared" si="2588"/>
        <v>-13.908179883770799</v>
      </c>
      <c r="CU77" s="43">
        <f t="shared" ref="CU77" si="2618">IF(BY77="","",CU$75+(BY77-BY$75)*1000)</f>
        <v>-3.4732091756842216</v>
      </c>
      <c r="CV77" s="43">
        <f t="shared" ref="CV77" si="2619">IF(BZ77="","",CV$75+(BZ77-BZ$75)*1000)</f>
        <v>-77.071918201161878</v>
      </c>
      <c r="CW77" s="43" t="str">
        <f t="shared" ref="CW77" si="2620">IF(CA77="","",(CA77-CA$10)*1000)</f>
        <v/>
      </c>
      <c r="CX77" s="43" t="str">
        <f t="shared" ref="CX77" si="2621">IF(CB77="","",(CB77-CB$10)*1000)</f>
        <v/>
      </c>
      <c r="CY77" s="43" t="str">
        <f t="shared" ref="CY77" si="2622">IF(CC77="","",(CC77-CC$10)*1000)</f>
        <v/>
      </c>
      <c r="CZ77" s="43">
        <f t="shared" si="2594"/>
        <v>1.1151819769850135</v>
      </c>
      <c r="DA77" s="43">
        <f t="shared" ref="DA77" si="2623">IF(CE77="","",DA$75+(CE77-CE$75)*1000)</f>
        <v>-25.009195814669649</v>
      </c>
      <c r="DB77" s="43">
        <f t="shared" ref="DB77" si="2624">IF(CF77="","",DB$75+(CF77-CF$75)*1000)</f>
        <v>0.23684818021640908</v>
      </c>
      <c r="DC77" s="43" t="str">
        <f t="shared" si="2597"/>
        <v/>
      </c>
      <c r="DD77" s="43" t="str">
        <f t="shared" si="2598"/>
        <v/>
      </c>
      <c r="DE77" s="43" t="str">
        <f t="shared" si="2599"/>
        <v/>
      </c>
    </row>
    <row r="78" spans="1:109" ht="25.5" customHeight="1" x14ac:dyDescent="0.2">
      <c r="A78" s="37">
        <v>44273</v>
      </c>
      <c r="B78" s="29">
        <f t="shared" si="2544"/>
        <v>615</v>
      </c>
      <c r="C78" s="38">
        <v>222.9</v>
      </c>
      <c r="D78" s="38">
        <f t="shared" ref="D78" si="2625">C78-PM</f>
        <v>39</v>
      </c>
      <c r="E78" s="39"/>
      <c r="F78" s="39"/>
      <c r="G78" s="39"/>
      <c r="H78" s="39">
        <v>823233.25470000005</v>
      </c>
      <c r="I78" s="39">
        <v>1091513.7557000001</v>
      </c>
      <c r="J78" s="39">
        <v>-123.413</v>
      </c>
      <c r="K78" s="39"/>
      <c r="L78" s="39"/>
      <c r="M78" s="39"/>
      <c r="N78" s="39">
        <v>823234.43969999999</v>
      </c>
      <c r="O78" s="39">
        <v>1091511.1069</v>
      </c>
      <c r="P78" s="39">
        <v>-121.3189</v>
      </c>
      <c r="Q78" s="39"/>
      <c r="R78" s="39"/>
      <c r="S78" s="39"/>
      <c r="T78" s="39">
        <v>823235.48210000002</v>
      </c>
      <c r="U78" s="39">
        <v>1091508.8958000001</v>
      </c>
      <c r="V78" s="39">
        <v>-123.45010000000001</v>
      </c>
      <c r="W78" s="39"/>
      <c r="X78" s="39"/>
      <c r="Y78" s="39"/>
      <c r="Z78" s="39"/>
      <c r="AA78" s="39">
        <f t="shared" si="2546"/>
        <v>3.578494271379324</v>
      </c>
      <c r="AB78" s="39"/>
      <c r="AC78" s="39"/>
      <c r="AD78" s="39">
        <f t="shared" si="2548"/>
        <v>3.2430810057538721</v>
      </c>
      <c r="AE78" s="39"/>
      <c r="AF78" s="39" t="str">
        <f t="shared" si="2601"/>
        <v/>
      </c>
      <c r="AG78" s="39">
        <f t="shared" si="2550"/>
        <v>5.3461495658342102</v>
      </c>
      <c r="AH78" s="39" t="str">
        <f t="shared" si="2560"/>
        <v/>
      </c>
      <c r="AI78" s="43" t="str">
        <f t="shared" si="2561"/>
        <v/>
      </c>
      <c r="AJ78" s="43">
        <f t="shared" ref="AI78:AJ79" si="2626">IF(AA78="","",AJ$75+(AA78-AA$75)*1000)</f>
        <v>-59.963588277005982</v>
      </c>
      <c r="AK78" s="43" t="str">
        <f t="shared" si="2490"/>
        <v/>
      </c>
      <c r="AL78" s="43" t="str">
        <f t="shared" si="2562"/>
        <v/>
      </c>
      <c r="AM78" s="43">
        <f t="shared" ref="AL78:AN79" si="2627">IF(AD78="","",AM$75+(AD78-AD$75)*1000)</f>
        <v>-67.266599700457348</v>
      </c>
      <c r="AN78" s="43" t="str">
        <f t="shared" si="2563"/>
        <v/>
      </c>
      <c r="AO78" s="43" t="str">
        <f t="shared" si="2491"/>
        <v/>
      </c>
      <c r="AP78" s="43">
        <f t="shared" ref="AP78:AQ79" si="2628">IF(AG78="","",AP$75+(AG78-AG$75)*1000)</f>
        <v>-30.382689232254734</v>
      </c>
      <c r="AQ78" s="43" t="str">
        <f t="shared" si="2564"/>
        <v/>
      </c>
      <c r="AR78" s="40"/>
      <c r="AS78" s="43" t="str">
        <f t="shared" si="2565"/>
        <v/>
      </c>
      <c r="AT78" s="43" t="str">
        <f t="shared" si="2566"/>
        <v/>
      </c>
      <c r="AU78" s="43" t="str">
        <f t="shared" si="2567"/>
        <v/>
      </c>
      <c r="AV78" s="43">
        <f t="shared" si="2568"/>
        <v>4.2000000830739737</v>
      </c>
      <c r="AW78" s="43">
        <f t="shared" ref="AW78" si="2629">IF(I78="","",(I78-I$75)*1000+AW$75)</f>
        <v>-6.650000112131238</v>
      </c>
      <c r="AX78" s="43">
        <f t="shared" ref="AX78" si="2630">IF(J78="","",(J78-J$75)*1000+AX$75)</f>
        <v>0.95000000000311502</v>
      </c>
      <c r="AY78" s="43" t="str">
        <f t="shared" si="2532"/>
        <v/>
      </c>
      <c r="AZ78" s="43" t="str">
        <f t="shared" si="2533"/>
        <v/>
      </c>
      <c r="BA78" s="43" t="str">
        <f t="shared" si="2534"/>
        <v/>
      </c>
      <c r="BB78" s="43">
        <f t="shared" ref="BB78:BB79" si="2631">IF(N78="","",(N78-N$75)*1000+BB$75)</f>
        <v>-13.299999991431832</v>
      </c>
      <c r="BC78" s="43">
        <f t="shared" ref="BC78:BC79" si="2632">IF(O78="","",(O78-O$75)*1000+BC$75)</f>
        <v>-5.8999997563660145</v>
      </c>
      <c r="BD78" s="43">
        <f t="shared" ref="BD78:BD79" si="2633">IF(P78="","",(P78-P$75)*1000+BD$75)</f>
        <v>-78.249999999997044</v>
      </c>
      <c r="BE78" s="43" t="str">
        <f t="shared" si="2572"/>
        <v/>
      </c>
      <c r="BF78" s="43" t="str">
        <f t="shared" si="2573"/>
        <v/>
      </c>
      <c r="BG78" s="43" t="str">
        <f t="shared" si="2574"/>
        <v/>
      </c>
      <c r="BH78" s="43">
        <f t="shared" ref="BH78:BH80" si="2634">IF(T78="","",(T78-T$75)*1000+BH$75)</f>
        <v>-8.4999998798593879</v>
      </c>
      <c r="BI78" s="43">
        <f t="shared" ref="BI78:BI80" si="2635">IF(U78="","",(U78-U$75)*1000+BI$75)</f>
        <v>21.250000223517418</v>
      </c>
      <c r="BJ78" s="43">
        <f t="shared" ref="BJ78:BJ80" si="2636">IF(V78="","",(V78-V$75)*1000+BJ$75)</f>
        <v>-9.9999999989108801E-2</v>
      </c>
      <c r="BK78" s="43" t="str">
        <f t="shared" si="2577"/>
        <v/>
      </c>
      <c r="BL78" s="43" t="str">
        <f t="shared" si="2578"/>
        <v/>
      </c>
      <c r="BM78" s="43" t="str">
        <f t="shared" si="2579"/>
        <v/>
      </c>
      <c r="BN78" s="40"/>
      <c r="BO78" s="39"/>
      <c r="BP78" s="39"/>
      <c r="BQ78" s="39"/>
      <c r="BR78" s="39">
        <v>183.94151790674363</v>
      </c>
      <c r="BS78" s="39">
        <v>-2.660806436112253</v>
      </c>
      <c r="BT78" s="39">
        <v>0.29046482093256998</v>
      </c>
      <c r="BU78" s="41"/>
      <c r="BV78" s="42"/>
      <c r="BW78" s="42"/>
      <c r="BX78" s="41">
        <v>183.89595334057424</v>
      </c>
      <c r="BY78" s="42">
        <v>0.24062257570322215</v>
      </c>
      <c r="BZ78" s="42">
        <v>2.3850204665942556</v>
      </c>
      <c r="CA78" s="41"/>
      <c r="CB78" s="42"/>
      <c r="CC78" s="42"/>
      <c r="CD78" s="41">
        <v>183.90614631315182</v>
      </c>
      <c r="CE78" s="42">
        <v>2.6850973808897067</v>
      </c>
      <c r="CF78" s="42">
        <v>0.25371853686847601</v>
      </c>
      <c r="CG78" s="41"/>
      <c r="CH78" s="42"/>
      <c r="CI78" s="42"/>
      <c r="CJ78" s="40"/>
      <c r="CK78" s="43" t="str">
        <f t="shared" si="2580"/>
        <v/>
      </c>
      <c r="CL78" s="43" t="str">
        <f t="shared" si="2581"/>
        <v/>
      </c>
      <c r="CM78" s="43" t="str">
        <f t="shared" si="2582"/>
        <v/>
      </c>
      <c r="CN78" s="43">
        <f t="shared" si="2583"/>
        <v>0.9623593736876046</v>
      </c>
      <c r="CO78" s="43">
        <f t="shared" ref="CO78" si="2637">IF(BS78="","",CO$75+(BS78-BS$75)*1000)</f>
        <v>7.7363398264402861</v>
      </c>
      <c r="CP78" s="43">
        <f t="shared" ref="CP78" si="2638">IF(BT78="","",CP$75+(BT78-BT$75)*1000)</f>
        <v>0.91237640626762317</v>
      </c>
      <c r="CQ78" s="43" t="str">
        <f t="shared" ref="CQ78" si="2639">IF(BU78="","",(BU78-BU$10)*1000)</f>
        <v/>
      </c>
      <c r="CR78" s="43" t="str">
        <f t="shared" ref="CR78" si="2640">IF(BV78="","",(BV78-BV$10)*1000)</f>
        <v/>
      </c>
      <c r="CS78" s="43" t="str">
        <f t="shared" ref="CS78" si="2641">IF(BW78="","",(BW78-BW$10)*1000)</f>
        <v/>
      </c>
      <c r="CT78" s="43">
        <f t="shared" si="2588"/>
        <v>-14.451102251285874</v>
      </c>
      <c r="CU78" s="43">
        <f t="shared" ref="CU78" si="2642">IF(BY78="","",CU$75+(BY78-BY$75)*1000)</f>
        <v>-0.416211380410064</v>
      </c>
      <c r="CV78" s="43">
        <f t="shared" ref="CV78" si="2643">IF(BZ78="","",CV$75+(BZ78-BZ$75)*1000)</f>
        <v>-78.066488977489797</v>
      </c>
      <c r="CW78" s="43" t="str">
        <f t="shared" si="2591"/>
        <v/>
      </c>
      <c r="CX78" s="43" t="str">
        <f t="shared" si="2592"/>
        <v/>
      </c>
      <c r="CY78" s="43" t="str">
        <f t="shared" si="2593"/>
        <v/>
      </c>
      <c r="CZ78" s="43">
        <f t="shared" si="2594"/>
        <v>1.2614951288014709</v>
      </c>
      <c r="DA78" s="43">
        <f t="shared" ref="DA78" si="2644">IF(CE78="","",DA$75+(CE78-CE$75)*1000)</f>
        <v>-22.911814924962748</v>
      </c>
      <c r="DB78" s="43">
        <f t="shared" ref="DB78" si="2645">IF(CF78="","",DB$75+(CF78-CF$75)*1000)</f>
        <v>-4.4614951307586637E-2</v>
      </c>
      <c r="DC78" s="43" t="str">
        <f t="shared" si="2597"/>
        <v/>
      </c>
      <c r="DD78" s="43" t="str">
        <f t="shared" si="2598"/>
        <v/>
      </c>
      <c r="DE78" s="43" t="str">
        <f t="shared" si="2599"/>
        <v/>
      </c>
    </row>
    <row r="79" spans="1:109" ht="29.25" customHeight="1" x14ac:dyDescent="0.2">
      <c r="A79" s="37">
        <v>44322</v>
      </c>
      <c r="B79" s="29">
        <f t="shared" si="2544"/>
        <v>664</v>
      </c>
      <c r="C79" s="38">
        <v>222.9</v>
      </c>
      <c r="D79" s="38">
        <f t="shared" ref="D79" si="2646">C79-PM</f>
        <v>39</v>
      </c>
      <c r="E79" s="39">
        <v>823233.37939999998</v>
      </c>
      <c r="F79" s="39">
        <v>1091513.5575000001</v>
      </c>
      <c r="G79" s="39">
        <v>-124.58029999999999</v>
      </c>
      <c r="H79" s="39">
        <v>823233.25260000001</v>
      </c>
      <c r="I79" s="39">
        <v>1091513.7594999999</v>
      </c>
      <c r="J79" s="39">
        <v>-123.413</v>
      </c>
      <c r="K79" s="39"/>
      <c r="L79" s="39"/>
      <c r="M79" s="39"/>
      <c r="N79" s="39">
        <v>823234.43929999997</v>
      </c>
      <c r="O79" s="39">
        <v>1091511.1095</v>
      </c>
      <c r="P79" s="39">
        <v>-121.3193</v>
      </c>
      <c r="Q79" s="39"/>
      <c r="R79" s="39"/>
      <c r="S79" s="39"/>
      <c r="T79" s="39">
        <v>823235.48149999999</v>
      </c>
      <c r="U79" s="39">
        <v>1091508.8973999999</v>
      </c>
      <c r="V79" s="39">
        <v>-123.4503</v>
      </c>
      <c r="W79" s="39">
        <v>823235.40839999996</v>
      </c>
      <c r="X79" s="39">
        <v>1091509.0388</v>
      </c>
      <c r="Y79" s="39">
        <v>-124.62390000000001</v>
      </c>
      <c r="Z79" s="39">
        <f t="shared" ref="Z79:Z107" si="2647">IF(Xhaut="","",SQRT(((Xbasgauche-Xhaut)^2+(Ybasgauche-Yhaut)^2)+(Zbasgauche-Zhaut)^2))</f>
        <v>4.2131001661996867</v>
      </c>
      <c r="AA79" s="39">
        <f t="shared" si="2546"/>
        <v>3.5797118011672682</v>
      </c>
      <c r="AB79" s="39"/>
      <c r="AC79" s="39"/>
      <c r="AD79" s="39">
        <f t="shared" si="2548"/>
        <v>3.243567210739867</v>
      </c>
      <c r="AE79" s="39">
        <f t="shared" ref="AE79:AE107" si="2648">IF(Xhaut="","",SQRT(((Xbasdroit-Xhaut)^2+(Ybasdroit-Yhaut)^2)+(Zbasdroit-Zhaut)^2))</f>
        <v>4.0183746042576081</v>
      </c>
      <c r="AF79" s="39" t="str">
        <f t="shared" si="2601"/>
        <v/>
      </c>
      <c r="AG79" s="39">
        <f t="shared" si="2550"/>
        <v>5.348775832862283</v>
      </c>
      <c r="AH79" s="39">
        <f t="shared" si="2560"/>
        <v>4.9535231554025341</v>
      </c>
      <c r="AI79" s="43">
        <f t="shared" si="2626"/>
        <v>-72.104118746809235</v>
      </c>
      <c r="AJ79" s="43">
        <f t="shared" si="2626"/>
        <v>-58.746058489061781</v>
      </c>
      <c r="AK79" s="43" t="str">
        <f t="shared" si="2490"/>
        <v/>
      </c>
      <c r="AL79" s="43" t="str">
        <f t="shared" si="2627"/>
        <v/>
      </c>
      <c r="AM79" s="43">
        <f t="shared" si="2627"/>
        <v>-66.780394714462517</v>
      </c>
      <c r="AN79" s="43">
        <f t="shared" si="2627"/>
        <v>-49.106474111926701</v>
      </c>
      <c r="AO79" s="43" t="str">
        <f t="shared" si="2491"/>
        <v/>
      </c>
      <c r="AP79" s="43">
        <f t="shared" si="2628"/>
        <v>-27.756422204181952</v>
      </c>
      <c r="AQ79" s="43">
        <f t="shared" si="2628"/>
        <v>-24.348500892948266</v>
      </c>
      <c r="AR79" s="40"/>
      <c r="AS79" s="43">
        <f t="shared" ref="AS79" si="2649">IF(E79="","",(E79-E$75)*1000+AS$75)</f>
        <v>2.049999893642962</v>
      </c>
      <c r="AT79" s="43">
        <f t="shared" ref="AT79" si="2650">IF(F79="","",(F79-F$75)*1000+AT$75)</f>
        <v>-1.9500001799315214</v>
      </c>
      <c r="AU79" s="43">
        <f t="shared" ref="AU79" si="2651">IF(G79="","",(G79-G$75)*1000+AU$75)</f>
        <v>3.9000000000015689</v>
      </c>
      <c r="AV79" s="43">
        <f t="shared" si="2568"/>
        <v>2.1000000415369868</v>
      </c>
      <c r="AW79" s="43">
        <f t="shared" ref="AW79" si="2652">IF(I79="","",(I79-I$75)*1000+AW$75)</f>
        <v>-2.8500002808868885</v>
      </c>
      <c r="AX79" s="43">
        <f t="shared" ref="AX79" si="2653">IF(J79="","",(J79-J$75)*1000+AX$75)</f>
        <v>0.95000000000311502</v>
      </c>
      <c r="AY79" s="43" t="str">
        <f t="shared" si="2532"/>
        <v/>
      </c>
      <c r="AZ79" s="43" t="str">
        <f t="shared" si="2533"/>
        <v/>
      </c>
      <c r="BA79" s="43" t="str">
        <f t="shared" si="2534"/>
        <v/>
      </c>
      <c r="BB79" s="43">
        <f t="shared" si="2631"/>
        <v>-13.700000010430813</v>
      </c>
      <c r="BC79" s="43">
        <f t="shared" si="2632"/>
        <v>-3.2999997492879629</v>
      </c>
      <c r="BD79" s="43">
        <f t="shared" si="2633"/>
        <v>-78.649999999996112</v>
      </c>
      <c r="BE79" s="43" t="str">
        <f t="shared" si="2572"/>
        <v/>
      </c>
      <c r="BF79" s="43" t="str">
        <f t="shared" si="2573"/>
        <v/>
      </c>
      <c r="BG79" s="43" t="str">
        <f t="shared" si="2574"/>
        <v/>
      </c>
      <c r="BH79" s="43">
        <f t="shared" si="2634"/>
        <v>-9.0999999083578587</v>
      </c>
      <c r="BI79" s="43">
        <f t="shared" si="2635"/>
        <v>22.850000066682696</v>
      </c>
      <c r="BJ79" s="43">
        <f t="shared" si="2636"/>
        <v>-0.29999999998153726</v>
      </c>
      <c r="BK79" s="43">
        <f t="shared" ref="BK79" si="2654">IF(W79="","",(W79-W$75)*1000+BK$75)</f>
        <v>2.6999999536201358</v>
      </c>
      <c r="BL79" s="43">
        <f t="shared" ref="BL79" si="2655">IF(X79="","",(X79-X$75)*1000+BL$75)</f>
        <v>25.649999966844916</v>
      </c>
      <c r="BM79" s="43">
        <f t="shared" ref="BM79" si="2656">IF(Y79="","",(Y79-Y$75)*1000+BM$75)</f>
        <v>-30.699999999995953</v>
      </c>
      <c r="BN79" s="40"/>
      <c r="BO79" s="39">
        <v>183.97076289681434</v>
      </c>
      <c r="BP79" s="39">
        <v>-2.4284746463556703</v>
      </c>
      <c r="BQ79" s="39">
        <v>-0.87712762896813956</v>
      </c>
      <c r="BR79" s="39">
        <v>183.94122077096975</v>
      </c>
      <c r="BS79" s="39">
        <v>-2.6651379149848444</v>
      </c>
      <c r="BT79" s="39">
        <v>0.29046779229030051</v>
      </c>
      <c r="BU79" s="41"/>
      <c r="BV79" s="42"/>
      <c r="BW79" s="42"/>
      <c r="BX79" s="41">
        <v>183.8966897189666</v>
      </c>
      <c r="BY79" s="42">
        <v>0.23809715555692165</v>
      </c>
      <c r="BZ79" s="42">
        <v>2.3846131028103343</v>
      </c>
      <c r="CA79" s="41"/>
      <c r="CB79" s="42"/>
      <c r="CC79" s="42"/>
      <c r="CD79" s="41">
        <v>183.90627878104635</v>
      </c>
      <c r="CE79" s="42">
        <v>2.6833937225351003</v>
      </c>
      <c r="CF79" s="42">
        <v>0.25351721218953571</v>
      </c>
      <c r="CG79" s="41">
        <v>183.89979182647969</v>
      </c>
      <c r="CH79" s="42">
        <v>2.5243481647576473</v>
      </c>
      <c r="CI79" s="42">
        <v>-0.92001791826480428</v>
      </c>
      <c r="CJ79" s="40"/>
      <c r="CK79" s="43">
        <f t="shared" ref="CK79:CK84" si="2657">IF(BO79="","",CK$75+(BO79-BO$75)*1000)</f>
        <v>0.68963221431772581</v>
      </c>
      <c r="CL79" s="43">
        <f t="shared" ref="CL79" si="2658">IF(BP79="","",CL$75+(BP79-BP$75)*1000)</f>
        <v>2.9595052153816859</v>
      </c>
      <c r="CM79" s="43">
        <f t="shared" ref="CM79" si="2659">IF(BQ79="","",CM$75+(BQ79-BQ$75)*1000)</f>
        <v>3.8721036778599505</v>
      </c>
      <c r="CN79" s="43">
        <f t="shared" si="2583"/>
        <v>0.66522359981036061</v>
      </c>
      <c r="CO79" s="43">
        <f t="shared" ref="CO79" si="2660">IF(BS79="","",CO$75+(BS79-BS$75)*1000)</f>
        <v>3.4048609538488428</v>
      </c>
      <c r="CP79" s="43">
        <f t="shared" ref="CP79" si="2661">IF(BT79="","",CP$75+(BT79-BT$75)*1000)</f>
        <v>0.91534776399815332</v>
      </c>
      <c r="CQ79" s="43" t="str">
        <f t="shared" si="2585"/>
        <v/>
      </c>
      <c r="CR79" s="43" t="str">
        <f t="shared" si="2586"/>
        <v/>
      </c>
      <c r="CS79" s="43" t="str">
        <f t="shared" si="2587"/>
        <v/>
      </c>
      <c r="CT79" s="43">
        <f t="shared" si="2588"/>
        <v>-13.714723858925026</v>
      </c>
      <c r="CU79" s="43">
        <f t="shared" ref="CU79" si="2662">IF(BY79="","",CU$75+(BY79-BY$75)*1000)</f>
        <v>-2.9416315267105642</v>
      </c>
      <c r="CV79" s="43">
        <f t="shared" ref="CV79" si="2663">IF(BZ79="","",CV$75+(BZ79-BZ$75)*1000)</f>
        <v>-78.473852761411052</v>
      </c>
      <c r="CW79" s="43" t="str">
        <f t="shared" si="2591"/>
        <v/>
      </c>
      <c r="CX79" s="43" t="str">
        <f t="shared" si="2592"/>
        <v/>
      </c>
      <c r="CY79" s="43" t="str">
        <f t="shared" si="2593"/>
        <v/>
      </c>
      <c r="CZ79" s="43">
        <f t="shared" si="2594"/>
        <v>1.3939630233323896</v>
      </c>
      <c r="DA79" s="43">
        <f t="shared" ref="DA79" si="2664">IF(CE79="","",DA$75+(CE79-CE$75)*1000)</f>
        <v>-24.615473279569144</v>
      </c>
      <c r="DB79" s="43">
        <f t="shared" ref="DB79" si="2665">IF(CF79="","",DB$75+(CF79-CF$75)*1000)</f>
        <v>-0.24593963024788223</v>
      </c>
      <c r="DC79" s="43">
        <f t="shared" ref="DC79:DC84" si="2666">IF(CG79="","",DC$75+(CG79-CG$75)*1000)</f>
        <v>13.211932638995449</v>
      </c>
      <c r="DD79" s="43">
        <f t="shared" ref="DD79" si="2667">IF(CH79="","",DD$75+(CH79-CH$75)*1000)</f>
        <v>-21.946679915801237</v>
      </c>
      <c r="DE79" s="43">
        <f t="shared" ref="DE79" si="2668">IF(CI79="","",DE$75+(CI79-CI$75)*1000)</f>
        <v>-30.854119326402582</v>
      </c>
    </row>
    <row r="80" spans="1:109" ht="29.25" customHeight="1" x14ac:dyDescent="0.2">
      <c r="A80" s="37">
        <v>44357</v>
      </c>
      <c r="B80" s="29">
        <f t="shared" si="2544"/>
        <v>699</v>
      </c>
      <c r="C80" s="38">
        <v>222.9</v>
      </c>
      <c r="D80" s="38">
        <f t="shared" ref="D80" si="2669">C80-PM</f>
        <v>39</v>
      </c>
      <c r="E80" s="39">
        <v>823233.3798</v>
      </c>
      <c r="F80" s="39">
        <v>1091513.5571000001</v>
      </c>
      <c r="G80" s="39">
        <v>-124.58109999999999</v>
      </c>
      <c r="H80" s="39">
        <v>823233.25329999998</v>
      </c>
      <c r="I80" s="39">
        <v>1091513.7593</v>
      </c>
      <c r="J80" s="39">
        <v>-123.4139</v>
      </c>
      <c r="K80" s="39"/>
      <c r="L80" s="39"/>
      <c r="M80" s="39"/>
      <c r="N80" s="39">
        <v>823234.4399</v>
      </c>
      <c r="O80" s="39">
        <v>1091511.1096000001</v>
      </c>
      <c r="P80" s="39">
        <v>-121.32039999999999</v>
      </c>
      <c r="Q80" s="39">
        <v>823234.87760000001</v>
      </c>
      <c r="R80" s="39">
        <v>1091510.1464</v>
      </c>
      <c r="S80" s="39">
        <v>-121.38339999999999</v>
      </c>
      <c r="T80" s="39">
        <v>823235.48239999998</v>
      </c>
      <c r="U80" s="39">
        <v>1091508.8977999999</v>
      </c>
      <c r="V80" s="39">
        <v>-123.45099999999999</v>
      </c>
      <c r="W80" s="39">
        <v>823235.40969999996</v>
      </c>
      <c r="X80" s="39">
        <v>1091509.0392</v>
      </c>
      <c r="Y80" s="39">
        <v>-124.62469999999999</v>
      </c>
      <c r="Z80" s="39">
        <f t="shared" si="2647"/>
        <v>4.2126277725489496</v>
      </c>
      <c r="AA80" s="39">
        <f t="shared" si="2546"/>
        <v>3.5793395898931024</v>
      </c>
      <c r="AB80" s="39"/>
      <c r="AC80" s="39">
        <f t="shared" ref="AC80:AC86" si="2670">IF(Xhaut="","",SQRT(((Xhautdroit-Xhaut)^2+(Yhautdroit-Yhaut)^2)+(Zhautdroit-Zhaut)^2))</f>
        <v>1.0598606183028736</v>
      </c>
      <c r="AD80" s="39">
        <f t="shared" si="2548"/>
        <v>3.2431962399289915</v>
      </c>
      <c r="AE80" s="39">
        <f t="shared" si="2648"/>
        <v>4.0181421938846302</v>
      </c>
      <c r="AF80" s="39"/>
      <c r="AG80" s="39">
        <f t="shared" si="2550"/>
        <v>5.3483123946819644</v>
      </c>
      <c r="AH80" s="39">
        <f t="shared" si="2560"/>
        <v>4.9531621597422717</v>
      </c>
      <c r="AI80" s="43">
        <f t="shared" ref="AI80:AI85" si="2671">IF(Z80="","",AI$75+(Z80-Z$75)*1000)</f>
        <v>-72.576512397546367</v>
      </c>
      <c r="AJ80" s="43">
        <f t="shared" ref="AJ80:AJ85" si="2672">IF(AA80="","",AJ$75+(AA80-AA$75)*1000)</f>
        <v>-59.118269763227538</v>
      </c>
      <c r="AK80" s="43" t="str">
        <f t="shared" si="2490"/>
        <v/>
      </c>
      <c r="AL80" s="43">
        <f>IF(AC80="","",AL$75+(AC80-AC$75)*1000)</f>
        <v>-18.891623251056977</v>
      </c>
      <c r="AM80" s="43">
        <f t="shared" ref="AM80" si="2673">IF(AD80="","",AM$75+(AD80-AD$75)*1000)</f>
        <v>-67.151365525337965</v>
      </c>
      <c r="AN80" s="43">
        <f t="shared" ref="AN80" si="2674">IF(AE80="","",AN$75+(AE80-AE$75)*1000)</f>
        <v>-49.338884484904533</v>
      </c>
      <c r="AO80" s="43" t="str">
        <f t="shared" si="2491"/>
        <v/>
      </c>
      <c r="AP80" s="43">
        <f t="shared" ref="AP80:AP85" si="2675">IF(AG80="","",AP$75+(AG80-AG$75)*1000)</f>
        <v>-28.219860384500528</v>
      </c>
      <c r="AQ80" s="43">
        <f t="shared" ref="AQ80:AQ85" si="2676">IF(AH80="","",AQ$75+(AH80-AH$75)*1000)</f>
        <v>-24.709496553210641</v>
      </c>
      <c r="AR80" s="40"/>
      <c r="AS80" s="43">
        <f t="shared" ref="AS80" si="2677">IF(E80="","",(E80-E$75)*1000+AS$75)</f>
        <v>2.4499999126419425</v>
      </c>
      <c r="AT80" s="43">
        <f t="shared" ref="AT80" si="2678">IF(F80="","",(F80-F$75)*1000+AT$75)</f>
        <v>-2.3500001989305019</v>
      </c>
      <c r="AU80" s="43">
        <f t="shared" ref="AU80" si="2679">IF(G80="","",(G80-G$75)*1000+AU$75)</f>
        <v>3.1000000000034333</v>
      </c>
      <c r="AV80" s="43">
        <f t="shared" si="2568"/>
        <v>2.8000000165775418</v>
      </c>
      <c r="AW80" s="43">
        <f t="shared" ref="AW80" si="2680">IF(I80="","",(I80-I$75)*1000+AW$75)</f>
        <v>-3.0500001739710569</v>
      </c>
      <c r="AX80" s="43">
        <f t="shared" ref="AX80" si="2681">IF(J80="","",(J80-J$75)*1000+AX$75)</f>
        <v>5.0000000001659828E-2</v>
      </c>
      <c r="AY80" s="43" t="str">
        <f t="shared" si="2532"/>
        <v/>
      </c>
      <c r="AZ80" s="43" t="str">
        <f t="shared" si="2533"/>
        <v/>
      </c>
      <c r="BA80" s="43" t="str">
        <f t="shared" si="2534"/>
        <v/>
      </c>
      <c r="BB80" s="43">
        <f t="shared" ref="BB80" si="2682">IF(N80="","",(N80-N$75)*1000+BB$75)</f>
        <v>-13.099999981932342</v>
      </c>
      <c r="BC80" s="43">
        <f t="shared" ref="BC80" si="2683">IF(O80="","",(O80-O$75)*1000+BC$75)</f>
        <v>-3.1999996863305569</v>
      </c>
      <c r="BD80" s="43">
        <f t="shared" ref="BD80" si="2684">IF(P80="","",(P80-P$75)*1000+BD$75)</f>
        <v>-79.749999999989996</v>
      </c>
      <c r="BE80" s="43">
        <f t="shared" ref="BE80:BE85" si="2685">IF(Q80="","",(Q80-Q$73)*1000+BE$73)</f>
        <v>4.0499998722225428</v>
      </c>
      <c r="BF80" s="43">
        <f t="shared" ref="BF80:BG80" si="2686">IF(R80="","",(R80-R$73)*1000+BF$73)</f>
        <v>17.50000030733645</v>
      </c>
      <c r="BG80" s="43">
        <f t="shared" si="2686"/>
        <v>-39.150000000006457</v>
      </c>
      <c r="BH80" s="43">
        <f t="shared" si="2634"/>
        <v>-8.1999999238178134</v>
      </c>
      <c r="BI80" s="43">
        <f t="shared" si="2635"/>
        <v>23.250000085681677</v>
      </c>
      <c r="BJ80" s="43">
        <f t="shared" si="2636"/>
        <v>-0.99999999997635314</v>
      </c>
      <c r="BK80" s="43">
        <f t="shared" ref="BK80" si="2687">IF(W80="","",(W80-W$75)*1000+BK$75)</f>
        <v>3.9999999571591616</v>
      </c>
      <c r="BL80" s="43">
        <f t="shared" ref="BL80" si="2688">IF(X80="","",(X80-X$75)*1000+BL$75)</f>
        <v>26.049999985843897</v>
      </c>
      <c r="BM80" s="43">
        <f t="shared" ref="BM80" si="2689">IF(Y80="","",(Y80-Y$75)*1000+BM$75)</f>
        <v>-31.499999999979877</v>
      </c>
      <c r="BN80" s="40"/>
      <c r="BO80" s="39">
        <v>183.97095635283912</v>
      </c>
      <c r="BP80" s="39">
        <v>-2.4279430687067189</v>
      </c>
      <c r="BQ80" s="39">
        <v>-0.87792956352838303</v>
      </c>
      <c r="BR80" s="39">
        <v>183.94177064502475</v>
      </c>
      <c r="BS80" s="39">
        <v>-2.6646608002754015</v>
      </c>
      <c r="BT80" s="39">
        <v>0.28956229354974994</v>
      </c>
      <c r="BU80" s="41" t="s">
        <v>61</v>
      </c>
      <c r="BV80" s="42" t="s">
        <v>61</v>
      </c>
      <c r="BW80" s="42" t="s">
        <v>61</v>
      </c>
      <c r="BX80" s="41">
        <v>183.89727575944957</v>
      </c>
      <c r="BY80" s="42">
        <v>0.23826011751306517</v>
      </c>
      <c r="BZ80" s="42">
        <v>2.3835072424055141</v>
      </c>
      <c r="CA80" s="41">
        <v>183.88686137320548</v>
      </c>
      <c r="CB80" s="42">
        <v>1.2961954041863164</v>
      </c>
      <c r="CC80" s="42">
        <v>2.3206113862679416</v>
      </c>
      <c r="CD80" s="41">
        <v>183.90726350468864</v>
      </c>
      <c r="CE80" s="42">
        <v>2.68341159250074</v>
      </c>
      <c r="CF80" s="42">
        <v>0.25280736495311373</v>
      </c>
      <c r="CG80" s="41">
        <v>183.90113906695888</v>
      </c>
      <c r="CH80" s="42">
        <v>2.5245350955354016</v>
      </c>
      <c r="CI80" s="42">
        <v>-0.92083139066957642</v>
      </c>
      <c r="CJ80" s="40"/>
      <c r="CK80" s="43">
        <f t="shared" si="2657"/>
        <v>0.88308823910665524</v>
      </c>
      <c r="CL80" s="43">
        <f t="shared" ref="CL80" si="2690">IF(BP80="","",CL$75+(BP80-BP$75)*1000)</f>
        <v>3.4910828643330838</v>
      </c>
      <c r="CM80" s="43">
        <f t="shared" ref="CM80" si="2691">IF(BQ80="","",CM$75+(BQ80-BQ$75)*1000)</f>
        <v>3.0701691176164836</v>
      </c>
      <c r="CN80" s="43">
        <f t="shared" si="2583"/>
        <v>1.2150976548070958</v>
      </c>
      <c r="CO80" s="43">
        <f t="shared" ref="CO80" si="2692">IF(BS80="","",CO$75+(BS80-BS$75)*1000)</f>
        <v>3.8819756632917368</v>
      </c>
      <c r="CP80" s="43">
        <f t="shared" ref="CP80" si="2693">IF(BT80="","",CP$75+(BT80-BT$75)*1000)</f>
        <v>9.8490234475834271E-3</v>
      </c>
      <c r="CQ80" s="43"/>
      <c r="CR80" s="43"/>
      <c r="CS80" s="43"/>
      <c r="CT80" s="43">
        <f t="shared" si="2588"/>
        <v>-13.128683375953187</v>
      </c>
      <c r="CU80" s="43">
        <f t="shared" ref="CU80" si="2694">IF(BY80="","",CU$75+(BY80-BY$75)*1000)</f>
        <v>-2.7786695705670494</v>
      </c>
      <c r="CV80" s="43">
        <f t="shared" ref="CV80" si="2695">IF(BZ80="","",CV$75+(BZ80-BZ$75)*1000)</f>
        <v>-79.579713166231244</v>
      </c>
      <c r="CW80" s="43">
        <f t="shared" ref="CW80:CW84" si="2696">IF(CA80="","",CW$73+(CA80-CA$73)*1000)</f>
        <v>10.575733854579994</v>
      </c>
      <c r="CX80" s="43">
        <f t="shared" ref="CX80:CY80" si="2697">IF(CB80="","",CX$73+(CB80-CB$73)*1000)</f>
        <v>-13.416833340050394</v>
      </c>
      <c r="CY80" s="43">
        <f t="shared" si="2697"/>
        <v>-39.113757338560262</v>
      </c>
      <c r="CZ80" s="43">
        <f t="shared" si="2594"/>
        <v>2.3786866656223538</v>
      </c>
      <c r="DA80" s="43">
        <f t="shared" ref="DA80" si="2698">IF(CE80="","",DA$75+(CE80-CE$75)*1000)</f>
        <v>-24.597603313929461</v>
      </c>
      <c r="DB80" s="43">
        <f t="shared" ref="DB80" si="2699">IF(CF80="","",DB$75+(CF80-CF$75)*1000)</f>
        <v>-0.95578686666986101</v>
      </c>
      <c r="DC80" s="43">
        <f t="shared" si="2666"/>
        <v>14.559173118186663</v>
      </c>
      <c r="DD80" s="43">
        <f t="shared" ref="DD80" si="2700">IF(CH80="","",DD$75+(CH80-CH$75)*1000)</f>
        <v>-21.759749138047013</v>
      </c>
      <c r="DE80" s="43">
        <f t="shared" ref="DE80" si="2701">IF(CI80="","",DE$75+(CI80-CI$75)*1000)</f>
        <v>-31.667591731174724</v>
      </c>
    </row>
    <row r="81" spans="1:114" ht="29.25" customHeight="1" x14ac:dyDescent="0.2">
      <c r="A81" s="37">
        <v>44362</v>
      </c>
      <c r="B81" s="29">
        <f t="shared" si="2544"/>
        <v>704</v>
      </c>
      <c r="C81" s="38">
        <v>222.9</v>
      </c>
      <c r="D81" s="38">
        <f t="shared" ref="D81" si="2702">C81-PM</f>
        <v>39</v>
      </c>
      <c r="E81" s="39">
        <v>823233.37950000004</v>
      </c>
      <c r="F81" s="39">
        <v>1091513.5562</v>
      </c>
      <c r="G81" s="39">
        <v>-124.58199999999999</v>
      </c>
      <c r="H81" s="39">
        <v>823233.25289999996</v>
      </c>
      <c r="I81" s="39">
        <v>1091513.7583000001</v>
      </c>
      <c r="J81" s="39">
        <v>-123.4149</v>
      </c>
      <c r="K81" s="39"/>
      <c r="L81" s="39"/>
      <c r="M81" s="39"/>
      <c r="N81" s="39">
        <v>823234.43960000004</v>
      </c>
      <c r="O81" s="39">
        <v>1091511.1087</v>
      </c>
      <c r="P81" s="39">
        <v>-121.3215</v>
      </c>
      <c r="Q81" s="39">
        <v>823234.8774</v>
      </c>
      <c r="R81" s="39">
        <v>1091510.1454</v>
      </c>
      <c r="S81" s="39">
        <v>-121.3845</v>
      </c>
      <c r="T81" s="39">
        <v>823235.48219999997</v>
      </c>
      <c r="U81" s="39">
        <v>1091508.8968</v>
      </c>
      <c r="V81" s="39">
        <v>-123.4521</v>
      </c>
      <c r="W81" s="39">
        <v>823235.40919999999</v>
      </c>
      <c r="X81" s="39">
        <v>1091509.0382000001</v>
      </c>
      <c r="Y81" s="39">
        <v>-124.6253</v>
      </c>
      <c r="Z81" s="39">
        <f t="shared" si="2647"/>
        <v>4.2124729684652786</v>
      </c>
      <c r="AA81" s="39">
        <f t="shared" si="2546"/>
        <v>3.5792402281525808</v>
      </c>
      <c r="AB81" s="39"/>
      <c r="AC81" s="39">
        <f t="shared" si="2670"/>
        <v>1.0599927970770786</v>
      </c>
      <c r="AD81" s="39">
        <f t="shared" si="2548"/>
        <v>3.2432965836979237</v>
      </c>
      <c r="AE81" s="39">
        <f t="shared" si="2648"/>
        <v>4.0177342930505171</v>
      </c>
      <c r="AF81" s="39"/>
      <c r="AG81" s="39">
        <f t="shared" si="2550"/>
        <v>5.3483964495118617</v>
      </c>
      <c r="AH81" s="39">
        <f t="shared" si="2560"/>
        <v>4.9531687816113452</v>
      </c>
      <c r="AI81" s="43">
        <f t="shared" ref="AI81" si="2703">IF(Z81="","",AI$75+(Z81-Z$75)*1000)</f>
        <v>-72.731316481217334</v>
      </c>
      <c r="AJ81" s="43">
        <f t="shared" ref="AJ81" si="2704">IF(AA81="","",AJ$75+(AA81-AA$75)*1000)</f>
        <v>-59.217631503749146</v>
      </c>
      <c r="AK81" s="43" t="str">
        <f t="shared" ref="AK81" si="2705">IF(AB81="","",(AB81-AB$10)*1000)</f>
        <v/>
      </c>
      <c r="AL81" s="43">
        <f>IF(AC81="","",AL$75+(AC81-AC$75)*1000)</f>
        <v>-18.759444476851961</v>
      </c>
      <c r="AM81" s="43">
        <f t="shared" ref="AM81" si="2706">IF(AD81="","",AM$75+(AD81-AD$75)*1000)</f>
        <v>-67.05102175640576</v>
      </c>
      <c r="AN81" s="43">
        <f t="shared" ref="AN81" si="2707">IF(AE81="","",AN$75+(AE81-AE$75)*1000)</f>
        <v>-49.746785319017661</v>
      </c>
      <c r="AO81" s="43" t="str">
        <f t="shared" ref="AO81:AO84" si="2708">IF(AF81="","",(AF81-AF$10)*1000)</f>
        <v/>
      </c>
      <c r="AP81" s="43">
        <f t="shared" ref="AP81" si="2709">IF(AG81="","",AP$75+(AG81-AG$75)*1000)</f>
        <v>-28.135805554603266</v>
      </c>
      <c r="AQ81" s="43">
        <f t="shared" ref="AQ81" si="2710">IF(AH81="","",AQ$75+(AH81-AH$75)*1000)</f>
        <v>-24.702874684137122</v>
      </c>
      <c r="AR81" s="40"/>
      <c r="AS81" s="43">
        <f t="shared" ref="AS81" si="2711">IF(E81="","",(E81-E$75)*1000+AS$75)</f>
        <v>2.149999956600368</v>
      </c>
      <c r="AT81" s="43">
        <f t="shared" ref="AT81" si="2712">IF(F81="","",(F81-F$75)*1000+AT$75)</f>
        <v>-3.250000299885869</v>
      </c>
      <c r="AU81" s="43">
        <f t="shared" ref="AU81" si="2713">IF(G81="","",(G81-G$75)*1000+AU$75)</f>
        <v>2.2000000000019782</v>
      </c>
      <c r="AV81" s="43">
        <f t="shared" si="2568"/>
        <v>2.3999999975785613</v>
      </c>
      <c r="AW81" s="43">
        <f t="shared" ref="AW81" si="2714">IF(I81="","",(I81-I$75)*1000+AW$75)</f>
        <v>-4.0500001050531864</v>
      </c>
      <c r="AX81" s="43">
        <f t="shared" ref="AX81" si="2715">IF(J81="","",(J81-J$75)*1000+AX$75)</f>
        <v>-0.95000000000311502</v>
      </c>
      <c r="AY81" s="43" t="str">
        <f t="shared" ref="AY81" si="2716">IF(K81="","",(K81-K$10)*1000)</f>
        <v/>
      </c>
      <c r="AZ81" s="43" t="str">
        <f t="shared" ref="AZ81" si="2717">IF(L81="","",(L81-L$10)*1000)</f>
        <v/>
      </c>
      <c r="BA81" s="43" t="str">
        <f t="shared" ref="BA81" si="2718">IF(M81="","",(M81-M$10)*1000)</f>
        <v/>
      </c>
      <c r="BB81" s="43">
        <f t="shared" ref="BB81" si="2719">IF(N81="","",(N81-N$75)*1000+BB$75)</f>
        <v>-13.399999937973917</v>
      </c>
      <c r="BC81" s="43">
        <f t="shared" ref="BC81" si="2720">IF(O81="","",(O81-O$75)*1000+BC$75)</f>
        <v>-4.099999787285924</v>
      </c>
      <c r="BD81" s="43">
        <f t="shared" ref="BD81" si="2721">IF(P81="","",(P81-P$75)*1000+BD$75)</f>
        <v>-80.84999999999809</v>
      </c>
      <c r="BE81" s="43">
        <f t="shared" si="2685"/>
        <v>3.8499998627230525</v>
      </c>
      <c r="BF81" s="43">
        <f t="shared" ref="BF81" si="2722">IF(R81="","",(R81-R$73)*1000+BF$73)</f>
        <v>16.50000037625432</v>
      </c>
      <c r="BG81" s="43">
        <f t="shared" ref="BG81" si="2723">IF(S81="","",(S81-S$73)*1000+BG$73)</f>
        <v>-40.250000000014552</v>
      </c>
      <c r="BH81" s="43">
        <f t="shared" ref="BH81" si="2724">IF(T81="","",(T81-T$75)*1000+BH$75)</f>
        <v>-8.3999999333173037</v>
      </c>
      <c r="BI81" s="43">
        <f t="shared" ref="BI81" si="2725">IF(U81="","",(U81-U$75)*1000+BI$75)</f>
        <v>22.250000154599547</v>
      </c>
      <c r="BJ81" s="43">
        <f t="shared" ref="BJ81" si="2726">IF(V81="","",(V81-V$75)*1000+BJ$75)</f>
        <v>-2.0999999999844476</v>
      </c>
      <c r="BK81" s="43">
        <f t="shared" ref="BK81" si="2727">IF(W81="","",(W81-W$75)*1000+BK$75)</f>
        <v>3.4999999916180968</v>
      </c>
      <c r="BL81" s="43">
        <f t="shared" ref="BL81" si="2728">IF(X81="","",(X81-X$75)*1000+BL$75)</f>
        <v>25.050000054761767</v>
      </c>
      <c r="BM81" s="43">
        <f t="shared" ref="BM81" si="2729">IF(Y81="","",(Y81-Y$75)*1000+BM$75)</f>
        <v>-32.099999999985585</v>
      </c>
      <c r="BN81" s="40"/>
      <c r="BO81" s="39">
        <v>183.97030407841245</v>
      </c>
      <c r="BP81" s="39">
        <v>-2.4272542013554395</v>
      </c>
      <c r="BQ81" s="39">
        <v>-0.87882304078412687</v>
      </c>
      <c r="BR81" s="39">
        <v>183.94098547620689</v>
      </c>
      <c r="BS81" s="39">
        <v>-2.6639235691007652</v>
      </c>
      <c r="BT81" s="39">
        <v>0.28857014523792657</v>
      </c>
      <c r="BU81" s="41" t="s">
        <v>61</v>
      </c>
      <c r="BV81" s="42" t="s">
        <v>61</v>
      </c>
      <c r="BW81" s="42" t="s">
        <v>61</v>
      </c>
      <c r="BX81" s="41">
        <v>183.89662348502287</v>
      </c>
      <c r="BY81" s="42">
        <v>0.23894898486433447</v>
      </c>
      <c r="BZ81" s="42">
        <v>2.3824137651497637</v>
      </c>
      <c r="CA81" s="41">
        <v>183.88625746280604</v>
      </c>
      <c r="CB81" s="42">
        <v>1.2970171657669929</v>
      </c>
      <c r="CC81" s="42">
        <v>2.3195174253719273</v>
      </c>
      <c r="CD81" s="41">
        <v>183.90665959428924</v>
      </c>
      <c r="CE81" s="42">
        <v>2.6842333540814067</v>
      </c>
      <c r="CF81" s="42">
        <v>0.25171340405709941</v>
      </c>
      <c r="CG81" s="41">
        <v>183.90026326898453</v>
      </c>
      <c r="CH81" s="42">
        <v>2.5252300615316048</v>
      </c>
      <c r="CI81" s="42">
        <v>-0.92142263268983982</v>
      </c>
      <c r="CJ81" s="40"/>
      <c r="CK81" s="43">
        <f t="shared" si="2657"/>
        <v>0.2308138124362813</v>
      </c>
      <c r="CL81" s="43">
        <f t="shared" ref="CL81" si="2730">IF(BP81="","",CL$75+(BP81-BP$75)*1000)</f>
        <v>4.1799502156125712</v>
      </c>
      <c r="CM81" s="43">
        <f t="shared" ref="CM81" si="2731">IF(BQ81="","",CM$75+(BQ81-BQ$75)*1000)</f>
        <v>2.1766918618726372</v>
      </c>
      <c r="CN81" s="43">
        <f t="shared" si="2583"/>
        <v>0.42992883695092132</v>
      </c>
      <c r="CO81" s="43">
        <f t="shared" ref="CO81" si="2732">IF(BS81="","",CO$75+(BS81-BS$75)*1000)</f>
        <v>4.6192068379280471</v>
      </c>
      <c r="CP81" s="43">
        <f t="shared" ref="CP81" si="2733">IF(BT81="","",CP$75+(BT81-BT$75)*1000)</f>
        <v>-0.9822992883757875</v>
      </c>
      <c r="CQ81" s="43"/>
      <c r="CR81" s="43"/>
      <c r="CS81" s="43"/>
      <c r="CT81" s="43">
        <f t="shared" si="2588"/>
        <v>-13.780957802651983</v>
      </c>
      <c r="CU81" s="43">
        <f t="shared" ref="CU81" si="2734">IF(BY81="","",CU$75+(BY81-BY$75)*1000)</f>
        <v>-2.0898022192977481</v>
      </c>
      <c r="CV81" s="43">
        <f t="shared" ref="CV81" si="2735">IF(BZ81="","",CV$75+(BZ81-BZ$75)*1000)</f>
        <v>-80.67319042198173</v>
      </c>
      <c r="CW81" s="43">
        <f t="shared" si="2696"/>
        <v>9.9718234551460228</v>
      </c>
      <c r="CX81" s="43">
        <f t="shared" ref="CX81" si="2736">IF(CB81="","",CX$73+(CB81-CB$73)*1000)</f>
        <v>-12.59507175937391</v>
      </c>
      <c r="CY81" s="43">
        <f t="shared" ref="CY81" si="2737">IF(CC81="","",CY$73+(CC81-CC$73)*1000)</f>
        <v>-40.207718234574585</v>
      </c>
      <c r="CZ81" s="43">
        <f t="shared" si="2594"/>
        <v>1.7747762662168043</v>
      </c>
      <c r="DA81" s="43">
        <f t="shared" ref="DA81" si="2738">IF(CE81="","",DA$75+(CE81-CE$75)*1000)</f>
        <v>-23.775841733262748</v>
      </c>
      <c r="DB81" s="43">
        <f t="shared" ref="DB81" si="2739">IF(CF81="","",DB$75+(CF81-CF$75)*1000)</f>
        <v>-2.0497477626841842</v>
      </c>
      <c r="DC81" s="43">
        <f t="shared" si="2666"/>
        <v>13.683375143841658</v>
      </c>
      <c r="DD81" s="43">
        <f t="shared" ref="DD81" si="2740">IF(CH81="","",DD$75+(CH81-CH$75)*1000)</f>
        <v>-21.06478314184379</v>
      </c>
      <c r="DE81" s="43">
        <f t="shared" ref="DE81" si="2741">IF(CI81="","",DE$75+(CI81-CI$75)*1000)</f>
        <v>-32.258833751438118</v>
      </c>
    </row>
    <row r="82" spans="1:114" ht="29.25" customHeight="1" x14ac:dyDescent="0.2">
      <c r="A82" s="37">
        <v>44369</v>
      </c>
      <c r="B82" s="29">
        <f t="shared" si="2544"/>
        <v>711</v>
      </c>
      <c r="C82" s="38">
        <v>222.9</v>
      </c>
      <c r="D82" s="38">
        <f t="shared" ref="D82" si="2742">C82-PM</f>
        <v>39</v>
      </c>
      <c r="E82" s="39">
        <v>823233.37849999999</v>
      </c>
      <c r="F82" s="39">
        <v>1091513.5563000001</v>
      </c>
      <c r="G82" s="39">
        <v>-124.58150000000001</v>
      </c>
      <c r="H82" s="39">
        <v>823233.25190000003</v>
      </c>
      <c r="I82" s="39">
        <v>1091513.7583999999</v>
      </c>
      <c r="J82" s="39">
        <v>-123.41459999999999</v>
      </c>
      <c r="K82" s="39"/>
      <c r="L82" s="39"/>
      <c r="M82" s="39"/>
      <c r="N82" s="39">
        <v>823234.43870000006</v>
      </c>
      <c r="O82" s="39">
        <v>1091511.1095</v>
      </c>
      <c r="P82" s="39">
        <v>-121.3215</v>
      </c>
      <c r="Q82" s="39">
        <v>823234.87620000006</v>
      </c>
      <c r="R82" s="39">
        <v>1091510.1462000001</v>
      </c>
      <c r="S82" s="39">
        <v>-121.3848</v>
      </c>
      <c r="T82" s="39">
        <v>823235.48140000005</v>
      </c>
      <c r="U82" s="39">
        <v>1091508.898</v>
      </c>
      <c r="V82" s="39">
        <v>-123.45189999999999</v>
      </c>
      <c r="W82" s="39">
        <v>823235.40800000005</v>
      </c>
      <c r="X82" s="39">
        <v>1091509.0393999999</v>
      </c>
      <c r="Y82" s="39">
        <v>-124.625</v>
      </c>
      <c r="Z82" s="39">
        <f t="shared" si="2647"/>
        <v>4.2117044388592104</v>
      </c>
      <c r="AA82" s="39">
        <f t="shared" si="2546"/>
        <v>3.5785797545391378</v>
      </c>
      <c r="AB82" s="39"/>
      <c r="AC82" s="39">
        <f t="shared" si="2670"/>
        <v>1.0598868005092705</v>
      </c>
      <c r="AD82" s="39">
        <f t="shared" si="2548"/>
        <v>3.2429245596951284</v>
      </c>
      <c r="AE82" s="39">
        <f t="shared" si="2648"/>
        <v>4.0172090747837341</v>
      </c>
      <c r="AF82" s="39"/>
      <c r="AG82" s="39">
        <f t="shared" si="2550"/>
        <v>5.3474806871075122</v>
      </c>
      <c r="AH82" s="39">
        <f t="shared" si="2560"/>
        <v>4.9520852286406152</v>
      </c>
      <c r="AI82" s="43">
        <f t="shared" ref="AI82" si="2743">IF(Z82="","",AI$75+(Z82-Z$75)*1000)</f>
        <v>-73.499846087285562</v>
      </c>
      <c r="AJ82" s="43">
        <f t="shared" ref="AJ82" si="2744">IF(AA82="","",AJ$75+(AA82-AA$75)*1000)</f>
        <v>-59.878105117192163</v>
      </c>
      <c r="AK82" s="43" t="str">
        <f t="shared" ref="AK82" si="2745">IF(AB82="","",(AB82-AB$10)*1000)</f>
        <v/>
      </c>
      <c r="AL82" s="43">
        <f>IF(AC82="","",AL$75+(AC82-AC$75)*1000)</f>
        <v>-18.865441044660034</v>
      </c>
      <c r="AM82" s="43">
        <f t="shared" ref="AM82" si="2746">IF(AD82="","",AM$75+(AD82-AD$75)*1000)</f>
        <v>-67.423045759201102</v>
      </c>
      <c r="AN82" s="43">
        <f t="shared" ref="AN82" si="2747">IF(AE82="","",AN$75+(AE82-AE$75)*1000)</f>
        <v>-50.27200358580064</v>
      </c>
      <c r="AO82" s="43" t="str">
        <f t="shared" ref="AO82" si="2748">IF(AF82="","",(AF82-AF$10)*1000)</f>
        <v/>
      </c>
      <c r="AP82" s="43">
        <f t="shared" ref="AP82" si="2749">IF(AG82="","",AP$75+(AG82-AG$75)*1000)</f>
        <v>-29.051567958952695</v>
      </c>
      <c r="AQ82" s="43">
        <f t="shared" ref="AQ82" si="2750">IF(AH82="","",AQ$75+(AH82-AH$75)*1000)</f>
        <v>-25.786427654867161</v>
      </c>
      <c r="AR82" s="40"/>
      <c r="AS82" s="43">
        <f t="shared" ref="AS82" si="2751">IF(E82="","",(E82-E$75)*1000+AS$75)</f>
        <v>1.1499999091029167</v>
      </c>
      <c r="AT82" s="43">
        <f t="shared" ref="AT82" si="2752">IF(F82="","",(F82-F$75)*1000+AT$75)</f>
        <v>-3.150000236928463</v>
      </c>
      <c r="AU82" s="43">
        <f t="shared" ref="AU82" si="2753">IF(G82="","",(G82-G$75)*1000+AU$75)</f>
        <v>2.6999999999901547</v>
      </c>
      <c r="AV82" s="43">
        <f t="shared" ref="AV82" si="2754">IF(H82="","",(H82-H$75)*1000+AV$75)</f>
        <v>1.4000000664964318</v>
      </c>
      <c r="AW82" s="43">
        <f t="shared" ref="AW82" si="2755">IF(I82="","",(I82-I$75)*1000+AW$75)</f>
        <v>-3.950000274926424</v>
      </c>
      <c r="AX82" s="43">
        <f t="shared" ref="AX82" si="2756">IF(J82="","",(J82-J$75)*1000+AX$75)</f>
        <v>-0.64999999999315605</v>
      </c>
      <c r="AY82" s="43" t="str">
        <f t="shared" si="2532"/>
        <v/>
      </c>
      <c r="AZ82" s="43" t="str">
        <f t="shared" si="2533"/>
        <v/>
      </c>
      <c r="BA82" s="43" t="str">
        <f t="shared" si="2534"/>
        <v/>
      </c>
      <c r="BB82" s="43">
        <f t="shared" ref="BB82" si="2757">IF(N82="","",(N82-N$75)*1000+BB$75)</f>
        <v>-14.299999922513962</v>
      </c>
      <c r="BC82" s="43">
        <f t="shared" ref="BC82" si="2758">IF(O82="","",(O82-O$75)*1000+BC$75)</f>
        <v>-3.2999997492879629</v>
      </c>
      <c r="BD82" s="43">
        <f t="shared" ref="BD82" si="2759">IF(P82="","",(P82-P$75)*1000+BD$75)</f>
        <v>-80.84999999999809</v>
      </c>
      <c r="BE82" s="43">
        <f t="shared" si="2685"/>
        <v>2.6499999221414328</v>
      </c>
      <c r="BF82" s="43">
        <f t="shared" ref="BF82" si="2760">IF(R82="","",(R82-R$73)*1000+BF$73)</f>
        <v>17.300000414252281</v>
      </c>
      <c r="BG82" s="43">
        <f t="shared" ref="BG82" si="2761">IF(S82="","",(S82-S$73)*1000+BG$73)</f>
        <v>-40.5500000000103</v>
      </c>
      <c r="BH82" s="43">
        <f t="shared" ref="BH82" si="2762">IF(T82="","",(T82-T$75)*1000+BH$75)</f>
        <v>-9.1999998548999429</v>
      </c>
      <c r="BI82" s="43">
        <f t="shared" ref="BI82" si="2763">IF(U82="","",(U82-U$75)*1000+BI$75)</f>
        <v>23.450000211596489</v>
      </c>
      <c r="BJ82" s="43">
        <f t="shared" ref="BJ82" si="2764">IF(V82="","",(V82-V$75)*1000+BJ$75)</f>
        <v>-1.8999999999778083</v>
      </c>
      <c r="BK82" s="43">
        <f t="shared" ref="BK82" si="2765">IF(W82="","",(W82-W$75)*1000+BK$75)</f>
        <v>2.3000000510364771</v>
      </c>
      <c r="BL82" s="43">
        <f t="shared" ref="BL82" si="2766">IF(X82="","",(X82-X$75)*1000+BL$75)</f>
        <v>26.249999878928065</v>
      </c>
      <c r="BM82" s="43">
        <f t="shared" ref="BM82" si="2767">IF(Y82="","",(Y82-Y$75)*1000+BM$75)</f>
        <v>-31.799999999989836</v>
      </c>
      <c r="BN82" s="40"/>
      <c r="BO82" s="39">
        <v>183.96944005154791</v>
      </c>
      <c r="BP82" s="39">
        <v>-2.4277674826475746</v>
      </c>
      <c r="BQ82" s="39">
        <v>-0.87831440051549237</v>
      </c>
      <c r="BR82" s="39">
        <v>183.94012144934942</v>
      </c>
      <c r="BS82" s="39">
        <v>-2.6644368501327151</v>
      </c>
      <c r="BT82" s="39">
        <v>0.2888787855065118</v>
      </c>
      <c r="BU82" s="41" t="s">
        <v>61</v>
      </c>
      <c r="BV82" s="42" t="s">
        <v>61</v>
      </c>
      <c r="BW82" s="42" t="s">
        <v>61</v>
      </c>
      <c r="BX82" s="41">
        <v>183.89614594381678</v>
      </c>
      <c r="BY82" s="42">
        <v>0.23784356438803511</v>
      </c>
      <c r="BZ82" s="42">
        <v>2.3824185405618294</v>
      </c>
      <c r="CA82" s="41">
        <v>183.88550803402507</v>
      </c>
      <c r="CB82" s="42">
        <v>1.2957849497062313</v>
      </c>
      <c r="CC82" s="42">
        <v>2.3192249196597459</v>
      </c>
      <c r="CD82" s="41">
        <v>183.90644174315722</v>
      </c>
      <c r="CE82" s="42">
        <v>2.6828076819958531</v>
      </c>
      <c r="CF82" s="42">
        <v>0.25191558256842939</v>
      </c>
      <c r="CG82" s="41">
        <v>183.89968290091718</v>
      </c>
      <c r="CH82" s="42">
        <v>2.5236353288449789</v>
      </c>
      <c r="CI82" s="42">
        <v>-0.92111682900917913</v>
      </c>
      <c r="CJ82" s="40"/>
      <c r="CK82" s="43">
        <f t="shared" si="2657"/>
        <v>-0.63321305211161416</v>
      </c>
      <c r="CL82" s="43">
        <f t="shared" ref="CL82" si="2768">IF(BP82="","",CL$75+(BP82-BP$75)*1000)</f>
        <v>3.6666689234774452</v>
      </c>
      <c r="CM82" s="43">
        <f t="shared" ref="CM82" si="2769">IF(BQ82="","",CM$75+(BQ82-BQ$75)*1000)</f>
        <v>2.6853321305071454</v>
      </c>
      <c r="CN82" s="43">
        <f t="shared" ref="CN82" si="2770">IF(BR82="","",CN$75+(BR82-BR$75)*1000)</f>
        <v>-0.43409802051996849</v>
      </c>
      <c r="CO82" s="43">
        <f t="shared" ref="CO82" si="2771">IF(BS82="","",CO$75+(BS82-BS$75)*1000)</f>
        <v>4.1059258059781278</v>
      </c>
      <c r="CP82" s="43">
        <f t="shared" ref="CP82" si="2772">IF(BT82="","",CP$75+(BT82-BT$75)*1000)</f>
        <v>-0.67365901979055121</v>
      </c>
      <c r="CQ82" s="43"/>
      <c r="CR82" s="43"/>
      <c r="CS82" s="43"/>
      <c r="CT82" s="43">
        <f t="shared" ref="CT82" si="2773">IF(BX82="","",CT$75+(BX82-BX$75)*1000)</f>
        <v>-14.258499008747094</v>
      </c>
      <c r="CU82" s="43">
        <f t="shared" ref="CU82" si="2774">IF(BY82="","",CU$75+(BY82-BY$75)*1000)</f>
        <v>-3.195222695597105</v>
      </c>
      <c r="CV82" s="43">
        <f t="shared" ref="CV82" si="2775">IF(BZ82="","",CV$75+(BZ82-BZ$75)*1000)</f>
        <v>-80.668415009915947</v>
      </c>
      <c r="CW82" s="43">
        <f t="shared" si="2696"/>
        <v>9.2223946741682994</v>
      </c>
      <c r="CX82" s="43">
        <f t="shared" ref="CX82" si="2776">IF(CB82="","",CX$73+(CB82-CB$73)*1000)</f>
        <v>-13.827287820135536</v>
      </c>
      <c r="CY82" s="43">
        <f t="shared" ref="CY82" si="2777">IF(CC82="","",CY$73+(CC82-CC$73)*1000)</f>
        <v>-40.500223946756009</v>
      </c>
      <c r="CZ82" s="43">
        <f t="shared" ref="CZ82" si="2778">IF(CD82="","",CZ$75+(CD82-CD$75)*1000)</f>
        <v>1.5569251341958079</v>
      </c>
      <c r="DA82" s="43">
        <f t="shared" ref="DA82" si="2779">IF(CE82="","",DA$75+(CE82-CE$75)*1000)</f>
        <v>-25.201513818816412</v>
      </c>
      <c r="DB82" s="43">
        <f t="shared" ref="DB82" si="2780">IF(CF82="","",DB$75+(CF82-CF$75)*1000)</f>
        <v>-1.8475692513542086</v>
      </c>
      <c r="DC82" s="43">
        <f t="shared" si="2666"/>
        <v>13.103007076495032</v>
      </c>
      <c r="DD82" s="43">
        <f t="shared" ref="DD82" si="2781">IF(CH82="","",DD$75+(CH82-CH$75)*1000)</f>
        <v>-22.659515828469701</v>
      </c>
      <c r="DE82" s="43">
        <f t="shared" ref="DE82" si="2782">IF(CI82="","",DE$75+(CI82-CI$75)*1000)</f>
        <v>-31.95303007077743</v>
      </c>
    </row>
    <row r="83" spans="1:114" ht="29.25" customHeight="1" x14ac:dyDescent="0.2">
      <c r="A83" s="37">
        <v>44376</v>
      </c>
      <c r="B83" s="29">
        <f t="shared" si="2544"/>
        <v>718</v>
      </c>
      <c r="C83" s="38">
        <v>222.9</v>
      </c>
      <c r="D83" s="38">
        <f t="shared" ref="D83" si="2783">C83-PM</f>
        <v>39</v>
      </c>
      <c r="E83" s="39">
        <v>823233.37860000005</v>
      </c>
      <c r="F83" s="39">
        <v>1091513.5554</v>
      </c>
      <c r="G83" s="39">
        <v>-124.5814</v>
      </c>
      <c r="H83" s="39">
        <v>823233.25199999998</v>
      </c>
      <c r="I83" s="39">
        <v>1091513.7577</v>
      </c>
      <c r="J83" s="39">
        <v>-123.4145</v>
      </c>
      <c r="K83" s="39"/>
      <c r="L83" s="39"/>
      <c r="M83" s="39"/>
      <c r="N83" s="39">
        <v>823234.4388</v>
      </c>
      <c r="O83" s="39">
        <v>1091511.1085999999</v>
      </c>
      <c r="P83" s="39">
        <v>-121.32170000000001</v>
      </c>
      <c r="Q83" s="39">
        <v>823234.87650000001</v>
      </c>
      <c r="R83" s="39">
        <v>1091510.1454</v>
      </c>
      <c r="S83" s="39">
        <v>-121.3849</v>
      </c>
      <c r="T83" s="39">
        <v>823235.48129999998</v>
      </c>
      <c r="U83" s="39">
        <v>1091508.8973999999</v>
      </c>
      <c r="V83" s="39">
        <v>-123.45180000000001</v>
      </c>
      <c r="W83" s="39">
        <v>823235.40819999995</v>
      </c>
      <c r="X83" s="39">
        <v>1091509.0386999999</v>
      </c>
      <c r="Y83" s="39">
        <v>-124.6249</v>
      </c>
      <c r="Z83" s="39">
        <f t="shared" si="2647"/>
        <v>4.2114722330866039</v>
      </c>
      <c r="AA83" s="39">
        <f t="shared" si="2546"/>
        <v>3.5785523456091153</v>
      </c>
      <c r="AB83" s="39"/>
      <c r="AC83" s="39">
        <f t="shared" si="2670"/>
        <v>1.0598725252504773</v>
      </c>
      <c r="AD83" s="39">
        <f t="shared" si="2548"/>
        <v>3.2424585887946931</v>
      </c>
      <c r="AE83" s="39">
        <f t="shared" si="2648"/>
        <v>4.0168834448985153</v>
      </c>
      <c r="AF83" s="39"/>
      <c r="AG83" s="39">
        <f t="shared" si="2550"/>
        <v>5.3473064126340066</v>
      </c>
      <c r="AH83" s="39">
        <f t="shared" si="2560"/>
        <v>4.9519437900579533</v>
      </c>
      <c r="AI83" s="43">
        <f t="shared" si="2671"/>
        <v>-73.732051859892067</v>
      </c>
      <c r="AJ83" s="43">
        <f t="shared" si="2672"/>
        <v>-59.905514047214666</v>
      </c>
      <c r="AK83" s="43" t="str">
        <f t="shared" ref="AK83:AK85" si="2784">IF(AB83="","",(AB83-AB$10)*1000)</f>
        <v/>
      </c>
      <c r="AL83" s="43">
        <f>IF(AC83="","",AL$75+(AC83-AC$75)*1000)</f>
        <v>-18.879716303453307</v>
      </c>
      <c r="AM83" s="43">
        <f t="shared" ref="AM83" si="2785">IF(AD83="","",AM$75+(AD83-AD$75)*1000)</f>
        <v>-67.889016659636425</v>
      </c>
      <c r="AN83" s="43">
        <f t="shared" ref="AN83" si="2786">IF(AE83="","",AN$75+(AE83-AE$75)*1000)</f>
        <v>-50.597633471019421</v>
      </c>
      <c r="AO83" s="43" t="str">
        <f t="shared" ref="AO83" si="2787">IF(AF83="","",(AF83-AF$10)*1000)</f>
        <v/>
      </c>
      <c r="AP83" s="43">
        <f t="shared" ref="AP83" si="2788">IF(AG83="","",AP$75+(AG83-AG$75)*1000)</f>
        <v>-29.225842432458293</v>
      </c>
      <c r="AQ83" s="43">
        <f t="shared" ref="AQ83" si="2789">IF(AH83="","",AQ$75+(AH83-AH$75)*1000)</f>
        <v>-25.927866237529074</v>
      </c>
      <c r="AR83" s="40"/>
      <c r="AS83" s="43">
        <f t="shared" ref="AS83" si="2790">IF(E83="","",(E83-E$75)*1000+AS$75)</f>
        <v>1.2499999720603228</v>
      </c>
      <c r="AT83" s="43">
        <f t="shared" ref="AT83" si="2791">IF(F83="","",(F83-F$75)*1000+AT$75)</f>
        <v>-4.0500003378838301</v>
      </c>
      <c r="AU83" s="43">
        <f t="shared" ref="AU83" si="2792">IF(G83="","",(G83-G$75)*1000+AU$75)</f>
        <v>2.7999999999934744</v>
      </c>
      <c r="AV83" s="43">
        <f t="shared" ref="AV83" si="2793">IF(H83="","",(H83-H$75)*1000+AV$75)</f>
        <v>1.500000013038516</v>
      </c>
      <c r="AW83" s="43">
        <f t="shared" ref="AW83" si="2794">IF(I83="","",(I83-I$75)*1000+AW$75)</f>
        <v>-4.650000249966979</v>
      </c>
      <c r="AX83" s="43">
        <f t="shared" ref="AX83" si="2795">IF(J83="","",(J83-J$75)*1000+AX$75)</f>
        <v>-0.55000000000404725</v>
      </c>
      <c r="AY83" s="43" t="str">
        <f t="shared" si="2532"/>
        <v/>
      </c>
      <c r="AZ83" s="43" t="str">
        <f t="shared" si="2533"/>
        <v/>
      </c>
      <c r="BA83" s="43" t="str">
        <f t="shared" si="2534"/>
        <v/>
      </c>
      <c r="BB83" s="43">
        <f t="shared" ref="BB83" si="2796">IF(N83="","",(N83-N$75)*1000+BB$75)</f>
        <v>-14.199999975971878</v>
      </c>
      <c r="BC83" s="43">
        <f t="shared" ref="BC83" si="2797">IF(O83="","",(O83-O$75)*1000+BC$75)</f>
        <v>-4.19999985024333</v>
      </c>
      <c r="BD83" s="43">
        <f t="shared" ref="BD83" si="2798">IF(P83="","",(P83-P$75)*1000+BD$75)</f>
        <v>-81.050000000004729</v>
      </c>
      <c r="BE83" s="43">
        <f t="shared" si="2685"/>
        <v>2.9499998781830072</v>
      </c>
      <c r="BF83" s="43">
        <f t="shared" ref="BF83" si="2799">IF(R83="","",(R83-R$73)*1000+BF$73)</f>
        <v>16.50000037625432</v>
      </c>
      <c r="BG83" s="43">
        <f t="shared" ref="BG83" si="2800">IF(S83="","",(S83-S$73)*1000+BG$73)</f>
        <v>-40.65000000001362</v>
      </c>
      <c r="BH83" s="43">
        <f t="shared" ref="BH83" si="2801">IF(T83="","",(T83-T$75)*1000+BH$75)</f>
        <v>-9.2999999178573489</v>
      </c>
      <c r="BI83" s="43">
        <f t="shared" ref="BI83" si="2802">IF(U83="","",(U83-U$75)*1000+BI$75)</f>
        <v>22.850000066682696</v>
      </c>
      <c r="BJ83" s="43">
        <f t="shared" ref="BJ83" si="2803">IF(V83="","",(V83-V$75)*1000+BJ$75)</f>
        <v>-1.7999999999886995</v>
      </c>
      <c r="BK83" s="43">
        <f t="shared" ref="BK83" si="2804">IF(W83="","",(W83-W$75)*1000+BK$75)</f>
        <v>2.4999999441206455</v>
      </c>
      <c r="BL83" s="43">
        <f t="shared" ref="BL83" si="2805">IF(X83="","",(X83-X$75)*1000+BL$75)</f>
        <v>25.54999990388751</v>
      </c>
      <c r="BM83" s="43">
        <f t="shared" ref="BM83" si="2806">IF(Y83="","",(Y83-Y$75)*1000+BM$75)</f>
        <v>-31.699999999986517</v>
      </c>
      <c r="BN83" s="40"/>
      <c r="BO83" s="39">
        <v>183.96915029395811</v>
      </c>
      <c r="BP83" s="39">
        <v>-2.4269095544842409</v>
      </c>
      <c r="BQ83" s="39">
        <v>-0.87821150293959249</v>
      </c>
      <c r="BR83" s="39">
        <v>183.93991622210936</v>
      </c>
      <c r="BS83" s="39">
        <v>-2.6637601805424995</v>
      </c>
      <c r="BT83" s="39">
        <v>0.28898083777889383</v>
      </c>
      <c r="BU83" s="41" t="s">
        <v>61</v>
      </c>
      <c r="BV83" s="42" t="s">
        <v>61</v>
      </c>
      <c r="BW83" s="42" t="s">
        <v>61</v>
      </c>
      <c r="BX83" s="41">
        <v>183.89585618612153</v>
      </c>
      <c r="BY83" s="42">
        <v>0.23870149250219161</v>
      </c>
      <c r="BZ83" s="42">
        <v>2.382221438138771</v>
      </c>
      <c r="CA83" s="41">
        <v>183.88544179997584</v>
      </c>
      <c r="CB83" s="42">
        <v>1.2966367789644568</v>
      </c>
      <c r="CC83" s="42">
        <v>2.3191255820002397</v>
      </c>
      <c r="CD83" s="41">
        <v>183.90609752262793</v>
      </c>
      <c r="CE83" s="42">
        <v>2.6833091921290722</v>
      </c>
      <c r="CF83" s="42">
        <v>0.25201902477371618</v>
      </c>
      <c r="CG83" s="41">
        <v>183.89956830283361</v>
      </c>
      <c r="CH83" s="42">
        <v>2.5243542636135894</v>
      </c>
      <c r="CI83" s="42">
        <v>-0.92101568302832959</v>
      </c>
      <c r="CJ83" s="40"/>
      <c r="CK83" s="43">
        <f t="shared" si="2657"/>
        <v>-0.92297064190915989</v>
      </c>
      <c r="CL83" s="43">
        <f t="shared" ref="CL83" si="2807">IF(BP83="","",CL$75+(BP83-BP$75)*1000)</f>
        <v>4.5245970868110774</v>
      </c>
      <c r="CM83" s="43">
        <f t="shared" ref="CM83" si="2808">IF(BQ83="","",CM$75+(BQ83-BQ$75)*1000)</f>
        <v>2.7882297064070194</v>
      </c>
      <c r="CN83" s="43">
        <f t="shared" ref="CN83" si="2809">IF(BR83="","",CN$75+(BR83-BR$75)*1000)</f>
        <v>-0.63932526057897121</v>
      </c>
      <c r="CO83" s="43">
        <f t="shared" ref="CO83" si="2810">IF(BS83="","",CO$75+(BS83-BS$75)*1000)</f>
        <v>4.7825953961937451</v>
      </c>
      <c r="CP83" s="43">
        <f t="shared" ref="CP83" si="2811">IF(BT83="","",CP$75+(BT83-BT$75)*1000)</f>
        <v>-0.57160674740852624</v>
      </c>
      <c r="CQ83" s="43"/>
      <c r="CR83" s="43"/>
      <c r="CS83" s="43"/>
      <c r="CT83" s="43">
        <f t="shared" ref="CT83" si="2812">IF(BX83="","",CT$75+(BX83-BX$75)*1000)</f>
        <v>-14.548256703989182</v>
      </c>
      <c r="CU83" s="43">
        <f t="shared" ref="CU83" si="2813">IF(BY83="","",CU$75+(BY83-BY$75)*1000)</f>
        <v>-2.3372945814406076</v>
      </c>
      <c r="CV83" s="43">
        <f t="shared" ref="CV83" si="2814">IF(BZ83="","",CV$75+(BZ83-BZ$75)*1000)</f>
        <v>-80.865517432974428</v>
      </c>
      <c r="CW83" s="43">
        <f t="shared" si="2696"/>
        <v>9.1561606249399574</v>
      </c>
      <c r="CX83" s="43">
        <f t="shared" ref="CX83" si="2815">IF(CB83="","",CX$73+(CB83-CB$73)*1000)</f>
        <v>-12.975458561909958</v>
      </c>
      <c r="CY83" s="43">
        <f t="shared" ref="CY83" si="2816">IF(CC83="","",CY$73+(CC83-CC$73)*1000)</f>
        <v>-40.599561606262213</v>
      </c>
      <c r="CZ83" s="43">
        <f t="shared" ref="CZ83" si="2817">IF(CD83="","",CZ$75+(CD83-CD$75)*1000)</f>
        <v>1.2127046049101864</v>
      </c>
      <c r="DA83" s="43">
        <f t="shared" ref="DA83" si="2818">IF(CE83="","",DA$75+(CE83-CE$75)*1000)</f>
        <v>-24.700003685597327</v>
      </c>
      <c r="DB83" s="43">
        <f t="shared" ref="DB83" si="2819">IF(CF83="","",DB$75+(CF83-CF$75)*1000)</f>
        <v>-1.7441270460674119</v>
      </c>
      <c r="DC83" s="43">
        <f t="shared" si="2666"/>
        <v>12.98840899292486</v>
      </c>
      <c r="DD83" s="43">
        <f t="shared" ref="DD83" si="2820">IF(CH83="","",DD$75+(CH83-CH$75)*1000)</f>
        <v>-21.940581059859188</v>
      </c>
      <c r="DE83" s="43">
        <f t="shared" ref="DE83" si="2821">IF(CI83="","",DE$75+(CI83-CI$75)*1000)</f>
        <v>-31.851884089927893</v>
      </c>
      <c r="DF83" s="76"/>
      <c r="DG83" s="76"/>
      <c r="DH83" s="76"/>
      <c r="DI83" s="76"/>
      <c r="DJ83" s="76"/>
    </row>
    <row r="84" spans="1:114" ht="29.25" customHeight="1" x14ac:dyDescent="0.2">
      <c r="A84" s="37">
        <v>44400</v>
      </c>
      <c r="B84" s="29">
        <f t="shared" si="2544"/>
        <v>742</v>
      </c>
      <c r="C84" s="38">
        <v>222.9</v>
      </c>
      <c r="D84" s="38">
        <f t="shared" ref="D84" si="2822">C84-PM</f>
        <v>39</v>
      </c>
      <c r="E84" s="39">
        <v>823233.37879999995</v>
      </c>
      <c r="F84" s="39">
        <v>1091513.5556999999</v>
      </c>
      <c r="G84" s="39">
        <v>-124.5813</v>
      </c>
      <c r="H84" s="39">
        <v>823233.25210000004</v>
      </c>
      <c r="I84" s="39">
        <v>1091513.7579000001</v>
      </c>
      <c r="J84" s="39">
        <v>-123.4144</v>
      </c>
      <c r="K84" s="39"/>
      <c r="L84" s="39"/>
      <c r="M84" s="39"/>
      <c r="N84" s="39">
        <v>823234.43830000004</v>
      </c>
      <c r="O84" s="39">
        <v>1091511.1092999999</v>
      </c>
      <c r="P84" s="39">
        <v>-121.3224</v>
      </c>
      <c r="Q84" s="39">
        <v>823234.87670000002</v>
      </c>
      <c r="R84" s="39">
        <v>1091510.1459999999</v>
      </c>
      <c r="S84" s="39">
        <v>-121.3856</v>
      </c>
      <c r="T84" s="39">
        <v>823235.48149999999</v>
      </c>
      <c r="U84" s="39">
        <v>1091508.8984000001</v>
      </c>
      <c r="V84" s="39">
        <v>-123.45189999999999</v>
      </c>
      <c r="W84" s="39">
        <v>823235.4081</v>
      </c>
      <c r="X84" s="39">
        <v>1091509.0396</v>
      </c>
      <c r="Y84" s="39">
        <v>-124.6246</v>
      </c>
      <c r="Z84" s="39">
        <f t="shared" si="2647"/>
        <v>4.2104444445053701</v>
      </c>
      <c r="AA84" s="39">
        <f t="shared" si="2546"/>
        <v>3.5775153949348755</v>
      </c>
      <c r="AB84" s="39"/>
      <c r="AC84" s="39">
        <f t="shared" si="2670"/>
        <v>1.060252653795416</v>
      </c>
      <c r="AD84" s="39">
        <f t="shared" si="2548"/>
        <v>3.2420850234318626</v>
      </c>
      <c r="AE84" s="39">
        <f t="shared" si="2648"/>
        <v>4.0160546521947902</v>
      </c>
      <c r="AF84" s="39"/>
      <c r="AG84" s="39">
        <f t="shared" si="2550"/>
        <v>5.3466223786601024</v>
      </c>
      <c r="AH84" s="39">
        <f t="shared" si="2560"/>
        <v>4.951271815325387</v>
      </c>
      <c r="AI84" s="43">
        <f t="shared" si="2671"/>
        <v>-74.759840441125831</v>
      </c>
      <c r="AJ84" s="43">
        <f t="shared" si="2672"/>
        <v>-60.942464721454485</v>
      </c>
      <c r="AK84" s="43" t="str">
        <f t="shared" si="2784"/>
        <v/>
      </c>
      <c r="AL84" s="43">
        <f t="shared" ref="AL84:AL85" si="2823">IF(AC84="","",AL$75+(AC84-AC$75)*1000)</f>
        <v>-18.499587758514565</v>
      </c>
      <c r="AM84" s="43">
        <f t="shared" ref="AM84:AM85" si="2824">IF(AD84="","",AM$75+(AD84-AD$75)*1000)</f>
        <v>-68.262582022466944</v>
      </c>
      <c r="AN84" s="43">
        <f t="shared" ref="AN84:AN85" si="2825">IF(AE84="","",AN$75+(AE84-AE$75)*1000)</f>
        <v>-51.426426174744577</v>
      </c>
      <c r="AO84" s="43" t="str">
        <f t="shared" si="2708"/>
        <v/>
      </c>
      <c r="AP84" s="43">
        <f t="shared" si="2675"/>
        <v>-29.909876406362557</v>
      </c>
      <c r="AQ84" s="43">
        <f t="shared" si="2676"/>
        <v>-26.599840970095379</v>
      </c>
      <c r="AR84" s="40"/>
      <c r="AS84" s="43">
        <f t="shared" ref="AS84" si="2826">IF(E84="","",(E84-E$75)*1000+AS$75)</f>
        <v>1.4499998651444912</v>
      </c>
      <c r="AT84" s="43">
        <f t="shared" ref="AT84" si="2827">IF(F84="","",(F84-F$75)*1000+AT$75)</f>
        <v>-3.7500003818422556</v>
      </c>
      <c r="AU84" s="43">
        <f t="shared" ref="AU84" si="2828">IF(G84="","",(G84-G$75)*1000+AU$75)</f>
        <v>2.899999999996794</v>
      </c>
      <c r="AV84" s="43">
        <f t="shared" ref="AV84" si="2829">IF(H84="","",(H84-H$75)*1000+AV$75)</f>
        <v>1.6000000759959221</v>
      </c>
      <c r="AW84" s="43">
        <f t="shared" ref="AW84" si="2830">IF(I84="","",(I84-I$75)*1000+AW$75)</f>
        <v>-4.4500001240521669</v>
      </c>
      <c r="AX84" s="43">
        <f t="shared" ref="AX84" si="2831">IF(J84="","",(J84-J$75)*1000+AX$75)</f>
        <v>-0.4500000000007276</v>
      </c>
      <c r="AY84" s="43" t="str">
        <f t="shared" ref="AY84" si="2832">IF(K84="","",(K84-K$10)*1000)</f>
        <v/>
      </c>
      <c r="AZ84" s="43" t="str">
        <f t="shared" si="2533"/>
        <v/>
      </c>
      <c r="BA84" s="43" t="str">
        <f t="shared" si="2534"/>
        <v/>
      </c>
      <c r="BB84" s="43">
        <f t="shared" ref="BB84" si="2833">IF(N84="","",(N84-N$75)*1000+BB$75)</f>
        <v>-14.699999941512942</v>
      </c>
      <c r="BC84" s="43">
        <f t="shared" ref="BC84" si="2834">IF(O84="","",(O84-O$75)*1000+BC$75)</f>
        <v>-3.499999875202775</v>
      </c>
      <c r="BD84" s="43">
        <f t="shared" ref="BD84" si="2835">IF(P84="","",(P84-P$75)*1000+BD$75)</f>
        <v>-81.749999999999545</v>
      </c>
      <c r="BE84" s="43">
        <f t="shared" si="2685"/>
        <v>3.1499998876824975</v>
      </c>
      <c r="BF84" s="43">
        <f t="shared" ref="BF84" si="2836">IF(R84="","",(R84-R$73)*1000+BF$73)</f>
        <v>17.100000288337469</v>
      </c>
      <c r="BG84" s="43">
        <f t="shared" ref="BG84" si="2837">IF(S84="","",(S84-S$73)*1000+BG$73)</f>
        <v>-41.350000000008436</v>
      </c>
      <c r="BH84" s="43">
        <f t="shared" ref="BH84" si="2838">IF(T84="","",(T84-T$75)*1000+BH$75)</f>
        <v>-9.0999999083578587</v>
      </c>
      <c r="BI84" s="43">
        <f t="shared" ref="BI84" si="2839">IF(U84="","",(U84-U$75)*1000+BI$75)</f>
        <v>23.850000230595469</v>
      </c>
      <c r="BJ84" s="43">
        <f t="shared" ref="BJ84" si="2840">IF(V84="","",(V84-V$75)*1000+BJ$75)</f>
        <v>-1.8999999999778083</v>
      </c>
      <c r="BK84" s="43">
        <f t="shared" ref="BK84" si="2841">IF(W84="","",(W84-W$75)*1000+BK$75)</f>
        <v>2.3999999975785613</v>
      </c>
      <c r="BL84" s="43">
        <f t="shared" ref="BL84" si="2842">IF(X84="","",(X84-X$75)*1000+BL$75)</f>
        <v>26.450000004842877</v>
      </c>
      <c r="BM84" s="43">
        <f t="shared" ref="BM84" si="2843">IF(Y84="","",(Y84-Y$75)*1000+BM$75)</f>
        <v>-31.399999999990769</v>
      </c>
      <c r="BN84" s="40"/>
      <c r="BO84" s="39">
        <v>183.96945834785549</v>
      </c>
      <c r="BP84" s="39">
        <v>-2.4270969117023191</v>
      </c>
      <c r="BQ84" s="39">
        <v>-0.8781145834785633</v>
      </c>
      <c r="BR84" s="39">
        <v>183.94009138182656</v>
      </c>
      <c r="BS84" s="39">
        <v>-2.6638991738388045</v>
      </c>
      <c r="BT84" s="39">
        <v>0.28907908618172939</v>
      </c>
      <c r="BU84" s="41" t="s">
        <v>61</v>
      </c>
      <c r="BV84" s="42" t="s">
        <v>61</v>
      </c>
      <c r="BW84" s="42" t="s">
        <v>61</v>
      </c>
      <c r="BX84" s="41">
        <v>183.89569889652464</v>
      </c>
      <c r="BY84" s="42">
        <v>0.2378557620998927</v>
      </c>
      <c r="BZ84" s="42">
        <v>2.3815230110347443</v>
      </c>
      <c r="CA84" s="41">
        <v>183.88587664956316</v>
      </c>
      <c r="CB84" s="42">
        <v>1.2961775342206927</v>
      </c>
      <c r="CC84" s="42">
        <v>2.3184212335043668</v>
      </c>
      <c r="CD84" s="41">
        <v>183.90670143312573</v>
      </c>
      <c r="CE84" s="42">
        <v>2.6824874303373973</v>
      </c>
      <c r="CF84" s="42">
        <v>0.25191298566873854</v>
      </c>
      <c r="CG84" s="41">
        <v>183.89985806052891</v>
      </c>
      <c r="CH84" s="42">
        <v>2.5234963354994551</v>
      </c>
      <c r="CI84" s="42">
        <v>-0.92071858060529621</v>
      </c>
      <c r="CJ84" s="40"/>
      <c r="CK84" s="43">
        <f t="shared" si="2657"/>
        <v>-0.61491674452440748</v>
      </c>
      <c r="CL84" s="43">
        <f t="shared" ref="CL84" si="2844">IF(BP84="","",CL$75+(BP84-BP$75)*1000)</f>
        <v>4.3372398687329117</v>
      </c>
      <c r="CM84" s="43">
        <f t="shared" ref="CM84" si="2845">IF(BQ84="","",CM$75+(BQ84-BQ$75)*1000)</f>
        <v>2.8851491674362073</v>
      </c>
      <c r="CN84" s="43">
        <f t="shared" ref="CN84" si="2846">IF(BR84="","",CN$75+(BR84-BR$75)*1000)</f>
        <v>-0.46416554337724847</v>
      </c>
      <c r="CO84" s="43">
        <f t="shared" ref="CO84" si="2847">IF(BS84="","",CO$75+(BS84-BS$75)*1000)</f>
        <v>4.6436020998887884</v>
      </c>
      <c r="CP84" s="43">
        <f t="shared" ref="CP84" si="2848">IF(BT84="","",CP$75+(BT84-BT$75)*1000)</f>
        <v>-0.47335834457296055</v>
      </c>
      <c r="CQ84" s="43"/>
      <c r="CR84" s="43"/>
      <c r="CS84" s="43"/>
      <c r="CT84" s="43">
        <f t="shared" ref="CT84" si="2849">IF(BX84="","",CT$75+(BX84-BX$75)*1000)</f>
        <v>-14.705546300888273</v>
      </c>
      <c r="CU84" s="43">
        <f t="shared" ref="CU84" si="2850">IF(BY84="","",CU$75+(BY84-BY$75)*1000)</f>
        <v>-3.1830249837395126</v>
      </c>
      <c r="CV84" s="43">
        <f t="shared" ref="CV84" si="2851">IF(BZ84="","",CV$75+(BZ84-BZ$75)*1000)</f>
        <v>-81.563944537001106</v>
      </c>
      <c r="CW84" s="43">
        <f t="shared" si="2696"/>
        <v>9.5910102122616081</v>
      </c>
      <c r="CX84" s="43">
        <f t="shared" ref="CX84" si="2852">IF(CB84="","",CX$73+(CB84-CB$73)*1000)</f>
        <v>-13.434703305674089</v>
      </c>
      <c r="CY84" s="43">
        <f t="shared" ref="CY84" si="2853">IF(CC84="","",CY$73+(CC84-CC$73)*1000)</f>
        <v>-41.303910102135077</v>
      </c>
      <c r="CZ84" s="43">
        <f t="shared" ref="CZ84" si="2854">IF(CD84="","",CZ$75+(CD84-CD$75)*1000)</f>
        <v>1.8166151027116939</v>
      </c>
      <c r="DA84" s="43">
        <f t="shared" ref="DA84" si="2855">IF(CE84="","",DA$75+(CE84-CE$75)*1000)</f>
        <v>-25.52176547727214</v>
      </c>
      <c r="DB84" s="43">
        <f t="shared" ref="DB84" si="2856">IF(CF84="","",DB$75+(CF84-CF$75)*1000)</f>
        <v>-1.8501661510450518</v>
      </c>
      <c r="DC84" s="43">
        <f t="shared" si="2666"/>
        <v>13.278166688223791</v>
      </c>
      <c r="DD84" s="43">
        <f t="shared" ref="DD84" si="2857">IF(CH84="","",DD$75+(CH84-CH$75)*1000)</f>
        <v>-22.798509173993509</v>
      </c>
      <c r="DE84" s="43">
        <f t="shared" ref="DE84" si="2858">IF(CI84="","",DE$75+(CI84-CI$75)*1000)</f>
        <v>-31.554781666894513</v>
      </c>
    </row>
    <row r="85" spans="1:114" ht="29.25" customHeight="1" x14ac:dyDescent="0.2">
      <c r="A85" s="37">
        <v>44439</v>
      </c>
      <c r="B85" s="29">
        <f t="shared" si="2544"/>
        <v>781</v>
      </c>
      <c r="C85" s="38">
        <v>222.9</v>
      </c>
      <c r="D85" s="38">
        <f t="shared" ref="D85" si="2859">C85-PM</f>
        <v>39</v>
      </c>
      <c r="E85" s="39">
        <v>823233.37879999995</v>
      </c>
      <c r="F85" s="39">
        <v>1091513.5552000001</v>
      </c>
      <c r="G85" s="39">
        <v>-124.5792</v>
      </c>
      <c r="H85" s="39">
        <v>823233.25219999999</v>
      </c>
      <c r="I85" s="39">
        <v>1091513.7574</v>
      </c>
      <c r="J85" s="39">
        <v>-123.4126</v>
      </c>
      <c r="K85" s="39">
        <v>823233.45790000004</v>
      </c>
      <c r="L85" s="39">
        <v>1091513.2818</v>
      </c>
      <c r="M85" s="39">
        <v>-121.9735</v>
      </c>
      <c r="N85" s="39">
        <v>823234.43850000005</v>
      </c>
      <c r="O85" s="39">
        <v>1091511.1092999999</v>
      </c>
      <c r="P85" s="39">
        <v>-121.32129999999999</v>
      </c>
      <c r="Q85" s="39">
        <v>823234.87650000001</v>
      </c>
      <c r="R85" s="39">
        <v>1091510.1455999999</v>
      </c>
      <c r="S85" s="39">
        <v>-121.3848</v>
      </c>
      <c r="T85" s="39">
        <v>823235.48120000004</v>
      </c>
      <c r="U85" s="39">
        <v>1091508.8988999999</v>
      </c>
      <c r="V85" s="39">
        <v>-123.45050000000001</v>
      </c>
      <c r="W85" s="39">
        <v>823235.40800000005</v>
      </c>
      <c r="X85" s="39">
        <v>1091509.0399</v>
      </c>
      <c r="Y85" s="39">
        <v>-124.6228</v>
      </c>
      <c r="Z85" s="39">
        <f t="shared" si="2647"/>
        <v>4.2094302834260597</v>
      </c>
      <c r="AA85" s="39">
        <f t="shared" si="2546"/>
        <v>3.5767690714821367</v>
      </c>
      <c r="AB85" s="39"/>
      <c r="AC85" s="39">
        <f t="shared" si="2670"/>
        <v>1.0604687359371643</v>
      </c>
      <c r="AD85" s="39">
        <f t="shared" si="2548"/>
        <v>3.2413861371179333</v>
      </c>
      <c r="AE85" s="39">
        <f t="shared" si="2648"/>
        <v>4.015252029410199</v>
      </c>
      <c r="AF85" s="39">
        <f t="shared" si="2601"/>
        <v>3.4920973769850936</v>
      </c>
      <c r="AG85" s="39">
        <f t="shared" si="2550"/>
        <v>5.3455495190946429</v>
      </c>
      <c r="AH85" s="39">
        <f t="shared" si="2560"/>
        <v>4.9505037815571988</v>
      </c>
      <c r="AI85" s="43">
        <f t="shared" si="2671"/>
        <v>-75.774001520436229</v>
      </c>
      <c r="AJ85" s="43">
        <f t="shared" si="2672"/>
        <v>-61.688788174193206</v>
      </c>
      <c r="AK85" s="43" t="str">
        <f t="shared" si="2784"/>
        <v/>
      </c>
      <c r="AL85" s="43">
        <f t="shared" si="2823"/>
        <v>-18.283505616766281</v>
      </c>
      <c r="AM85" s="43">
        <f t="shared" si="2824"/>
        <v>-68.961468336396166</v>
      </c>
      <c r="AN85" s="43">
        <f t="shared" si="2825"/>
        <v>-52.229048959335778</v>
      </c>
      <c r="AO85" s="43"/>
      <c r="AP85" s="43">
        <f t="shared" si="2675"/>
        <v>-30.982735971821995</v>
      </c>
      <c r="AQ85" s="43">
        <f t="shared" si="2676"/>
        <v>-27.367874738283504</v>
      </c>
      <c r="AR85" s="40"/>
      <c r="AS85" s="43">
        <f t="shared" ref="AS85" si="2860">IF(E85="","",(E85-E$75)*1000+AS$75)</f>
        <v>1.4499998651444912</v>
      </c>
      <c r="AT85" s="43">
        <f t="shared" ref="AT85" si="2861">IF(F85="","",(F85-F$75)*1000+AT$75)</f>
        <v>-4.2500002309679985</v>
      </c>
      <c r="AU85" s="43">
        <f t="shared" ref="AU85" si="2862">IF(G85="","",(G85-G$75)*1000+AU$75)</f>
        <v>4.9999999999954525</v>
      </c>
      <c r="AV85" s="43">
        <f t="shared" ref="AV85" si="2863">IF(H85="","",(H85-H$75)*1000+AV$75)</f>
        <v>1.7000000225380063</v>
      </c>
      <c r="AW85" s="43">
        <f t="shared" ref="AW85" si="2864">IF(I85="","",(I85-I$75)*1000+AW$75)</f>
        <v>-4.9500002060085535</v>
      </c>
      <c r="AX85" s="43">
        <f t="shared" ref="AX85" si="2865">IF(J85="","",(J85-J$75)*1000+AX$75)</f>
        <v>1.3500000000021828</v>
      </c>
      <c r="AY85" s="43">
        <f t="shared" ref="AY85" si="2866">IF(K85="","",(K85-K$10)*1000)</f>
        <v>-25.54999990388751</v>
      </c>
      <c r="AZ85" s="43">
        <f t="shared" ref="AZ85" si="2867">IF(L85="","",(L85-L$10)*1000)</f>
        <v>119.0999997779727</v>
      </c>
      <c r="BA85" s="43">
        <f t="shared" ref="BA85" si="2868">IF(M85="","",(M85-M$10)*1000)</f>
        <v>-129.19999999999732</v>
      </c>
      <c r="BB85" s="43">
        <f t="shared" ref="BB85" si="2869">IF(N85="","",(N85-N$75)*1000+BB$75)</f>
        <v>-14.499999932013452</v>
      </c>
      <c r="BC85" s="43">
        <f t="shared" ref="BC85" si="2870">IF(O85="","",(O85-O$75)*1000+BC$75)</f>
        <v>-3.499999875202775</v>
      </c>
      <c r="BD85" s="43">
        <f t="shared" ref="BD85" si="2871">IF(P85="","",(P85-P$75)*1000+BD$75)</f>
        <v>-80.649999999991451</v>
      </c>
      <c r="BE85" s="43">
        <f t="shared" si="2685"/>
        <v>2.9499998781830072</v>
      </c>
      <c r="BF85" s="43">
        <f t="shared" ref="BF85" si="2872">IF(R85="","",(R85-R$73)*1000+BF$73)</f>
        <v>16.700000269338489</v>
      </c>
      <c r="BG85" s="43">
        <f t="shared" ref="BG85" si="2873">IF(S85="","",(S85-S$73)*1000+BG$73)</f>
        <v>-40.5500000000103</v>
      </c>
      <c r="BH85" s="43">
        <f t="shared" ref="BH85" si="2874">IF(T85="","",(T85-T$75)*1000+BH$75)</f>
        <v>-9.3999998643994331</v>
      </c>
      <c r="BI85" s="43">
        <f t="shared" ref="BI85" si="2875">IF(U85="","",(U85-U$75)*1000+BI$75)</f>
        <v>24.350000079721212</v>
      </c>
      <c r="BJ85" s="43">
        <f t="shared" ref="BJ85" si="2876">IF(V85="","",(V85-V$75)*1000+BJ$75)</f>
        <v>-0.49999999998817657</v>
      </c>
      <c r="BK85" s="43">
        <f t="shared" ref="BK85" si="2877">IF(W85="","",(W85-W$75)*1000+BK$75)</f>
        <v>2.3000000510364771</v>
      </c>
      <c r="BL85" s="43">
        <f t="shared" ref="BL85" si="2878">IF(X85="","",(X85-X$75)*1000+BL$75)</f>
        <v>26.749999960884452</v>
      </c>
      <c r="BM85" s="43">
        <f t="shared" ref="BM85" si="2879">IF(Y85="","",(Y85-Y$75)*1000+BM$75)</f>
        <v>-29.599999999987858</v>
      </c>
      <c r="BN85" s="40"/>
      <c r="BO85" s="39">
        <v>183.96924702191421</v>
      </c>
      <c r="BP85" s="39">
        <v>-2.4266437658144464</v>
      </c>
      <c r="BQ85" s="39">
        <v>-0.87601247021915185</v>
      </c>
      <c r="BR85" s="39">
        <v>183.93997068494338</v>
      </c>
      <c r="BS85" s="39">
        <v>-2.6634037625615554</v>
      </c>
      <c r="BT85" s="39">
        <v>0.29088029315056474</v>
      </c>
      <c r="BU85" s="41">
        <v>183.92538166349809</v>
      </c>
      <c r="BV85" s="42">
        <v>-2.1454317454808782</v>
      </c>
      <c r="BW85" s="42">
        <v>1.7301261833650159</v>
      </c>
      <c r="BX85" s="41">
        <v>183.89588015494311</v>
      </c>
      <c r="BY85" s="42">
        <v>0.23794029250592447</v>
      </c>
      <c r="BZ85" s="42">
        <v>2.3826211984505647</v>
      </c>
      <c r="CA85" s="41">
        <v>183.88552633033265</v>
      </c>
      <c r="CB85" s="42">
        <v>1.2964555206515302</v>
      </c>
      <c r="CC85" s="42">
        <v>2.3192247366966683</v>
      </c>
      <c r="CD85" s="41">
        <v>183.9066408714921</v>
      </c>
      <c r="CE85" s="42">
        <v>2.6819074888650833</v>
      </c>
      <c r="CF85" s="42">
        <v>0.25331359128506392</v>
      </c>
      <c r="CG85" s="41">
        <v>183.89989422695689</v>
      </c>
      <c r="CH85" s="42">
        <v>2.5231821827461203</v>
      </c>
      <c r="CI85" s="42">
        <v>-0.91891894226957049</v>
      </c>
      <c r="CJ85" s="40"/>
      <c r="CK85" s="43">
        <f t="shared" ref="CK85" si="2880">IF(BO85="","",CK$75+(BO85-BO$75)*1000)</f>
        <v>-0.82624268580389071</v>
      </c>
      <c r="CL85" s="43">
        <f t="shared" ref="CL85" si="2881">IF(BP85="","",CL$75+(BP85-BP$75)*1000)</f>
        <v>4.7903857566056196</v>
      </c>
      <c r="CM85" s="43">
        <f t="shared" ref="CM85" si="2882">IF(BQ85="","",CM$75+(BQ85-BQ$75)*1000)</f>
        <v>4.9872624268476606</v>
      </c>
      <c r="CN85" s="43">
        <f t="shared" ref="CN85" si="2883">IF(BR85="","",CN$75+(BR85-BR$75)*1000)</f>
        <v>-0.58486242656385912</v>
      </c>
      <c r="CO85" s="43">
        <f t="shared" ref="CO85" si="2884">IF(BS85="","",CO$75+(BS85-BS$75)*1000)</f>
        <v>5.1390133771378466</v>
      </c>
      <c r="CP85" s="43">
        <f t="shared" ref="CP85" si="2885">IF(BT85="","",CP$75+(BT85-BT$75)*1000)</f>
        <v>1.3278486242623844</v>
      </c>
      <c r="CQ85" s="43">
        <f t="shared" ref="CQ85:CQ86" si="2886">IF(BU85="","",(BU85-BU$20)*1000)+CQ$18</f>
        <v>-1.163221993380148</v>
      </c>
      <c r="CR85" s="43">
        <f t="shared" ref="CR85:CR86" si="2887">IF(BV85="","",(BV85-BV$20)*1000)+CR$18</f>
        <v>15.140725504562358</v>
      </c>
      <c r="CS85" s="43">
        <f t="shared" ref="CS85:CS86" si="2888">IF(BW85="","",(BW85-BW$20)*1000)+CS$18</f>
        <v>-13.371367780055987</v>
      </c>
      <c r="CT85" s="43">
        <f t="shared" ref="CT85:CT86" si="2889">IF(BX85="","",CT$75+(BX85-BX$75)*1000)</f>
        <v>-14.524287882409226</v>
      </c>
      <c r="CU85" s="43">
        <f t="shared" ref="CU85:CU86" si="2890">IF(BY85="","",CU$75+(BY85-BY$75)*1000)</f>
        <v>-3.0984945777077497</v>
      </c>
      <c r="CV85" s="43">
        <f t="shared" ref="CV85:CV86" si="2891">IF(BZ85="","",CV$75+(BZ85-BZ$75)*1000)</f>
        <v>-80.465757121180644</v>
      </c>
      <c r="CW85" s="43">
        <f t="shared" ref="CW85:CW86" si="2892">IF(CA85="","",CW$73+(CA85-CA$73)*1000)</f>
        <v>9.2406909817555061</v>
      </c>
      <c r="CX85" s="43">
        <f t="shared" ref="CX85:CX86" si="2893">IF(CB85="","",CX$73+(CB85-CB$73)*1000)</f>
        <v>-13.156716874836549</v>
      </c>
      <c r="CY85" s="43">
        <f t="shared" ref="CY85:CY86" si="2894">IF(CC85="","",CY$73+(CC85-CC$73)*1000)</f>
        <v>-40.500406909833586</v>
      </c>
      <c r="CZ85" s="43">
        <f t="shared" ref="CZ85:CZ86" si="2895">IF(CD85="","",CZ$75+(CD85-CD$75)*1000)</f>
        <v>1.7560534690801433</v>
      </c>
      <c r="DA85" s="43">
        <f t="shared" ref="DA85:DA86" si="2896">IF(CE85="","",DA$75+(CE85-CE$75)*1000)</f>
        <v>-26.101706949586134</v>
      </c>
      <c r="DB85" s="43">
        <f t="shared" ref="DB85:DB86" si="2897">IF(CF85="","",DB$75+(CF85-CF$75)*1000)</f>
        <v>-0.44956053471967294</v>
      </c>
      <c r="DC85" s="43">
        <f t="shared" ref="DC85:DC86" si="2898">IF(CG85="","",DC$75+(CG85-CG$75)*1000)</f>
        <v>13.314333116198895</v>
      </c>
      <c r="DD85" s="43">
        <f t="shared" ref="DD85:DD86" si="2899">IF(CH85="","",DD$75+(CH85-CH$75)*1000)</f>
        <v>-23.112661927328304</v>
      </c>
      <c r="DE85" s="43">
        <f t="shared" ref="DE85:DE86" si="2900">IF(CI85="","",DE$75+(CI85-CI$75)*1000)</f>
        <v>-29.755143331168796</v>
      </c>
    </row>
    <row r="86" spans="1:114" ht="29.25" customHeight="1" x14ac:dyDescent="0.2">
      <c r="A86" s="37">
        <v>44474</v>
      </c>
      <c r="B86" s="29">
        <f t="shared" ref="B86" si="2901">IF(A86="","",A86-excav)</f>
        <v>816</v>
      </c>
      <c r="C86" s="38">
        <v>222.9</v>
      </c>
      <c r="D86" s="38">
        <f t="shared" ref="D86" si="2902">C86-PM</f>
        <v>39</v>
      </c>
      <c r="E86" s="39">
        <v>823233.37899999996</v>
      </c>
      <c r="F86" s="39">
        <v>1091513.5545000001</v>
      </c>
      <c r="G86" s="39">
        <v>-124.5805</v>
      </c>
      <c r="H86" s="39">
        <v>823233.25249999994</v>
      </c>
      <c r="I86" s="39">
        <v>1091513.7568999999</v>
      </c>
      <c r="J86" s="39">
        <v>-123.4139</v>
      </c>
      <c r="K86" s="39">
        <v>823233.45849999995</v>
      </c>
      <c r="L86" s="39">
        <v>1091513.2819999999</v>
      </c>
      <c r="M86" s="39">
        <v>-121.97450000000001</v>
      </c>
      <c r="N86" s="39">
        <v>823234.43889999995</v>
      </c>
      <c r="O86" s="39">
        <v>1091511.1092999999</v>
      </c>
      <c r="P86" s="39">
        <v>-121.32299999999999</v>
      </c>
      <c r="Q86" s="39">
        <v>823234.8774</v>
      </c>
      <c r="R86" s="39">
        <v>1091510.1449</v>
      </c>
      <c r="S86" s="39">
        <v>-121.3862</v>
      </c>
      <c r="T86" s="39">
        <v>823235.48109999998</v>
      </c>
      <c r="U86" s="39">
        <v>1091508.8987</v>
      </c>
      <c r="V86" s="39">
        <v>-123.45180000000001</v>
      </c>
      <c r="W86" s="39">
        <v>823235.40899999999</v>
      </c>
      <c r="X86" s="39">
        <v>1091509.0395</v>
      </c>
      <c r="Y86" s="39">
        <v>-124.6241</v>
      </c>
      <c r="Z86" s="39">
        <f t="shared" si="2647"/>
        <v>4.2087643437141544</v>
      </c>
      <c r="AA86" s="39">
        <f t="shared" si="2546"/>
        <v>3.5761981950320196</v>
      </c>
      <c r="AB86" s="39"/>
      <c r="AC86" s="39">
        <f t="shared" si="2670"/>
        <v>1.0612934796387927</v>
      </c>
      <c r="AD86" s="39">
        <f t="shared" si="2548"/>
        <v>3.241098986377839</v>
      </c>
      <c r="AE86" s="39">
        <f t="shared" si="2648"/>
        <v>4.0152742446583414</v>
      </c>
      <c r="AF86" s="39">
        <f t="shared" si="2601"/>
        <v>3.4929601357193416</v>
      </c>
      <c r="AG86" s="39">
        <f t="shared" si="2550"/>
        <v>5.3451100652066126</v>
      </c>
      <c r="AH86" s="39">
        <f t="shared" si="2560"/>
        <v>4.950558146440744</v>
      </c>
      <c r="AI86" s="43">
        <f t="shared" ref="AI86" si="2903">IF(Z86="","",AI$75+(Z86-Z$75)*1000)</f>
        <v>-76.439941232341553</v>
      </c>
      <c r="AJ86" s="43">
        <f t="shared" ref="AJ86" si="2904">IF(AA86="","",AJ$75+(AA86-AA$75)*1000)</f>
        <v>-62.259664624310318</v>
      </c>
      <c r="AK86" s="43"/>
      <c r="AL86" s="43">
        <f t="shared" ref="AL86" si="2905">IF(AC86="","",AL$75+(AC86-AC$75)*1000)</f>
        <v>-17.458761915137842</v>
      </c>
      <c r="AM86" s="43">
        <f t="shared" ref="AM86" si="2906">IF(AD86="","",AM$75+(AD86-AD$75)*1000)</f>
        <v>-69.248619076490499</v>
      </c>
      <c r="AN86" s="43">
        <f t="shared" ref="AN86" si="2907">IF(AE86="","",AN$75+(AE86-AE$75)*1000)</f>
        <v>-52.20683371119339</v>
      </c>
      <c r="AO86" s="43"/>
      <c r="AP86" s="43">
        <f t="shared" ref="AP86" si="2908">IF(AG86="","",AP$75+(AG86-AG$75)*1000)</f>
        <v>-31.422189859852345</v>
      </c>
      <c r="AQ86" s="43">
        <f t="shared" ref="AQ86" si="2909">IF(AH86="","",AQ$75+(AH86-AH$75)*1000)</f>
        <v>-27.313509854738349</v>
      </c>
      <c r="AR86" s="40"/>
      <c r="AS86" s="43">
        <f t="shared" ref="AS86" si="2910">IF(E86="","",(E86-E$75)*1000+AS$75)</f>
        <v>1.6499998746439815</v>
      </c>
      <c r="AT86" s="43">
        <f t="shared" ref="AT86" si="2911">IF(F86="","",(F86-F$75)*1000+AT$75)</f>
        <v>-4.9500002060085535</v>
      </c>
      <c r="AU86" s="43">
        <f t="shared" ref="AU86" si="2912">IF(G86="","",(G86-G$75)*1000+AU$75)</f>
        <v>3.6999999999949296</v>
      </c>
      <c r="AV86" s="43">
        <f t="shared" ref="AV86" si="2913">IF(H86="","",(H86-H$75)*1000+AV$75)</f>
        <v>1.9999999785795808</v>
      </c>
      <c r="AW86" s="43">
        <f t="shared" ref="AW86" si="2914">IF(I86="","",(I86-I$75)*1000+AW$75)</f>
        <v>-5.4500002879649401</v>
      </c>
      <c r="AX86" s="43">
        <f t="shared" ref="AX86" si="2915">IF(J86="","",(J86-J$75)*1000+AX$75)</f>
        <v>5.0000000001659828E-2</v>
      </c>
      <c r="AY86" s="43">
        <f t="shared" ref="AY86" si="2916">IF(K86="","",(K86-K$10)*1000)</f>
        <v>-24.949999991804361</v>
      </c>
      <c r="AZ86" s="43">
        <f t="shared" ref="AZ86" si="2917">IF(L86="","",(L86-L$10)*1000)</f>
        <v>119.29999967105687</v>
      </c>
      <c r="BA86" s="43">
        <f t="shared" ref="BA86" si="2918">IF(M86="","",(M86-M$10)*1000)</f>
        <v>-130.20000000000209</v>
      </c>
      <c r="BB86" s="43">
        <f t="shared" ref="BB86" si="2919">IF(N86="","",(N86-N$75)*1000+BB$75)</f>
        <v>-14.100000029429793</v>
      </c>
      <c r="BC86" s="43">
        <f t="shared" ref="BC86" si="2920">IF(O86="","",(O86-O$75)*1000+BC$75)</f>
        <v>-3.499999875202775</v>
      </c>
      <c r="BD86" s="43">
        <f t="shared" ref="BD86" si="2921">IF(P86="","",(P86-P$75)*1000+BD$75)</f>
        <v>-82.349999999991041</v>
      </c>
      <c r="BE86" s="43">
        <f t="shared" ref="BE86" si="2922">IF(Q86="","",(Q86-Q$73)*1000+BE$73)</f>
        <v>3.8499998627230525</v>
      </c>
      <c r="BF86" s="43">
        <f t="shared" ref="BF86" si="2923">IF(R86="","",(R86-R$73)*1000+BF$73)</f>
        <v>16.000000294297934</v>
      </c>
      <c r="BG86" s="43">
        <f t="shared" ref="BG86" si="2924">IF(S86="","",(S86-S$73)*1000+BG$73)</f>
        <v>-41.950000000014143</v>
      </c>
      <c r="BH86" s="43">
        <f t="shared" ref="BH86" si="2925">IF(T86="","",(T86-T$75)*1000+BH$75)</f>
        <v>-9.4999999273568392</v>
      </c>
      <c r="BI86" s="43">
        <f t="shared" ref="BI86" si="2926">IF(U86="","",(U86-U$75)*1000+BI$75)</f>
        <v>24.150000186637044</v>
      </c>
      <c r="BJ86" s="43">
        <f t="shared" ref="BJ86" si="2927">IF(V86="","",(V86-V$75)*1000+BJ$75)</f>
        <v>-1.7999999999886995</v>
      </c>
      <c r="BK86" s="43">
        <f t="shared" ref="BK86" si="2928">IF(W86="","",(W86-W$75)*1000+BK$75)</f>
        <v>3.2999999821186066</v>
      </c>
      <c r="BL86" s="43">
        <f t="shared" ref="BL86" si="2929">IF(X86="","",(X86-X$75)*1000+BL$75)</f>
        <v>26.349999941885471</v>
      </c>
      <c r="BM86" s="43">
        <f t="shared" ref="BM86" si="2930">IF(Y86="","",(Y86-Y$75)*1000+BM$75)</f>
        <v>-30.899999999988381</v>
      </c>
      <c r="BN86" s="40"/>
      <c r="BO86" s="39">
        <v>183.96913242393612</v>
      </c>
      <c r="BP86" s="39">
        <v>-2.4259248309966348</v>
      </c>
      <c r="BQ86" s="39">
        <v>-0.87731132423937197</v>
      </c>
      <c r="BR86" s="39">
        <v>183.94003124647858</v>
      </c>
      <c r="BS86" s="39">
        <v>-2.6628238208782542</v>
      </c>
      <c r="BT86" s="39">
        <v>0.28957968753520902</v>
      </c>
      <c r="BU86" s="41">
        <v>183.92600996900475</v>
      </c>
      <c r="BV86" s="42">
        <v>-2.1453594126249174</v>
      </c>
      <c r="BW86" s="42">
        <v>1.7291199003099393</v>
      </c>
      <c r="BX86" s="41">
        <v>183.89624267167449</v>
      </c>
      <c r="BY86" s="42">
        <v>0.23810935326881358</v>
      </c>
      <c r="BZ86" s="42">
        <v>2.3809175732832557</v>
      </c>
      <c r="CA86" s="41">
        <v>183.88604613676637</v>
      </c>
      <c r="CB86" s="42">
        <v>1.2974703118658666</v>
      </c>
      <c r="CC86" s="42">
        <v>2.3178195386323353</v>
      </c>
      <c r="CD86" s="41">
        <v>183.9064657118733</v>
      </c>
      <c r="CE86" s="42">
        <v>2.6820464819503886</v>
      </c>
      <c r="CF86" s="42">
        <v>0.25201534288126481</v>
      </c>
      <c r="CG86" s="41">
        <v>183.90063145813153</v>
      </c>
      <c r="CH86" s="42">
        <v>2.5239673515639618</v>
      </c>
      <c r="CI86" s="42">
        <v>-0.92022631458131343</v>
      </c>
      <c r="CJ86" s="40"/>
      <c r="CK86" s="43">
        <f t="shared" ref="CK86" si="2931">IF(BO86="","",CK$75+(BO86-BO$75)*1000)</f>
        <v>-0.94084066390109911</v>
      </c>
      <c r="CL86" s="43">
        <f t="shared" ref="CL86" si="2932">IF(BP86="","",CL$75+(BP86-BP$75)*1000)</f>
        <v>5.5093205744172202</v>
      </c>
      <c r="CM86" s="43">
        <f t="shared" ref="CM86" si="2933">IF(BQ86="","",CM$75+(BQ86-BQ$75)*1000)</f>
        <v>3.6884084066275413</v>
      </c>
      <c r="CN86" s="43">
        <f t="shared" ref="CN86" si="2934">IF(BR86="","",CN$75+(BR86-BR$75)*1000)</f>
        <v>-0.52430089135668823</v>
      </c>
      <c r="CO86" s="43">
        <f t="shared" ref="CO86" si="2935">IF(BS86="","",CO$75+(BS86-BS$75)*1000)</f>
        <v>5.7189550604390682</v>
      </c>
      <c r="CP86" s="43">
        <f t="shared" ref="CP86" si="2936">IF(BT86="","",CP$75+(BT86-BT$75)*1000)</f>
        <v>2.7243008906663313E-2</v>
      </c>
      <c r="CQ86" s="43">
        <f t="shared" si="2886"/>
        <v>-0.53491648671410985</v>
      </c>
      <c r="CR86" s="43">
        <f t="shared" si="2887"/>
        <v>15.213058360523224</v>
      </c>
      <c r="CS86" s="43">
        <f t="shared" si="2888"/>
        <v>-14.377650835132538</v>
      </c>
      <c r="CT86" s="43">
        <f t="shared" si="2889"/>
        <v>-14.161771151037783</v>
      </c>
      <c r="CU86" s="43">
        <f t="shared" si="2890"/>
        <v>-2.9294338148186378</v>
      </c>
      <c r="CV86" s="43">
        <f t="shared" si="2891"/>
        <v>-82.169382288489686</v>
      </c>
      <c r="CW86" s="43">
        <f t="shared" si="2892"/>
        <v>9.7604974154705815</v>
      </c>
      <c r="CX86" s="43">
        <f t="shared" si="2893"/>
        <v>-12.141925660500208</v>
      </c>
      <c r="CY86" s="43">
        <f t="shared" si="2894"/>
        <v>-41.905604974166621</v>
      </c>
      <c r="CZ86" s="43">
        <f t="shared" si="2895"/>
        <v>1.5808938502743786</v>
      </c>
      <c r="DA86" s="43">
        <f t="shared" si="2896"/>
        <v>-25.96271386428084</v>
      </c>
      <c r="DB86" s="43">
        <f t="shared" si="2897"/>
        <v>-1.7478089385187801</v>
      </c>
      <c r="DC86" s="43">
        <f t="shared" si="2898"/>
        <v>14.051564290838314</v>
      </c>
      <c r="DD86" s="43">
        <f t="shared" si="2899"/>
        <v>-22.327493109486785</v>
      </c>
      <c r="DE86" s="43">
        <f t="shared" si="2900"/>
        <v>-31.062515642911734</v>
      </c>
    </row>
    <row r="87" spans="1:114" ht="29.25" customHeight="1" x14ac:dyDescent="0.2">
      <c r="A87" s="37">
        <v>44522</v>
      </c>
      <c r="B87" s="29">
        <f t="shared" ref="B87" si="2937">IF(A87="","",A87-excav)</f>
        <v>864</v>
      </c>
      <c r="C87" s="38">
        <v>222.9</v>
      </c>
      <c r="D87" s="38">
        <f t="shared" ref="D87" si="2938">C87-PM</f>
        <v>39</v>
      </c>
      <c r="E87" s="39">
        <v>823233.37730000005</v>
      </c>
      <c r="F87" s="39">
        <v>1091513.5545999999</v>
      </c>
      <c r="G87" s="39">
        <v>-124.5806</v>
      </c>
      <c r="H87" s="39">
        <v>823233.25069999998</v>
      </c>
      <c r="I87" s="39">
        <v>1091513.757</v>
      </c>
      <c r="J87" s="39">
        <v>-123.4144</v>
      </c>
      <c r="K87" s="39"/>
      <c r="L87" s="39"/>
      <c r="M87" s="39"/>
      <c r="N87" s="39">
        <v>823234.43790000002</v>
      </c>
      <c r="O87" s="39">
        <v>1091511.1085999999</v>
      </c>
      <c r="P87" s="39">
        <v>-121.3244</v>
      </c>
      <c r="Q87" s="39"/>
      <c r="R87" s="39"/>
      <c r="S87" s="39"/>
      <c r="T87" s="39">
        <v>823235.47970000003</v>
      </c>
      <c r="U87" s="39">
        <v>1091508.8995999999</v>
      </c>
      <c r="V87" s="39">
        <v>-123.45229999999999</v>
      </c>
      <c r="W87" s="39">
        <v>823235.40630000003</v>
      </c>
      <c r="X87" s="39">
        <v>1091509.0405999999</v>
      </c>
      <c r="Y87" s="39">
        <v>-124.6242</v>
      </c>
      <c r="Z87" s="39">
        <f t="shared" si="2647"/>
        <v>4.2083995532641465</v>
      </c>
      <c r="AA87" s="39">
        <f t="shared" si="2546"/>
        <v>3.5765299384238078</v>
      </c>
      <c r="AB87" s="39"/>
      <c r="AC87" s="39"/>
      <c r="AD87" s="39">
        <f t="shared" si="2548"/>
        <v>3.2392879850598462</v>
      </c>
      <c r="AE87" s="39">
        <f t="shared" si="2648"/>
        <v>4.0128671296095684</v>
      </c>
      <c r="AF87" s="39" t="str">
        <f t="shared" si="2601"/>
        <v/>
      </c>
      <c r="AG87" s="39">
        <f t="shared" si="2550"/>
        <v>5.3445497631840491</v>
      </c>
      <c r="AH87" s="39">
        <f t="shared" si="2560"/>
        <v>4.9492360985931905</v>
      </c>
      <c r="AI87" s="43">
        <f t="shared" ref="AI87" si="2939">IF(Z87="","",AI$75+(Z87-Z$75)*1000)</f>
        <v>-76.804731682349484</v>
      </c>
      <c r="AJ87" s="43">
        <f t="shared" ref="AJ87" si="2940">IF(AA87="","",AJ$75+(AA87-AA$75)*1000)</f>
        <v>-61.92792123252211</v>
      </c>
      <c r="AK87" s="43"/>
      <c r="AL87" s="43" t="str">
        <f t="shared" ref="AL87:AL89" si="2941">IF(AC87="","",AL$75+(AC87-AC$75)*1000)</f>
        <v/>
      </c>
      <c r="AM87" s="43">
        <f t="shared" ref="AM87:AM89" si="2942">IF(AD87="","",AM$75+(AD87-AD$75)*1000)</f>
        <v>-71.059620394483332</v>
      </c>
      <c r="AN87" s="43">
        <f t="shared" ref="AN87:AN89" si="2943">IF(AE87="","",AN$75+(AE87-AE$75)*1000)</f>
        <v>-54.613948759966391</v>
      </c>
      <c r="AO87" s="43"/>
      <c r="AP87" s="43">
        <f t="shared" ref="AP87:AP89" si="2944">IF(AG87="","",AP$75+(AG87-AG$75)*1000)</f>
        <v>-31.982491882415864</v>
      </c>
      <c r="AQ87" s="43">
        <f t="shared" ref="AQ87:AQ89" si="2945">IF(AH87="","",AQ$75+(AH87-AH$75)*1000)</f>
        <v>-28.635557702291869</v>
      </c>
      <c r="AR87" s="40"/>
      <c r="AS87" s="43">
        <f t="shared" ref="AS87" si="2946">IF(E87="","",(E87-E$75)*1000+AS$75)</f>
        <v>-5.0000031478703022E-2</v>
      </c>
      <c r="AT87" s="43">
        <f t="shared" ref="AT87" si="2947">IF(F87="","",(F87-F$75)*1000+AT$75)</f>
        <v>-4.8500003758817911</v>
      </c>
      <c r="AU87" s="43">
        <f t="shared" ref="AU87" si="2948">IF(G87="","",(G87-G$75)*1000+AU$75)</f>
        <v>3.5999999999916099</v>
      </c>
      <c r="AV87" s="43">
        <f t="shared" ref="AV87" si="2949">IF(H87="","",(H87-H$75)*1000+AV$75)</f>
        <v>0.20000000949949026</v>
      </c>
      <c r="AW87" s="43">
        <f t="shared" ref="AW87" si="2950">IF(I87="","",(I87-I$75)*1000+AW$75)</f>
        <v>-5.350000225007534</v>
      </c>
      <c r="AX87" s="43">
        <f t="shared" ref="AX87" si="2951">IF(J87="","",(J87-J$75)*1000+AX$75)</f>
        <v>-0.4500000000007276</v>
      </c>
      <c r="AY87" s="43" t="str">
        <f t="shared" ref="AY87" si="2952">IF(K87="","",(K87-K$10)*1000)</f>
        <v/>
      </c>
      <c r="AZ87" s="43" t="str">
        <f t="shared" ref="AZ87" si="2953">IF(L87="","",(L87-L$10)*1000)</f>
        <v/>
      </c>
      <c r="BA87" s="43" t="str">
        <f t="shared" ref="BA87" si="2954">IF(M87="","",(M87-M$10)*1000)</f>
        <v/>
      </c>
      <c r="BB87" s="43">
        <f t="shared" ref="BB87" si="2955">IF(N87="","",(N87-N$75)*1000+BB$75)</f>
        <v>-15.099999960511923</v>
      </c>
      <c r="BC87" s="43">
        <f t="shared" ref="BC87" si="2956">IF(O87="","",(O87-O$75)*1000+BC$75)</f>
        <v>-4.19999985024333</v>
      </c>
      <c r="BD87" s="43">
        <f t="shared" ref="BD87" si="2957">IF(P87="","",(P87-P$75)*1000+BD$75)</f>
        <v>-83.749999999994884</v>
      </c>
      <c r="BE87" s="43" t="str">
        <f t="shared" ref="BE87" si="2958">IF(Q87="","",(Q87-Q$73)*1000+BE$73)</f>
        <v/>
      </c>
      <c r="BF87" s="43" t="str">
        <f t="shared" ref="BF87" si="2959">IF(R87="","",(R87-R$73)*1000+BF$73)</f>
        <v/>
      </c>
      <c r="BG87" s="43" t="str">
        <f t="shared" ref="BG87" si="2960">IF(S87="","",(S87-S$73)*1000+BG$73)</f>
        <v/>
      </c>
      <c r="BH87" s="43">
        <f t="shared" ref="BH87" si="2961">IF(T87="","",(T87-T$75)*1000+BH$75)</f>
        <v>-10.899999877437949</v>
      </c>
      <c r="BI87" s="43">
        <f t="shared" ref="BI87" si="2962">IF(U87="","",(U87-U$75)*1000+BI$75)</f>
        <v>25.050000054761767</v>
      </c>
      <c r="BJ87" s="43">
        <f t="shared" ref="BJ87" si="2963">IF(V87="","",(V87-V$75)*1000+BJ$75)</f>
        <v>-2.2999999999768761</v>
      </c>
      <c r="BK87" s="43">
        <f t="shared" ref="BK87" si="2964">IF(W87="","",(W87-W$75)*1000+BK$75)</f>
        <v>0.60000002849847078</v>
      </c>
      <c r="BL87" s="43">
        <f t="shared" ref="BL87" si="2965">IF(X87="","",(X87-X$75)*1000+BL$75)</f>
        <v>27.449999935925007</v>
      </c>
      <c r="BM87" s="43">
        <f t="shared" ref="BM87" si="2966">IF(Y87="","",(Y87-Y$75)*1000+BM$75)</f>
        <v>-30.999999999991701</v>
      </c>
      <c r="BN87" s="40"/>
      <c r="BO87" s="39">
        <v>183.96763399266686</v>
      </c>
      <c r="BP87" s="39">
        <v>-2.4267339684250726</v>
      </c>
      <c r="BQ87" s="39">
        <v>-0.87739633992667621</v>
      </c>
      <c r="BR87" s="39">
        <v>183.93844218604573</v>
      </c>
      <c r="BS87" s="39">
        <v>-2.6636752237453356</v>
      </c>
      <c r="BT87" s="39">
        <v>0.28909557813953768</v>
      </c>
      <c r="BU87" s="41"/>
      <c r="BV87" s="42"/>
      <c r="BW87" s="42"/>
      <c r="BX87" s="41">
        <v>183.89504052329127</v>
      </c>
      <c r="BY87" s="42">
        <v>0.23832110569960843</v>
      </c>
      <c r="BZ87" s="42">
        <v>2.3795295947670922</v>
      </c>
      <c r="CA87" s="41"/>
      <c r="CB87" s="42"/>
      <c r="CC87" s="42"/>
      <c r="CD87" s="41">
        <v>183.90557728980306</v>
      </c>
      <c r="CE87" s="42">
        <v>2.6806391064326749</v>
      </c>
      <c r="CF87" s="42">
        <v>0.25152422710196731</v>
      </c>
      <c r="CG87" s="41">
        <v>183.89864938684943</v>
      </c>
      <c r="CH87" s="42">
        <v>2.5218292699076716</v>
      </c>
      <c r="CI87" s="42">
        <v>-0.92030649386849461</v>
      </c>
      <c r="CJ87" s="40"/>
      <c r="CK87" s="43">
        <f t="shared" ref="CK87" si="2967">IF(BO87="","",CK$75+(BO87-BO$75)*1000)</f>
        <v>-2.439271933155851</v>
      </c>
      <c r="CL87" s="43">
        <f t="shared" ref="CL87" si="2968">IF(BP87="","",CL$75+(BP87-BP$75)*1000)</f>
        <v>4.7001831459794197</v>
      </c>
      <c r="CM87" s="43">
        <f t="shared" ref="CM87" si="2969">IF(BQ87="","",CM$75+(BQ87-BQ$75)*1000)</f>
        <v>3.6033927193233062</v>
      </c>
      <c r="CN87" s="43">
        <f t="shared" ref="CN87" si="2970">IF(BR87="","",CN$75+(BR87-BR$75)*1000)</f>
        <v>-2.1133613242056981</v>
      </c>
      <c r="CO87" s="43">
        <f t="shared" ref="CO87" si="2971">IF(BS87="","",CO$75+(BS87-BS$75)*1000)</f>
        <v>4.8675521933576604</v>
      </c>
      <c r="CP87" s="43">
        <f t="shared" ref="CP87" si="2972">IF(BT87="","",CP$75+(BT87-BT$75)*1000)</f>
        <v>-0.45686638676467606</v>
      </c>
      <c r="CQ87" s="43"/>
      <c r="CR87" s="43"/>
      <c r="CS87" s="43"/>
      <c r="CT87" s="43">
        <f t="shared" ref="CT87:CT91" si="2973">IF(BX87="","",CT$75+(BX87-BX$75)*1000)</f>
        <v>-15.363919534252091</v>
      </c>
      <c r="CU87" s="43">
        <f t="shared" ref="CU87" si="2974">IF(BY87="","",CU$75+(BY87-BY$75)*1000)</f>
        <v>-2.7176813840237841</v>
      </c>
      <c r="CV87" s="43">
        <f t="shared" ref="CV87" si="2975">IF(BZ87="","",CV$75+(BZ87-BZ$75)*1000)</f>
        <v>-83.557360804653143</v>
      </c>
      <c r="CW87" s="43"/>
      <c r="CX87" s="43"/>
      <c r="CY87" s="43"/>
      <c r="CZ87" s="43">
        <f t="shared" ref="CZ87" si="2976">IF(CD87="","",CZ$75+(CD87-CD$75)*1000)</f>
        <v>0.69247178004161469</v>
      </c>
      <c r="DA87" s="43">
        <f t="shared" ref="DA87" si="2977">IF(CE87="","",DA$75+(CE87-CE$75)*1000)</f>
        <v>-27.370089381994589</v>
      </c>
      <c r="DB87" s="43">
        <f t="shared" ref="DB87" si="2978">IF(CF87="","",DB$75+(CF87-CF$75)*1000)</f>
        <v>-2.2389247178162819</v>
      </c>
      <c r="DC87" s="43">
        <f t="shared" ref="DC87" si="2979">IF(CG87="","",DC$75+(CG87-CG$75)*1000)</f>
        <v>12.069493008738164</v>
      </c>
      <c r="DD87" s="43">
        <f t="shared" ref="DD87" si="2980">IF(CH87="","",DD$75+(CH87-CH$75)*1000)</f>
        <v>-24.465574765776932</v>
      </c>
      <c r="DE87" s="43">
        <f t="shared" ref="DE87" si="2981">IF(CI87="","",DE$75+(CI87-CI$75)*1000)</f>
        <v>-31.142694930092915</v>
      </c>
    </row>
    <row r="88" spans="1:114" ht="29.25" customHeight="1" x14ac:dyDescent="0.2">
      <c r="A88" s="37">
        <v>44531</v>
      </c>
      <c r="B88" s="29">
        <f t="shared" ref="B88" si="2982">IF(A88="","",A88-excav)</f>
        <v>873</v>
      </c>
      <c r="C88" s="38">
        <v>222.9</v>
      </c>
      <c r="D88" s="38">
        <f t="shared" ref="D88" si="2983">C88-PM</f>
        <v>39</v>
      </c>
      <c r="E88" s="39">
        <v>823233.3774</v>
      </c>
      <c r="F88" s="39">
        <v>1091513.5555</v>
      </c>
      <c r="G88" s="39">
        <v>-124.58029999999999</v>
      </c>
      <c r="H88" s="39">
        <v>823233.25109999999</v>
      </c>
      <c r="I88" s="39">
        <v>1091513.7581</v>
      </c>
      <c r="J88" s="39">
        <v>-123.4141</v>
      </c>
      <c r="K88" s="39" t="e">
        <v>#N/A</v>
      </c>
      <c r="L88" s="39" t="e">
        <v>#N/A</v>
      </c>
      <c r="M88" s="39" t="e">
        <v>#N/A</v>
      </c>
      <c r="N88" s="39">
        <v>823234.43799999997</v>
      </c>
      <c r="O88" s="39">
        <v>1091511.1094</v>
      </c>
      <c r="P88" s="39">
        <v>-121.32389999999999</v>
      </c>
      <c r="Q88" s="39" t="e">
        <v>#N/A</v>
      </c>
      <c r="R88" s="39" t="e">
        <v>#N/A</v>
      </c>
      <c r="S88" s="39" t="e">
        <v>#N/A</v>
      </c>
      <c r="T88" s="39">
        <v>823235.47950000002</v>
      </c>
      <c r="U88" s="39">
        <v>1091508.9003999999</v>
      </c>
      <c r="V88" s="39">
        <v>-123.4521</v>
      </c>
      <c r="W88" s="39">
        <v>823235.40689999994</v>
      </c>
      <c r="X88" s="39">
        <v>1091509.0414</v>
      </c>
      <c r="Y88" s="39">
        <v>-124.624</v>
      </c>
      <c r="Z88" s="39">
        <f t="shared" si="2647"/>
        <v>4.2086124233792077</v>
      </c>
      <c r="AA88" s="39">
        <f t="shared" si="2546"/>
        <v>3.5767693998966417</v>
      </c>
      <c r="AB88" s="39"/>
      <c r="AC88" s="39"/>
      <c r="AD88" s="39">
        <f t="shared" si="2548"/>
        <v>3.239388598214898</v>
      </c>
      <c r="AE88" s="39">
        <f t="shared" si="2648"/>
        <v>4.0132345084525216</v>
      </c>
      <c r="AF88" s="39"/>
      <c r="AG88" s="39">
        <f t="shared" si="2550"/>
        <v>5.3445729343509374</v>
      </c>
      <c r="AH88" s="39">
        <f t="shared" si="2560"/>
        <v>4.9495331850636628</v>
      </c>
      <c r="AI88" s="43">
        <f t="shared" ref="AI88" si="2984">IF(Z88="","",AI$75+(Z88-Z$75)*1000)</f>
        <v>-76.591861567288262</v>
      </c>
      <c r="AJ88" s="43">
        <f t="shared" ref="AJ88" si="2985">IF(AA88="","",AJ$75+(AA88-AA$75)*1000)</f>
        <v>-61.688459759688286</v>
      </c>
      <c r="AK88" s="43"/>
      <c r="AL88" s="43" t="str">
        <f t="shared" si="2941"/>
        <v/>
      </c>
      <c r="AM88" s="43">
        <f t="shared" si="2942"/>
        <v>-70.9590072394315</v>
      </c>
      <c r="AN88" s="43">
        <f t="shared" si="2943"/>
        <v>-54.246569917013154</v>
      </c>
      <c r="AO88" s="43"/>
      <c r="AP88" s="43">
        <f t="shared" si="2944"/>
        <v>-31.959320715527539</v>
      </c>
      <c r="AQ88" s="43">
        <f t="shared" si="2945"/>
        <v>-28.33847123181954</v>
      </c>
      <c r="AR88" s="40"/>
      <c r="AS88" s="43">
        <f t="shared" ref="AS88" si="2986">IF(E88="","",(E88-E$75)*1000+AS$75)</f>
        <v>4.9999915063381195E-2</v>
      </c>
      <c r="AT88" s="43">
        <f t="shared" ref="AT88" si="2987">IF(F88="","",(F88-F$75)*1000+AT$75)</f>
        <v>-3.950000274926424</v>
      </c>
      <c r="AU88" s="43">
        <f t="shared" ref="AU88" si="2988">IF(G88="","",(G88-G$75)*1000+AU$75)</f>
        <v>3.9000000000015689</v>
      </c>
      <c r="AV88" s="43">
        <f t="shared" ref="AV88" si="2989">IF(H88="","",(H88-H$75)*1000+AV$75)</f>
        <v>0.60000002849847078</v>
      </c>
      <c r="AW88" s="43">
        <f t="shared" ref="AW88" si="2990">IF(I88="","",(I88-I$75)*1000+AW$75)</f>
        <v>-4.2500002309679985</v>
      </c>
      <c r="AX88" s="43">
        <f t="shared" ref="AX88" si="2991">IF(J88="","",(J88-J$75)*1000+AX$75)</f>
        <v>-0.15000000000497948</v>
      </c>
      <c r="AY88" s="43" t="e">
        <f t="shared" ref="AY88" si="2992">IF(K88="","",(K88-K$10)*1000)</f>
        <v>#N/A</v>
      </c>
      <c r="AZ88" s="43" t="e">
        <f t="shared" ref="AZ88" si="2993">IF(L88="","",(L88-L$10)*1000)</f>
        <v>#N/A</v>
      </c>
      <c r="BA88" s="43" t="e">
        <f t="shared" ref="BA88" si="2994">IF(M88="","",(M88-M$10)*1000)</f>
        <v>#N/A</v>
      </c>
      <c r="BB88" s="43">
        <f t="shared" ref="BB88" si="2995">IF(N88="","",(N88-N$75)*1000+BB$75)</f>
        <v>-15.000000013969839</v>
      </c>
      <c r="BC88" s="43">
        <f t="shared" ref="BC88" si="2996">IF(O88="","",(O88-O$75)*1000+BC$75)</f>
        <v>-3.399999812245369</v>
      </c>
      <c r="BD88" s="43">
        <f t="shared" ref="BD88" si="2997">IF(P88="","",(P88-P$75)*1000+BD$75)</f>
        <v>-83.249999999992497</v>
      </c>
      <c r="BE88" s="43" t="e">
        <f t="shared" ref="BE88" si="2998">IF(Q88="","",(Q88-Q$73)*1000+BE$73)</f>
        <v>#N/A</v>
      </c>
      <c r="BF88" s="43" t="e">
        <f t="shared" ref="BF88" si="2999">IF(R88="","",(R88-R$73)*1000+BF$73)</f>
        <v>#N/A</v>
      </c>
      <c r="BG88" s="43" t="e">
        <f t="shared" ref="BG88" si="3000">IF(S88="","",(S88-S$73)*1000+BG$73)</f>
        <v>#N/A</v>
      </c>
      <c r="BH88" s="43">
        <f t="shared" ref="BH88" si="3001">IF(T88="","",(T88-T$75)*1000+BH$75)</f>
        <v>-11.099999886937439</v>
      </c>
      <c r="BI88" s="43">
        <f t="shared" ref="BI88" si="3002">IF(U88="","",(U88-U$75)*1000+BI$75)</f>
        <v>25.850000092759728</v>
      </c>
      <c r="BJ88" s="43">
        <f t="shared" ref="BJ88" si="3003">IF(V88="","",(V88-V$75)*1000+BJ$75)</f>
        <v>-2.0999999999844476</v>
      </c>
      <c r="BK88" s="43">
        <f t="shared" ref="BK88" si="3004">IF(W88="","",(W88-W$75)*1000+BK$75)</f>
        <v>1.1999999405816197</v>
      </c>
      <c r="BL88" s="43">
        <f t="shared" ref="BL88" si="3005">IF(X88="","",(X88-X$75)*1000+BL$75)</f>
        <v>28.249999973922968</v>
      </c>
      <c r="BM88" s="43">
        <f t="shared" ref="BM88" si="3006">IF(Y88="","",(Y88-Y$75)*1000+BM$75)</f>
        <v>-30.799999999985062</v>
      </c>
      <c r="BN88" s="40"/>
      <c r="BO88" s="39">
        <v>183.96810500867511</v>
      </c>
      <c r="BP88" s="39">
        <v>-2.4275073661823989</v>
      </c>
      <c r="BQ88" s="39">
        <v>-0.87710105008675043</v>
      </c>
      <c r="BR88" s="39">
        <v>183.93926962009118</v>
      </c>
      <c r="BS88" s="39">
        <v>-2.6645030841819057</v>
      </c>
      <c r="BT88" s="39">
        <v>0.2893873037990744</v>
      </c>
      <c r="BU88" s="41" t="e">
        <v>#VALUE!</v>
      </c>
      <c r="BV88" s="42" t="s">
        <v>61</v>
      </c>
      <c r="BW88" s="42" t="s">
        <v>61</v>
      </c>
      <c r="BX88" s="41">
        <v>183.89546927407187</v>
      </c>
      <c r="BY88" s="42">
        <v>0.23763833720426022</v>
      </c>
      <c r="BZ88" s="42">
        <v>2.3800253072592881</v>
      </c>
      <c r="CA88" s="41" t="e">
        <v>#VALUE!</v>
      </c>
      <c r="CB88" s="42" t="s">
        <v>61</v>
      </c>
      <c r="CC88" s="42" t="s">
        <v>61</v>
      </c>
      <c r="CD88" s="41">
        <v>183.90573415300875</v>
      </c>
      <c r="CE88" s="42">
        <v>2.679829542352874</v>
      </c>
      <c r="CF88" s="42">
        <v>0.25172265846990172</v>
      </c>
      <c r="CG88" s="41">
        <v>183.89953128362336</v>
      </c>
      <c r="CH88" s="42">
        <v>2.5213578274027952</v>
      </c>
      <c r="CI88" s="42">
        <v>-0.92011531283623071</v>
      </c>
      <c r="CJ88" s="40"/>
      <c r="CK88" s="43">
        <f t="shared" ref="CK88" si="3007">IF(BO88="","",CK$75+(BO88-BO$75)*1000)</f>
        <v>-1.9682559249076803</v>
      </c>
      <c r="CL88" s="43">
        <f t="shared" ref="CL88" si="3008">IF(BP88="","",CL$75+(BP88-BP$75)*1000)</f>
        <v>3.9267853886530979</v>
      </c>
      <c r="CM88" s="43">
        <f t="shared" ref="CM88" si="3009">IF(BQ88="","",CM$75+(BQ88-BQ$75)*1000)</f>
        <v>3.8986825592490781</v>
      </c>
      <c r="CN88" s="43">
        <f t="shared" ref="CN88" si="3010">IF(BR88="","",CN$75+(BR88-BR$75)*1000)</f>
        <v>-1.2859272787579812</v>
      </c>
      <c r="CO88" s="43">
        <f t="shared" ref="CO88" si="3011">IF(BS88="","",CO$75+(BS88-BS$75)*1000)</f>
        <v>4.0396917567875334</v>
      </c>
      <c r="CP88" s="43">
        <f t="shared" ref="CP88" si="3012">IF(BT88="","",CP$75+(BT88-BT$75)*1000)</f>
        <v>-0.16514072722795259</v>
      </c>
      <c r="CQ88" s="43"/>
      <c r="CR88" s="43"/>
      <c r="CS88" s="43"/>
      <c r="CT88" s="43">
        <f t="shared" si="2973"/>
        <v>-14.935168753652306</v>
      </c>
      <c r="CU88" s="43">
        <f t="shared" ref="CU88" si="3013">IF(BY88="","",CU$75+(BY88-BY$75)*1000)</f>
        <v>-3.4004498793719913</v>
      </c>
      <c r="CV88" s="43">
        <f t="shared" ref="CV88" si="3014">IF(BZ88="","",CV$75+(BZ88-BZ$75)*1000)</f>
        <v>-83.061648312457322</v>
      </c>
      <c r="CW88" s="43"/>
      <c r="CX88" s="43"/>
      <c r="CY88" s="43"/>
      <c r="CZ88" s="43">
        <f t="shared" ref="CZ88" si="3015">IF(CD88="","",CZ$75+(CD88-CD$75)*1000)</f>
        <v>0.84933498573036559</v>
      </c>
      <c r="DA88" s="43">
        <f t="shared" ref="DA88" si="3016">IF(CE88="","",DA$75+(CE88-CE$75)*1000)</f>
        <v>-28.179653461795517</v>
      </c>
      <c r="DB88" s="43">
        <f t="shared" ref="DB88" si="3017">IF(CF88="","",DB$75+(CF88-CF$75)*1000)</f>
        <v>-2.0404933498818778</v>
      </c>
      <c r="DC88" s="43">
        <f t="shared" ref="DC88" si="3018">IF(CG88="","",DC$75+(CG88-CG$75)*1000)</f>
        <v>12.951389782671185</v>
      </c>
      <c r="DD88" s="43">
        <f t="shared" ref="DD88" si="3019">IF(CH88="","",DD$75+(CH88-CH$75)*1000)</f>
        <v>-24.937017270653339</v>
      </c>
      <c r="DE88" s="43">
        <f t="shared" ref="DE88" si="3020">IF(CI88="","",DE$75+(CI88-CI$75)*1000)</f>
        <v>-30.951513897829017</v>
      </c>
    </row>
    <row r="89" spans="1:114" ht="29.25" customHeight="1" x14ac:dyDescent="0.2">
      <c r="A89" s="37">
        <v>44536</v>
      </c>
      <c r="B89" s="29">
        <f t="shared" ref="B89:B95" si="3021">IF(A89="","",A89-excav)</f>
        <v>878</v>
      </c>
      <c r="C89" s="38">
        <v>222.9</v>
      </c>
      <c r="D89" s="38">
        <f t="shared" ref="D89" si="3022">C89-PM</f>
        <v>39</v>
      </c>
      <c r="E89" s="39">
        <v>823233.37710000004</v>
      </c>
      <c r="F89" s="39">
        <v>1091513.5560000001</v>
      </c>
      <c r="G89" s="39">
        <v>-124.5812</v>
      </c>
      <c r="H89" s="39">
        <v>823233.25049999997</v>
      </c>
      <c r="I89" s="39">
        <v>1091513.7583000001</v>
      </c>
      <c r="J89" s="39">
        <v>-123.41500000000001</v>
      </c>
      <c r="K89" s="39" t="e">
        <v>#N/A</v>
      </c>
      <c r="L89" s="39" t="e">
        <v>#N/A</v>
      </c>
      <c r="M89" s="39" t="e">
        <v>#N/A</v>
      </c>
      <c r="N89" s="39">
        <v>823234.43759999995</v>
      </c>
      <c r="O89" s="39">
        <v>1091511.1100000001</v>
      </c>
      <c r="P89" s="39">
        <v>-121.32510000000001</v>
      </c>
      <c r="Q89" s="39" t="e">
        <v>#N/A</v>
      </c>
      <c r="R89" s="39" t="e">
        <v>#N/A</v>
      </c>
      <c r="S89" s="39" t="e">
        <v>#N/A</v>
      </c>
      <c r="T89" s="39">
        <v>823235.47880000004</v>
      </c>
      <c r="U89" s="39">
        <v>1091508.9013</v>
      </c>
      <c r="V89" s="39">
        <v>-123.4532</v>
      </c>
      <c r="W89" s="39">
        <v>823235.40549999999</v>
      </c>
      <c r="X89" s="39">
        <v>1091509.0423999999</v>
      </c>
      <c r="Y89" s="39">
        <v>-124.62479999999999</v>
      </c>
      <c r="Z89" s="39">
        <f t="shared" si="2647"/>
        <v>4.2082969785627329</v>
      </c>
      <c r="AA89" s="39">
        <f t="shared" si="2546"/>
        <v>3.5763642585674686</v>
      </c>
      <c r="AB89" s="39"/>
      <c r="AC89" s="39"/>
      <c r="AD89" s="39">
        <f t="shared" si="2548"/>
        <v>3.2390218802178965</v>
      </c>
      <c r="AE89" s="39">
        <f t="shared" si="2648"/>
        <v>4.0124581319749346</v>
      </c>
      <c r="AF89" s="39"/>
      <c r="AG89" s="39">
        <f t="shared" si="2550"/>
        <v>5.3438964371586772</v>
      </c>
      <c r="AH89" s="39">
        <f t="shared" si="2560"/>
        <v>4.9486253122895336</v>
      </c>
      <c r="AI89" s="43">
        <f t="shared" ref="AI89" si="3023">IF(Z89="","",AI$75+(Z89-Z$75)*1000)</f>
        <v>-76.907306383763085</v>
      </c>
      <c r="AJ89" s="43">
        <f t="shared" ref="AJ89" si="3024">IF(AA89="","",AJ$75+(AA89-AA$75)*1000)</f>
        <v>-62.093601088861305</v>
      </c>
      <c r="AK89" s="43"/>
      <c r="AL89" s="43" t="str">
        <f t="shared" si="2941"/>
        <v/>
      </c>
      <c r="AM89" s="43">
        <f t="shared" si="2942"/>
        <v>-71.325725236432987</v>
      </c>
      <c r="AN89" s="43">
        <f t="shared" si="2943"/>
        <v>-55.022946394600147</v>
      </c>
      <c r="AO89" s="43"/>
      <c r="AP89" s="43">
        <f t="shared" si="2944"/>
        <v>-32.63581790778769</v>
      </c>
      <c r="AQ89" s="43">
        <f t="shared" si="2945"/>
        <v>-29.246344005948721</v>
      </c>
      <c r="AR89" s="40"/>
      <c r="AS89" s="43">
        <f t="shared" ref="AS89" si="3025">IF(E89="","",(E89-E$75)*1000+AS$75)</f>
        <v>-0.25000004097819328</v>
      </c>
      <c r="AT89" s="43">
        <f t="shared" ref="AT89" si="3026">IF(F89="","",(F89-F$75)*1000+AT$75)</f>
        <v>-3.4500001929700375</v>
      </c>
      <c r="AU89" s="43">
        <f t="shared" ref="AU89" si="3027">IF(G89="","",(G89-G$75)*1000+AU$75)</f>
        <v>3.0000000000001137</v>
      </c>
      <c r="AV89" s="43">
        <f t="shared" ref="AV89" si="3028">IF(H89="","",(H89-H$75)*1000+AV$75)</f>
        <v>0</v>
      </c>
      <c r="AW89" s="43">
        <f t="shared" ref="AW89" si="3029">IF(I89="","",(I89-I$75)*1000+AW$75)</f>
        <v>-4.0500001050531864</v>
      </c>
      <c r="AX89" s="43">
        <f t="shared" ref="AX89" si="3030">IF(J89="","",(J89-J$75)*1000+AX$75)</f>
        <v>-1.0500000000064347</v>
      </c>
      <c r="AY89" s="43" t="e">
        <f t="shared" ref="AY89" si="3031">IF(K89="","",(K89-K$10)*1000)</f>
        <v>#N/A</v>
      </c>
      <c r="AZ89" s="43" t="e">
        <f t="shared" ref="AZ89" si="3032">IF(L89="","",(L89-L$10)*1000)</f>
        <v>#N/A</v>
      </c>
      <c r="BA89" s="43" t="e">
        <f t="shared" ref="BA89" si="3033">IF(M89="","",(M89-M$10)*1000)</f>
        <v>#N/A</v>
      </c>
      <c r="BB89" s="43">
        <f t="shared" ref="BB89" si="3034">IF(N89="","",(N89-N$75)*1000+BB$75)</f>
        <v>-15.400000032968819</v>
      </c>
      <c r="BC89" s="43">
        <f t="shared" ref="BC89" si="3035">IF(O89="","",(O89-O$75)*1000+BC$75)</f>
        <v>-2.7999996673315763</v>
      </c>
      <c r="BD89" s="43">
        <f t="shared" ref="BD89" si="3036">IF(P89="","",(P89-P$75)*1000+BD$75)</f>
        <v>-84.450000000003911</v>
      </c>
      <c r="BE89" s="43" t="e">
        <f t="shared" ref="BE89" si="3037">IF(Q89="","",(Q89-Q$73)*1000+BE$73)</f>
        <v>#N/A</v>
      </c>
      <c r="BF89" s="43" t="e">
        <f t="shared" ref="BF89" si="3038">IF(R89="","",(R89-R$73)*1000+BF$73)</f>
        <v>#N/A</v>
      </c>
      <c r="BG89" s="43" t="e">
        <f t="shared" ref="BG89" si="3039">IF(S89="","",(S89-S$73)*1000+BG$73)</f>
        <v>#N/A</v>
      </c>
      <c r="BH89" s="43">
        <f t="shared" ref="BH89" si="3040">IF(T89="","",(T89-T$75)*1000+BH$75)</f>
        <v>-11.799999861977994</v>
      </c>
      <c r="BI89" s="43">
        <f t="shared" ref="BI89" si="3041">IF(U89="","",(U89-U$75)*1000+BI$75)</f>
        <v>26.750000193715096</v>
      </c>
      <c r="BJ89" s="43">
        <f t="shared" ref="BJ89" si="3042">IF(V89="","",(V89-V$75)*1000+BJ$75)</f>
        <v>-3.1999999999783313</v>
      </c>
      <c r="BK89" s="43">
        <f t="shared" ref="BK89" si="3043">IF(W89="","",(W89-W$75)*1000+BK$75)</f>
        <v>-0.20000000949949026</v>
      </c>
      <c r="BL89" s="43">
        <f t="shared" ref="BL89" si="3044">IF(X89="","",(X89-X$75)*1000+BL$75)</f>
        <v>29.249999905005097</v>
      </c>
      <c r="BM89" s="43">
        <f t="shared" ref="BM89" si="3045">IF(Y89="","",(Y89-Y$75)*1000+BM$75)</f>
        <v>-31.599999999983197</v>
      </c>
      <c r="BN89" s="40"/>
      <c r="BO89" s="39">
        <v>183.96804444713985</v>
      </c>
      <c r="BP89" s="39">
        <v>-2.4280873078657179</v>
      </c>
      <c r="BQ89" s="39">
        <v>-0.87800044447139669</v>
      </c>
      <c r="BR89" s="39">
        <v>183.9388103752911</v>
      </c>
      <c r="BS89" s="39">
        <v>-2.6649379339239765</v>
      </c>
      <c r="BT89" s="39">
        <v>0.2884918962470806</v>
      </c>
      <c r="BU89" s="41" t="e">
        <v>#VALUE!</v>
      </c>
      <c r="BV89" s="42" t="s">
        <v>61</v>
      </c>
      <c r="BW89" s="42" t="s">
        <v>61</v>
      </c>
      <c r="BX89" s="41">
        <v>183.89536034850229</v>
      </c>
      <c r="BY89" s="42">
        <v>0.23692550103138818</v>
      </c>
      <c r="BZ89" s="42">
        <v>2.3788263965149667</v>
      </c>
      <c r="CA89" s="41" t="e">
        <v>#VALUE!</v>
      </c>
      <c r="CB89" s="42" t="s">
        <v>61</v>
      </c>
      <c r="CC89" s="42" t="s">
        <v>61</v>
      </c>
      <c r="CD89" s="41">
        <v>183.90548013544873</v>
      </c>
      <c r="CE89" s="42">
        <v>2.6787180230205911</v>
      </c>
      <c r="CF89" s="42">
        <v>0.25062519864550836</v>
      </c>
      <c r="CG89" s="41">
        <v>183.89868512678075</v>
      </c>
      <c r="CH89" s="42">
        <v>2.5198598226230717</v>
      </c>
      <c r="CI89" s="42">
        <v>-0.92090685126780158</v>
      </c>
      <c r="CJ89" s="40"/>
      <c r="CK89" s="43">
        <f t="shared" ref="CK89" si="3046">IF(BO89="","",CK$75+(BO89-BO$75)*1000)</f>
        <v>-2.0288174601716946</v>
      </c>
      <c r="CL89" s="43">
        <f t="shared" ref="CL89" si="3047">IF(BP89="","",CL$75+(BP89-BP$75)*1000)</f>
        <v>3.3468437053341127</v>
      </c>
      <c r="CM89" s="43">
        <f t="shared" ref="CM89" si="3048">IF(BQ89="","",CM$75+(BQ89-BQ$75)*1000)</f>
        <v>2.999288174602821</v>
      </c>
      <c r="CN89" s="43">
        <f t="shared" ref="CN89" si="3049">IF(BR89="","",CN$75+(BR89-BR$75)*1000)</f>
        <v>-1.7451720788415059</v>
      </c>
      <c r="CO89" s="43">
        <f t="shared" ref="CO89" si="3050">IF(BS89="","",CO$75+(BS89-BS$75)*1000)</f>
        <v>3.6048420147167803</v>
      </c>
      <c r="CP89" s="43">
        <f t="shared" ref="CP89" si="3051">IF(BT89="","",CP$75+(BT89-BT$75)*1000)</f>
        <v>-1.0605482792217513</v>
      </c>
      <c r="CQ89" s="43"/>
      <c r="CR89" s="43"/>
      <c r="CS89" s="43"/>
      <c r="CT89" s="43">
        <f t="shared" si="2973"/>
        <v>-15.044094323229729</v>
      </c>
      <c r="CU89" s="43">
        <f t="shared" ref="CU89" si="3052">IF(BY89="","",CU$75+(BY89-BY$75)*1000)</f>
        <v>-4.1132860522440362</v>
      </c>
      <c r="CV89" s="43">
        <f t="shared" ref="CV89" si="3053">IF(BZ89="","",CV$75+(BZ89-BZ$75)*1000)</f>
        <v>-84.260559056778646</v>
      </c>
      <c r="CW89" s="43"/>
      <c r="CX89" s="43"/>
      <c r="CY89" s="43"/>
      <c r="CZ89" s="43">
        <f t="shared" ref="CZ89" si="3054">IF(CD89="","",CZ$75+(CD89-CD$75)*1000)</f>
        <v>0.59531742570584356</v>
      </c>
      <c r="DA89" s="43">
        <f t="shared" ref="DA89" si="3055">IF(CE89="","",DA$75+(CE89-CE$75)*1000)</f>
        <v>-29.291172794078335</v>
      </c>
      <c r="DB89" s="43">
        <f t="shared" ref="DB89" si="3056">IF(CF89="","",DB$75+(CF89-CF$75)*1000)</f>
        <v>-3.137953174275232</v>
      </c>
      <c r="DC89" s="43">
        <f t="shared" ref="DC89" si="3057">IF(CG89="","",DC$75+(CG89-CG$75)*1000)</f>
        <v>12.105232940058386</v>
      </c>
      <c r="DD89" s="43">
        <f t="shared" ref="DD89" si="3058">IF(CH89="","",DD$75+(CH89-CH$75)*1000)</f>
        <v>-26.435022050376844</v>
      </c>
      <c r="DE89" s="43">
        <f t="shared" ref="DE89" si="3059">IF(CI89="","",DE$75+(CI89-CI$75)*1000)</f>
        <v>-31.743052329399887</v>
      </c>
    </row>
    <row r="90" spans="1:114" ht="29.25" customHeight="1" x14ac:dyDescent="0.2">
      <c r="A90" s="37">
        <v>44543</v>
      </c>
      <c r="B90" s="29">
        <f t="shared" si="3021"/>
        <v>885</v>
      </c>
      <c r="C90" s="38">
        <v>222.9</v>
      </c>
      <c r="D90" s="38">
        <f t="shared" ref="D90" si="3060">C90-PM</f>
        <v>39</v>
      </c>
      <c r="E90" s="39">
        <v>823233.37679999997</v>
      </c>
      <c r="F90" s="39">
        <v>1091513.5562</v>
      </c>
      <c r="G90" s="39">
        <v>-124.5805</v>
      </c>
      <c r="H90" s="39">
        <v>823233.25049999997</v>
      </c>
      <c r="I90" s="39">
        <v>1091513.7589</v>
      </c>
      <c r="J90" s="39">
        <v>-123.4143</v>
      </c>
      <c r="K90" s="39" t="e">
        <v>#N/A</v>
      </c>
      <c r="L90" s="39" t="e">
        <v>#N/A</v>
      </c>
      <c r="M90" s="39" t="e">
        <v>#N/A</v>
      </c>
      <c r="N90" s="39">
        <v>823234.43720000004</v>
      </c>
      <c r="O90" s="39">
        <v>1091511.1100999999</v>
      </c>
      <c r="P90" s="39">
        <v>-121.32470000000001</v>
      </c>
      <c r="Q90" s="39" t="e">
        <v>#N/A</v>
      </c>
      <c r="R90" s="39" t="e">
        <v>#N/A</v>
      </c>
      <c r="S90" s="39" t="e">
        <v>#N/A</v>
      </c>
      <c r="T90" s="39">
        <v>823235.47820000001</v>
      </c>
      <c r="U90" s="39">
        <v>1091508.9014999999</v>
      </c>
      <c r="V90" s="39">
        <v>-123.4525</v>
      </c>
      <c r="W90" s="39">
        <v>823235.40590000001</v>
      </c>
      <c r="X90" s="39">
        <v>1091509.0426</v>
      </c>
      <c r="Y90" s="39">
        <v>-124.62430000000001</v>
      </c>
      <c r="Z90" s="39">
        <f t="shared" si="2647"/>
        <v>4.2080977900291883</v>
      </c>
      <c r="AA90" s="39">
        <f t="shared" si="2546"/>
        <v>3.5764264973048441</v>
      </c>
      <c r="AB90" s="39"/>
      <c r="AC90" s="39"/>
      <c r="AD90" s="39">
        <f t="shared" si="2548"/>
        <v>3.2386922978248482</v>
      </c>
      <c r="AE90" s="39">
        <f t="shared" si="2648"/>
        <v>4.0125174266882482</v>
      </c>
      <c r="AF90" s="39"/>
      <c r="AG90" s="39">
        <f t="shared" si="2550"/>
        <v>5.3440098513321228</v>
      </c>
      <c r="AH90" s="39">
        <f t="shared" si="2560"/>
        <v>4.9489140434747858</v>
      </c>
      <c r="AI90" s="43">
        <f t="shared" ref="AI90" si="3061">IF(Z90="","",AI$75+(Z90-Z$75)*1000)</f>
        <v>-77.106494917307714</v>
      </c>
      <c r="AJ90" s="43">
        <f t="shared" ref="AJ90" si="3062">IF(AA90="","",AJ$75+(AA90-AA$75)*1000)</f>
        <v>-62.031362351485875</v>
      </c>
      <c r="AK90" s="43"/>
      <c r="AL90" s="43" t="str">
        <f t="shared" ref="AL90" si="3063">IF(AC90="","",AL$75+(AC90-AC$75)*1000)</f>
        <v/>
      </c>
      <c r="AM90" s="43">
        <f t="shared" ref="AM90" si="3064">IF(AD90="","",AM$75+(AD90-AD$75)*1000)</f>
        <v>-71.655307629481257</v>
      </c>
      <c r="AN90" s="43">
        <f t="shared" ref="AN90" si="3065">IF(AE90="","",AN$75+(AE90-AE$75)*1000)</f>
        <v>-54.963651681286585</v>
      </c>
      <c r="AO90" s="43"/>
      <c r="AP90" s="43">
        <f t="shared" ref="AP90" si="3066">IF(AG90="","",AP$75+(AG90-AG$75)*1000)</f>
        <v>-32.52240373434212</v>
      </c>
      <c r="AQ90" s="43">
        <f t="shared" ref="AQ90" si="3067">IF(AH90="","",AQ$75+(AH90-AH$75)*1000)</f>
        <v>-28.957612820696532</v>
      </c>
      <c r="AR90" s="40"/>
      <c r="AS90" s="43">
        <f t="shared" ref="AS90" si="3068">IF(E90="","",(E90-E$75)*1000+AS$75)</f>
        <v>-0.55000011343508959</v>
      </c>
      <c r="AT90" s="43">
        <f t="shared" ref="AT90" si="3069">IF(F90="","",(F90-F$75)*1000+AT$75)</f>
        <v>-3.250000299885869</v>
      </c>
      <c r="AU90" s="43">
        <f t="shared" ref="AU90" si="3070">IF(G90="","",(G90-G$75)*1000+AU$75)</f>
        <v>3.6999999999949296</v>
      </c>
      <c r="AV90" s="43">
        <f t="shared" ref="AV90" si="3071">IF(H90="","",(H90-H$75)*1000+AV$75)</f>
        <v>0</v>
      </c>
      <c r="AW90" s="43">
        <f t="shared" ref="AW90" si="3072">IF(I90="","",(I90-I$75)*1000+AW$75)</f>
        <v>-3.4500001929700375</v>
      </c>
      <c r="AX90" s="43">
        <f t="shared" ref="AX90" si="3073">IF(J90="","",(J90-J$75)*1000+AX$75)</f>
        <v>-0.34999999999740794</v>
      </c>
      <c r="AY90" s="43" t="e">
        <f t="shared" ref="AY90" si="3074">IF(K90="","",(K90-K$10)*1000)</f>
        <v>#N/A</v>
      </c>
      <c r="AZ90" s="43" t="e">
        <f t="shared" ref="AZ90" si="3075">IF(L90="","",(L90-L$10)*1000)</f>
        <v>#N/A</v>
      </c>
      <c r="BA90" s="43" t="e">
        <f t="shared" ref="BA90" si="3076">IF(M90="","",(M90-M$10)*1000)</f>
        <v>#N/A</v>
      </c>
      <c r="BB90" s="43">
        <f t="shared" ref="BB90" si="3077">IF(N90="","",(N90-N$75)*1000+BB$75)</f>
        <v>-15.799999935552478</v>
      </c>
      <c r="BC90" s="43">
        <f t="shared" ref="BC90" si="3078">IF(O90="","",(O90-O$75)*1000+BC$75)</f>
        <v>-2.699999837204814</v>
      </c>
      <c r="BD90" s="43">
        <f t="shared" ref="BD90" si="3079">IF(P90="","",(P90-P$75)*1000+BD$75)</f>
        <v>-84.050000000004843</v>
      </c>
      <c r="BE90" s="43" t="e">
        <f t="shared" ref="BE90" si="3080">IF(Q90="","",(Q90-Q$73)*1000+BE$73)</f>
        <v>#N/A</v>
      </c>
      <c r="BF90" s="43" t="e">
        <f t="shared" ref="BF90" si="3081">IF(R90="","",(R90-R$73)*1000+BF$73)</f>
        <v>#N/A</v>
      </c>
      <c r="BG90" s="43" t="e">
        <f t="shared" ref="BG90" si="3082">IF(S90="","",(S90-S$73)*1000+BG$73)</f>
        <v>#N/A</v>
      </c>
      <c r="BH90" s="43">
        <f t="shared" ref="BH90" si="3083">IF(T90="","",(T90-T$75)*1000+BH$75)</f>
        <v>-12.399999890476465</v>
      </c>
      <c r="BI90" s="43">
        <f t="shared" ref="BI90" si="3084">IF(U90="","",(U90-U$75)*1000+BI$75)</f>
        <v>26.950000086799264</v>
      </c>
      <c r="BJ90" s="43">
        <f t="shared" ref="BJ90" si="3085">IF(V90="","",(V90-V$75)*1000+BJ$75)</f>
        <v>-2.4999999999835154</v>
      </c>
      <c r="BK90" s="43">
        <f t="shared" ref="BK90" si="3086">IF(W90="","",(W90-W$75)*1000+BK$75)</f>
        <v>0.20000000949949026</v>
      </c>
      <c r="BL90" s="43">
        <f t="shared" ref="BL90" si="3087">IF(X90="","",(X90-X$75)*1000+BL$75)</f>
        <v>29.450000030919909</v>
      </c>
      <c r="BM90" s="43">
        <f t="shared" ref="BM90" si="3088">IF(Y90="","",(Y90-Y$75)*1000+BM$75)</f>
        <v>-31.099999999995021</v>
      </c>
      <c r="BN90" s="40"/>
      <c r="BO90" s="39">
        <v>183.96785708981625</v>
      </c>
      <c r="BP90" s="39">
        <v>-2.4283953618122869</v>
      </c>
      <c r="BQ90" s="39">
        <v>-0.87729857089816221</v>
      </c>
      <c r="BR90" s="39">
        <v>183.93906396646</v>
      </c>
      <c r="BS90" s="39">
        <v>-2.6654817090738065</v>
      </c>
      <c r="BT90" s="39">
        <v>0.28918936033539921</v>
      </c>
      <c r="BU90" s="41" t="e">
        <v>#VALUE!</v>
      </c>
      <c r="BV90" s="42" t="s">
        <v>61</v>
      </c>
      <c r="BW90" s="42" t="s">
        <v>61</v>
      </c>
      <c r="BX90" s="41">
        <v>183.89504009690012</v>
      </c>
      <c r="BY90" s="42">
        <v>0.23666581121757402</v>
      </c>
      <c r="BZ90" s="42">
        <v>2.3792295990309924</v>
      </c>
      <c r="CA90" s="41" t="e">
        <v>#VALUE!</v>
      </c>
      <c r="CB90" s="42" t="s">
        <v>61</v>
      </c>
      <c r="CC90" s="42" t="s">
        <v>61</v>
      </c>
      <c r="CD90" s="41">
        <v>183.90502089055025</v>
      </c>
      <c r="CE90" s="42">
        <v>2.6782831734895707</v>
      </c>
      <c r="CF90" s="42">
        <v>0.25132979109449138</v>
      </c>
      <c r="CG90" s="41">
        <v>183.89913217407289</v>
      </c>
      <c r="CH90" s="42">
        <v>2.5198476249111716</v>
      </c>
      <c r="CI90" s="42">
        <v>-0.92041132174074392</v>
      </c>
      <c r="CJ90" s="40"/>
      <c r="CK90" s="43">
        <f t="shared" ref="CK90:CK91" si="3089">IF(BO90="","",CK$75+(BO90-BO$75)*1000)</f>
        <v>-2.2161747837685652</v>
      </c>
      <c r="CL90" s="43">
        <f t="shared" ref="CL90:CL91" si="3090">IF(BP90="","",CL$75+(BP90-BP$75)*1000)</f>
        <v>3.038789758765148</v>
      </c>
      <c r="CM90" s="43">
        <f t="shared" ref="CM90:CM91" si="3091">IF(BQ90="","",CM$75+(BQ90-BQ$75)*1000)</f>
        <v>3.7011617478373005</v>
      </c>
      <c r="CN90" s="43">
        <f t="shared" ref="CN90:CN91" si="3092">IF(BR90="","",CN$75+(BR90-BR$75)*1000)</f>
        <v>-1.4915809099420585</v>
      </c>
      <c r="CO90" s="43">
        <f t="shared" ref="CO90:CO91" si="3093">IF(BS90="","",CO$75+(BS90-BS$75)*1000)</f>
        <v>3.061066864886719</v>
      </c>
      <c r="CP90" s="43">
        <f t="shared" ref="CP90:CP91" si="3094">IF(BT90="","",CP$75+(BT90-BT$75)*1000)</f>
        <v>-0.36308419090314015</v>
      </c>
      <c r="CQ90" s="43"/>
      <c r="CR90" s="43"/>
      <c r="CS90" s="43"/>
      <c r="CT90" s="43">
        <f t="shared" si="2973"/>
        <v>-15.364345925405587</v>
      </c>
      <c r="CU90" s="43">
        <f t="shared" ref="CU90:CU91" si="3095">IF(BY90="","",CU$75+(BY90-BY$75)*1000)</f>
        <v>-4.3729758660581979</v>
      </c>
      <c r="CV90" s="43">
        <f t="shared" ref="CV90:CV91" si="3096">IF(BZ90="","",CV$75+(BZ90-BZ$75)*1000)</f>
        <v>-83.857356540752988</v>
      </c>
      <c r="CW90" s="43"/>
      <c r="CX90" s="43"/>
      <c r="CY90" s="43"/>
      <c r="CZ90" s="43">
        <f t="shared" ref="CZ90:CZ91" si="3097">IF(CD90="","",CZ$75+(CD90-CD$75)*1000)</f>
        <v>0.13607252722636076</v>
      </c>
      <c r="DA90" s="43">
        <f t="shared" ref="DA90:DA91" si="3098">IF(CE90="","",DA$75+(CE90-CE$75)*1000)</f>
        <v>-29.7260223250988</v>
      </c>
      <c r="DB90" s="43">
        <f t="shared" ref="DB90:DB91" si="3099">IF(CF90="","",DB$75+(CF90-CF$75)*1000)</f>
        <v>-2.4333607252922107</v>
      </c>
      <c r="DC90" s="43">
        <f t="shared" ref="DC90:DC91" si="3100">IF(CG90="","",DC$75+(CG90-CG$75)*1000)</f>
        <v>12.552280232199564</v>
      </c>
      <c r="DD90" s="43">
        <f t="shared" ref="DD90:DD91" si="3101">IF(CH90="","",DD$75+(CH90-CH$75)*1000)</f>
        <v>-26.44721976227693</v>
      </c>
      <c r="DE90" s="43">
        <f t="shared" ref="DE90:DE91" si="3102">IF(CI90="","",DE$75+(CI90-CI$75)*1000)</f>
        <v>-31.247522802342218</v>
      </c>
    </row>
    <row r="91" spans="1:114" ht="29.25" customHeight="1" x14ac:dyDescent="0.2">
      <c r="A91" s="37">
        <v>44550</v>
      </c>
      <c r="B91" s="29">
        <f t="shared" si="3021"/>
        <v>892</v>
      </c>
      <c r="C91" s="38">
        <v>222.9</v>
      </c>
      <c r="D91" s="38">
        <v>39</v>
      </c>
      <c r="E91" s="39">
        <v>823233.37549999997</v>
      </c>
      <c r="F91" s="39">
        <v>1091513.5567000001</v>
      </c>
      <c r="G91" s="39">
        <v>-124.5808</v>
      </c>
      <c r="H91" s="39">
        <v>823233.24890000001</v>
      </c>
      <c r="I91" s="39">
        <v>1091513.7589</v>
      </c>
      <c r="J91" s="39">
        <v>-123.4144</v>
      </c>
      <c r="K91" s="39" t="e">
        <v>#N/A</v>
      </c>
      <c r="L91" s="39" t="e">
        <v>#N/A</v>
      </c>
      <c r="M91" s="39" t="e">
        <v>#N/A</v>
      </c>
      <c r="N91" s="39">
        <v>823234.43610000005</v>
      </c>
      <c r="O91" s="39">
        <v>1091511.1107999999</v>
      </c>
      <c r="P91" s="39">
        <v>-121.3248</v>
      </c>
      <c r="Q91" s="39" t="e">
        <v>#N/A</v>
      </c>
      <c r="R91" s="39" t="e">
        <v>#N/A</v>
      </c>
      <c r="S91" s="39" t="e">
        <v>#N/A</v>
      </c>
      <c r="T91" s="39">
        <v>823235.47900000005</v>
      </c>
      <c r="U91" s="39">
        <v>1091508.9025000001</v>
      </c>
      <c r="V91" s="39">
        <v>-123.4525</v>
      </c>
      <c r="W91" s="39">
        <v>823235.40619999997</v>
      </c>
      <c r="X91" s="39">
        <v>1091509.0434000001</v>
      </c>
      <c r="Y91" s="39">
        <v>-124.62430000000001</v>
      </c>
      <c r="Z91" s="39">
        <f t="shared" si="2647"/>
        <v>4.2081866844273614</v>
      </c>
      <c r="AA91" s="39">
        <f t="shared" si="2546"/>
        <v>3.5760740499428403</v>
      </c>
      <c r="AB91" s="39"/>
      <c r="AC91" s="39"/>
      <c r="AD91" s="39">
        <f t="shared" si="2548"/>
        <v>3.2390332800424515</v>
      </c>
      <c r="AE91" s="39">
        <f t="shared" si="2648"/>
        <v>4.0127218965584595</v>
      </c>
      <c r="AF91" s="39"/>
      <c r="AG91" s="39">
        <f t="shared" si="2550"/>
        <v>5.344101288292725</v>
      </c>
      <c r="AH91" s="39">
        <f t="shared" si="2560"/>
        <v>4.9492940536944019</v>
      </c>
      <c r="AI91" s="43">
        <f t="shared" ref="AI91" si="3103">IF(Z91="","",AI$75+(Z91-Z$75)*1000)</f>
        <v>-77.017600519134533</v>
      </c>
      <c r="AJ91" s="43">
        <f t="shared" ref="AJ91" si="3104">IF(AA91="","",AJ$75+(AA91-AA$75)*1000)</f>
        <v>-62.383809713489669</v>
      </c>
      <c r="AK91" s="43"/>
      <c r="AL91" s="43" t="str">
        <f t="shared" ref="AL91" si="3105">IF(AC91="","",AL$75+(AC91-AC$75)*1000)</f>
        <v/>
      </c>
      <c r="AM91" s="43">
        <f t="shared" ref="AM91" si="3106">IF(AD91="","",AM$75+(AD91-AD$75)*1000)</f>
        <v>-71.314325411877988</v>
      </c>
      <c r="AN91" s="43">
        <f t="shared" ref="AN91" si="3107">IF(AE91="","",AN$75+(AE91-AE$75)*1000)</f>
        <v>-54.759181811075308</v>
      </c>
      <c r="AO91" s="43"/>
      <c r="AP91" s="43">
        <f t="shared" ref="AP91" si="3108">IF(AG91="","",AP$75+(AG91-AG$75)*1000)</f>
        <v>-32.430966773739911</v>
      </c>
      <c r="AQ91" s="43">
        <f t="shared" ref="AQ91" si="3109">IF(AH91="","",AQ$75+(AH91-AH$75)*1000)</f>
        <v>-28.577602601080443</v>
      </c>
      <c r="AR91" s="40"/>
      <c r="AS91" s="43">
        <f t="shared" ref="AS91" si="3110">IF(E91="","",(E91-E$75)*1000+AS$75)</f>
        <v>-1.8500001169741154</v>
      </c>
      <c r="AT91" s="43">
        <f t="shared" ref="AT91" si="3111">IF(F91="","",(F91-F$75)*1000+AT$75)</f>
        <v>-2.7500002179294825</v>
      </c>
      <c r="AU91" s="43">
        <f t="shared" ref="AU91" si="3112">IF(G91="","",(G91-G$75)*1000+AU$75)</f>
        <v>3.3999999999991815</v>
      </c>
      <c r="AV91" s="43">
        <f t="shared" ref="AV91" si="3113">IF(H91="","",(H91-H$75)*1000+AV$75)</f>
        <v>-1.5999999595806003</v>
      </c>
      <c r="AW91" s="43">
        <f t="shared" ref="AW91" si="3114">IF(I91="","",(I91-I$75)*1000+AW$75)</f>
        <v>-3.4500001929700375</v>
      </c>
      <c r="AX91" s="43">
        <f t="shared" ref="AX91" si="3115">IF(J91="","",(J91-J$75)*1000+AX$75)</f>
        <v>-0.4500000000007276</v>
      </c>
      <c r="AY91" s="43" t="e">
        <f t="shared" ref="AY91" si="3116">IF(K91="","",(K91-K$10)*1000)</f>
        <v>#N/A</v>
      </c>
      <c r="AZ91" s="43" t="e">
        <f t="shared" ref="AZ91" si="3117">IF(L91="","",(L91-L$10)*1000)</f>
        <v>#N/A</v>
      </c>
      <c r="BA91" s="43" t="e">
        <f t="shared" ref="BA91" si="3118">IF(M91="","",(M91-M$10)*1000)</f>
        <v>#N/A</v>
      </c>
      <c r="BB91" s="43">
        <f t="shared" ref="BB91" si="3119">IF(N91="","",(N91-N$75)*1000+BB$75)</f>
        <v>-16.899999929592013</v>
      </c>
      <c r="BC91" s="43">
        <f t="shared" ref="BC91" si="3120">IF(O91="","",(O91-O$75)*1000+BC$75)</f>
        <v>-1.999999862164259</v>
      </c>
      <c r="BD91" s="43">
        <f t="shared" ref="BD91" si="3121">IF(P91="","",(P91-P$75)*1000+BD$75)</f>
        <v>-84.149999999993952</v>
      </c>
      <c r="BE91" s="43" t="e">
        <f t="shared" ref="BE91" si="3122">IF(Q91="","",(Q91-Q$73)*1000+BE$73)</f>
        <v>#N/A</v>
      </c>
      <c r="BF91" s="43" t="e">
        <f t="shared" ref="BF91" si="3123">IF(R91="","",(R91-R$73)*1000+BF$73)</f>
        <v>#N/A</v>
      </c>
      <c r="BG91" s="43" t="e">
        <f t="shared" ref="BG91" si="3124">IF(S91="","",(S91-S$73)*1000+BG$73)</f>
        <v>#N/A</v>
      </c>
      <c r="BH91" s="43">
        <f t="shared" ref="BH91" si="3125">IF(T91="","",(T91-T$75)*1000+BH$75)</f>
        <v>-11.599999852478504</v>
      </c>
      <c r="BI91" s="43">
        <f t="shared" ref="BI91" si="3126">IF(U91="","",(U91-U$75)*1000+BI$75)</f>
        <v>27.950000250712037</v>
      </c>
      <c r="BJ91" s="43">
        <f t="shared" ref="BJ91" si="3127">IF(V91="","",(V91-V$75)*1000+BJ$75)</f>
        <v>-2.4999999999835154</v>
      </c>
      <c r="BK91" s="43">
        <f t="shared" ref="BK91" si="3128">IF(W91="","",(W91-W$75)*1000+BK$75)</f>
        <v>0.49999996554106474</v>
      </c>
      <c r="BL91" s="43">
        <f t="shared" ref="BL91" si="3129">IF(X91="","",(X91-X$75)*1000+BL$75)</f>
        <v>30.250000068917871</v>
      </c>
      <c r="BM91" s="43">
        <f t="shared" ref="BM91" si="3130">IF(Y91="","",(Y91-Y$75)*1000+BM$75)</f>
        <v>-31.099999999995021</v>
      </c>
      <c r="BN91" s="40"/>
      <c r="BO91" s="39">
        <v>183.96689023618885</v>
      </c>
      <c r="BP91" s="39">
        <v>-2.429397955525761</v>
      </c>
      <c r="BQ91" s="39">
        <v>-0.87758890236189302</v>
      </c>
      <c r="BR91" s="39">
        <v>183.93761389921801</v>
      </c>
      <c r="BS91" s="39">
        <v>-2.666157952272846</v>
      </c>
      <c r="BT91" s="39">
        <v>0.28910386100781693</v>
      </c>
      <c r="BU91" s="41" t="e">
        <v>#VALUE!</v>
      </c>
      <c r="BV91" s="42" t="s">
        <v>61</v>
      </c>
      <c r="BW91" s="42" t="s">
        <v>61</v>
      </c>
      <c r="BX91" s="41">
        <v>183.89433903204795</v>
      </c>
      <c r="BY91" s="42">
        <v>0.23556648959721041</v>
      </c>
      <c r="BZ91" s="42">
        <v>2.3791366096795201</v>
      </c>
      <c r="CA91" s="41" t="e">
        <v>#VALUE!</v>
      </c>
      <c r="CB91" s="42" t="s">
        <v>61</v>
      </c>
      <c r="CC91" s="42" t="s">
        <v>61</v>
      </c>
      <c r="CD91" s="41">
        <v>183.90616857630337</v>
      </c>
      <c r="CE91" s="42">
        <v>2.6777150029160115</v>
      </c>
      <c r="CF91" s="42">
        <v>0.25131831423696838</v>
      </c>
      <c r="CG91" s="41">
        <v>183.89974218327191</v>
      </c>
      <c r="CH91" s="42">
        <v>2.5192493868218544</v>
      </c>
      <c r="CI91" s="42">
        <v>-0.9204174218327239</v>
      </c>
      <c r="CJ91" s="40"/>
      <c r="CK91" s="43">
        <f t="shared" si="3089"/>
        <v>-3.1830284111720175</v>
      </c>
      <c r="CL91" s="43">
        <f t="shared" si="3090"/>
        <v>2.0361960452910388</v>
      </c>
      <c r="CM91" s="43">
        <f t="shared" si="3091"/>
        <v>3.4108302841064919</v>
      </c>
      <c r="CN91" s="43">
        <f t="shared" si="3092"/>
        <v>-2.9416481519319859</v>
      </c>
      <c r="CO91" s="43">
        <f t="shared" si="3093"/>
        <v>2.3848236658472466</v>
      </c>
      <c r="CP91" s="43">
        <f t="shared" si="3094"/>
        <v>-0.44858351848542366</v>
      </c>
      <c r="CQ91" s="43"/>
      <c r="CR91" s="43"/>
      <c r="CS91" s="43"/>
      <c r="CT91" s="43">
        <f t="shared" si="2973"/>
        <v>-16.065410777571287</v>
      </c>
      <c r="CU91" s="43">
        <f t="shared" si="3095"/>
        <v>-5.4722974864218061</v>
      </c>
      <c r="CV91" s="43">
        <f t="shared" si="3096"/>
        <v>-83.950345892225272</v>
      </c>
      <c r="CW91" s="43"/>
      <c r="CX91" s="43"/>
      <c r="CY91" s="43"/>
      <c r="CZ91" s="43">
        <f t="shared" si="3097"/>
        <v>1.2837582803513214</v>
      </c>
      <c r="DA91" s="43">
        <f t="shared" si="3098"/>
        <v>-30.294192898657979</v>
      </c>
      <c r="DB91" s="43">
        <f t="shared" si="3099"/>
        <v>-2.444837582815218</v>
      </c>
      <c r="DC91" s="43">
        <f t="shared" si="3100"/>
        <v>13.162289431221552</v>
      </c>
      <c r="DD91" s="43">
        <f t="shared" si="3101"/>
        <v>-27.045457851594179</v>
      </c>
      <c r="DE91" s="43">
        <f t="shared" si="3102"/>
        <v>-31.253622894322206</v>
      </c>
    </row>
    <row r="92" spans="1:114" ht="29.25" customHeight="1" x14ac:dyDescent="0.2">
      <c r="A92" s="37">
        <v>44572</v>
      </c>
      <c r="B92" s="29">
        <f t="shared" si="3021"/>
        <v>914</v>
      </c>
      <c r="C92" s="38">
        <v>222.9</v>
      </c>
      <c r="D92" s="38">
        <v>39</v>
      </c>
      <c r="E92" s="39">
        <v>823233.37699999998</v>
      </c>
      <c r="F92" s="39">
        <v>1091513.5552000001</v>
      </c>
      <c r="G92" s="39">
        <v>-124.5808</v>
      </c>
      <c r="H92" s="39">
        <v>823233.25049999997</v>
      </c>
      <c r="I92" s="39">
        <v>1091513.7574</v>
      </c>
      <c r="J92" s="39">
        <v>-123.41459999999999</v>
      </c>
      <c r="K92" s="39" t="e">
        <v>#N/A</v>
      </c>
      <c r="L92" s="39" t="e">
        <v>#N/A</v>
      </c>
      <c r="M92" s="39" t="e">
        <v>#N/A</v>
      </c>
      <c r="N92" s="39">
        <v>823234.43709999998</v>
      </c>
      <c r="O92" s="39">
        <v>1091511.1091</v>
      </c>
      <c r="P92" s="39">
        <v>-121.3254</v>
      </c>
      <c r="Q92" s="39" t="e">
        <v>#N/A</v>
      </c>
      <c r="R92" s="39" t="e">
        <v>#N/A</v>
      </c>
      <c r="S92" s="39" t="e">
        <v>#N/A</v>
      </c>
      <c r="T92" s="39">
        <v>823235.47849999997</v>
      </c>
      <c r="U92" s="39">
        <v>1091508.9006000001</v>
      </c>
      <c r="V92" s="39">
        <v>-123.4528</v>
      </c>
      <c r="W92" s="39">
        <v>823235.40610000002</v>
      </c>
      <c r="X92" s="39">
        <v>1091509.0415000001</v>
      </c>
      <c r="Y92" s="39">
        <v>-124.6245</v>
      </c>
      <c r="Z92" s="39">
        <f t="shared" si="2647"/>
        <v>4.2077127254952753</v>
      </c>
      <c r="AA92" s="39">
        <f t="shared" si="2546"/>
        <v>3.5757892960912279</v>
      </c>
      <c r="AB92" s="39"/>
      <c r="AC92" s="39"/>
      <c r="AD92" s="39">
        <f t="shared" si="2548"/>
        <v>3.2384899212057858</v>
      </c>
      <c r="AE92" s="39">
        <f t="shared" si="2648"/>
        <v>4.0122302488612966</v>
      </c>
      <c r="AF92" s="39"/>
      <c r="AG92" s="39">
        <f t="shared" si="2550"/>
        <v>5.3435895687759531</v>
      </c>
      <c r="AH92" s="39">
        <f t="shared" si="2560"/>
        <v>4.9490043635331631</v>
      </c>
      <c r="AI92" s="43">
        <f t="shared" ref="AI92" si="3131">IF(Z92="","",AI$75+(Z92-Z$75)*1000)</f>
        <v>-77.491559451220667</v>
      </c>
      <c r="AJ92" s="43">
        <f t="shared" ref="AJ92" si="3132">IF(AA92="","",AJ$75+(AA92-AA$75)*1000)</f>
        <v>-62.66856356510209</v>
      </c>
      <c r="AK92" s="43"/>
      <c r="AL92" s="43" t="str">
        <f t="shared" ref="AL92" si="3133">IF(AC92="","",AL$75+(AC92-AC$75)*1000)</f>
        <v/>
      </c>
      <c r="AM92" s="43">
        <f t="shared" ref="AM92" si="3134">IF(AD92="","",AM$75+(AD92-AD$75)*1000)</f>
        <v>-71.857684248543663</v>
      </c>
      <c r="AN92" s="43">
        <f t="shared" ref="AN92" si="3135">IF(AE92="","",AN$75+(AE92-AE$75)*1000)</f>
        <v>-55.25082950823812</v>
      </c>
      <c r="AO92" s="43"/>
      <c r="AP92" s="43">
        <f t="shared" ref="AP92" si="3136">IF(AG92="","",AP$75+(AG92-AG$75)*1000)</f>
        <v>-32.94268629051178</v>
      </c>
      <c r="AQ92" s="43">
        <f t="shared" ref="AQ92" si="3137">IF(AH92="","",AQ$75+(AH92-AH$75)*1000)</f>
        <v>-28.867292762319252</v>
      </c>
      <c r="AR92" s="40"/>
      <c r="AS92" s="43">
        <f t="shared" ref="AS92" si="3138">IF(E92="","",(E92-E$75)*1000+AS$75)</f>
        <v>-0.35000010393559933</v>
      </c>
      <c r="AT92" s="43">
        <f t="shared" ref="AT92" si="3139">IF(F92="","",(F92-F$75)*1000+AT$75)</f>
        <v>-4.2500002309679985</v>
      </c>
      <c r="AU92" s="43">
        <f t="shared" ref="AU92" si="3140">IF(G92="","",(G92-G$75)*1000+AU$75)</f>
        <v>3.3999999999991815</v>
      </c>
      <c r="AV92" s="43">
        <f t="shared" ref="AV92" si="3141">IF(H92="","",(H92-H$75)*1000+AV$75)</f>
        <v>0</v>
      </c>
      <c r="AW92" s="43">
        <f t="shared" ref="AW92" si="3142">IF(I92="","",(I92-I$75)*1000+AW$75)</f>
        <v>-4.9500002060085535</v>
      </c>
      <c r="AX92" s="43">
        <f t="shared" ref="AX92" si="3143">IF(J92="","",(J92-J$75)*1000+AX$75)</f>
        <v>-0.64999999999315605</v>
      </c>
      <c r="AY92" s="43" t="e">
        <f t="shared" ref="AY92" si="3144">IF(K92="","",(K92-K$10)*1000)</f>
        <v>#N/A</v>
      </c>
      <c r="AZ92" s="43" t="e">
        <f t="shared" ref="AZ92" si="3145">IF(L92="","",(L92-L$10)*1000)</f>
        <v>#N/A</v>
      </c>
      <c r="BA92" s="43" t="e">
        <f t="shared" ref="BA92" si="3146">IF(M92="","",(M92-M$10)*1000)</f>
        <v>#N/A</v>
      </c>
      <c r="BB92" s="43">
        <f t="shared" ref="BB92" si="3147">IF(N92="","",(N92-N$75)*1000+BB$75)</f>
        <v>-15.899999998509884</v>
      </c>
      <c r="BC92" s="43">
        <f t="shared" ref="BC92" si="3148">IF(O92="","",(O92-O$75)*1000+BC$75)</f>
        <v>-3.6999997682869434</v>
      </c>
      <c r="BD92" s="43">
        <f t="shared" ref="BD92" si="3149">IF(P92="","",(P92-P$75)*1000+BD$75)</f>
        <v>-84.749999999999659</v>
      </c>
      <c r="BE92" s="43" t="e">
        <f t="shared" ref="BE92" si="3150">IF(Q92="","",(Q92-Q$73)*1000+BE$73)</f>
        <v>#N/A</v>
      </c>
      <c r="BF92" s="43" t="e">
        <f t="shared" ref="BF92" si="3151">IF(R92="","",(R92-R$73)*1000+BF$73)</f>
        <v>#N/A</v>
      </c>
      <c r="BG92" s="43" t="e">
        <f t="shared" ref="BG92" si="3152">IF(S92="","",(S92-S$73)*1000+BG$73)</f>
        <v>#N/A</v>
      </c>
      <c r="BH92" s="43">
        <f t="shared" ref="BH92" si="3153">IF(T92="","",(T92-T$75)*1000+BH$75)</f>
        <v>-12.099999934434891</v>
      </c>
      <c r="BI92" s="43">
        <f t="shared" ref="BI92" si="3154">IF(U92="","",(U92-U$75)*1000+BI$75)</f>
        <v>26.050000218674541</v>
      </c>
      <c r="BJ92" s="43">
        <f t="shared" ref="BJ92" si="3155">IF(V92="","",(V92-V$75)*1000+BJ$75)</f>
        <v>-2.7999999999792635</v>
      </c>
      <c r="BK92" s="43">
        <f t="shared" ref="BK92" si="3156">IF(W92="","",(W92-W$75)*1000+BK$75)</f>
        <v>0.40000001899898052</v>
      </c>
      <c r="BL92" s="43">
        <f t="shared" ref="BL92" si="3157">IF(X92="","",(X92-X$75)*1000+BL$75)</f>
        <v>28.350000036880374</v>
      </c>
      <c r="BM92" s="43">
        <f t="shared" ref="BM92" si="3158">IF(Y92="","",(Y92-Y$75)*1000+BM$75)</f>
        <v>-31.299999999987449</v>
      </c>
      <c r="BN92" s="40"/>
      <c r="BO92" s="39">
        <v>183.96761569625374</v>
      </c>
      <c r="BP92" s="39">
        <v>-2.4274045394195585</v>
      </c>
      <c r="BQ92" s="39">
        <v>-0.87759615696253945</v>
      </c>
      <c r="BR92" s="39">
        <v>183.93842998843934</v>
      </c>
      <c r="BS92" s="39">
        <v>-2.6641222709882402</v>
      </c>
      <c r="BT92" s="39">
        <v>0.28889570011561716</v>
      </c>
      <c r="BU92" s="41" t="e">
        <v>#VALUE!</v>
      </c>
      <c r="BV92" s="42" t="s">
        <v>61</v>
      </c>
      <c r="BW92" s="42" t="s">
        <v>61</v>
      </c>
      <c r="BX92" s="41">
        <v>183.8945268156572</v>
      </c>
      <c r="BY92" s="42">
        <v>0.23752983797662763</v>
      </c>
      <c r="BZ92" s="42">
        <v>2.3785347318434162</v>
      </c>
      <c r="CA92" s="41" t="e">
        <v>#VALUE!</v>
      </c>
      <c r="CB92" s="42" t="s">
        <v>61</v>
      </c>
      <c r="CC92" s="42" t="s">
        <v>61</v>
      </c>
      <c r="CD92" s="41">
        <v>183.90491239137179</v>
      </c>
      <c r="CE92" s="42">
        <v>2.6792256317987277</v>
      </c>
      <c r="CF92" s="42">
        <v>0.25103087608627561</v>
      </c>
      <c r="CG92" s="41">
        <v>183.89884851528271</v>
      </c>
      <c r="CH92" s="42">
        <v>2.5209290765658943</v>
      </c>
      <c r="CI92" s="42">
        <v>-0.92060848515282601</v>
      </c>
      <c r="CJ92" s="40"/>
      <c r="CK92" s="43">
        <f t="shared" ref="CK92" si="3159">IF(BO92="","",CK$75+(BO92-BO$75)*1000)</f>
        <v>-2.4575683462728648</v>
      </c>
      <c r="CL92" s="43">
        <f t="shared" ref="CL92" si="3160">IF(BP92="","",CL$75+(BP92-BP$75)*1000)</f>
        <v>4.0296121514935557</v>
      </c>
      <c r="CM92" s="43">
        <f t="shared" ref="CM92" si="3161">IF(BQ92="","",CM$75+(BQ92-BQ$75)*1000)</f>
        <v>3.4035756834600583</v>
      </c>
      <c r="CN92" s="43">
        <f t="shared" ref="CN92" si="3162">IF(BR92="","",CN$75+(BR92-BR$75)*1000)</f>
        <v>-2.125558930600846</v>
      </c>
      <c r="CO92" s="43">
        <f t="shared" ref="CO92" si="3163">IF(BS92="","",CO$75+(BS92-BS$75)*1000)</f>
        <v>4.4205049504530969</v>
      </c>
      <c r="CP92" s="43">
        <f t="shared" ref="CP92" si="3164">IF(BT92="","",CP$75+(BT92-BT$75)*1000)</f>
        <v>-0.65674441068519496</v>
      </c>
      <c r="CQ92" s="43"/>
      <c r="CR92" s="43"/>
      <c r="CS92" s="43"/>
      <c r="CT92" s="43">
        <f t="shared" ref="CT92" si="3165">IF(BX92="","",CT$75+(BX92-BX$75)*1000)</f>
        <v>-15.877627168322306</v>
      </c>
      <c r="CU92" s="43">
        <f t="shared" ref="CU92" si="3166">IF(BY92="","",CU$75+(BY92-BY$75)*1000)</f>
        <v>-3.5089491070045828</v>
      </c>
      <c r="CV92" s="43">
        <f t="shared" ref="CV92" si="3167">IF(BZ92="","",CV$75+(BZ92-BZ$75)*1000)</f>
        <v>-84.552223728329153</v>
      </c>
      <c r="CW92" s="43"/>
      <c r="CX92" s="43"/>
      <c r="CY92" s="43"/>
      <c r="CZ92" s="43">
        <f t="shared" ref="CZ92" si="3168">IF(CD92="","",CZ$75+(CD92-CD$75)*1000)</f>
        <v>2.7573348774012629E-2</v>
      </c>
      <c r="DA92" s="43">
        <f t="shared" ref="DA92" si="3169">IF(CE92="","",DA$75+(CE92-CE$75)*1000)</f>
        <v>-28.783564015941732</v>
      </c>
      <c r="DB92" s="43">
        <f t="shared" ref="DB92" si="3170">IF(CF92="","",DB$75+(CF92-CF$75)*1000)</f>
        <v>-2.7322757335079828</v>
      </c>
      <c r="DC92" s="43">
        <f t="shared" ref="DC92" si="3171">IF(CG92="","",DC$75+(CG92-CG$75)*1000)</f>
        <v>12.268621442018457</v>
      </c>
      <c r="DD92" s="43">
        <f t="shared" ref="DD92" si="3172">IF(CH92="","",DD$75+(CH92-CH$75)*1000)</f>
        <v>-25.36576810755431</v>
      </c>
      <c r="DE92" s="43">
        <f t="shared" ref="DE92" si="3173">IF(CI92="","",DE$75+(CI92-CI$75)*1000)</f>
        <v>-31.444686214424308</v>
      </c>
    </row>
    <row r="93" spans="1:114" ht="29.25" customHeight="1" x14ac:dyDescent="0.2">
      <c r="A93" s="37">
        <v>44578</v>
      </c>
      <c r="B93" s="29">
        <f t="shared" si="3021"/>
        <v>920</v>
      </c>
      <c r="C93" s="38">
        <v>222.9</v>
      </c>
      <c r="D93" s="38">
        <v>39</v>
      </c>
      <c r="E93" s="39">
        <v>823233.37789999996</v>
      </c>
      <c r="F93" s="39">
        <v>1091513.5549000001</v>
      </c>
      <c r="G93" s="39">
        <v>-124.5802</v>
      </c>
      <c r="H93" s="39">
        <v>823233.25120000006</v>
      </c>
      <c r="I93" s="39">
        <v>1091513.757</v>
      </c>
      <c r="J93" s="39">
        <v>-123.4141</v>
      </c>
      <c r="K93" s="39" t="e">
        <v>#N/A</v>
      </c>
      <c r="L93" s="39" t="e">
        <v>#N/A</v>
      </c>
      <c r="M93" s="39" t="e">
        <v>#N/A</v>
      </c>
      <c r="N93" s="39">
        <v>823234.43799999997</v>
      </c>
      <c r="O93" s="39">
        <v>1091511.1088</v>
      </c>
      <c r="P93" s="39">
        <v>-121.32470000000001</v>
      </c>
      <c r="Q93" s="39" t="e">
        <v>#N/A</v>
      </c>
      <c r="R93" s="39" t="e">
        <v>#N/A</v>
      </c>
      <c r="S93" s="39" t="e">
        <v>#N/A</v>
      </c>
      <c r="T93" s="39">
        <v>823235.48019999999</v>
      </c>
      <c r="U93" s="39">
        <v>1091508.8999999999</v>
      </c>
      <c r="V93" s="39">
        <v>-123.4521</v>
      </c>
      <c r="W93" s="39">
        <v>823235.4081</v>
      </c>
      <c r="X93" s="39">
        <v>1091509.0408999999</v>
      </c>
      <c r="Y93" s="39">
        <v>-124.6241</v>
      </c>
      <c r="Z93" s="39">
        <f t="shared" si="2647"/>
        <v>4.2077900934213552</v>
      </c>
      <c r="AA93" s="39">
        <f t="shared" si="2546"/>
        <v>3.5758984660436615</v>
      </c>
      <c r="AB93" s="39"/>
      <c r="AC93" s="39"/>
      <c r="AD93" s="39">
        <f t="shared" si="2548"/>
        <v>3.2389518429061233</v>
      </c>
      <c r="AE93" s="39">
        <f t="shared" si="2648"/>
        <v>4.0128973050212977</v>
      </c>
      <c r="AF93" s="39"/>
      <c r="AG93" s="39">
        <f t="shared" si="2550"/>
        <v>5.3441869353950429</v>
      </c>
      <c r="AH93" s="39">
        <f t="shared" si="2560"/>
        <v>4.9497308262117974</v>
      </c>
      <c r="AI93" s="43">
        <f t="shared" ref="AI93" si="3174">IF(Z93="","",AI$75+(Z93-Z$75)*1000)</f>
        <v>-77.414191525140737</v>
      </c>
      <c r="AJ93" s="43">
        <f t="shared" ref="AJ93" si="3175">IF(AA93="","",AJ$75+(AA93-AA$75)*1000)</f>
        <v>-62.559393612668487</v>
      </c>
      <c r="AK93" s="43"/>
      <c r="AL93" s="43" t="str">
        <f t="shared" ref="AL93" si="3176">IF(AC93="","",AL$75+(AC93-AC$75)*1000)</f>
        <v/>
      </c>
      <c r="AM93" s="43">
        <f t="shared" ref="AM93" si="3177">IF(AD93="","",AM$75+(AD93-AD$75)*1000)</f>
        <v>-71.395762548206235</v>
      </c>
      <c r="AN93" s="43">
        <f t="shared" ref="AN93" si="3178">IF(AE93="","",AN$75+(AE93-AE$75)*1000)</f>
        <v>-54.583773348237052</v>
      </c>
      <c r="AO93" s="43"/>
      <c r="AP93" s="43">
        <f t="shared" ref="AP93" si="3179">IF(AG93="","",AP$75+(AG93-AG$75)*1000)</f>
        <v>-32.345319671422068</v>
      </c>
      <c r="AQ93" s="43">
        <f t="shared" ref="AQ93" si="3180">IF(AH93="","",AQ$75+(AH93-AH$75)*1000)</f>
        <v>-28.140830083684953</v>
      </c>
      <c r="AR93" s="40"/>
      <c r="AS93" s="43">
        <f t="shared" ref="AS93" si="3181">IF(E93="","",(E93-E$75)*1000+AS$75)</f>
        <v>0.54999988060444593</v>
      </c>
      <c r="AT93" s="43">
        <f t="shared" ref="AT93" si="3182">IF(F93="","",(F93-F$75)*1000+AT$75)</f>
        <v>-4.550000187009573</v>
      </c>
      <c r="AU93" s="43">
        <f t="shared" ref="AU93" si="3183">IF(G93="","",(G93-G$75)*1000+AU$75)</f>
        <v>3.9999999999906777</v>
      </c>
      <c r="AV93" s="43">
        <f t="shared" ref="AV93" si="3184">IF(H93="","",(H93-H$75)*1000+AV$75)</f>
        <v>0.70000009145587683</v>
      </c>
      <c r="AW93" s="43">
        <f t="shared" ref="AW93" si="3185">IF(I93="","",(I93-I$75)*1000+AW$75)</f>
        <v>-5.350000225007534</v>
      </c>
      <c r="AX93" s="43">
        <f t="shared" ref="AX93" si="3186">IF(J93="","",(J93-J$75)*1000+AX$75)</f>
        <v>-0.15000000000497948</v>
      </c>
      <c r="AY93" s="43" t="e">
        <f t="shared" ref="AY93" si="3187">IF(K93="","",(K93-K$10)*1000)</f>
        <v>#N/A</v>
      </c>
      <c r="AZ93" s="43" t="e">
        <f t="shared" ref="AZ93" si="3188">IF(L93="","",(L93-L$10)*1000)</f>
        <v>#N/A</v>
      </c>
      <c r="BA93" s="43" t="e">
        <f t="shared" ref="BA93" si="3189">IF(M93="","",(M93-M$10)*1000)</f>
        <v>#N/A</v>
      </c>
      <c r="BB93" s="43">
        <f t="shared" ref="BB93" si="3190">IF(N93="","",(N93-N$75)*1000+BB$75)</f>
        <v>-15.000000013969839</v>
      </c>
      <c r="BC93" s="43">
        <f t="shared" ref="BC93" si="3191">IF(O93="","",(O93-O$75)*1000+BC$75)</f>
        <v>-3.9999997243285179</v>
      </c>
      <c r="BD93" s="43">
        <f t="shared" ref="BD93" si="3192">IF(P93="","",(P93-P$75)*1000+BD$75)</f>
        <v>-84.050000000004843</v>
      </c>
      <c r="BE93" s="43" t="e">
        <f t="shared" ref="BE93" si="3193">IF(Q93="","",(Q93-Q$73)*1000+BE$73)</f>
        <v>#N/A</v>
      </c>
      <c r="BF93" s="43" t="e">
        <f t="shared" ref="BF93" si="3194">IF(R93="","",(R93-R$73)*1000+BF$73)</f>
        <v>#N/A</v>
      </c>
      <c r="BG93" s="43" t="e">
        <f t="shared" ref="BG93" si="3195">IF(S93="","",(S93-S$73)*1000+BG$73)</f>
        <v>#N/A</v>
      </c>
      <c r="BH93" s="43">
        <f t="shared" ref="BH93" si="3196">IF(T93="","",(T93-T$75)*1000+BH$75)</f>
        <v>-10.399999911896884</v>
      </c>
      <c r="BI93" s="43">
        <f t="shared" ref="BI93" si="3197">IF(U93="","",(U93-U$75)*1000+BI$75)</f>
        <v>25.450000073760748</v>
      </c>
      <c r="BJ93" s="43">
        <f t="shared" ref="BJ93" si="3198">IF(V93="","",(V93-V$75)*1000+BJ$75)</f>
        <v>-2.0999999999844476</v>
      </c>
      <c r="BK93" s="43">
        <f t="shared" ref="BK93" si="3199">IF(W93="","",(W93-W$75)*1000+BK$75)</f>
        <v>2.3999999975785613</v>
      </c>
      <c r="BL93" s="43">
        <f t="shared" ref="BL93" si="3200">IF(X93="","",(X93-X$75)*1000+BL$75)</f>
        <v>27.749999891966581</v>
      </c>
      <c r="BM93" s="43">
        <f t="shared" ref="BM93" si="3201">IF(Y93="","",(Y93-Y$75)*1000+BM$75)</f>
        <v>-30.899999999988381</v>
      </c>
      <c r="BN93" s="40"/>
      <c r="BO93" s="39">
        <v>183.96830456349954</v>
      </c>
      <c r="BP93" s="39">
        <v>-2.4267522650421096</v>
      </c>
      <c r="BQ93" s="39">
        <v>-0.87700304563500708</v>
      </c>
      <c r="BR93" s="39">
        <v>183.9388953321446</v>
      </c>
      <c r="BS93" s="39">
        <v>-2.6634638977056433</v>
      </c>
      <c r="BT93" s="39">
        <v>0.28939104667854565</v>
      </c>
      <c r="BU93" s="41" t="e">
        <v>#VALUE!</v>
      </c>
      <c r="BV93" s="42" t="s">
        <v>61</v>
      </c>
      <c r="BW93" s="42" t="s">
        <v>61</v>
      </c>
      <c r="BX93" s="41">
        <v>183.89521568290297</v>
      </c>
      <c r="BY93" s="42">
        <v>0.23818211235408637</v>
      </c>
      <c r="BZ93" s="42">
        <v>2.3792278431709661</v>
      </c>
      <c r="CA93" s="41" t="e">
        <v>#VALUE!</v>
      </c>
      <c r="CB93" s="42" t="s">
        <v>61</v>
      </c>
      <c r="CC93" s="42" t="s">
        <v>61</v>
      </c>
      <c r="CD93" s="41">
        <v>183.90619949660851</v>
      </c>
      <c r="CE93" s="42">
        <v>2.6804879155862458</v>
      </c>
      <c r="CF93" s="42">
        <v>0.25171800503390784</v>
      </c>
      <c r="CG93" s="41">
        <v>183.90040750809433</v>
      </c>
      <c r="CH93" s="42">
        <v>2.5223181559378558</v>
      </c>
      <c r="CI93" s="42">
        <v>-0.92022407508093806</v>
      </c>
      <c r="CJ93" s="40"/>
      <c r="CK93" s="43">
        <f t="shared" ref="CK93" si="3202">IF(BO93="","",CK$75+(BO93-BO$75)*1000)</f>
        <v>-1.7687011004738906</v>
      </c>
      <c r="CL93" s="43">
        <f t="shared" ref="CL93" si="3203">IF(BP93="","",CL$75+(BP93-BP$75)*1000)</f>
        <v>4.6818865289424139</v>
      </c>
      <c r="CM93" s="43">
        <f t="shared" ref="CM93" si="3204">IF(BQ93="","",CM$75+(BQ93-BQ$75)*1000)</f>
        <v>3.996687010992428</v>
      </c>
      <c r="CN93" s="43">
        <f t="shared" ref="CN93" si="3205">IF(BR93="","",CN$75+(BR93-BR$75)*1000)</f>
        <v>-1.6602152253426539</v>
      </c>
      <c r="CO93" s="43">
        <f t="shared" ref="CO93" si="3206">IF(BS93="","",CO$75+(BS93-BS$75)*1000)</f>
        <v>5.0788782330499771</v>
      </c>
      <c r="CP93" s="43">
        <f t="shared" ref="CP93" si="3207">IF(BT93="","",CP$75+(BT93-BT$75)*1000)</f>
        <v>-0.16139784775670574</v>
      </c>
      <c r="CQ93" s="43"/>
      <c r="CR93" s="43"/>
      <c r="CS93" s="43"/>
      <c r="CT93" s="43">
        <f t="shared" ref="CT93" si="3208">IF(BX93="","",CT$75+(BX93-BX$75)*1000)</f>
        <v>-15.188759922551753</v>
      </c>
      <c r="CU93" s="43">
        <f t="shared" ref="CU93" si="3209">IF(BY93="","",CU$75+(BY93-BY$75)*1000)</f>
        <v>-2.8566747295458437</v>
      </c>
      <c r="CV93" s="43">
        <f t="shared" ref="CV93" si="3210">IF(BZ93="","",CV$75+(BZ93-BZ$75)*1000)</f>
        <v>-83.859112400779253</v>
      </c>
      <c r="CW93" s="43"/>
      <c r="CX93" s="43"/>
      <c r="CY93" s="43"/>
      <c r="CZ93" s="43">
        <f t="shared" ref="CZ93" si="3211">IF(CD93="","",CZ$75+(CD93-CD$75)*1000)</f>
        <v>1.3146785854871723</v>
      </c>
      <c r="DA93" s="43">
        <f t="shared" ref="DA93" si="3212">IF(CE93="","",DA$75+(CE93-CE$75)*1000)</f>
        <v>-27.521280228423706</v>
      </c>
      <c r="DB93" s="43">
        <f t="shared" ref="DB93" si="3213">IF(CF93="","",DB$75+(CF93-CF$75)*1000)</f>
        <v>-2.045146785875751</v>
      </c>
      <c r="DC93" s="43">
        <f t="shared" ref="DC93" si="3214">IF(CG93="","",DC$75+(CG93-CG$75)*1000)</f>
        <v>13.827614253642651</v>
      </c>
      <c r="DD93" s="43">
        <f t="shared" ref="DD93" si="3215">IF(CH93="","",DD$75+(CH93-CH$75)*1000)</f>
        <v>-23.976688735592777</v>
      </c>
      <c r="DE93" s="43">
        <f t="shared" ref="DE93" si="3216">IF(CI93="","",DE$75+(CI93-CI$75)*1000)</f>
        <v>-31.060276142536367</v>
      </c>
    </row>
    <row r="94" spans="1:114" ht="29.25" customHeight="1" x14ac:dyDescent="0.2">
      <c r="A94" s="37">
        <v>44595</v>
      </c>
      <c r="B94" s="29">
        <f t="shared" si="3021"/>
        <v>937</v>
      </c>
      <c r="C94" s="38">
        <v>222.9</v>
      </c>
      <c r="D94" s="38">
        <v>39</v>
      </c>
      <c r="E94" s="39">
        <v>823233.37809999997</v>
      </c>
      <c r="F94" s="39">
        <v>1091513.5556000001</v>
      </c>
      <c r="G94" s="39">
        <v>-124.5819</v>
      </c>
      <c r="H94" s="39">
        <v>823233.25179999997</v>
      </c>
      <c r="I94" s="39">
        <v>1091513.7581</v>
      </c>
      <c r="J94" s="39">
        <v>-123.4157</v>
      </c>
      <c r="K94" s="39" t="e">
        <v>#N/A</v>
      </c>
      <c r="L94" s="39" t="e">
        <v>#N/A</v>
      </c>
      <c r="M94" s="39" t="e">
        <v>#N/A</v>
      </c>
      <c r="N94" s="39">
        <v>823234.43870000006</v>
      </c>
      <c r="O94" s="39">
        <v>1091511.1100000001</v>
      </c>
      <c r="P94" s="39">
        <v>-121.3263</v>
      </c>
      <c r="Q94" s="39" t="e">
        <v>#N/A</v>
      </c>
      <c r="R94" s="39" t="e">
        <v>#N/A</v>
      </c>
      <c r="S94" s="39" t="e">
        <v>#N/A</v>
      </c>
      <c r="T94" s="39">
        <v>823235.4804</v>
      </c>
      <c r="U94" s="39">
        <v>1091508.9013</v>
      </c>
      <c r="V94" s="39">
        <v>-123.45399999999999</v>
      </c>
      <c r="W94" s="39">
        <v>823235.40800000005</v>
      </c>
      <c r="X94" s="39">
        <v>1091509.0422</v>
      </c>
      <c r="Y94" s="39">
        <v>-124.62560000000001</v>
      </c>
      <c r="Z94" s="39">
        <f t="shared" si="2647"/>
        <v>4.2077028269672088</v>
      </c>
      <c r="AA94" s="39">
        <f t="shared" si="2546"/>
        <v>3.5758576005688147</v>
      </c>
      <c r="AB94" s="39"/>
      <c r="AC94" s="39"/>
      <c r="AD94" s="39">
        <f t="shared" si="2548"/>
        <v>3.2389198616538888</v>
      </c>
      <c r="AE94" s="39">
        <f t="shared" si="2648"/>
        <v>4.0125702262157539</v>
      </c>
      <c r="AF94" s="39"/>
      <c r="AG94" s="39">
        <f t="shared" si="2550"/>
        <v>5.3438404813072591</v>
      </c>
      <c r="AH94" s="39">
        <f t="shared" si="2560"/>
        <v>4.9490588257588346</v>
      </c>
      <c r="AI94" s="43">
        <f t="shared" ref="AI94" si="3217">IF(Z94="","",AI$75+(Z94-Z$75)*1000)</f>
        <v>-77.50145797928721</v>
      </c>
      <c r="AJ94" s="43">
        <f t="shared" ref="AJ94" si="3218">IF(AA94="","",AJ$75+(AA94-AA$75)*1000)</f>
        <v>-62.600259087515212</v>
      </c>
      <c r="AK94" s="43"/>
      <c r="AL94" s="43" t="str">
        <f t="shared" ref="AL94" si="3219">IF(AC94="","",AL$75+(AC94-AC$75)*1000)</f>
        <v/>
      </c>
      <c r="AM94" s="43">
        <f t="shared" ref="AM94" si="3220">IF(AD94="","",AM$75+(AD94-AD$75)*1000)</f>
        <v>-71.427743800440709</v>
      </c>
      <c r="AN94" s="43">
        <f t="shared" ref="AN94" si="3221">IF(AE94="","",AN$75+(AE94-AE$75)*1000)</f>
        <v>-54.910852153780887</v>
      </c>
      <c r="AO94" s="43"/>
      <c r="AP94" s="43">
        <f t="shared" ref="AP94" si="3222">IF(AG94="","",AP$75+(AG94-AG$75)*1000)</f>
        <v>-32.691773759205844</v>
      </c>
      <c r="AQ94" s="43">
        <f t="shared" ref="AQ94" si="3223">IF(AH94="","",AQ$75+(AH94-AH$75)*1000)</f>
        <v>-28.812830536647738</v>
      </c>
      <c r="AR94" s="40"/>
      <c r="AS94" s="43">
        <f t="shared" ref="AS94" si="3224">IF(E94="","",(E94-E$75)*1000+AS$75)</f>
        <v>0.7499998901039362</v>
      </c>
      <c r="AT94" s="43">
        <f t="shared" ref="AT94" si="3225">IF(F94="","",(F94-F$75)*1000+AT$75)</f>
        <v>-3.850000211969018</v>
      </c>
      <c r="AU94" s="43">
        <f t="shared" ref="AU94" si="3226">IF(G94="","",(G94-G$75)*1000+AU$75)</f>
        <v>2.299999999991087</v>
      </c>
      <c r="AV94" s="43">
        <f t="shared" ref="AV94" si="3227">IF(H94="","",(H94-H$75)*1000+AV$75)</f>
        <v>1.3000000035390258</v>
      </c>
      <c r="AW94" s="43">
        <f t="shared" ref="AW94" si="3228">IF(I94="","",(I94-I$75)*1000+AW$75)</f>
        <v>-4.2500002309679985</v>
      </c>
      <c r="AX94" s="43">
        <f t="shared" ref="AX94" si="3229">IF(J94="","",(J94-J$75)*1000+AX$75)</f>
        <v>-1.7500000000012506</v>
      </c>
      <c r="AY94" s="43" t="e">
        <f t="shared" ref="AY94" si="3230">IF(K94="","",(K94-K$10)*1000)</f>
        <v>#N/A</v>
      </c>
      <c r="AZ94" s="43" t="e">
        <f t="shared" ref="AZ94" si="3231">IF(L94="","",(L94-L$10)*1000)</f>
        <v>#N/A</v>
      </c>
      <c r="BA94" s="43" t="e">
        <f t="shared" ref="BA94" si="3232">IF(M94="","",(M94-M$10)*1000)</f>
        <v>#N/A</v>
      </c>
      <c r="BB94" s="43">
        <f t="shared" ref="BB94" si="3233">IF(N94="","",(N94-N$75)*1000+BB$75)</f>
        <v>-14.299999922513962</v>
      </c>
      <c r="BC94" s="43">
        <f t="shared" ref="BC94" si="3234">IF(O94="","",(O94-O$75)*1000+BC$75)</f>
        <v>-2.7999996673315763</v>
      </c>
      <c r="BD94" s="43">
        <f t="shared" ref="BD94" si="3235">IF(P94="","",(P94-P$75)*1000+BD$75)</f>
        <v>-85.650000000001114</v>
      </c>
      <c r="BE94" s="43" t="e">
        <f t="shared" ref="BE94" si="3236">IF(Q94="","",(Q94-Q$73)*1000+BE$73)</f>
        <v>#N/A</v>
      </c>
      <c r="BF94" s="43" t="e">
        <f t="shared" ref="BF94" si="3237">IF(R94="","",(R94-R$73)*1000+BF$73)</f>
        <v>#N/A</v>
      </c>
      <c r="BG94" s="43" t="e">
        <f t="shared" ref="BG94" si="3238">IF(S94="","",(S94-S$73)*1000+BG$73)</f>
        <v>#N/A</v>
      </c>
      <c r="BH94" s="43">
        <f t="shared" ref="BH94" si="3239">IF(T94="","",(T94-T$75)*1000+BH$75)</f>
        <v>-10.199999902397394</v>
      </c>
      <c r="BI94" s="43">
        <f t="shared" ref="BI94" si="3240">IF(U94="","",(U94-U$75)*1000+BI$75)</f>
        <v>26.750000193715096</v>
      </c>
      <c r="BJ94" s="43">
        <f t="shared" ref="BJ94" si="3241">IF(V94="","",(V94-V$75)*1000+BJ$75)</f>
        <v>-3.9999999999764668</v>
      </c>
      <c r="BK94" s="43">
        <f t="shared" ref="BK94" si="3242">IF(W94="","",(W94-W$75)*1000+BK$75)</f>
        <v>2.3000000510364771</v>
      </c>
      <c r="BL94" s="43">
        <f t="shared" ref="BL94" si="3243">IF(X94="","",(X94-X$75)*1000+BL$75)</f>
        <v>29.050000011920929</v>
      </c>
      <c r="BM94" s="43">
        <f t="shared" ref="BM94" si="3244">IF(Y94="","",(Y94-Y$75)*1000+BM$75)</f>
        <v>-32.399999999995543</v>
      </c>
      <c r="BN94" s="40"/>
      <c r="BO94" s="39">
        <v>183.96878167831451</v>
      </c>
      <c r="BP94" s="39">
        <v>-2.4273021390478764</v>
      </c>
      <c r="BQ94" s="39">
        <v>-0.87870781678314813</v>
      </c>
      <c r="BR94" s="39">
        <v>183.93990402450299</v>
      </c>
      <c r="BS94" s="39">
        <v>-2.6642072277854214</v>
      </c>
      <c r="BT94" s="39">
        <v>0.28778095975496853</v>
      </c>
      <c r="BU94" s="41" t="e">
        <v>#VALUE!</v>
      </c>
      <c r="BV94" s="42" t="s">
        <v>61</v>
      </c>
      <c r="BW94" s="42" t="s">
        <v>61</v>
      </c>
      <c r="BX94" s="41">
        <v>183.89635726985648</v>
      </c>
      <c r="BY94" s="42">
        <v>0.23739041828916491</v>
      </c>
      <c r="BZ94" s="42">
        <v>2.3776164273014331</v>
      </c>
      <c r="CA94" s="41" t="e">
        <v>#VALUE!</v>
      </c>
      <c r="CB94" s="42" t="s">
        <v>61</v>
      </c>
      <c r="CC94" s="42" t="s">
        <v>61</v>
      </c>
      <c r="CD94" s="41">
        <v>183.90693020269075</v>
      </c>
      <c r="CE94" s="42">
        <v>2.6793942662196466</v>
      </c>
      <c r="CF94" s="42">
        <v>0.24981069797308919</v>
      </c>
      <c r="CG94" s="41">
        <v>183.90086632660169</v>
      </c>
      <c r="CH94" s="42">
        <v>2.5210977109868042</v>
      </c>
      <c r="CI94" s="42">
        <v>-0.92172866326602332</v>
      </c>
      <c r="CJ94" s="40"/>
      <c r="CK94" s="43">
        <f t="shared" ref="CK94" si="3245">IF(BO94="","",CK$75+(BO94-BO$75)*1000)</f>
        <v>-1.291586285503854</v>
      </c>
      <c r="CL94" s="43">
        <f t="shared" ref="CL94" si="3246">IF(BP94="","",CL$75+(BP94-BP$75)*1000)</f>
        <v>4.1320125231756322</v>
      </c>
      <c r="CM94" s="43">
        <f t="shared" ref="CM94" si="3247">IF(BQ94="","",CM$75+(BQ94-BQ$75)*1000)</f>
        <v>2.2919158628513792</v>
      </c>
      <c r="CN94" s="43">
        <f t="shared" ref="CN94" si="3248">IF(BR94="","",CN$75+(BR94-BR$75)*1000)</f>
        <v>-0.65152286694569739</v>
      </c>
      <c r="CO94" s="43">
        <f t="shared" ref="CO94" si="3249">IF(BS94="","",CO$75+(BS94-BS$75)*1000)</f>
        <v>4.335548153271862</v>
      </c>
      <c r="CP94" s="43">
        <f t="shared" ref="CP94" si="3250">IF(BT94="","",CP$75+(BT94-BT$75)*1000)</f>
        <v>-1.77148477133382</v>
      </c>
      <c r="CQ94" s="43"/>
      <c r="CR94" s="43"/>
      <c r="CS94" s="43"/>
      <c r="CT94" s="43">
        <f t="shared" ref="CT94" si="3251">IF(BX94="","",CT$75+(BX94-BX$75)*1000)</f>
        <v>-14.047172969043231</v>
      </c>
      <c r="CU94" s="43">
        <f t="shared" ref="CU94" si="3252">IF(BY94="","",CU$75+(BY94-BY$75)*1000)</f>
        <v>-3.6483687944673102</v>
      </c>
      <c r="CV94" s="43">
        <f t="shared" ref="CV94" si="3253">IF(BZ94="","",CV$75+(BZ94-BZ$75)*1000)</f>
        <v>-85.470528270312315</v>
      </c>
      <c r="CW94" s="43"/>
      <c r="CX94" s="43"/>
      <c r="CY94" s="43"/>
      <c r="CZ94" s="43">
        <f t="shared" ref="CZ94" si="3254">IF(CD94="","",CZ$75+(CD94-CD$75)*1000)</f>
        <v>2.0453846677241927</v>
      </c>
      <c r="DA94" s="43">
        <f t="shared" ref="DA94" si="3255">IF(CE94="","",DA$75+(CE94-CE$75)*1000)</f>
        <v>-28.614929595022875</v>
      </c>
      <c r="DB94" s="43">
        <f t="shared" ref="DB94" si="3256">IF(CF94="","",DB$75+(CF94-CF$75)*1000)</f>
        <v>-3.9524538466944037</v>
      </c>
      <c r="DC94" s="43">
        <f t="shared" ref="DC94" si="3257">IF(CG94="","",DC$75+(CG94-CG$75)*1000)</f>
        <v>14.286432760997059</v>
      </c>
      <c r="DD94" s="43">
        <f t="shared" ref="DD94" si="3258">IF(CH94="","",DD$75+(CH94-CH$75)*1000)</f>
        <v>-25.197133686644335</v>
      </c>
      <c r="DE94" s="43">
        <f t="shared" ref="DE94" si="3259">IF(CI94="","",DE$75+(CI94-CI$75)*1000)</f>
        <v>-32.564864327621621</v>
      </c>
    </row>
    <row r="95" spans="1:114" ht="29.25" customHeight="1" x14ac:dyDescent="0.2">
      <c r="A95" s="37">
        <v>44613</v>
      </c>
      <c r="B95" s="29">
        <f t="shared" si="3021"/>
        <v>955</v>
      </c>
      <c r="C95" s="38">
        <v>222.9</v>
      </c>
      <c r="D95" s="38">
        <v>39</v>
      </c>
      <c r="E95" s="39">
        <v>823233.3763</v>
      </c>
      <c r="F95" s="39">
        <v>1091513.5551</v>
      </c>
      <c r="G95" s="39">
        <v>-124.58069999999999</v>
      </c>
      <c r="H95" s="39">
        <v>823233.25</v>
      </c>
      <c r="I95" s="39">
        <v>1091513.7575000001</v>
      </c>
      <c r="J95" s="39">
        <v>-123.41459999999999</v>
      </c>
      <c r="K95" s="39" t="e">
        <v>#N/A</v>
      </c>
      <c r="L95" s="39" t="e">
        <v>#N/A</v>
      </c>
      <c r="M95" s="39" t="e">
        <v>#N/A</v>
      </c>
      <c r="N95" s="39">
        <v>823234.43669999996</v>
      </c>
      <c r="O95" s="39">
        <v>1091511.1095</v>
      </c>
      <c r="P95" s="39">
        <v>-121.32559999999999</v>
      </c>
      <c r="Q95" s="39" t="e">
        <v>#N/A</v>
      </c>
      <c r="R95" s="39" t="e">
        <v>#N/A</v>
      </c>
      <c r="S95" s="39" t="e">
        <v>#N/A</v>
      </c>
      <c r="T95" s="39">
        <v>823235.47829999996</v>
      </c>
      <c r="U95" s="39">
        <v>1091508.9010000001</v>
      </c>
      <c r="V95" s="39">
        <v>-123.4528</v>
      </c>
      <c r="W95" s="39">
        <v>823235.40560000006</v>
      </c>
      <c r="X95" s="39">
        <v>1091509.0421</v>
      </c>
      <c r="Y95" s="39">
        <v>-124.62430000000001</v>
      </c>
      <c r="Z95" s="39">
        <f t="shared" si="2647"/>
        <v>4.2072655644492833</v>
      </c>
      <c r="AA95" s="39">
        <f t="shared" si="2546"/>
        <v>3.5754834484509308</v>
      </c>
      <c r="AB95" s="39"/>
      <c r="AC95" s="39"/>
      <c r="AD95" s="39">
        <f t="shared" si="2548"/>
        <v>3.2384228645702331</v>
      </c>
      <c r="AE95" s="39">
        <f t="shared" si="2648"/>
        <v>4.0117741287893267</v>
      </c>
      <c r="AF95" s="39"/>
      <c r="AG95" s="39">
        <f t="shared" si="2550"/>
        <v>5.3434419974172327</v>
      </c>
      <c r="AH95" s="39">
        <f t="shared" si="2560"/>
        <v>4.9484470746421172</v>
      </c>
      <c r="AI95" s="43">
        <f t="shared" ref="AI95" si="3260">IF(Z95="","",AI$75+(Z95-Z$75)*1000)</f>
        <v>-77.938720497212628</v>
      </c>
      <c r="AJ95" s="43">
        <f t="shared" ref="AJ95" si="3261">IF(AA95="","",AJ$75+(AA95-AA$75)*1000)</f>
        <v>-62.97441120539915</v>
      </c>
      <c r="AK95" s="43"/>
      <c r="AL95" s="43" t="str">
        <f t="shared" ref="AL95" si="3262">IF(AC95="","",AL$75+(AC95-AC$75)*1000)</f>
        <v/>
      </c>
      <c r="AM95" s="43">
        <f t="shared" ref="AM95" si="3263">IF(AD95="","",AM$75+(AD95-AD$75)*1000)</f>
        <v>-71.924740884096394</v>
      </c>
      <c r="AN95" s="43">
        <f t="shared" ref="AN95" si="3264">IF(AE95="","",AN$75+(AE95-AE$75)*1000)</f>
        <v>-55.706949580208054</v>
      </c>
      <c r="AO95" s="43"/>
      <c r="AP95" s="43">
        <f t="shared" ref="AP95" si="3265">IF(AG95="","",AP$75+(AG95-AG$75)*1000)</f>
        <v>-33.090257649232235</v>
      </c>
      <c r="AQ95" s="43">
        <f t="shared" ref="AQ95" si="3266">IF(AH95="","",AQ$75+(AH95-AH$75)*1000)</f>
        <v>-29.424581653365145</v>
      </c>
      <c r="AR95" s="40"/>
      <c r="AS95" s="43">
        <f t="shared" ref="AS95" si="3267">IF(E95="","",(E95-E$75)*1000+AS$75)</f>
        <v>-1.0500000789761543</v>
      </c>
      <c r="AT95" s="43">
        <f t="shared" ref="AT95" si="3268">IF(F95="","",(F95-F$75)*1000+AT$75)</f>
        <v>-4.3500002939254045</v>
      </c>
      <c r="AU95" s="43">
        <f t="shared" ref="AU95" si="3269">IF(G95="","",(G95-G$75)*1000+AU$75)</f>
        <v>3.5000000000025011</v>
      </c>
      <c r="AV95" s="43">
        <f t="shared" ref="AV95" si="3270">IF(H95="","",(H95-H$75)*1000+AV$75)</f>
        <v>-0.49999996554106474</v>
      </c>
      <c r="AW95" s="43">
        <f t="shared" ref="AW95" si="3271">IF(I95="","",(I95-I$75)*1000+AW$75)</f>
        <v>-4.8500001430511475</v>
      </c>
      <c r="AX95" s="43">
        <f t="shared" ref="AX95" si="3272">IF(J95="","",(J95-J$75)*1000+AX$75)</f>
        <v>-0.64999999999315605</v>
      </c>
      <c r="AY95" s="43" t="e">
        <f t="shared" ref="AY95" si="3273">IF(K95="","",(K95-K$10)*1000)</f>
        <v>#N/A</v>
      </c>
      <c r="AZ95" s="43" t="e">
        <f t="shared" ref="AZ95" si="3274">IF(L95="","",(L95-L$10)*1000)</f>
        <v>#N/A</v>
      </c>
      <c r="BA95" s="43" t="e">
        <f t="shared" ref="BA95" si="3275">IF(M95="","",(M95-M$10)*1000)</f>
        <v>#N/A</v>
      </c>
      <c r="BB95" s="43">
        <f t="shared" ref="BB95" si="3276">IF(N95="","",(N95-N$75)*1000+BB$75)</f>
        <v>-16.300000017508864</v>
      </c>
      <c r="BC95" s="43">
        <f t="shared" ref="BC95" si="3277">IF(O95="","",(O95-O$75)*1000+BC$75)</f>
        <v>-3.2999997492879629</v>
      </c>
      <c r="BD95" s="43">
        <f t="shared" ref="BD95" si="3278">IF(P95="","",(P95-P$75)*1000+BD$75)</f>
        <v>-84.949999999992087</v>
      </c>
      <c r="BE95" s="43" t="e">
        <f t="shared" ref="BE95" si="3279">IF(Q95="","",(Q95-Q$73)*1000+BE$73)</f>
        <v>#N/A</v>
      </c>
      <c r="BF95" s="43" t="e">
        <f t="shared" ref="BF95" si="3280">IF(R95="","",(R95-R$73)*1000+BF$73)</f>
        <v>#N/A</v>
      </c>
      <c r="BG95" s="43" t="e">
        <f t="shared" ref="BG95" si="3281">IF(S95="","",(S95-S$73)*1000+BG$73)</f>
        <v>#N/A</v>
      </c>
      <c r="BH95" s="43">
        <f t="shared" ref="BH95" si="3282">IF(T95="","",(T95-T$75)*1000+BH$75)</f>
        <v>-12.299999943934381</v>
      </c>
      <c r="BI95" s="43">
        <f t="shared" ref="BI95" si="3283">IF(U95="","",(U95-U$75)*1000+BI$75)</f>
        <v>26.450000237673521</v>
      </c>
      <c r="BJ95" s="43">
        <f t="shared" ref="BJ95" si="3284">IF(V95="","",(V95-V$75)*1000+BJ$75)</f>
        <v>-2.7999999999792635</v>
      </c>
      <c r="BK95" s="43">
        <f t="shared" ref="BK95" si="3285">IF(W95="","",(W95-W$75)*1000+BK$75)</f>
        <v>-9.9999946542084217E-2</v>
      </c>
      <c r="BL95" s="43">
        <f t="shared" ref="BL95" si="3286">IF(X95="","",(X95-X$75)*1000+BL$75)</f>
        <v>28.949999948963523</v>
      </c>
      <c r="BM95" s="43">
        <f t="shared" ref="BM95" si="3287">IF(Y95="","",(Y95-Y$75)*1000+BM$75)</f>
        <v>-31.099999999995021</v>
      </c>
      <c r="BN95" s="40"/>
      <c r="BO95" s="39">
        <v>183.96693902661437</v>
      </c>
      <c r="BP95" s="39">
        <v>-2.4276097665540752</v>
      </c>
      <c r="BQ95" s="39">
        <v>-0.87748939026613471</v>
      </c>
      <c r="BR95" s="39">
        <v>183.93801910767365</v>
      </c>
      <c r="BS95" s="39">
        <v>-2.6644242262406963</v>
      </c>
      <c r="BT95" s="39">
        <v>0.2888998089232615</v>
      </c>
      <c r="BU95" s="41" t="e">
        <v>#VALUE!</v>
      </c>
      <c r="BV95" s="42" t="s">
        <v>61</v>
      </c>
      <c r="BW95" s="42" t="s">
        <v>61</v>
      </c>
      <c r="BX95" s="41">
        <v>183.89433335963236</v>
      </c>
      <c r="BY95" s="42">
        <v>0.23699826032770044</v>
      </c>
      <c r="BZ95" s="42">
        <v>2.3783366664036834</v>
      </c>
      <c r="CA95" s="41" t="e">
        <v>#VALUE!</v>
      </c>
      <c r="CB95" s="42" t="s">
        <v>61</v>
      </c>
      <c r="CC95" s="42" t="s">
        <v>61</v>
      </c>
      <c r="CD95" s="41">
        <v>183.90490019376543</v>
      </c>
      <c r="CE95" s="42">
        <v>2.6787785845558196</v>
      </c>
      <c r="CF95" s="42">
        <v>0.25103099806234752</v>
      </c>
      <c r="CG95" s="41">
        <v>183.89864896045827</v>
      </c>
      <c r="CH95" s="42">
        <v>2.5201739754255912</v>
      </c>
      <c r="CI95" s="42">
        <v>-0.92040648960458782</v>
      </c>
      <c r="CJ95" s="40"/>
      <c r="CK95" s="43">
        <f t="shared" ref="CK95" si="3288">IF(BO95="","",CK$75+(BO95-BO$75)*1000)</f>
        <v>-3.1342379856482694</v>
      </c>
      <c r="CL95" s="43">
        <f t="shared" ref="CL95" si="3289">IF(BP95="","",CL$75+(BP95-BP$75)*1000)</f>
        <v>3.8243850169767946</v>
      </c>
      <c r="CM95" s="43">
        <f t="shared" ref="CM95" si="3290">IF(BQ95="","",CM$75+(BQ95-BQ$75)*1000)</f>
        <v>3.5103423798648059</v>
      </c>
      <c r="CN95" s="43">
        <f t="shared" ref="CN95" si="3291">IF(BR95="","",CN$75+(BR95-BR$75)*1000)</f>
        <v>-2.5364396962856972</v>
      </c>
      <c r="CO95" s="43">
        <f t="shared" ref="CO95" si="3292">IF(BS95="","",CO$75+(BS95-BS$75)*1000)</f>
        <v>4.1185496979969649</v>
      </c>
      <c r="CP95" s="43">
        <f t="shared" ref="CP95" si="3293">IF(BT95="","",CP$75+(BT95-BT$75)*1000)</f>
        <v>-0.652635603040852</v>
      </c>
      <c r="CQ95" s="43"/>
      <c r="CR95" s="43"/>
      <c r="CS95" s="43"/>
      <c r="CT95" s="43">
        <f t="shared" ref="CT95" si="3294">IF(BX95="","",CT$75+(BX95-BX$75)*1000)</f>
        <v>-16.071083193168079</v>
      </c>
      <c r="CU95" s="43">
        <f t="shared" ref="CU95" si="3295">IF(BY95="","",CU$75+(BY95-BY$75)*1000)</f>
        <v>-4.0405267559317775</v>
      </c>
      <c r="CV95" s="43">
        <f t="shared" ref="CV95" si="3296">IF(BZ95="","",CV$75+(BZ95-BZ$75)*1000)</f>
        <v>-84.750289168062039</v>
      </c>
      <c r="CW95" s="43"/>
      <c r="CX95" s="43"/>
      <c r="CY95" s="43"/>
      <c r="CZ95" s="43">
        <f t="shared" ref="CZ95" si="3297">IF(CD95="","",CZ$75+(CD95-CD$75)*1000)</f>
        <v>1.5375742407286452E-2</v>
      </c>
      <c r="DA95" s="43">
        <f t="shared" ref="DA95" si="3298">IF(CE95="","",DA$75+(CE95-CE$75)*1000)</f>
        <v>-29.230611258849848</v>
      </c>
      <c r="DB95" s="43">
        <f t="shared" ref="DB95" si="3299">IF(CF95="","",DB$75+(CF95-CF$75)*1000)</f>
        <v>-2.7321537574360732</v>
      </c>
      <c r="DC95" s="43">
        <f t="shared" ref="DC95" si="3300">IF(CG95="","",DC$75+(CG95-CG$75)*1000)</f>
        <v>12.069066617584667</v>
      </c>
      <c r="DD95" s="43">
        <f t="shared" ref="DD95" si="3301">IF(CH95="","",DD$75+(CH95-CH$75)*1000)</f>
        <v>-26.120869247857392</v>
      </c>
      <c r="DE95" s="43">
        <f t="shared" ref="DE95" si="3302">IF(CI95="","",DE$75+(CI95-CI$75)*1000)</f>
        <v>-31.242690666186121</v>
      </c>
    </row>
    <row r="96" spans="1:114" ht="29.25" customHeight="1" x14ac:dyDescent="0.2">
      <c r="A96" s="37">
        <v>44648</v>
      </c>
      <c r="B96" s="29">
        <f t="shared" ref="B96" si="3303">IF(A96="","",A96-excav)</f>
        <v>990</v>
      </c>
      <c r="C96" s="38">
        <v>222.9</v>
      </c>
      <c r="D96" s="38">
        <v>39</v>
      </c>
      <c r="E96" s="39">
        <v>823233.37699999998</v>
      </c>
      <c r="F96" s="39">
        <v>1091513.5555</v>
      </c>
      <c r="G96" s="39">
        <v>-124.5809</v>
      </c>
      <c r="H96" s="39">
        <v>823233.25020000001</v>
      </c>
      <c r="I96" s="39">
        <v>1091513.7575000001</v>
      </c>
      <c r="J96" s="39">
        <v>-123.41500000000001</v>
      </c>
      <c r="K96" s="39" t="e">
        <v>#N/A</v>
      </c>
      <c r="L96" s="39" t="e">
        <v>#N/A</v>
      </c>
      <c r="M96" s="39" t="e">
        <v>#N/A</v>
      </c>
      <c r="N96" s="39">
        <v>823234.43720000004</v>
      </c>
      <c r="O96" s="39">
        <v>1091511.1099</v>
      </c>
      <c r="P96" s="39">
        <v>-121.32599999999999</v>
      </c>
      <c r="Q96" s="39" t="e">
        <v>#N/A</v>
      </c>
      <c r="R96" s="39" t="e">
        <v>#N/A</v>
      </c>
      <c r="S96" s="39" t="e">
        <v>#N/A</v>
      </c>
      <c r="T96" s="39">
        <v>823235.47840000002</v>
      </c>
      <c r="U96" s="39">
        <v>1091508.9014999999</v>
      </c>
      <c r="V96" s="39">
        <v>-123.45310000000001</v>
      </c>
      <c r="W96" s="39">
        <v>823235.40610000002</v>
      </c>
      <c r="X96" s="39">
        <v>1091509.0425</v>
      </c>
      <c r="Y96" s="39">
        <v>-124.6247</v>
      </c>
      <c r="Z96" s="39">
        <f t="shared" si="2647"/>
        <v>4.2070604238621918</v>
      </c>
      <c r="AA96" s="39">
        <f t="shared" si="2546"/>
        <v>3.5752868081061648</v>
      </c>
      <c r="AB96" s="39"/>
      <c r="AC96" s="39"/>
      <c r="AD96" s="39">
        <f t="shared" si="2548"/>
        <v>3.2381603435410771</v>
      </c>
      <c r="AE96" s="39">
        <f t="shared" si="2648"/>
        <v>4.0117741287612114</v>
      </c>
      <c r="AF96" s="39"/>
      <c r="AG96" s="39">
        <f t="shared" si="2550"/>
        <v>5.3429451477126175</v>
      </c>
      <c r="AH96" s="39">
        <f t="shared" si="2560"/>
        <v>4.9483668265899157</v>
      </c>
      <c r="AI96" s="43">
        <f t="shared" ref="AI96" si="3304">IF(Z96="","",AI$75+(Z96-Z$75)*1000)</f>
        <v>-78.143861084304163</v>
      </c>
      <c r="AJ96" s="43">
        <f t="shared" ref="AJ96" si="3305">IF(AA96="","",AJ$75+(AA96-AA$75)*1000)</f>
        <v>-63.171051550165117</v>
      </c>
      <c r="AK96" s="43"/>
      <c r="AL96" s="43" t="str">
        <f t="shared" ref="AL96" si="3306">IF(AC96="","",AL$75+(AC96-AC$75)*1000)</f>
        <v/>
      </c>
      <c r="AM96" s="43">
        <f t="shared" ref="AM96" si="3307">IF(AD96="","",AM$75+(AD96-AD$75)*1000)</f>
        <v>-72.187261913252428</v>
      </c>
      <c r="AN96" s="43">
        <f t="shared" ref="AN96" si="3308">IF(AE96="","",AN$75+(AE96-AE$75)*1000)</f>
        <v>-55.706949608323342</v>
      </c>
      <c r="AO96" s="43"/>
      <c r="AP96" s="43">
        <f t="shared" ref="AP96" si="3309">IF(AG96="","",AP$75+(AG96-AG$75)*1000)</f>
        <v>-33.587107353847401</v>
      </c>
      <c r="AQ96" s="43">
        <f t="shared" ref="AQ96" si="3310">IF(AH96="","",AQ$75+(AH96-AH$75)*1000)</f>
        <v>-29.504829705566671</v>
      </c>
      <c r="AR96" s="40"/>
      <c r="AS96" s="43">
        <f t="shared" ref="AS96" si="3311">IF(E96="","",(E96-E$75)*1000+AS$75)</f>
        <v>-0.35000010393559933</v>
      </c>
      <c r="AT96" s="43">
        <f t="shared" ref="AT96" si="3312">IF(F96="","",(F96-F$75)*1000+AT$75)</f>
        <v>-3.950000274926424</v>
      </c>
      <c r="AU96" s="43">
        <f t="shared" ref="AU96" si="3313">IF(G96="","",(G96-G$75)*1000+AU$75)</f>
        <v>3.2999999999958618</v>
      </c>
      <c r="AV96" s="43">
        <f t="shared" ref="AV96" si="3314">IF(H96="","",(H96-H$75)*1000+AV$75)</f>
        <v>-0.29999995604157448</v>
      </c>
      <c r="AW96" s="43">
        <f t="shared" ref="AW96" si="3315">IF(I96="","",(I96-I$75)*1000+AW$75)</f>
        <v>-4.8500001430511475</v>
      </c>
      <c r="AX96" s="43">
        <f t="shared" ref="AX96" si="3316">IF(J96="","",(J96-J$75)*1000+AX$75)</f>
        <v>-1.0500000000064347</v>
      </c>
      <c r="AY96" s="43" t="e">
        <f t="shared" ref="AY96" si="3317">IF(K96="","",(K96-K$10)*1000)</f>
        <v>#N/A</v>
      </c>
      <c r="AZ96" s="43" t="e">
        <f t="shared" ref="AZ96" si="3318">IF(L96="","",(L96-L$10)*1000)</f>
        <v>#N/A</v>
      </c>
      <c r="BA96" s="43" t="e">
        <f t="shared" ref="BA96" si="3319">IF(M96="","",(M96-M$10)*1000)</f>
        <v>#N/A</v>
      </c>
      <c r="BB96" s="43">
        <f t="shared" ref="BB96" si="3320">IF(N96="","",(N96-N$75)*1000+BB$75)</f>
        <v>-15.799999935552478</v>
      </c>
      <c r="BC96" s="43">
        <f t="shared" ref="BC96" si="3321">IF(O96="","",(O96-O$75)*1000+BC$75)</f>
        <v>-2.8999997302889824</v>
      </c>
      <c r="BD96" s="43">
        <f t="shared" ref="BD96" si="3322">IF(P96="","",(P96-P$75)*1000+BD$75)</f>
        <v>-85.349999999991155</v>
      </c>
      <c r="BE96" s="43" t="e">
        <f t="shared" ref="BE96" si="3323">IF(Q96="","",(Q96-Q$73)*1000+BE$73)</f>
        <v>#N/A</v>
      </c>
      <c r="BF96" s="43" t="e">
        <f t="shared" ref="BF96" si="3324">IF(R96="","",(R96-R$73)*1000+BF$73)</f>
        <v>#N/A</v>
      </c>
      <c r="BG96" s="43" t="e">
        <f t="shared" ref="BG96" si="3325">IF(S96="","",(S96-S$73)*1000+BG$73)</f>
        <v>#N/A</v>
      </c>
      <c r="BH96" s="43">
        <f t="shared" ref="BH96" si="3326">IF(T96="","",(T96-T$75)*1000+BH$75)</f>
        <v>-12.199999880976975</v>
      </c>
      <c r="BI96" s="43">
        <f t="shared" ref="BI96" si="3327">IF(U96="","",(U96-U$75)*1000+BI$75)</f>
        <v>26.950000086799264</v>
      </c>
      <c r="BJ96" s="43">
        <f t="shared" ref="BJ96" si="3328">IF(V96="","",(V96-V$75)*1000+BJ$75)</f>
        <v>-3.0999999999892225</v>
      </c>
      <c r="BK96" s="43">
        <f t="shared" ref="BK96" si="3329">IF(W96="","",(W96-W$75)*1000+BK$75)</f>
        <v>0.40000001899898052</v>
      </c>
      <c r="BL96" s="43">
        <f t="shared" ref="BL96" si="3330">IF(X96="","",(X96-X$75)*1000+BL$75)</f>
        <v>29.349999967962503</v>
      </c>
      <c r="BM96" s="43">
        <f t="shared" ref="BM96" si="3331">IF(Y96="","",(Y96-Y$75)*1000+BM$75)</f>
        <v>-31.499999999994088</v>
      </c>
      <c r="BN96" s="40"/>
      <c r="BO96" s="39">
        <v>183.96774249183818</v>
      </c>
      <c r="BP96" s="39">
        <v>-2.427676426994454</v>
      </c>
      <c r="BQ96" s="39">
        <v>-0.87769742491838088</v>
      </c>
      <c r="BR96" s="39">
        <v>183.93820036609208</v>
      </c>
      <c r="BS96" s="39">
        <v>-2.6643396958346477</v>
      </c>
      <c r="BT96" s="39">
        <v>0.2884979963390748</v>
      </c>
      <c r="BU96" s="41" t="e">
        <v>#VALUE!</v>
      </c>
      <c r="BV96" s="42" t="s">
        <v>61</v>
      </c>
      <c r="BW96" s="42" t="s">
        <v>61</v>
      </c>
      <c r="BX96" s="41">
        <v>183.8949555665433</v>
      </c>
      <c r="BY96" s="42">
        <v>0.23684706953047305</v>
      </c>
      <c r="BZ96" s="42">
        <v>2.3779304443345666</v>
      </c>
      <c r="CA96" s="41" t="e">
        <v>#VALUE!</v>
      </c>
      <c r="CB96" s="42" t="s">
        <v>61</v>
      </c>
      <c r="CC96" s="42" t="s">
        <v>61</v>
      </c>
      <c r="CD96" s="41">
        <v>183.9052021489687</v>
      </c>
      <c r="CE96" s="42">
        <v>2.6783677038956171</v>
      </c>
      <c r="CF96" s="42">
        <v>0.25072797851029804</v>
      </c>
      <c r="CG96" s="41">
        <v>183.89927116726369</v>
      </c>
      <c r="CH96" s="42">
        <v>2.520022784579214</v>
      </c>
      <c r="CI96" s="42">
        <v>-0.92081271167263878</v>
      </c>
      <c r="CJ96" s="40"/>
      <c r="CK96" s="43">
        <f t="shared" ref="CK96" si="3332">IF(BO96="","",CK$75+(BO96-BO$75)*1000)</f>
        <v>-2.3307727618373519</v>
      </c>
      <c r="CL96" s="43">
        <f t="shared" ref="CL96" si="3333">IF(BP96="","",CL$75+(BP96-BP$75)*1000)</f>
        <v>3.7577245765980649</v>
      </c>
      <c r="CM96" s="43">
        <f t="shared" ref="CM96" si="3334">IF(BQ96="","",CM$75+(BQ96-BQ$75)*1000)</f>
        <v>3.3023077276186363</v>
      </c>
      <c r="CN96" s="43">
        <f t="shared" ref="CN96" si="3335">IF(BR96="","",CN$75+(BR96-BR$75)*1000)</f>
        <v>-2.355181277863494</v>
      </c>
      <c r="CO96" s="43">
        <f t="shared" ref="CO96" si="3336">IF(BS96="","",CO$75+(BS96-BS$75)*1000)</f>
        <v>4.2030801040455756</v>
      </c>
      <c r="CP96" s="43">
        <f t="shared" ref="CP96" si="3337">IF(BT96="","",CP$75+(BT96-BT$75)*1000)</f>
        <v>-1.0544481872275524</v>
      </c>
      <c r="CQ96" s="43"/>
      <c r="CR96" s="43"/>
      <c r="CS96" s="43"/>
      <c r="CT96" s="43">
        <f t="shared" ref="CT96" si="3338">IF(BX96="","",CT$75+(BX96-BX$75)*1000)</f>
        <v>-15.448876282221136</v>
      </c>
      <c r="CU96" s="43">
        <f t="shared" ref="CU96" si="3339">IF(BY96="","",CU$75+(BY96-BY$75)*1000)</f>
        <v>-4.1917175531591688</v>
      </c>
      <c r="CV96" s="43">
        <f t="shared" ref="CV96" si="3340">IF(BZ96="","",CV$75+(BZ96-BZ$75)*1000)</f>
        <v>-85.156511237178819</v>
      </c>
      <c r="CW96" s="43"/>
      <c r="CX96" s="43"/>
      <c r="CY96" s="43"/>
      <c r="CZ96" s="43">
        <f t="shared" ref="CZ96" si="3341">IF(CD96="","",CZ$75+(CD96-CD$75)*1000)</f>
        <v>0.31733094567698572</v>
      </c>
      <c r="DA96" s="43">
        <f t="shared" ref="DA96" si="3342">IF(CE96="","",DA$75+(CE96-CE$75)*1000)</f>
        <v>-29.64149191905241</v>
      </c>
      <c r="DB96" s="43">
        <f t="shared" ref="DB96" si="3343">IF(CF96="","",DB$75+(CF96-CF$75)*1000)</f>
        <v>-3.0351733094855504</v>
      </c>
      <c r="DC96" s="43">
        <f t="shared" ref="DC96" si="3344">IF(CG96="","",DC$75+(CG96-CG$75)*1000)</f>
        <v>12.691273423001803</v>
      </c>
      <c r="DD96" s="43">
        <f t="shared" ref="DD96" si="3345">IF(CH96="","",DD$75+(CH96-CH$75)*1000)</f>
        <v>-26.272060094234551</v>
      </c>
      <c r="DE96" s="43">
        <f t="shared" ref="DE96" si="3346">IF(CI96="","",DE$75+(CI96-CI$75)*1000)</f>
        <v>-31.648912734237086</v>
      </c>
    </row>
    <row r="97" spans="1:109" ht="29.25" customHeight="1" x14ac:dyDescent="0.2">
      <c r="A97" s="37">
        <v>44678</v>
      </c>
      <c r="B97" s="29">
        <f t="shared" ref="B97" si="3347">IF(A97="","",A97-excav)</f>
        <v>1020</v>
      </c>
      <c r="C97" s="38">
        <v>222.9</v>
      </c>
      <c r="D97" s="38">
        <v>39</v>
      </c>
      <c r="E97" s="39">
        <v>823233.37639999995</v>
      </c>
      <c r="F97" s="39">
        <v>1091513.5555</v>
      </c>
      <c r="G97" s="39">
        <v>-124.5806</v>
      </c>
      <c r="H97" s="39">
        <v>823233.24959999998</v>
      </c>
      <c r="I97" s="39">
        <v>1091513.7574</v>
      </c>
      <c r="J97" s="39">
        <v>-123.4147</v>
      </c>
      <c r="K97" s="39" t="e">
        <v>#N/A</v>
      </c>
      <c r="L97" s="39" t="e">
        <v>#N/A</v>
      </c>
      <c r="M97" s="39" t="e">
        <v>#N/A</v>
      </c>
      <c r="N97" s="39">
        <v>823234.4362</v>
      </c>
      <c r="O97" s="39">
        <v>1091511.1100000001</v>
      </c>
      <c r="P97" s="39">
        <v>-121.32599999999999</v>
      </c>
      <c r="Q97" s="39" t="e">
        <v>#N/A</v>
      </c>
      <c r="R97" s="39" t="e">
        <v>#N/A</v>
      </c>
      <c r="S97" s="39" t="e">
        <v>#N/A</v>
      </c>
      <c r="T97" s="39">
        <v>823235.47790000006</v>
      </c>
      <c r="U97" s="39">
        <v>1091508.9016</v>
      </c>
      <c r="V97" s="39">
        <v>-123.453</v>
      </c>
      <c r="W97" s="39">
        <v>823235.40480000002</v>
      </c>
      <c r="X97" s="39">
        <v>1091509.0429</v>
      </c>
      <c r="Y97" s="39">
        <v>-124.6242</v>
      </c>
      <c r="Z97" s="39">
        <f t="shared" si="2647"/>
        <v>4.2066694010439312</v>
      </c>
      <c r="AA97" s="39">
        <f t="shared" si="2546"/>
        <v>3.5748306266879428</v>
      </c>
      <c r="AB97" s="39"/>
      <c r="AC97" s="39"/>
      <c r="AD97" s="39">
        <f t="shared" si="2548"/>
        <v>3.2382554640813592</v>
      </c>
      <c r="AE97" s="39">
        <f t="shared" si="2648"/>
        <v>4.0111359501349018</v>
      </c>
      <c r="AF97" s="39"/>
      <c r="AG97" s="39">
        <f t="shared" si="2550"/>
        <v>5.3428065116119905</v>
      </c>
      <c r="AH97" s="39">
        <f t="shared" si="2560"/>
        <v>4.9477132374891388</v>
      </c>
      <c r="AI97" s="43">
        <f t="shared" ref="AI97" si="3348">IF(Z97="","",AI$75+(Z97-Z$75)*1000)</f>
        <v>-78.534883902564815</v>
      </c>
      <c r="AJ97" s="43">
        <f t="shared" ref="AJ97" si="3349">IF(AA97="","",AJ$75+(AA97-AA$75)*1000)</f>
        <v>-63.627232968387126</v>
      </c>
      <c r="AK97" s="43"/>
      <c r="AL97" s="43" t="str">
        <f t="shared" ref="AL97" si="3350">IF(AC97="","",AL$75+(AC97-AC$75)*1000)</f>
        <v/>
      </c>
      <c r="AM97" s="43">
        <f t="shared" ref="AM97" si="3351">IF(AD97="","",AM$75+(AD97-AD$75)*1000)</f>
        <v>-72.092141372970275</v>
      </c>
      <c r="AN97" s="43">
        <f t="shared" ref="AN97" si="3352">IF(AE97="","",AN$75+(AE97-AE$75)*1000)</f>
        <v>-56.345128234633002</v>
      </c>
      <c r="AO97" s="43"/>
      <c r="AP97" s="43">
        <f t="shared" ref="AP97" si="3353">IF(AG97="","",AP$75+(AG97-AG$75)*1000)</f>
        <v>-33.725743454474433</v>
      </c>
      <c r="AQ97" s="43">
        <f t="shared" ref="AQ97" si="3354">IF(AH97="","",AQ$75+(AH97-AH$75)*1000)</f>
        <v>-30.158418806343512</v>
      </c>
      <c r="AR97" s="40"/>
      <c r="AS97" s="43">
        <f t="shared" ref="AS97" si="3355">IF(E97="","",(E97-E$75)*1000+AS$75)</f>
        <v>-0.95000013243407011</v>
      </c>
      <c r="AT97" s="43">
        <f t="shared" ref="AT97" si="3356">IF(F97="","",(F97-F$75)*1000+AT$75)</f>
        <v>-3.950000274926424</v>
      </c>
      <c r="AU97" s="43">
        <f t="shared" ref="AU97" si="3357">IF(G97="","",(G97-G$75)*1000+AU$75)</f>
        <v>3.5999999999916099</v>
      </c>
      <c r="AV97" s="43">
        <f t="shared" ref="AV97" si="3358">IF(H97="","",(H97-H$75)*1000+AV$75)</f>
        <v>-0.89999998454004526</v>
      </c>
      <c r="AW97" s="43">
        <f t="shared" ref="AW97" si="3359">IF(I97="","",(I97-I$75)*1000+AW$75)</f>
        <v>-4.9500002060085535</v>
      </c>
      <c r="AX97" s="43">
        <f t="shared" ref="AX97" si="3360">IF(J97="","",(J97-J$75)*1000+AX$75)</f>
        <v>-0.74999999999647571</v>
      </c>
      <c r="AY97" s="43" t="e">
        <f t="shared" ref="AY97" si="3361">IF(K97="","",(K97-K$10)*1000)</f>
        <v>#N/A</v>
      </c>
      <c r="AZ97" s="43" t="e">
        <f t="shared" ref="AZ97" si="3362">IF(L97="","",(L97-L$10)*1000)</f>
        <v>#N/A</v>
      </c>
      <c r="BA97" s="43" t="e">
        <f t="shared" ref="BA97" si="3363">IF(M97="","",(M97-M$10)*1000)</f>
        <v>#N/A</v>
      </c>
      <c r="BB97" s="43">
        <f t="shared" ref="BB97" si="3364">IF(N97="","",(N97-N$75)*1000+BB$75)</f>
        <v>-16.799999983049929</v>
      </c>
      <c r="BC97" s="43">
        <f t="shared" ref="BC97" si="3365">IF(O97="","",(O97-O$75)*1000+BC$75)</f>
        <v>-2.7999996673315763</v>
      </c>
      <c r="BD97" s="43">
        <f t="shared" ref="BD97" si="3366">IF(P97="","",(P97-P$75)*1000+BD$75)</f>
        <v>-85.349999999991155</v>
      </c>
      <c r="BE97" s="43" t="e">
        <f t="shared" ref="BE97" si="3367">IF(Q97="","",(Q97-Q$73)*1000+BE$73)</f>
        <v>#N/A</v>
      </c>
      <c r="BF97" s="43" t="e">
        <f t="shared" ref="BF97" si="3368">IF(R97="","",(R97-R$73)*1000+BF$73)</f>
        <v>#N/A</v>
      </c>
      <c r="BG97" s="43" t="e">
        <f t="shared" ref="BG97" si="3369">IF(S97="","",(S97-S$73)*1000+BG$73)</f>
        <v>#N/A</v>
      </c>
      <c r="BH97" s="43">
        <f t="shared" ref="BH97" si="3370">IF(T97="","",(T97-T$75)*1000+BH$75)</f>
        <v>-12.69999984651804</v>
      </c>
      <c r="BI97" s="43">
        <f t="shared" ref="BI97" si="3371">IF(U97="","",(U97-U$75)*1000+BI$75)</f>
        <v>27.05000014975667</v>
      </c>
      <c r="BJ97" s="43">
        <f t="shared" ref="BJ97" si="3372">IF(V97="","",(V97-V$75)*1000+BJ$75)</f>
        <v>-2.9999999999859028</v>
      </c>
      <c r="BK97" s="43">
        <f t="shared" ref="BK97" si="3373">IF(W97="","",(W97-W$75)*1000+BK$75)</f>
        <v>-0.89999998454004526</v>
      </c>
      <c r="BL97" s="43">
        <f t="shared" ref="BL97" si="3374">IF(X97="","",(X97-X$75)*1000+BL$75)</f>
        <v>29.749999986961484</v>
      </c>
      <c r="BM97" s="43">
        <f t="shared" ref="BM97" si="3375">IF(Y97="","",(Y97-Y$75)*1000+BM$75)</f>
        <v>-30.999999999991701</v>
      </c>
      <c r="BN97" s="40"/>
      <c r="BO97" s="39">
        <v>183.96719871658286</v>
      </c>
      <c r="BP97" s="39">
        <v>-2.4279300182125807</v>
      </c>
      <c r="BQ97" s="39">
        <v>-0.87739198716583644</v>
      </c>
      <c r="BR97" s="39">
        <v>183.93761432560913</v>
      </c>
      <c r="BS97" s="39">
        <v>-2.6645026577908024</v>
      </c>
      <c r="BT97" s="39">
        <v>0.28880385674391107</v>
      </c>
      <c r="BU97" s="41" t="e">
        <v>#VALUE!</v>
      </c>
      <c r="BV97" s="42" t="s">
        <v>61</v>
      </c>
      <c r="BW97" s="42" t="s">
        <v>61</v>
      </c>
      <c r="BX97" s="41">
        <v>183.8940915396787</v>
      </c>
      <c r="BY97" s="42">
        <v>0.23633378823834206</v>
      </c>
      <c r="BZ97" s="42">
        <v>2.3779390846032129</v>
      </c>
      <c r="CA97" s="41" t="e">
        <v>#VALUE!</v>
      </c>
      <c r="CB97" s="42" t="s">
        <v>61</v>
      </c>
      <c r="CC97" s="42" t="s">
        <v>61</v>
      </c>
      <c r="CD97" s="41">
        <v>183.90479126820293</v>
      </c>
      <c r="CE97" s="42">
        <v>2.6780657486431756</v>
      </c>
      <c r="CF97" s="42">
        <v>0.25083208731795992</v>
      </c>
      <c r="CG97" s="41">
        <v>183.89826204840864</v>
      </c>
      <c r="CH97" s="42">
        <v>2.5191108201276728</v>
      </c>
      <c r="CI97" s="42">
        <v>-0.92030262048409384</v>
      </c>
      <c r="CJ97" s="40"/>
      <c r="CK97" s="43">
        <f t="shared" ref="CK97" si="3376">IF(BO97="","",CK$75+(BO97-BO$75)*1000)</f>
        <v>-2.8745480171608051</v>
      </c>
      <c r="CL97" s="43">
        <f t="shared" ref="CL97" si="3377">IF(BP97="","",CL$75+(BP97-BP$75)*1000)</f>
        <v>3.5041333584713286</v>
      </c>
      <c r="CM97" s="43">
        <f t="shared" ref="CM97" si="3378">IF(BQ97="","",CM$75+(BQ97-BQ$75)*1000)</f>
        <v>3.6077454801630715</v>
      </c>
      <c r="CN97" s="43">
        <f t="shared" ref="CN97" si="3379">IF(BR97="","",CN$75+(BR97-BR$75)*1000)</f>
        <v>-2.9412217608069113</v>
      </c>
      <c r="CO97" s="43">
        <f t="shared" ref="CO97" si="3380">IF(BS97="","",CO$75+(BS97-BS$75)*1000)</f>
        <v>4.0401181478908477</v>
      </c>
      <c r="CP97" s="43">
        <f t="shared" ref="CP97" si="3381">IF(BT97="","",CP$75+(BT97-BT$75)*1000)</f>
        <v>-0.74858778239128565</v>
      </c>
      <c r="CQ97" s="43"/>
      <c r="CR97" s="43"/>
      <c r="CS97" s="43"/>
      <c r="CT97" s="43">
        <f t="shared" ref="CT97" si="3382">IF(BX97="","",CT$75+(BX97-BX$75)*1000)</f>
        <v>-16.312903146825875</v>
      </c>
      <c r="CU97" s="43">
        <f t="shared" ref="CU97" si="3383">IF(BY97="","",CU$75+(BY97-BY$75)*1000)</f>
        <v>-4.7049988452901594</v>
      </c>
      <c r="CV97" s="43">
        <f t="shared" ref="CV97" si="3384">IF(BZ97="","",CV$75+(BZ97-BZ$75)*1000)</f>
        <v>-85.147870968532487</v>
      </c>
      <c r="CW97" s="43"/>
      <c r="CX97" s="43"/>
      <c r="CY97" s="43"/>
      <c r="CZ97" s="43">
        <f t="shared" ref="CZ97" si="3385">IF(CD97="","",CZ$75+(CD97-CD$75)*1000)</f>
        <v>-9.354982009313062E-2</v>
      </c>
      <c r="DA97" s="43">
        <f t="shared" ref="DA97" si="3386">IF(CE97="","",DA$75+(CE97-CE$75)*1000)</f>
        <v>-29.943447171493887</v>
      </c>
      <c r="DB97" s="43">
        <f t="shared" ref="DB97" si="3387">IF(CF97="","",DB$75+(CF97-CF$75)*1000)</f>
        <v>-2.9310645018236769</v>
      </c>
      <c r="DC97" s="43">
        <f t="shared" ref="DC97" si="3388">IF(CG97="","",DC$75+(CG97-CG$75)*1000)</f>
        <v>11.682154567949965</v>
      </c>
      <c r="DD97" s="43">
        <f t="shared" ref="DD97" si="3389">IF(CH97="","",DD$75+(CH97-CH$75)*1000)</f>
        <v>-27.184024545775731</v>
      </c>
      <c r="DE97" s="43">
        <f t="shared" ref="DE97" si="3390">IF(CI97="","",DE$75+(CI97-CI$75)*1000)</f>
        <v>-31.138821545692139</v>
      </c>
    </row>
    <row r="98" spans="1:109" ht="29.25" customHeight="1" x14ac:dyDescent="0.2">
      <c r="A98" s="37">
        <v>44711</v>
      </c>
      <c r="B98" s="29">
        <f t="shared" ref="B98" si="3391">IF(A98="","",A98-excav)</f>
        <v>1053</v>
      </c>
      <c r="C98" s="38">
        <v>222.9</v>
      </c>
      <c r="D98" s="38">
        <v>39</v>
      </c>
      <c r="E98" s="39">
        <v>823233.37809999997</v>
      </c>
      <c r="F98" s="39">
        <v>1091513.5549999999</v>
      </c>
      <c r="G98" s="39">
        <v>-124.5809</v>
      </c>
      <c r="H98" s="39">
        <v>823233.25199999998</v>
      </c>
      <c r="I98" s="39">
        <v>1091513.7579000001</v>
      </c>
      <c r="J98" s="39">
        <v>-123.4149</v>
      </c>
      <c r="K98" s="39" t="e">
        <v>#N/A</v>
      </c>
      <c r="L98" s="39" t="e">
        <v>#N/A</v>
      </c>
      <c r="M98" s="39" t="e">
        <v>#N/A</v>
      </c>
      <c r="N98" s="39">
        <v>823234.43850000005</v>
      </c>
      <c r="O98" s="39">
        <v>1091511.1092999999</v>
      </c>
      <c r="P98" s="39">
        <v>-121.3263</v>
      </c>
      <c r="Q98" s="39" t="e">
        <v>#N/A</v>
      </c>
      <c r="R98" s="39" t="e">
        <v>#N/A</v>
      </c>
      <c r="S98" s="39" t="e">
        <v>#N/A</v>
      </c>
      <c r="T98" s="39">
        <v>823235.48019999999</v>
      </c>
      <c r="U98" s="39">
        <v>1091508.9010999999</v>
      </c>
      <c r="V98" s="39">
        <v>-123.4532</v>
      </c>
      <c r="W98" s="39">
        <v>823235.40720000002</v>
      </c>
      <c r="X98" s="39">
        <v>1091509.0423999999</v>
      </c>
      <c r="Y98" s="39">
        <v>-124.6246</v>
      </c>
      <c r="Z98" s="39">
        <f t="shared" si="2647"/>
        <v>4.2069368678832797</v>
      </c>
      <c r="AA98" s="39">
        <f t="shared" si="2546"/>
        <v>3.5756278009837632</v>
      </c>
      <c r="AB98" s="39"/>
      <c r="AC98" s="39"/>
      <c r="AD98" s="39">
        <f t="shared" si="2548"/>
        <v>3.2380533874311008</v>
      </c>
      <c r="AE98" s="39">
        <f t="shared" si="2648"/>
        <v>4.011139263331609</v>
      </c>
      <c r="AF98" s="39"/>
      <c r="AG98" s="39">
        <f t="shared" si="2550"/>
        <v>5.3436736775214051</v>
      </c>
      <c r="AH98" s="39">
        <f t="shared" si="2560"/>
        <v>4.9480011378660835</v>
      </c>
      <c r="AI98" s="43">
        <f t="shared" ref="AI98" si="3392">IF(Z98="","",AI$75+(Z98-Z$75)*1000)</f>
        <v>-78.267417063216271</v>
      </c>
      <c r="AJ98" s="43">
        <f t="shared" ref="AJ98" si="3393">IF(AA98="","",AJ$75+(AA98-AA$75)*1000)</f>
        <v>-62.83005867256675</v>
      </c>
      <c r="AK98" s="43"/>
      <c r="AL98" s="43" t="str">
        <f t="shared" ref="AL98" si="3394">IF(AC98="","",AL$75+(AC98-AC$75)*1000)</f>
        <v/>
      </c>
      <c r="AM98" s="43">
        <f t="shared" ref="AM98" si="3395">IF(AD98="","",AM$75+(AD98-AD$75)*1000)</f>
        <v>-72.294218023228666</v>
      </c>
      <c r="AN98" s="43">
        <f t="shared" ref="AN98" si="3396">IF(AE98="","",AN$75+(AE98-AE$75)*1000)</f>
        <v>-56.341815037925791</v>
      </c>
      <c r="AO98" s="43"/>
      <c r="AP98" s="43">
        <f t="shared" ref="AP98" si="3397">IF(AG98="","",AP$75+(AG98-AG$75)*1000)</f>
        <v>-32.858577545059831</v>
      </c>
      <c r="AQ98" s="43">
        <f t="shared" ref="AQ98" si="3398">IF(AH98="","",AQ$75+(AH98-AH$75)*1000)</f>
        <v>-29.870518429398807</v>
      </c>
      <c r="AR98" s="40"/>
      <c r="AS98" s="43">
        <f t="shared" ref="AS98" si="3399">IF(E98="","",(E98-E$75)*1000+AS$75)</f>
        <v>0.7499998901039362</v>
      </c>
      <c r="AT98" s="43">
        <f t="shared" ref="AT98" si="3400">IF(F98="","",(F98-F$75)*1000+AT$75)</f>
        <v>-4.4500003568828106</v>
      </c>
      <c r="AU98" s="43">
        <f t="shared" ref="AU98" si="3401">IF(G98="","",(G98-G$75)*1000+AU$75)</f>
        <v>3.2999999999958618</v>
      </c>
      <c r="AV98" s="43">
        <f t="shared" ref="AV98" si="3402">IF(H98="","",(H98-H$75)*1000+AV$75)</f>
        <v>1.500000013038516</v>
      </c>
      <c r="AW98" s="43">
        <f t="shared" ref="AW98" si="3403">IF(I98="","",(I98-I$75)*1000+AW$75)</f>
        <v>-4.4500001240521669</v>
      </c>
      <c r="AX98" s="43">
        <f t="shared" ref="AX98" si="3404">IF(J98="","",(J98-J$75)*1000+AX$75)</f>
        <v>-0.95000000000311502</v>
      </c>
      <c r="AY98" s="43" t="e">
        <f t="shared" ref="AY98" si="3405">IF(K98="","",(K98-K$10)*1000)</f>
        <v>#N/A</v>
      </c>
      <c r="AZ98" s="43" t="e">
        <f t="shared" ref="AZ98" si="3406">IF(L98="","",(L98-L$10)*1000)</f>
        <v>#N/A</v>
      </c>
      <c r="BA98" s="43" t="e">
        <f t="shared" ref="BA98" si="3407">IF(M98="","",(M98-M$10)*1000)</f>
        <v>#N/A</v>
      </c>
      <c r="BB98" s="43">
        <f t="shared" ref="BB98" si="3408">IF(N98="","",(N98-N$75)*1000+BB$75)</f>
        <v>-14.499999932013452</v>
      </c>
      <c r="BC98" s="43">
        <f t="shared" ref="BC98" si="3409">IF(O98="","",(O98-O$75)*1000+BC$75)</f>
        <v>-3.499999875202775</v>
      </c>
      <c r="BD98" s="43">
        <f t="shared" ref="BD98" si="3410">IF(P98="","",(P98-P$75)*1000+BD$75)</f>
        <v>-85.650000000001114</v>
      </c>
      <c r="BE98" s="43" t="e">
        <f t="shared" ref="BE98" si="3411">IF(Q98="","",(Q98-Q$73)*1000+BE$73)</f>
        <v>#N/A</v>
      </c>
      <c r="BF98" s="43" t="e">
        <f t="shared" ref="BF98" si="3412">IF(R98="","",(R98-R$73)*1000+BF$73)</f>
        <v>#N/A</v>
      </c>
      <c r="BG98" s="43" t="e">
        <f t="shared" ref="BG98" si="3413">IF(S98="","",(S98-S$73)*1000+BG$73)</f>
        <v>#N/A</v>
      </c>
      <c r="BH98" s="43">
        <f t="shared" ref="BH98" si="3414">IF(T98="","",(T98-T$75)*1000+BH$75)</f>
        <v>-10.399999911896884</v>
      </c>
      <c r="BI98" s="43">
        <f t="shared" ref="BI98" si="3415">IF(U98="","",(U98-U$75)*1000+BI$75)</f>
        <v>26.550000067800283</v>
      </c>
      <c r="BJ98" s="43">
        <f t="shared" ref="BJ98" si="3416">IF(V98="","",(V98-V$75)*1000+BJ$75)</f>
        <v>-3.1999999999783313</v>
      </c>
      <c r="BK98" s="43">
        <f t="shared" ref="BK98" si="3417">IF(W98="","",(W98-W$75)*1000+BK$75)</f>
        <v>1.500000013038516</v>
      </c>
      <c r="BL98" s="43">
        <f t="shared" ref="BL98" si="3418">IF(X98="","",(X98-X$75)*1000+BL$75)</f>
        <v>29.249999905005097</v>
      </c>
      <c r="BM98" s="43">
        <f t="shared" ref="BM98" si="3419">IF(Y98="","",(Y98-Y$75)*1000+BM$75)</f>
        <v>-31.399999999990769</v>
      </c>
      <c r="BN98" s="40"/>
      <c r="BO98" s="39">
        <v>183.96852808704719</v>
      </c>
      <c r="BP98" s="39">
        <v>-2.4267583636870249</v>
      </c>
      <c r="BQ98" s="39">
        <v>-0.87770528087047239</v>
      </c>
      <c r="BR98" s="39">
        <v>183.9400007525646</v>
      </c>
      <c r="BS98" s="39">
        <v>-2.663941439066464</v>
      </c>
      <c r="BT98" s="39">
        <v>0.28857999247435373</v>
      </c>
      <c r="BU98" s="41" t="e">
        <v>#VALUE!</v>
      </c>
      <c r="BV98" s="42" t="s">
        <v>61</v>
      </c>
      <c r="BW98" s="42" t="s">
        <v>61</v>
      </c>
      <c r="BX98" s="41">
        <v>183.89588015494311</v>
      </c>
      <c r="BY98" s="42">
        <v>0.23794029250592447</v>
      </c>
      <c r="BZ98" s="42">
        <v>2.3776211984505551</v>
      </c>
      <c r="CA98" s="41" t="e">
        <v>#VALUE!</v>
      </c>
      <c r="CB98" s="42" t="s">
        <v>61</v>
      </c>
      <c r="CC98" s="42" t="s">
        <v>61</v>
      </c>
      <c r="CD98" s="41">
        <v>183.90666441381705</v>
      </c>
      <c r="CE98" s="42">
        <v>2.6794909943375878</v>
      </c>
      <c r="CF98" s="42">
        <v>0.2506133558618302</v>
      </c>
      <c r="CG98" s="41">
        <v>183.90022582328473</v>
      </c>
      <c r="CH98" s="42">
        <v>2.5205783310497498</v>
      </c>
      <c r="CI98" s="42">
        <v>-0.92072225823285692</v>
      </c>
      <c r="CJ98" s="40"/>
      <c r="CK98" s="43">
        <f t="shared" ref="CK98" si="3420">IF(BO98="","",CK$75+(BO98-BO$75)*1000)</f>
        <v>-1.5451775528276812</v>
      </c>
      <c r="CL98" s="43">
        <f t="shared" ref="CL98" si="3421">IF(BP98="","",CL$75+(BP98-BP$75)*1000)</f>
        <v>4.6757878840271161</v>
      </c>
      <c r="CM98" s="43">
        <f t="shared" ref="CM98" si="3422">IF(BQ98="","",CM$75+(BQ98-BQ$75)*1000)</f>
        <v>3.2944517755271185</v>
      </c>
      <c r="CN98" s="43">
        <f t="shared" ref="CN98" si="3423">IF(BR98="","",CN$75+(BR98-BR$75)*1000)</f>
        <v>-0.5547948053390428</v>
      </c>
      <c r="CO98" s="43">
        <f t="shared" ref="CO98" si="3424">IF(BS98="","",CO$75+(BS98-BS$75)*1000)</f>
        <v>4.6013368722293002</v>
      </c>
      <c r="CP98" s="43">
        <f t="shared" ref="CP98" si="3425">IF(BT98="","",CP$75+(BT98-BT$75)*1000)</f>
        <v>-0.97245205194862461</v>
      </c>
      <c r="CQ98" s="43"/>
      <c r="CR98" s="43"/>
      <c r="CS98" s="43"/>
      <c r="CT98" s="43">
        <f t="shared" ref="CT98" si="3426">IF(BX98="","",CT$75+(BX98-BX$75)*1000)</f>
        <v>-14.524287882409226</v>
      </c>
      <c r="CU98" s="43">
        <f t="shared" ref="CU98" si="3427">IF(BY98="","",CU$75+(BY98-BY$75)*1000)</f>
        <v>-3.0984945777077497</v>
      </c>
      <c r="CV98" s="43">
        <f t="shared" ref="CV98" si="3428">IF(BZ98="","",CV$75+(BZ98-BZ$75)*1000)</f>
        <v>-85.465757121190308</v>
      </c>
      <c r="CW98" s="43"/>
      <c r="CX98" s="43"/>
      <c r="CY98" s="43"/>
      <c r="CZ98" s="43">
        <f t="shared" ref="CZ98" si="3429">IF(CD98="","",CZ$75+(CD98-CD$75)*1000)</f>
        <v>1.7795957940336393</v>
      </c>
      <c r="DA98" s="43">
        <f t="shared" ref="DA98" si="3430">IF(CE98="","",DA$75+(CE98-CE$75)*1000)</f>
        <v>-28.518201477081728</v>
      </c>
      <c r="DB98" s="43">
        <f t="shared" ref="DB98" si="3431">IF(CF98="","",DB$75+(CF98-CF$75)*1000)</f>
        <v>-3.1497959579533941</v>
      </c>
      <c r="DC98" s="43">
        <f t="shared" ref="DC98" si="3432">IF(CG98="","",DC$75+(CG98-CG$75)*1000)</f>
        <v>13.645929444038529</v>
      </c>
      <c r="DD98" s="43">
        <f t="shared" ref="DD98" si="3433">IF(CH98="","",DD$75+(CH98-CH$75)*1000)</f>
        <v>-25.716513623698756</v>
      </c>
      <c r="DE98" s="43">
        <f t="shared" ref="DE98" si="3434">IF(CI98="","",DE$75+(CI98-CI$75)*1000)</f>
        <v>-31.558459294455218</v>
      </c>
    </row>
    <row r="99" spans="1:109" ht="29.25" customHeight="1" x14ac:dyDescent="0.2">
      <c r="A99" s="37">
        <v>44740</v>
      </c>
      <c r="B99" s="29">
        <f t="shared" ref="B99" si="3435">IF(A99="","",A99-excav)</f>
        <v>1082</v>
      </c>
      <c r="C99" s="38">
        <v>222.9</v>
      </c>
      <c r="D99" s="38">
        <v>39</v>
      </c>
      <c r="E99" s="39">
        <v>823233.37699999998</v>
      </c>
      <c r="F99" s="39">
        <v>1091513.5555</v>
      </c>
      <c r="G99" s="39">
        <v>-124.58069999999999</v>
      </c>
      <c r="H99" s="39">
        <v>823233.25049999997</v>
      </c>
      <c r="I99" s="39">
        <v>1091513.7578</v>
      </c>
      <c r="J99" s="39">
        <v>-123.4151</v>
      </c>
      <c r="K99" s="39">
        <v>823233.45719999995</v>
      </c>
      <c r="L99" s="39">
        <v>1091513.2831999999</v>
      </c>
      <c r="M99" s="39">
        <v>-121.9761</v>
      </c>
      <c r="N99" s="39">
        <v>823234.43740000005</v>
      </c>
      <c r="O99" s="39">
        <v>1091511.1103000001</v>
      </c>
      <c r="P99" s="39">
        <v>-121.3267</v>
      </c>
      <c r="Q99" s="39" t="e">
        <v>#N/A</v>
      </c>
      <c r="R99" s="39" t="e">
        <v>#N/A</v>
      </c>
      <c r="S99" s="39" t="e">
        <v>#N/A</v>
      </c>
      <c r="T99" s="39">
        <v>823235.47869999998</v>
      </c>
      <c r="U99" s="39">
        <v>1091508.9025999999</v>
      </c>
      <c r="V99" s="39">
        <v>-123.4534</v>
      </c>
      <c r="W99" s="39">
        <v>823235.40560000006</v>
      </c>
      <c r="X99" s="39">
        <v>1091509.0437</v>
      </c>
      <c r="Y99" s="39">
        <v>-124.6246</v>
      </c>
      <c r="Z99" s="39">
        <f t="shared" si="2647"/>
        <v>4.2061820217335697</v>
      </c>
      <c r="AA99" s="39">
        <f t="shared" si="2546"/>
        <v>3.5748290057024286</v>
      </c>
      <c r="AB99" s="39"/>
      <c r="AC99" s="39"/>
      <c r="AD99" s="39">
        <f t="shared" si="2548"/>
        <v>3.2374523734691008</v>
      </c>
      <c r="AE99" s="39">
        <f t="shared" si="2648"/>
        <v>4.0105350279094818</v>
      </c>
      <c r="AF99" s="39"/>
      <c r="AG99" s="39">
        <f t="shared" si="2550"/>
        <v>5.3422194985882596</v>
      </c>
      <c r="AH99" s="39">
        <f t="shared" si="2560"/>
        <v>4.9470682641460408</v>
      </c>
      <c r="AI99" s="43">
        <f t="shared" ref="AI99" si="3436">IF(Z99="","",AI$75+(Z99-Z$75)*1000)</f>
        <v>-79.022263212926276</v>
      </c>
      <c r="AJ99" s="43">
        <f t="shared" ref="AJ99" si="3437">IF(AA99="","",AJ$75+(AA99-AA$75)*1000)</f>
        <v>-63.628853953901384</v>
      </c>
      <c r="AK99" s="43"/>
      <c r="AL99" s="43" t="str">
        <f t="shared" ref="AL99" si="3438">IF(AC99="","",AL$75+(AC99-AC$75)*1000)</f>
        <v/>
      </c>
      <c r="AM99" s="43">
        <f t="shared" ref="AM99" si="3439">IF(AD99="","",AM$75+(AD99-AD$75)*1000)</f>
        <v>-72.895231985228747</v>
      </c>
      <c r="AN99" s="43">
        <f t="shared" ref="AN99" si="3440">IF(AE99="","",AN$75+(AE99-AE$75)*1000)</f>
        <v>-56.946050460052966</v>
      </c>
      <c r="AO99" s="43"/>
      <c r="AP99" s="43">
        <f t="shared" ref="AP99" si="3441">IF(AG99="","",AP$75+(AG99-AG$75)*1000)</f>
        <v>-34.312756478205308</v>
      </c>
      <c r="AQ99" s="43">
        <f t="shared" ref="AQ99" si="3442">IF(AH99="","",AQ$75+(AH99-AH$75)*1000)</f>
        <v>-30.8033921494415</v>
      </c>
      <c r="AR99" s="40"/>
      <c r="AS99" s="43">
        <f t="shared" ref="AS99" si="3443">IF(E99="","",(E99-E$75)*1000+AS$75)</f>
        <v>-0.35000010393559933</v>
      </c>
      <c r="AT99" s="43">
        <f t="shared" ref="AT99" si="3444">IF(F99="","",(F99-F$75)*1000+AT$75)</f>
        <v>-3.950000274926424</v>
      </c>
      <c r="AU99" s="43">
        <f t="shared" ref="AU99" si="3445">IF(G99="","",(G99-G$75)*1000+AU$75)</f>
        <v>3.5000000000025011</v>
      </c>
      <c r="AV99" s="43">
        <f t="shared" ref="AV99" si="3446">IF(H99="","",(H99-H$75)*1000+AV$75)</f>
        <v>0</v>
      </c>
      <c r="AW99" s="43">
        <f t="shared" ref="AW99" si="3447">IF(I99="","",(I99-I$75)*1000+AW$75)</f>
        <v>-4.550000187009573</v>
      </c>
      <c r="AX99" s="43">
        <f t="shared" ref="AX99" si="3448">IF(J99="","",(J99-J$75)*1000+AX$75)</f>
        <v>-1.1499999999955435</v>
      </c>
      <c r="AY99" s="43">
        <f t="shared" ref="AY99" si="3449">IF(K99="","",(K99-K$10)*1000)</f>
        <v>-26.249999995343387</v>
      </c>
      <c r="AZ99" s="43">
        <f t="shared" ref="AZ99" si="3450">IF(L99="","",(L99-L$10)*1000)</f>
        <v>120.49999972805381</v>
      </c>
      <c r="BA99" s="43">
        <f t="shared" ref="BA99" si="3451">IF(M99="","",(M99-M$10)*1000)</f>
        <v>-131.79999999999836</v>
      </c>
      <c r="BB99" s="43">
        <f t="shared" ref="BB99" si="3452">IF(N99="","",(N99-N$75)*1000+BB$75)</f>
        <v>-15.599999926052988</v>
      </c>
      <c r="BC99" s="43">
        <f t="shared" ref="BC99" si="3453">IF(O99="","",(O99-O$75)*1000+BC$75)</f>
        <v>-2.4999997112900019</v>
      </c>
      <c r="BD99" s="43">
        <f t="shared" ref="BD99" si="3454">IF(P99="","",(P99-P$75)*1000+BD$75)</f>
        <v>-86.050000000000182</v>
      </c>
      <c r="BE99" s="43" t="e">
        <f t="shared" ref="BE99" si="3455">IF(Q99="","",(Q99-Q$73)*1000+BE$73)</f>
        <v>#N/A</v>
      </c>
      <c r="BF99" s="43" t="e">
        <f t="shared" ref="BF99" si="3456">IF(R99="","",(R99-R$73)*1000+BF$73)</f>
        <v>#N/A</v>
      </c>
      <c r="BG99" s="43" t="e">
        <f t="shared" ref="BG99" si="3457">IF(S99="","",(S99-S$73)*1000+BG$73)</f>
        <v>#N/A</v>
      </c>
      <c r="BH99" s="43">
        <f t="shared" ref="BH99" si="3458">IF(T99="","",(T99-T$75)*1000+BH$75)</f>
        <v>-11.8999999249354</v>
      </c>
      <c r="BI99" s="43">
        <f t="shared" ref="BI99" si="3459">IF(U99="","",(U99-U$75)*1000+BI$75)</f>
        <v>28.050000080838799</v>
      </c>
      <c r="BJ99" s="43">
        <f t="shared" ref="BJ99" si="3460">IF(V99="","",(V99-V$75)*1000+BJ$75)</f>
        <v>-3.3999999999849706</v>
      </c>
      <c r="BK99" s="43">
        <f t="shared" ref="BK99" si="3461">IF(W99="","",(W99-W$75)*1000+BK$75)</f>
        <v>-9.9999946542084217E-2</v>
      </c>
      <c r="BL99" s="43">
        <f t="shared" ref="BL99" si="3462">IF(X99="","",(X99-X$75)*1000+BL$75)</f>
        <v>30.550000024959445</v>
      </c>
      <c r="BM99" s="43">
        <f t="shared" ref="BM99" si="3463">IF(Y99="","",(Y99-Y$75)*1000+BM$75)</f>
        <v>-31.399999999990769</v>
      </c>
      <c r="BN99" s="40"/>
      <c r="BO99" s="39">
        <v>183.96774249183818</v>
      </c>
      <c r="BP99" s="39">
        <v>-2.427676426994454</v>
      </c>
      <c r="BQ99" s="39">
        <v>-0.87749742491837424</v>
      </c>
      <c r="BR99" s="39">
        <v>183.93859904925145</v>
      </c>
      <c r="BS99" s="39">
        <v>-2.6644847878251157</v>
      </c>
      <c r="BT99" s="39">
        <v>0.28839400950748484</v>
      </c>
      <c r="BU99" s="41">
        <v>183.92533897177381</v>
      </c>
      <c r="BV99" s="42">
        <v>-2.1469964107501696</v>
      </c>
      <c r="BW99" s="42">
        <v>1.7275266102822542</v>
      </c>
      <c r="BX99" s="41">
        <v>183.89530588577381</v>
      </c>
      <c r="BY99" s="42">
        <v>0.23656908309964542</v>
      </c>
      <c r="BZ99" s="42">
        <v>2.3772269411422542</v>
      </c>
      <c r="CA99" s="41" t="e">
        <v>#VALUE!</v>
      </c>
      <c r="CB99" s="42" t="s">
        <v>61</v>
      </c>
      <c r="CC99" s="42" t="s">
        <v>61</v>
      </c>
      <c r="CD99" s="41">
        <v>183.90593895375218</v>
      </c>
      <c r="CE99" s="42">
        <v>2.6774975782313768</v>
      </c>
      <c r="CF99" s="42">
        <v>0.25042061046246999</v>
      </c>
      <c r="CG99" s="41">
        <v>183.89932520370655</v>
      </c>
      <c r="CH99" s="42">
        <v>2.5187239080780808</v>
      </c>
      <c r="CI99" s="42">
        <v>-0.92071325203707488</v>
      </c>
      <c r="CJ99" s="40"/>
      <c r="CK99" s="43">
        <f t="shared" ref="CK99" si="3464">IF(BO99="","",CK$75+(BO99-BO$75)*1000)</f>
        <v>-2.3307727618373519</v>
      </c>
      <c r="CL99" s="43">
        <f t="shared" ref="CL99" si="3465">IF(BP99="","",CL$75+(BP99-BP$75)*1000)</f>
        <v>3.7577245765980649</v>
      </c>
      <c r="CM99" s="43">
        <f t="shared" ref="CM99" si="3466">IF(BQ99="","",CM$75+(BQ99-BQ$75)*1000)</f>
        <v>3.5023077276252756</v>
      </c>
      <c r="CN99" s="43">
        <f t="shared" ref="CN99" si="3467">IF(BR99="","",CN$75+(BR99-BR$75)*1000)</f>
        <v>-1.9564981184885255</v>
      </c>
      <c r="CO99" s="43">
        <f t="shared" ref="CO99" si="3468">IF(BS99="","",CO$75+(BS99-BS$75)*1000)</f>
        <v>4.0579881135776041</v>
      </c>
      <c r="CP99" s="43">
        <f t="shared" ref="CP99" si="3469">IF(BT99="","",CP$75+(BT99-BT$75)*1000)</f>
        <v>-1.1584350188175163</v>
      </c>
      <c r="CQ99" s="43"/>
      <c r="CR99" s="43"/>
      <c r="CS99" s="43"/>
      <c r="CT99" s="43">
        <f t="shared" ref="CT99" si="3470">IF(BX99="","",CT$75+(BX99-BX$75)*1000)</f>
        <v>-15.098557051715034</v>
      </c>
      <c r="CU99" s="43">
        <f t="shared" ref="CU99" si="3471">IF(BY99="","",CU$75+(BY99-BY$75)*1000)</f>
        <v>-4.4697039839868005</v>
      </c>
      <c r="CV99" s="43">
        <f t="shared" ref="CV99" si="3472">IF(BZ99="","",CV$75+(BZ99-BZ$75)*1000)</f>
        <v>-85.860014429491201</v>
      </c>
      <c r="CW99" s="43"/>
      <c r="CX99" s="43"/>
      <c r="CY99" s="43"/>
      <c r="CZ99" s="43">
        <f t="shared" ref="CZ99" si="3473">IF(CD99="","",CZ$75+(CD99-CD$75)*1000)</f>
        <v>1.0541357291629083</v>
      </c>
      <c r="DA99" s="43">
        <f t="shared" ref="DA99" si="3474">IF(CE99="","",DA$75+(CE99-CE$75)*1000)</f>
        <v>-30.511617583292683</v>
      </c>
      <c r="DB99" s="43">
        <f t="shared" ref="DB99" si="3475">IF(CF99="","",DB$75+(CF99-CF$75)*1000)</f>
        <v>-3.3425413573135998</v>
      </c>
      <c r="DC99" s="43">
        <f t="shared" ref="DC99" si="3476">IF(CG99="","",DC$75+(CG99-CG$75)*1000)</f>
        <v>12.745309865863419</v>
      </c>
      <c r="DD99" s="43">
        <f t="shared" ref="DD99" si="3477">IF(CH99="","",DD$75+(CH99-CH$75)*1000)</f>
        <v>-27.570936595367801</v>
      </c>
      <c r="DE99" s="43">
        <f t="shared" ref="DE99" si="3478">IF(CI99="","",DE$75+(CI99-CI$75)*1000)</f>
        <v>-31.549453098673183</v>
      </c>
    </row>
    <row r="100" spans="1:109" ht="29.25" customHeight="1" x14ac:dyDescent="0.2">
      <c r="A100" s="37">
        <v>44767</v>
      </c>
      <c r="B100" s="29">
        <f t="shared" ref="B100" si="3479">IF(A100="","",A100-excav)</f>
        <v>1109</v>
      </c>
      <c r="C100" s="38">
        <v>222.9</v>
      </c>
      <c r="D100" s="38">
        <v>39</v>
      </c>
      <c r="E100" s="39">
        <v>823233.37813333329</v>
      </c>
      <c r="F100" s="39">
        <v>1091513.5552000001</v>
      </c>
      <c r="G100" s="39">
        <v>-124.58013333333332</v>
      </c>
      <c r="H100" s="39">
        <v>823233.25164000003</v>
      </c>
      <c r="I100" s="39">
        <v>1091513.75752</v>
      </c>
      <c r="J100" s="39">
        <v>-123.41437999999998</v>
      </c>
      <c r="K100" s="39" t="e">
        <v>#N/A</v>
      </c>
      <c r="L100" s="39" t="e">
        <v>#N/A</v>
      </c>
      <c r="M100" s="39" t="e">
        <v>#N/A</v>
      </c>
      <c r="N100" s="39">
        <v>823234.43836000003</v>
      </c>
      <c r="O100" s="39">
        <v>1091511.10984</v>
      </c>
      <c r="P100" s="39">
        <v>-121.32644000000001</v>
      </c>
      <c r="Q100" s="39" t="e">
        <v>#N/A</v>
      </c>
      <c r="R100" s="39" t="e">
        <v>#N/A</v>
      </c>
      <c r="S100" s="39" t="e">
        <v>#N/A</v>
      </c>
      <c r="T100" s="39">
        <v>823235.47982000001</v>
      </c>
      <c r="U100" s="39">
        <v>1091508.90222</v>
      </c>
      <c r="V100" s="39">
        <v>-123.45270000000001</v>
      </c>
      <c r="W100" s="39">
        <v>823235.40657500003</v>
      </c>
      <c r="X100" s="39">
        <v>1091509.0433</v>
      </c>
      <c r="Y100" s="39">
        <v>-124.62367499999999</v>
      </c>
      <c r="Z100" s="39">
        <f t="shared" si="2647"/>
        <v>4.2059941062616115</v>
      </c>
      <c r="AA100" s="39">
        <f t="shared" si="2546"/>
        <v>3.5746338531460706</v>
      </c>
      <c r="AB100" s="39"/>
      <c r="AC100" s="39"/>
      <c r="AD100" s="39">
        <f t="shared" si="2548"/>
        <v>3.2371602653498512</v>
      </c>
      <c r="AE100" s="39">
        <f t="shared" si="2648"/>
        <v>4.0099609104292906</v>
      </c>
      <c r="AF100" s="39"/>
      <c r="AG100" s="39">
        <f t="shared" si="2550"/>
        <v>5.3423021838985463</v>
      </c>
      <c r="AH100" s="39">
        <f t="shared" si="2560"/>
        <v>4.9470913759990047</v>
      </c>
      <c r="AI100" s="43">
        <f t="shared" ref="AI100" si="3480">IF(Z100="","",AI$75+(Z100-Z$75)*1000)</f>
        <v>-79.210178684884454</v>
      </c>
      <c r="AJ100" s="43">
        <f t="shared" ref="AJ100" si="3481">IF(AA100="","",AJ$75+(AA100-AA$75)*1000)</f>
        <v>-63.824006510259323</v>
      </c>
      <c r="AK100" s="43"/>
      <c r="AL100" s="43" t="str">
        <f t="shared" ref="AL100" si="3482">IF(AC100="","",AL$75+(AC100-AC$75)*1000)</f>
        <v/>
      </c>
      <c r="AM100" s="43">
        <f t="shared" ref="AM100" si="3483">IF(AD100="","",AM$75+(AD100-AD$75)*1000)</f>
        <v>-73.187340104478253</v>
      </c>
      <c r="AN100" s="43">
        <f t="shared" ref="AN100" si="3484">IF(AE100="","",AN$75+(AE100-AE$75)*1000)</f>
        <v>-57.520167940244171</v>
      </c>
      <c r="AO100" s="43"/>
      <c r="AP100" s="43">
        <f t="shared" ref="AP100" si="3485">IF(AG100="","",AP$75+(AG100-AG$75)*1000)</f>
        <v>-34.230071167918652</v>
      </c>
      <c r="AQ100" s="43">
        <f t="shared" ref="AQ100" si="3486">IF(AH100="","",AQ$75+(AH100-AH$75)*1000)</f>
        <v>-30.780280296477613</v>
      </c>
      <c r="AR100" s="40"/>
      <c r="AS100" s="43">
        <f t="shared" ref="AS100" si="3487">IF(E100="","",(E100-E$75)*1000+AS$75)</f>
        <v>0.78333320561796427</v>
      </c>
      <c r="AT100" s="43">
        <f t="shared" ref="AT100" si="3488">IF(F100="","",(F100-F$75)*1000+AT$75)</f>
        <v>-4.2500002309679985</v>
      </c>
      <c r="AU100" s="43">
        <f t="shared" ref="AU100" si="3489">IF(G100="","",(G100-G$75)*1000+AU$75)</f>
        <v>4.0666666666737683</v>
      </c>
      <c r="AV100" s="43">
        <f t="shared" ref="AV100" si="3490">IF(H100="","",(H100-H$75)*1000+AV$75)</f>
        <v>1.1400000657886267</v>
      </c>
      <c r="AW100" s="43">
        <f t="shared" ref="AW100" si="3491">IF(I100="","",(I100-I$75)*1000+AW$75)</f>
        <v>-4.8300002235919237</v>
      </c>
      <c r="AX100" s="43">
        <f t="shared" ref="AX100" si="3492">IF(J100="","",(J100-J$75)*1000+AX$75)</f>
        <v>-0.42999999998016847</v>
      </c>
      <c r="AY100" s="43" t="e">
        <f t="shared" ref="AY100" si="3493">IF(K100="","",(K100-K$10)*1000)</f>
        <v>#N/A</v>
      </c>
      <c r="AZ100" s="43" t="e">
        <f t="shared" ref="AZ100" si="3494">IF(L100="","",(L100-L$10)*1000)</f>
        <v>#N/A</v>
      </c>
      <c r="BA100" s="43" t="e">
        <f t="shared" ref="BA100" si="3495">IF(M100="","",(M100-M$10)*1000)</f>
        <v>#N/A</v>
      </c>
      <c r="BB100" s="43">
        <f t="shared" ref="BB100" si="3496">IF(N100="","",(N100-N$75)*1000+BB$75)</f>
        <v>-14.639999950304627</v>
      </c>
      <c r="BC100" s="43">
        <f t="shared" ref="BC100" si="3497">IF(O100="","",(O100-O$75)*1000+BC$75)</f>
        <v>-2.9599997214972973</v>
      </c>
      <c r="BD100" s="43">
        <f t="shared" ref="BD100" si="3498">IF(P100="","",(P100-P$75)*1000+BD$75)</f>
        <v>-85.790000000002919</v>
      </c>
      <c r="BE100" s="43" t="e">
        <f t="shared" ref="BE100" si="3499">IF(Q100="","",(Q100-Q$73)*1000+BE$73)</f>
        <v>#N/A</v>
      </c>
      <c r="BF100" s="43" t="e">
        <f t="shared" ref="BF100" si="3500">IF(R100="","",(R100-R$73)*1000+BF$73)</f>
        <v>#N/A</v>
      </c>
      <c r="BG100" s="43" t="e">
        <f t="shared" ref="BG100" si="3501">IF(S100="","",(S100-S$73)*1000+BG$73)</f>
        <v>#N/A</v>
      </c>
      <c r="BH100" s="43">
        <f t="shared" ref="BH100" si="3502">IF(T100="","",(T100-T$75)*1000+BH$75)</f>
        <v>-10.779999895021319</v>
      </c>
      <c r="BI100" s="43">
        <f t="shared" ref="BI100" si="3503">IF(U100="","",(U100-U$75)*1000+BI$75)</f>
        <v>27.670000214129686</v>
      </c>
      <c r="BJ100" s="43">
        <f t="shared" ref="BJ100" si="3504">IF(V100="","",(V100-V$75)*1000+BJ$75)</f>
        <v>-2.6999999999901547</v>
      </c>
      <c r="BK100" s="43">
        <f t="shared" ref="BK100" si="3505">IF(W100="","",(W100-W$75)*1000+BK$75)</f>
        <v>0.87500002700835466</v>
      </c>
      <c r="BL100" s="43">
        <f t="shared" ref="BL100" si="3506">IF(X100="","",(X100-X$75)*1000+BL$75)</f>
        <v>30.150000005960464</v>
      </c>
      <c r="BM100" s="43">
        <f t="shared" ref="BM100" si="3507">IF(Y100="","",(Y100-Y$75)*1000+BM$75)</f>
        <v>-30.474999999981378</v>
      </c>
      <c r="BN100" s="40"/>
      <c r="BO100" s="39">
        <v>183.96864282722123</v>
      </c>
      <c r="BP100" s="39">
        <v>-2.4269255338181823</v>
      </c>
      <c r="BQ100" s="39">
        <v>-0.87693976160554143</v>
      </c>
      <c r="BR100" s="39">
        <v>183.93951387966882</v>
      </c>
      <c r="BS100" s="39">
        <v>-2.6637492026988894</v>
      </c>
      <c r="BT100" s="39">
        <v>0.28910486120332735</v>
      </c>
      <c r="BU100" s="41" t="e">
        <v>#VALUE!</v>
      </c>
      <c r="BV100" s="42" t="s">
        <v>61</v>
      </c>
      <c r="BW100" s="42" t="s">
        <v>61</v>
      </c>
      <c r="BX100" s="41">
        <v>183.89598150619005</v>
      </c>
      <c r="BY100" s="42">
        <v>0.2373917233709209</v>
      </c>
      <c r="BZ100" s="42">
        <v>2.3774801849380935</v>
      </c>
      <c r="CA100" s="41" t="e">
        <v>#VALUE!</v>
      </c>
      <c r="CB100" s="42" t="s">
        <v>61</v>
      </c>
      <c r="CC100" s="42" t="s">
        <v>61</v>
      </c>
      <c r="CD100" s="41">
        <v>183.90679339316685</v>
      </c>
      <c r="CE100" s="42">
        <v>2.678315339353222</v>
      </c>
      <c r="CF100" s="42">
        <v>0.25111206606831615</v>
      </c>
      <c r="CG100" s="41">
        <v>183.90003977761842</v>
      </c>
      <c r="CH100" s="42">
        <v>2.5194985106135945</v>
      </c>
      <c r="CI100" s="42">
        <v>-0.91979539777618413</v>
      </c>
      <c r="CJ100" s="40"/>
      <c r="CK100" s="43">
        <f t="shared" ref="CK100" si="3508">IF(BO100="","",CK$75+(BO100-BO$75)*1000)</f>
        <v>-1.4304373787865643</v>
      </c>
      <c r="CL100" s="43">
        <f t="shared" ref="CL100" si="3509">IF(BP100="","",CL$75+(BP100-BP$75)*1000)</f>
        <v>4.5086177528697036</v>
      </c>
      <c r="CM100" s="43">
        <f t="shared" ref="CM100" si="3510">IF(BQ100="","",CM$75+(BQ100-BQ$75)*1000)</f>
        <v>4.0599710404580769</v>
      </c>
      <c r="CN100" s="43">
        <f t="shared" ref="CN100" si="3511">IF(BR100="","",CN$75+(BR100-BR$75)*1000)</f>
        <v>-1.0416677011164666</v>
      </c>
      <c r="CO100" s="43">
        <f t="shared" ref="CO100" si="3512">IF(BS100="","",CO$75+(BS100-BS$75)*1000)</f>
        <v>4.7935732398038944</v>
      </c>
      <c r="CP100" s="43">
        <f t="shared" ref="CP100" si="3513">IF(BT100="","",CP$75+(BT100-BT$75)*1000)</f>
        <v>-0.44758332297500925</v>
      </c>
      <c r="CQ100" s="43"/>
      <c r="CR100" s="43"/>
      <c r="CS100" s="43"/>
      <c r="CT100" s="43">
        <f t="shared" ref="CT100" si="3514">IF(BX100="","",CT$75+(BX100-BX$75)*1000)</f>
        <v>-14.422936635469341</v>
      </c>
      <c r="CU100" s="43">
        <f t="shared" ref="CU100" si="3515">IF(BY100="","",CU$75+(BY100-BY$75)*1000)</f>
        <v>-3.6470637127113124</v>
      </c>
      <c r="CV100" s="43">
        <f t="shared" ref="CV100" si="3516">IF(BZ100="","",CV$75+(BZ100-BZ$75)*1000)</f>
        <v>-85.606770633651848</v>
      </c>
      <c r="CW100" s="43"/>
      <c r="CX100" s="43"/>
      <c r="CY100" s="43"/>
      <c r="CZ100" s="43">
        <f t="shared" ref="CZ100" si="3517">IF(CD100="","",CZ$75+(CD100-CD$75)*1000)</f>
        <v>1.9085751438296938</v>
      </c>
      <c r="DA100" s="43">
        <f t="shared" ref="DA100" si="3518">IF(CE100="","",DA$75+(CE100-CE$75)*1000)</f>
        <v>-29.69385646144751</v>
      </c>
      <c r="DB100" s="43">
        <f t="shared" ref="DB100" si="3519">IF(CF100="","",DB$75+(CF100-CF$75)*1000)</f>
        <v>-2.6510857514674413</v>
      </c>
      <c r="DC100" s="43">
        <f t="shared" ref="DC100" si="3520">IF(CG100="","",DC$75+(CG100-CG$75)*1000)</f>
        <v>13.459883777727555</v>
      </c>
      <c r="DD100" s="43">
        <f t="shared" ref="DD100" si="3521">IF(CH100="","",DD$75+(CH100-CH$75)*1000)</f>
        <v>-26.796334059854043</v>
      </c>
      <c r="DE100" s="43">
        <f t="shared" ref="DE100" si="3522">IF(CI100="","",DE$75+(CI100-CI$75)*1000)</f>
        <v>-30.631598837782434</v>
      </c>
    </row>
    <row r="101" spans="1:109" ht="29.25" customHeight="1" x14ac:dyDescent="0.2">
      <c r="A101" s="37">
        <v>44902</v>
      </c>
      <c r="B101" s="29">
        <f t="shared" ref="B101" si="3523">IF(A101="","",A101-excav)</f>
        <v>1244</v>
      </c>
      <c r="C101" s="38">
        <v>222.9</v>
      </c>
      <c r="D101" s="38">
        <v>39</v>
      </c>
      <c r="E101" s="39">
        <v>823233.37789999996</v>
      </c>
      <c r="F101" s="39">
        <v>1091513.5554</v>
      </c>
      <c r="G101" s="39">
        <v>-124.5796</v>
      </c>
      <c r="H101" s="39">
        <v>823233.25150000001</v>
      </c>
      <c r="I101" s="39">
        <v>1091513.7577</v>
      </c>
      <c r="J101" s="39">
        <v>-123.4143</v>
      </c>
      <c r="K101" s="39" t="e">
        <v>#N/A</v>
      </c>
      <c r="L101" s="39" t="e">
        <v>#N/A</v>
      </c>
      <c r="M101" s="39" t="e">
        <v>#N/A</v>
      </c>
      <c r="N101" s="39">
        <v>823234.43980000005</v>
      </c>
      <c r="O101" s="39">
        <v>1091511.1081999999</v>
      </c>
      <c r="P101" s="39">
        <v>-121.3278</v>
      </c>
      <c r="Q101" s="39" t="e">
        <v>#N/A</v>
      </c>
      <c r="R101" s="39" t="e">
        <v>#N/A</v>
      </c>
      <c r="S101" s="39" t="e">
        <v>#N/A</v>
      </c>
      <c r="T101" s="39">
        <v>823235.47939999995</v>
      </c>
      <c r="U101" s="39">
        <v>1091508.9036000001</v>
      </c>
      <c r="V101" s="39">
        <f ca="1">101:101+A102-123.4527</f>
        <v>0</v>
      </c>
      <c r="W101" s="39">
        <v>823235.40590000001</v>
      </c>
      <c r="X101" s="39">
        <v>1091509.0448</v>
      </c>
      <c r="Y101" s="39">
        <v>-124.62309999999999</v>
      </c>
      <c r="Z101" s="39">
        <f t="shared" si="2647"/>
        <v>4.2060221932899342</v>
      </c>
      <c r="AA101" s="39">
        <f t="shared" si="2546"/>
        <v>3.5756662862180359</v>
      </c>
      <c r="AB101" s="39"/>
      <c r="AC101" s="39"/>
      <c r="AD101" s="39">
        <f t="shared" ca="1" si="2548"/>
        <v>3.2336093346312</v>
      </c>
      <c r="AE101" s="39">
        <f t="shared" si="2648"/>
        <v>4.0062414879012547</v>
      </c>
      <c r="AF101" s="39"/>
      <c r="AG101" s="39">
        <f t="shared" ca="1" si="2550"/>
        <v>5.3410953725402619</v>
      </c>
      <c r="AH101" s="39">
        <f t="shared" si="2560"/>
        <v>4.9457242755223536</v>
      </c>
      <c r="AI101" s="43">
        <f t="shared" ref="AI101" si="3524">IF(Z101="","",AI$75+(Z101-Z$75)*1000)</f>
        <v>-79.182091656561767</v>
      </c>
      <c r="AJ101" s="43">
        <f t="shared" ref="AJ101" si="3525">IF(AA101="","",AJ$75+(AA101-AA$75)*1000)</f>
        <v>-62.791573438294002</v>
      </c>
      <c r="AK101" s="43"/>
      <c r="AL101" s="43" t="str">
        <f t="shared" ref="AL101" si="3526">IF(AC101="","",AL$75+(AC101-AC$75)*1000)</f>
        <v/>
      </c>
      <c r="AM101" s="43">
        <f t="shared" ref="AM101" ca="1" si="3527">IF(AD101="","",AM$75+(AD101-AD$75)*1000)</f>
        <v>-76.738270823129454</v>
      </c>
      <c r="AN101" s="43">
        <f t="shared" ref="AN101" si="3528">IF(AE101="","",AN$75+(AE101-AE$75)*1000)</f>
        <v>-61.239590468280092</v>
      </c>
      <c r="AO101" s="43"/>
      <c r="AP101" s="43">
        <f t="shared" ref="AP101" ca="1" si="3529">IF(AG101="","",AP$75+(AG101-AG$75)*1000)</f>
        <v>-35.436882526203028</v>
      </c>
      <c r="AQ101" s="43">
        <f t="shared" ref="AQ101" si="3530">IF(AH101="","",AQ$75+(AH101-AH$75)*1000)</f>
        <v>-32.147380773128731</v>
      </c>
      <c r="AR101" s="40"/>
      <c r="AS101" s="43">
        <f t="shared" ref="AS101" si="3531">IF(E101="","",(E101-E$75)*1000+AS$75)</f>
        <v>0.54999988060444593</v>
      </c>
      <c r="AT101" s="43">
        <f t="shared" ref="AT101" si="3532">IF(F101="","",(F101-F$75)*1000+AT$75)</f>
        <v>-4.0500003378838301</v>
      </c>
      <c r="AU101" s="43">
        <f t="shared" ref="AU101" si="3533">IF(G101="","",(G101-G$75)*1000+AU$75)</f>
        <v>4.5999999999963848</v>
      </c>
      <c r="AV101" s="43">
        <f t="shared" ref="AV101" si="3534">IF(H101="","",(H101-H$75)*1000+AV$75)</f>
        <v>1.0000000474974513</v>
      </c>
      <c r="AW101" s="43">
        <f t="shared" ref="AW101" si="3535">IF(I101="","",(I101-I$75)*1000+AW$75)</f>
        <v>-4.650000249966979</v>
      </c>
      <c r="AX101" s="43">
        <f t="shared" ref="AX101" si="3536">IF(J101="","",(J101-J$75)*1000+AX$75)</f>
        <v>-0.34999999999740794</v>
      </c>
      <c r="AY101" s="43" t="e">
        <f t="shared" ref="AY101" si="3537">IF(K101="","",(K101-K$10)*1000)</f>
        <v>#N/A</v>
      </c>
      <c r="AZ101" s="43" t="e">
        <f t="shared" ref="AZ101" si="3538">IF(L101="","",(L101-L$10)*1000)</f>
        <v>#N/A</v>
      </c>
      <c r="BA101" s="43" t="e">
        <f t="shared" ref="BA101" si="3539">IF(M101="","",(M101-M$10)*1000)</f>
        <v>#N/A</v>
      </c>
      <c r="BB101" s="43">
        <f t="shared" ref="BB101" si="3540">IF(N101="","",(N101-N$75)*1000+BB$75)</f>
        <v>-13.199999928474426</v>
      </c>
      <c r="BC101" s="43">
        <f t="shared" ref="BC101" si="3541">IF(O101="","",(O101-O$75)*1000+BC$75)</f>
        <v>-4.5999998692423105</v>
      </c>
      <c r="BD101" s="43">
        <f t="shared" ref="BD101" si="3542">IF(P101="","",(P101-P$75)*1000+BD$75)</f>
        <v>-87.149999999994066</v>
      </c>
      <c r="BE101" s="43" t="e">
        <f t="shared" ref="BE101" si="3543">IF(Q101="","",(Q101-Q$73)*1000+BE$73)</f>
        <v>#N/A</v>
      </c>
      <c r="BF101" s="43" t="e">
        <f t="shared" ref="BF101" si="3544">IF(R101="","",(R101-R$73)*1000+BF$73)</f>
        <v>#N/A</v>
      </c>
      <c r="BG101" s="43" t="e">
        <f t="shared" ref="BG101" si="3545">IF(S101="","",(S101-S$73)*1000+BG$73)</f>
        <v>#N/A</v>
      </c>
      <c r="BH101" s="43">
        <f t="shared" ref="BH101" si="3546">IF(T101="","",(T101-T$75)*1000+BH$75)</f>
        <v>-11.199999949894845</v>
      </c>
      <c r="BI101" s="43">
        <f t="shared" ref="BI101" si="3547">IF(U101="","",(U101-U$75)*1000+BI$75)</f>
        <v>29.050000244751573</v>
      </c>
      <c r="BJ101" s="43">
        <f t="shared" ref="BJ101" ca="1" si="3548">IF(V101="","",(V101-V$75)*1000+BJ$75)</f>
        <v>-2.6999999999759439</v>
      </c>
      <c r="BK101" s="43">
        <f t="shared" ref="BK101" si="3549">IF(W101="","",(W101-W$75)*1000+BK$75)</f>
        <v>0.20000000949949026</v>
      </c>
      <c r="BL101" s="43">
        <f t="shared" ref="BL101" si="3550">IF(X101="","",(X101-X$75)*1000+BL$75)</f>
        <v>31.650000018998981</v>
      </c>
      <c r="BM101" s="43">
        <f t="shared" ref="BM101" si="3551">IF(Y101="","",(Y101-Y$75)*1000+BM$75)</f>
        <v>-29.899999999983606</v>
      </c>
      <c r="BN101" s="40"/>
      <c r="BO101" s="39">
        <v>183.96851588944082</v>
      </c>
      <c r="BP101" s="39">
        <v>-2.4272054109299219</v>
      </c>
      <c r="BQ101" s="39">
        <v>-0.87640515889441417</v>
      </c>
      <c r="BR101" s="39">
        <v>183.939463076116</v>
      </c>
      <c r="BS101" s="39">
        <v>-2.6639715065329903</v>
      </c>
      <c r="BT101" s="39">
        <v>0.28918536923883664</v>
      </c>
      <c r="BU101" s="41" t="e">
        <v>#VALUE!</v>
      </c>
      <c r="BV101" s="42" t="s">
        <v>61</v>
      </c>
      <c r="BW101" s="42" t="s">
        <v>61</v>
      </c>
      <c r="BX101" s="41">
        <v>183.89659341740165</v>
      </c>
      <c r="BY101" s="42">
        <v>0.23948666136923655</v>
      </c>
      <c r="BZ101" s="42">
        <v>2.3761140658259876</v>
      </c>
      <c r="CA101" s="41" t="e">
        <v>#VALUE!</v>
      </c>
      <c r="CB101" s="42" t="s">
        <v>61</v>
      </c>
      <c r="CC101" s="42" t="s">
        <v>61</v>
      </c>
      <c r="CD101" s="41">
        <v>183.90699601024335</v>
      </c>
      <c r="CE101" s="42">
        <v>2.6768871424302016</v>
      </c>
      <c r="CF101" s="42">
        <v>0.25111003989756853</v>
      </c>
      <c r="CG101" s="41">
        <v>183.90006200849004</v>
      </c>
      <c r="CH101" s="42">
        <v>2.517853782413821</v>
      </c>
      <c r="CI101" s="42">
        <v>-0.91922062008490002</v>
      </c>
      <c r="CJ101" s="40"/>
      <c r="CK101" s="43">
        <f t="shared" ref="CK101" si="3552">IF(BO101="","",CK$75+(BO101-BO$75)*1000)</f>
        <v>-1.5573751591944074</v>
      </c>
      <c r="CL101" s="43">
        <f t="shared" ref="CL101" si="3553">IF(BP101="","",CL$75+(BP101-BP$75)*1000)</f>
        <v>4.2287406411301021</v>
      </c>
      <c r="CM101" s="43">
        <f t="shared" ref="CM101" si="3554">IF(BQ101="","",CM$75+(BQ101-BQ$75)*1000)</f>
        <v>4.5945737515853402</v>
      </c>
      <c r="CN101" s="43">
        <f t="shared" ref="CN101" si="3555">IF(BR101="","",CN$75+(BR101-BR$75)*1000)</f>
        <v>-1.09247125394063</v>
      </c>
      <c r="CO101" s="43">
        <f t="shared" ref="CO101" si="3556">IF(BS101="","",CO$75+(BS101-BS$75)*1000)</f>
        <v>4.5712694057029601</v>
      </c>
      <c r="CP101" s="43">
        <f t="shared" ref="CP101" si="3557">IF(BT101="","",CP$75+(BT101-BT$75)*1000)</f>
        <v>-0.36707528746571239</v>
      </c>
      <c r="CQ101" s="43"/>
      <c r="CR101" s="43"/>
      <c r="CS101" s="43"/>
      <c r="CT101" s="43">
        <f t="shared" ref="CT101" si="3558">IF(BX101="","",CT$75+(BX101-BX$75)*1000)</f>
        <v>-13.811025423876799</v>
      </c>
      <c r="CU101" s="43">
        <f t="shared" ref="CU101" si="3559">IF(BY101="","",CU$75+(BY101-BY$75)*1000)</f>
        <v>-1.5521257143956688</v>
      </c>
      <c r="CV101" s="43">
        <f t="shared" ref="CV101" si="3560">IF(BZ101="","",CV$75+(BZ101-BZ$75)*1000)</f>
        <v>-86.972889745757783</v>
      </c>
      <c r="CW101" s="43"/>
      <c r="CX101" s="43"/>
      <c r="CY101" s="43"/>
      <c r="CZ101" s="43">
        <f t="shared" ref="CZ101" si="3561">IF(CD101="","",CZ$75+(CD101-CD$75)*1000)</f>
        <v>2.1111922203260747</v>
      </c>
      <c r="DA101" s="43">
        <f t="shared" ref="DA101" si="3562">IF(CE101="","",DA$75+(CE101-CE$75)*1000)</f>
        <v>-31.122053384467829</v>
      </c>
      <c r="DB101" s="43">
        <f t="shared" ref="DB101" si="3563">IF(CF101="","",DB$75+(CF101-CF$75)*1000)</f>
        <v>-2.6531119222150679</v>
      </c>
      <c r="DC101" s="43">
        <f t="shared" ref="DC101" si="3564">IF(CG101="","",DC$75+(CG101-CG$75)*1000)</f>
        <v>13.482114649349342</v>
      </c>
      <c r="DD101" s="43">
        <f t="shared" ref="DD101" si="3565">IF(CH101="","",DD$75+(CH101-CH$75)*1000)</f>
        <v>-28.441062259627614</v>
      </c>
      <c r="DE101" s="43">
        <f t="shared" ref="DE101" si="3566">IF(CI101="","",DE$75+(CI101-CI$75)*1000)</f>
        <v>-30.056821146498322</v>
      </c>
    </row>
    <row r="102" spans="1:109" ht="29.25" customHeight="1" x14ac:dyDescent="0.2">
      <c r="A102" s="37">
        <v>44915</v>
      </c>
      <c r="B102" s="29">
        <f t="shared" ref="B102" si="3567">IF(A102="","",A102-excav)</f>
        <v>1257</v>
      </c>
      <c r="C102" s="38">
        <v>222.9</v>
      </c>
      <c r="D102" s="38">
        <v>39</v>
      </c>
      <c r="E102" s="39">
        <v>823233.37749999994</v>
      </c>
      <c r="F102" s="39">
        <v>1091513.5549000001</v>
      </c>
      <c r="G102" s="39">
        <v>-124.5801</v>
      </c>
      <c r="H102" s="39">
        <v>823233.25139999995</v>
      </c>
      <c r="I102" s="39">
        <v>1091513.7577</v>
      </c>
      <c r="J102" s="39">
        <v>-123.4147</v>
      </c>
      <c r="K102" s="39" t="e">
        <v>#N/A</v>
      </c>
      <c r="L102" s="39" t="e">
        <v>#N/A</v>
      </c>
      <c r="M102" s="39" t="e">
        <v>#N/A</v>
      </c>
      <c r="N102" s="39">
        <v>823234.43949999998</v>
      </c>
      <c r="O102" s="39">
        <v>1091511.1077000001</v>
      </c>
      <c r="P102" s="39">
        <v>-121.3284</v>
      </c>
      <c r="Q102" s="39" t="e">
        <v>#N/A</v>
      </c>
      <c r="R102" s="39" t="e">
        <v>#N/A</v>
      </c>
      <c r="S102" s="39" t="e">
        <v>#N/A</v>
      </c>
      <c r="T102" s="39">
        <v>823235.47970000003</v>
      </c>
      <c r="U102" s="39">
        <v>1091508.9032000001</v>
      </c>
      <c r="V102" s="39">
        <v>-123.453</v>
      </c>
      <c r="W102" s="39" t="e">
        <v>#N/A</v>
      </c>
      <c r="X102" s="39" t="e">
        <v>#N/A</v>
      </c>
      <c r="Y102" s="39" t="e">
        <v>#N/A</v>
      </c>
      <c r="Z102" s="39">
        <f t="shared" si="2647"/>
        <v>4.2059701295104226</v>
      </c>
      <c r="AA102" s="39">
        <f t="shared" si="2546"/>
        <v>3.5758536462744241</v>
      </c>
      <c r="AB102" s="39"/>
      <c r="AC102" s="39"/>
      <c r="AD102" s="39">
        <f t="shared" si="2548"/>
        <v>3.2335369875825477</v>
      </c>
      <c r="AE102" s="39" t="e">
        <f t="shared" si="2648"/>
        <v>#N/A</v>
      </c>
      <c r="AF102" s="39"/>
      <c r="AG102" s="39">
        <f t="shared" si="2550"/>
        <v>5.3416250363872235</v>
      </c>
      <c r="AH102" s="39" t="e">
        <f t="shared" si="2560"/>
        <v>#N/A</v>
      </c>
      <c r="AI102" s="43">
        <f t="shared" ref="AI102" si="3568">IF(Z102="","",AI$75+(Z102-Z$75)*1000)</f>
        <v>-79.23415543607338</v>
      </c>
      <c r="AJ102" s="43">
        <f t="shared" ref="AJ102" si="3569">IF(AA102="","",AJ$75+(AA102-AA$75)*1000)</f>
        <v>-62.604213381905808</v>
      </c>
      <c r="AK102" s="43"/>
      <c r="AL102" s="43" t="str">
        <f t="shared" ref="AL102" si="3570">IF(AC102="","",AL$75+(AC102-AC$75)*1000)</f>
        <v/>
      </c>
      <c r="AM102" s="43">
        <f t="shared" ref="AM102" si="3571">IF(AD102="","",AM$75+(AD102-AD$75)*1000)</f>
        <v>-76.810617871781787</v>
      </c>
      <c r="AN102" s="43" t="e">
        <f t="shared" ref="AN102" si="3572">IF(AE102="","",AN$75+(AE102-AE$75)*1000)</f>
        <v>#N/A</v>
      </c>
      <c r="AO102" s="43"/>
      <c r="AP102" s="43">
        <f t="shared" ref="AP102" si="3573">IF(AG102="","",AP$75+(AG102-AG$75)*1000)</f>
        <v>-34.907218679241403</v>
      </c>
      <c r="AQ102" s="43" t="e">
        <f t="shared" ref="AQ102" si="3574">IF(AH102="","",AQ$75+(AH102-AH$75)*1000)</f>
        <v>#N/A</v>
      </c>
      <c r="AR102" s="40"/>
      <c r="AS102" s="43">
        <f t="shared" ref="AS102" si="3575">IF(E102="","",(E102-E$75)*1000+AS$75)</f>
        <v>0.14999986160546541</v>
      </c>
      <c r="AT102" s="43">
        <f t="shared" ref="AT102" si="3576">IF(F102="","",(F102-F$75)*1000+AT$75)</f>
        <v>-4.550000187009573</v>
      </c>
      <c r="AU102" s="43">
        <f t="shared" ref="AU102" si="3577">IF(G102="","",(G102-G$75)*1000+AU$75)</f>
        <v>4.0999999999939973</v>
      </c>
      <c r="AV102" s="43">
        <f t="shared" ref="AV102" si="3578">IF(H102="","",(H102-H$75)*1000+AV$75)</f>
        <v>0.89999998454004526</v>
      </c>
      <c r="AW102" s="43">
        <f t="shared" ref="AW102" si="3579">IF(I102="","",(I102-I$75)*1000+AW$75)</f>
        <v>-4.650000249966979</v>
      </c>
      <c r="AX102" s="43">
        <f t="shared" ref="AX102" si="3580">IF(J102="","",(J102-J$75)*1000+AX$75)</f>
        <v>-0.74999999999647571</v>
      </c>
      <c r="AY102" s="43" t="e">
        <f t="shared" ref="AY102" si="3581">IF(K102="","",(K102-K$10)*1000)</f>
        <v>#N/A</v>
      </c>
      <c r="AZ102" s="43" t="e">
        <f t="shared" ref="AZ102" si="3582">IF(L102="","",(L102-L$10)*1000)</f>
        <v>#N/A</v>
      </c>
      <c r="BA102" s="43" t="e">
        <f t="shared" ref="BA102" si="3583">IF(M102="","",(M102-M$10)*1000)</f>
        <v>#N/A</v>
      </c>
      <c r="BB102" s="43">
        <f t="shared" ref="BB102" si="3584">IF(N102="","",(N102-N$75)*1000+BB$75)</f>
        <v>-13.500000000931323</v>
      </c>
      <c r="BC102" s="43">
        <f t="shared" ref="BC102" si="3585">IF(O102="","",(O102-O$75)*1000+BC$75)</f>
        <v>-5.0999997183680534</v>
      </c>
      <c r="BD102" s="43">
        <f t="shared" ref="BD102" si="3586">IF(P102="","",(P102-P$75)*1000+BD$75)</f>
        <v>-87.749999999999773</v>
      </c>
      <c r="BE102" s="43" t="e">
        <f t="shared" ref="BE102" si="3587">IF(Q102="","",(Q102-Q$73)*1000+BE$73)</f>
        <v>#N/A</v>
      </c>
      <c r="BF102" s="43" t="e">
        <f t="shared" ref="BF102" si="3588">IF(R102="","",(R102-R$73)*1000+BF$73)</f>
        <v>#N/A</v>
      </c>
      <c r="BG102" s="43" t="e">
        <f t="shared" ref="BG102" si="3589">IF(S102="","",(S102-S$73)*1000+BG$73)</f>
        <v>#N/A</v>
      </c>
      <c r="BH102" s="43">
        <f t="shared" ref="BH102" si="3590">IF(T102="","",(T102-T$75)*1000+BH$75)</f>
        <v>-10.899999877437949</v>
      </c>
      <c r="BI102" s="43">
        <f t="shared" ref="BI102" si="3591">IF(U102="","",(U102-U$75)*1000+BI$75)</f>
        <v>28.650000225752592</v>
      </c>
      <c r="BJ102" s="43">
        <f t="shared" ref="BJ102" si="3592">IF(V102="","",(V102-V$75)*1000+BJ$75)</f>
        <v>-2.9999999999859028</v>
      </c>
      <c r="BK102" s="43" t="e">
        <f t="shared" ref="BK102" si="3593">IF(W102="","",(W102-W$75)*1000+BK$75)</f>
        <v>#N/A</v>
      </c>
      <c r="BL102" s="43" t="e">
        <f t="shared" ref="BL102" si="3594">IF(X102="","",(X102-X$75)*1000+BL$75)</f>
        <v>#N/A</v>
      </c>
      <c r="BM102" s="43" t="e">
        <f t="shared" ref="BM102" si="3595">IF(Y102="","",(Y102-Y$75)*1000+BM$75)</f>
        <v>#N/A</v>
      </c>
      <c r="BN102" s="40"/>
      <c r="BO102" s="39">
        <v>183.96794204666267</v>
      </c>
      <c r="BP102" s="39">
        <v>-2.4269213258541864</v>
      </c>
      <c r="BQ102" s="39">
        <v>-0.8768994204666285</v>
      </c>
      <c r="BR102" s="39">
        <v>183.93937244685407</v>
      </c>
      <c r="BS102" s="39">
        <v>-2.6640137717605978</v>
      </c>
      <c r="BT102" s="39">
        <v>0.2887862755314643</v>
      </c>
      <c r="BU102" s="41" t="e">
        <v>#VALUE!</v>
      </c>
      <c r="BV102" s="42" t="s">
        <v>61</v>
      </c>
      <c r="BW102" s="42" t="s">
        <v>61</v>
      </c>
      <c r="BX102" s="41">
        <v>183.89611020377995</v>
      </c>
      <c r="BY102" s="42">
        <v>0.23981301162342383</v>
      </c>
      <c r="BZ102" s="42">
        <v>2.3755188979621948</v>
      </c>
      <c r="CA102" s="41" t="e">
        <v>#VALUE!</v>
      </c>
      <c r="CB102" s="42" t="s">
        <v>61</v>
      </c>
      <c r="CC102" s="42" t="s">
        <v>61</v>
      </c>
      <c r="CD102" s="41">
        <v>183.90709883711168</v>
      </c>
      <c r="CE102" s="42">
        <v>2.6773764549007306</v>
      </c>
      <c r="CF102" s="42">
        <v>0.25080901162887415</v>
      </c>
      <c r="CG102" s="41" t="e">
        <v>#VALUE!</v>
      </c>
      <c r="CH102" s="42" t="s">
        <v>61</v>
      </c>
      <c r="CI102" s="42" t="s">
        <v>61</v>
      </c>
      <c r="CJ102" s="40"/>
      <c r="CK102" s="43">
        <f t="shared" ref="CK102" si="3596">IF(BO102="","",CK$75+(BO102-BO$75)*1000)</f>
        <v>-2.1312179373467188</v>
      </c>
      <c r="CL102" s="43">
        <f t="shared" ref="CL102" si="3597">IF(BP102="","",CL$75+(BP102-BP$75)*1000)</f>
        <v>4.5128257168656205</v>
      </c>
      <c r="CM102" s="43">
        <f t="shared" ref="CM102" si="3598">IF(BQ102="","",CM$75+(BQ102-BQ$75)*1000)</f>
        <v>4.1003121793710129</v>
      </c>
      <c r="CN102" s="43">
        <f t="shared" ref="CN102" si="3599">IF(BR102="","",CN$75+(BR102-BR$75)*1000)</f>
        <v>-1.1831005158740027</v>
      </c>
      <c r="CO102" s="43">
        <f t="shared" ref="CO102" si="3600">IF(BS102="","",CO$75+(BS102-BS$75)*1000)</f>
        <v>4.5290041780954304</v>
      </c>
      <c r="CP102" s="43">
        <f t="shared" ref="CP102" si="3601">IF(BT102="","",CP$75+(BT102-BT$75)*1000)</f>
        <v>-0.76616899483805678</v>
      </c>
      <c r="CQ102" s="43"/>
      <c r="CR102" s="43"/>
      <c r="CS102" s="43"/>
      <c r="CT102" s="43">
        <f t="shared" ref="CT102" si="3602">IF(BX102="","",CT$75+(BX102-BX$75)*1000)</f>
        <v>-14.294239045568702</v>
      </c>
      <c r="CU102" s="43">
        <f t="shared" ref="CU102" si="3603">IF(BY102="","",CU$75+(BY102-BY$75)*1000)</f>
        <v>-1.2257754602083835</v>
      </c>
      <c r="CV102" s="43">
        <f t="shared" ref="CV102" si="3604">IF(BZ102="","",CV$75+(BZ102-BZ$75)*1000)</f>
        <v>-87.56805760955055</v>
      </c>
      <c r="CW102" s="43"/>
      <c r="CX102" s="43"/>
      <c r="CY102" s="43"/>
      <c r="CZ102" s="43">
        <f t="shared" ref="CZ102" si="3605">IF(CD102="","",CZ$75+(CD102-CD$75)*1000)</f>
        <v>2.2140190886545952</v>
      </c>
      <c r="DA102" s="43">
        <f t="shared" ref="DA102" si="3606">IF(CE102="","",DA$75+(CE102-CE$75)*1000)</f>
        <v>-30.632740913938861</v>
      </c>
      <c r="DB102" s="43">
        <f t="shared" ref="DB102" si="3607">IF(CF102="","",DB$75+(CF102-CF$75)*1000)</f>
        <v>-2.9541401909094489</v>
      </c>
      <c r="DC102" s="43" t="e">
        <f t="shared" ref="DC102" si="3608">IF(CG102="","",DC$75+(CG102-CG$75)*1000)</f>
        <v>#VALUE!</v>
      </c>
      <c r="DD102" s="43" t="e">
        <f t="shared" ref="DD102" si="3609">IF(CH102="","",DD$75+(CH102-CH$75)*1000)</f>
        <v>#VALUE!</v>
      </c>
      <c r="DE102" s="43" t="e">
        <f t="shared" ref="DE102" si="3610">IF(CI102="","",DE$75+(CI102-CI$75)*1000)</f>
        <v>#VALUE!</v>
      </c>
    </row>
    <row r="103" spans="1:109" ht="29.25" customHeight="1" x14ac:dyDescent="0.2">
      <c r="A103" s="37">
        <v>44930</v>
      </c>
      <c r="B103" s="29">
        <f t="shared" ref="B103" si="3611">IF(A103="","",A103-excav)</f>
        <v>1272</v>
      </c>
      <c r="C103" s="38">
        <v>222.9</v>
      </c>
      <c r="D103" s="38">
        <v>39</v>
      </c>
      <c r="E103" s="39">
        <v>823233.37719999999</v>
      </c>
      <c r="F103" s="39">
        <v>1091513.5545999999</v>
      </c>
      <c r="G103" s="39">
        <v>-124.58</v>
      </c>
      <c r="H103" s="39">
        <v>823233.25080000004</v>
      </c>
      <c r="I103" s="39">
        <v>1091513.7568999999</v>
      </c>
      <c r="J103" s="39">
        <v>-123.4147</v>
      </c>
      <c r="K103" s="39" t="e">
        <v>#N/A</v>
      </c>
      <c r="L103" s="39" t="e">
        <v>#N/A</v>
      </c>
      <c r="M103" s="39" t="e">
        <v>#N/A</v>
      </c>
      <c r="N103" s="39">
        <v>823234.43920000002</v>
      </c>
      <c r="O103" s="39">
        <v>1091511.1074999999</v>
      </c>
      <c r="P103" s="39">
        <v>-121.3284</v>
      </c>
      <c r="Q103" s="39" t="e">
        <v>#N/A</v>
      </c>
      <c r="R103" s="39" t="e">
        <v>#N/A</v>
      </c>
      <c r="S103" s="39" t="e">
        <v>#N/A</v>
      </c>
      <c r="T103" s="39">
        <v>823235.47889999999</v>
      </c>
      <c r="U103" s="39">
        <v>1091508.9031</v>
      </c>
      <c r="V103" s="39">
        <v>-123.453</v>
      </c>
      <c r="W103" s="39" t="e">
        <v>#N/A</v>
      </c>
      <c r="X103" s="39" t="e">
        <v>#N/A</v>
      </c>
      <c r="Y103" s="39" t="e">
        <v>#N/A</v>
      </c>
      <c r="Z103" s="39">
        <f t="shared" si="2647"/>
        <v>4.2058346341749768</v>
      </c>
      <c r="AA103" s="39">
        <f t="shared" si="2546"/>
        <v>3.5755087204390366</v>
      </c>
      <c r="AB103" s="39"/>
      <c r="AC103" s="39"/>
      <c r="AD103" s="39">
        <f t="shared" si="2548"/>
        <v>3.2333079979513841</v>
      </c>
      <c r="AE103" s="39" t="e">
        <f t="shared" si="2648"/>
        <v>#N/A</v>
      </c>
      <c r="AF103" s="39"/>
      <c r="AG103" s="39">
        <f t="shared" si="2550"/>
        <v>5.3409054418740753</v>
      </c>
      <c r="AH103" s="39" t="e">
        <f t="shared" si="2560"/>
        <v>#N/A</v>
      </c>
      <c r="AI103" s="43">
        <f t="shared" ref="AI103" si="3612">IF(Z103="","",AI$75+(Z103-Z$75)*1000)</f>
        <v>-79.369650771519147</v>
      </c>
      <c r="AJ103" s="43">
        <f t="shared" ref="AJ103" si="3613">IF(AA103="","",AJ$75+(AA103-AA$75)*1000)</f>
        <v>-62.949139217293393</v>
      </c>
      <c r="AK103" s="43"/>
      <c r="AL103" s="43" t="str">
        <f t="shared" ref="AL103" si="3614">IF(AC103="","",AL$75+(AC103-AC$75)*1000)</f>
        <v/>
      </c>
      <c r="AM103" s="43">
        <f t="shared" ref="AM103" si="3615">IF(AD103="","",AM$75+(AD103-AD$75)*1000)</f>
        <v>-77.039607502945358</v>
      </c>
      <c r="AN103" s="43" t="e">
        <f t="shared" ref="AN103" si="3616">IF(AE103="","",AN$75+(AE103-AE$75)*1000)</f>
        <v>#N/A</v>
      </c>
      <c r="AO103" s="43"/>
      <c r="AP103" s="43">
        <f t="shared" ref="AP103" si="3617">IF(AG103="","",AP$75+(AG103-AG$75)*1000)</f>
        <v>-35.626813192389584</v>
      </c>
      <c r="AQ103" s="43" t="e">
        <f t="shared" ref="AQ103" si="3618">IF(AH103="","",AQ$75+(AH103-AH$75)*1000)</f>
        <v>#N/A</v>
      </c>
      <c r="AR103" s="40"/>
      <c r="AS103" s="43">
        <f t="shared" ref="AS103" si="3619">IF(E103="","",(E103-E$75)*1000+AS$75)</f>
        <v>-0.15000009443610907</v>
      </c>
      <c r="AT103" s="43">
        <f t="shared" ref="AT103" si="3620">IF(F103="","",(F103-F$75)*1000+AT$75)</f>
        <v>-4.8500003758817911</v>
      </c>
      <c r="AU103" s="43">
        <f t="shared" ref="AU103" si="3621">IF(G103="","",(G103-G$75)*1000+AU$75)</f>
        <v>4.199999999997317</v>
      </c>
      <c r="AV103" s="43">
        <f t="shared" ref="AV103" si="3622">IF(H103="","",(H103-H$75)*1000+AV$75)</f>
        <v>0.30000007245689631</v>
      </c>
      <c r="AW103" s="43">
        <f t="shared" ref="AW103" si="3623">IF(I103="","",(I103-I$75)*1000+AW$75)</f>
        <v>-5.4500002879649401</v>
      </c>
      <c r="AX103" s="43">
        <f t="shared" ref="AX103" si="3624">IF(J103="","",(J103-J$75)*1000+AX$75)</f>
        <v>-0.74999999999647571</v>
      </c>
      <c r="AY103" s="43" t="e">
        <f t="shared" ref="AY103" si="3625">IF(K103="","",(K103-K$10)*1000)</f>
        <v>#N/A</v>
      </c>
      <c r="AZ103" s="43" t="e">
        <f t="shared" ref="AZ103" si="3626">IF(L103="","",(L103-L$10)*1000)</f>
        <v>#N/A</v>
      </c>
      <c r="BA103" s="43" t="e">
        <f t="shared" ref="BA103" si="3627">IF(M103="","",(M103-M$10)*1000)</f>
        <v>#N/A</v>
      </c>
      <c r="BB103" s="43">
        <f t="shared" ref="BB103" si="3628">IF(N103="","",(N103-N$75)*1000+BB$75)</f>
        <v>-13.799999956972897</v>
      </c>
      <c r="BC103" s="43">
        <f t="shared" ref="BC103" si="3629">IF(O103="","",(O103-O$75)*1000+BC$75)</f>
        <v>-5.2999998442828655</v>
      </c>
      <c r="BD103" s="43">
        <f t="shared" ref="BD103" si="3630">IF(P103="","",(P103-P$75)*1000+BD$75)</f>
        <v>-87.749999999999773</v>
      </c>
      <c r="BE103" s="43" t="e">
        <f t="shared" ref="BE103" si="3631">IF(Q103="","",(Q103-Q$73)*1000+BE$73)</f>
        <v>#N/A</v>
      </c>
      <c r="BF103" s="43" t="e">
        <f t="shared" ref="BF103" si="3632">IF(R103="","",(R103-R$73)*1000+BF$73)</f>
        <v>#N/A</v>
      </c>
      <c r="BG103" s="43" t="e">
        <f t="shared" ref="BG103" si="3633">IF(S103="","",(S103-S$73)*1000+BG$73)</f>
        <v>#N/A</v>
      </c>
      <c r="BH103" s="43">
        <f t="shared" ref="BH103" si="3634">IF(T103="","",(T103-T$75)*1000+BH$75)</f>
        <v>-11.69999991543591</v>
      </c>
      <c r="BI103" s="43">
        <f t="shared" ref="BI103" si="3635">IF(U103="","",(U103-U$75)*1000+BI$75)</f>
        <v>28.550000162795186</v>
      </c>
      <c r="BJ103" s="43">
        <f t="shared" ref="BJ103" si="3636">IF(V103="","",(V103-V$75)*1000+BJ$75)</f>
        <v>-2.9999999999859028</v>
      </c>
      <c r="BK103" s="43" t="e">
        <f t="shared" ref="BK103" si="3637">IF(W103="","",(W103-W$75)*1000+BK$75)</f>
        <v>#N/A</v>
      </c>
      <c r="BL103" s="43" t="e">
        <f t="shared" ref="BL103" si="3638">IF(X103="","",(X103-X$75)*1000+BL$75)</f>
        <v>#N/A</v>
      </c>
      <c r="BM103" s="43" t="e">
        <f t="shared" ref="BM103" si="3639">IF(Y103="","",(Y103-Y$75)*1000+BM$75)</f>
        <v>#N/A</v>
      </c>
      <c r="BN103" s="40"/>
      <c r="BO103" s="39">
        <v>183.96754336340487</v>
      </c>
      <c r="BP103" s="39">
        <v>-2.4267762336527072</v>
      </c>
      <c r="BQ103" s="39">
        <v>-0.87679543363404377</v>
      </c>
      <c r="BR103" s="39">
        <v>183.9384905500801</v>
      </c>
      <c r="BS103" s="39">
        <v>-2.6635423292557454</v>
      </c>
      <c r="BT103" s="39">
        <v>0.28879509449919283</v>
      </c>
      <c r="BU103" s="41" t="e">
        <v>#VALUE!</v>
      </c>
      <c r="BV103" s="42" t="s">
        <v>61</v>
      </c>
      <c r="BW103" s="42" t="s">
        <v>61</v>
      </c>
      <c r="BX103" s="41">
        <v>183.8957537857498</v>
      </c>
      <c r="BY103" s="42">
        <v>0.23986747456291793</v>
      </c>
      <c r="BZ103" s="42">
        <v>2.3755224621424986</v>
      </c>
      <c r="CA103" s="41" t="e">
        <v>#VALUE!</v>
      </c>
      <c r="CB103" s="42" t="s">
        <v>61</v>
      </c>
      <c r="CC103" s="42" t="s">
        <v>61</v>
      </c>
      <c r="CD103" s="41">
        <v>183.90633153821028</v>
      </c>
      <c r="CE103" s="42">
        <v>2.6771289625385837</v>
      </c>
      <c r="CF103" s="42">
        <v>0.25081668461788809</v>
      </c>
      <c r="CG103" s="41" t="e">
        <v>#VALUE!</v>
      </c>
      <c r="CH103" s="42" t="s">
        <v>61</v>
      </c>
      <c r="CI103" s="42" t="s">
        <v>61</v>
      </c>
      <c r="CJ103" s="40"/>
      <c r="CK103" s="43">
        <f t="shared" ref="CK103" si="3640">IF(BO103="","",CK$75+(BO103-BO$75)*1000)</f>
        <v>-2.529901195146067</v>
      </c>
      <c r="CL103" s="43">
        <f t="shared" ref="CL103" si="3641">IF(BP103="","",CL$75+(BP103-BP$75)*1000)</f>
        <v>4.6579179183448005</v>
      </c>
      <c r="CM103" s="43">
        <f t="shared" ref="CM103" si="3642">IF(BQ103="","",CM$75+(BQ103-BQ$75)*1000)</f>
        <v>4.2042990119557366</v>
      </c>
      <c r="CN103" s="43">
        <f t="shared" ref="CN103" si="3643">IF(BR103="","",CN$75+(BR103-BR$75)*1000)</f>
        <v>-2.0649972898354463</v>
      </c>
      <c r="CO103" s="43">
        <f t="shared" ref="CO103" si="3644">IF(BS103="","",CO$75+(BS103-BS$75)*1000)</f>
        <v>5.0004466829478567</v>
      </c>
      <c r="CP103" s="43">
        <f t="shared" ref="CP103" si="3645">IF(BT103="","",CP$75+(BT103-BT$75)*1000)</f>
        <v>-0.75735002710952681</v>
      </c>
      <c r="CQ103" s="43"/>
      <c r="CR103" s="43"/>
      <c r="CS103" s="43"/>
      <c r="CT103" s="43">
        <f t="shared" ref="CT103" si="3646">IF(BX103="","",CT$75+(BX103-BX$75)*1000)</f>
        <v>-14.650657075719664</v>
      </c>
      <c r="CU103" s="43">
        <f t="shared" ref="CU103" si="3647">IF(BY103="","",CU$75+(BY103-BY$75)*1000)</f>
        <v>-1.1713125207142845</v>
      </c>
      <c r="CV103" s="43">
        <f t="shared" ref="CV103" si="3648">IF(BZ103="","",CV$75+(BZ103-BZ$75)*1000)</f>
        <v>-87.564493429246767</v>
      </c>
      <c r="CW103" s="43"/>
      <c r="CX103" s="43"/>
      <c r="CY103" s="43"/>
      <c r="CZ103" s="43">
        <f t="shared" ref="CZ103" si="3649">IF(CD103="","",CZ$75+(CD103-CD$75)*1000)</f>
        <v>1.4467201872605528</v>
      </c>
      <c r="DA103" s="43">
        <f t="shared" ref="DA103" si="3650">IF(CE103="","",DA$75+(CE103-CE$75)*1000)</f>
        <v>-30.8802332760858</v>
      </c>
      <c r="DB103" s="43">
        <f t="shared" ref="DB103" si="3651">IF(CF103="","",DB$75+(CF103-CF$75)*1000)</f>
        <v>-2.9464672018955085</v>
      </c>
      <c r="DC103" s="43" t="e">
        <f t="shared" ref="DC103" si="3652">IF(CG103="","",DC$75+(CG103-CG$75)*1000)</f>
        <v>#VALUE!</v>
      </c>
      <c r="DD103" s="43" t="e">
        <f t="shared" ref="DD103" si="3653">IF(CH103="","",DD$75+(CH103-CH$75)*1000)</f>
        <v>#VALUE!</v>
      </c>
      <c r="DE103" s="43" t="e">
        <f t="shared" ref="DE103" si="3654">IF(CI103="","",DE$75+(CI103-CI$75)*1000)</f>
        <v>#VALUE!</v>
      </c>
    </row>
    <row r="104" spans="1:109" ht="29.25" customHeight="1" x14ac:dyDescent="0.2">
      <c r="A104" s="37">
        <v>44945</v>
      </c>
      <c r="B104" s="29">
        <f t="shared" ref="B104" si="3655">IF(A104="","",A104-excav)</f>
        <v>1287</v>
      </c>
      <c r="C104" s="38">
        <v>222.9</v>
      </c>
      <c r="D104" s="38">
        <v>39</v>
      </c>
      <c r="E104" s="39">
        <v>823233.3774</v>
      </c>
      <c r="F104" s="39">
        <v>1091513.5547</v>
      </c>
      <c r="G104" s="39">
        <v>-124.5804</v>
      </c>
      <c r="H104" s="39">
        <v>823233.25100000005</v>
      </c>
      <c r="I104" s="39">
        <v>1091513.7568999999</v>
      </c>
      <c r="J104" s="39">
        <v>-123.4152</v>
      </c>
      <c r="K104" s="39" t="e">
        <v>#N/A</v>
      </c>
      <c r="L104" s="39" t="e">
        <v>#N/A</v>
      </c>
      <c r="M104" s="39" t="e">
        <v>#N/A</v>
      </c>
      <c r="N104" s="39">
        <v>823234.43940000003</v>
      </c>
      <c r="O104" s="39">
        <v>1091511.1074999999</v>
      </c>
      <c r="P104" s="39">
        <v>-121.32899999999999</v>
      </c>
      <c r="Q104" s="39" t="e">
        <v>#N/A</v>
      </c>
      <c r="R104" s="39" t="e">
        <v>#N/A</v>
      </c>
      <c r="S104" s="39" t="e">
        <v>#N/A</v>
      </c>
      <c r="T104" s="39">
        <v>823235.4791</v>
      </c>
      <c r="U104" s="39">
        <v>1091508.9032000001</v>
      </c>
      <c r="V104" s="39">
        <v>-123.45350000000001</v>
      </c>
      <c r="W104" s="39">
        <v>823235.40529999998</v>
      </c>
      <c r="X104" s="39">
        <v>1091509.0443</v>
      </c>
      <c r="Y104" s="39">
        <v>-124.6238</v>
      </c>
      <c r="Z104" s="39">
        <f t="shared" si="2647"/>
        <v>4.2057381992147285</v>
      </c>
      <c r="AA104" s="39">
        <f t="shared" si="2546"/>
        <v>3.5754503716225234</v>
      </c>
      <c r="AB104" s="39"/>
      <c r="AC104" s="39"/>
      <c r="AD104" s="39">
        <f t="shared" si="2548"/>
        <v>3.2331741105821834</v>
      </c>
      <c r="AE104" s="39">
        <f t="shared" si="2648"/>
        <v>4.005678979873978</v>
      </c>
      <c r="AF104" s="39"/>
      <c r="AG104" s="39">
        <f t="shared" si="2550"/>
        <v>5.3408145622581742</v>
      </c>
      <c r="AH104" s="39">
        <f t="shared" si="2560"/>
        <v>4.9454999878880042</v>
      </c>
      <c r="AI104" s="43">
        <f t="shared" ref="AI104" si="3656">IF(Z104="","",AI$75+(Z104-Z$75)*1000)</f>
        <v>-79.466085731767507</v>
      </c>
      <c r="AJ104" s="43">
        <f t="shared" ref="AJ104" si="3657">IF(AA104="","",AJ$75+(AA104-AA$75)*1000)</f>
        <v>-63.00748803380651</v>
      </c>
      <c r="AK104" s="43"/>
      <c r="AL104" s="43" t="str">
        <f t="shared" ref="AL104" si="3658">IF(AC104="","",AL$75+(AC104-AC$75)*1000)</f>
        <v/>
      </c>
      <c r="AM104" s="43">
        <f t="shared" ref="AM104" si="3659">IF(AD104="","",AM$75+(AD104-AD$75)*1000)</f>
        <v>-77.173494872146094</v>
      </c>
      <c r="AN104" s="43">
        <f t="shared" ref="AN104" si="3660">IF(AE104="","",AN$75+(AE104-AE$75)*1000)</f>
        <v>-61.802098495556734</v>
      </c>
      <c r="AO104" s="43"/>
      <c r="AP104" s="43">
        <f t="shared" ref="AP104" si="3661">IF(AG104="","",AP$75+(AG104-AG$75)*1000)</f>
        <v>-35.717692808290735</v>
      </c>
      <c r="AQ104" s="43">
        <f t="shared" ref="AQ104" si="3662">IF(AH104="","",AQ$75+(AH104-AH$75)*1000)</f>
        <v>-32.371668407478182</v>
      </c>
      <c r="AR104" s="40"/>
      <c r="AS104" s="43">
        <f t="shared" ref="AS104" si="3663">IF(E104="","",(E104-E$75)*1000+AS$75)</f>
        <v>4.9999915063381195E-2</v>
      </c>
      <c r="AT104" s="43">
        <f t="shared" ref="AT104" si="3664">IF(F104="","",(F104-F$75)*1000+AT$75)</f>
        <v>-4.7500003129243851</v>
      </c>
      <c r="AU104" s="43">
        <f t="shared" ref="AU104" si="3665">IF(G104="","",(G104-G$75)*1000+AU$75)</f>
        <v>3.7999999999982492</v>
      </c>
      <c r="AV104" s="43">
        <f t="shared" ref="AV104" si="3666">IF(H104="","",(H104-H$75)*1000+AV$75)</f>
        <v>0.50000008195638657</v>
      </c>
      <c r="AW104" s="43">
        <f t="shared" ref="AW104" si="3667">IF(I104="","",(I104-I$75)*1000+AW$75)</f>
        <v>-5.4500002879649401</v>
      </c>
      <c r="AX104" s="43">
        <f t="shared" ref="AX104" si="3668">IF(J104="","",(J104-J$75)*1000+AX$75)</f>
        <v>-1.2499999999988631</v>
      </c>
      <c r="AY104" s="43" t="e">
        <f t="shared" ref="AY104" si="3669">IF(K104="","",(K104-K$10)*1000)</f>
        <v>#N/A</v>
      </c>
      <c r="AZ104" s="43" t="e">
        <f t="shared" ref="AZ104" si="3670">IF(L104="","",(L104-L$10)*1000)</f>
        <v>#N/A</v>
      </c>
      <c r="BA104" s="43" t="e">
        <f t="shared" ref="BA104" si="3671">IF(M104="","",(M104-M$10)*1000)</f>
        <v>#N/A</v>
      </c>
      <c r="BB104" s="43">
        <f t="shared" ref="BB104" si="3672">IF(N104="","",(N104-N$75)*1000+BB$75)</f>
        <v>-13.599999947473407</v>
      </c>
      <c r="BC104" s="43">
        <f t="shared" ref="BC104" si="3673">IF(O104="","",(O104-O$75)*1000+BC$75)</f>
        <v>-5.2999998442828655</v>
      </c>
      <c r="BD104" s="43">
        <f t="shared" ref="BD104" si="3674">IF(P104="","",(P104-P$75)*1000+BD$75)</f>
        <v>-88.349999999991269</v>
      </c>
      <c r="BE104" s="43" t="e">
        <f t="shared" ref="BE104" si="3675">IF(Q104="","",(Q104-Q$73)*1000+BE$73)</f>
        <v>#N/A</v>
      </c>
      <c r="BF104" s="43" t="e">
        <f t="shared" ref="BF104" si="3676">IF(R104="","",(R104-R$73)*1000+BF$73)</f>
        <v>#N/A</v>
      </c>
      <c r="BG104" s="43" t="e">
        <f t="shared" ref="BG104" si="3677">IF(S104="","",(S104-S$73)*1000+BG$73)</f>
        <v>#N/A</v>
      </c>
      <c r="BH104" s="43">
        <f t="shared" ref="BH104" si="3678">IF(T104="","",(T104-T$75)*1000+BH$75)</f>
        <v>-11.49999990593642</v>
      </c>
      <c r="BI104" s="43">
        <f t="shared" ref="BI104" si="3679">IF(U104="","",(U104-U$75)*1000+BI$75)</f>
        <v>28.650000225752592</v>
      </c>
      <c r="BJ104" s="43">
        <f t="shared" ref="BJ104" si="3680">IF(V104="","",(V104-V$75)*1000+BJ$75)</f>
        <v>-3.4999999999882903</v>
      </c>
      <c r="BK104" s="43">
        <f t="shared" ref="BK104" si="3681">IF(W104="","",(W104-W$75)*1000+BK$75)</f>
        <v>-0.40000001899898052</v>
      </c>
      <c r="BL104" s="43">
        <f t="shared" ref="BL104" si="3682">IF(X104="","",(X104-X$75)*1000+BL$75)</f>
        <v>31.149999937042594</v>
      </c>
      <c r="BM104" s="43">
        <f t="shared" ref="BM104" si="3683">IF(Y104="","",(Y104-Y$75)*1000+BM$75)</f>
        <v>-30.599999999992633</v>
      </c>
      <c r="BN104" s="40"/>
      <c r="BO104" s="39">
        <v>183.96776688705094</v>
      </c>
      <c r="BP104" s="39">
        <v>-2.4267823325086253</v>
      </c>
      <c r="BQ104" s="39">
        <v>-0.8771976688705081</v>
      </c>
      <c r="BR104" s="39">
        <v>183.93867180849855</v>
      </c>
      <c r="BS104" s="39">
        <v>-2.6634577988496981</v>
      </c>
      <c r="BT104" s="39">
        <v>0.28829328191501702</v>
      </c>
      <c r="BU104" s="41" t="e">
        <v>#VALUE!</v>
      </c>
      <c r="BV104" s="42" t="s">
        <v>61</v>
      </c>
      <c r="BW104" s="42" t="s">
        <v>61</v>
      </c>
      <c r="BX104" s="41">
        <v>183.89593504416823</v>
      </c>
      <c r="BY104" s="42">
        <v>0.23995200496895827</v>
      </c>
      <c r="BZ104" s="42">
        <v>2.3749206495583195</v>
      </c>
      <c r="CA104" s="41" t="e">
        <v>#VALUE!</v>
      </c>
      <c r="CB104" s="42" t="s">
        <v>61</v>
      </c>
      <c r="CC104" s="42" t="s">
        <v>61</v>
      </c>
      <c r="CD104" s="41">
        <v>183.90655506185635</v>
      </c>
      <c r="CE104" s="42">
        <v>2.677122863682607</v>
      </c>
      <c r="CF104" s="42">
        <v>0.25031444938143466</v>
      </c>
      <c r="CG104" s="41">
        <v>183.89930690719504</v>
      </c>
      <c r="CH104" s="42">
        <v>2.5180533372945773</v>
      </c>
      <c r="CI104" s="42">
        <v>-0.9199130690719528</v>
      </c>
      <c r="CJ104" s="40"/>
      <c r="CK104" s="43">
        <f t="shared" ref="CK104" si="3684">IF(BO104="","",CK$75+(BO104-BO$75)*1000)</f>
        <v>-2.3063775490754779</v>
      </c>
      <c r="CL104" s="43">
        <f t="shared" ref="CL104" si="3685">IF(BP104="","",CL$75+(BP104-BP$75)*1000)</f>
        <v>4.6518190624267319</v>
      </c>
      <c r="CM104" s="43">
        <f t="shared" ref="CM104" si="3686">IF(BQ104="","",CM$75+(BQ104-BQ$75)*1000)</f>
        <v>3.8020637754914155</v>
      </c>
      <c r="CN104" s="43">
        <f t="shared" ref="CN104" si="3687">IF(BR104="","",CN$75+(BR104-BR$75)*1000)</f>
        <v>-1.8837388713848213</v>
      </c>
      <c r="CO104" s="43">
        <f t="shared" ref="CO104" si="3688">IF(BS104="","",CO$75+(BS104-BS$75)*1000)</f>
        <v>5.0849770889951351</v>
      </c>
      <c r="CP104" s="43">
        <f t="shared" ref="CP104" si="3689">IF(BT104="","",CP$75+(BT104-BT$75)*1000)</f>
        <v>-1.259162611285336</v>
      </c>
      <c r="CQ104" s="43"/>
      <c r="CR104" s="43"/>
      <c r="CS104" s="43"/>
      <c r="CT104" s="43">
        <f t="shared" ref="CT104" si="3690">IF(BX104="","",CT$75+(BX104-BX$75)*1000)</f>
        <v>-14.469398657297461</v>
      </c>
      <c r="CU104" s="43">
        <f t="shared" ref="CU104" si="3691">IF(BY104="","",CU$75+(BY104-BY$75)*1000)</f>
        <v>-1.0867821146739454</v>
      </c>
      <c r="CV104" s="43">
        <f t="shared" ref="CV104" si="3692">IF(BZ104="","",CV$75+(BZ104-BZ$75)*1000)</f>
        <v>-88.166306013425896</v>
      </c>
      <c r="CW104" s="43"/>
      <c r="CX104" s="43"/>
      <c r="CY104" s="43"/>
      <c r="CZ104" s="43">
        <f t="shared" ref="CZ104" si="3693">IF(CD104="","",CZ$75+(CD104-CD$75)*1000)</f>
        <v>1.670243833331142</v>
      </c>
      <c r="DA104" s="43">
        <f t="shared" ref="DA104" si="3694">IF(CE104="","",DA$75+(CE104-CE$75)*1000)</f>
        <v>-30.886332132062488</v>
      </c>
      <c r="DB104" s="43">
        <f t="shared" ref="DB104" si="3695">IF(CF104="","",DB$75+(CF104-CF$75)*1000)</f>
        <v>-3.4487024383489384</v>
      </c>
      <c r="DC104" s="43">
        <f t="shared" ref="DC104" si="3696">IF(CG104="","",DC$75+(CG104-CG$75)*1000)</f>
        <v>12.727013354350447</v>
      </c>
      <c r="DD104" s="43">
        <f t="shared" ref="DD104" si="3697">IF(CH104="","",DD$75+(CH104-CH$75)*1000)</f>
        <v>-28.241507378871322</v>
      </c>
      <c r="DE104" s="43">
        <f t="shared" ref="DE104" si="3698">IF(CI104="","",DE$75+(CI104-CI$75)*1000)</f>
        <v>-30.749270133551107</v>
      </c>
    </row>
    <row r="105" spans="1:109" ht="29.25" customHeight="1" x14ac:dyDescent="0.2">
      <c r="A105" s="37">
        <v>44957</v>
      </c>
      <c r="B105" s="29">
        <f t="shared" ref="B105" si="3699">IF(A105="","",A105-excav)</f>
        <v>1299</v>
      </c>
      <c r="C105" s="38">
        <v>222.9</v>
      </c>
      <c r="D105" s="38">
        <v>39</v>
      </c>
      <c r="E105" s="39">
        <v>823233.37679999997</v>
      </c>
      <c r="F105" s="39">
        <v>1091513.5552000001</v>
      </c>
      <c r="G105" s="39">
        <v>-124.58029999999999</v>
      </c>
      <c r="H105" s="39">
        <v>823233.25040000002</v>
      </c>
      <c r="I105" s="39">
        <v>1091513.7577</v>
      </c>
      <c r="J105" s="39">
        <v>-123.41500000000001</v>
      </c>
      <c r="K105" s="39" t="e">
        <v>#N/A</v>
      </c>
      <c r="L105" s="39" t="e">
        <v>#N/A</v>
      </c>
      <c r="M105" s="39" t="e">
        <v>#N/A</v>
      </c>
      <c r="N105" s="39">
        <v>823234.43900000001</v>
      </c>
      <c r="O105" s="39">
        <v>1091511.1078000001</v>
      </c>
      <c r="P105" s="39">
        <v>-121.3288</v>
      </c>
      <c r="Q105" s="39" t="e">
        <v>#N/A</v>
      </c>
      <c r="R105" s="39" t="e">
        <v>#N/A</v>
      </c>
      <c r="S105" s="39" t="e">
        <v>#N/A</v>
      </c>
      <c r="T105" s="39">
        <v>823235.47869999998</v>
      </c>
      <c r="U105" s="39">
        <v>1091508.9032000001</v>
      </c>
      <c r="V105" s="39">
        <v>-123.4532</v>
      </c>
      <c r="W105" s="39">
        <v>823235.40549999999</v>
      </c>
      <c r="X105" s="39">
        <v>1091509.0445000001</v>
      </c>
      <c r="Y105" s="39">
        <v>-124.6236</v>
      </c>
      <c r="Z105" s="39">
        <f t="shared" si="2647"/>
        <v>4.2059823881978824</v>
      </c>
      <c r="AA105" s="39">
        <f t="shared" si="2546"/>
        <v>3.5758873596855101</v>
      </c>
      <c r="AB105" s="39"/>
      <c r="AC105" s="39"/>
      <c r="AD105" s="39">
        <f t="shared" si="2548"/>
        <v>3.233312946525825</v>
      </c>
      <c r="AE105" s="39">
        <f t="shared" si="2648"/>
        <v>4.0058752077565973</v>
      </c>
      <c r="AF105" s="39"/>
      <c r="AG105" s="39">
        <f t="shared" si="2550"/>
        <v>5.3416243202643878</v>
      </c>
      <c r="AH105" s="39">
        <f t="shared" si="2560"/>
        <v>4.9461007945610902</v>
      </c>
      <c r="AI105" s="43">
        <f t="shared" ref="AI105" si="3700">IF(Z105="","",AI$75+(Z105-Z$75)*1000)</f>
        <v>-79.221896748613574</v>
      </c>
      <c r="AJ105" s="43">
        <f t="shared" ref="AJ105" si="3701">IF(AA105="","",AJ$75+(AA105-AA$75)*1000)</f>
        <v>-62.570499970819867</v>
      </c>
      <c r="AK105" s="43"/>
      <c r="AL105" s="43" t="str">
        <f t="shared" ref="AL105" si="3702">IF(AC105="","",AL$75+(AC105-AC$75)*1000)</f>
        <v/>
      </c>
      <c r="AM105" s="43">
        <f t="shared" ref="AM105" si="3703">IF(AD105="","",AM$75+(AD105-AD$75)*1000)</f>
        <v>-77.034658928504484</v>
      </c>
      <c r="AN105" s="43">
        <f t="shared" ref="AN105" si="3704">IF(AE105="","",AN$75+(AE105-AE$75)*1000)</f>
        <v>-61.60587061293743</v>
      </c>
      <c r="AO105" s="43"/>
      <c r="AP105" s="43">
        <f t="shared" ref="AP105" si="3705">IF(AG105="","",AP$75+(AG105-AG$75)*1000)</f>
        <v>-34.907934802077101</v>
      </c>
      <c r="AQ105" s="43">
        <f t="shared" ref="AQ105" si="3706">IF(AH105="","",AQ$75+(AH105-AH$75)*1000)</f>
        <v>-31.770861734392142</v>
      </c>
      <c r="AR105" s="40"/>
      <c r="AS105" s="43">
        <f t="shared" ref="AS105" si="3707">IF(E105="","",(E105-E$75)*1000+AS$75)</f>
        <v>-0.55000011343508959</v>
      </c>
      <c r="AT105" s="43">
        <f t="shared" ref="AT105" si="3708">IF(F105="","",(F105-F$75)*1000+AT$75)</f>
        <v>-4.2500002309679985</v>
      </c>
      <c r="AU105" s="43">
        <f t="shared" ref="AU105" si="3709">IF(G105="","",(G105-G$75)*1000+AU$75)</f>
        <v>3.9000000000015689</v>
      </c>
      <c r="AV105" s="43">
        <f t="shared" ref="AV105" si="3710">IF(H105="","",(H105-H$75)*1000+AV$75)</f>
        <v>-9.9999946542084217E-2</v>
      </c>
      <c r="AW105" s="43">
        <f t="shared" ref="AW105" si="3711">IF(I105="","",(I105-I$75)*1000+AW$75)</f>
        <v>-4.650000249966979</v>
      </c>
      <c r="AX105" s="43">
        <f t="shared" ref="AX105" si="3712">IF(J105="","",(J105-J$75)*1000+AX$75)</f>
        <v>-1.0500000000064347</v>
      </c>
      <c r="AY105" s="43" t="e">
        <f t="shared" ref="AY105" si="3713">IF(K105="","",(K105-K$10)*1000)</f>
        <v>#N/A</v>
      </c>
      <c r="AZ105" s="43" t="e">
        <f t="shared" ref="AZ105" si="3714">IF(L105="","",(L105-L$10)*1000)</f>
        <v>#N/A</v>
      </c>
      <c r="BA105" s="43" t="e">
        <f t="shared" ref="BA105" si="3715">IF(M105="","",(M105-M$10)*1000)</f>
        <v>#N/A</v>
      </c>
      <c r="BB105" s="43">
        <f t="shared" ref="BB105" si="3716">IF(N105="","",(N105-N$75)*1000+BB$75)</f>
        <v>-13.999999966472387</v>
      </c>
      <c r="BC105" s="43">
        <f t="shared" ref="BC105" si="3717">IF(O105="","",(O105-O$75)*1000+BC$75)</f>
        <v>-4.9999996554106474</v>
      </c>
      <c r="BD105" s="43">
        <f t="shared" ref="BD105" si="3718">IF(P105="","",(P105-P$75)*1000+BD$75)</f>
        <v>-88.14999999999884</v>
      </c>
      <c r="BE105" s="43" t="e">
        <f t="shared" ref="BE105" si="3719">IF(Q105="","",(Q105-Q$73)*1000+BE$73)</f>
        <v>#N/A</v>
      </c>
      <c r="BF105" s="43" t="e">
        <f t="shared" ref="BF105" si="3720">IF(R105="","",(R105-R$73)*1000+BF$73)</f>
        <v>#N/A</v>
      </c>
      <c r="BG105" s="43" t="e">
        <f t="shared" ref="BG105" si="3721">IF(S105="","",(S105-S$73)*1000+BG$73)</f>
        <v>#N/A</v>
      </c>
      <c r="BH105" s="43">
        <f t="shared" ref="BH105" si="3722">IF(T105="","",(T105-T$75)*1000+BH$75)</f>
        <v>-11.8999999249354</v>
      </c>
      <c r="BI105" s="43">
        <f t="shared" ref="BI105" si="3723">IF(U105="","",(U105-U$75)*1000+BI$75)</f>
        <v>28.650000225752592</v>
      </c>
      <c r="BJ105" s="43">
        <f t="shared" ref="BJ105" si="3724">IF(V105="","",(V105-V$75)*1000+BJ$75)</f>
        <v>-3.1999999999783313</v>
      </c>
      <c r="BK105" s="43">
        <f t="shared" ref="BK105" si="3725">IF(W105="","",(W105-W$75)*1000+BK$75)</f>
        <v>-0.20000000949949026</v>
      </c>
      <c r="BL105" s="43">
        <f t="shared" ref="BL105" si="3726">IF(X105="","",(X105-X$75)*1000+BL$75)</f>
        <v>31.350000062957406</v>
      </c>
      <c r="BM105" s="43">
        <f t="shared" ref="BM105" si="3727">IF(Y105="","",(Y105-Y$75)*1000+BM$75)</f>
        <v>-30.399999999985994</v>
      </c>
      <c r="BN105" s="40"/>
      <c r="BO105" s="39">
        <v>183.96743443783529</v>
      </c>
      <c r="BP105" s="39">
        <v>-2.4274890698255791</v>
      </c>
      <c r="BQ105" s="39">
        <v>-0.87709434437834943</v>
      </c>
      <c r="BR105" s="39">
        <v>183.93846615486734</v>
      </c>
      <c r="BS105" s="39">
        <v>-2.6644364237415612</v>
      </c>
      <c r="BT105" s="39">
        <v>0.28849533845131248</v>
      </c>
      <c r="BU105" s="41" t="e">
        <v>#VALUE!</v>
      </c>
      <c r="BV105" s="42" t="s">
        <v>61</v>
      </c>
      <c r="BW105" s="42" t="s">
        <v>61</v>
      </c>
      <c r="BX105" s="41">
        <v>183.89569932301424</v>
      </c>
      <c r="BY105" s="42">
        <v>0.23951105637098016</v>
      </c>
      <c r="BZ105" s="42">
        <v>2.3751230067698543</v>
      </c>
      <c r="CA105" s="41" t="e">
        <v>#VALUE!</v>
      </c>
      <c r="CB105" s="42" t="s">
        <v>61</v>
      </c>
      <c r="CC105" s="42" t="s">
        <v>61</v>
      </c>
      <c r="CD105" s="41">
        <v>183.90619254501948</v>
      </c>
      <c r="CE105" s="42">
        <v>2.6769538028705404</v>
      </c>
      <c r="CF105" s="42">
        <v>0.25061807454980567</v>
      </c>
      <c r="CG105" s="41">
        <v>183.8995726960687</v>
      </c>
      <c r="CH105" s="42">
        <v>2.5179566091766947</v>
      </c>
      <c r="CI105" s="42">
        <v>-0.91971572696068904</v>
      </c>
      <c r="CJ105" s="40"/>
      <c r="CK105" s="43">
        <f t="shared" ref="CK105" si="3728">IF(BO105="","",CK$75+(BO105-BO$75)*1000)</f>
        <v>-2.6388267647234898</v>
      </c>
      <c r="CL105" s="43">
        <f t="shared" ref="CL105" si="3729">IF(BP105="","",CL$75+(BP105-BP$75)*1000)</f>
        <v>3.9450817454729226</v>
      </c>
      <c r="CM105" s="43">
        <f t="shared" ref="CM105" si="3730">IF(BQ105="","",CM$75+(BQ105-BQ$75)*1000)</f>
        <v>3.9053882676500784</v>
      </c>
      <c r="CN105" s="43">
        <f t="shared" ref="CN105" si="3731">IF(BR105="","",CN$75+(BR105-BR$75)*1000)</f>
        <v>-2.0893925025973203</v>
      </c>
      <c r="CO105" s="43">
        <f t="shared" ref="CO105" si="3732">IF(BS105="","",CO$75+(BS105-BS$75)*1000)</f>
        <v>4.1063521971320682</v>
      </c>
      <c r="CP105" s="43">
        <f t="shared" ref="CP105" si="3733">IF(BT105="","",CP$75+(BT105-BT$75)*1000)</f>
        <v>-1.0571060749898775</v>
      </c>
      <c r="CQ105" s="43"/>
      <c r="CR105" s="43"/>
      <c r="CS105" s="43"/>
      <c r="CT105" s="43">
        <f t="shared" ref="CT105" si="3734">IF(BX105="","",CT$75+(BX105-BX$75)*1000)</f>
        <v>-14.705119811281975</v>
      </c>
      <c r="CU105" s="43">
        <f t="shared" ref="CU105" si="3735">IF(BY105="","",CU$75+(BY105-BY$75)*1000)</f>
        <v>-1.527730712652053</v>
      </c>
      <c r="CV105" s="43">
        <f t="shared" ref="CV105" si="3736">IF(BZ105="","",CV$75+(BZ105-BZ$75)*1000)</f>
        <v>-87.963948801891064</v>
      </c>
      <c r="CW105" s="43"/>
      <c r="CX105" s="43"/>
      <c r="CY105" s="43"/>
      <c r="CZ105" s="43">
        <f t="shared" ref="CZ105" si="3737">IF(CD105="","",CZ$75+(CD105-CD$75)*1000)</f>
        <v>1.3077269964583138</v>
      </c>
      <c r="DA105" s="43">
        <f t="shared" ref="DA105" si="3738">IF(CE105="","",DA$75+(CE105-CE$75)*1000)</f>
        <v>-31.055392944129068</v>
      </c>
      <c r="DB105" s="43">
        <f t="shared" ref="DB105" si="3739">IF(CF105="","",DB$75+(CF105-CF$75)*1000)</f>
        <v>-3.145077269977925</v>
      </c>
      <c r="DC105" s="43">
        <f t="shared" ref="DC105" si="3740">IF(CG105="","",DC$75+(CG105-CG$75)*1000)</f>
        <v>12.992802228012579</v>
      </c>
      <c r="DD105" s="43">
        <f t="shared" ref="DD105" si="3741">IF(CH105="","",DD$75+(CH105-CH$75)*1000)</f>
        <v>-28.33823549675385</v>
      </c>
      <c r="DE105" s="43">
        <f t="shared" ref="DE105" si="3742">IF(CI105="","",DE$75+(CI105-CI$75)*1000)</f>
        <v>-30.551928022287342</v>
      </c>
    </row>
    <row r="106" spans="1:109" ht="29.25" customHeight="1" x14ac:dyDescent="0.2">
      <c r="A106" s="37">
        <v>44988</v>
      </c>
      <c r="B106" s="29">
        <f t="shared" ref="B106" si="3743">IF(A106="","",A106-excav)</f>
        <v>1330</v>
      </c>
      <c r="C106" s="38">
        <v>222.9</v>
      </c>
      <c r="D106" s="38">
        <v>39</v>
      </c>
      <c r="E106" s="39">
        <v>823233.37699999998</v>
      </c>
      <c r="F106" s="39">
        <v>1091513.5545999999</v>
      </c>
      <c r="G106" s="39">
        <v>-124.5805</v>
      </c>
      <c r="H106" s="39">
        <v>823233.25060000003</v>
      </c>
      <c r="I106" s="39">
        <v>1091513.7568000001</v>
      </c>
      <c r="J106" s="39">
        <v>-123.4152</v>
      </c>
      <c r="K106" s="39" t="e">
        <v>#N/A</v>
      </c>
      <c r="L106" s="39" t="e">
        <v>#N/A</v>
      </c>
      <c r="M106" s="39" t="e">
        <v>#N/A</v>
      </c>
      <c r="N106" s="39">
        <v>823234.43900000001</v>
      </c>
      <c r="O106" s="39">
        <v>1091511.1070000001</v>
      </c>
      <c r="P106" s="39">
        <v>-121.3293</v>
      </c>
      <c r="Q106" s="39" t="e">
        <v>#N/A</v>
      </c>
      <c r="R106" s="39" t="e">
        <v>#N/A</v>
      </c>
      <c r="S106" s="39" t="e">
        <v>#N/A</v>
      </c>
      <c r="T106" s="39">
        <v>823235.47860000003</v>
      </c>
      <c r="U106" s="39">
        <v>1091508.9025999999</v>
      </c>
      <c r="V106" s="39">
        <v>-123.4534</v>
      </c>
      <c r="W106" s="39">
        <v>823235.40509999997</v>
      </c>
      <c r="X106" s="39">
        <v>1091509.0438999999</v>
      </c>
      <c r="Y106" s="39">
        <v>-124.6238</v>
      </c>
      <c r="Z106" s="39">
        <f t="shared" si="2647"/>
        <v>4.2058163534903894</v>
      </c>
      <c r="AA106" s="39">
        <f t="shared" si="2546"/>
        <v>3.5755717598778913</v>
      </c>
      <c r="AB106" s="39"/>
      <c r="AC106" s="39"/>
      <c r="AD106" s="39">
        <f t="shared" si="2548"/>
        <v>3.2329473133278919</v>
      </c>
      <c r="AE106" s="39">
        <f t="shared" si="2648"/>
        <v>4.005428949628671</v>
      </c>
      <c r="AF106" s="39"/>
      <c r="AG106" s="39">
        <f t="shared" si="2550"/>
        <v>5.3412265334586895</v>
      </c>
      <c r="AH106" s="39">
        <f t="shared" si="2560"/>
        <v>4.9458547279355294</v>
      </c>
      <c r="AI106" s="43">
        <f t="shared" ref="AI106" si="3744">IF(Z106="","",AI$75+(Z106-Z$75)*1000)</f>
        <v>-79.387931456106571</v>
      </c>
      <c r="AJ106" s="43">
        <f t="shared" ref="AJ106" si="3745">IF(AA106="","",AJ$75+(AA106-AA$75)*1000)</f>
        <v>-62.88609977843862</v>
      </c>
      <c r="AK106" s="43"/>
      <c r="AL106" s="43" t="str">
        <f t="shared" ref="AL106" si="3746">IF(AC106="","",AL$75+(AC106-AC$75)*1000)</f>
        <v/>
      </c>
      <c r="AM106" s="43">
        <f t="shared" ref="AM106" si="3747">IF(AD106="","",AM$75+(AD106-AD$75)*1000)</f>
        <v>-77.40029212643762</v>
      </c>
      <c r="AN106" s="43">
        <f t="shared" ref="AN106" si="3748">IF(AE106="","",AN$75+(AE106-AE$75)*1000)</f>
        <v>-62.052128740863743</v>
      </c>
      <c r="AO106" s="43"/>
      <c r="AP106" s="43">
        <f t="shared" ref="AP106" si="3749">IF(AG106="","",AP$75+(AG106-AG$75)*1000)</f>
        <v>-35.305721607775453</v>
      </c>
      <c r="AQ106" s="43">
        <f t="shared" ref="AQ106" si="3750">IF(AH106="","",AQ$75+(AH106-AH$75)*1000)</f>
        <v>-32.016928359952956</v>
      </c>
      <c r="AR106" s="40"/>
      <c r="AS106" s="43">
        <f t="shared" ref="AS106" si="3751">IF(E106="","",(E106-E$75)*1000+AS$75)</f>
        <v>-0.35000010393559933</v>
      </c>
      <c r="AT106" s="43">
        <f t="shared" ref="AT106" si="3752">IF(F106="","",(F106-F$75)*1000+AT$75)</f>
        <v>-4.8500003758817911</v>
      </c>
      <c r="AU106" s="43">
        <f t="shared" ref="AU106" si="3753">IF(G106="","",(G106-G$75)*1000+AU$75)</f>
        <v>3.6999999999949296</v>
      </c>
      <c r="AV106" s="43">
        <f t="shared" ref="AV106" si="3754">IF(H106="","",(H106-H$75)*1000+AV$75)</f>
        <v>0.10000006295740604</v>
      </c>
      <c r="AW106" s="43">
        <f t="shared" ref="AW106" si="3755">IF(I106="","",(I106-I$75)*1000+AW$75)</f>
        <v>-5.5500001180917025</v>
      </c>
      <c r="AX106" s="43">
        <f t="shared" ref="AX106" si="3756">IF(J106="","",(J106-J$75)*1000+AX$75)</f>
        <v>-1.2499999999988631</v>
      </c>
      <c r="AY106" s="43" t="e">
        <f t="shared" ref="AY106" si="3757">IF(K106="","",(K106-K$10)*1000)</f>
        <v>#N/A</v>
      </c>
      <c r="AZ106" s="43" t="e">
        <f t="shared" ref="AZ106" si="3758">IF(L106="","",(L106-L$10)*1000)</f>
        <v>#N/A</v>
      </c>
      <c r="BA106" s="43" t="e">
        <f t="shared" ref="BA106" si="3759">IF(M106="","",(M106-M$10)*1000)</f>
        <v>#N/A</v>
      </c>
      <c r="BB106" s="43">
        <f t="shared" ref="BB106" si="3760">IF(N106="","",(N106-N$75)*1000+BB$75)</f>
        <v>-13.999999966472387</v>
      </c>
      <c r="BC106" s="43">
        <f t="shared" ref="BC106" si="3761">IF(O106="","",(O106-O$75)*1000+BC$75)</f>
        <v>-5.7999996934086084</v>
      </c>
      <c r="BD106" s="43">
        <f t="shared" ref="BD106" si="3762">IF(P106="","",(P106-P$75)*1000+BD$75)</f>
        <v>-88.650000000001228</v>
      </c>
      <c r="BE106" s="43" t="e">
        <f t="shared" ref="BE106" si="3763">IF(Q106="","",(Q106-Q$73)*1000+BE$73)</f>
        <v>#N/A</v>
      </c>
      <c r="BF106" s="43" t="e">
        <f t="shared" ref="BF106" si="3764">IF(R106="","",(R106-R$73)*1000+BF$73)</f>
        <v>#N/A</v>
      </c>
      <c r="BG106" s="43" t="e">
        <f t="shared" ref="BG106" si="3765">IF(S106="","",(S106-S$73)*1000+BG$73)</f>
        <v>#N/A</v>
      </c>
      <c r="BH106" s="43">
        <f t="shared" ref="BH106" si="3766">IF(T106="","",(T106-T$75)*1000+BH$75)</f>
        <v>-11.999999871477485</v>
      </c>
      <c r="BI106" s="43">
        <f t="shared" ref="BI106" si="3767">IF(U106="","",(U106-U$75)*1000+BI$75)</f>
        <v>28.050000080838799</v>
      </c>
      <c r="BJ106" s="43">
        <f t="shared" ref="BJ106" si="3768">IF(V106="","",(V106-V$75)*1000+BJ$75)</f>
        <v>-3.3999999999849706</v>
      </c>
      <c r="BK106" s="43">
        <f t="shared" ref="BK106" si="3769">IF(W106="","",(W106-W$75)*1000+BK$75)</f>
        <v>-0.60000002849847078</v>
      </c>
      <c r="BL106" s="43">
        <f t="shared" ref="BL106" si="3770">IF(X106="","",(X106-X$75)*1000+BL$75)</f>
        <v>30.749999918043613</v>
      </c>
      <c r="BM106" s="43">
        <f t="shared" ref="BM106" si="3771">IF(Y106="","",(Y106-Y$75)*1000+BM$75)</f>
        <v>-30.599999999992633</v>
      </c>
      <c r="BN106" s="40"/>
      <c r="BO106" s="39">
        <v>183.96736210498645</v>
      </c>
      <c r="BP106" s="39">
        <v>-2.4268607640587336</v>
      </c>
      <c r="BQ106" s="39">
        <v>-0.87729362104987274</v>
      </c>
      <c r="BR106" s="39">
        <v>183.93826702653246</v>
      </c>
      <c r="BS106" s="39">
        <v>-2.6635362306107822</v>
      </c>
      <c r="BT106" s="39">
        <v>0.28829732973467515</v>
      </c>
      <c r="BU106" s="41" t="e">
        <v>#VALUE!</v>
      </c>
      <c r="BV106" s="42" t="s">
        <v>61</v>
      </c>
      <c r="BW106" s="42" t="s">
        <v>61</v>
      </c>
      <c r="BX106" s="41">
        <v>183.89536120139007</v>
      </c>
      <c r="BY106" s="42">
        <v>0.24023609004472321</v>
      </c>
      <c r="BZ106" s="42">
        <v>2.3746263879860976</v>
      </c>
      <c r="CA106" s="41" t="e">
        <v>#VALUE!</v>
      </c>
      <c r="CB106" s="42" t="s">
        <v>61</v>
      </c>
      <c r="CC106" s="42" t="s">
        <v>61</v>
      </c>
      <c r="CD106" s="41">
        <v>183.90584832459569</v>
      </c>
      <c r="CE106" s="42">
        <v>2.6774553130529579</v>
      </c>
      <c r="CF106" s="42">
        <v>0.2504215167540309</v>
      </c>
      <c r="CG106" s="41">
        <v>183.89895658796451</v>
      </c>
      <c r="CH106" s="42">
        <v>2.5183313237254517</v>
      </c>
      <c r="CI106" s="42">
        <v>-0.91990956587964945</v>
      </c>
      <c r="CJ106" s="40"/>
      <c r="CK106" s="43">
        <f t="shared" ref="CK106" si="3772">IF(BO106="","",CK$75+(BO106-BO$75)*1000)</f>
        <v>-2.7111596135682703</v>
      </c>
      <c r="CL106" s="43">
        <f t="shared" ref="CL106" si="3773">IF(BP106="","",CL$75+(BP106-BP$75)*1000)</f>
        <v>4.5733875123183942</v>
      </c>
      <c r="CM106" s="43">
        <f t="shared" ref="CM106" si="3774">IF(BQ106="","",CM$75+(BQ106-BQ$75)*1000)</f>
        <v>3.706111596126771</v>
      </c>
      <c r="CN106" s="43">
        <f t="shared" ref="CN106" si="3775">IF(BR106="","",CN$75+(BR106-BR$75)*1000)</f>
        <v>-2.2885208374816557</v>
      </c>
      <c r="CO106" s="43">
        <f t="shared" ref="CO106" si="3776">IF(BS106="","",CO$75+(BS106-BS$75)*1000)</f>
        <v>5.0065453279111161</v>
      </c>
      <c r="CP106" s="43">
        <f t="shared" ref="CP106" si="3777">IF(BT106="","",CP$75+(BT106-BT$75)*1000)</f>
        <v>-1.2551147916272098</v>
      </c>
      <c r="CQ106" s="43"/>
      <c r="CR106" s="43"/>
      <c r="CS106" s="43"/>
      <c r="CT106" s="43">
        <f t="shared" ref="CT106" si="3778">IF(BX106="","",CT$75+(BX106-BX$75)*1000)</f>
        <v>-15.043241435449772</v>
      </c>
      <c r="CU106" s="43">
        <f t="shared" ref="CU106" si="3779">IF(BY106="","",CU$75+(BY106-BY$75)*1000)</f>
        <v>-0.80269703890900601</v>
      </c>
      <c r="CV106" s="43">
        <f t="shared" ref="CV106" si="3780">IF(BZ106="","",CV$75+(BZ106-BZ$75)*1000)</f>
        <v>-88.460567585647794</v>
      </c>
      <c r="CW106" s="43"/>
      <c r="CX106" s="43"/>
      <c r="CY106" s="43"/>
      <c r="CZ106" s="43">
        <f t="shared" ref="CZ106" si="3781">IF(CD106="","",CZ$75+(CD106-CD$75)*1000)</f>
        <v>0.96350657267407769</v>
      </c>
      <c r="DA106" s="43">
        <f t="shared" ref="DA106" si="3782">IF(CE106="","",DA$75+(CE106-CE$75)*1000)</f>
        <v>-30.553882761711559</v>
      </c>
      <c r="DB106" s="43">
        <f t="shared" ref="DB106" si="3783">IF(CF106="","",DB$75+(CF106-CF$75)*1000)</f>
        <v>-3.3416350657526905</v>
      </c>
      <c r="DC106" s="43">
        <f t="shared" ref="DC106" si="3784">IF(CG106="","",DC$75+(CG106-CG$75)*1000)</f>
        <v>12.376694123815923</v>
      </c>
      <c r="DD106" s="43">
        <f t="shared" ref="DD106" si="3785">IF(CH106="","",DD$75+(CH106-CH$75)*1000)</f>
        <v>-27.963520947996923</v>
      </c>
      <c r="DE106" s="43">
        <f t="shared" ref="DE106" si="3786">IF(CI106="","",DE$75+(CI106-CI$75)*1000)</f>
        <v>-30.745766941247751</v>
      </c>
    </row>
    <row r="107" spans="1:109" ht="29.25" customHeight="1" x14ac:dyDescent="0.2">
      <c r="A107" s="37">
        <v>45013</v>
      </c>
      <c r="B107" s="29">
        <f t="shared" ref="B107" si="3787">IF(A107="","",A107-excav)</f>
        <v>1355</v>
      </c>
      <c r="C107" s="38">
        <v>222.9</v>
      </c>
      <c r="D107" s="38">
        <v>39</v>
      </c>
      <c r="E107" s="39">
        <v>823233.37699999998</v>
      </c>
      <c r="F107" s="39">
        <v>1091513.5545999999</v>
      </c>
      <c r="G107" s="39">
        <v>-124.581</v>
      </c>
      <c r="H107" s="39">
        <v>823233.25089999998</v>
      </c>
      <c r="I107" s="39">
        <v>1091513.7572000001</v>
      </c>
      <c r="J107" s="39">
        <v>-123.41589999999999</v>
      </c>
      <c r="K107" s="39" t="e">
        <v>#N/A</v>
      </c>
      <c r="L107" s="39" t="e">
        <v>#N/A</v>
      </c>
      <c r="M107" s="39" t="e">
        <v>#N/A</v>
      </c>
      <c r="N107" s="39">
        <v>823234.43900000001</v>
      </c>
      <c r="O107" s="39">
        <v>1091511.1074000001</v>
      </c>
      <c r="P107" s="39">
        <v>-121.33029999999999</v>
      </c>
      <c r="Q107" s="39" t="e">
        <v>#N/A</v>
      </c>
      <c r="R107" s="39" t="e">
        <v>#N/A</v>
      </c>
      <c r="S107" s="39" t="e">
        <v>#N/A</v>
      </c>
      <c r="T107" s="39">
        <v>823235.47889999999</v>
      </c>
      <c r="U107" s="39">
        <v>1091508.9029999999</v>
      </c>
      <c r="V107" s="39">
        <v>-123.4541</v>
      </c>
      <c r="W107" s="39">
        <v>823235.4057</v>
      </c>
      <c r="X107" s="39">
        <v>1091509.0441999999</v>
      </c>
      <c r="Y107" s="39">
        <v>-124.62430000000001</v>
      </c>
      <c r="Z107" s="39">
        <f t="shared" si="2647"/>
        <v>4.2051970618740819</v>
      </c>
      <c r="AA107" s="39">
        <f t="shared" si="2546"/>
        <v>3.5752970520141067</v>
      </c>
      <c r="AB107" s="39"/>
      <c r="AC107" s="39"/>
      <c r="AD107" s="39">
        <f t="shared" si="2548"/>
        <v>3.2328467038606457</v>
      </c>
      <c r="AE107" s="39">
        <f t="shared" si="2648"/>
        <v>4.0052139931392414</v>
      </c>
      <c r="AF107" s="39"/>
      <c r="AG107" s="39">
        <f t="shared" si="2550"/>
        <v>5.3412265334586895</v>
      </c>
      <c r="AH107" s="39">
        <f t="shared" si="2560"/>
        <v>4.9458272048621357</v>
      </c>
      <c r="AI107" s="43">
        <f t="shared" ref="AI107" si="3788">IF(Z107="","",AI$75+(Z107-Z$75)*1000)</f>
        <v>-80.007223072414035</v>
      </c>
      <c r="AJ107" s="43">
        <f t="shared" ref="AJ107" si="3789">IF(AA107="","",AJ$75+(AA107-AA$75)*1000)</f>
        <v>-63.160807642223205</v>
      </c>
      <c r="AK107" s="43"/>
      <c r="AL107" s="43" t="str">
        <f t="shared" ref="AL107" si="3790">IF(AC107="","",AL$75+(AC107-AC$75)*1000)</f>
        <v/>
      </c>
      <c r="AM107" s="43">
        <f t="shared" ref="AM107" si="3791">IF(AD107="","",AM$75+(AD107-AD$75)*1000)</f>
        <v>-77.500901593683835</v>
      </c>
      <c r="AN107" s="43">
        <f t="shared" ref="AN107" si="3792">IF(AE107="","",AN$75+(AE107-AE$75)*1000)</f>
        <v>-62.26708523029334</v>
      </c>
      <c r="AO107" s="43"/>
      <c r="AP107" s="43">
        <f t="shared" ref="AP107" si="3793">IF(AG107="","",AP$75+(AG107-AG$75)*1000)</f>
        <v>-35.305721607775453</v>
      </c>
      <c r="AQ107" s="43">
        <f t="shared" ref="AQ107" si="3794">IF(AH107="","",AQ$75+(AH107-AH$75)*1000)</f>
        <v>-32.044451433346666</v>
      </c>
      <c r="AR107" s="40"/>
      <c r="AS107" s="43">
        <f t="shared" ref="AS107" si="3795">IF(E107="","",(E107-E$75)*1000+AS$75)</f>
        <v>-0.35000010393559933</v>
      </c>
      <c r="AT107" s="43">
        <f t="shared" ref="AT107" si="3796">IF(F107="","",(F107-F$75)*1000+AT$75)</f>
        <v>-4.8500003758817911</v>
      </c>
      <c r="AU107" s="43">
        <f t="shared" ref="AU107" si="3797">IF(G107="","",(G107-G$75)*1000+AU$75)</f>
        <v>3.1999999999925421</v>
      </c>
      <c r="AV107" s="43">
        <f t="shared" ref="AV107" si="3798">IF(H107="","",(H107-H$75)*1000+AV$75)</f>
        <v>0.40000001899898052</v>
      </c>
      <c r="AW107" s="43">
        <f t="shared" ref="AW107" si="3799">IF(I107="","",(I107-I$75)*1000+AW$75)</f>
        <v>-5.1500000990927219</v>
      </c>
      <c r="AX107" s="43">
        <f t="shared" ref="AX107" si="3800">IF(J107="","",(J107-J$75)*1000+AX$75)</f>
        <v>-1.949999999993679</v>
      </c>
      <c r="AY107" s="43" t="e">
        <f t="shared" ref="AY107" si="3801">IF(K107="","",(K107-K$10)*1000)</f>
        <v>#N/A</v>
      </c>
      <c r="AZ107" s="43" t="e">
        <f t="shared" ref="AZ107" si="3802">IF(L107="","",(L107-L$10)*1000)</f>
        <v>#N/A</v>
      </c>
      <c r="BA107" s="43" t="e">
        <f t="shared" ref="BA107" si="3803">IF(M107="","",(M107-M$10)*1000)</f>
        <v>#N/A</v>
      </c>
      <c r="BB107" s="43">
        <f t="shared" ref="BB107" si="3804">IF(N107="","",(N107-N$75)*1000+BB$75)</f>
        <v>-13.999999966472387</v>
      </c>
      <c r="BC107" s="43">
        <f t="shared" ref="BC107" si="3805">IF(O107="","",(O107-O$75)*1000+BC$75)</f>
        <v>-5.3999996744096279</v>
      </c>
      <c r="BD107" s="43">
        <f t="shared" ref="BD107" si="3806">IF(P107="","",(P107-P$75)*1000+BD$75)</f>
        <v>-89.649999999991792</v>
      </c>
      <c r="BE107" s="43" t="e">
        <f t="shared" ref="BE107" si="3807">IF(Q107="","",(Q107-Q$73)*1000+BE$73)</f>
        <v>#N/A</v>
      </c>
      <c r="BF107" s="43" t="e">
        <f t="shared" ref="BF107" si="3808">IF(R107="","",(R107-R$73)*1000+BF$73)</f>
        <v>#N/A</v>
      </c>
      <c r="BG107" s="43" t="e">
        <f t="shared" ref="BG107" si="3809">IF(S107="","",(S107-S$73)*1000+BG$73)</f>
        <v>#N/A</v>
      </c>
      <c r="BH107" s="43">
        <f t="shared" ref="BH107" si="3810">IF(T107="","",(T107-T$75)*1000+BH$75)</f>
        <v>-11.69999991543591</v>
      </c>
      <c r="BI107" s="43">
        <f t="shared" ref="BI107" si="3811">IF(U107="","",(U107-U$75)*1000+BI$75)</f>
        <v>28.45000009983778</v>
      </c>
      <c r="BJ107" s="43">
        <f t="shared" ref="BJ107" si="3812">IF(V107="","",(V107-V$75)*1000+BJ$75)</f>
        <v>-4.0999999999797865</v>
      </c>
      <c r="BK107" s="43">
        <f t="shared" ref="BK107" si="3813">IF(W107="","",(W107-W$75)*1000+BK$75)</f>
        <v>0</v>
      </c>
      <c r="BL107" s="43">
        <f t="shared" ref="BL107" si="3814">IF(X107="","",(X107-X$75)*1000+BL$75)</f>
        <v>31.049999874085188</v>
      </c>
      <c r="BM107" s="43">
        <f t="shared" ref="BM107" si="3815">IF(Y107="","",(Y107-Y$75)*1000+BM$75)</f>
        <v>-31.099999999995021</v>
      </c>
      <c r="BN107" s="40"/>
      <c r="BO107" s="39">
        <v>183.96736210498645</v>
      </c>
      <c r="BP107" s="39">
        <v>-2.4268607640587336</v>
      </c>
      <c r="BQ107" s="39">
        <v>-0.87779362104987513</v>
      </c>
      <c r="BR107" s="39">
        <v>183.93870797491942</v>
      </c>
      <c r="BS107" s="39">
        <v>-2.6637719518632119</v>
      </c>
      <c r="BT107" s="39">
        <v>0.28759292025080185</v>
      </c>
      <c r="BU107" s="41" t="e">
        <v>#VALUE!</v>
      </c>
      <c r="BV107" s="42" t="s">
        <v>61</v>
      </c>
      <c r="BW107" s="42" t="s">
        <v>61</v>
      </c>
      <c r="BX107" s="41">
        <v>183.89553026220213</v>
      </c>
      <c r="BY107" s="42">
        <v>0.23987357320784936</v>
      </c>
      <c r="BZ107" s="42">
        <v>2.3736246973779771</v>
      </c>
      <c r="CA107" s="41" t="e">
        <v>#VALUE!</v>
      </c>
      <c r="CB107" s="42" t="s">
        <v>61</v>
      </c>
      <c r="CC107" s="42" t="s">
        <v>61</v>
      </c>
      <c r="CD107" s="41">
        <v>183.90628927298266</v>
      </c>
      <c r="CE107" s="42">
        <v>2.6772195918005348</v>
      </c>
      <c r="CF107" s="42">
        <v>0.24971710727017182</v>
      </c>
      <c r="CG107" s="41">
        <v>183.89962715880432</v>
      </c>
      <c r="CH107" s="42">
        <v>2.5183130273686283</v>
      </c>
      <c r="CI107" s="42">
        <v>-0.92041627158805284</v>
      </c>
      <c r="CJ107" s="40"/>
      <c r="CK107" s="43">
        <f t="shared" ref="CK107" si="3816">IF(BO107="","",CK$75+(BO107-BO$75)*1000)</f>
        <v>-2.7111596135682703</v>
      </c>
      <c r="CL107" s="43">
        <f t="shared" ref="CL107" si="3817">IF(BP107="","",CL$75+(BP107-BP$75)*1000)</f>
        <v>4.5733875123183942</v>
      </c>
      <c r="CM107" s="43">
        <f t="shared" ref="CM107" si="3818">IF(BQ107="","",CM$75+(BQ107-BQ$75)*1000)</f>
        <v>3.2061115961243836</v>
      </c>
      <c r="CN107" s="43">
        <f t="shared" ref="CN107" si="3819">IF(BR107="","",CN$75+(BR107-BR$75)*1000)</f>
        <v>-1.8475724505151447</v>
      </c>
      <c r="CO107" s="43">
        <f t="shared" ref="CO107" si="3820">IF(BS107="","",CO$75+(BS107-BS$75)*1000)</f>
        <v>4.7708240754813502</v>
      </c>
      <c r="CP107" s="43">
        <f t="shared" ref="CP107" si="3821">IF(BT107="","",CP$75+(BT107-BT$75)*1000)</f>
        <v>-1.9595242755005016</v>
      </c>
      <c r="CQ107" s="43"/>
      <c r="CR107" s="43"/>
      <c r="CS107" s="43"/>
      <c r="CT107" s="43">
        <f t="shared" ref="CT107" si="3822">IF(BX107="","",CT$75+(BX107-BX$75)*1000)</f>
        <v>-14.874180623394295</v>
      </c>
      <c r="CU107" s="43">
        <f t="shared" ref="CU107" si="3823">IF(BY107="","",CU$75+(BY107-BY$75)*1000)</f>
        <v>-1.165213875782861</v>
      </c>
      <c r="CV107" s="43">
        <f t="shared" ref="CV107" si="3824">IF(BZ107="","",CV$75+(BZ107-BZ$75)*1000)</f>
        <v>-89.462258193768292</v>
      </c>
      <c r="CW107" s="43"/>
      <c r="CX107" s="43"/>
      <c r="CY107" s="43"/>
      <c r="CZ107" s="43">
        <f t="shared" ref="CZ107" si="3825">IF(CD107="","",CZ$75+(CD107-CD$75)*1000)</f>
        <v>1.4044549596405886</v>
      </c>
      <c r="DA107" s="43">
        <f t="shared" ref="DA107" si="3826">IF(CE107="","",DA$75+(CE107-CE$75)*1000)</f>
        <v>-30.789604014134664</v>
      </c>
      <c r="DB107" s="43">
        <f t="shared" ref="DB107" si="3827">IF(CF107="","",DB$75+(CF107-CF$75)*1000)</f>
        <v>-4.0460445496117714</v>
      </c>
      <c r="DC107" s="43">
        <f t="shared" ref="DC107" si="3828">IF(CG107="","",DC$75+(CG107-CG$75)*1000)</f>
        <v>13.047264963631733</v>
      </c>
      <c r="DD107" s="43">
        <f t="shared" ref="DD107" si="3829">IF(CH107="","",DD$75+(CH107-CH$75)*1000)</f>
        <v>-27.9818173048203</v>
      </c>
      <c r="DE107" s="43">
        <f t="shared" ref="DE107" si="3830">IF(CI107="","",DE$75+(CI107-CI$75)*1000)</f>
        <v>-31.252472649651139</v>
      </c>
    </row>
  </sheetData>
  <mergeCells count="40">
    <mergeCell ref="A72:D72"/>
    <mergeCell ref="E72:AQ72"/>
    <mergeCell ref="A74:D74"/>
    <mergeCell ref="E74:AQ74"/>
    <mergeCell ref="F1:W1"/>
    <mergeCell ref="AI8:AQ8"/>
    <mergeCell ref="E8:G8"/>
    <mergeCell ref="N8:P8"/>
    <mergeCell ref="W8:Y8"/>
    <mergeCell ref="K8:M8"/>
    <mergeCell ref="Q8:S8"/>
    <mergeCell ref="H8:J8"/>
    <mergeCell ref="T8:V8"/>
    <mergeCell ref="A19:D19"/>
    <mergeCell ref="E19:AQ19"/>
    <mergeCell ref="A8:A9"/>
    <mergeCell ref="CA8:CC8"/>
    <mergeCell ref="CG8:CI8"/>
    <mergeCell ref="CQ8:CS8"/>
    <mergeCell ref="AS8:AU8"/>
    <mergeCell ref="BB8:BD8"/>
    <mergeCell ref="BK8:BM8"/>
    <mergeCell ref="BX8:BZ8"/>
    <mergeCell ref="AV8:AX8"/>
    <mergeCell ref="CK8:CM8"/>
    <mergeCell ref="AY8:BA8"/>
    <mergeCell ref="BE8:BG8"/>
    <mergeCell ref="BU8:BW8"/>
    <mergeCell ref="BO8:BQ8"/>
    <mergeCell ref="B8:B9"/>
    <mergeCell ref="C8:C9"/>
    <mergeCell ref="D8:D9"/>
    <mergeCell ref="BH8:BJ8"/>
    <mergeCell ref="BR8:BT8"/>
    <mergeCell ref="CT8:CV8"/>
    <mergeCell ref="DC8:DE8"/>
    <mergeCell ref="CD8:CF8"/>
    <mergeCell ref="CN8:CP8"/>
    <mergeCell ref="CZ8:DB8"/>
    <mergeCell ref="CW8:CY8"/>
  </mergeCells>
  <phoneticPr fontId="0" type="noConversion"/>
  <pageMargins left="0.55118110236220474" right="0.19685039370078741" top="0.47244094488188981" bottom="0.27559055118110237" header="0" footer="0"/>
  <pageSetup paperSize="9" scale="24" fitToHeight="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>
    <pageSetUpPr fitToPage="1"/>
  </sheetPr>
  <dimension ref="A1:Z107"/>
  <sheetViews>
    <sheetView zoomScale="70" zoomScaleNormal="70" workbookViewId="0">
      <pane ySplit="9" topLeftCell="A87" activePane="bottomLeft" state="frozenSplit"/>
      <selection activeCell="C7" sqref="C7"/>
      <selection pane="bottomLeft" activeCell="A105" sqref="A105:XFD107"/>
    </sheetView>
  </sheetViews>
  <sheetFormatPr baseColWidth="10" defaultColWidth="11.42578125" defaultRowHeight="12.75" x14ac:dyDescent="0.2"/>
  <cols>
    <col min="1" max="1" width="7.140625" style="2" customWidth="1"/>
    <col min="2" max="2" width="10.42578125" style="19" bestFit="1" customWidth="1"/>
    <col min="3" max="3" width="11.28515625" style="2" customWidth="1"/>
    <col min="4" max="13" width="8.42578125" style="2" customWidth="1"/>
    <col min="14" max="14" width="9.85546875" style="2" bestFit="1" customWidth="1"/>
    <col min="15" max="16" width="8.42578125" style="2" customWidth="1"/>
    <col min="17" max="17" width="7.140625" style="2" customWidth="1"/>
    <col min="18" max="26" width="8.42578125" style="14" customWidth="1"/>
    <col min="27" max="16384" width="11.42578125" style="2"/>
  </cols>
  <sheetData>
    <row r="1" spans="1:26" ht="15.75" x14ac:dyDescent="0.2">
      <c r="U1" s="136" t="s">
        <v>9</v>
      </c>
      <c r="V1" s="136"/>
      <c r="W1" s="136"/>
      <c r="X1" s="136"/>
      <c r="Y1" s="136"/>
      <c r="Z1" s="136"/>
    </row>
    <row r="2" spans="1:26" ht="15.75" x14ac:dyDescent="0.2">
      <c r="U2" s="136" t="s">
        <v>54</v>
      </c>
      <c r="V2" s="136"/>
      <c r="W2" s="136"/>
      <c r="X2" s="136"/>
      <c r="Y2" s="136"/>
      <c r="Z2" s="136"/>
    </row>
    <row r="3" spans="1:26" ht="15" customHeight="1" x14ac:dyDescent="0.2">
      <c r="U3" s="11"/>
      <c r="V3" s="11"/>
      <c r="W3" s="11"/>
      <c r="X3" s="11"/>
      <c r="Y3" s="11"/>
    </row>
    <row r="4" spans="1:26" ht="15" customHeight="1" x14ac:dyDescent="0.2">
      <c r="J4" s="27"/>
      <c r="K4" s="27"/>
      <c r="L4" s="27"/>
      <c r="M4" s="27"/>
      <c r="N4" s="27"/>
      <c r="O4" s="27"/>
      <c r="U4" s="28"/>
      <c r="V4" s="28"/>
      <c r="W4" s="28"/>
      <c r="X4" s="28"/>
      <c r="Y4" s="28"/>
      <c r="Z4" s="28"/>
    </row>
    <row r="5" spans="1:26" ht="20.25" x14ac:dyDescent="0.2">
      <c r="A5" s="137" t="str">
        <f>"GALERIE GVA3 - CONVERGENCE  INTER CINTRE 65-66  (PM "&amp;'Résultats observations'!W6&amp;")"</f>
        <v>GALERIE GVA3 - CONVERGENCE  INTER CINTRE 65-66  (PM 183.9)</v>
      </c>
      <c r="B5" s="137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7"/>
      <c r="X5" s="137"/>
      <c r="Y5" s="137"/>
      <c r="Z5" s="137"/>
    </row>
    <row r="6" spans="1:26" ht="15" customHeight="1" x14ac:dyDescent="0.2">
      <c r="J6" s="27"/>
      <c r="K6" s="27"/>
      <c r="L6" s="27"/>
      <c r="M6" s="27"/>
      <c r="N6" s="27"/>
      <c r="O6" s="27"/>
      <c r="U6" s="28"/>
      <c r="V6" s="28"/>
      <c r="W6" s="28"/>
      <c r="X6" s="28"/>
      <c r="Y6" s="28"/>
      <c r="Z6" s="28"/>
    </row>
    <row r="7" spans="1:26" ht="15" customHeight="1" thickBot="1" x14ac:dyDescent="0.25">
      <c r="J7" s="27"/>
      <c r="K7" s="27"/>
      <c r="L7" s="27"/>
      <c r="M7" s="27"/>
      <c r="N7" s="27"/>
      <c r="O7" s="27"/>
      <c r="U7" s="28"/>
      <c r="V7" s="28"/>
      <c r="W7" s="28"/>
      <c r="X7" s="28"/>
      <c r="Y7" s="28"/>
      <c r="Z7" s="28"/>
    </row>
    <row r="8" spans="1:26" ht="16.5" thickBot="1" x14ac:dyDescent="0.25">
      <c r="A8" s="9"/>
      <c r="B8" s="20"/>
      <c r="C8" s="21"/>
      <c r="D8" s="133" t="s">
        <v>49</v>
      </c>
      <c r="E8" s="134"/>
      <c r="F8" s="134"/>
      <c r="G8" s="134"/>
      <c r="H8" s="134"/>
      <c r="I8" s="134"/>
      <c r="J8" s="134"/>
      <c r="K8" s="134"/>
      <c r="L8" s="135"/>
      <c r="M8" s="6"/>
      <c r="R8" s="133" t="s">
        <v>50</v>
      </c>
      <c r="S8" s="134"/>
      <c r="T8" s="134"/>
      <c r="U8" s="134"/>
      <c r="V8" s="134"/>
      <c r="W8" s="134"/>
      <c r="X8" s="134"/>
      <c r="Y8" s="134"/>
      <c r="Z8" s="135"/>
    </row>
    <row r="9" spans="1:26" ht="53.25" customHeight="1" x14ac:dyDescent="0.2">
      <c r="A9" s="52" t="s">
        <v>10</v>
      </c>
      <c r="B9" s="57" t="s">
        <v>11</v>
      </c>
      <c r="C9" s="52" t="s">
        <v>43</v>
      </c>
      <c r="D9" s="56" t="s">
        <v>16</v>
      </c>
      <c r="E9" s="62" t="s">
        <v>51</v>
      </c>
      <c r="F9" s="56" t="s">
        <v>19</v>
      </c>
      <c r="G9" s="56" t="s">
        <v>20</v>
      </c>
      <c r="H9" s="62" t="s">
        <v>52</v>
      </c>
      <c r="I9" s="56" t="s">
        <v>17</v>
      </c>
      <c r="J9" s="56" t="s">
        <v>21</v>
      </c>
      <c r="K9" s="62" t="s">
        <v>53</v>
      </c>
      <c r="L9" s="56" t="s">
        <v>18</v>
      </c>
      <c r="R9" s="56" t="s">
        <v>16</v>
      </c>
      <c r="S9" s="62" t="s">
        <v>51</v>
      </c>
      <c r="T9" s="56" t="s">
        <v>19</v>
      </c>
      <c r="U9" s="56" t="s">
        <v>20</v>
      </c>
      <c r="V9" s="62" t="s">
        <v>52</v>
      </c>
      <c r="W9" s="56" t="s">
        <v>17</v>
      </c>
      <c r="X9" s="56" t="s">
        <v>21</v>
      </c>
      <c r="Y9" s="62" t="s">
        <v>53</v>
      </c>
      <c r="Z9" s="56" t="s">
        <v>18</v>
      </c>
    </row>
    <row r="10" spans="1:26" ht="20.100000000000001" customHeight="1" x14ac:dyDescent="0.2">
      <c r="A10" s="53">
        <f t="shared" ref="A10:A73" si="0">jours</f>
        <v>0</v>
      </c>
      <c r="B10" s="54">
        <f t="shared" ref="B10:B73" si="1">date</f>
        <v>43658</v>
      </c>
      <c r="C10" s="55">
        <f>'Résultats observations'!D10</f>
        <v>2.25</v>
      </c>
      <c r="D10" s="50">
        <f t="shared" ref="D10:D73" si="2">Ecart_BG</f>
        <v>0</v>
      </c>
      <c r="E10" s="50">
        <f t="shared" ref="E10:E73" si="3">Ecart_IG</f>
        <v>0</v>
      </c>
      <c r="F10" s="50">
        <f t="shared" ref="F10:F69" si="4">Ecart_HG</f>
        <v>0</v>
      </c>
      <c r="G10" s="50">
        <f t="shared" ref="G10:G73" si="5">Ecart_HD</f>
        <v>0</v>
      </c>
      <c r="H10" s="50">
        <f t="shared" ref="H10:H73" si="6">Ecart_ID</f>
        <v>0</v>
      </c>
      <c r="I10" s="50">
        <f t="shared" ref="I10:I73" si="7">Ecart_BD</f>
        <v>0</v>
      </c>
      <c r="J10" s="50">
        <f t="shared" ref="J10:J69" si="8">Ecart_LH</f>
        <v>0</v>
      </c>
      <c r="K10" s="50">
        <f t="shared" ref="K10:K73" si="9">Ecart_LI</f>
        <v>0</v>
      </c>
      <c r="L10" s="50">
        <f t="shared" ref="L10:L73" si="10">Ecart_LB</f>
        <v>0</v>
      </c>
      <c r="R10" s="51"/>
      <c r="S10" s="51"/>
      <c r="T10" s="51"/>
      <c r="U10" s="51"/>
      <c r="V10" s="51"/>
      <c r="W10" s="51"/>
      <c r="X10" s="51"/>
      <c r="Y10" s="51"/>
      <c r="Z10" s="51"/>
    </row>
    <row r="11" spans="1:26" ht="20.100000000000001" customHeight="1" x14ac:dyDescent="0.2">
      <c r="A11" s="53">
        <f t="shared" si="0"/>
        <v>3</v>
      </c>
      <c r="B11" s="54">
        <f t="shared" si="1"/>
        <v>43661</v>
      </c>
      <c r="C11" s="55">
        <f>'Résultats observations'!D11</f>
        <v>2.25</v>
      </c>
      <c r="D11" s="50">
        <f t="shared" si="2"/>
        <v>-3.3861598929387782</v>
      </c>
      <c r="E11" s="50">
        <f t="shared" si="3"/>
        <v>-3.2880461720137255</v>
      </c>
      <c r="F11" s="50">
        <f t="shared" si="4"/>
        <v>-2.2412707867007775</v>
      </c>
      <c r="G11" s="50">
        <f t="shared" si="5"/>
        <v>-0.78323330531504531</v>
      </c>
      <c r="H11" s="50">
        <f t="shared" si="6"/>
        <v>-3.0461928053666654</v>
      </c>
      <c r="I11" s="50">
        <f t="shared" si="7"/>
        <v>-3.4759715933869728</v>
      </c>
      <c r="J11" s="50">
        <f t="shared" si="8"/>
        <v>-0.97288839341169719</v>
      </c>
      <c r="K11" s="50">
        <f t="shared" si="9"/>
        <v>-1.3786151142278769</v>
      </c>
      <c r="L11" s="50">
        <f t="shared" si="10"/>
        <v>-0.328897405066364</v>
      </c>
      <c r="R11" s="51">
        <f t="shared" ref="R11:S33" si="11">IF(AND(D11&lt;&gt;"",D10&lt;&gt;""),(D11-D10)/($B11-$B10),"")</f>
        <v>-1.128719964312926</v>
      </c>
      <c r="S11" s="51">
        <f t="shared" si="11"/>
        <v>-1.0960153906712418</v>
      </c>
      <c r="T11" s="51">
        <f t="shared" ref="T11:Z11" si="12">IF(AND(F11&lt;&gt;"",F10&lt;&gt;""),(F11-F10)/($B11-$B10),"")</f>
        <v>-0.74709026223359254</v>
      </c>
      <c r="U11" s="51">
        <f t="shared" si="12"/>
        <v>-0.26107776843834846</v>
      </c>
      <c r="V11" s="51">
        <f t="shared" si="12"/>
        <v>-1.0153976017888884</v>
      </c>
      <c r="W11" s="51">
        <f t="shared" si="12"/>
        <v>-1.1586571977956577</v>
      </c>
      <c r="X11" s="51">
        <f t="shared" si="12"/>
        <v>-0.32429613113723238</v>
      </c>
      <c r="Y11" s="51">
        <f t="shared" si="12"/>
        <v>-0.45953837140929227</v>
      </c>
      <c r="Z11" s="51">
        <f t="shared" si="12"/>
        <v>-0.10963246835545466</v>
      </c>
    </row>
    <row r="12" spans="1:26" ht="20.100000000000001" customHeight="1" x14ac:dyDescent="0.2">
      <c r="A12" s="53">
        <f t="shared" si="0"/>
        <v>4</v>
      </c>
      <c r="B12" s="54">
        <f t="shared" si="1"/>
        <v>43662</v>
      </c>
      <c r="C12" s="55">
        <f>'Résultats observations'!D12</f>
        <v>3.2999999999999829</v>
      </c>
      <c r="D12" s="50">
        <f t="shared" si="2"/>
        <v>-6.2870565709856052</v>
      </c>
      <c r="E12" s="50">
        <f t="shared" si="3"/>
        <v>-5.399668439002081</v>
      </c>
      <c r="F12" s="50">
        <f t="shared" si="4"/>
        <v>-3.132955882261701</v>
      </c>
      <c r="G12" s="50">
        <f t="shared" si="5"/>
        <v>-1.7363126222160741</v>
      </c>
      <c r="H12" s="50">
        <f t="shared" si="6"/>
        <v>-6.7706987234719129</v>
      </c>
      <c r="I12" s="50">
        <f t="shared" si="7"/>
        <v>-7.3156898894382039</v>
      </c>
      <c r="J12" s="50">
        <f t="shared" si="8"/>
        <v>-1.495231750157977</v>
      </c>
      <c r="K12" s="50">
        <f t="shared" si="9"/>
        <v>-2.4908774812466561</v>
      </c>
      <c r="L12" s="50">
        <f t="shared" si="10"/>
        <v>-2.1102207253713701</v>
      </c>
      <c r="R12" s="51">
        <f t="shared" ref="R12:R13" si="13">IF(AND(D12&lt;&gt;"",D11&lt;&gt;""),(D12-D11)/($B12-$B11),"")</f>
        <v>-2.900896678046827</v>
      </c>
      <c r="S12" s="51">
        <f t="shared" ref="S12:S13" si="14">IF(AND(E12&lt;&gt;"",E11&lt;&gt;""),(E12-E11)/($B12-$B11),"")</f>
        <v>-2.1116222669883555</v>
      </c>
      <c r="T12" s="51">
        <f t="shared" ref="T12:T13" si="15">IF(AND(F12&lt;&gt;"",F11&lt;&gt;""),(F12-F11)/($B12-$B11),"")</f>
        <v>-0.89168509556092346</v>
      </c>
      <c r="U12" s="51">
        <f t="shared" ref="U12:U13" si="16">IF(AND(G12&lt;&gt;"",G11&lt;&gt;""),(G12-G11)/($B12-$B11),"")</f>
        <v>-0.95307931690102876</v>
      </c>
      <c r="V12" s="51">
        <f t="shared" ref="V12:V13" si="17">IF(AND(H12&lt;&gt;"",H11&lt;&gt;""),(H12-H11)/($B12-$B11),"")</f>
        <v>-3.7245059181052476</v>
      </c>
      <c r="W12" s="51">
        <f t="shared" ref="W12:W13" si="18">IF(AND(I12&lt;&gt;"",I11&lt;&gt;""),(I12-I11)/($B12-$B11),"")</f>
        <v>-3.8397182960512311</v>
      </c>
      <c r="X12" s="51">
        <f t="shared" ref="X12:X13" si="19">IF(AND(J12&lt;&gt;"",J11&lt;&gt;""),(J12-J11)/($B12-$B11),"")</f>
        <v>-0.52234335674627985</v>
      </c>
      <c r="Y12" s="51">
        <f t="shared" ref="Y12:Y13" si="20">IF(AND(K12&lt;&gt;"",K11&lt;&gt;""),(K12-K11)/($B12-$B11),"")</f>
        <v>-1.1122623670187792</v>
      </c>
      <c r="Z12" s="51">
        <f t="shared" ref="Z12:Z13" si="21">IF(AND(L12&lt;&gt;"",L11&lt;&gt;""),(L12-L11)/($B12-$B11),"")</f>
        <v>-1.7813233203050061</v>
      </c>
    </row>
    <row r="13" spans="1:26" ht="20.100000000000001" customHeight="1" x14ac:dyDescent="0.2">
      <c r="A13" s="53">
        <f t="shared" si="0"/>
        <v>5</v>
      </c>
      <c r="B13" s="54">
        <f t="shared" si="1"/>
        <v>43663</v>
      </c>
      <c r="C13" s="55">
        <f>'Résultats observations'!D13</f>
        <v>4.2699999999999818</v>
      </c>
      <c r="D13" s="50">
        <f t="shared" si="2"/>
        <v>-9.9229837758638695</v>
      </c>
      <c r="E13" s="50">
        <f t="shared" si="3"/>
        <v>-8.4988295520465051</v>
      </c>
      <c r="F13" s="50">
        <f t="shared" si="4"/>
        <v>-5.0672580853650118</v>
      </c>
      <c r="G13" s="50">
        <f t="shared" si="5"/>
        <v>-2.8214405081936622</v>
      </c>
      <c r="H13" s="50">
        <f t="shared" si="6"/>
        <v>-10.089534444457815</v>
      </c>
      <c r="I13" s="50">
        <f t="shared" si="7"/>
        <v>-11.102121895008921</v>
      </c>
      <c r="J13" s="50">
        <f t="shared" si="8"/>
        <v>-2.8821026034662189</v>
      </c>
      <c r="K13" s="50">
        <f t="shared" si="9"/>
        <v>-4.0069347401736621</v>
      </c>
      <c r="L13" s="50">
        <f t="shared" si="10"/>
        <v>-3.515555119186331</v>
      </c>
      <c r="R13" s="51">
        <f t="shared" si="13"/>
        <v>-3.6359272048782643</v>
      </c>
      <c r="S13" s="51">
        <f t="shared" si="14"/>
        <v>-3.0991611130444241</v>
      </c>
      <c r="T13" s="51">
        <f t="shared" si="15"/>
        <v>-1.9343022031033108</v>
      </c>
      <c r="U13" s="51">
        <f t="shared" si="16"/>
        <v>-1.0851278859775881</v>
      </c>
      <c r="V13" s="51">
        <f t="shared" si="17"/>
        <v>-3.3188357209859021</v>
      </c>
      <c r="W13" s="51">
        <f t="shared" si="18"/>
        <v>-3.7864320055707168</v>
      </c>
      <c r="X13" s="51">
        <f t="shared" si="19"/>
        <v>-1.3868708533082419</v>
      </c>
      <c r="Y13" s="51">
        <f t="shared" si="20"/>
        <v>-1.516057258927006</v>
      </c>
      <c r="Z13" s="51">
        <f t="shared" si="21"/>
        <v>-1.4053343938149609</v>
      </c>
    </row>
    <row r="14" spans="1:26" ht="20.100000000000001" customHeight="1" x14ac:dyDescent="0.2">
      <c r="A14" s="53">
        <f t="shared" si="0"/>
        <v>11</v>
      </c>
      <c r="B14" s="54">
        <f t="shared" si="1"/>
        <v>43669</v>
      </c>
      <c r="C14" s="55">
        <f>'Résultats observations'!D14</f>
        <v>5.3299999999999841</v>
      </c>
      <c r="D14" s="50">
        <f t="shared" si="2"/>
        <v>-19.79429363937335</v>
      </c>
      <c r="E14" s="50">
        <f t="shared" si="3"/>
        <v>-16.867969949094341</v>
      </c>
      <c r="F14" s="50">
        <f t="shared" si="4"/>
        <v>-9.1104497175948929</v>
      </c>
      <c r="G14" s="50">
        <f t="shared" si="5"/>
        <v>-5.336098170271919</v>
      </c>
      <c r="H14" s="50">
        <f t="shared" si="6"/>
        <v>-19.907794568734705</v>
      </c>
      <c r="I14" s="50">
        <f t="shared" si="7"/>
        <v>0</v>
      </c>
      <c r="J14" s="50">
        <f t="shared" si="8"/>
        <v>-4.6545208024957319</v>
      </c>
      <c r="K14" s="50">
        <f t="shared" si="9"/>
        <v>-8.773181945951336</v>
      </c>
      <c r="L14" s="50">
        <f t="shared" si="10"/>
        <v>-5.5004710756874076</v>
      </c>
      <c r="R14" s="51">
        <f t="shared" ref="R14" si="22">IF(AND(D14&lt;&gt;"",D13&lt;&gt;""),(D14-D13)/($B14-$B13),"")</f>
        <v>-1.6452183105849134</v>
      </c>
      <c r="S14" s="51">
        <f t="shared" ref="S14" si="23">IF(AND(E14&lt;&gt;"",E13&lt;&gt;""),(E14-E13)/($B14-$B13),"")</f>
        <v>-1.394856732841306</v>
      </c>
      <c r="T14" s="51">
        <f t="shared" ref="T14" si="24">IF(AND(F14&lt;&gt;"",F13&lt;&gt;""),(F14-F13)/($B14-$B13),"")</f>
        <v>-0.67386527203831348</v>
      </c>
      <c r="U14" s="51">
        <f t="shared" ref="U14" si="25">IF(AND(G14&lt;&gt;"",G13&lt;&gt;""),(G14-G13)/($B14-$B13),"")</f>
        <v>-0.41910961034637612</v>
      </c>
      <c r="V14" s="51">
        <f t="shared" ref="V14" si="26">IF(AND(H14&lt;&gt;"",H13&lt;&gt;""),(H14-H13)/($B14-$B13),"")</f>
        <v>-1.6363766873794816</v>
      </c>
      <c r="W14" s="51">
        <f t="shared" ref="W14" si="27">IF(AND(I14&lt;&gt;"",I13&lt;&gt;""),(I14-I13)/($B14-$B13),"")</f>
        <v>1.8503536491681534</v>
      </c>
      <c r="X14" s="51">
        <f t="shared" ref="X14" si="28">IF(AND(J14&lt;&gt;"",J13&lt;&gt;""),(J14-J13)/($B14-$B13),"")</f>
        <v>-0.29540303317158551</v>
      </c>
      <c r="Y14" s="51">
        <f t="shared" ref="Y14" si="29">IF(AND(K14&lt;&gt;"",K13&lt;&gt;""),(K14-K13)/($B14-$B13),"")</f>
        <v>-0.79437453429627902</v>
      </c>
      <c r="Z14" s="51">
        <f t="shared" ref="Z14" si="30">IF(AND(L14&lt;&gt;"",L13&lt;&gt;""),(L14-L13)/($B14-$B13),"")</f>
        <v>-0.33081932608351278</v>
      </c>
    </row>
    <row r="15" spans="1:26" ht="20.100000000000001" customHeight="1" x14ac:dyDescent="0.2">
      <c r="A15" s="53">
        <f t="shared" si="0"/>
        <v>17</v>
      </c>
      <c r="B15" s="54">
        <f t="shared" si="1"/>
        <v>43675</v>
      </c>
      <c r="C15" s="55">
        <f>'Résultats observations'!D15</f>
        <v>7.5999999999999943</v>
      </c>
      <c r="D15" s="50">
        <f t="shared" si="2"/>
        <v>-29.699711664441963</v>
      </c>
      <c r="E15" s="50">
        <f t="shared" si="3"/>
        <v>-25.180447141104345</v>
      </c>
      <c r="F15" s="50"/>
      <c r="G15" s="50">
        <f t="shared" si="5"/>
        <v>-8.7989674370088089</v>
      </c>
      <c r="H15" s="50">
        <f t="shared" si="6"/>
        <v>-29.540049058172091</v>
      </c>
      <c r="I15" s="50">
        <f t="shared" si="7"/>
        <v>-4.1570054842123838</v>
      </c>
      <c r="J15" s="50"/>
      <c r="K15" s="50">
        <f t="shared" si="9"/>
        <v>-12.544164319370665</v>
      </c>
      <c r="L15" s="50">
        <f t="shared" si="10"/>
        <v>-9.6760963708995007</v>
      </c>
      <c r="R15" s="51">
        <f t="shared" ref="R15:R17" si="31">IF(AND(D15&lt;&gt;"",D14&lt;&gt;""),(D15-D14)/($B15-$B14),"")</f>
        <v>-1.6509030041781021</v>
      </c>
      <c r="S15" s="51">
        <f t="shared" ref="S15:S17" si="32">IF(AND(E15&lt;&gt;"",E14&lt;&gt;""),(E15-E14)/($B15-$B14),"")</f>
        <v>-1.3854128653350006</v>
      </c>
      <c r="T15" s="51" t="str">
        <f t="shared" ref="T15:T17" si="33">IF(AND(F15&lt;&gt;"",F14&lt;&gt;""),(F15-F14)/($B15-$B14),"")</f>
        <v/>
      </c>
      <c r="U15" s="51">
        <f t="shared" ref="U15:U17" si="34">IF(AND(G15&lt;&gt;"",G14&lt;&gt;""),(G15-G14)/($B15-$B14),"")</f>
        <v>-0.57714487778948165</v>
      </c>
      <c r="V15" s="51">
        <f t="shared" ref="V15:V17" si="35">IF(AND(H15&lt;&gt;"",H14&lt;&gt;""),(H15-H14)/($B15-$B14),"")</f>
        <v>-1.6053757482395643</v>
      </c>
      <c r="W15" s="51">
        <f t="shared" ref="W15:W17" si="36">IF(AND(I15&lt;&gt;"",I14&lt;&gt;""),(I15-I14)/($B15-$B14),"")</f>
        <v>-0.69283424736873067</v>
      </c>
      <c r="X15" s="51" t="str">
        <f t="shared" ref="X15:X17" si="37">IF(AND(J15&lt;&gt;"",J14&lt;&gt;""),(J15-J14)/($B15-$B14),"")</f>
        <v/>
      </c>
      <c r="Y15" s="51">
        <f t="shared" ref="Y15:Y17" si="38">IF(AND(K15&lt;&gt;"",K14&lt;&gt;""),(K15-K14)/($B15-$B14),"")</f>
        <v>-0.62849706223655488</v>
      </c>
      <c r="Z15" s="51">
        <f t="shared" ref="Z15:Z17" si="39">IF(AND(L15&lt;&gt;"",L14&lt;&gt;""),(L15-L14)/($B15-$B14),"")</f>
        <v>-0.69593754920201556</v>
      </c>
    </row>
    <row r="16" spans="1:26" ht="20.100000000000001" customHeight="1" x14ac:dyDescent="0.2">
      <c r="A16" s="53">
        <f t="shared" si="0"/>
        <v>21</v>
      </c>
      <c r="B16" s="54">
        <f t="shared" si="1"/>
        <v>43679</v>
      </c>
      <c r="C16" s="55">
        <f>'Résultats observations'!D16</f>
        <v>9.1399999999999864</v>
      </c>
      <c r="D16" s="50">
        <f t="shared" si="2"/>
        <v>-33.771906097574522</v>
      </c>
      <c r="E16" s="50">
        <f t="shared" si="3"/>
        <v>-28.188657568936737</v>
      </c>
      <c r="F16" s="50">
        <f t="shared" si="4"/>
        <v>-15.643332080867767</v>
      </c>
      <c r="G16" s="50">
        <f t="shared" si="5"/>
        <v>-12.888754040982997</v>
      </c>
      <c r="H16" s="50">
        <f t="shared" si="6"/>
        <v>-36.447721587056222</v>
      </c>
      <c r="I16" s="50">
        <f t="shared" si="7"/>
        <v>-11.097913267517967</v>
      </c>
      <c r="J16" s="50">
        <f t="shared" si="8"/>
        <v>-11.569012375588272</v>
      </c>
      <c r="K16" s="50">
        <f t="shared" si="9"/>
        <v>-13.983140866692167</v>
      </c>
      <c r="L16" s="50">
        <f t="shared" si="10"/>
        <v>-10.63118338695368</v>
      </c>
      <c r="M16" s="7"/>
      <c r="N16" s="7"/>
      <c r="O16" s="7"/>
      <c r="R16" s="51">
        <f t="shared" si="31"/>
        <v>-1.0180486082831397</v>
      </c>
      <c r="S16" s="51">
        <f t="shared" si="32"/>
        <v>-0.75205260695809795</v>
      </c>
      <c r="T16" s="51" t="str">
        <f t="shared" si="33"/>
        <v/>
      </c>
      <c r="U16" s="51">
        <f t="shared" si="34"/>
        <v>-1.022446650993547</v>
      </c>
      <c r="V16" s="51">
        <f t="shared" si="35"/>
        <v>-1.7269181322210327</v>
      </c>
      <c r="W16" s="51">
        <f t="shared" si="36"/>
        <v>-1.7352269458263958</v>
      </c>
      <c r="X16" s="51" t="str">
        <f t="shared" si="37"/>
        <v/>
      </c>
      <c r="Y16" s="51">
        <f t="shared" si="38"/>
        <v>-0.35974413683037554</v>
      </c>
      <c r="Z16" s="51">
        <f t="shared" si="39"/>
        <v>-0.23877175401354478</v>
      </c>
    </row>
    <row r="17" spans="1:26" ht="20.100000000000001" customHeight="1" x14ac:dyDescent="0.2">
      <c r="A17" s="53">
        <f t="shared" si="0"/>
        <v>24</v>
      </c>
      <c r="B17" s="54">
        <f t="shared" si="1"/>
        <v>43682</v>
      </c>
      <c r="C17" s="55">
        <f>'Résultats observations'!D17</f>
        <v>9.1399999999999864</v>
      </c>
      <c r="D17" s="50">
        <f t="shared" si="2"/>
        <v>-37.294385031607646</v>
      </c>
      <c r="E17" s="50">
        <f t="shared" si="3"/>
        <v>-31.394687220394069</v>
      </c>
      <c r="F17" s="50">
        <f t="shared" si="4"/>
        <v>-17.385591301754211</v>
      </c>
      <c r="G17" s="50">
        <f t="shared" si="5"/>
        <v>-15.245143915110893</v>
      </c>
      <c r="H17" s="50">
        <f t="shared" si="6"/>
        <v>-39.682739266638563</v>
      </c>
      <c r="I17" s="50">
        <f t="shared" si="7"/>
        <v>-15.095207300314328</v>
      </c>
      <c r="J17" s="50">
        <f t="shared" si="8"/>
        <v>-13.836230911248748</v>
      </c>
      <c r="K17" s="50">
        <f t="shared" si="9"/>
        <v>-15.476771769383113</v>
      </c>
      <c r="L17" s="50">
        <f t="shared" si="10"/>
        <v>-12.384220769001253</v>
      </c>
      <c r="R17" s="51">
        <f t="shared" si="31"/>
        <v>-1.1741596446777081</v>
      </c>
      <c r="S17" s="51">
        <f t="shared" si="32"/>
        <v>-1.0686765504857771</v>
      </c>
      <c r="T17" s="51">
        <f t="shared" si="33"/>
        <v>-0.58075307362881468</v>
      </c>
      <c r="U17" s="51">
        <f t="shared" si="34"/>
        <v>-0.78546329137596516</v>
      </c>
      <c r="V17" s="51">
        <f t="shared" si="35"/>
        <v>-1.0783392265274472</v>
      </c>
      <c r="W17" s="51">
        <f t="shared" si="36"/>
        <v>-1.3324313442654538</v>
      </c>
      <c r="X17" s="51">
        <f t="shared" si="37"/>
        <v>-0.7557395118868252</v>
      </c>
      <c r="Y17" s="51">
        <f t="shared" si="38"/>
        <v>-0.49787696756364852</v>
      </c>
      <c r="Z17" s="51">
        <f t="shared" si="39"/>
        <v>-0.58434579401585773</v>
      </c>
    </row>
    <row r="18" spans="1:26" ht="20.100000000000001" customHeight="1" x14ac:dyDescent="0.2">
      <c r="A18" s="53">
        <f t="shared" si="0"/>
        <v>26</v>
      </c>
      <c r="B18" s="54">
        <f t="shared" si="1"/>
        <v>43684</v>
      </c>
      <c r="C18" s="55">
        <f>'Résultats observations'!D18</f>
        <v>9.7599999999999909</v>
      </c>
      <c r="D18" s="50">
        <f t="shared" si="2"/>
        <v>-39.035275795256119</v>
      </c>
      <c r="E18" s="50">
        <f t="shared" si="3"/>
        <v>-32.867686724067369</v>
      </c>
      <c r="F18" s="50">
        <f t="shared" si="4"/>
        <v>-19.674394205298597</v>
      </c>
      <c r="G18" s="50">
        <f t="shared" si="5"/>
        <v>-17.795136219741934</v>
      </c>
      <c r="H18" s="50">
        <f t="shared" si="6"/>
        <v>-40.7238931465983</v>
      </c>
      <c r="I18" s="50">
        <f t="shared" si="7"/>
        <v>-17.01105770440936</v>
      </c>
      <c r="J18" s="50">
        <f t="shared" si="8"/>
        <v>-17.38011969286779</v>
      </c>
      <c r="K18" s="50">
        <f t="shared" si="9"/>
        <v>-15.395035106649857</v>
      </c>
      <c r="L18" s="50">
        <f t="shared" si="10"/>
        <v>-13.206324020437421</v>
      </c>
      <c r="R18" s="50"/>
      <c r="S18" s="50"/>
      <c r="T18" s="50"/>
      <c r="U18" s="50"/>
      <c r="V18" s="50"/>
      <c r="W18" s="50"/>
      <c r="X18" s="50"/>
      <c r="Y18" s="50"/>
      <c r="Z18" s="50"/>
    </row>
    <row r="19" spans="1:26" ht="20.100000000000001" customHeight="1" x14ac:dyDescent="0.2">
      <c r="A19" s="91"/>
      <c r="B19" s="92"/>
      <c r="C19" s="93"/>
      <c r="D19" s="94"/>
      <c r="E19" s="94"/>
      <c r="F19" s="94"/>
      <c r="G19" s="94"/>
      <c r="H19" s="94"/>
      <c r="I19" s="94"/>
      <c r="J19" s="94"/>
      <c r="K19" s="94"/>
      <c r="L19" s="94"/>
      <c r="R19" s="94"/>
      <c r="S19" s="94"/>
      <c r="T19" s="94"/>
      <c r="U19" s="94"/>
      <c r="V19" s="94"/>
      <c r="W19" s="94"/>
      <c r="X19" s="94"/>
      <c r="Y19" s="94"/>
      <c r="Z19" s="94"/>
    </row>
    <row r="20" spans="1:26" ht="20.100000000000001" customHeight="1" x14ac:dyDescent="0.2">
      <c r="A20" s="91"/>
      <c r="B20" s="92"/>
      <c r="C20" s="93"/>
      <c r="D20" s="94"/>
      <c r="E20" s="94"/>
      <c r="F20" s="94"/>
      <c r="G20" s="94"/>
      <c r="H20" s="94"/>
      <c r="I20" s="94"/>
      <c r="J20" s="94"/>
      <c r="K20" s="94"/>
      <c r="L20" s="94"/>
      <c r="N20" s="132"/>
      <c r="O20" s="132"/>
      <c r="P20" s="132"/>
      <c r="R20" s="94"/>
      <c r="S20" s="94"/>
      <c r="T20" s="94"/>
      <c r="U20" s="94"/>
      <c r="V20" s="94"/>
      <c r="W20" s="94"/>
      <c r="X20" s="94"/>
      <c r="Y20" s="94"/>
      <c r="Z20" s="94"/>
    </row>
    <row r="21" spans="1:26" ht="20.100000000000001" customHeight="1" x14ac:dyDescent="0.2">
      <c r="A21" s="53">
        <f t="shared" si="0"/>
        <v>27</v>
      </c>
      <c r="B21" s="54">
        <f t="shared" si="1"/>
        <v>43685</v>
      </c>
      <c r="C21" s="55">
        <f>'Résultats observations'!D21</f>
        <v>9.7599999999999909</v>
      </c>
      <c r="D21" s="50">
        <f t="shared" si="2"/>
        <v>-38.821662918817168</v>
      </c>
      <c r="E21" s="50">
        <f t="shared" si="3"/>
        <v>-32.932116189466228</v>
      </c>
      <c r="F21" s="50">
        <f t="shared" si="4"/>
        <v>-19.745018418819928</v>
      </c>
      <c r="G21" s="50">
        <f t="shared" si="5"/>
        <v>-18.930237794595236</v>
      </c>
      <c r="H21" s="50">
        <f t="shared" si="6"/>
        <v>-41.648522531379406</v>
      </c>
      <c r="I21" s="50">
        <f t="shared" si="7"/>
        <v>-17.388472417135148</v>
      </c>
      <c r="J21" s="50">
        <f t="shared" si="8"/>
        <v>-18.417032105364939</v>
      </c>
      <c r="K21" s="50">
        <f t="shared" si="9"/>
        <v>-16.303967983814616</v>
      </c>
      <c r="L21" s="50">
        <f t="shared" si="10"/>
        <v>-12.334384147847821</v>
      </c>
      <c r="R21" s="50"/>
      <c r="S21" s="50"/>
      <c r="T21" s="50"/>
      <c r="U21" s="50"/>
      <c r="V21" s="50"/>
      <c r="W21" s="50"/>
      <c r="X21" s="50"/>
      <c r="Y21" s="50"/>
      <c r="Z21" s="50"/>
    </row>
    <row r="22" spans="1:26" ht="20.100000000000001" customHeight="1" x14ac:dyDescent="0.2">
      <c r="A22" s="53">
        <f t="shared" si="0"/>
        <v>31</v>
      </c>
      <c r="B22" s="54">
        <f t="shared" si="1"/>
        <v>43689</v>
      </c>
      <c r="C22" s="55">
        <f>'Résultats observations'!D22</f>
        <v>10.900000000000006</v>
      </c>
      <c r="D22" s="50">
        <f t="shared" si="2"/>
        <v>-42.548994855922118</v>
      </c>
      <c r="E22" s="50">
        <f t="shared" si="3"/>
        <v>-36.170742512409149</v>
      </c>
      <c r="F22" s="50">
        <f t="shared" si="4"/>
        <v>-21.962369299894704</v>
      </c>
      <c r="G22" s="50">
        <f t="shared" si="5"/>
        <v>-19.396682385435902</v>
      </c>
      <c r="H22" s="50">
        <f t="shared" si="6"/>
        <v>-43.643480790040989</v>
      </c>
      <c r="I22" s="50">
        <f t="shared" si="7"/>
        <v>-20.300814399096367</v>
      </c>
      <c r="J22" s="50">
        <f t="shared" si="8"/>
        <v>-19.402002575911403</v>
      </c>
      <c r="K22" s="50">
        <f t="shared" si="9"/>
        <v>-16.955853078855831</v>
      </c>
      <c r="L22" s="50">
        <f t="shared" si="10"/>
        <v>-13.599554594438068</v>
      </c>
      <c r="R22" s="51">
        <f t="shared" ref="R22" si="40">IF(AND(D22&lt;&gt;"",D21&lt;&gt;""),(D22-D21)/($B22-$B21),"")</f>
        <v>-0.9318329842762374</v>
      </c>
      <c r="S22" s="51">
        <f t="shared" ref="S22" si="41">IF(AND(E22&lt;&gt;"",E21&lt;&gt;""),(E22-E21)/($B22-$B21),"")</f>
        <v>-0.8096565807357301</v>
      </c>
      <c r="T22" s="51">
        <f t="shared" ref="T22" si="42">IF(AND(F22&lt;&gt;"",F21&lt;&gt;""),(F22-F21)/($B22-$B21),"")</f>
        <v>-0.55433772026869388</v>
      </c>
      <c r="U22" s="51">
        <f t="shared" ref="U22" si="43">IF(AND(G22&lt;&gt;"",G21&lt;&gt;""),(G22-G21)/($B22-$B21),"")</f>
        <v>-0.11661114771016656</v>
      </c>
      <c r="V22" s="51">
        <f t="shared" ref="V22" si="44">IF(AND(H22&lt;&gt;"",H21&lt;&gt;""),(H22-H21)/($B22-$B21),"")</f>
        <v>-0.49873956466539582</v>
      </c>
      <c r="W22" s="51">
        <f t="shared" ref="W22" si="45">IF(AND(I22&lt;&gt;"",I21&lt;&gt;""),(I22-I21)/($B22-$B21),"")</f>
        <v>-0.72808549549030488</v>
      </c>
      <c r="X22" s="51">
        <f t="shared" ref="X22" si="46">IF(AND(J22&lt;&gt;"",J21&lt;&gt;""),(J22-J21)/($B22-$B21),"")</f>
        <v>-0.24624261763661615</v>
      </c>
      <c r="Y22" s="51">
        <f t="shared" ref="Y22" si="47">IF(AND(K22&lt;&gt;"",K21&lt;&gt;""),(K22-K21)/($B22-$B21),"")</f>
        <v>-0.16297127376030396</v>
      </c>
      <c r="Z22" s="51">
        <f t="shared" ref="Z22" si="48">IF(AND(L22&lt;&gt;"",L21&lt;&gt;""),(L22-L21)/($B22-$B21),"")</f>
        <v>-0.31629261164756173</v>
      </c>
    </row>
    <row r="23" spans="1:26" ht="20.100000000000001" customHeight="1" x14ac:dyDescent="0.2">
      <c r="A23" s="53">
        <f t="shared" si="0"/>
        <v>32</v>
      </c>
      <c r="B23" s="54">
        <f t="shared" si="1"/>
        <v>43690</v>
      </c>
      <c r="C23" s="55">
        <f>'Résultats observations'!D23</f>
        <v>10.900000000000006</v>
      </c>
      <c r="D23" s="50">
        <f t="shared" si="2"/>
        <v>-42.838061004795591</v>
      </c>
      <c r="E23" s="50">
        <f t="shared" si="3"/>
        <v>-36.451970471715889</v>
      </c>
      <c r="F23" s="50">
        <f t="shared" si="4"/>
        <v>-22.367276517116565</v>
      </c>
      <c r="G23" s="50">
        <f t="shared" si="5"/>
        <v>-19.254993292896039</v>
      </c>
      <c r="H23" s="50">
        <f t="shared" si="6"/>
        <v>-43.737542192888057</v>
      </c>
      <c r="I23" s="50">
        <f t="shared" si="7"/>
        <v>-21.057473299481266</v>
      </c>
      <c r="J23" s="50">
        <f t="shared" si="8"/>
        <v>-19.517157594520107</v>
      </c>
      <c r="K23" s="50">
        <f t="shared" si="9"/>
        <v>-16.962644506318902</v>
      </c>
      <c r="L23" s="50">
        <f t="shared" si="10"/>
        <v>-14.038067218592687</v>
      </c>
      <c r="R23" s="50">
        <f>IF(AND(D23&lt;&gt;"",D22&lt;&gt;""),(D23-D22)/($B23-$B22),"")</f>
        <v>-0.28906614887347359</v>
      </c>
      <c r="S23" s="50">
        <f t="shared" si="11"/>
        <v>-0.28122795930674016</v>
      </c>
      <c r="T23" s="50">
        <f t="shared" ref="T23:U25" si="49">IF(AND(F23&lt;&gt;"",F22&lt;&gt;""),(F23-F22)/($B23-$B22),"")</f>
        <v>-0.40490721722186152</v>
      </c>
      <c r="U23" s="50">
        <f t="shared" si="49"/>
        <v>0.14168909253986328</v>
      </c>
      <c r="V23" s="50">
        <f t="shared" ref="V23:V33" si="50">IF(AND(H23&lt;&gt;"",H22&lt;&gt;""),(H23-H22)/($B23-$B22),"")</f>
        <v>-9.4061402847067654E-2</v>
      </c>
      <c r="W23" s="50">
        <f t="shared" ref="W23:X25" si="51">IF(AND(I23&lt;&gt;"",I22&lt;&gt;""),(I23-I22)/($B23-$B22),"")</f>
        <v>-0.75665890038489891</v>
      </c>
      <c r="X23" s="50">
        <f t="shared" si="51"/>
        <v>-0.11515501860870359</v>
      </c>
      <c r="Y23" s="50">
        <f t="shared" ref="Y23:Y33" si="52">IF(AND(K23&lt;&gt;"",K22&lt;&gt;""),(K23-K22)/($B23-$B22),"")</f>
        <v>-6.7914274630709315E-3</v>
      </c>
      <c r="Z23" s="50">
        <f t="shared" ref="Z23:Z25" si="53">IF(AND(L23&lt;&gt;"",L22&lt;&gt;""),(L23-L22)/($B23-$B22),"")</f>
        <v>-0.43851262415461889</v>
      </c>
    </row>
    <row r="24" spans="1:26" ht="20.100000000000001" customHeight="1" x14ac:dyDescent="0.2">
      <c r="A24" s="53">
        <f t="shared" si="0"/>
        <v>38</v>
      </c>
      <c r="B24" s="54">
        <f t="shared" si="1"/>
        <v>43696</v>
      </c>
      <c r="C24" s="55">
        <f>'Résultats observations'!D24</f>
        <v>11.5</v>
      </c>
      <c r="D24" s="50">
        <f t="shared" si="2"/>
        <v>-45.762990946581539</v>
      </c>
      <c r="E24" s="50">
        <f t="shared" si="3"/>
        <v>-38.766849677605023</v>
      </c>
      <c r="F24" s="50">
        <f t="shared" si="4"/>
        <v>-24.06079221625146</v>
      </c>
      <c r="G24" s="50">
        <f t="shared" si="5"/>
        <v>-20.065804698703225</v>
      </c>
      <c r="H24" s="50">
        <f t="shared" si="6"/>
        <v>-46.050920757639616</v>
      </c>
      <c r="I24" s="50">
        <f t="shared" si="7"/>
        <v>-23.267872960357927</v>
      </c>
      <c r="J24" s="50">
        <f t="shared" si="8"/>
        <v>-20.848952207926708</v>
      </c>
      <c r="K24" s="50">
        <f t="shared" si="9"/>
        <v>-17.975543741663103</v>
      </c>
      <c r="L24" s="50">
        <f t="shared" si="10"/>
        <v>-14.637981533505595</v>
      </c>
      <c r="R24" s="50">
        <f>IF(AND(D24&lt;&gt;"",D23&lt;&gt;""),(D24-D23)/($B24-$B23),"")</f>
        <v>-0.48748832363099126</v>
      </c>
      <c r="S24" s="50">
        <f t="shared" si="11"/>
        <v>-0.38581320098152244</v>
      </c>
      <c r="T24" s="50">
        <f t="shared" si="49"/>
        <v>-0.28225261652248257</v>
      </c>
      <c r="U24" s="50">
        <f t="shared" si="49"/>
        <v>-0.1351352343011977</v>
      </c>
      <c r="V24" s="50">
        <f t="shared" si="50"/>
        <v>-0.38556309412525991</v>
      </c>
      <c r="W24" s="50">
        <f t="shared" si="51"/>
        <v>-0.36839994347944344</v>
      </c>
      <c r="X24" s="50">
        <f t="shared" si="51"/>
        <v>-0.22196576890110009</v>
      </c>
      <c r="Y24" s="50">
        <f t="shared" si="52"/>
        <v>-0.16881653922403336</v>
      </c>
      <c r="Z24" s="50">
        <f t="shared" si="53"/>
        <v>-9.9985719152151376E-2</v>
      </c>
    </row>
    <row r="25" spans="1:26" ht="20.100000000000001" customHeight="1" x14ac:dyDescent="0.2">
      <c r="A25" s="53">
        <f t="shared" si="0"/>
        <v>41</v>
      </c>
      <c r="B25" s="54">
        <f t="shared" si="1"/>
        <v>43699</v>
      </c>
      <c r="C25" s="55">
        <f>'Résultats observations'!D25</f>
        <v>12.449999999999989</v>
      </c>
      <c r="D25" s="50">
        <f t="shared" si="2"/>
        <v>-47.75328785513544</v>
      </c>
      <c r="E25" s="50">
        <f t="shared" si="3"/>
        <v>-40.646144974466395</v>
      </c>
      <c r="F25" s="50">
        <f t="shared" si="4"/>
        <v>-25.11802293690635</v>
      </c>
      <c r="G25" s="50">
        <f t="shared" si="5"/>
        <v>-20.647980549946208</v>
      </c>
      <c r="H25" s="50">
        <f t="shared" si="6"/>
        <v>-47.115374407733057</v>
      </c>
      <c r="I25" s="50">
        <f t="shared" si="7"/>
        <v>-24.892777605102445</v>
      </c>
      <c r="J25" s="50">
        <f t="shared" si="8"/>
        <v>-21.806193017630093</v>
      </c>
      <c r="K25" s="50">
        <f t="shared" si="9"/>
        <v>-19.092246134072788</v>
      </c>
      <c r="L25" s="50">
        <f t="shared" si="10"/>
        <v>-15.970953924405507</v>
      </c>
      <c r="R25" s="50">
        <f>IF(AND(D25&lt;&gt;"",D24&lt;&gt;""),(D25-D24)/($B25-$B24),"")</f>
        <v>-0.66343230285130039</v>
      </c>
      <c r="S25" s="50">
        <f t="shared" si="11"/>
        <v>-0.62643176562045733</v>
      </c>
      <c r="T25" s="50">
        <f t="shared" si="49"/>
        <v>-0.35241024021829642</v>
      </c>
      <c r="U25" s="50">
        <f t="shared" si="49"/>
        <v>-0.19405861708099437</v>
      </c>
      <c r="V25" s="50">
        <f t="shared" si="50"/>
        <v>-0.35481788336448022</v>
      </c>
      <c r="W25" s="50">
        <f t="shared" si="51"/>
        <v>-0.54163488158150608</v>
      </c>
      <c r="X25" s="50">
        <f t="shared" si="51"/>
        <v>-0.31908026990112859</v>
      </c>
      <c r="Y25" s="50">
        <f t="shared" si="52"/>
        <v>-0.37223413080322842</v>
      </c>
      <c r="Z25" s="50">
        <f t="shared" si="53"/>
        <v>-0.44432413029997048</v>
      </c>
    </row>
    <row r="26" spans="1:26" ht="20.100000000000001" customHeight="1" x14ac:dyDescent="0.2">
      <c r="A26" s="53">
        <f t="shared" si="0"/>
        <v>46</v>
      </c>
      <c r="B26" s="54">
        <f t="shared" si="1"/>
        <v>43704</v>
      </c>
      <c r="C26" s="55">
        <f>'Résultats observations'!D26</f>
        <v>13.299999999999983</v>
      </c>
      <c r="D26" s="50">
        <f t="shared" si="2"/>
        <v>-48.854923844510623</v>
      </c>
      <c r="E26" s="50">
        <f t="shared" si="3"/>
        <v>-41.430325421527584</v>
      </c>
      <c r="F26" s="50">
        <f t="shared" si="4"/>
        <v>-25.788591815847585</v>
      </c>
      <c r="G26" s="50">
        <f t="shared" si="5"/>
        <v>-13.418220616602248</v>
      </c>
      <c r="H26" s="50">
        <f t="shared" si="6"/>
        <v>-48.796744309905549</v>
      </c>
      <c r="I26" s="50">
        <f t="shared" si="7"/>
        <v>-26.581531179000528</v>
      </c>
      <c r="J26" s="50">
        <f t="shared" si="8"/>
        <v>-18.25114850710019</v>
      </c>
      <c r="K26" s="50">
        <f t="shared" si="9"/>
        <v>-19.028722775032314</v>
      </c>
      <c r="L26" s="50">
        <f t="shared" si="10"/>
        <v>-15.770938828596037</v>
      </c>
      <c r="R26" s="50">
        <f t="shared" si="11"/>
        <v>-0.22032719787503652</v>
      </c>
      <c r="S26" s="50">
        <f t="shared" si="11"/>
        <v>-0.15683608941223781</v>
      </c>
      <c r="T26" s="50">
        <f t="shared" ref="T26:T33" si="54">IF(AND(F26&lt;&gt;"",F25&lt;&gt;""),(F26-F25)/($B26-$B25),"")</f>
        <v>-0.13411377578824712</v>
      </c>
      <c r="U26" s="50">
        <f t="shared" ref="U26:U33" si="55">IF(AND(G26&lt;&gt;"",G25&lt;&gt;""),(G26-G25)/($B26-$B25),"")</f>
        <v>1.445951986668792</v>
      </c>
      <c r="V26" s="50">
        <f t="shared" si="50"/>
        <v>-0.3362739804344983</v>
      </c>
      <c r="W26" s="50">
        <f t="shared" ref="W26:W33" si="56">IF(AND(I26&lt;&gt;"",I25&lt;&gt;""),(I26-I25)/($B26-$B25),"")</f>
        <v>-0.3377507147796166</v>
      </c>
      <c r="X26" s="50">
        <f t="shared" ref="X26:X33" si="57">IF(AND(J26&lt;&gt;"",J25&lt;&gt;""),(J26-J25)/($B26-$B25),"")</f>
        <v>0.71100890210598067</v>
      </c>
      <c r="Y26" s="50">
        <f t="shared" si="52"/>
        <v>1.2704671808094758E-2</v>
      </c>
      <c r="Z26" s="50">
        <f t="shared" ref="Z26:Z33" si="58">IF(AND(L26&lt;&gt;"",L25&lt;&gt;""),(L26-L25)/($B26-$B25),"")</f>
        <v>4.000301916189386E-2</v>
      </c>
    </row>
    <row r="27" spans="1:26" ht="20.100000000000001" customHeight="1" x14ac:dyDescent="0.2">
      <c r="A27" s="53">
        <f t="shared" si="0"/>
        <v>48</v>
      </c>
      <c r="B27" s="54">
        <f t="shared" si="1"/>
        <v>43706</v>
      </c>
      <c r="C27" s="55">
        <f>'Résultats observations'!D27</f>
        <v>14.400000000000006</v>
      </c>
      <c r="D27" s="50">
        <f t="shared" si="2"/>
        <v>-48.992036540123074</v>
      </c>
      <c r="E27" s="50">
        <f t="shared" si="3"/>
        <v>-41.367216230823622</v>
      </c>
      <c r="F27" s="50">
        <f t="shared" si="4"/>
        <v>-25.59561922615017</v>
      </c>
      <c r="G27" s="50">
        <f t="shared" si="5"/>
        <v>-13.548801601496184</v>
      </c>
      <c r="H27" s="50">
        <f t="shared" si="6"/>
        <v>-49.127489585126582</v>
      </c>
      <c r="I27" s="50">
        <f t="shared" si="7"/>
        <v>-26.962364245949111</v>
      </c>
      <c r="J27" s="50">
        <f t="shared" si="8"/>
        <v>-17.891569523455164</v>
      </c>
      <c r="K27" s="50">
        <f t="shared" si="9"/>
        <v>-18.910468253237944</v>
      </c>
      <c r="L27" s="50">
        <f t="shared" si="10"/>
        <v>-16.020299203366228</v>
      </c>
      <c r="R27" s="50">
        <f>IF(AND(D27&lt;&gt;"",D26&lt;&gt;""),(D27-D26)/($B27-$B26),"")</f>
        <v>-6.8556347806225659E-2</v>
      </c>
      <c r="S27" s="50">
        <f t="shared" si="11"/>
        <v>3.1554595351980907E-2</v>
      </c>
      <c r="T27" s="50">
        <f>IF(AND(F27&lt;&gt;"",F26&lt;&gt;""),(F27-F26)/($B27-$B26),"")</f>
        <v>9.6486294848707743E-2</v>
      </c>
      <c r="U27" s="50">
        <f>IF(AND(G27&lt;&gt;"",G26&lt;&gt;""),(G27-G26)/($B27-$B26),"")</f>
        <v>-6.5290492446967718E-2</v>
      </c>
      <c r="V27" s="50">
        <f t="shared" si="50"/>
        <v>-0.1653726376105169</v>
      </c>
      <c r="W27" s="50">
        <f>IF(AND(I27&lt;&gt;"",I26&lt;&gt;""),(I27-I26)/($B27-$B26),"")</f>
        <v>-0.19041653347429133</v>
      </c>
      <c r="X27" s="50">
        <f>IF(AND(J27&lt;&gt;"",J26&lt;&gt;""),(J27-J26)/($B27-$B26),"")</f>
        <v>0.17978949182251291</v>
      </c>
      <c r="Y27" s="50">
        <f t="shared" si="52"/>
        <v>5.9127260897184897E-2</v>
      </c>
      <c r="Z27" s="50">
        <f t="shared" ref="Z27:Z28" si="59">IF(AND(L27&lt;&gt;"",L26&lt;&gt;""),(L27-L26)/($B27-$B26),"")</f>
        <v>-0.12468018738509556</v>
      </c>
    </row>
    <row r="28" spans="1:26" ht="20.100000000000001" customHeight="1" x14ac:dyDescent="0.2">
      <c r="A28" s="53">
        <f t="shared" si="0"/>
        <v>52</v>
      </c>
      <c r="B28" s="54">
        <f t="shared" si="1"/>
        <v>43710</v>
      </c>
      <c r="C28" s="55">
        <f>'Résultats observations'!D28</f>
        <v>15.5</v>
      </c>
      <c r="D28" s="50">
        <f t="shared" si="2"/>
        <v>-49.688226700596694</v>
      </c>
      <c r="E28" s="50">
        <f t="shared" si="3"/>
        <v>-42.08975627170819</v>
      </c>
      <c r="F28" s="50">
        <f t="shared" si="4"/>
        <v>-25.952196205908386</v>
      </c>
      <c r="G28" s="50">
        <f t="shared" si="5"/>
        <v>-13.788957567158143</v>
      </c>
      <c r="H28" s="50">
        <f t="shared" si="6"/>
        <v>-49.742308212112007</v>
      </c>
      <c r="I28" s="50">
        <f t="shared" si="7"/>
        <v>-27.696400722714287</v>
      </c>
      <c r="J28" s="50">
        <f t="shared" si="8"/>
        <v>-18.208550667762058</v>
      </c>
      <c r="K28" s="50">
        <f t="shared" si="9"/>
        <v>-19.349240612053897</v>
      </c>
      <c r="L28" s="50">
        <f t="shared" si="10"/>
        <v>-16.245436940742763</v>
      </c>
      <c r="R28" s="50">
        <f>IF(AND(D28&lt;&gt;"",D27&lt;&gt;""),(D28-D27)/($B28-$B27),"")</f>
        <v>-0.17404754011840495</v>
      </c>
      <c r="S28" s="50">
        <f t="shared" si="11"/>
        <v>-0.18063501022114181</v>
      </c>
      <c r="T28" s="50">
        <f>IF(AND(F28&lt;&gt;"",F27&lt;&gt;""),(F28-F27)/($B28-$B27),"")</f>
        <v>-8.9144244939554085E-2</v>
      </c>
      <c r="U28" s="50">
        <f>IF(AND(G28&lt;&gt;"",G27&lt;&gt;""),(G28-G27)/($B28-$B27),"")</f>
        <v>-6.003899141548974E-2</v>
      </c>
      <c r="V28" s="50">
        <f t="shared" si="50"/>
        <v>-0.15370465674635625</v>
      </c>
      <c r="W28" s="50">
        <f>IF(AND(I28&lt;&gt;"",I27&lt;&gt;""),(I28-I27)/($B28-$B27),"")</f>
        <v>-0.18350911919129409</v>
      </c>
      <c r="X28" s="50">
        <f>IF(AND(J28&lt;&gt;"",J27&lt;&gt;""),(J28-J27)/($B28-$B27),"")</f>
        <v>-7.9245286076723431E-2</v>
      </c>
      <c r="Y28" s="50">
        <f t="shared" si="52"/>
        <v>-0.10969308970398828</v>
      </c>
      <c r="Z28" s="50">
        <f t="shared" si="59"/>
        <v>-5.6284434344133771E-2</v>
      </c>
    </row>
    <row r="29" spans="1:26" ht="20.100000000000001" customHeight="1" x14ac:dyDescent="0.2">
      <c r="A29" s="53">
        <f t="shared" si="0"/>
        <v>55</v>
      </c>
      <c r="B29" s="54">
        <f t="shared" si="1"/>
        <v>43713</v>
      </c>
      <c r="C29" s="55">
        <f>'Résultats observations'!D29</f>
        <v>16.699999999999989</v>
      </c>
      <c r="D29" s="50">
        <f t="shared" si="2"/>
        <v>-50.321646660178132</v>
      </c>
      <c r="E29" s="50">
        <f t="shared" si="3"/>
        <v>-42.71692333634158</v>
      </c>
      <c r="F29" s="50">
        <f t="shared" si="4"/>
        <v>-26.276989563467136</v>
      </c>
      <c r="G29" s="50">
        <f t="shared" si="5"/>
        <v>-13.829187726146939</v>
      </c>
      <c r="H29" s="50">
        <f t="shared" si="6"/>
        <v>-50.213873698138123</v>
      </c>
      <c r="I29" s="50">
        <f t="shared" si="7"/>
        <v>-28.245104484067696</v>
      </c>
      <c r="J29" s="50">
        <f t="shared" si="8"/>
        <v>-18.330631216342486</v>
      </c>
      <c r="K29" s="50">
        <f t="shared" si="9"/>
        <v>-19.51532016752644</v>
      </c>
      <c r="L29" s="50">
        <f t="shared" si="10"/>
        <v>-16.033600737795695</v>
      </c>
      <c r="R29" s="50">
        <f t="shared" si="11"/>
        <v>-0.21113998652714608</v>
      </c>
      <c r="S29" s="50">
        <f t="shared" si="11"/>
        <v>-0.20905568821113008</v>
      </c>
      <c r="T29" s="50">
        <f t="shared" si="54"/>
        <v>-0.10826445251958343</v>
      </c>
      <c r="U29" s="50">
        <f t="shared" si="55"/>
        <v>-1.341005299626552E-2</v>
      </c>
      <c r="V29" s="50">
        <f t="shared" si="50"/>
        <v>-0.15718849534203846</v>
      </c>
      <c r="W29" s="50">
        <f t="shared" si="56"/>
        <v>-0.1829012537844695</v>
      </c>
      <c r="X29" s="50">
        <f t="shared" si="57"/>
        <v>-4.0693516193475908E-2</v>
      </c>
      <c r="Y29" s="50">
        <f t="shared" si="52"/>
        <v>-5.5359851824180829E-2</v>
      </c>
      <c r="Z29" s="50">
        <f t="shared" si="58"/>
        <v>7.0612067649022947E-2</v>
      </c>
    </row>
    <row r="30" spans="1:26" ht="20.100000000000001" customHeight="1" x14ac:dyDescent="0.2">
      <c r="A30" s="53">
        <f t="shared" si="0"/>
        <v>60</v>
      </c>
      <c r="B30" s="54">
        <f t="shared" si="1"/>
        <v>43718</v>
      </c>
      <c r="C30" s="55">
        <f>'Résultats observations'!D30</f>
        <v>18.680000000000007</v>
      </c>
      <c r="D30" s="50">
        <f t="shared" si="2"/>
        <v>-51.272257965250922</v>
      </c>
      <c r="E30" s="50">
        <f t="shared" si="3"/>
        <v>-43.188998278321122</v>
      </c>
      <c r="F30" s="50">
        <f t="shared" si="4"/>
        <v>-26.544421336270887</v>
      </c>
      <c r="G30" s="50">
        <f t="shared" si="5"/>
        <v>-14.338604172213552</v>
      </c>
      <c r="H30" s="50">
        <f t="shared" si="6"/>
        <v>-51.168119710835569</v>
      </c>
      <c r="I30" s="50">
        <f t="shared" si="7"/>
        <v>-29.051688512576668</v>
      </c>
      <c r="J30" s="50">
        <f t="shared" si="8"/>
        <v>-18.757303706634865</v>
      </c>
      <c r="K30" s="50">
        <f t="shared" si="9"/>
        <v>-20.139814180263116</v>
      </c>
      <c r="L30" s="50">
        <f t="shared" si="10"/>
        <v>-16.97905418108725</v>
      </c>
      <c r="R30" s="50">
        <f t="shared" si="11"/>
        <v>-0.19012226101455809</v>
      </c>
      <c r="S30" s="50">
        <f t="shared" si="11"/>
        <v>-9.4414988395908492E-2</v>
      </c>
      <c r="T30" s="50">
        <f t="shared" si="54"/>
        <v>-5.3486354560750016E-2</v>
      </c>
      <c r="U30" s="50">
        <f t="shared" si="55"/>
        <v>-0.10188328921332257</v>
      </c>
      <c r="V30" s="50">
        <f t="shared" si="50"/>
        <v>-0.19084920253948923</v>
      </c>
      <c r="W30" s="50">
        <f t="shared" si="56"/>
        <v>-0.16131680570179441</v>
      </c>
      <c r="X30" s="50">
        <f t="shared" si="57"/>
        <v>-8.5334498058475816E-2</v>
      </c>
      <c r="Y30" s="50">
        <f t="shared" si="52"/>
        <v>-0.12489880254733521</v>
      </c>
      <c r="Z30" s="50">
        <f t="shared" si="58"/>
        <v>-0.18909068865831102</v>
      </c>
    </row>
    <row r="31" spans="1:26" ht="20.100000000000001" customHeight="1" x14ac:dyDescent="0.2">
      <c r="A31" s="53">
        <f t="shared" si="0"/>
        <v>62</v>
      </c>
      <c r="B31" s="54">
        <f t="shared" si="1"/>
        <v>43720</v>
      </c>
      <c r="C31" s="55">
        <f>'Résultats observations'!D31</f>
        <v>19.699999999999989</v>
      </c>
      <c r="D31" s="50">
        <f t="shared" si="2"/>
        <v>-51.642935329772044</v>
      </c>
      <c r="E31" s="50">
        <f t="shared" si="3"/>
        <v>-43.437466883351036</v>
      </c>
      <c r="F31" s="50">
        <f t="shared" si="4"/>
        <v>-26.764918557547148</v>
      </c>
      <c r="G31" s="50">
        <f t="shared" si="5"/>
        <v>-14.339582229073276</v>
      </c>
      <c r="H31" s="50">
        <f t="shared" si="6"/>
        <v>-51.3872598382723</v>
      </c>
      <c r="I31" s="50">
        <f t="shared" si="7"/>
        <v>-29.48108891102752</v>
      </c>
      <c r="J31" s="50">
        <f t="shared" si="8"/>
        <v>-18.732237216117387</v>
      </c>
      <c r="K31" s="50">
        <f t="shared" si="9"/>
        <v>-20.159754021904952</v>
      </c>
      <c r="L31" s="50">
        <f t="shared" si="10"/>
        <v>-17.064309712707448</v>
      </c>
      <c r="R31" s="50">
        <f t="shared" si="11"/>
        <v>-0.18533868226056072</v>
      </c>
      <c r="S31" s="50">
        <f t="shared" si="11"/>
        <v>-0.1242343025149566</v>
      </c>
      <c r="T31" s="50">
        <f t="shared" si="54"/>
        <v>-0.11024861063813063</v>
      </c>
      <c r="U31" s="50">
        <f t="shared" si="55"/>
        <v>-4.8902842986198181E-4</v>
      </c>
      <c r="V31" s="50">
        <f t="shared" si="50"/>
        <v>-0.10957006371836542</v>
      </c>
      <c r="W31" s="50">
        <f t="shared" si="56"/>
        <v>-0.21470019922542605</v>
      </c>
      <c r="X31" s="50">
        <f t="shared" si="57"/>
        <v>1.2533245258739001E-2</v>
      </c>
      <c r="Y31" s="50">
        <f t="shared" si="52"/>
        <v>-9.9699208209180767E-3</v>
      </c>
      <c r="Z31" s="50">
        <f t="shared" si="58"/>
        <v>-4.2627765810099305E-2</v>
      </c>
    </row>
    <row r="32" spans="1:26" ht="20.100000000000001" customHeight="1" x14ac:dyDescent="0.2">
      <c r="A32" s="53">
        <f t="shared" si="0"/>
        <v>66</v>
      </c>
      <c r="B32" s="54">
        <f t="shared" si="1"/>
        <v>43724</v>
      </c>
      <c r="C32" s="55">
        <f>'Résultats observations'!D32</f>
        <v>19.699999999999989</v>
      </c>
      <c r="D32" s="50">
        <f t="shared" si="2"/>
        <v>-52.635834081730337</v>
      </c>
      <c r="E32" s="50">
        <f t="shared" si="3"/>
        <v>-44.387046048838918</v>
      </c>
      <c r="F32" s="50">
        <f t="shared" si="4"/>
        <v>-27.266788465775573</v>
      </c>
      <c r="G32" s="50">
        <f t="shared" si="5"/>
        <v>-15.060861839492954</v>
      </c>
      <c r="H32" s="50">
        <f t="shared" si="6"/>
        <v>-52.56964981420964</v>
      </c>
      <c r="I32" s="50"/>
      <c r="J32" s="50">
        <f t="shared" si="8"/>
        <v>-19.482584665324598</v>
      </c>
      <c r="K32" s="50">
        <f t="shared" si="9"/>
        <v>-21.044787003263288</v>
      </c>
      <c r="L32" s="50"/>
      <c r="R32" s="50">
        <f>IF(AND(D32&lt;&gt;"",D31&lt;&gt;""),(D32-D31)/($B32-$B31),"")</f>
        <v>-0.24822468798957331</v>
      </c>
      <c r="S32" s="50">
        <f t="shared" si="11"/>
        <v>-0.23739479137197073</v>
      </c>
      <c r="T32" s="50">
        <f>IF(AND(F32&lt;&gt;"",F31&lt;&gt;""),(F32-F31)/($B32-$B31),"")</f>
        <v>-0.12546747705710626</v>
      </c>
      <c r="U32" s="50">
        <f>IF(AND(G32&lt;&gt;"",G31&lt;&gt;""),(G32-G31)/($B32-$B31),"")</f>
        <v>-0.18031990260491959</v>
      </c>
      <c r="V32" s="50">
        <f t="shared" si="50"/>
        <v>-0.2955974939843351</v>
      </c>
      <c r="W32" s="50" t="str">
        <f>IF(AND(I32&lt;&gt;"",I31&lt;&gt;""),(I32-I31)/($B32-$B31),"")</f>
        <v/>
      </c>
      <c r="X32" s="50">
        <f>IF(AND(J32&lt;&gt;"",J31&lt;&gt;""),(J32-J31)/($B32-$B31),"")</f>
        <v>-0.18758686230180288</v>
      </c>
      <c r="Y32" s="50">
        <f t="shared" si="52"/>
        <v>-0.22125824533958394</v>
      </c>
      <c r="Z32" s="50" t="str">
        <f t="shared" ref="Z32" si="60">IF(AND(L32&lt;&gt;"",L31&lt;&gt;""),(L32-L31)/($B32-$B31),"")</f>
        <v/>
      </c>
    </row>
    <row r="33" spans="1:26" ht="20.100000000000001" customHeight="1" x14ac:dyDescent="0.2">
      <c r="A33" s="53">
        <f t="shared" si="0"/>
        <v>69</v>
      </c>
      <c r="B33" s="54">
        <f t="shared" si="1"/>
        <v>43727</v>
      </c>
      <c r="C33" s="55">
        <f>'Résultats observations'!D33</f>
        <v>22.419999999999987</v>
      </c>
      <c r="D33" s="50">
        <f t="shared" si="2"/>
        <v>-53.454128126629641</v>
      </c>
      <c r="E33" s="50">
        <f t="shared" si="3"/>
        <v>-45.114949194713816</v>
      </c>
      <c r="F33" s="50">
        <f t="shared" si="4"/>
        <v>-27.971003231267446</v>
      </c>
      <c r="G33" s="50">
        <f t="shared" si="5"/>
        <v>-15.053343550537555</v>
      </c>
      <c r="H33" s="50">
        <f t="shared" si="6"/>
        <v>-52.80842344204784</v>
      </c>
      <c r="I33" s="50">
        <f t="shared" si="7"/>
        <v>-31.114230587306224</v>
      </c>
      <c r="J33" s="50">
        <f t="shared" si="8"/>
        <v>-20.023001858349598</v>
      </c>
      <c r="K33" s="50">
        <f t="shared" si="9"/>
        <v>-21.380946371500009</v>
      </c>
      <c r="L33" s="50">
        <f t="shared" si="10"/>
        <v>-18.433312060822438</v>
      </c>
      <c r="R33" s="50">
        <f t="shared" si="11"/>
        <v>-0.27276468163310125</v>
      </c>
      <c r="S33" s="50">
        <f t="shared" si="11"/>
        <v>-0.24263438195829914</v>
      </c>
      <c r="T33" s="50">
        <f t="shared" si="54"/>
        <v>-0.23473825516395763</v>
      </c>
      <c r="U33" s="50">
        <f t="shared" si="55"/>
        <v>2.5060963184664331E-3</v>
      </c>
      <c r="V33" s="50">
        <f t="shared" si="50"/>
        <v>-7.9591209279399777E-2</v>
      </c>
      <c r="W33" s="50" t="str">
        <f t="shared" si="56"/>
        <v/>
      </c>
      <c r="X33" s="50">
        <f t="shared" si="57"/>
        <v>-0.18013906434166671</v>
      </c>
      <c r="Y33" s="50">
        <f t="shared" si="52"/>
        <v>-0.11205312274557382</v>
      </c>
      <c r="Z33" s="50" t="str">
        <f t="shared" si="58"/>
        <v/>
      </c>
    </row>
    <row r="34" spans="1:26" ht="20.100000000000001" customHeight="1" x14ac:dyDescent="0.2">
      <c r="A34" s="53">
        <f t="shared" si="0"/>
        <v>73</v>
      </c>
      <c r="B34" s="54">
        <f t="shared" si="1"/>
        <v>43731</v>
      </c>
      <c r="C34" s="55">
        <f>'Résultats observations'!D34</f>
        <v>22.419999999999987</v>
      </c>
      <c r="D34" s="50">
        <f t="shared" si="2"/>
        <v>-54.899640057374022</v>
      </c>
      <c r="E34" s="50">
        <f t="shared" si="3"/>
        <v>-45.878354724540941</v>
      </c>
      <c r="F34" s="50">
        <f t="shared" si="4"/>
        <v>-28.44402136858837</v>
      </c>
      <c r="G34" s="50">
        <f t="shared" si="5"/>
        <v>-15.089006235209144</v>
      </c>
      <c r="H34" s="50">
        <f t="shared" si="6"/>
        <v>-53.306411143148495</v>
      </c>
      <c r="I34" s="50">
        <f t="shared" si="7"/>
        <v>-32.123671063523318</v>
      </c>
      <c r="J34" s="50">
        <f t="shared" si="8"/>
        <v>-20.268244639114918</v>
      </c>
      <c r="K34" s="50">
        <f t="shared" si="9"/>
        <v>-21.59625091096018</v>
      </c>
      <c r="L34" s="50">
        <f t="shared" si="10"/>
        <v>-19.572664810319829</v>
      </c>
      <c r="R34" s="50">
        <f t="shared" ref="R34:R36" si="61">IF(AND(D34&lt;&gt;"",D33&lt;&gt;""),(D34-D33)/($B34-$B33),"")</f>
        <v>-0.36137798268609522</v>
      </c>
      <c r="S34" s="50">
        <f t="shared" ref="S34:S36" si="62">IF(AND(E34&lt;&gt;"",E33&lt;&gt;""),(E34-E33)/($B34-$B33),"")</f>
        <v>-0.19085138245678124</v>
      </c>
      <c r="T34" s="50">
        <f t="shared" ref="T34:T36" si="63">IF(AND(F34&lt;&gt;"",F33&lt;&gt;""),(F34-F33)/($B34-$B33),"")</f>
        <v>-0.11825453433023103</v>
      </c>
      <c r="U34" s="50">
        <f t="shared" ref="U34:U36" si="64">IF(AND(G34&lt;&gt;"",G33&lt;&gt;""),(G34-G33)/($B34-$B33),"")</f>
        <v>-8.9156711678972655E-3</v>
      </c>
      <c r="V34" s="50">
        <f t="shared" ref="V34:V36" si="65">IF(AND(H34&lt;&gt;"",H33&lt;&gt;""),(H34-H33)/($B34-$B33),"")</f>
        <v>-0.12449692527516376</v>
      </c>
      <c r="W34" s="50">
        <f t="shared" ref="W34:W36" si="66">IF(AND(I34&lt;&gt;"",I33&lt;&gt;""),(I34-I33)/($B34-$B33),"")</f>
        <v>-0.25236011905427347</v>
      </c>
      <c r="X34" s="50">
        <f t="shared" ref="X34:X36" si="67">IF(AND(J34&lt;&gt;"",J33&lt;&gt;""),(J34-J33)/($B34-$B33),"")</f>
        <v>-6.1310695191330034E-2</v>
      </c>
      <c r="Y34" s="50">
        <f t="shared" ref="Y34:Y36" si="68">IF(AND(K34&lt;&gt;"",K33&lt;&gt;""),(K34-K33)/($B34-$B33),"")</f>
        <v>-5.3826134865042619E-2</v>
      </c>
      <c r="Z34" s="50">
        <f t="shared" ref="Z34:Z36" si="69">IF(AND(L34&lt;&gt;"",L33&lt;&gt;""),(L34-L33)/($B34-$B33),"")</f>
        <v>-0.28483818737434774</v>
      </c>
    </row>
    <row r="35" spans="1:26" ht="20.100000000000001" customHeight="1" x14ac:dyDescent="0.2">
      <c r="A35" s="53">
        <f t="shared" si="0"/>
        <v>76</v>
      </c>
      <c r="B35" s="54">
        <f t="shared" si="1"/>
        <v>43734</v>
      </c>
      <c r="C35" s="55">
        <f>'Résultats observations'!D35</f>
        <v>22.419999999999987</v>
      </c>
      <c r="D35" s="50">
        <f t="shared" si="2"/>
        <v>-54.830667426932322</v>
      </c>
      <c r="E35" s="50">
        <f t="shared" si="3"/>
        <v>-46.303627684064708</v>
      </c>
      <c r="F35" s="50">
        <f t="shared" si="4"/>
        <v>-28.923638693794775</v>
      </c>
      <c r="G35" s="50">
        <f t="shared" si="5"/>
        <v>-15.281394145179926</v>
      </c>
      <c r="H35" s="50">
        <f t="shared" si="6"/>
        <v>-53.997099011891869</v>
      </c>
      <c r="I35" s="50">
        <f t="shared" si="7"/>
        <v>-32.567552929086752</v>
      </c>
      <c r="J35" s="50">
        <f t="shared" si="8"/>
        <v>-20.707034665472968</v>
      </c>
      <c r="K35" s="50">
        <f t="shared" si="9"/>
        <v>-22.211363598654721</v>
      </c>
      <c r="L35" s="50">
        <f t="shared" si="10"/>
        <v>-19.11683270624831</v>
      </c>
      <c r="R35" s="50">
        <f t="shared" si="61"/>
        <v>2.2990876813899774E-2</v>
      </c>
      <c r="S35" s="50">
        <f t="shared" si="62"/>
        <v>-0.14175765317458891</v>
      </c>
      <c r="T35" s="50">
        <f t="shared" si="63"/>
        <v>-0.15987244173546836</v>
      </c>
      <c r="U35" s="50">
        <f t="shared" si="64"/>
        <v>-6.4129303323593831E-2</v>
      </c>
      <c r="V35" s="50">
        <f t="shared" si="65"/>
        <v>-0.23022928958112487</v>
      </c>
      <c r="W35" s="50">
        <f t="shared" si="66"/>
        <v>-0.14796062185447786</v>
      </c>
      <c r="X35" s="50">
        <f t="shared" si="67"/>
        <v>-0.14626334211934969</v>
      </c>
      <c r="Y35" s="50">
        <f t="shared" si="68"/>
        <v>-0.20503756256484706</v>
      </c>
      <c r="Z35" s="50">
        <f t="shared" si="69"/>
        <v>0.15194403469050619</v>
      </c>
    </row>
    <row r="36" spans="1:26" ht="20.100000000000001" customHeight="1" x14ac:dyDescent="0.2">
      <c r="A36" s="53">
        <f t="shared" si="0"/>
        <v>80</v>
      </c>
      <c r="B36" s="54">
        <f t="shared" si="1"/>
        <v>43738</v>
      </c>
      <c r="C36" s="55">
        <f>'Résultats observations'!D36</f>
        <v>22.419999999999987</v>
      </c>
      <c r="D36" s="50">
        <f t="shared" si="2"/>
        <v>-55.137326655941621</v>
      </c>
      <c r="E36" s="50">
        <f t="shared" si="3"/>
        <v>-46.555656598699088</v>
      </c>
      <c r="F36" s="50">
        <f t="shared" si="4"/>
        <v>-28.792318131293683</v>
      </c>
      <c r="G36" s="50">
        <f t="shared" si="5"/>
        <v>-15.61414445246556</v>
      </c>
      <c r="H36" s="50">
        <f t="shared" si="6"/>
        <v>-54.497810062253734</v>
      </c>
      <c r="I36" s="50"/>
      <c r="J36" s="50">
        <f t="shared" si="8"/>
        <v>-20.797055393628305</v>
      </c>
      <c r="K36" s="50">
        <f t="shared" si="9"/>
        <v>-22.665814842411258</v>
      </c>
      <c r="L36" s="50"/>
      <c r="R36" s="50">
        <f t="shared" si="61"/>
        <v>-7.6664807252324607E-2</v>
      </c>
      <c r="S36" s="50">
        <f t="shared" si="62"/>
        <v>-6.3007228658594983E-2</v>
      </c>
      <c r="T36" s="50">
        <f t="shared" si="63"/>
        <v>3.2830140625272897E-2</v>
      </c>
      <c r="U36" s="50">
        <f t="shared" si="64"/>
        <v>-8.3187576821408538E-2</v>
      </c>
      <c r="V36" s="50">
        <f t="shared" si="65"/>
        <v>-0.1251777625904662</v>
      </c>
      <c r="W36" s="50" t="str">
        <f t="shared" si="66"/>
        <v/>
      </c>
      <c r="X36" s="50">
        <f t="shared" si="67"/>
        <v>-2.2505182038834448E-2</v>
      </c>
      <c r="Y36" s="50">
        <f t="shared" si="68"/>
        <v>-0.11361281093913433</v>
      </c>
      <c r="Z36" s="50" t="str">
        <f t="shared" si="69"/>
        <v/>
      </c>
    </row>
    <row r="37" spans="1:26" ht="20.100000000000001" customHeight="1" x14ac:dyDescent="0.2">
      <c r="A37" s="53">
        <f t="shared" si="0"/>
        <v>83</v>
      </c>
      <c r="B37" s="54">
        <f t="shared" si="1"/>
        <v>43741</v>
      </c>
      <c r="C37" s="55">
        <f>'Résultats observations'!D37</f>
        <v>23.299999999999983</v>
      </c>
      <c r="D37" s="50">
        <f t="shared" si="2"/>
        <v>-55.282054088763743</v>
      </c>
      <c r="E37" s="50">
        <f t="shared" si="3"/>
        <v>-46.686489214033514</v>
      </c>
      <c r="F37" s="50">
        <f t="shared" si="4"/>
        <v>-28.956826555535333</v>
      </c>
      <c r="G37" s="50">
        <f t="shared" si="5"/>
        <v>-15.2739420361494</v>
      </c>
      <c r="H37" s="50">
        <f t="shared" si="6"/>
        <v>-54.343222747908371</v>
      </c>
      <c r="I37" s="50">
        <f t="shared" si="7"/>
        <v>-33.119591926682901</v>
      </c>
      <c r="J37" s="50">
        <f t="shared" si="8"/>
        <v>-20.446414004663183</v>
      </c>
      <c r="K37" s="50">
        <f t="shared" si="9"/>
        <v>-22.210677074061103</v>
      </c>
      <c r="L37" s="50">
        <f t="shared" si="10"/>
        <v>-19.157813907845878</v>
      </c>
      <c r="R37" s="50">
        <f t="shared" ref="R37" si="70">IF(AND(D37&lt;&gt;"",D36&lt;&gt;""),(D37-D36)/($B37-$B36),"")</f>
        <v>-4.8242477607374212E-2</v>
      </c>
      <c r="S37" s="50">
        <f t="shared" ref="S37" si="71">IF(AND(E37&lt;&gt;"",E36&lt;&gt;""),(E37-E36)/($B37-$B36),"")</f>
        <v>-4.3610871778142268E-2</v>
      </c>
      <c r="T37" s="50">
        <f t="shared" ref="T37" si="72">IF(AND(F37&lt;&gt;"",F36&lt;&gt;""),(F37-F36)/($B37-$B36),"")</f>
        <v>-5.4836141413883155E-2</v>
      </c>
      <c r="U37" s="50">
        <f t="shared" ref="U37" si="73">IF(AND(G37&lt;&gt;"",G36&lt;&gt;""),(G37-G36)/($B37-$B36),"")</f>
        <v>0.11340080543871996</v>
      </c>
      <c r="V37" s="50">
        <f t="shared" ref="V37" si="74">IF(AND(H37&lt;&gt;"",H36&lt;&gt;""),(H37-H36)/($B37-$B36),"")</f>
        <v>5.1529104781787773E-2</v>
      </c>
      <c r="W37" s="50" t="str">
        <f t="shared" ref="W37" si="75">IF(AND(I37&lt;&gt;"",I36&lt;&gt;""),(I37-I36)/($B37-$B36),"")</f>
        <v/>
      </c>
      <c r="X37" s="50">
        <f t="shared" ref="X37" si="76">IF(AND(J37&lt;&gt;"",J36&lt;&gt;""),(J37-J36)/($B37-$B36),"")</f>
        <v>0.11688046298837425</v>
      </c>
      <c r="Y37" s="50">
        <f t="shared" ref="Y37" si="77">IF(AND(K37&lt;&gt;"",K36&lt;&gt;""),(K37-K36)/($B37-$B36),"")</f>
        <v>0.15171258945005187</v>
      </c>
      <c r="Z37" s="50" t="str">
        <f t="shared" ref="Z37" si="78">IF(AND(L37&lt;&gt;"",L36&lt;&gt;""),(L37-L36)/($B37-$B36),"")</f>
        <v/>
      </c>
    </row>
    <row r="38" spans="1:26" ht="20.100000000000001" customHeight="1" x14ac:dyDescent="0.2">
      <c r="A38" s="53">
        <f t="shared" si="0"/>
        <v>88</v>
      </c>
      <c r="B38" s="54">
        <f t="shared" si="1"/>
        <v>43746</v>
      </c>
      <c r="C38" s="55">
        <f>'Résultats observations'!D38</f>
        <v>24.400000000000006</v>
      </c>
      <c r="D38" s="50">
        <f t="shared" si="2"/>
        <v>-55.52580595508072</v>
      </c>
      <c r="E38" s="50">
        <f t="shared" si="3"/>
        <v>-46.907632386833157</v>
      </c>
      <c r="F38" s="50">
        <f t="shared" si="4"/>
        <v>-29.278829160181321</v>
      </c>
      <c r="G38" s="50">
        <f t="shared" si="5"/>
        <v>-15.39668875738087</v>
      </c>
      <c r="H38" s="50">
        <f t="shared" si="6"/>
        <v>-54.78870500044053</v>
      </c>
      <c r="I38" s="50">
        <f t="shared" si="7"/>
        <v>-33.100721876257566</v>
      </c>
      <c r="J38" s="50">
        <f t="shared" si="8"/>
        <v>-20.601744125361865</v>
      </c>
      <c r="K38" s="50">
        <f t="shared" si="9"/>
        <v>-22.238552787150923</v>
      </c>
      <c r="L38" s="50">
        <f t="shared" si="10"/>
        <v>-18.60293337417751</v>
      </c>
      <c r="R38" s="50">
        <f t="shared" ref="R38" si="79">IF(AND(D38&lt;&gt;"",D37&lt;&gt;""),(D38-D37)/($B38-$B37),"")</f>
        <v>-4.8750373263395375E-2</v>
      </c>
      <c r="S38" s="50">
        <f t="shared" ref="S38" si="80">IF(AND(E38&lt;&gt;"",E37&lt;&gt;""),(E38-E37)/($B38-$B37),"")</f>
        <v>-4.4228634559928537E-2</v>
      </c>
      <c r="T38" s="50">
        <f t="shared" ref="T38" si="81">IF(AND(F38&lt;&gt;"",F37&lt;&gt;""),(F38-F37)/($B38-$B37),"")</f>
        <v>-6.4400520929197569E-2</v>
      </c>
      <c r="U38" s="50">
        <f t="shared" ref="U38" si="82">IF(AND(G38&lt;&gt;"",G37&lt;&gt;""),(G38-G37)/($B38-$B37),"")</f>
        <v>-2.4549344246294069E-2</v>
      </c>
      <c r="V38" s="50">
        <f t="shared" ref="V38" si="83">IF(AND(H38&lt;&gt;"",H37&lt;&gt;""),(H38-H37)/($B38-$B37),"")</f>
        <v>-8.9096450506431779E-2</v>
      </c>
      <c r="W38" s="50">
        <f t="shared" ref="W38" si="84">IF(AND(I38&lt;&gt;"",I37&lt;&gt;""),(I38-I37)/($B38-$B37),"")</f>
        <v>3.7740100850669478E-3</v>
      </c>
      <c r="X38" s="50">
        <f t="shared" ref="X38" si="85">IF(AND(J38&lt;&gt;"",J37&lt;&gt;""),(J38-J37)/($B38-$B37),"")</f>
        <v>-3.106602413973647E-2</v>
      </c>
      <c r="Y38" s="50">
        <f t="shared" ref="Y38" si="86">IF(AND(K38&lt;&gt;"",K37&lt;&gt;""),(K38-K37)/($B38-$B37),"")</f>
        <v>-5.5751426179639907E-3</v>
      </c>
      <c r="Z38" s="50">
        <f t="shared" ref="Z38" si="87">IF(AND(L38&lt;&gt;"",L37&lt;&gt;""),(L38-L37)/($B38-$B37),"")</f>
        <v>0.11097610673367342</v>
      </c>
    </row>
    <row r="39" spans="1:26" ht="20.100000000000001" customHeight="1" x14ac:dyDescent="0.2">
      <c r="A39" s="53">
        <f t="shared" si="0"/>
        <v>95</v>
      </c>
      <c r="B39" s="54">
        <f t="shared" si="1"/>
        <v>43753</v>
      </c>
      <c r="C39" s="55">
        <f>'Résultats observations'!D39</f>
        <v>27.549999999999983</v>
      </c>
      <c r="D39" s="50">
        <f t="shared" si="2"/>
        <v>-56.731698619636006</v>
      </c>
      <c r="E39" s="50">
        <f t="shared" si="3"/>
        <v>-47.879781585763666</v>
      </c>
      <c r="F39" s="50">
        <f t="shared" si="4"/>
        <v>-29.678108183087694</v>
      </c>
      <c r="G39" s="50">
        <f t="shared" si="5"/>
        <v>-15.866319570500885</v>
      </c>
      <c r="H39" s="50">
        <f t="shared" si="6"/>
        <v>-55.406661948750099</v>
      </c>
      <c r="I39" s="50">
        <f t="shared" si="7"/>
        <v>-34.258517086641405</v>
      </c>
      <c r="J39" s="50">
        <f t="shared" si="8"/>
        <v>-21.122014233312392</v>
      </c>
      <c r="K39" s="50">
        <f t="shared" si="9"/>
        <v>-22.857163012137249</v>
      </c>
      <c r="L39" s="50">
        <f t="shared" si="10"/>
        <v>-19.707874323188435</v>
      </c>
      <c r="R39" s="50">
        <f t="shared" ref="R39" si="88">IF(AND(D39&lt;&gt;"",D38&lt;&gt;""),(D39-D38)/($B39-$B38),"")</f>
        <v>-0.17227038065075512</v>
      </c>
      <c r="S39" s="50">
        <f t="shared" ref="S39" si="89">IF(AND(E39&lt;&gt;"",E38&lt;&gt;""),(E39-E38)/($B39-$B38),"")</f>
        <v>-0.13887845699007276</v>
      </c>
      <c r="T39" s="50">
        <f t="shared" ref="T39" si="90">IF(AND(F39&lt;&gt;"",F38&lt;&gt;""),(F39-F38)/($B39-$B38),"")</f>
        <v>-5.7039860415196229E-2</v>
      </c>
      <c r="U39" s="50">
        <f t="shared" ref="U39" si="91">IF(AND(G39&lt;&gt;"",G38&lt;&gt;""),(G39-G38)/($B39-$B38),"")</f>
        <v>-6.7090116160002058E-2</v>
      </c>
      <c r="V39" s="50">
        <f t="shared" ref="V39" si="92">IF(AND(H39&lt;&gt;"",H38&lt;&gt;""),(H39-H38)/($B39-$B38),"")</f>
        <v>-8.8279564044224143E-2</v>
      </c>
      <c r="W39" s="50">
        <f t="shared" ref="W39" si="93">IF(AND(I39&lt;&gt;"",I38&lt;&gt;""),(I39-I38)/($B39-$B38),"")</f>
        <v>-0.16539931576911979</v>
      </c>
      <c r="X39" s="50">
        <f t="shared" ref="X39" si="94">IF(AND(J39&lt;&gt;"",J38&lt;&gt;""),(J39-J38)/($B39-$B38),"")</f>
        <v>-7.4324301135789542E-2</v>
      </c>
      <c r="Y39" s="50">
        <f t="shared" ref="Y39" si="95">IF(AND(K39&lt;&gt;"",K38&lt;&gt;""),(K39-K38)/($B39-$B38),"")</f>
        <v>-8.8372889283760969E-2</v>
      </c>
      <c r="Z39" s="50">
        <f t="shared" ref="Z39" si="96">IF(AND(L39&lt;&gt;"",L38&lt;&gt;""),(L39-L38)/($B39-$B38),"")</f>
        <v>-0.15784870700156059</v>
      </c>
    </row>
    <row r="40" spans="1:26" ht="20.100000000000001" customHeight="1" x14ac:dyDescent="0.2">
      <c r="A40" s="53">
        <f t="shared" si="0"/>
        <v>98</v>
      </c>
      <c r="B40" s="54">
        <f t="shared" si="1"/>
        <v>43756</v>
      </c>
      <c r="C40" s="55">
        <f>'Résultats observations'!D40</f>
        <v>29.599999999999994</v>
      </c>
      <c r="D40" s="50">
        <f t="shared" si="2"/>
        <v>-57.084107550318564</v>
      </c>
      <c r="E40" s="50">
        <f t="shared" si="3"/>
        <v>-48.093989282222971</v>
      </c>
      <c r="F40" s="50">
        <f t="shared" si="4"/>
        <v>-29.883291611372933</v>
      </c>
      <c r="G40" s="50">
        <f t="shared" si="5"/>
        <v>-15.728212466812328</v>
      </c>
      <c r="H40" s="50">
        <f t="shared" si="6"/>
        <v>-55.699325308057993</v>
      </c>
      <c r="I40" s="50">
        <f t="shared" si="7"/>
        <v>-34.813241610780032</v>
      </c>
      <c r="J40" s="50">
        <f t="shared" si="8"/>
        <v>-21.189751471709428</v>
      </c>
      <c r="K40" s="50">
        <f t="shared" si="9"/>
        <v>-23.118883092879905</v>
      </c>
      <c r="L40" s="50">
        <f t="shared" si="10"/>
        <v>-20.058934970181852</v>
      </c>
      <c r="R40" s="50">
        <f t="shared" ref="R40" si="97">IF(AND(D40&lt;&gt;"",D39&lt;&gt;""),(D40-D39)/($B40-$B39),"")</f>
        <v>-0.11746964356085243</v>
      </c>
      <c r="S40" s="50">
        <f t="shared" ref="S40" si="98">IF(AND(E40&lt;&gt;"",E39&lt;&gt;""),(E40-E39)/($B40-$B39),"")</f>
        <v>-7.1402565486434824E-2</v>
      </c>
      <c r="T40" s="50">
        <f t="shared" ref="T40" si="99">IF(AND(F40&lt;&gt;"",F39&lt;&gt;""),(F40-F39)/($B40-$B39),"")</f>
        <v>-6.8394476095079426E-2</v>
      </c>
      <c r="U40" s="50">
        <f t="shared" ref="U40" si="100">IF(AND(G40&lt;&gt;"",G39&lt;&gt;""),(G40-G39)/($B40-$B39),"")</f>
        <v>4.6035701229518722E-2</v>
      </c>
      <c r="V40" s="50">
        <f t="shared" ref="V40" si="101">IF(AND(H40&lt;&gt;"",H39&lt;&gt;""),(H40-H39)/($B40-$B39),"")</f>
        <v>-9.7554453102631555E-2</v>
      </c>
      <c r="W40" s="50">
        <f t="shared" ref="W40" si="102">IF(AND(I40&lt;&gt;"",I39&lt;&gt;""),(I40-I39)/($B40-$B39),"")</f>
        <v>-0.18490817471287593</v>
      </c>
      <c r="X40" s="50">
        <f t="shared" ref="X40" si="103">IF(AND(J40&lt;&gt;"",J39&lt;&gt;""),(J40-J39)/($B40-$B39),"")</f>
        <v>-2.2579079465678831E-2</v>
      </c>
      <c r="Y40" s="50">
        <f t="shared" ref="Y40" si="104">IF(AND(K40&lt;&gt;"",K39&lt;&gt;""),(K40-K39)/($B40-$B39),"")</f>
        <v>-8.7240026914218546E-2</v>
      </c>
      <c r="Z40" s="50">
        <f t="shared" ref="Z40" si="105">IF(AND(L40&lt;&gt;"",L39&lt;&gt;""),(L40-L39)/($B40-$B39),"")</f>
        <v>-0.11702021566447247</v>
      </c>
    </row>
    <row r="41" spans="1:26" ht="20.100000000000001" customHeight="1" x14ac:dyDescent="0.2">
      <c r="A41" s="53">
        <f t="shared" si="0"/>
        <v>102</v>
      </c>
      <c r="B41" s="54">
        <f t="shared" si="1"/>
        <v>43760</v>
      </c>
      <c r="C41" s="55">
        <f>'Résultats observations'!D41</f>
        <v>30.079999999999984</v>
      </c>
      <c r="D41" s="50">
        <f t="shared" si="2"/>
        <v>-57.705092431954874</v>
      </c>
      <c r="E41" s="50">
        <f t="shared" si="3"/>
        <v>-48.395846926714285</v>
      </c>
      <c r="F41" s="50">
        <f t="shared" si="4"/>
        <v>-30.063513179352743</v>
      </c>
      <c r="G41" s="50">
        <f t="shared" si="5"/>
        <v>-16.213590720363989</v>
      </c>
      <c r="H41" s="50">
        <f t="shared" si="6"/>
        <v>-56.318223418109881</v>
      </c>
      <c r="I41" s="50">
        <f t="shared" si="7"/>
        <v>-35.502268925346137</v>
      </c>
      <c r="J41" s="50">
        <f t="shared" si="8"/>
        <v>-21.656036944853074</v>
      </c>
      <c r="K41" s="50">
        <f t="shared" si="9"/>
        <v>-23.285672907676691</v>
      </c>
      <c r="L41" s="50">
        <f t="shared" si="10"/>
        <v>-20.504868420633926</v>
      </c>
      <c r="R41" s="50">
        <f t="shared" ref="R41:R44" si="106">IF(AND(D41&lt;&gt;"",D40&lt;&gt;""),(D41-D40)/($B41-$B40),"")</f>
        <v>-0.15524622040907765</v>
      </c>
      <c r="S41" s="50">
        <f t="shared" ref="S41:S44" si="107">IF(AND(E41&lt;&gt;"",E40&lt;&gt;""),(E41-E40)/($B41-$B40),"")</f>
        <v>-7.5464411122828423E-2</v>
      </c>
      <c r="T41" s="50">
        <f t="shared" ref="T41:T44" si="108">IF(AND(F41&lt;&gt;"",F40&lt;&gt;""),(F41-F40)/($B41-$B40),"")</f>
        <v>-4.5055391994952565E-2</v>
      </c>
      <c r="U41" s="50">
        <f t="shared" ref="U41:U44" si="109">IF(AND(G41&lt;&gt;"",G40&lt;&gt;""),(G41-G40)/($B41-$B40),"")</f>
        <v>-0.12134456338791511</v>
      </c>
      <c r="V41" s="50">
        <f t="shared" ref="V41:V44" si="110">IF(AND(H41&lt;&gt;"",H40&lt;&gt;""),(H41-H40)/($B41-$B40),"")</f>
        <v>-0.15472452751297183</v>
      </c>
      <c r="W41" s="50">
        <f t="shared" ref="W41:W44" si="111">IF(AND(I41&lt;&gt;"",I40&lt;&gt;""),(I41-I40)/($B41-$B40),"")</f>
        <v>-0.17225682864152603</v>
      </c>
      <c r="X41" s="50">
        <f t="shared" ref="X41:X44" si="112">IF(AND(J41&lt;&gt;"",J40&lt;&gt;""),(J41-J40)/($B41-$B40),"")</f>
        <v>-0.11657136828591153</v>
      </c>
      <c r="Y41" s="50">
        <f t="shared" ref="Y41:Y44" si="113">IF(AND(K41&lt;&gt;"",K40&lt;&gt;""),(K41-K40)/($B41-$B40),"")</f>
        <v>-4.1697453699196529E-2</v>
      </c>
      <c r="Z41" s="50">
        <f t="shared" ref="Z41:Z44" si="114">IF(AND(L41&lt;&gt;"",L40&lt;&gt;""),(L41-L40)/($B41-$B40),"")</f>
        <v>-0.1114833626130185</v>
      </c>
    </row>
    <row r="42" spans="1:26" ht="20.100000000000001" customHeight="1" x14ac:dyDescent="0.2">
      <c r="A42" s="53">
        <f t="shared" si="0"/>
        <v>104</v>
      </c>
      <c r="B42" s="54">
        <f t="shared" si="1"/>
        <v>43762</v>
      </c>
      <c r="C42" s="55">
        <f>'Résultats observations'!D42</f>
        <v>31.099999999999994</v>
      </c>
      <c r="D42" s="50">
        <f t="shared" si="2"/>
        <v>-57.276008597828998</v>
      </c>
      <c r="E42" s="50">
        <f t="shared" si="3"/>
        <v>-48.383900182790818</v>
      </c>
      <c r="F42" s="50">
        <f t="shared" si="4"/>
        <v>-30.247076567906596</v>
      </c>
      <c r="G42" s="50">
        <f t="shared" si="5"/>
        <v>-15.881012116213842</v>
      </c>
      <c r="H42" s="50">
        <f t="shared" si="6"/>
        <v>-55.792489950078576</v>
      </c>
      <c r="I42" s="50">
        <f t="shared" si="7"/>
        <v>-34.77044034964738</v>
      </c>
      <c r="J42" s="50">
        <f t="shared" si="8"/>
        <v>-21.278338071349712</v>
      </c>
      <c r="K42" s="50">
        <f t="shared" si="9"/>
        <v>-22.128600208575655</v>
      </c>
      <c r="L42" s="50">
        <f t="shared" si="10"/>
        <v>-19.391748995079894</v>
      </c>
      <c r="R42" s="50">
        <f t="shared" si="106"/>
        <v>0.21454191706293813</v>
      </c>
      <c r="S42" s="50">
        <f t="shared" si="107"/>
        <v>5.9733719617334202E-3</v>
      </c>
      <c r="T42" s="50">
        <f t="shared" si="108"/>
        <v>-9.1781694276926729E-2</v>
      </c>
      <c r="U42" s="50">
        <f t="shared" si="109"/>
        <v>0.16628930207507331</v>
      </c>
      <c r="V42" s="50">
        <f t="shared" si="110"/>
        <v>0.26286673401565253</v>
      </c>
      <c r="W42" s="50">
        <f t="shared" si="111"/>
        <v>0.36591428784937818</v>
      </c>
      <c r="X42" s="50">
        <f t="shared" si="112"/>
        <v>0.18884943675168131</v>
      </c>
      <c r="Y42" s="50">
        <f t="shared" si="113"/>
        <v>0.57853634955051803</v>
      </c>
      <c r="Z42" s="50">
        <f t="shared" si="114"/>
        <v>0.5565597127770161</v>
      </c>
    </row>
    <row r="43" spans="1:26" ht="20.100000000000001" customHeight="1" x14ac:dyDescent="0.2">
      <c r="A43" s="53">
        <f t="shared" si="0"/>
        <v>108</v>
      </c>
      <c r="B43" s="54">
        <f t="shared" si="1"/>
        <v>43766</v>
      </c>
      <c r="C43" s="55">
        <f>'Résultats observations'!D43</f>
        <v>31.659999999999997</v>
      </c>
      <c r="D43" s="50">
        <f t="shared" si="2"/>
        <v>-57.739074404755897</v>
      </c>
      <c r="E43" s="50">
        <f t="shared" si="3"/>
        <v>-48.717206393730009</v>
      </c>
      <c r="F43" s="50">
        <f t="shared" si="4"/>
        <v>-30.504159395316812</v>
      </c>
      <c r="G43" s="50">
        <f t="shared" si="5"/>
        <v>-15.519841130246624</v>
      </c>
      <c r="H43" s="50">
        <f t="shared" si="6"/>
        <v>-56.395272117373722</v>
      </c>
      <c r="I43" s="50">
        <f t="shared" si="7"/>
        <v>-35.052747749179325</v>
      </c>
      <c r="J43" s="50">
        <f t="shared" si="8"/>
        <v>-21.013746344478168</v>
      </c>
      <c r="K43" s="50">
        <f t="shared" si="9"/>
        <v>-22.982125493228978</v>
      </c>
      <c r="L43" s="50">
        <f t="shared" si="10"/>
        <v>-19.759253357810813</v>
      </c>
      <c r="R43" s="50">
        <f t="shared" si="106"/>
        <v>-0.11576645173172473</v>
      </c>
      <c r="S43" s="50">
        <f t="shared" si="107"/>
        <v>-8.3326552734797943E-2</v>
      </c>
      <c r="T43" s="50">
        <f t="shared" si="108"/>
        <v>-6.4270706852553872E-2</v>
      </c>
      <c r="U43" s="50">
        <f t="shared" si="109"/>
        <v>9.0292746491804632E-2</v>
      </c>
      <c r="V43" s="50">
        <f t="shared" si="110"/>
        <v>-0.15069554182378653</v>
      </c>
      <c r="W43" s="50">
        <f t="shared" si="111"/>
        <v>-7.0576849882986181E-2</v>
      </c>
      <c r="X43" s="50">
        <f t="shared" si="112"/>
        <v>6.6147931717885911E-2</v>
      </c>
      <c r="Y43" s="50">
        <f t="shared" si="113"/>
        <v>-0.21338132116333064</v>
      </c>
      <c r="Z43" s="50">
        <f t="shared" si="114"/>
        <v>-9.1876090682729838E-2</v>
      </c>
    </row>
    <row r="44" spans="1:26" ht="20.100000000000001" customHeight="1" x14ac:dyDescent="0.2">
      <c r="A44" s="53">
        <f t="shared" si="0"/>
        <v>111</v>
      </c>
      <c r="B44" s="54">
        <f t="shared" si="1"/>
        <v>43769</v>
      </c>
      <c r="C44" s="55">
        <f>'Résultats observations'!D44</f>
        <v>32.97</v>
      </c>
      <c r="D44" s="50">
        <f t="shared" si="2"/>
        <v>-57.537061455496641</v>
      </c>
      <c r="E44" s="50">
        <f t="shared" si="3"/>
        <v>-48.657567203604927</v>
      </c>
      <c r="F44" s="50">
        <f t="shared" si="4"/>
        <v>-30.259150965193051</v>
      </c>
      <c r="G44" s="50">
        <f t="shared" si="5"/>
        <v>-15.959165457211542</v>
      </c>
      <c r="H44" s="50">
        <f t="shared" si="6"/>
        <v>-56.230722952294698</v>
      </c>
      <c r="I44" s="50">
        <f t="shared" si="7"/>
        <v>-35.244045617711883</v>
      </c>
      <c r="J44" s="50">
        <f t="shared" si="8"/>
        <v>-21.265066488184825</v>
      </c>
      <c r="K44" s="50">
        <f t="shared" si="9"/>
        <v>-22.650640763089314</v>
      </c>
      <c r="L44" s="50">
        <f t="shared" si="10"/>
        <v>-19.5666575591531</v>
      </c>
      <c r="R44" s="50">
        <f t="shared" si="106"/>
        <v>6.7337649753085316E-2</v>
      </c>
      <c r="S44" s="50">
        <f t="shared" si="107"/>
        <v>1.9879730041694188E-2</v>
      </c>
      <c r="T44" s="50">
        <f t="shared" si="108"/>
        <v>8.166947670792031E-2</v>
      </c>
      <c r="U44" s="50">
        <f t="shared" si="109"/>
        <v>-0.14644144232163944</v>
      </c>
      <c r="V44" s="50">
        <f t="shared" si="110"/>
        <v>5.4849721693007801E-2</v>
      </c>
      <c r="W44" s="50">
        <f t="shared" si="111"/>
        <v>-6.3765956177519456E-2</v>
      </c>
      <c r="X44" s="50">
        <f t="shared" si="112"/>
        <v>-8.3773381235552336E-2</v>
      </c>
      <c r="Y44" s="50">
        <f t="shared" si="113"/>
        <v>0.11049491004655465</v>
      </c>
      <c r="Z44" s="50">
        <f t="shared" si="114"/>
        <v>6.4198599552571053E-2</v>
      </c>
    </row>
    <row r="45" spans="1:26" ht="20.100000000000001" customHeight="1" x14ac:dyDescent="0.2">
      <c r="A45" s="53">
        <f t="shared" si="0"/>
        <v>116</v>
      </c>
      <c r="B45" s="54">
        <f t="shared" si="1"/>
        <v>43774</v>
      </c>
      <c r="C45" s="55">
        <f>'Résultats observations'!D45</f>
        <v>33.97</v>
      </c>
      <c r="D45" s="50">
        <f t="shared" si="2"/>
        <v>-59.005759347104281</v>
      </c>
      <c r="E45" s="50">
        <f t="shared" si="3"/>
        <v>-49.754391348244553</v>
      </c>
      <c r="F45" s="50">
        <f t="shared" si="4"/>
        <v>-30.912494893645228</v>
      </c>
      <c r="G45" s="50">
        <f t="shared" si="5"/>
        <v>-16.287531501181007</v>
      </c>
      <c r="H45" s="50">
        <f t="shared" si="6"/>
        <v>-57.156891176289193</v>
      </c>
      <c r="I45" s="50">
        <f t="shared" si="7"/>
        <v>-36.598852123564285</v>
      </c>
      <c r="J45" s="50">
        <f t="shared" si="8"/>
        <v>-22.072464543952286</v>
      </c>
      <c r="K45" s="50">
        <f t="shared" si="9"/>
        <v>-23.795412205443789</v>
      </c>
      <c r="L45" s="50">
        <f t="shared" si="10"/>
        <v>-21.171873194778534</v>
      </c>
      <c r="R45" s="50">
        <f t="shared" ref="R45:R49" si="115">IF(AND(D45&lt;&gt;"",D44&lt;&gt;""),(D45-D44)/($B45-$B44),"")</f>
        <v>-0.29373957832152797</v>
      </c>
      <c r="S45" s="50">
        <f t="shared" ref="S45:S49" si="116">IF(AND(E45&lt;&gt;"",E44&lt;&gt;""),(E45-E44)/($B45-$B44),"")</f>
        <v>-0.21936482892792525</v>
      </c>
      <c r="T45" s="50">
        <f t="shared" ref="T45:T49" si="117">IF(AND(F45&lt;&gt;"",F44&lt;&gt;""),(F45-F44)/($B45-$B44),"")</f>
        <v>-0.13066878569043539</v>
      </c>
      <c r="U45" s="50">
        <f t="shared" ref="U45:U49" si="118">IF(AND(G45&lt;&gt;"",G44&lt;&gt;""),(G45-G44)/($B45-$B44),"")</f>
        <v>-6.5673208793893073E-2</v>
      </c>
      <c r="V45" s="50">
        <f t="shared" ref="V45:V49" si="119">IF(AND(H45&lt;&gt;"",H44&lt;&gt;""),(H45-H44)/($B45-$B44),"")</f>
        <v>-0.18523364479889892</v>
      </c>
      <c r="W45" s="50">
        <f t="shared" ref="W45:W49" si="120">IF(AND(I45&lt;&gt;"",I44&lt;&gt;""),(I45-I44)/($B45-$B44),"")</f>
        <v>-0.27096130117048034</v>
      </c>
      <c r="X45" s="50">
        <f t="shared" ref="X45:X49" si="121">IF(AND(J45&lt;&gt;"",J44&lt;&gt;""),(J45-J44)/($B45-$B44),"")</f>
        <v>-0.16147961115349219</v>
      </c>
      <c r="Y45" s="50">
        <f t="shared" ref="Y45:Y49" si="122">IF(AND(K45&lt;&gt;"",K44&lt;&gt;""),(K45-K44)/($B45-$B44),"")</f>
        <v>-0.22895428847089505</v>
      </c>
      <c r="Z45" s="50">
        <f t="shared" ref="Z45:Z49" si="123">IF(AND(L45&lt;&gt;"",L44&lt;&gt;""),(L45-L44)/($B45-$B44),"")</f>
        <v>-0.32104312712508687</v>
      </c>
    </row>
    <row r="46" spans="1:26" ht="20.100000000000001" customHeight="1" x14ac:dyDescent="0.2">
      <c r="A46" s="53">
        <f t="shared" si="0"/>
        <v>118</v>
      </c>
      <c r="B46" s="54">
        <f t="shared" si="1"/>
        <v>43776</v>
      </c>
      <c r="C46" s="55">
        <f>'Résultats observations'!D46</f>
        <v>35</v>
      </c>
      <c r="D46" s="50">
        <f t="shared" si="2"/>
        <v>-59.496997820260411</v>
      </c>
      <c r="E46" s="50">
        <f t="shared" si="3"/>
        <v>-50.053762414890457</v>
      </c>
      <c r="F46" s="50">
        <f t="shared" si="4"/>
        <v>-31.239758104018691</v>
      </c>
      <c r="G46" s="50">
        <f t="shared" si="5"/>
        <v>-16.385101333298735</v>
      </c>
      <c r="H46" s="50">
        <f t="shared" si="6"/>
        <v>-57.892616825482968</v>
      </c>
      <c r="I46" s="50">
        <f t="shared" si="7"/>
        <v>-37.23100646870936</v>
      </c>
      <c r="J46" s="50">
        <f t="shared" si="8"/>
        <v>-22.309909616113899</v>
      </c>
      <c r="K46" s="50">
        <f t="shared" si="9"/>
        <v>-24.47891938659108</v>
      </c>
      <c r="L46" s="50">
        <f t="shared" si="10"/>
        <v>-21.318286395231922</v>
      </c>
      <c r="R46" s="50">
        <f t="shared" si="115"/>
        <v>-0.24561923657806517</v>
      </c>
      <c r="S46" s="50">
        <f t="shared" si="116"/>
        <v>-0.14968553332295187</v>
      </c>
      <c r="T46" s="50">
        <f t="shared" si="117"/>
        <v>-0.16363160518673148</v>
      </c>
      <c r="U46" s="50">
        <f t="shared" si="118"/>
        <v>-4.8784916058863814E-2</v>
      </c>
      <c r="V46" s="50">
        <f t="shared" si="119"/>
        <v>-0.36786282459688735</v>
      </c>
      <c r="W46" s="50">
        <f t="shared" si="120"/>
        <v>-0.31607717257253753</v>
      </c>
      <c r="X46" s="50">
        <f t="shared" si="121"/>
        <v>-0.11872253608080641</v>
      </c>
      <c r="Y46" s="50">
        <f t="shared" si="122"/>
        <v>-0.34175359057364574</v>
      </c>
      <c r="Z46" s="50">
        <f t="shared" si="123"/>
        <v>-7.3206600226694007E-2</v>
      </c>
    </row>
    <row r="47" spans="1:26" ht="20.100000000000001" customHeight="1" x14ac:dyDescent="0.2">
      <c r="A47" s="53">
        <f t="shared" si="0"/>
        <v>123</v>
      </c>
      <c r="B47" s="54">
        <f t="shared" si="1"/>
        <v>43781</v>
      </c>
      <c r="C47" s="55">
        <f>'Résultats observations'!D47</f>
        <v>35</v>
      </c>
      <c r="D47" s="50">
        <f t="shared" si="2"/>
        <v>-59.800479360470504</v>
      </c>
      <c r="E47" s="50">
        <f t="shared" si="3"/>
        <v>-50.456551699287644</v>
      </c>
      <c r="F47" s="50">
        <f t="shared" si="4"/>
        <v>-31.536891173701289</v>
      </c>
      <c r="G47" s="50">
        <f t="shared" si="5"/>
        <v>-16.518202352386879</v>
      </c>
      <c r="H47" s="50">
        <f t="shared" si="6"/>
        <v>-57.782551444534036</v>
      </c>
      <c r="I47" s="50">
        <f t="shared" si="7"/>
        <v>-37.414327472341746</v>
      </c>
      <c r="J47" s="50">
        <f t="shared" si="8"/>
        <v>-22.670536971918676</v>
      </c>
      <c r="K47" s="50">
        <f t="shared" si="9"/>
        <v>-24.570969660350883</v>
      </c>
      <c r="L47" s="50">
        <f t="shared" si="10"/>
        <v>-21.546753753127312</v>
      </c>
      <c r="R47" s="50">
        <f t="shared" si="115"/>
        <v>-6.0696308042018643E-2</v>
      </c>
      <c r="S47" s="50">
        <f t="shared" si="116"/>
        <v>-8.0557856879437395E-2</v>
      </c>
      <c r="T47" s="50">
        <f t="shared" si="117"/>
        <v>-5.9426613936519601E-2</v>
      </c>
      <c r="U47" s="50">
        <f t="shared" si="118"/>
        <v>-2.6620203817628862E-2</v>
      </c>
      <c r="V47" s="50">
        <f t="shared" si="119"/>
        <v>2.2013076189786318E-2</v>
      </c>
      <c r="W47" s="50">
        <f t="shared" si="120"/>
        <v>-3.6664200726477247E-2</v>
      </c>
      <c r="X47" s="50">
        <f t="shared" si="121"/>
        <v>-7.2125471160955357E-2</v>
      </c>
      <c r="Y47" s="50">
        <f t="shared" si="122"/>
        <v>-1.8410054751960558E-2</v>
      </c>
      <c r="Z47" s="50">
        <f t="shared" si="123"/>
        <v>-4.5693471579077993E-2</v>
      </c>
    </row>
    <row r="48" spans="1:26" ht="20.100000000000001" customHeight="1" x14ac:dyDescent="0.2">
      <c r="A48" s="53">
        <f t="shared" si="0"/>
        <v>125</v>
      </c>
      <c r="B48" s="54">
        <f t="shared" si="1"/>
        <v>43783</v>
      </c>
      <c r="C48" s="55">
        <f>'Résultats observations'!D48</f>
        <v>36.599999999999994</v>
      </c>
      <c r="D48" s="50">
        <f t="shared" si="2"/>
        <v>-59.810929473937513</v>
      </c>
      <c r="E48" s="50">
        <f t="shared" si="3"/>
        <v>-50.490973405709298</v>
      </c>
      <c r="F48" s="50">
        <f t="shared" si="4"/>
        <v>-31.465385390840652</v>
      </c>
      <c r="G48" s="50">
        <f t="shared" si="5"/>
        <v>-16.321929645497057</v>
      </c>
      <c r="H48" s="50">
        <f t="shared" si="6"/>
        <v>-57.828857721009982</v>
      </c>
      <c r="I48" s="50">
        <f t="shared" si="7"/>
        <v>-37.406970781469262</v>
      </c>
      <c r="J48" s="50">
        <f t="shared" si="8"/>
        <v>-22.236566131336843</v>
      </c>
      <c r="K48" s="50">
        <f t="shared" si="9"/>
        <v>-24.257304186274808</v>
      </c>
      <c r="L48" s="50">
        <f t="shared" si="10"/>
        <v>-21.314155478199481</v>
      </c>
      <c r="R48" s="50">
        <f t="shared" si="115"/>
        <v>-5.2250567335043741E-3</v>
      </c>
      <c r="S48" s="50">
        <f t="shared" si="116"/>
        <v>-1.7210853210826826E-2</v>
      </c>
      <c r="T48" s="50">
        <f t="shared" si="117"/>
        <v>3.5752891430318456E-2</v>
      </c>
      <c r="U48" s="50">
        <f t="shared" si="118"/>
        <v>9.8136353444910895E-2</v>
      </c>
      <c r="V48" s="50">
        <f t="shared" si="119"/>
        <v>-2.3153138237972826E-2</v>
      </c>
      <c r="W48" s="50">
        <f t="shared" si="120"/>
        <v>3.6783454362421253E-3</v>
      </c>
      <c r="X48" s="50">
        <f t="shared" si="121"/>
        <v>0.21698542029091605</v>
      </c>
      <c r="Y48" s="50">
        <f t="shared" si="122"/>
        <v>0.15683273703803735</v>
      </c>
      <c r="Z48" s="50">
        <f t="shared" si="123"/>
        <v>0.11629913746391551</v>
      </c>
    </row>
    <row r="49" spans="1:26" ht="20.100000000000001" customHeight="1" x14ac:dyDescent="0.2">
      <c r="A49" s="53">
        <f t="shared" si="0"/>
        <v>129</v>
      </c>
      <c r="B49" s="54">
        <f t="shared" si="1"/>
        <v>43787</v>
      </c>
      <c r="C49" s="55">
        <f>'Résultats observations'!D49</f>
        <v>37.799999999999983</v>
      </c>
      <c r="D49" s="50">
        <f t="shared" si="2"/>
        <v>-60.037815244644577</v>
      </c>
      <c r="E49" s="50">
        <f t="shared" si="3"/>
        <v>-50.326972114498325</v>
      </c>
      <c r="F49" s="50">
        <f t="shared" si="4"/>
        <v>-31.301889089339287</v>
      </c>
      <c r="G49" s="50">
        <f t="shared" si="5"/>
        <v>-16.693699179510133</v>
      </c>
      <c r="H49" s="50">
        <f t="shared" si="6"/>
        <v>-58.329550241734474</v>
      </c>
      <c r="I49" s="50">
        <f t="shared" si="7"/>
        <v>-37.80758361571035</v>
      </c>
      <c r="J49" s="50">
        <f t="shared" si="8"/>
        <v>-22.334967700434305</v>
      </c>
      <c r="K49" s="50">
        <f t="shared" si="9"/>
        <v>-24.250531267780318</v>
      </c>
      <c r="L49" s="50">
        <f t="shared" si="10"/>
        <v>-21.363473085593832</v>
      </c>
      <c r="R49" s="50">
        <f t="shared" si="115"/>
        <v>-5.6721442676765932E-2</v>
      </c>
      <c r="S49" s="50">
        <f t="shared" si="116"/>
        <v>4.1000322802743128E-2</v>
      </c>
      <c r="T49" s="50">
        <f t="shared" si="117"/>
        <v>4.0874075375341157E-2</v>
      </c>
      <c r="U49" s="50">
        <f t="shared" si="118"/>
        <v>-9.2942383503268999E-2</v>
      </c>
      <c r="V49" s="50">
        <f t="shared" si="119"/>
        <v>-0.12517313018112297</v>
      </c>
      <c r="W49" s="50">
        <f t="shared" si="120"/>
        <v>-0.10015320856027188</v>
      </c>
      <c r="X49" s="50">
        <f t="shared" si="121"/>
        <v>-2.460039227436539E-2</v>
      </c>
      <c r="Y49" s="50">
        <f t="shared" si="122"/>
        <v>1.6932296236227273E-3</v>
      </c>
      <c r="Z49" s="50">
        <f t="shared" si="123"/>
        <v>-1.2329401848587551E-2</v>
      </c>
    </row>
    <row r="50" spans="1:26" ht="20.100000000000001" customHeight="1" x14ac:dyDescent="0.2">
      <c r="A50" s="53">
        <f t="shared" si="0"/>
        <v>132</v>
      </c>
      <c r="B50" s="54">
        <f t="shared" si="1"/>
        <v>43790</v>
      </c>
      <c r="C50" s="55">
        <f>'Résultats observations'!D50</f>
        <v>39</v>
      </c>
      <c r="D50" s="50">
        <f t="shared" si="2"/>
        <v>-60.029139862054492</v>
      </c>
      <c r="E50" s="50">
        <f t="shared" si="3"/>
        <v>-50.500154566362369</v>
      </c>
      <c r="F50" s="50">
        <f t="shared" si="4"/>
        <v>-31.485349557671462</v>
      </c>
      <c r="G50" s="50">
        <f t="shared" si="5"/>
        <v>-16.654683971807579</v>
      </c>
      <c r="H50" s="50">
        <f t="shared" si="6"/>
        <v>-58.219876016699871</v>
      </c>
      <c r="I50" s="50">
        <f t="shared" si="7"/>
        <v>-37.884346670074009</v>
      </c>
      <c r="J50" s="50">
        <f t="shared" si="8"/>
        <v>-22.44198327308311</v>
      </c>
      <c r="K50" s="50">
        <f t="shared" si="9"/>
        <v>-24.186383335495165</v>
      </c>
      <c r="L50" s="50">
        <f t="shared" si="10"/>
        <v>-21.237187140700442</v>
      </c>
      <c r="R50" s="50">
        <f t="shared" ref="R50:R51" si="124">IF(AND(D50&lt;&gt;"",D49&lt;&gt;""),(D50-D49)/($B50-$B49),"")</f>
        <v>2.891794196694756E-3</v>
      </c>
      <c r="S50" s="50">
        <f t="shared" ref="S50:S51" si="125">IF(AND(E50&lt;&gt;"",E49&lt;&gt;""),(E50-E49)/($B50-$B49),"")</f>
        <v>-5.7727483954681226E-2</v>
      </c>
      <c r="T50" s="50">
        <f t="shared" ref="T50:T51" si="126">IF(AND(F50&lt;&gt;"",F49&lt;&gt;""),(F50-F49)/($B50-$B49),"")</f>
        <v>-6.115348944405833E-2</v>
      </c>
      <c r="U50" s="50">
        <f t="shared" ref="U50:U51" si="127">IF(AND(G50&lt;&gt;"",G49&lt;&gt;""),(G50-G49)/($B50-$B49),"")</f>
        <v>1.300506923418491E-2</v>
      </c>
      <c r="V50" s="50">
        <f t="shared" ref="V50:V51" si="128">IF(AND(H50&lt;&gt;"",H49&lt;&gt;""),(H50-H49)/($B50-$B49),"")</f>
        <v>3.6558075011534186E-2</v>
      </c>
      <c r="W50" s="50">
        <f t="shared" ref="W50:W51" si="129">IF(AND(I50&lt;&gt;"",I49&lt;&gt;""),(I50-I49)/($B50-$B49),"")</f>
        <v>-2.5587684787886644E-2</v>
      </c>
      <c r="X50" s="50">
        <f t="shared" ref="X50:X51" si="130">IF(AND(J50&lt;&gt;"",J49&lt;&gt;""),(J50-J49)/($B50-$B49),"")</f>
        <v>-3.5671857549601782E-2</v>
      </c>
      <c r="Y50" s="50">
        <f t="shared" ref="Y50:Y51" si="131">IF(AND(K50&lt;&gt;"",K49&lt;&gt;""),(K50-K49)/($B50-$B49),"")</f>
        <v>2.1382644095050789E-2</v>
      </c>
      <c r="Z50" s="50">
        <f t="shared" ref="Z50:Z51" si="132">IF(AND(L50&lt;&gt;"",L49&lt;&gt;""),(L50-L49)/($B50-$B49),"")</f>
        <v>4.2095314964463171E-2</v>
      </c>
    </row>
    <row r="51" spans="1:26" ht="20.100000000000001" customHeight="1" x14ac:dyDescent="0.2">
      <c r="A51" s="53">
        <f t="shared" si="0"/>
        <v>137</v>
      </c>
      <c r="B51" s="54">
        <f t="shared" si="1"/>
        <v>43795</v>
      </c>
      <c r="C51" s="55">
        <f>'Résultats observations'!D51</f>
        <v>39</v>
      </c>
      <c r="D51" s="50">
        <f t="shared" si="2"/>
        <v>-60.90807888477201</v>
      </c>
      <c r="E51" s="50">
        <f t="shared" si="3"/>
        <v>-51.131855521433508</v>
      </c>
      <c r="F51" s="50"/>
      <c r="G51" s="50">
        <f t="shared" si="5"/>
        <v>-16.643121674132509</v>
      </c>
      <c r="H51" s="50">
        <f t="shared" si="6"/>
        <v>-58.838622433486698</v>
      </c>
      <c r="I51" s="50">
        <f t="shared" si="7"/>
        <v>-38.436189095707896</v>
      </c>
      <c r="J51" s="50"/>
      <c r="K51" s="50">
        <f t="shared" si="9"/>
        <v>-24.872472342300611</v>
      </c>
      <c r="L51" s="50">
        <f t="shared" si="10"/>
        <v>-21.741685051406279</v>
      </c>
      <c r="R51" s="50">
        <f t="shared" si="124"/>
        <v>-0.17578780454350351</v>
      </c>
      <c r="S51" s="50">
        <f t="shared" si="125"/>
        <v>-0.1263401910142278</v>
      </c>
      <c r="T51" s="50" t="str">
        <f t="shared" si="126"/>
        <v/>
      </c>
      <c r="U51" s="50">
        <f t="shared" si="127"/>
        <v>2.3124595350139999E-3</v>
      </c>
      <c r="V51" s="50">
        <f t="shared" si="128"/>
        <v>-0.12374928335736542</v>
      </c>
      <c r="W51" s="50">
        <f t="shared" si="129"/>
        <v>-0.11036848512677722</v>
      </c>
      <c r="X51" s="50" t="str">
        <f t="shared" si="130"/>
        <v/>
      </c>
      <c r="Y51" s="50">
        <f t="shared" si="131"/>
        <v>-0.13721780136108919</v>
      </c>
      <c r="Z51" s="50">
        <f t="shared" si="132"/>
        <v>-0.10089958214116734</v>
      </c>
    </row>
    <row r="52" spans="1:26" ht="20.100000000000001" customHeight="1" x14ac:dyDescent="0.2">
      <c r="A52" s="53">
        <f t="shared" si="0"/>
        <v>139</v>
      </c>
      <c r="B52" s="54">
        <f t="shared" si="1"/>
        <v>43797</v>
      </c>
      <c r="C52" s="55">
        <f>'Résultats observations'!D52</f>
        <v>39</v>
      </c>
      <c r="D52" s="50">
        <f t="shared" si="2"/>
        <v>-61.834125194071277</v>
      </c>
      <c r="E52" s="50">
        <f t="shared" si="3"/>
        <v>-52.112389389373789</v>
      </c>
      <c r="F52" s="50">
        <f t="shared" si="4"/>
        <v>-34.202763555500006</v>
      </c>
      <c r="G52" s="50">
        <f t="shared" si="5"/>
        <v>-17.096144214451044</v>
      </c>
      <c r="H52" s="50">
        <f t="shared" si="6"/>
        <v>-59.412099088920641</v>
      </c>
      <c r="I52" s="50">
        <f t="shared" si="7"/>
        <v>-39.46499652653479</v>
      </c>
      <c r="J52" s="50">
        <f t="shared" si="8"/>
        <v>-25.218285656638528</v>
      </c>
      <c r="K52" s="50">
        <f t="shared" si="9"/>
        <v>-25.392568950277195</v>
      </c>
      <c r="L52" s="50">
        <f t="shared" si="10"/>
        <v>-22.329916115484849</v>
      </c>
      <c r="R52" s="50">
        <f t="shared" ref="R52" si="133">IF(AND(D52&lt;&gt;"",D51&lt;&gt;""),(D52-D51)/($B52-$B51),"")</f>
        <v>-0.46302315464963328</v>
      </c>
      <c r="S52" s="50">
        <f t="shared" ref="S52" si="134">IF(AND(E52&lt;&gt;"",E51&lt;&gt;""),(E52-E51)/($B52-$B51),"")</f>
        <v>-0.49026693397014043</v>
      </c>
      <c r="T52" s="50" t="str">
        <f t="shared" ref="T52" si="135">IF(AND(F52&lt;&gt;"",F51&lt;&gt;""),(F52-F51)/($B52-$B51),"")</f>
        <v/>
      </c>
      <c r="U52" s="50">
        <f t="shared" ref="U52" si="136">IF(AND(G52&lt;&gt;"",G51&lt;&gt;""),(G52-G51)/($B52-$B51),"")</f>
        <v>-0.22651127015926775</v>
      </c>
      <c r="V52" s="50">
        <f t="shared" ref="V52" si="137">IF(AND(H52&lt;&gt;"",H51&lt;&gt;""),(H52-H51)/($B52-$B51),"")</f>
        <v>-0.2867383277169715</v>
      </c>
      <c r="W52" s="50">
        <f t="shared" ref="W52" si="138">IF(AND(I52&lt;&gt;"",I51&lt;&gt;""),(I52-I51)/($B52-$B51),"")</f>
        <v>-0.51440371541344732</v>
      </c>
      <c r="X52" s="50" t="str">
        <f t="shared" ref="X52" si="139">IF(AND(J52&lt;&gt;"",J51&lt;&gt;""),(J52-J51)/($B52-$B51),"")</f>
        <v/>
      </c>
      <c r="Y52" s="50">
        <f t="shared" ref="Y52" si="140">IF(AND(K52&lt;&gt;"",K51&lt;&gt;""),(K52-K51)/($B52-$B51),"")</f>
        <v>-0.26004830398829171</v>
      </c>
      <c r="Z52" s="50">
        <f t="shared" ref="Z52" si="141">IF(AND(L52&lt;&gt;"",L51&lt;&gt;""),(L52-L51)/($B52-$B51),"")</f>
        <v>-0.2941155320392852</v>
      </c>
    </row>
    <row r="53" spans="1:26" ht="20.100000000000001" customHeight="1" x14ac:dyDescent="0.2">
      <c r="A53" s="53">
        <f t="shared" si="0"/>
        <v>140</v>
      </c>
      <c r="B53" s="54">
        <f t="shared" si="1"/>
        <v>43798</v>
      </c>
      <c r="C53" s="55">
        <f>'Résultats observations'!D53</f>
        <v>39</v>
      </c>
      <c r="D53" s="50">
        <f t="shared" si="2"/>
        <v>-62.50488691521916</v>
      </c>
      <c r="E53" s="50">
        <f t="shared" si="3"/>
        <v>-52.808358974849142</v>
      </c>
      <c r="F53" s="50">
        <f t="shared" si="4"/>
        <v>-34.819983679023949</v>
      </c>
      <c r="G53" s="50">
        <f t="shared" si="5"/>
        <v>-16.980309330096418</v>
      </c>
      <c r="H53" s="50">
        <f t="shared" si="6"/>
        <v>-59.851990553006388</v>
      </c>
      <c r="I53" s="50">
        <f t="shared" si="7"/>
        <v>-40.16397343992395</v>
      </c>
      <c r="J53" s="50">
        <f t="shared" si="8"/>
        <v>-25.212002036439696</v>
      </c>
      <c r="K53" s="50">
        <f t="shared" si="9"/>
        <v>-25.382145922310251</v>
      </c>
      <c r="L53" s="50">
        <f t="shared" si="10"/>
        <v>-22.349190264140617</v>
      </c>
      <c r="R53" s="50">
        <f t="shared" ref="R53:R65" si="142">IF(AND(D53&lt;&gt;"",D52&lt;&gt;""),(D53-D52)/($B53-$B52),"")</f>
        <v>-0.67076172114788335</v>
      </c>
      <c r="S53" s="50">
        <f t="shared" ref="S53:S65" si="143">IF(AND(E53&lt;&gt;"",E52&lt;&gt;""),(E53-E52)/($B53-$B52),"")</f>
        <v>-0.69596958547535337</v>
      </c>
      <c r="T53" s="50">
        <f t="shared" ref="T53:T65" si="144">IF(AND(F53&lt;&gt;"",F52&lt;&gt;""),(F53-F52)/($B53-$B52),"")</f>
        <v>-0.61722012352394273</v>
      </c>
      <c r="U53" s="50">
        <f t="shared" ref="U53:U65" si="145">IF(AND(G53&lt;&gt;"",G52&lt;&gt;""),(G53-G52)/($B53-$B52),"")</f>
        <v>0.11583488435462641</v>
      </c>
      <c r="V53" s="50">
        <f t="shared" ref="V53:V65" si="146">IF(AND(H53&lt;&gt;"",H52&lt;&gt;""),(H53-H52)/($B53-$B52),"")</f>
        <v>-0.43989146408574697</v>
      </c>
      <c r="W53" s="50">
        <f t="shared" ref="W53:W65" si="147">IF(AND(I53&lt;&gt;"",I52&lt;&gt;""),(I53-I52)/($B53-$B52),"")</f>
        <v>-0.6989769133891599</v>
      </c>
      <c r="X53" s="50">
        <f t="shared" ref="X53:X65" si="148">IF(AND(J53&lt;&gt;"",J52&lt;&gt;""),(J53-J52)/($B53-$B52),"")</f>
        <v>6.2836201988325513E-3</v>
      </c>
      <c r="Y53" s="50">
        <f t="shared" ref="Y53:Y65" si="149">IF(AND(K53&lt;&gt;"",K52&lt;&gt;""),(K53-K52)/($B53-$B52),"")</f>
        <v>1.0423027966943721E-2</v>
      </c>
      <c r="Z53" s="50">
        <f t="shared" ref="Z53:Z65" si="150">IF(AND(L53&lt;&gt;"",L52&lt;&gt;""),(L53-L52)/($B53-$B52),"")</f>
        <v>-1.9274148655767931E-2</v>
      </c>
    </row>
    <row r="54" spans="1:26" ht="20.100000000000001" customHeight="1" x14ac:dyDescent="0.2">
      <c r="A54" s="53">
        <f t="shared" si="0"/>
        <v>143</v>
      </c>
      <c r="B54" s="54">
        <f t="shared" si="1"/>
        <v>43801</v>
      </c>
      <c r="C54" s="55">
        <f>'Résultats observations'!D54</f>
        <v>39</v>
      </c>
      <c r="D54" s="50">
        <f t="shared" si="2"/>
        <v>-62.966563932909558</v>
      </c>
      <c r="E54" s="50">
        <f t="shared" si="3"/>
        <v>-52.891641604149164</v>
      </c>
      <c r="F54" s="50">
        <f t="shared" si="4"/>
        <v>-34.992136952522792</v>
      </c>
      <c r="G54" s="50">
        <f t="shared" si="5"/>
        <v>-17.149047159726649</v>
      </c>
      <c r="H54" s="50">
        <f t="shared" si="6"/>
        <v>-60.218938345600215</v>
      </c>
      <c r="I54" s="50">
        <f t="shared" si="7"/>
        <v>-40.493717817057906</v>
      </c>
      <c r="J54" s="50">
        <f t="shared" si="8"/>
        <v>-25.432026343180869</v>
      </c>
      <c r="K54" s="50">
        <f t="shared" si="9"/>
        <v>-25.317348169149767</v>
      </c>
      <c r="L54" s="50">
        <f t="shared" si="10"/>
        <v>-22.998377427538408</v>
      </c>
      <c r="R54" s="50">
        <f t="shared" si="142"/>
        <v>-0.15389233923013279</v>
      </c>
      <c r="S54" s="50">
        <f t="shared" si="143"/>
        <v>-2.7760876433340798E-2</v>
      </c>
      <c r="T54" s="50">
        <f t="shared" si="144"/>
        <v>-5.7384424499614305E-2</v>
      </c>
      <c r="U54" s="50">
        <f t="shared" si="145"/>
        <v>-5.6245943210077108E-2</v>
      </c>
      <c r="V54" s="50">
        <f t="shared" si="146"/>
        <v>-0.1223159308646089</v>
      </c>
      <c r="W54" s="50">
        <f t="shared" si="147"/>
        <v>-0.10991479237798529</v>
      </c>
      <c r="X54" s="50">
        <f t="shared" si="148"/>
        <v>-7.3341435580391121E-2</v>
      </c>
      <c r="Y54" s="50">
        <f t="shared" si="149"/>
        <v>2.1599251053494584E-2</v>
      </c>
      <c r="Z54" s="50">
        <f t="shared" si="150"/>
        <v>-0.21639572113259695</v>
      </c>
    </row>
    <row r="55" spans="1:26" ht="20.100000000000001" customHeight="1" x14ac:dyDescent="0.2">
      <c r="A55" s="53">
        <f t="shared" si="0"/>
        <v>145</v>
      </c>
      <c r="B55" s="54">
        <f t="shared" si="1"/>
        <v>43803</v>
      </c>
      <c r="C55" s="55">
        <f>'Résultats observations'!D55</f>
        <v>39</v>
      </c>
      <c r="D55" s="50">
        <f t="shared" si="2"/>
        <v>-63.700548922425604</v>
      </c>
      <c r="E55" s="50">
        <f t="shared" si="3"/>
        <v>-53.638841286265389</v>
      </c>
      <c r="F55" s="50">
        <f t="shared" si="4"/>
        <v>-35.395081660884784</v>
      </c>
      <c r="G55" s="50">
        <f t="shared" si="5"/>
        <v>-17.554308473435754</v>
      </c>
      <c r="H55" s="50">
        <f t="shared" si="6"/>
        <v>-60.926475108071813</v>
      </c>
      <c r="I55" s="50">
        <f t="shared" si="7"/>
        <v>-41.248290750354855</v>
      </c>
      <c r="J55" s="50">
        <f t="shared" si="8"/>
        <v>-25.897956683902379</v>
      </c>
      <c r="K55" s="50">
        <f t="shared" si="9"/>
        <v>-25.855186580171718</v>
      </c>
      <c r="L55" s="50">
        <f t="shared" si="10"/>
        <v>-22.87625856145592</v>
      </c>
      <c r="R55" s="50">
        <f t="shared" si="142"/>
        <v>-0.36699249475802276</v>
      </c>
      <c r="S55" s="50">
        <f t="shared" si="143"/>
        <v>-0.3735998410581125</v>
      </c>
      <c r="T55" s="50">
        <f t="shared" si="144"/>
        <v>-0.2014723541809964</v>
      </c>
      <c r="U55" s="50">
        <f t="shared" si="145"/>
        <v>-0.20263065685455217</v>
      </c>
      <c r="V55" s="50">
        <f t="shared" si="146"/>
        <v>-0.35376838123579901</v>
      </c>
      <c r="W55" s="50">
        <f t="shared" si="147"/>
        <v>-0.37728646664847432</v>
      </c>
      <c r="X55" s="50">
        <f t="shared" si="148"/>
        <v>-0.23296517036075493</v>
      </c>
      <c r="Y55" s="50">
        <f t="shared" si="149"/>
        <v>-0.2689192055109757</v>
      </c>
      <c r="Z55" s="50">
        <f t="shared" si="150"/>
        <v>6.1059433041243949E-2</v>
      </c>
    </row>
    <row r="56" spans="1:26" ht="20.100000000000001" customHeight="1" x14ac:dyDescent="0.2">
      <c r="A56" s="53">
        <f t="shared" si="0"/>
        <v>150</v>
      </c>
      <c r="B56" s="54">
        <f t="shared" si="1"/>
        <v>43808</v>
      </c>
      <c r="C56" s="55">
        <f>'Résultats observations'!D56</f>
        <v>39</v>
      </c>
      <c r="D56" s="50">
        <f t="shared" si="2"/>
        <v>-64.392085225223994</v>
      </c>
      <c r="E56" s="50">
        <f t="shared" si="3"/>
        <v>-54.249527464921513</v>
      </c>
      <c r="F56" s="50">
        <f t="shared" si="4"/>
        <v>-35.772887897239201</v>
      </c>
      <c r="G56" s="50">
        <f t="shared" si="5"/>
        <v>-17.412405758982175</v>
      </c>
      <c r="H56" s="50">
        <f t="shared" si="6"/>
        <v>-60.956078790882273</v>
      </c>
      <c r="I56" s="50">
        <f t="shared" si="7"/>
        <v>-41.594643083224803</v>
      </c>
      <c r="J56" s="50">
        <f t="shared" si="8"/>
        <v>-25.897740647843115</v>
      </c>
      <c r="K56" s="50">
        <f t="shared" si="9"/>
        <v>-25.614646904156047</v>
      </c>
      <c r="L56" s="50">
        <f t="shared" si="10"/>
        <v>-22.676311845376773</v>
      </c>
      <c r="R56" s="50">
        <f t="shared" si="142"/>
        <v>-0.13830726055967801</v>
      </c>
      <c r="S56" s="50">
        <f t="shared" si="143"/>
        <v>-0.12213723573122479</v>
      </c>
      <c r="T56" s="50">
        <f t="shared" si="144"/>
        <v>-7.5561247270883314E-2</v>
      </c>
      <c r="U56" s="50">
        <f t="shared" si="145"/>
        <v>2.8380542890715788E-2</v>
      </c>
      <c r="V56" s="50">
        <f t="shared" si="146"/>
        <v>-5.9207365620920884E-3</v>
      </c>
      <c r="W56" s="50">
        <f t="shared" si="147"/>
        <v>-6.9270466573989609E-2</v>
      </c>
      <c r="X56" s="50">
        <f t="shared" si="148"/>
        <v>4.3207211852802629E-5</v>
      </c>
      <c r="Y56" s="50">
        <f t="shared" si="149"/>
        <v>4.8107935203134389E-2</v>
      </c>
      <c r="Z56" s="50">
        <f t="shared" si="150"/>
        <v>3.9989343215829365E-2</v>
      </c>
    </row>
    <row r="57" spans="1:26" ht="20.100000000000001" customHeight="1" x14ac:dyDescent="0.2">
      <c r="A57" s="53">
        <f t="shared" si="0"/>
        <v>153</v>
      </c>
      <c r="B57" s="54">
        <f t="shared" si="1"/>
        <v>43811</v>
      </c>
      <c r="C57" s="55">
        <f>'Résultats observations'!D57</f>
        <v>39</v>
      </c>
      <c r="D57" s="50">
        <f t="shared" si="2"/>
        <v>-64.217949499272294</v>
      </c>
      <c r="E57" s="50">
        <f t="shared" si="3"/>
        <v>-53.946235624786624</v>
      </c>
      <c r="F57" s="50">
        <f t="shared" si="4"/>
        <v>-35.655224870054127</v>
      </c>
      <c r="G57" s="50">
        <f t="shared" si="5"/>
        <v>-17.193474466927981</v>
      </c>
      <c r="H57" s="50">
        <f t="shared" si="6"/>
        <v>-61.051922475170883</v>
      </c>
      <c r="I57" s="50">
        <f t="shared" si="7"/>
        <v>-41.440033708334489</v>
      </c>
      <c r="J57" s="50">
        <f t="shared" si="8"/>
        <v>-25.630397169236208</v>
      </c>
      <c r="K57" s="50">
        <f t="shared" si="9"/>
        <v>-25.598858017153781</v>
      </c>
      <c r="L57" s="50">
        <f t="shared" si="10"/>
        <v>-22.461238336244804</v>
      </c>
      <c r="R57" s="50">
        <f t="shared" si="142"/>
        <v>5.8045241983900077E-2</v>
      </c>
      <c r="S57" s="50">
        <f t="shared" si="143"/>
        <v>0.10109728004496314</v>
      </c>
      <c r="T57" s="50">
        <f t="shared" si="144"/>
        <v>3.9221009061691348E-2</v>
      </c>
      <c r="U57" s="50">
        <f t="shared" si="145"/>
        <v>7.2977097351397902E-2</v>
      </c>
      <c r="V57" s="50">
        <f t="shared" si="146"/>
        <v>-3.1947894762870042E-2</v>
      </c>
      <c r="W57" s="50">
        <f t="shared" si="147"/>
        <v>5.153645829677108E-2</v>
      </c>
      <c r="X57" s="50">
        <f t="shared" si="148"/>
        <v>8.9114492868969108E-2</v>
      </c>
      <c r="Y57" s="50">
        <f t="shared" si="149"/>
        <v>5.2629623340886651E-3</v>
      </c>
      <c r="Z57" s="50">
        <f t="shared" si="150"/>
        <v>7.1691169710656297E-2</v>
      </c>
    </row>
    <row r="58" spans="1:26" ht="20.100000000000001" customHeight="1" x14ac:dyDescent="0.2">
      <c r="A58" s="53">
        <f t="shared" si="0"/>
        <v>157</v>
      </c>
      <c r="B58" s="54">
        <f t="shared" si="1"/>
        <v>43815</v>
      </c>
      <c r="C58" s="55">
        <f>'Résultats observations'!D58</f>
        <v>39</v>
      </c>
      <c r="D58" s="50">
        <f t="shared" si="2"/>
        <v>-63.9728854060575</v>
      </c>
      <c r="E58" s="50">
        <f t="shared" si="3"/>
        <v>-53.745456343978759</v>
      </c>
      <c r="F58" s="50">
        <f t="shared" si="4"/>
        <v>-35.638201307325758</v>
      </c>
      <c r="G58" s="50">
        <f t="shared" si="5"/>
        <v>-16.948734680820365</v>
      </c>
      <c r="H58" s="50">
        <f t="shared" si="6"/>
        <v>-61.116840950466766</v>
      </c>
      <c r="I58" s="50">
        <f t="shared" si="7"/>
        <v>-41.298969882313408</v>
      </c>
      <c r="J58" s="50">
        <f t="shared" si="8"/>
        <v>-25.122209303600318</v>
      </c>
      <c r="K58" s="50">
        <f t="shared" si="9"/>
        <v>-25.037202285191462</v>
      </c>
      <c r="L58" s="50">
        <f t="shared" si="10"/>
        <v>-21.965093532438473</v>
      </c>
      <c r="R58" s="50">
        <f t="shared" si="142"/>
        <v>6.1266023303698347E-2</v>
      </c>
      <c r="S58" s="50">
        <f t="shared" si="143"/>
        <v>5.0194820201966195E-2</v>
      </c>
      <c r="T58" s="50">
        <f t="shared" si="144"/>
        <v>4.2558906820922004E-3</v>
      </c>
      <c r="U58" s="50">
        <f t="shared" si="145"/>
        <v>6.1184946526903872E-2</v>
      </c>
      <c r="V58" s="50">
        <f t="shared" si="146"/>
        <v>-1.6229618823970782E-2</v>
      </c>
      <c r="W58" s="50">
        <f t="shared" si="147"/>
        <v>3.5265956505270424E-2</v>
      </c>
      <c r="X58" s="50">
        <f t="shared" si="148"/>
        <v>0.12704696640897239</v>
      </c>
      <c r="Y58" s="50">
        <f t="shared" si="149"/>
        <v>0.14041393299057958</v>
      </c>
      <c r="Z58" s="50">
        <f t="shared" si="150"/>
        <v>0.12403620095158274</v>
      </c>
    </row>
    <row r="59" spans="1:26" ht="20.100000000000001" customHeight="1" x14ac:dyDescent="0.2">
      <c r="A59" s="53">
        <f t="shared" si="0"/>
        <v>160</v>
      </c>
      <c r="B59" s="54">
        <f t="shared" si="1"/>
        <v>43818</v>
      </c>
      <c r="C59" s="55">
        <f>'Résultats observations'!D59</f>
        <v>39</v>
      </c>
      <c r="D59" s="50">
        <f t="shared" si="2"/>
        <v>-64.859356006658146</v>
      </c>
      <c r="E59" s="50">
        <f t="shared" si="3"/>
        <v>-54.813295408121746</v>
      </c>
      <c r="F59" s="50">
        <f t="shared" si="4"/>
        <v>-36.562391972678526</v>
      </c>
      <c r="G59" s="50">
        <f t="shared" si="5"/>
        <v>-17.125633918650074</v>
      </c>
      <c r="H59" s="50">
        <f t="shared" si="6"/>
        <v>-61.118255254718257</v>
      </c>
      <c r="I59" s="50">
        <f t="shared" si="7"/>
        <v>-42.022650135503881</v>
      </c>
      <c r="J59" s="50">
        <f t="shared" si="8"/>
        <v>-26.109040157076269</v>
      </c>
      <c r="K59" s="50">
        <f t="shared" si="9"/>
        <v>-25.656341892115186</v>
      </c>
      <c r="L59" s="50">
        <f t="shared" si="10"/>
        <v>-22.7939608002794</v>
      </c>
      <c r="R59" s="50">
        <f t="shared" si="142"/>
        <v>-0.29549020020021527</v>
      </c>
      <c r="S59" s="50">
        <f t="shared" si="143"/>
        <v>-0.35594635471432906</v>
      </c>
      <c r="T59" s="50">
        <f t="shared" si="144"/>
        <v>-0.30806355511758926</v>
      </c>
      <c r="U59" s="50">
        <f t="shared" si="145"/>
        <v>-5.8966412609902839E-2</v>
      </c>
      <c r="V59" s="50">
        <f t="shared" si="146"/>
        <v>-4.7143475049675015E-4</v>
      </c>
      <c r="W59" s="50">
        <f t="shared" si="147"/>
        <v>-0.24122675106349098</v>
      </c>
      <c r="X59" s="50">
        <f t="shared" si="148"/>
        <v>-0.32894361782531689</v>
      </c>
      <c r="Y59" s="50">
        <f t="shared" si="149"/>
        <v>-0.20637986897457475</v>
      </c>
      <c r="Z59" s="50">
        <f t="shared" si="150"/>
        <v>-0.27628908928030899</v>
      </c>
    </row>
    <row r="60" spans="1:26" ht="20.100000000000001" customHeight="1" x14ac:dyDescent="0.2">
      <c r="A60" s="53">
        <f t="shared" si="0"/>
        <v>179</v>
      </c>
      <c r="B60" s="54">
        <f t="shared" si="1"/>
        <v>43837</v>
      </c>
      <c r="C60" s="55">
        <f>'Résultats observations'!D60</f>
        <v>39</v>
      </c>
      <c r="D60" s="50">
        <f t="shared" si="2"/>
        <v>-65.777559146496856</v>
      </c>
      <c r="E60" s="50">
        <f t="shared" si="3"/>
        <v>-55.297324063408482</v>
      </c>
      <c r="F60" s="50">
        <f t="shared" si="4"/>
        <v>-36.624683528085235</v>
      </c>
      <c r="G60" s="50">
        <f t="shared" si="5"/>
        <v>-17.5778962513069</v>
      </c>
      <c r="H60" s="50">
        <f t="shared" si="6"/>
        <v>-62.397241888913598</v>
      </c>
      <c r="I60" s="50">
        <f t="shared" si="7"/>
        <v>-42.938340423422261</v>
      </c>
      <c r="J60" s="50">
        <f t="shared" si="8"/>
        <v>-26.340014800950051</v>
      </c>
      <c r="K60" s="50">
        <f t="shared" si="9"/>
        <v>-26.302833935677228</v>
      </c>
      <c r="L60" s="50">
        <f t="shared" si="10"/>
        <v>-23.130580223079455</v>
      </c>
      <c r="R60" s="50">
        <f t="shared" si="142"/>
        <v>-4.8326481044142611E-2</v>
      </c>
      <c r="S60" s="50">
        <f t="shared" si="143"/>
        <v>-2.5475192383512393E-2</v>
      </c>
      <c r="T60" s="50">
        <f t="shared" si="144"/>
        <v>-3.2785029161425876E-3</v>
      </c>
      <c r="U60" s="50">
        <f t="shared" si="145"/>
        <v>-2.3803280666148726E-2</v>
      </c>
      <c r="V60" s="50">
        <f t="shared" si="146"/>
        <v>-6.7315086010281119E-2</v>
      </c>
      <c r="W60" s="50">
        <f t="shared" si="147"/>
        <v>-4.8194225679914757E-2</v>
      </c>
      <c r="X60" s="50">
        <f t="shared" si="148"/>
        <v>-1.2156560203883291E-2</v>
      </c>
      <c r="Y60" s="50">
        <f t="shared" si="149"/>
        <v>-3.4025897029581122E-2</v>
      </c>
      <c r="Z60" s="50">
        <f t="shared" si="150"/>
        <v>-1.7716811726318695E-2</v>
      </c>
    </row>
    <row r="61" spans="1:26" ht="20.100000000000001" customHeight="1" x14ac:dyDescent="0.2">
      <c r="A61" s="53">
        <f t="shared" si="0"/>
        <v>185</v>
      </c>
      <c r="B61" s="54">
        <f t="shared" si="1"/>
        <v>43843</v>
      </c>
      <c r="C61" s="55">
        <f>'Résultats observations'!D61</f>
        <v>39</v>
      </c>
      <c r="D61" s="50">
        <f t="shared" si="2"/>
        <v>-66.706501632850745</v>
      </c>
      <c r="E61" s="50">
        <f t="shared" si="3"/>
        <v>-56.084859048237675</v>
      </c>
      <c r="F61" s="50">
        <f t="shared" si="4"/>
        <v>-37.911002190021975</v>
      </c>
      <c r="G61" s="50">
        <f t="shared" si="5"/>
        <v>-17.713106729446036</v>
      </c>
      <c r="H61" s="50">
        <f t="shared" si="6"/>
        <v>-62.85781627789477</v>
      </c>
      <c r="I61" s="50">
        <f t="shared" si="7"/>
        <v>-43.692602144563608</v>
      </c>
      <c r="J61" s="50">
        <f t="shared" si="8"/>
        <v>-27.315690514682522</v>
      </c>
      <c r="K61" s="50">
        <f t="shared" si="9"/>
        <v>-26.582956161347759</v>
      </c>
      <c r="L61" s="50">
        <f t="shared" si="10"/>
        <v>-23.373274968796487</v>
      </c>
      <c r="R61" s="50">
        <f t="shared" si="142"/>
        <v>-0.1548237477256483</v>
      </c>
      <c r="S61" s="50">
        <f t="shared" si="143"/>
        <v>-0.13125583080486555</v>
      </c>
      <c r="T61" s="50">
        <f t="shared" si="144"/>
        <v>-0.21438644365612328</v>
      </c>
      <c r="U61" s="50">
        <f t="shared" si="145"/>
        <v>-2.2535079689856019E-2</v>
      </c>
      <c r="V61" s="50">
        <f t="shared" si="146"/>
        <v>-7.6762398163528658E-2</v>
      </c>
      <c r="W61" s="50">
        <f t="shared" si="147"/>
        <v>-0.1257102868568912</v>
      </c>
      <c r="X61" s="50">
        <f t="shared" si="148"/>
        <v>-0.16261261895541188</v>
      </c>
      <c r="Y61" s="50">
        <f t="shared" si="149"/>
        <v>-4.6687037611755265E-2</v>
      </c>
      <c r="Z61" s="50">
        <f t="shared" si="150"/>
        <v>-4.0449124286171902E-2</v>
      </c>
    </row>
    <row r="62" spans="1:26" ht="20.100000000000001" customHeight="1" x14ac:dyDescent="0.2">
      <c r="A62" s="53">
        <f t="shared" si="0"/>
        <v>192</v>
      </c>
      <c r="B62" s="54">
        <f t="shared" si="1"/>
        <v>43850</v>
      </c>
      <c r="C62" s="55">
        <f>'Résultats observations'!D62</f>
        <v>39</v>
      </c>
      <c r="D62" s="50">
        <f t="shared" si="2"/>
        <v>-66.375897522049428</v>
      </c>
      <c r="E62" s="50">
        <f t="shared" si="3"/>
        <v>-55.71972963849614</v>
      </c>
      <c r="F62" s="50">
        <f t="shared" si="4"/>
        <v>-36.730759984152208</v>
      </c>
      <c r="G62" s="50">
        <f t="shared" si="5"/>
        <v>-17.674158978449924</v>
      </c>
      <c r="H62" s="50">
        <f t="shared" si="6"/>
        <v>-62.774082579162283</v>
      </c>
      <c r="I62" s="50">
        <f t="shared" si="7"/>
        <v>-43.431133266842892</v>
      </c>
      <c r="J62" s="50">
        <f t="shared" si="8"/>
        <v>-26.209368177493086</v>
      </c>
      <c r="K62" s="50">
        <f t="shared" si="9"/>
        <v>-26.295352851495757</v>
      </c>
      <c r="L62" s="50">
        <f t="shared" si="10"/>
        <v>-23.039374470475771</v>
      </c>
      <c r="R62" s="50">
        <f t="shared" si="142"/>
        <v>4.7229158685902509E-2</v>
      </c>
      <c r="S62" s="50">
        <f t="shared" si="143"/>
        <v>5.2161344248790646E-2</v>
      </c>
      <c r="T62" s="50">
        <f t="shared" si="144"/>
        <v>0.16860602940996675</v>
      </c>
      <c r="U62" s="50">
        <f t="shared" si="145"/>
        <v>5.5639644280159727E-3</v>
      </c>
      <c r="V62" s="50">
        <f t="shared" si="146"/>
        <v>1.1961956961783926E-2</v>
      </c>
      <c r="W62" s="50">
        <f t="shared" si="147"/>
        <v>3.7352696817245193E-2</v>
      </c>
      <c r="X62" s="50">
        <f t="shared" si="148"/>
        <v>0.15804604816991943</v>
      </c>
      <c r="Y62" s="50">
        <f t="shared" si="149"/>
        <v>4.1086187121714648E-2</v>
      </c>
      <c r="Z62" s="50">
        <f t="shared" si="150"/>
        <v>4.7700071188673733E-2</v>
      </c>
    </row>
    <row r="63" spans="1:26" ht="20.100000000000001" customHeight="1" x14ac:dyDescent="0.2">
      <c r="A63" s="53">
        <f t="shared" si="0"/>
        <v>201</v>
      </c>
      <c r="B63" s="54">
        <f t="shared" si="1"/>
        <v>43859</v>
      </c>
      <c r="C63" s="55">
        <f>'Résultats observations'!D63</f>
        <v>39</v>
      </c>
      <c r="D63" s="50">
        <f t="shared" si="2"/>
        <v>-65.243719832657206</v>
      </c>
      <c r="E63" s="50">
        <f t="shared" si="3"/>
        <v>-56.163591247014644</v>
      </c>
      <c r="F63" s="50">
        <f t="shared" si="4"/>
        <v>-37.527597998661349</v>
      </c>
      <c r="G63" s="50">
        <f t="shared" si="5"/>
        <v>-17.196119761061944</v>
      </c>
      <c r="H63" s="50">
        <f t="shared" si="6"/>
        <v>-62.575739572474646</v>
      </c>
      <c r="I63" s="50">
        <f t="shared" si="7"/>
        <v>-43.323275507546555</v>
      </c>
      <c r="J63" s="50">
        <f t="shared" si="8"/>
        <v>-26.462210540572961</v>
      </c>
      <c r="K63" s="50">
        <f t="shared" si="9"/>
        <v>-25.937897528400811</v>
      </c>
      <c r="L63" s="50">
        <f t="shared" si="10"/>
        <v>-23.192211501566362</v>
      </c>
      <c r="R63" s="50">
        <f t="shared" si="142"/>
        <v>0.12579752104358022</v>
      </c>
      <c r="S63" s="50">
        <f t="shared" si="143"/>
        <v>-4.9317956502055914E-2</v>
      </c>
      <c r="T63" s="50">
        <f t="shared" si="144"/>
        <v>-8.8537557167682399E-2</v>
      </c>
      <c r="U63" s="50">
        <f t="shared" si="145"/>
        <v>5.3115468598664485E-2</v>
      </c>
      <c r="V63" s="50">
        <f t="shared" si="146"/>
        <v>2.2038111854181846E-2</v>
      </c>
      <c r="W63" s="50">
        <f t="shared" si="147"/>
        <v>1.1984195477370778E-2</v>
      </c>
      <c r="X63" s="50">
        <f t="shared" si="148"/>
        <v>-2.8093595897763873E-2</v>
      </c>
      <c r="Y63" s="50">
        <f t="shared" si="149"/>
        <v>3.9717258121660687E-2</v>
      </c>
      <c r="Z63" s="50">
        <f t="shared" si="150"/>
        <v>-1.6981892343399037E-2</v>
      </c>
    </row>
    <row r="64" spans="1:26" ht="20.100000000000001" customHeight="1" x14ac:dyDescent="0.2">
      <c r="A64" s="53">
        <f t="shared" si="0"/>
        <v>207</v>
      </c>
      <c r="B64" s="54">
        <f t="shared" si="1"/>
        <v>43865</v>
      </c>
      <c r="C64" s="55">
        <f>'Résultats observations'!D64</f>
        <v>39</v>
      </c>
      <c r="D64" s="50">
        <f t="shared" si="2"/>
        <v>-66.30436631564595</v>
      </c>
      <c r="E64" s="50">
        <f t="shared" si="3"/>
        <v>-56.400386843205027</v>
      </c>
      <c r="F64" s="50">
        <f t="shared" si="4"/>
        <v>-37.211441872077032</v>
      </c>
      <c r="G64" s="50">
        <f t="shared" si="5"/>
        <v>-17.848162965515389</v>
      </c>
      <c r="H64" s="50">
        <f t="shared" si="6"/>
        <v>-63.02638546653894</v>
      </c>
      <c r="I64" s="50">
        <f t="shared" si="7"/>
        <v>-43.996541869605998</v>
      </c>
      <c r="J64" s="50">
        <f t="shared" si="8"/>
        <v>-26.60940768633635</v>
      </c>
      <c r="K64" s="50">
        <f t="shared" si="9"/>
        <v>-26.097885791131148</v>
      </c>
      <c r="L64" s="50">
        <f t="shared" si="10"/>
        <v>-23.387854858746948</v>
      </c>
      <c r="R64" s="50">
        <f t="shared" si="142"/>
        <v>-0.17677441383145739</v>
      </c>
      <c r="S64" s="50">
        <f t="shared" si="143"/>
        <v>-3.9465932698397189E-2</v>
      </c>
      <c r="T64" s="50">
        <f t="shared" si="144"/>
        <v>5.2692687764052927E-2</v>
      </c>
      <c r="U64" s="50">
        <f t="shared" si="145"/>
        <v>-0.10867386740890754</v>
      </c>
      <c r="V64" s="50">
        <f t="shared" si="146"/>
        <v>-7.5107649010715719E-2</v>
      </c>
      <c r="W64" s="50">
        <f t="shared" si="147"/>
        <v>-0.11221106034324062</v>
      </c>
      <c r="X64" s="50">
        <f t="shared" si="148"/>
        <v>-2.4532857627231525E-2</v>
      </c>
      <c r="Y64" s="50">
        <f t="shared" si="149"/>
        <v>-2.6664710455056213E-2</v>
      </c>
      <c r="Z64" s="50">
        <f t="shared" si="150"/>
        <v>-3.2607226196764337E-2</v>
      </c>
    </row>
    <row r="65" spans="1:26" ht="20.100000000000001" customHeight="1" x14ac:dyDescent="0.2">
      <c r="A65" s="53">
        <f t="shared" si="0"/>
        <v>228</v>
      </c>
      <c r="B65" s="54">
        <f t="shared" si="1"/>
        <v>43886</v>
      </c>
      <c r="C65" s="55">
        <f>'Résultats observations'!D65</f>
        <v>39</v>
      </c>
      <c r="D65" s="50">
        <f t="shared" si="2"/>
        <v>-66.864142467670362</v>
      </c>
      <c r="E65" s="50">
        <f t="shared" si="3"/>
        <v>-56.598313834915537</v>
      </c>
      <c r="F65" s="50">
        <f t="shared" si="4"/>
        <v>-37.231306576850145</v>
      </c>
      <c r="G65" s="50">
        <f t="shared" si="5"/>
        <v>-17.813597622850175</v>
      </c>
      <c r="H65" s="50">
        <f t="shared" si="6"/>
        <v>-63.294565407765461</v>
      </c>
      <c r="I65" s="50">
        <f t="shared" si="7"/>
        <v>-44.492319439698669</v>
      </c>
      <c r="J65" s="50">
        <f t="shared" si="8"/>
        <v>-26.258945567340763</v>
      </c>
      <c r="K65" s="50">
        <f t="shared" si="9"/>
        <v>-25.828406053086006</v>
      </c>
      <c r="L65" s="50">
        <f t="shared" si="10"/>
        <v>-23.308296111561155</v>
      </c>
      <c r="R65" s="50">
        <f t="shared" si="142"/>
        <v>-2.6656007239257713E-2</v>
      </c>
      <c r="S65" s="50">
        <f t="shared" si="143"/>
        <v>-9.4250948433576183E-3</v>
      </c>
      <c r="T65" s="50">
        <f t="shared" si="144"/>
        <v>-9.4593832252918392E-4</v>
      </c>
      <c r="U65" s="50">
        <f t="shared" si="145"/>
        <v>1.6459686983435315E-3</v>
      </c>
      <c r="V65" s="50">
        <f t="shared" si="146"/>
        <v>-1.277047339173908E-2</v>
      </c>
      <c r="W65" s="50">
        <f t="shared" si="147"/>
        <v>-2.3608455718698587E-2</v>
      </c>
      <c r="X65" s="50">
        <f t="shared" si="148"/>
        <v>1.668867233312319E-2</v>
      </c>
      <c r="Y65" s="50">
        <f t="shared" si="149"/>
        <v>1.2832368478340092E-2</v>
      </c>
      <c r="Z65" s="50">
        <f t="shared" si="150"/>
        <v>3.7885117707520386E-3</v>
      </c>
    </row>
    <row r="66" spans="1:26" ht="20.100000000000001" customHeight="1" x14ac:dyDescent="0.2">
      <c r="A66" s="53">
        <f t="shared" si="0"/>
        <v>312</v>
      </c>
      <c r="B66" s="54">
        <f t="shared" si="1"/>
        <v>43970</v>
      </c>
      <c r="C66" s="55">
        <f>'Résultats observations'!D66</f>
        <v>39</v>
      </c>
      <c r="D66" s="50">
        <f t="shared" si="2"/>
        <v>-68.135240653934829</v>
      </c>
      <c r="E66" s="50">
        <f t="shared" si="3"/>
        <v>-57.109893852094196</v>
      </c>
      <c r="F66" s="50">
        <f t="shared" si="4"/>
        <v>-37.545398805370446</v>
      </c>
      <c r="G66" s="50">
        <f t="shared" si="5"/>
        <v>-17.912744026492565</v>
      </c>
      <c r="H66" s="50">
        <f t="shared" si="6"/>
        <v>-63.954484054574934</v>
      </c>
      <c r="I66" s="50">
        <f t="shared" si="7"/>
        <v>-45.094339297516051</v>
      </c>
      <c r="J66" s="50">
        <f t="shared" si="8"/>
        <v>-26.399387822957809</v>
      </c>
      <c r="K66" s="50">
        <f t="shared" si="9"/>
        <v>-25.972106845847165</v>
      </c>
      <c r="L66" s="50">
        <f t="shared" si="10"/>
        <v>-22.726524337264742</v>
      </c>
      <c r="R66" s="50">
        <f t="shared" ref="R66:R69" si="151">IF(AND(D66&lt;&gt;"",D65&lt;&gt;""),(D66-D65)/($B66-$B65),"")</f>
        <v>-1.5132121265053181E-2</v>
      </c>
      <c r="S66" s="50">
        <f t="shared" ref="S66:S69" si="152">IF(AND(E66&lt;&gt;"",E65&lt;&gt;""),(E66-E65)/($B66-$B65),"")</f>
        <v>-6.0902382997459386E-3</v>
      </c>
      <c r="T66" s="50">
        <f t="shared" ref="T66:T69" si="153">IF(AND(F66&lt;&gt;"",F65&lt;&gt;""),(F66-F65)/($B66-$B65),"")</f>
        <v>-3.73919319667026E-3</v>
      </c>
      <c r="U66" s="50">
        <f t="shared" ref="U66:U69" si="154">IF(AND(G66&lt;&gt;"",G65&lt;&gt;""),(G66-G65)/($B66-$B65),"")</f>
        <v>-1.1803143290760704E-3</v>
      </c>
      <c r="V66" s="50">
        <f t="shared" ref="V66:V69" si="155">IF(AND(H66&lt;&gt;"",H65&lt;&gt;""),(H66-H65)/($B66-$B65),"")</f>
        <v>-7.8561743667794389E-3</v>
      </c>
      <c r="W66" s="50">
        <f t="shared" ref="W66:W69" si="156">IF(AND(I66&lt;&gt;"",I65&lt;&gt;""),(I66-I65)/($B66-$B65),"")</f>
        <v>-7.1669030692545462E-3</v>
      </c>
      <c r="X66" s="50">
        <f t="shared" ref="X66:X69" si="157">IF(AND(J66&lt;&gt;"",J65&lt;&gt;""),(J66-J65)/($B66-$B65),"")</f>
        <v>-1.671931614488642E-3</v>
      </c>
      <c r="Y66" s="50">
        <f t="shared" ref="Y66:Y69" si="158">IF(AND(K66&lt;&gt;"",K65&lt;&gt;""),(K66-K65)/($B66-$B65),"")</f>
        <v>-1.7107237233471295E-3</v>
      </c>
      <c r="Z66" s="50">
        <f t="shared" ref="Z66:Z69" si="159">IF(AND(L66&lt;&gt;"",L65&lt;&gt;""),(L66-L65)/($B66-$B65),"")</f>
        <v>6.9258544559096845E-3</v>
      </c>
    </row>
    <row r="67" spans="1:26" ht="20.100000000000001" customHeight="1" x14ac:dyDescent="0.2">
      <c r="A67" s="53">
        <f t="shared" si="0"/>
        <v>319</v>
      </c>
      <c r="B67" s="54">
        <f t="shared" si="1"/>
        <v>43977</v>
      </c>
      <c r="C67" s="55">
        <f>'Résultats observations'!D67</f>
        <v>39</v>
      </c>
      <c r="D67" s="50">
        <f t="shared" si="2"/>
        <v>-69.343600690236144</v>
      </c>
      <c r="E67" s="50">
        <f t="shared" si="3"/>
        <v>-58.151167682670035</v>
      </c>
      <c r="F67" s="50">
        <f t="shared" si="4"/>
        <v>-38.031349231217646</v>
      </c>
      <c r="G67" s="50">
        <f t="shared" si="5"/>
        <v>-18.04391757527268</v>
      </c>
      <c r="H67" s="50">
        <f t="shared" si="6"/>
        <v>-64.891054226807299</v>
      </c>
      <c r="I67" s="50">
        <f t="shared" si="7"/>
        <v>-46.429537117608888</v>
      </c>
      <c r="J67" s="50">
        <f t="shared" si="8"/>
        <v>-26.53114706156634</v>
      </c>
      <c r="K67" s="50">
        <f t="shared" si="9"/>
        <v>-26.643924643658501</v>
      </c>
      <c r="L67" s="50">
        <f t="shared" si="10"/>
        <v>-23.447837014317408</v>
      </c>
      <c r="R67" s="50">
        <f t="shared" si="151"/>
        <v>-0.17262286232875926</v>
      </c>
      <c r="S67" s="50">
        <f t="shared" si="152"/>
        <v>-0.14875340436797707</v>
      </c>
      <c r="T67" s="50">
        <f t="shared" si="153"/>
        <v>-6.9421489406742865E-2</v>
      </c>
      <c r="U67" s="50">
        <f t="shared" si="154"/>
        <v>-1.8739078397159301E-2</v>
      </c>
      <c r="V67" s="50">
        <f t="shared" si="155"/>
        <v>-0.13379573889033786</v>
      </c>
      <c r="W67" s="50">
        <f t="shared" si="156"/>
        <v>-0.19074254572754817</v>
      </c>
      <c r="X67" s="50">
        <f t="shared" si="157"/>
        <v>-1.8822748372647271E-2</v>
      </c>
      <c r="Y67" s="50">
        <f t="shared" si="158"/>
        <v>-9.5973971115905138E-2</v>
      </c>
      <c r="Z67" s="50">
        <f t="shared" si="159"/>
        <v>-0.10304466815038081</v>
      </c>
    </row>
    <row r="68" spans="1:26" ht="20.100000000000001" customHeight="1" x14ac:dyDescent="0.2">
      <c r="A68" s="53">
        <f t="shared" si="0"/>
        <v>341</v>
      </c>
      <c r="B68" s="54">
        <f t="shared" si="1"/>
        <v>43999</v>
      </c>
      <c r="C68" s="55">
        <f>'Résultats observations'!D68</f>
        <v>39</v>
      </c>
      <c r="D68" s="50">
        <f t="shared" si="2"/>
        <v>-69.542285812052455</v>
      </c>
      <c r="E68" s="50">
        <f t="shared" si="3"/>
        <v>-58.202684510860969</v>
      </c>
      <c r="F68" s="50">
        <f t="shared" si="4"/>
        <v>-38.255914810738872</v>
      </c>
      <c r="G68" s="50">
        <f t="shared" si="5"/>
        <v>-18.430800670816701</v>
      </c>
      <c r="H68" s="50">
        <f t="shared" si="6"/>
        <v>-64.642288502542385</v>
      </c>
      <c r="I68" s="50">
        <f t="shared" si="7"/>
        <v>-46.309834350471313</v>
      </c>
      <c r="J68" s="50">
        <f t="shared" si="8"/>
        <v>-27.330796017450698</v>
      </c>
      <c r="K68" s="50">
        <f t="shared" si="9"/>
        <v>-26.676723272470504</v>
      </c>
      <c r="L68" s="50">
        <f t="shared" si="10"/>
        <v>-23.93477145698597</v>
      </c>
      <c r="R68" s="50">
        <f t="shared" si="151"/>
        <v>-9.0311419007414115E-3</v>
      </c>
      <c r="S68" s="50">
        <f t="shared" si="152"/>
        <v>-2.3416740086788161E-3</v>
      </c>
      <c r="T68" s="50">
        <f t="shared" si="153"/>
        <v>-1.02075263418739E-2</v>
      </c>
      <c r="U68" s="50">
        <f t="shared" si="154"/>
        <v>-1.7585595252000985E-2</v>
      </c>
      <c r="V68" s="50">
        <f t="shared" si="155"/>
        <v>1.1307532921132431E-2</v>
      </c>
      <c r="W68" s="50">
        <f t="shared" si="156"/>
        <v>5.4410348698897722E-3</v>
      </c>
      <c r="X68" s="50">
        <f t="shared" si="157"/>
        <v>-3.6347679812925353E-2</v>
      </c>
      <c r="Y68" s="50">
        <f t="shared" si="158"/>
        <v>-1.4908467641819552E-3</v>
      </c>
      <c r="Z68" s="50">
        <f t="shared" si="159"/>
        <v>-2.213338375766195E-2</v>
      </c>
    </row>
    <row r="69" spans="1:26" ht="20.100000000000001" customHeight="1" x14ac:dyDescent="0.2">
      <c r="A69" s="53">
        <f t="shared" si="0"/>
        <v>371</v>
      </c>
      <c r="B69" s="54">
        <f t="shared" si="1"/>
        <v>44029</v>
      </c>
      <c r="C69" s="55">
        <f>'Résultats observations'!D69</f>
        <v>39</v>
      </c>
      <c r="D69" s="50">
        <f t="shared" si="2"/>
        <v>-69.249419060929185</v>
      </c>
      <c r="E69" s="50">
        <f t="shared" si="3"/>
        <v>-57.897132653492719</v>
      </c>
      <c r="F69" s="50">
        <f t="shared" si="4"/>
        <v>-37.992992531225902</v>
      </c>
      <c r="G69" s="50">
        <f t="shared" si="5"/>
        <v>-18.296894235638515</v>
      </c>
      <c r="H69" s="50">
        <f t="shared" si="6"/>
        <v>-64.805449558403168</v>
      </c>
      <c r="I69" s="50">
        <f t="shared" si="7"/>
        <v>-46.178310303692349</v>
      </c>
      <c r="J69" s="50">
        <f t="shared" si="8"/>
        <v>-26.815911283480265</v>
      </c>
      <c r="K69" s="50">
        <f t="shared" si="9"/>
        <v>-26.364439132489537</v>
      </c>
      <c r="L69" s="50">
        <f t="shared" si="10"/>
        <v>-23.286205284230199</v>
      </c>
      <c r="R69" s="50">
        <f t="shared" si="151"/>
        <v>9.7622250374423437E-3</v>
      </c>
      <c r="S69" s="50">
        <f t="shared" si="152"/>
        <v>1.0185061912275018E-2</v>
      </c>
      <c r="T69" s="50">
        <f t="shared" si="153"/>
        <v>8.7640759837656883E-3</v>
      </c>
      <c r="U69" s="50">
        <f t="shared" si="154"/>
        <v>4.4635478392728821E-3</v>
      </c>
      <c r="V69" s="50">
        <f t="shared" si="155"/>
        <v>-5.4387018620261074E-3</v>
      </c>
      <c r="W69" s="50">
        <f t="shared" si="156"/>
        <v>4.3841348926321189E-3</v>
      </c>
      <c r="X69" s="50">
        <f t="shared" si="157"/>
        <v>1.7162824465681108E-2</v>
      </c>
      <c r="Y69" s="50">
        <f t="shared" si="158"/>
        <v>1.0409471332698908E-2</v>
      </c>
      <c r="Z69" s="50">
        <f t="shared" si="159"/>
        <v>2.1618872425192375E-2</v>
      </c>
    </row>
    <row r="70" spans="1:26" ht="20.100000000000001" customHeight="1" x14ac:dyDescent="0.2">
      <c r="A70" s="53"/>
      <c r="B70" s="54"/>
      <c r="C70" s="55"/>
      <c r="D70" s="50"/>
      <c r="E70" s="50"/>
      <c r="F70" s="50"/>
      <c r="G70" s="50"/>
      <c r="H70" s="50"/>
      <c r="I70" s="50"/>
      <c r="J70" s="50"/>
      <c r="K70" s="50"/>
      <c r="L70" s="50"/>
      <c r="R70" s="50"/>
      <c r="S70" s="50"/>
      <c r="T70" s="50"/>
      <c r="U70" s="50"/>
      <c r="V70" s="50"/>
      <c r="W70" s="50"/>
      <c r="X70" s="50"/>
      <c r="Y70" s="50"/>
      <c r="Z70" s="50"/>
    </row>
    <row r="71" spans="1:26" ht="20.100000000000001" customHeight="1" x14ac:dyDescent="0.2">
      <c r="A71" s="53">
        <f t="shared" si="0"/>
        <v>424</v>
      </c>
      <c r="B71" s="54">
        <f t="shared" si="1"/>
        <v>44082</v>
      </c>
      <c r="C71" s="55">
        <f>'Résultats observations'!D71</f>
        <v>39</v>
      </c>
      <c r="D71" s="50">
        <f t="shared" si="2"/>
        <v>-69.881997568649552</v>
      </c>
      <c r="E71" s="50">
        <f t="shared" si="3"/>
        <v>-58.541140123417264</v>
      </c>
      <c r="F71" s="50"/>
      <c r="G71" s="50">
        <f t="shared" si="5"/>
        <v>-18.684894333799825</v>
      </c>
      <c r="H71" s="50">
        <f t="shared" si="6"/>
        <v>-65.478882688265742</v>
      </c>
      <c r="I71" s="50">
        <f t="shared" si="7"/>
        <v>-47.191647453241004</v>
      </c>
      <c r="J71" s="50"/>
      <c r="K71" s="50">
        <f t="shared" si="9"/>
        <v>-27.047788287249297</v>
      </c>
      <c r="L71" s="50">
        <f t="shared" si="10"/>
        <v>-23.936527636312377</v>
      </c>
      <c r="R71" s="50" t="str">
        <f t="shared" ref="R71:R75" si="160">IF(AND(D71&lt;&gt;"",D70&lt;&gt;""),(D71-D70)/($B71-$B70),"")</f>
        <v/>
      </c>
      <c r="S71" s="50" t="str">
        <f t="shared" ref="S71:S75" si="161">IF(AND(E71&lt;&gt;"",E70&lt;&gt;""),(E71-E70)/($B71-$B70),"")</f>
        <v/>
      </c>
      <c r="T71" s="50" t="str">
        <f t="shared" ref="T71:T75" si="162">IF(AND(F71&lt;&gt;"",F70&lt;&gt;""),(F71-F70)/($B71-$B70),"")</f>
        <v/>
      </c>
      <c r="U71" s="50" t="str">
        <f t="shared" ref="U71:U75" si="163">IF(AND(G71&lt;&gt;"",G70&lt;&gt;""),(G71-G70)/($B71-$B70),"")</f>
        <v/>
      </c>
      <c r="V71" s="50" t="str">
        <f t="shared" ref="V71:V75" si="164">IF(AND(H71&lt;&gt;"",H70&lt;&gt;""),(H71-H70)/($B71-$B70),"")</f>
        <v/>
      </c>
      <c r="W71" s="50" t="str">
        <f t="shared" ref="W71:W75" si="165">IF(AND(I71&lt;&gt;"",I70&lt;&gt;""),(I71-I70)/($B71-$B70),"")</f>
        <v/>
      </c>
      <c r="X71" s="50" t="str">
        <f t="shared" ref="X71:X75" si="166">IF(AND(J71&lt;&gt;"",J70&lt;&gt;""),(J71-J70)/($B71-$B70),"")</f>
        <v/>
      </c>
      <c r="Y71" s="50" t="str">
        <f t="shared" ref="Y71:Y75" si="167">IF(AND(K71&lt;&gt;"",K70&lt;&gt;""),(K71-K70)/($B71-$B70),"")</f>
        <v/>
      </c>
      <c r="Z71" s="50" t="str">
        <f t="shared" ref="Z71:Z75" si="168">IF(AND(L71&lt;&gt;"",L70&lt;&gt;""),(L71-L70)/($B71-$B70),"")</f>
        <v/>
      </c>
    </row>
    <row r="72" spans="1:26" ht="20.100000000000001" customHeight="1" x14ac:dyDescent="0.2">
      <c r="A72" s="53"/>
      <c r="B72" s="54"/>
      <c r="C72" s="55"/>
      <c r="D72" s="50"/>
      <c r="E72" s="50"/>
      <c r="F72" s="50"/>
      <c r="G72" s="50"/>
      <c r="H72" s="50"/>
      <c r="I72" s="50"/>
      <c r="J72" s="50"/>
      <c r="K72" s="50"/>
      <c r="L72" s="50"/>
      <c r="R72" s="50"/>
      <c r="S72" s="50"/>
      <c r="T72" s="50"/>
      <c r="U72" s="50"/>
      <c r="V72" s="50"/>
      <c r="W72" s="50"/>
      <c r="X72" s="50"/>
      <c r="Y72" s="50"/>
      <c r="Z72" s="50"/>
    </row>
    <row r="73" spans="1:26" ht="20.100000000000001" customHeight="1" x14ac:dyDescent="0.2">
      <c r="A73" s="53">
        <f t="shared" si="0"/>
        <v>424</v>
      </c>
      <c r="B73" s="54">
        <f t="shared" si="1"/>
        <v>44082</v>
      </c>
      <c r="C73" s="55">
        <f>'Résultats observations'!D73</f>
        <v>39</v>
      </c>
      <c r="D73" s="50">
        <f t="shared" si="2"/>
        <v>-69.874255059626307</v>
      </c>
      <c r="E73" s="50">
        <f t="shared" si="3"/>
        <v>-58.445070476605743</v>
      </c>
      <c r="F73" s="50"/>
      <c r="G73" s="50">
        <f t="shared" si="5"/>
        <v>-18.653991376861743</v>
      </c>
      <c r="H73" s="50">
        <f t="shared" si="6"/>
        <v>-65.443226281089565</v>
      </c>
      <c r="I73" s="50">
        <f t="shared" si="7"/>
        <v>-47.113649938879121</v>
      </c>
      <c r="J73" s="50"/>
      <c r="K73" s="50">
        <f t="shared" si="9"/>
        <v>-26.787422820881091</v>
      </c>
      <c r="L73" s="50">
        <f t="shared" si="10"/>
        <v>-23.625067692163881</v>
      </c>
      <c r="R73" s="50" t="str">
        <f t="shared" si="160"/>
        <v/>
      </c>
      <c r="S73" s="50" t="str">
        <f t="shared" si="161"/>
        <v/>
      </c>
      <c r="T73" s="50" t="str">
        <f t="shared" si="162"/>
        <v/>
      </c>
      <c r="U73" s="50" t="str">
        <f t="shared" si="163"/>
        <v/>
      </c>
      <c r="V73" s="50" t="str">
        <f t="shared" si="164"/>
        <v/>
      </c>
      <c r="W73" s="50" t="str">
        <f t="shared" si="165"/>
        <v/>
      </c>
      <c r="X73" s="50" t="str">
        <f t="shared" si="166"/>
        <v/>
      </c>
      <c r="Y73" s="50" t="str">
        <f t="shared" si="167"/>
        <v/>
      </c>
      <c r="Z73" s="50" t="str">
        <f t="shared" si="168"/>
        <v/>
      </c>
    </row>
    <row r="74" spans="1:26" ht="20.100000000000001" customHeight="1" x14ac:dyDescent="0.2">
      <c r="A74" s="53"/>
      <c r="B74" s="54"/>
      <c r="C74" s="55"/>
      <c r="D74" s="50"/>
      <c r="E74" s="50"/>
      <c r="F74" s="50"/>
      <c r="G74" s="50"/>
      <c r="H74" s="50"/>
      <c r="I74" s="50"/>
      <c r="J74" s="50"/>
      <c r="K74" s="50"/>
      <c r="L74" s="50"/>
      <c r="R74" s="50"/>
      <c r="S74" s="50"/>
      <c r="T74" s="50"/>
      <c r="U74" s="50"/>
      <c r="V74" s="50"/>
      <c r="W74" s="50"/>
      <c r="X74" s="50"/>
      <c r="Y74" s="50"/>
      <c r="Z74" s="50"/>
    </row>
    <row r="75" spans="1:26" ht="20.100000000000001" customHeight="1" x14ac:dyDescent="0.2">
      <c r="A75" s="53">
        <f t="shared" ref="A75:A107" si="169">jours</f>
        <v>482</v>
      </c>
      <c r="B75" s="54">
        <f t="shared" ref="B75:B107" si="170">date</f>
        <v>44140</v>
      </c>
      <c r="C75" s="55">
        <f>'Résultats observations'!D75</f>
        <v>39</v>
      </c>
      <c r="D75" s="50"/>
      <c r="E75" s="50">
        <f t="shared" ref="E75:E107" si="171">Ecart_IG</f>
        <v>-58.445070476605743</v>
      </c>
      <c r="F75" s="50"/>
      <c r="G75" s="50"/>
      <c r="H75" s="50">
        <f t="shared" ref="H75:H107" si="172">Ecart_ID</f>
        <v>-65.443226281089565</v>
      </c>
      <c r="I75" s="50"/>
      <c r="J75" s="50"/>
      <c r="K75" s="50">
        <f t="shared" ref="K75:K107" si="173">Ecart_LI</f>
        <v>-28.508782677812761</v>
      </c>
      <c r="L75" s="50"/>
      <c r="R75" s="50" t="str">
        <f t="shared" si="160"/>
        <v/>
      </c>
      <c r="S75" s="50" t="str">
        <f t="shared" si="161"/>
        <v/>
      </c>
      <c r="T75" s="50" t="str">
        <f t="shared" si="162"/>
        <v/>
      </c>
      <c r="U75" s="50" t="str">
        <f t="shared" si="163"/>
        <v/>
      </c>
      <c r="V75" s="50" t="str">
        <f t="shared" si="164"/>
        <v/>
      </c>
      <c r="W75" s="50" t="str">
        <f t="shared" si="165"/>
        <v/>
      </c>
      <c r="X75" s="50" t="str">
        <f t="shared" si="166"/>
        <v/>
      </c>
      <c r="Y75" s="50" t="str">
        <f t="shared" si="167"/>
        <v/>
      </c>
      <c r="Z75" s="50" t="str">
        <f t="shared" si="168"/>
        <v/>
      </c>
    </row>
    <row r="76" spans="1:26" ht="20.100000000000001" customHeight="1" x14ac:dyDescent="0.2">
      <c r="A76" s="53">
        <f t="shared" si="169"/>
        <v>514</v>
      </c>
      <c r="B76" s="54">
        <f t="shared" si="170"/>
        <v>44172</v>
      </c>
      <c r="C76" s="55">
        <f>'Résultats observations'!D76</f>
        <v>39</v>
      </c>
      <c r="D76" s="50"/>
      <c r="E76" s="50">
        <f t="shared" si="171"/>
        <v>-57.899499450999144</v>
      </c>
      <c r="F76" s="50"/>
      <c r="G76" s="50"/>
      <c r="H76" s="50">
        <f t="shared" si="172"/>
        <v>-65.50406847065382</v>
      </c>
      <c r="I76" s="50"/>
      <c r="J76" s="50"/>
      <c r="K76" s="50">
        <f t="shared" si="173"/>
        <v>-27.800176297712476</v>
      </c>
      <c r="L76" s="50"/>
      <c r="R76" s="50" t="str">
        <f t="shared" ref="R76" si="174">IF(AND(D76&lt;&gt;"",D75&lt;&gt;""),(D76-D75)/($B76-$B75),"")</f>
        <v/>
      </c>
      <c r="S76" s="50">
        <f t="shared" ref="S76" si="175">IF(AND(E76&lt;&gt;"",E75&lt;&gt;""),(E76-E75)/($B76-$B75),"")</f>
        <v>1.7049094550206201E-2</v>
      </c>
      <c r="T76" s="50" t="str">
        <f t="shared" ref="T76" si="176">IF(AND(F76&lt;&gt;"",F75&lt;&gt;""),(F76-F75)/($B76-$B75),"")</f>
        <v/>
      </c>
      <c r="U76" s="50" t="str">
        <f t="shared" ref="U76" si="177">IF(AND(G76&lt;&gt;"",G75&lt;&gt;""),(G76-G75)/($B76-$B75),"")</f>
        <v/>
      </c>
      <c r="V76" s="50">
        <f t="shared" ref="V76" si="178">IF(AND(H76&lt;&gt;"",H75&lt;&gt;""),(H76-H75)/($B76-$B75),"")</f>
        <v>-1.9013184238829695E-3</v>
      </c>
      <c r="W76" s="50" t="str">
        <f t="shared" ref="W76" si="179">IF(AND(I76&lt;&gt;"",I75&lt;&gt;""),(I76-I75)/($B76-$B75),"")</f>
        <v/>
      </c>
      <c r="X76" s="50" t="str">
        <f t="shared" ref="X76" si="180">IF(AND(J76&lt;&gt;"",J75&lt;&gt;""),(J76-J75)/($B76-$B75),"")</f>
        <v/>
      </c>
      <c r="Y76" s="50">
        <f t="shared" ref="Y76" si="181">IF(AND(K76&lt;&gt;"",K75&lt;&gt;""),(K76-K75)/($B76-$B75),"")</f>
        <v>2.2143949378133909E-2</v>
      </c>
      <c r="Z76" s="50" t="str">
        <f t="shared" ref="Z76" si="182">IF(AND(L76&lt;&gt;"",L75&lt;&gt;""),(L76-L75)/($B76-$B75),"")</f>
        <v/>
      </c>
    </row>
    <row r="77" spans="1:26" ht="20.100000000000001" customHeight="1" x14ac:dyDescent="0.2">
      <c r="A77" s="53">
        <f t="shared" si="169"/>
        <v>571</v>
      </c>
      <c r="B77" s="54">
        <f t="shared" si="170"/>
        <v>44229</v>
      </c>
      <c r="C77" s="55">
        <f>'Résultats observations'!D77</f>
        <v>39</v>
      </c>
      <c r="D77" s="50"/>
      <c r="E77" s="50">
        <f t="shared" si="171"/>
        <v>-58.706737085550301</v>
      </c>
      <c r="F77" s="50"/>
      <c r="G77" s="50"/>
      <c r="H77" s="50">
        <f t="shared" si="172"/>
        <v>-65.934407332866925</v>
      </c>
      <c r="I77" s="50"/>
      <c r="J77" s="50"/>
      <c r="K77" s="50">
        <f t="shared" si="173"/>
        <v>-28.04281415892973</v>
      </c>
      <c r="L77" s="50"/>
      <c r="R77" s="50" t="str">
        <f t="shared" ref="R77" si="183">IF(AND(D77&lt;&gt;"",D76&lt;&gt;""),(D77-D76)/($B77-$B76),"")</f>
        <v/>
      </c>
      <c r="S77" s="50">
        <f t="shared" ref="S77" si="184">IF(AND(E77&lt;&gt;"",E76&lt;&gt;""),(E77-E76)/($B77-$B76),"")</f>
        <v>-1.4162063764055389E-2</v>
      </c>
      <c r="T77" s="50" t="str">
        <f t="shared" ref="T77" si="185">IF(AND(F77&lt;&gt;"",F76&lt;&gt;""),(F77-F76)/($B77-$B76),"")</f>
        <v/>
      </c>
      <c r="U77" s="50" t="str">
        <f t="shared" ref="U77" si="186">IF(AND(G77&lt;&gt;"",G76&lt;&gt;""),(G77-G76)/($B77-$B76),"")</f>
        <v/>
      </c>
      <c r="V77" s="50">
        <f t="shared" ref="V77" si="187">IF(AND(H77&lt;&gt;"",H76&lt;&gt;""),(H77-H76)/($B77-$B76),"")</f>
        <v>-7.5498046002299164E-3</v>
      </c>
      <c r="W77" s="50" t="str">
        <f t="shared" ref="W77" si="188">IF(AND(I77&lt;&gt;"",I76&lt;&gt;""),(I77-I76)/($B77-$B76),"")</f>
        <v/>
      </c>
      <c r="X77" s="50" t="str">
        <f t="shared" ref="X77" si="189">IF(AND(J77&lt;&gt;"",J76&lt;&gt;""),(J77-J76)/($B77-$B76),"")</f>
        <v/>
      </c>
      <c r="Y77" s="50">
        <f t="shared" ref="Y77" si="190">IF(AND(K77&lt;&gt;"",K76&lt;&gt;""),(K77-K76)/($B77-$B76),"")</f>
        <v>-4.256804582758845E-3</v>
      </c>
      <c r="Z77" s="50" t="str">
        <f t="shared" ref="Z77" si="191">IF(AND(L77&lt;&gt;"",L76&lt;&gt;""),(L77-L76)/($B77-$B76),"")</f>
        <v/>
      </c>
    </row>
    <row r="78" spans="1:26" ht="20.100000000000001" customHeight="1" x14ac:dyDescent="0.2">
      <c r="A78" s="53"/>
      <c r="B78" s="54"/>
      <c r="C78" s="55"/>
      <c r="D78" s="50"/>
      <c r="E78" s="50"/>
      <c r="F78" s="50"/>
      <c r="G78" s="50"/>
      <c r="H78" s="50"/>
      <c r="I78" s="50"/>
      <c r="J78" s="50"/>
      <c r="K78" s="50"/>
      <c r="L78" s="50"/>
      <c r="R78" s="50"/>
      <c r="S78" s="50"/>
      <c r="T78" s="50"/>
      <c r="U78" s="50"/>
      <c r="V78" s="50"/>
      <c r="W78" s="50"/>
      <c r="X78" s="50"/>
      <c r="Y78" s="50"/>
      <c r="Z78" s="50"/>
    </row>
    <row r="79" spans="1:26" ht="20.100000000000001" customHeight="1" x14ac:dyDescent="0.2">
      <c r="A79" s="53">
        <f t="shared" si="169"/>
        <v>664</v>
      </c>
      <c r="B79" s="54">
        <f t="shared" si="170"/>
        <v>44322</v>
      </c>
      <c r="C79" s="55">
        <f>'Résultats observations'!D79</f>
        <v>39</v>
      </c>
      <c r="D79" s="50">
        <f t="shared" ref="D79:D107" si="192">Ecart_BG</f>
        <v>-72.104118746809235</v>
      </c>
      <c r="E79" s="50">
        <f t="shared" si="171"/>
        <v>-58.746058489061781</v>
      </c>
      <c r="F79" s="50"/>
      <c r="G79" s="50"/>
      <c r="H79" s="50">
        <f t="shared" si="172"/>
        <v>-66.780394714462517</v>
      </c>
      <c r="I79" s="50">
        <f t="shared" ref="I79:I107" si="193">Ecart_BD</f>
        <v>-49.106474111926701</v>
      </c>
      <c r="J79" s="50"/>
      <c r="K79" s="50">
        <f t="shared" si="173"/>
        <v>-27.756422204181952</v>
      </c>
      <c r="L79" s="50">
        <f t="shared" ref="L79:L107" si="194">Ecart_LB</f>
        <v>-24.348500892948266</v>
      </c>
      <c r="R79" s="50" t="str">
        <f t="shared" ref="R79" si="195">IF(AND(D79&lt;&gt;"",D78&lt;&gt;""),(D79-D78)/($B79-$B78),"")</f>
        <v/>
      </c>
      <c r="S79" s="50" t="str">
        <f t="shared" ref="S79" si="196">IF(AND(E79&lt;&gt;"",E78&lt;&gt;""),(E79-E78)/($B79-$B78),"")</f>
        <v/>
      </c>
      <c r="T79" s="50" t="str">
        <f t="shared" ref="T79" si="197">IF(AND(F79&lt;&gt;"",F78&lt;&gt;""),(F79-F78)/($B79-$B78),"")</f>
        <v/>
      </c>
      <c r="U79" s="50" t="str">
        <f t="shared" ref="U79" si="198">IF(AND(G79&lt;&gt;"",G78&lt;&gt;""),(G79-G78)/($B79-$B78),"")</f>
        <v/>
      </c>
      <c r="V79" s="50" t="str">
        <f t="shared" ref="V79" si="199">IF(AND(H79&lt;&gt;"",H78&lt;&gt;""),(H79-H78)/($B79-$B78),"")</f>
        <v/>
      </c>
      <c r="W79" s="50" t="str">
        <f t="shared" ref="W79" si="200">IF(AND(I79&lt;&gt;"",I78&lt;&gt;""),(I79-I78)/($B79-$B78),"")</f>
        <v/>
      </c>
      <c r="X79" s="50" t="str">
        <f t="shared" ref="X79" si="201">IF(AND(J79&lt;&gt;"",J78&lt;&gt;""),(J79-J78)/($B79-$B78),"")</f>
        <v/>
      </c>
      <c r="Y79" s="50" t="str">
        <f t="shared" ref="Y79" si="202">IF(AND(K79&lt;&gt;"",K78&lt;&gt;""),(K79-K78)/($B79-$B78),"")</f>
        <v/>
      </c>
      <c r="Z79" s="50" t="str">
        <f t="shared" ref="Z79" si="203">IF(AND(L79&lt;&gt;"",L78&lt;&gt;""),(L79-L78)/($B79-$B78),"")</f>
        <v/>
      </c>
    </row>
    <row r="80" spans="1:26" ht="20.100000000000001" customHeight="1" x14ac:dyDescent="0.2">
      <c r="A80" s="53">
        <f t="shared" si="169"/>
        <v>699</v>
      </c>
      <c r="B80" s="54">
        <f t="shared" si="170"/>
        <v>44357</v>
      </c>
      <c r="C80" s="55">
        <f>'Résultats observations'!D80</f>
        <v>39</v>
      </c>
      <c r="D80" s="50">
        <f t="shared" si="192"/>
        <v>-72.576512397546367</v>
      </c>
      <c r="E80" s="50">
        <f t="shared" si="171"/>
        <v>-59.118269763227538</v>
      </c>
      <c r="F80" s="50"/>
      <c r="G80" s="50">
        <f t="shared" ref="G80:G86" si="204">Ecart_HD</f>
        <v>-18.891623251056977</v>
      </c>
      <c r="H80" s="50">
        <f t="shared" si="172"/>
        <v>-67.151365525337965</v>
      </c>
      <c r="I80" s="50">
        <f t="shared" si="193"/>
        <v>-49.338884484904533</v>
      </c>
      <c r="J80" s="50"/>
      <c r="K80" s="50">
        <f t="shared" si="173"/>
        <v>-28.219860384500528</v>
      </c>
      <c r="L80" s="50">
        <f t="shared" si="194"/>
        <v>-24.709496553210641</v>
      </c>
      <c r="R80" s="50">
        <f t="shared" ref="R80" si="205">IF(AND(D80&lt;&gt;"",D79&lt;&gt;""),(D80-D79)/($B80-$B79),"")</f>
        <v>-1.3496961449632344E-2</v>
      </c>
      <c r="S80" s="50">
        <f t="shared" ref="S80" si="206">IF(AND(E80&lt;&gt;"",E79&lt;&gt;""),(E80-E79)/($B80-$B79),"")</f>
        <v>-1.0634607833307339E-2</v>
      </c>
      <c r="T80" s="50" t="str">
        <f t="shared" ref="T80" si="207">IF(AND(F80&lt;&gt;"",F79&lt;&gt;""),(F80-F79)/($B80-$B79),"")</f>
        <v/>
      </c>
      <c r="U80" s="50" t="str">
        <f t="shared" ref="U80" si="208">IF(AND(G80&lt;&gt;"",G79&lt;&gt;""),(G80-G79)/($B80-$B79),"")</f>
        <v/>
      </c>
      <c r="V80" s="50">
        <f t="shared" ref="V80" si="209">IF(AND(H80&lt;&gt;"",H79&lt;&gt;""),(H80-H79)/($B80-$B79),"")</f>
        <v>-1.059916602501281E-2</v>
      </c>
      <c r="W80" s="50">
        <f t="shared" ref="W80" si="210">IF(AND(I80&lt;&gt;"",I79&lt;&gt;""),(I80-I79)/($B80-$B79),"")</f>
        <v>-6.6402963707951857E-3</v>
      </c>
      <c r="X80" s="50" t="str">
        <f t="shared" ref="X80" si="211">IF(AND(J80&lt;&gt;"",J79&lt;&gt;""),(J80-J79)/($B80-$B79),"")</f>
        <v/>
      </c>
      <c r="Y80" s="50">
        <f t="shared" ref="Y80" si="212">IF(AND(K80&lt;&gt;"",K79&lt;&gt;""),(K80-K79)/($B80-$B79),"")</f>
        <v>-1.3241090866245031E-2</v>
      </c>
      <c r="Z80" s="50">
        <f t="shared" ref="Z80" si="213">IF(AND(L80&lt;&gt;"",L79&lt;&gt;""),(L80-L79)/($B80-$B79),"")</f>
        <v>-1.0314161721782154E-2</v>
      </c>
    </row>
    <row r="81" spans="1:26" ht="20.100000000000001" customHeight="1" x14ac:dyDescent="0.2">
      <c r="A81" s="53">
        <f t="shared" si="169"/>
        <v>704</v>
      </c>
      <c r="B81" s="54">
        <f t="shared" si="170"/>
        <v>44362</v>
      </c>
      <c r="C81" s="55">
        <f>'Résultats observations'!D81</f>
        <v>39</v>
      </c>
      <c r="D81" s="50">
        <f t="shared" si="192"/>
        <v>-72.731316481217334</v>
      </c>
      <c r="E81" s="50">
        <f t="shared" si="171"/>
        <v>-59.217631503749146</v>
      </c>
      <c r="F81" s="50"/>
      <c r="G81" s="50">
        <f t="shared" si="204"/>
        <v>-18.759444476851961</v>
      </c>
      <c r="H81" s="50">
        <f t="shared" si="172"/>
        <v>-67.05102175640576</v>
      </c>
      <c r="I81" s="50">
        <f t="shared" si="193"/>
        <v>-49.746785319017661</v>
      </c>
      <c r="J81" s="50"/>
      <c r="K81" s="50">
        <f t="shared" si="173"/>
        <v>-28.135805554603266</v>
      </c>
      <c r="L81" s="50">
        <f t="shared" si="194"/>
        <v>-24.702874684137122</v>
      </c>
      <c r="R81" s="50">
        <f t="shared" ref="R81:R82" si="214">IF(AND(D81&lt;&gt;"",D80&lt;&gt;""),(D81-D80)/($B81-$B80),"")</f>
        <v>-3.0960816734193486E-2</v>
      </c>
      <c r="S81" s="50">
        <f t="shared" ref="S81:S82" si="215">IF(AND(E81&lt;&gt;"",E80&lt;&gt;""),(E81-E80)/($B81-$B80),"")</f>
        <v>-1.9872348104321702E-2</v>
      </c>
      <c r="T81" s="50" t="str">
        <f t="shared" ref="T81:T82" si="216">IF(AND(F81&lt;&gt;"",F80&lt;&gt;""),(F81-F80)/($B81-$B80),"")</f>
        <v/>
      </c>
      <c r="U81" s="50">
        <f t="shared" ref="U81:U82" si="217">IF(AND(G81&lt;&gt;"",G80&lt;&gt;""),(G81-G80)/($B81-$B80),"")</f>
        <v>2.6435754841003245E-2</v>
      </c>
      <c r="V81" s="50">
        <f t="shared" ref="V81:V82" si="218">IF(AND(H81&lt;&gt;"",H80&lt;&gt;""),(H81-H80)/($B81-$B80),"")</f>
        <v>2.0068753786441108E-2</v>
      </c>
      <c r="W81" s="50">
        <f t="shared" ref="W81:W82" si="219">IF(AND(I81&lt;&gt;"",I80&lt;&gt;""),(I81-I80)/($B81-$B80),"")</f>
        <v>-8.1580166822625699E-2</v>
      </c>
      <c r="X81" s="50" t="str">
        <f t="shared" ref="X81:X82" si="220">IF(AND(J81&lt;&gt;"",J80&lt;&gt;""),(J81-J80)/($B81-$B80),"")</f>
        <v/>
      </c>
      <c r="Y81" s="50">
        <f t="shared" ref="Y81:Y82" si="221">IF(AND(K81&lt;&gt;"",K80&lt;&gt;""),(K81-K80)/($B81-$B80),"")</f>
        <v>1.6810965979452419E-2</v>
      </c>
      <c r="Z81" s="50">
        <f t="shared" ref="Z81:Z82" si="222">IF(AND(L81&lt;&gt;"",L80&lt;&gt;""),(L81-L80)/($B81-$B80),"")</f>
        <v>1.3243738147039608E-3</v>
      </c>
    </row>
    <row r="82" spans="1:26" ht="20.100000000000001" customHeight="1" x14ac:dyDescent="0.2">
      <c r="A82" s="53">
        <f t="shared" si="169"/>
        <v>711</v>
      </c>
      <c r="B82" s="54">
        <f t="shared" si="170"/>
        <v>44369</v>
      </c>
      <c r="C82" s="55">
        <f>'Résultats observations'!D82</f>
        <v>39</v>
      </c>
      <c r="D82" s="50">
        <f t="shared" si="192"/>
        <v>-73.499846087285562</v>
      </c>
      <c r="E82" s="50">
        <f t="shared" si="171"/>
        <v>-59.878105117192163</v>
      </c>
      <c r="F82" s="50"/>
      <c r="G82" s="50">
        <f t="shared" si="204"/>
        <v>-18.865441044660034</v>
      </c>
      <c r="H82" s="50">
        <f t="shared" si="172"/>
        <v>-67.423045759201102</v>
      </c>
      <c r="I82" s="50">
        <f t="shared" si="193"/>
        <v>-50.27200358580064</v>
      </c>
      <c r="J82" s="50"/>
      <c r="K82" s="50">
        <f t="shared" si="173"/>
        <v>-29.051567958952695</v>
      </c>
      <c r="L82" s="50">
        <f t="shared" si="194"/>
        <v>-25.786427654867161</v>
      </c>
      <c r="R82" s="50">
        <f t="shared" si="214"/>
        <v>-0.10978994372403252</v>
      </c>
      <c r="S82" s="50">
        <f t="shared" si="215"/>
        <v>-9.4353373349002415E-2</v>
      </c>
      <c r="T82" s="50" t="str">
        <f t="shared" si="216"/>
        <v/>
      </c>
      <c r="U82" s="50">
        <f t="shared" si="217"/>
        <v>-1.5142366829724807E-2</v>
      </c>
      <c r="V82" s="50">
        <f t="shared" si="218"/>
        <v>-5.3146286113620329E-2</v>
      </c>
      <c r="W82" s="50">
        <f t="shared" si="219"/>
        <v>-7.5031180968996941E-2</v>
      </c>
      <c r="X82" s="50" t="str">
        <f t="shared" si="220"/>
        <v/>
      </c>
      <c r="Y82" s="50">
        <f t="shared" si="221"/>
        <v>-0.13082320062134706</v>
      </c>
      <c r="Z82" s="50">
        <f t="shared" si="222"/>
        <v>-0.15479328153286279</v>
      </c>
    </row>
    <row r="83" spans="1:26" ht="20.100000000000001" customHeight="1" x14ac:dyDescent="0.2">
      <c r="A83" s="53">
        <f t="shared" si="169"/>
        <v>718</v>
      </c>
      <c r="B83" s="54">
        <f t="shared" si="170"/>
        <v>44376</v>
      </c>
      <c r="C83" s="55">
        <f>'Résultats observations'!D83</f>
        <v>39</v>
      </c>
      <c r="D83" s="50">
        <f t="shared" si="192"/>
        <v>-73.732051859892067</v>
      </c>
      <c r="E83" s="50">
        <f t="shared" si="171"/>
        <v>-59.905514047214666</v>
      </c>
      <c r="F83" s="50"/>
      <c r="G83" s="50">
        <f t="shared" si="204"/>
        <v>-18.879716303453307</v>
      </c>
      <c r="H83" s="50">
        <f t="shared" si="172"/>
        <v>-67.889016659636425</v>
      </c>
      <c r="I83" s="50">
        <f t="shared" si="193"/>
        <v>-50.597633471019421</v>
      </c>
      <c r="J83" s="50"/>
      <c r="K83" s="50">
        <f t="shared" si="173"/>
        <v>-29.225842432458293</v>
      </c>
      <c r="L83" s="50">
        <f t="shared" si="194"/>
        <v>-25.927866237529074</v>
      </c>
      <c r="R83" s="50">
        <f t="shared" ref="R83:R85" si="223">IF(AND(D83&lt;&gt;"",D82&lt;&gt;""),(D83-D82)/($B83-$B82),"")</f>
        <v>-3.3172253229500778E-2</v>
      </c>
      <c r="S83" s="50">
        <f t="shared" ref="S83:S85" si="224">IF(AND(E83&lt;&gt;"",E82&lt;&gt;""),(E83-E82)/($B83-$B82),"")</f>
        <v>-3.9155614317861265E-3</v>
      </c>
      <c r="T83" s="50" t="str">
        <f t="shared" ref="T83:T85" si="225">IF(AND(F83&lt;&gt;"",F82&lt;&gt;""),(F83-F82)/($B83-$B82),"")</f>
        <v/>
      </c>
      <c r="U83" s="50">
        <f t="shared" ref="U83:U85" si="226">IF(AND(G83&lt;&gt;"",G82&lt;&gt;""),(G83-G82)/($B83-$B82),"")</f>
        <v>-2.0393226847532325E-3</v>
      </c>
      <c r="V83" s="50">
        <f t="shared" ref="V83:V85" si="227">IF(AND(H83&lt;&gt;"",H82&lt;&gt;""),(H83-H82)/($B83-$B82),"")</f>
        <v>-6.6567271490760457E-2</v>
      </c>
      <c r="W83" s="50">
        <f t="shared" ref="W83:W85" si="228">IF(AND(I83&lt;&gt;"",I82&lt;&gt;""),(I83-I82)/($B83-$B82),"")</f>
        <v>-4.6518555031254447E-2</v>
      </c>
      <c r="X83" s="50" t="str">
        <f t="shared" ref="X83:X85" si="229">IF(AND(J83&lt;&gt;"",J82&lt;&gt;""),(J83-J82)/($B83-$B82),"")</f>
        <v/>
      </c>
      <c r="Y83" s="50">
        <f t="shared" ref="Y83:Y85" si="230">IF(AND(K83&lt;&gt;"",K82&lt;&gt;""),(K83-K82)/($B83-$B82),"")</f>
        <v>-2.4896353357942554E-2</v>
      </c>
      <c r="Z83" s="50">
        <f t="shared" ref="Z83:Z85" si="231">IF(AND(L83&lt;&gt;"",L82&lt;&gt;""),(L83-L82)/($B83-$B82),"")</f>
        <v>-2.0205511808844636E-2</v>
      </c>
    </row>
    <row r="84" spans="1:26" ht="20.100000000000001" customHeight="1" x14ac:dyDescent="0.2">
      <c r="A84" s="53">
        <f t="shared" si="169"/>
        <v>742</v>
      </c>
      <c r="B84" s="54">
        <f t="shared" si="170"/>
        <v>44400</v>
      </c>
      <c r="C84" s="55">
        <f>'Résultats observations'!D84</f>
        <v>39</v>
      </c>
      <c r="D84" s="50">
        <f t="shared" si="192"/>
        <v>-74.759840441125831</v>
      </c>
      <c r="E84" s="50">
        <f t="shared" si="171"/>
        <v>-60.942464721454485</v>
      </c>
      <c r="F84" s="50"/>
      <c r="G84" s="50">
        <f t="shared" si="204"/>
        <v>-18.499587758514565</v>
      </c>
      <c r="H84" s="50">
        <f t="shared" si="172"/>
        <v>-68.262582022466944</v>
      </c>
      <c r="I84" s="50">
        <f t="shared" si="193"/>
        <v>-51.426426174744577</v>
      </c>
      <c r="J84" s="50"/>
      <c r="K84" s="50">
        <f t="shared" si="173"/>
        <v>-29.909876406362557</v>
      </c>
      <c r="L84" s="50">
        <f t="shared" si="194"/>
        <v>-26.599840970095379</v>
      </c>
      <c r="R84" s="50">
        <f t="shared" si="223"/>
        <v>-4.2824524218073513E-2</v>
      </c>
      <c r="S84" s="50">
        <f t="shared" si="224"/>
        <v>-4.3206278093325778E-2</v>
      </c>
      <c r="T84" s="50" t="str">
        <f t="shared" si="225"/>
        <v/>
      </c>
      <c r="U84" s="50">
        <f t="shared" si="226"/>
        <v>1.583868937244759E-2</v>
      </c>
      <c r="V84" s="50">
        <f t="shared" si="227"/>
        <v>-1.5565223451271612E-2</v>
      </c>
      <c r="W84" s="50">
        <f t="shared" si="228"/>
        <v>-3.4533029321881514E-2</v>
      </c>
      <c r="X84" s="50" t="str">
        <f t="shared" si="229"/>
        <v/>
      </c>
      <c r="Y84" s="50">
        <f t="shared" si="230"/>
        <v>-2.8501415579344307E-2</v>
      </c>
      <c r="Z84" s="50">
        <f t="shared" si="231"/>
        <v>-2.7998947190262708E-2</v>
      </c>
    </row>
    <row r="85" spans="1:26" ht="20.100000000000001" customHeight="1" x14ac:dyDescent="0.2">
      <c r="A85" s="53">
        <f t="shared" si="169"/>
        <v>781</v>
      </c>
      <c r="B85" s="54">
        <f t="shared" si="170"/>
        <v>44439</v>
      </c>
      <c r="C85" s="55">
        <f>'Résultats observations'!D85</f>
        <v>39</v>
      </c>
      <c r="D85" s="50">
        <f t="shared" si="192"/>
        <v>-75.774001520436229</v>
      </c>
      <c r="E85" s="50">
        <f t="shared" si="171"/>
        <v>-61.688788174193206</v>
      </c>
      <c r="F85" s="50"/>
      <c r="G85" s="50">
        <f t="shared" si="204"/>
        <v>-18.283505616766281</v>
      </c>
      <c r="H85" s="50">
        <f t="shared" si="172"/>
        <v>-68.961468336396166</v>
      </c>
      <c r="I85" s="50">
        <f t="shared" si="193"/>
        <v>-52.229048959335778</v>
      </c>
      <c r="J85" s="50"/>
      <c r="K85" s="50">
        <f t="shared" si="173"/>
        <v>-30.982735971821995</v>
      </c>
      <c r="L85" s="50">
        <f t="shared" si="194"/>
        <v>-27.367874738283504</v>
      </c>
      <c r="R85" s="50">
        <f t="shared" si="223"/>
        <v>-2.6004130238728152E-2</v>
      </c>
      <c r="S85" s="50">
        <f t="shared" si="224"/>
        <v>-1.9136498788172345E-2</v>
      </c>
      <c r="T85" s="50" t="str">
        <f t="shared" si="225"/>
        <v/>
      </c>
      <c r="U85" s="50">
        <f t="shared" si="226"/>
        <v>5.5405677371354956E-3</v>
      </c>
      <c r="V85" s="50">
        <f t="shared" si="227"/>
        <v>-1.7920161895621078E-2</v>
      </c>
      <c r="W85" s="50">
        <f t="shared" si="228"/>
        <v>-2.0580071399774368E-2</v>
      </c>
      <c r="X85" s="50" t="str">
        <f t="shared" si="229"/>
        <v/>
      </c>
      <c r="Y85" s="50">
        <f t="shared" si="230"/>
        <v>-2.7509219627165092E-2</v>
      </c>
      <c r="Z85" s="50">
        <f t="shared" si="231"/>
        <v>-1.9693173543285269E-2</v>
      </c>
    </row>
    <row r="86" spans="1:26" ht="20.100000000000001" customHeight="1" x14ac:dyDescent="0.2">
      <c r="A86" s="53">
        <f t="shared" si="169"/>
        <v>816</v>
      </c>
      <c r="B86" s="54">
        <f t="shared" si="170"/>
        <v>44474</v>
      </c>
      <c r="C86" s="55">
        <f>'Résultats observations'!D86</f>
        <v>39</v>
      </c>
      <c r="D86" s="50">
        <f t="shared" si="192"/>
        <v>-76.439941232341553</v>
      </c>
      <c r="E86" s="50">
        <f t="shared" si="171"/>
        <v>-62.259664624310318</v>
      </c>
      <c r="F86" s="50"/>
      <c r="G86" s="50">
        <f t="shared" si="204"/>
        <v>-17.458761915137842</v>
      </c>
      <c r="H86" s="50">
        <f t="shared" si="172"/>
        <v>-69.248619076490499</v>
      </c>
      <c r="I86" s="50">
        <f t="shared" si="193"/>
        <v>-52.20683371119339</v>
      </c>
      <c r="J86" s="50"/>
      <c r="K86" s="50">
        <f t="shared" si="173"/>
        <v>-31.422189859852345</v>
      </c>
      <c r="L86" s="50">
        <f t="shared" si="194"/>
        <v>-27.313509854738349</v>
      </c>
      <c r="R86" s="50">
        <f t="shared" ref="R86" si="232">IF(AND(D86&lt;&gt;"",D85&lt;&gt;""),(D86-D85)/($B86-$B85),"")</f>
        <v>-1.9026848911580681E-2</v>
      </c>
      <c r="S86" s="50">
        <f t="shared" ref="S86" si="233">IF(AND(E86&lt;&gt;"",E85&lt;&gt;""),(E86-E85)/($B86-$B85),"")</f>
        <v>-1.6310755717631763E-2</v>
      </c>
      <c r="T86" s="50" t="str">
        <f t="shared" ref="T86" si="234">IF(AND(F86&lt;&gt;"",F85&lt;&gt;""),(F86-F85)/($B86-$B85),"")</f>
        <v/>
      </c>
      <c r="U86" s="50">
        <f t="shared" ref="U86" si="235">IF(AND(G86&lt;&gt;"",G85&lt;&gt;""),(G86-G85)/($B86-$B85),"")</f>
        <v>2.3564105760812533E-2</v>
      </c>
      <c r="V86" s="50">
        <f t="shared" ref="V86" si="236">IF(AND(H86&lt;&gt;"",H85&lt;&gt;""),(H86-H85)/($B86-$B85),"")</f>
        <v>-8.2043068598380842E-3</v>
      </c>
      <c r="W86" s="50">
        <f t="shared" ref="W86" si="237">IF(AND(I86&lt;&gt;"",I85&lt;&gt;""),(I86-I85)/($B86-$B85),"")</f>
        <v>6.3472137549678924E-4</v>
      </c>
      <c r="X86" s="50" t="str">
        <f t="shared" ref="X86" si="238">IF(AND(J86&lt;&gt;"",J85&lt;&gt;""),(J86-J85)/($B86-$B85),"")</f>
        <v/>
      </c>
      <c r="Y86" s="50">
        <f t="shared" ref="Y86" si="239">IF(AND(K86&lt;&gt;"",K85&lt;&gt;""),(K86-K85)/($B86-$B85),"")</f>
        <v>-1.2555825372295715E-2</v>
      </c>
      <c r="Z86" s="50">
        <f t="shared" ref="Z86" si="240">IF(AND(L86&lt;&gt;"",L85&lt;&gt;""),(L86-L85)/($B86-$B85),"")</f>
        <v>1.5532823870044257E-3</v>
      </c>
    </row>
    <row r="87" spans="1:26" ht="20.100000000000001" customHeight="1" x14ac:dyDescent="0.2">
      <c r="A87" s="53">
        <f t="shared" si="169"/>
        <v>864</v>
      </c>
      <c r="B87" s="54">
        <f t="shared" si="170"/>
        <v>44522</v>
      </c>
      <c r="C87" s="55">
        <f>'Résultats observations'!D87</f>
        <v>39</v>
      </c>
      <c r="D87" s="50">
        <f t="shared" si="192"/>
        <v>-76.804731682349484</v>
      </c>
      <c r="E87" s="50">
        <f t="shared" si="171"/>
        <v>-61.92792123252211</v>
      </c>
      <c r="F87" s="50"/>
      <c r="G87" s="50"/>
      <c r="H87" s="50">
        <f t="shared" si="172"/>
        <v>-71.059620394483332</v>
      </c>
      <c r="I87" s="50">
        <f t="shared" si="193"/>
        <v>-54.613948759966391</v>
      </c>
      <c r="J87" s="50"/>
      <c r="K87" s="50">
        <f t="shared" si="173"/>
        <v>-31.982491882415864</v>
      </c>
      <c r="L87" s="50">
        <f t="shared" si="194"/>
        <v>-28.635557702291869</v>
      </c>
      <c r="R87" s="50">
        <f t="shared" ref="R87" si="241">IF(AND(D87&lt;&gt;"",D86&lt;&gt;""),(D87-D86)/($B87-$B86),"")</f>
        <v>-7.5998010418318884E-3</v>
      </c>
      <c r="S87" s="50">
        <f t="shared" ref="S87" si="242">IF(AND(E87&lt;&gt;"",E86&lt;&gt;""),(E87-E86)/($B87-$B86),"")</f>
        <v>6.9113206622543428E-3</v>
      </c>
      <c r="T87" s="50" t="str">
        <f t="shared" ref="T87" si="243">IF(AND(F87&lt;&gt;"",F86&lt;&gt;""),(F87-F86)/($B87-$B86),"")</f>
        <v/>
      </c>
      <c r="U87" s="50" t="str">
        <f t="shared" ref="U87" si="244">IF(AND(G87&lt;&gt;"",G86&lt;&gt;""),(G87-G86)/($B87-$B86),"")</f>
        <v/>
      </c>
      <c r="V87" s="50">
        <f t="shared" ref="V87" si="245">IF(AND(H87&lt;&gt;"",H86&lt;&gt;""),(H87-H86)/($B87-$B86),"")</f>
        <v>-3.7729194124850686E-2</v>
      </c>
      <c r="W87" s="50">
        <f t="shared" ref="W87" si="246">IF(AND(I87&lt;&gt;"",I86&lt;&gt;""),(I87-I86)/($B87-$B86),"")</f>
        <v>-5.0148230182770849E-2</v>
      </c>
      <c r="X87" s="50" t="str">
        <f t="shared" ref="X87" si="247">IF(AND(J87&lt;&gt;"",J86&lt;&gt;""),(J87-J86)/($B87-$B86),"")</f>
        <v/>
      </c>
      <c r="Y87" s="50">
        <f t="shared" ref="Y87" si="248">IF(AND(K87&lt;&gt;"",K86&lt;&gt;""),(K87-K86)/($B87-$B86),"")</f>
        <v>-1.1672958803406649E-2</v>
      </c>
      <c r="Z87" s="50">
        <f t="shared" ref="Z87" si="249">IF(AND(L87&lt;&gt;"",L86&lt;&gt;""),(L87-L86)/($B87-$B86),"")</f>
        <v>-2.7542663490698338E-2</v>
      </c>
    </row>
    <row r="88" spans="1:26" ht="20.100000000000001" customHeight="1" x14ac:dyDescent="0.2">
      <c r="A88" s="53">
        <f t="shared" si="169"/>
        <v>873</v>
      </c>
      <c r="B88" s="54">
        <f t="shared" si="170"/>
        <v>44531</v>
      </c>
      <c r="C88" s="55">
        <f>'Résultats observations'!D88</f>
        <v>39</v>
      </c>
      <c r="D88" s="50">
        <f t="shared" si="192"/>
        <v>-76.591861567288262</v>
      </c>
      <c r="E88" s="50">
        <f t="shared" si="171"/>
        <v>-61.688459759688286</v>
      </c>
      <c r="F88" s="50"/>
      <c r="G88" s="50"/>
      <c r="H88" s="50">
        <f t="shared" si="172"/>
        <v>-70.9590072394315</v>
      </c>
      <c r="I88" s="50">
        <f t="shared" si="193"/>
        <v>-54.246569917013154</v>
      </c>
      <c r="J88" s="50"/>
      <c r="K88" s="50">
        <f t="shared" si="173"/>
        <v>-31.959320715527539</v>
      </c>
      <c r="L88" s="50">
        <f t="shared" si="194"/>
        <v>-28.33847123181954</v>
      </c>
      <c r="R88" s="50">
        <f t="shared" ref="R88" si="250">IF(AND(D88&lt;&gt;"",D87&lt;&gt;""),(D88-D87)/($B88-$B87),"")</f>
        <v>2.3652235006802396E-2</v>
      </c>
      <c r="S88" s="50">
        <f t="shared" ref="S88" si="251">IF(AND(E88&lt;&gt;"",E87&lt;&gt;""),(E88-E87)/($B88-$B87),"")</f>
        <v>2.6606830314869337E-2</v>
      </c>
      <c r="T88" s="50" t="str">
        <f t="shared" ref="T88" si="252">IF(AND(F88&lt;&gt;"",F87&lt;&gt;""),(F88-F87)/($B88-$B87),"")</f>
        <v/>
      </c>
      <c r="U88" s="50" t="str">
        <f t="shared" ref="U88" si="253">IF(AND(G88&lt;&gt;"",G87&lt;&gt;""),(G88-G87)/($B88-$B87),"")</f>
        <v/>
      </c>
      <c r="V88" s="50">
        <f t="shared" ref="V88" si="254">IF(AND(H88&lt;&gt;"",H87&lt;&gt;""),(H88-H87)/($B88-$B87),"")</f>
        <v>1.1179239450203542E-2</v>
      </c>
      <c r="W88" s="50">
        <f t="shared" ref="W88" si="255">IF(AND(I88&lt;&gt;"",I87&lt;&gt;""),(I88-I87)/($B88-$B87),"")</f>
        <v>4.0819871439248506E-2</v>
      </c>
      <c r="X88" s="50" t="str">
        <f t="shared" ref="X88" si="256">IF(AND(J88&lt;&gt;"",J87&lt;&gt;""),(J88-J87)/($B88-$B87),"")</f>
        <v/>
      </c>
      <c r="Y88" s="50">
        <f t="shared" ref="Y88" si="257">IF(AND(K88&lt;&gt;"",K87&lt;&gt;""),(K88-K87)/($B88-$B87),"")</f>
        <v>2.5745740987027765E-3</v>
      </c>
      <c r="Z88" s="50">
        <f t="shared" ref="Z88" si="258">IF(AND(L88&lt;&gt;"",L87&lt;&gt;""),(L88-L87)/($B88-$B87),"")</f>
        <v>3.3009607830258858E-2</v>
      </c>
    </row>
    <row r="89" spans="1:26" ht="20.100000000000001" customHeight="1" x14ac:dyDescent="0.2">
      <c r="A89" s="53">
        <f t="shared" si="169"/>
        <v>878</v>
      </c>
      <c r="B89" s="54">
        <f t="shared" si="170"/>
        <v>44536</v>
      </c>
      <c r="C89" s="55">
        <f>'Résultats observations'!D89</f>
        <v>39</v>
      </c>
      <c r="D89" s="50">
        <f t="shared" si="192"/>
        <v>-76.907306383763085</v>
      </c>
      <c r="E89" s="50">
        <f t="shared" si="171"/>
        <v>-62.093601088861305</v>
      </c>
      <c r="F89" s="50"/>
      <c r="G89" s="50"/>
      <c r="H89" s="50">
        <f t="shared" si="172"/>
        <v>-71.325725236432987</v>
      </c>
      <c r="I89" s="50">
        <f t="shared" si="193"/>
        <v>-55.022946394600147</v>
      </c>
      <c r="J89" s="50"/>
      <c r="K89" s="50">
        <f t="shared" si="173"/>
        <v>-32.63581790778769</v>
      </c>
      <c r="L89" s="50">
        <f t="shared" si="194"/>
        <v>-29.246344005948721</v>
      </c>
      <c r="R89" s="50">
        <f t="shared" ref="R89:R91" si="259">IF(AND(D89&lt;&gt;"",D88&lt;&gt;""),(D89-D88)/($B89-$B88),"")</f>
        <v>-6.3088963294964634E-2</v>
      </c>
      <c r="S89" s="50">
        <f t="shared" ref="S89:S91" si="260">IF(AND(E89&lt;&gt;"",E88&lt;&gt;""),(E89-E88)/($B89-$B88),"")</f>
        <v>-8.1028265834603985E-2</v>
      </c>
      <c r="T89" s="50" t="str">
        <f t="shared" ref="T89:T91" si="261">IF(AND(F89&lt;&gt;"",F88&lt;&gt;""),(F89-F88)/($B89-$B88),"")</f>
        <v/>
      </c>
      <c r="U89" s="50" t="str">
        <f t="shared" ref="U89:U91" si="262">IF(AND(G89&lt;&gt;"",G88&lt;&gt;""),(G89-G88)/($B89-$B88),"")</f>
        <v/>
      </c>
      <c r="V89" s="50">
        <f t="shared" ref="V89:V91" si="263">IF(AND(H89&lt;&gt;"",H88&lt;&gt;""),(H89-H88)/($B89-$B88),"")</f>
        <v>-7.3343599400297416E-2</v>
      </c>
      <c r="W89" s="50">
        <f t="shared" ref="W89:W91" si="264">IF(AND(I89&lt;&gt;"",I88&lt;&gt;""),(I89-I88)/($B89-$B88),"")</f>
        <v>-0.1552752955173986</v>
      </c>
      <c r="X89" s="50" t="str">
        <f t="shared" ref="X89:X91" si="265">IF(AND(J89&lt;&gt;"",J88&lt;&gt;""),(J89-J88)/($B89-$B88),"")</f>
        <v/>
      </c>
      <c r="Y89" s="50">
        <f t="shared" ref="Y89:Y91" si="266">IF(AND(K89&lt;&gt;"",K88&lt;&gt;""),(K89-K88)/($B89-$B88),"")</f>
        <v>-0.13529943845203007</v>
      </c>
      <c r="Z89" s="50">
        <f t="shared" ref="Z89:Z91" si="267">IF(AND(L89&lt;&gt;"",L88&lt;&gt;""),(L89-L88)/($B89-$B88),"")</f>
        <v>-0.18157455482583629</v>
      </c>
    </row>
    <row r="90" spans="1:26" ht="20.100000000000001" customHeight="1" x14ac:dyDescent="0.2">
      <c r="A90" s="53">
        <f t="shared" si="169"/>
        <v>885</v>
      </c>
      <c r="B90" s="54">
        <f t="shared" si="170"/>
        <v>44543</v>
      </c>
      <c r="C90" s="55">
        <f>'Résultats observations'!D90</f>
        <v>39</v>
      </c>
      <c r="D90" s="50">
        <f t="shared" si="192"/>
        <v>-77.106494917307714</v>
      </c>
      <c r="E90" s="50">
        <f t="shared" si="171"/>
        <v>-62.031362351485875</v>
      </c>
      <c r="F90" s="50"/>
      <c r="G90" s="50"/>
      <c r="H90" s="50">
        <f t="shared" si="172"/>
        <v>-71.655307629481257</v>
      </c>
      <c r="I90" s="50">
        <f t="shared" si="193"/>
        <v>-54.963651681286585</v>
      </c>
      <c r="J90" s="50"/>
      <c r="K90" s="50">
        <f t="shared" si="173"/>
        <v>-32.52240373434212</v>
      </c>
      <c r="L90" s="50">
        <f t="shared" si="194"/>
        <v>-28.957612820696532</v>
      </c>
      <c r="R90" s="50">
        <f t="shared" si="259"/>
        <v>-2.8455504792089772E-2</v>
      </c>
      <c r="S90" s="50">
        <f t="shared" si="260"/>
        <v>8.8912481964901046E-3</v>
      </c>
      <c r="T90" s="50" t="str">
        <f t="shared" si="261"/>
        <v/>
      </c>
      <c r="U90" s="50" t="str">
        <f t="shared" si="262"/>
        <v/>
      </c>
      <c r="V90" s="50">
        <f t="shared" si="263"/>
        <v>-4.7083199006895678E-2</v>
      </c>
      <c r="W90" s="50">
        <f t="shared" si="264"/>
        <v>8.4706733305089134E-3</v>
      </c>
      <c r="X90" s="50" t="str">
        <f t="shared" si="265"/>
        <v/>
      </c>
      <c r="Y90" s="50">
        <f t="shared" si="266"/>
        <v>1.6202024777938511E-2</v>
      </c>
      <c r="Z90" s="50">
        <f t="shared" si="267"/>
        <v>4.1247312178884145E-2</v>
      </c>
    </row>
    <row r="91" spans="1:26" ht="20.100000000000001" customHeight="1" x14ac:dyDescent="0.2">
      <c r="A91" s="53">
        <f t="shared" si="169"/>
        <v>892</v>
      </c>
      <c r="B91" s="54">
        <f t="shared" si="170"/>
        <v>44550</v>
      </c>
      <c r="C91" s="55">
        <f>'Résultats observations'!D91</f>
        <v>39</v>
      </c>
      <c r="D91" s="50">
        <f t="shared" si="192"/>
        <v>-77.017600519134533</v>
      </c>
      <c r="E91" s="50">
        <f t="shared" si="171"/>
        <v>-62.383809713489669</v>
      </c>
      <c r="F91" s="50"/>
      <c r="G91" s="50"/>
      <c r="H91" s="50">
        <f t="shared" si="172"/>
        <v>-71.314325411877988</v>
      </c>
      <c r="I91" s="50">
        <f t="shared" si="193"/>
        <v>-54.759181811075308</v>
      </c>
      <c r="J91" s="50"/>
      <c r="K91" s="50">
        <f t="shared" si="173"/>
        <v>-32.430966773739911</v>
      </c>
      <c r="L91" s="50">
        <f t="shared" si="194"/>
        <v>-28.577602601080443</v>
      </c>
      <c r="R91" s="50">
        <f t="shared" si="259"/>
        <v>1.2699199739025906E-2</v>
      </c>
      <c r="S91" s="50">
        <f t="shared" si="260"/>
        <v>-5.0349623143399115E-2</v>
      </c>
      <c r="T91" s="50" t="str">
        <f t="shared" si="261"/>
        <v/>
      </c>
      <c r="U91" s="50" t="str">
        <f t="shared" si="262"/>
        <v/>
      </c>
      <c r="V91" s="50">
        <f t="shared" si="263"/>
        <v>4.8711745371895585E-2</v>
      </c>
      <c r="W91" s="50">
        <f t="shared" si="264"/>
        <v>2.9209981458753833E-2</v>
      </c>
      <c r="X91" s="50" t="str">
        <f t="shared" si="265"/>
        <v/>
      </c>
      <c r="Y91" s="50">
        <f t="shared" si="266"/>
        <v>1.306242294317274E-2</v>
      </c>
      <c r="Z91" s="50">
        <f t="shared" si="267"/>
        <v>5.4287174230869893E-2</v>
      </c>
    </row>
    <row r="92" spans="1:26" ht="20.100000000000001" customHeight="1" x14ac:dyDescent="0.2">
      <c r="A92" s="53">
        <f t="shared" si="169"/>
        <v>914</v>
      </c>
      <c r="B92" s="54">
        <f t="shared" si="170"/>
        <v>44572</v>
      </c>
      <c r="C92" s="55">
        <f>'Résultats observations'!D92</f>
        <v>39</v>
      </c>
      <c r="D92" s="50">
        <f t="shared" si="192"/>
        <v>-77.491559451220667</v>
      </c>
      <c r="E92" s="50">
        <f t="shared" si="171"/>
        <v>-62.66856356510209</v>
      </c>
      <c r="F92" s="50"/>
      <c r="G92" s="50"/>
      <c r="H92" s="50">
        <f t="shared" si="172"/>
        <v>-71.857684248543663</v>
      </c>
      <c r="I92" s="50">
        <f t="shared" si="193"/>
        <v>-55.25082950823812</v>
      </c>
      <c r="J92" s="50"/>
      <c r="K92" s="50">
        <f t="shared" si="173"/>
        <v>-32.94268629051178</v>
      </c>
      <c r="L92" s="50">
        <f t="shared" si="194"/>
        <v>-28.867292762319252</v>
      </c>
      <c r="R92" s="50">
        <f t="shared" ref="R92:R95" si="268">IF(AND(D92&lt;&gt;"",D91&lt;&gt;""),(D92-D91)/($B92-$B91),"")</f>
        <v>-2.1543587822097008E-2</v>
      </c>
      <c r="S92" s="50">
        <f t="shared" ref="S92:S95" si="269">IF(AND(E92&lt;&gt;"",E91&lt;&gt;""),(E92-E91)/($B92-$B91),"")</f>
        <v>-1.2943356891473716E-2</v>
      </c>
      <c r="T92" s="50" t="str">
        <f t="shared" ref="T92:T95" si="270">IF(AND(F92&lt;&gt;"",F91&lt;&gt;""),(F92-F91)/($B92-$B91),"")</f>
        <v/>
      </c>
      <c r="U92" s="50" t="str">
        <f t="shared" ref="U92:U95" si="271">IF(AND(G92&lt;&gt;"",G91&lt;&gt;""),(G92-G91)/($B92-$B91),"")</f>
        <v/>
      </c>
      <c r="V92" s="50">
        <f t="shared" ref="V92:V95" si="272">IF(AND(H92&lt;&gt;"",H91&lt;&gt;""),(H92-H91)/($B92-$B91),"")</f>
        <v>-2.4698128939348862E-2</v>
      </c>
      <c r="W92" s="50">
        <f t="shared" ref="W92:W95" si="273">IF(AND(I92&lt;&gt;"",I91&lt;&gt;""),(I92-I91)/($B92-$B91),"")</f>
        <v>-2.2347622598309611E-2</v>
      </c>
      <c r="X92" s="50" t="str">
        <f t="shared" ref="X92:X95" si="274">IF(AND(J92&lt;&gt;"",J91&lt;&gt;""),(J92-J91)/($B92-$B91),"")</f>
        <v/>
      </c>
      <c r="Y92" s="50">
        <f t="shared" ref="Y92:Y95" si="275">IF(AND(K92&lt;&gt;"",K91&lt;&gt;""),(K92-K91)/($B92-$B91),"")</f>
        <v>-2.325997803508496E-2</v>
      </c>
      <c r="Z92" s="50">
        <f t="shared" ref="Z92:Z95" si="276">IF(AND(L92&lt;&gt;"",L91&lt;&gt;""),(L92-L91)/($B92-$B91),"")</f>
        <v>-1.3167734601764054E-2</v>
      </c>
    </row>
    <row r="93" spans="1:26" ht="20.100000000000001" customHeight="1" x14ac:dyDescent="0.2">
      <c r="A93" s="53">
        <f t="shared" si="169"/>
        <v>920</v>
      </c>
      <c r="B93" s="54">
        <f t="shared" si="170"/>
        <v>44578</v>
      </c>
      <c r="C93" s="55">
        <f>'Résultats observations'!D93</f>
        <v>39</v>
      </c>
      <c r="D93" s="50">
        <f t="shared" si="192"/>
        <v>-77.414191525140737</v>
      </c>
      <c r="E93" s="50">
        <f t="shared" si="171"/>
        <v>-62.559393612668487</v>
      </c>
      <c r="F93" s="50"/>
      <c r="G93" s="50"/>
      <c r="H93" s="50">
        <f t="shared" si="172"/>
        <v>-71.395762548206235</v>
      </c>
      <c r="I93" s="50">
        <f t="shared" si="193"/>
        <v>-54.583773348237052</v>
      </c>
      <c r="J93" s="50"/>
      <c r="K93" s="50">
        <f t="shared" si="173"/>
        <v>-32.345319671422068</v>
      </c>
      <c r="L93" s="50">
        <f t="shared" si="194"/>
        <v>-28.140830083684953</v>
      </c>
      <c r="R93" s="50">
        <f t="shared" si="268"/>
        <v>1.2894654346654969E-2</v>
      </c>
      <c r="S93" s="50">
        <f t="shared" si="269"/>
        <v>1.8194992072267269E-2</v>
      </c>
      <c r="T93" s="50" t="str">
        <f t="shared" si="270"/>
        <v/>
      </c>
      <c r="U93" s="50" t="str">
        <f t="shared" si="271"/>
        <v/>
      </c>
      <c r="V93" s="50">
        <f t="shared" si="272"/>
        <v>7.6986950056237902E-2</v>
      </c>
      <c r="W93" s="50">
        <f t="shared" si="273"/>
        <v>0.11117602666684452</v>
      </c>
      <c r="X93" s="50" t="str">
        <f t="shared" si="274"/>
        <v/>
      </c>
      <c r="Y93" s="50">
        <f t="shared" si="275"/>
        <v>9.9561103181618663E-2</v>
      </c>
      <c r="Z93" s="50">
        <f t="shared" si="276"/>
        <v>0.12107711310571645</v>
      </c>
    </row>
    <row r="94" spans="1:26" ht="20.100000000000001" customHeight="1" x14ac:dyDescent="0.2">
      <c r="A94" s="53">
        <f t="shared" si="169"/>
        <v>937</v>
      </c>
      <c r="B94" s="54">
        <f t="shared" si="170"/>
        <v>44595</v>
      </c>
      <c r="C94" s="55">
        <f>'Résultats observations'!D94</f>
        <v>39</v>
      </c>
      <c r="D94" s="50">
        <f t="shared" si="192"/>
        <v>-77.50145797928721</v>
      </c>
      <c r="E94" s="50">
        <f t="shared" si="171"/>
        <v>-62.600259087515212</v>
      </c>
      <c r="F94" s="50"/>
      <c r="G94" s="50"/>
      <c r="H94" s="50">
        <f t="shared" si="172"/>
        <v>-71.427743800440709</v>
      </c>
      <c r="I94" s="50">
        <f t="shared" si="193"/>
        <v>-54.910852153780887</v>
      </c>
      <c r="J94" s="50"/>
      <c r="K94" s="50">
        <f t="shared" si="173"/>
        <v>-32.691773759205844</v>
      </c>
      <c r="L94" s="50">
        <f t="shared" si="194"/>
        <v>-28.812830536647738</v>
      </c>
      <c r="R94" s="50">
        <f t="shared" si="268"/>
        <v>-5.1333208321454674E-3</v>
      </c>
      <c r="S94" s="50">
        <f t="shared" si="269"/>
        <v>-2.4038514615720968E-3</v>
      </c>
      <c r="T94" s="50" t="str">
        <f t="shared" si="270"/>
        <v/>
      </c>
      <c r="U94" s="50" t="str">
        <f t="shared" si="271"/>
        <v/>
      </c>
      <c r="V94" s="50">
        <f t="shared" si="272"/>
        <v>-1.8812501314396084E-3</v>
      </c>
      <c r="W94" s="50">
        <f t="shared" si="273"/>
        <v>-1.9239929737872617E-2</v>
      </c>
      <c r="X94" s="50" t="str">
        <f t="shared" si="274"/>
        <v/>
      </c>
      <c r="Y94" s="50">
        <f t="shared" si="275"/>
        <v>-2.0379652222575075E-2</v>
      </c>
      <c r="Z94" s="50">
        <f t="shared" si="276"/>
        <v>-3.9529438409575547E-2</v>
      </c>
    </row>
    <row r="95" spans="1:26" ht="20.100000000000001" customHeight="1" x14ac:dyDescent="0.2">
      <c r="A95" s="53">
        <f t="shared" si="169"/>
        <v>955</v>
      </c>
      <c r="B95" s="54">
        <f t="shared" si="170"/>
        <v>44613</v>
      </c>
      <c r="C95" s="55">
        <f>'Résultats observations'!D95</f>
        <v>39</v>
      </c>
      <c r="D95" s="50">
        <f t="shared" si="192"/>
        <v>-77.938720497212628</v>
      </c>
      <c r="E95" s="50">
        <f t="shared" si="171"/>
        <v>-62.97441120539915</v>
      </c>
      <c r="F95" s="50"/>
      <c r="G95" s="50"/>
      <c r="H95" s="50">
        <f t="shared" si="172"/>
        <v>-71.924740884096394</v>
      </c>
      <c r="I95" s="50">
        <f t="shared" si="193"/>
        <v>-55.706949580208054</v>
      </c>
      <c r="J95" s="50"/>
      <c r="K95" s="50">
        <f t="shared" si="173"/>
        <v>-33.090257649232235</v>
      </c>
      <c r="L95" s="50">
        <f t="shared" si="194"/>
        <v>-29.424581653365145</v>
      </c>
      <c r="R95" s="50">
        <f t="shared" si="268"/>
        <v>-2.42923621069677E-2</v>
      </c>
      <c r="S95" s="50">
        <f t="shared" si="269"/>
        <v>-2.0786228771329875E-2</v>
      </c>
      <c r="T95" s="50" t="str">
        <f t="shared" si="270"/>
        <v/>
      </c>
      <c r="U95" s="50" t="str">
        <f t="shared" si="271"/>
        <v/>
      </c>
      <c r="V95" s="50">
        <f t="shared" si="272"/>
        <v>-2.7610949091982522E-2</v>
      </c>
      <c r="W95" s="50">
        <f t="shared" si="273"/>
        <v>-4.4227634801509277E-2</v>
      </c>
      <c r="X95" s="50" t="str">
        <f t="shared" si="274"/>
        <v/>
      </c>
      <c r="Y95" s="50">
        <f t="shared" si="275"/>
        <v>-2.2137993890355052E-2</v>
      </c>
      <c r="Z95" s="50">
        <f t="shared" si="276"/>
        <v>-3.3986173150967067E-2</v>
      </c>
    </row>
    <row r="96" spans="1:26" ht="20.100000000000001" customHeight="1" x14ac:dyDescent="0.2">
      <c r="A96" s="53">
        <f t="shared" si="169"/>
        <v>990</v>
      </c>
      <c r="B96" s="54">
        <f t="shared" si="170"/>
        <v>44648</v>
      </c>
      <c r="C96" s="55">
        <f>'Résultats observations'!D96</f>
        <v>39</v>
      </c>
      <c r="D96" s="50">
        <f t="shared" si="192"/>
        <v>-78.143861084304163</v>
      </c>
      <c r="E96" s="50">
        <f t="shared" si="171"/>
        <v>-63.171051550165117</v>
      </c>
      <c r="F96" s="50"/>
      <c r="G96" s="50"/>
      <c r="H96" s="50">
        <f t="shared" si="172"/>
        <v>-72.187261913252428</v>
      </c>
      <c r="I96" s="50">
        <f t="shared" si="193"/>
        <v>-55.706949608323342</v>
      </c>
      <c r="J96" s="50"/>
      <c r="K96" s="50">
        <f t="shared" si="173"/>
        <v>-33.587107353847401</v>
      </c>
      <c r="L96" s="50">
        <f t="shared" si="194"/>
        <v>-29.504829705566671</v>
      </c>
      <c r="R96" s="50">
        <f t="shared" ref="R96:R102" si="277">IF(AND(D96&lt;&gt;"",D95&lt;&gt;""),(D96-D95)/($B96-$B95),"")</f>
        <v>-5.8611596311867031E-3</v>
      </c>
      <c r="S96" s="50">
        <f t="shared" ref="S96:S102" si="278">IF(AND(E96&lt;&gt;"",E95&lt;&gt;""),(E96-E95)/($B96-$B95),"")</f>
        <v>-5.6182955647419213E-3</v>
      </c>
      <c r="T96" s="50" t="str">
        <f t="shared" ref="T96:T102" si="279">IF(AND(F96&lt;&gt;"",F95&lt;&gt;""),(F96-F95)/($B96-$B95),"")</f>
        <v/>
      </c>
      <c r="U96" s="50" t="str">
        <f t="shared" ref="U96:U102" si="280">IF(AND(G96&lt;&gt;"",G95&lt;&gt;""),(G96-G95)/($B96-$B95),"")</f>
        <v/>
      </c>
      <c r="V96" s="50">
        <f t="shared" ref="V96:V102" si="281">IF(AND(H96&lt;&gt;"",H95&lt;&gt;""),(H96-H95)/($B96-$B95),"")</f>
        <v>-7.5006008330295313E-3</v>
      </c>
      <c r="W96" s="50">
        <f t="shared" ref="W96:W102" si="282">IF(AND(I96&lt;&gt;"",I95&lt;&gt;""),(I96-I95)/($B96-$B95),"")</f>
        <v>-8.0329393930307045E-10</v>
      </c>
      <c r="X96" s="50" t="str">
        <f t="shared" ref="X96:X102" si="283">IF(AND(J96&lt;&gt;"",J95&lt;&gt;""),(J96-J95)/($B96-$B95),"")</f>
        <v/>
      </c>
      <c r="Y96" s="50">
        <f t="shared" ref="Y96:Y102" si="284">IF(AND(K96&lt;&gt;"",K95&lt;&gt;""),(K96-K95)/($B96-$B95),"")</f>
        <v>-1.4195705846147584E-2</v>
      </c>
      <c r="Z96" s="50">
        <f t="shared" ref="Z96:Z102" si="285">IF(AND(L96&lt;&gt;"",L95&lt;&gt;""),(L96-L95)/($B96-$B95),"")</f>
        <v>-2.2928014914721678E-3</v>
      </c>
    </row>
    <row r="97" spans="1:26" ht="20.100000000000001" customHeight="1" x14ac:dyDescent="0.2">
      <c r="A97" s="53">
        <f t="shared" si="169"/>
        <v>1020</v>
      </c>
      <c r="B97" s="54">
        <f t="shared" si="170"/>
        <v>44678</v>
      </c>
      <c r="C97" s="55">
        <f>'Résultats observations'!D97</f>
        <v>39</v>
      </c>
      <c r="D97" s="50">
        <f t="shared" si="192"/>
        <v>-78.534883902564815</v>
      </c>
      <c r="E97" s="50">
        <f t="shared" si="171"/>
        <v>-63.627232968387126</v>
      </c>
      <c r="F97" s="50"/>
      <c r="G97" s="50"/>
      <c r="H97" s="50">
        <f t="shared" si="172"/>
        <v>-72.092141372970275</v>
      </c>
      <c r="I97" s="50">
        <f t="shared" si="193"/>
        <v>-56.345128234633002</v>
      </c>
      <c r="J97" s="50"/>
      <c r="K97" s="50">
        <f t="shared" si="173"/>
        <v>-33.725743454474433</v>
      </c>
      <c r="L97" s="50">
        <f t="shared" si="194"/>
        <v>-30.158418806343512</v>
      </c>
      <c r="R97" s="50">
        <f t="shared" si="277"/>
        <v>-1.3034093942021723E-2</v>
      </c>
      <c r="S97" s="50">
        <f t="shared" si="278"/>
        <v>-1.5206047274066966E-2</v>
      </c>
      <c r="T97" s="50" t="str">
        <f t="shared" si="279"/>
        <v/>
      </c>
      <c r="U97" s="50" t="str">
        <f t="shared" si="280"/>
        <v/>
      </c>
      <c r="V97" s="50">
        <f t="shared" si="281"/>
        <v>3.1706846760717628E-3</v>
      </c>
      <c r="W97" s="50">
        <f t="shared" si="282"/>
        <v>-2.1272620876988668E-2</v>
      </c>
      <c r="X97" s="50" t="str">
        <f t="shared" si="283"/>
        <v/>
      </c>
      <c r="Y97" s="50">
        <f t="shared" si="284"/>
        <v>-4.6212033542344004E-3</v>
      </c>
      <c r="Z97" s="50">
        <f t="shared" si="285"/>
        <v>-2.1786303359228043E-2</v>
      </c>
    </row>
    <row r="98" spans="1:26" ht="20.100000000000001" customHeight="1" x14ac:dyDescent="0.2">
      <c r="A98" s="53">
        <f t="shared" si="169"/>
        <v>1053</v>
      </c>
      <c r="B98" s="54">
        <f t="shared" si="170"/>
        <v>44711</v>
      </c>
      <c r="C98" s="55">
        <f>'Résultats observations'!D98</f>
        <v>39</v>
      </c>
      <c r="D98" s="50">
        <f t="shared" si="192"/>
        <v>-78.267417063216271</v>
      </c>
      <c r="E98" s="50">
        <f t="shared" si="171"/>
        <v>-62.83005867256675</v>
      </c>
      <c r="F98" s="50"/>
      <c r="G98" s="50"/>
      <c r="H98" s="50">
        <f t="shared" si="172"/>
        <v>-72.294218023228666</v>
      </c>
      <c r="I98" s="50">
        <f t="shared" si="193"/>
        <v>-56.341815037925791</v>
      </c>
      <c r="J98" s="50"/>
      <c r="K98" s="50">
        <f t="shared" si="173"/>
        <v>-32.858577545059831</v>
      </c>
      <c r="L98" s="50">
        <f t="shared" si="194"/>
        <v>-29.870518429398807</v>
      </c>
      <c r="R98" s="50">
        <f t="shared" si="277"/>
        <v>8.1050557378346457E-3</v>
      </c>
      <c r="S98" s="50">
        <f t="shared" si="278"/>
        <v>2.4156796843041704E-2</v>
      </c>
      <c r="T98" s="50" t="str">
        <f t="shared" si="279"/>
        <v/>
      </c>
      <c r="U98" s="50" t="str">
        <f t="shared" si="280"/>
        <v/>
      </c>
      <c r="V98" s="50">
        <f t="shared" si="281"/>
        <v>-6.12353485631488E-3</v>
      </c>
      <c r="W98" s="50">
        <f t="shared" si="282"/>
        <v>1.0039990021851102E-4</v>
      </c>
      <c r="X98" s="50" t="str">
        <f t="shared" si="283"/>
        <v/>
      </c>
      <c r="Y98" s="50">
        <f t="shared" si="284"/>
        <v>2.6277754830745521E-2</v>
      </c>
      <c r="Z98" s="50">
        <f t="shared" si="285"/>
        <v>8.7242538468092507E-3</v>
      </c>
    </row>
    <row r="99" spans="1:26" ht="20.100000000000001" customHeight="1" x14ac:dyDescent="0.2">
      <c r="A99" s="53">
        <f t="shared" si="169"/>
        <v>1082</v>
      </c>
      <c r="B99" s="54">
        <f t="shared" si="170"/>
        <v>44740</v>
      </c>
      <c r="C99" s="55">
        <f>'Résultats observations'!D99</f>
        <v>39</v>
      </c>
      <c r="D99" s="50">
        <f t="shared" si="192"/>
        <v>-79.022263212926276</v>
      </c>
      <c r="E99" s="50">
        <f t="shared" si="171"/>
        <v>-63.628853953901384</v>
      </c>
      <c r="F99" s="50"/>
      <c r="G99" s="50"/>
      <c r="H99" s="50">
        <f t="shared" si="172"/>
        <v>-72.895231985228747</v>
      </c>
      <c r="I99" s="50">
        <f t="shared" si="193"/>
        <v>-56.946050460052966</v>
      </c>
      <c r="J99" s="50"/>
      <c r="K99" s="50">
        <f t="shared" si="173"/>
        <v>-34.312756478205308</v>
      </c>
      <c r="L99" s="50">
        <f t="shared" si="194"/>
        <v>-30.8033921494415</v>
      </c>
      <c r="R99" s="50">
        <f t="shared" si="277"/>
        <v>-2.6029177576207069E-2</v>
      </c>
      <c r="S99" s="50">
        <f t="shared" si="278"/>
        <v>-2.7544664873608068E-2</v>
      </c>
      <c r="T99" s="50" t="str">
        <f t="shared" si="279"/>
        <v/>
      </c>
      <c r="U99" s="50" t="str">
        <f t="shared" si="280"/>
        <v/>
      </c>
      <c r="V99" s="50">
        <f t="shared" si="281"/>
        <v>-2.072461937931315E-2</v>
      </c>
      <c r="W99" s="50">
        <f t="shared" si="282"/>
        <v>-2.0835704211281898E-2</v>
      </c>
      <c r="X99" s="50" t="str">
        <f t="shared" si="283"/>
        <v/>
      </c>
      <c r="Y99" s="50">
        <f t="shared" si="284"/>
        <v>-5.0144101142947518E-2</v>
      </c>
      <c r="Z99" s="50">
        <f t="shared" si="285"/>
        <v>-3.2168059311816995E-2</v>
      </c>
    </row>
    <row r="100" spans="1:26" ht="20.100000000000001" customHeight="1" x14ac:dyDescent="0.2">
      <c r="A100" s="53">
        <f t="shared" si="169"/>
        <v>1109</v>
      </c>
      <c r="B100" s="54">
        <f t="shared" si="170"/>
        <v>44767</v>
      </c>
      <c r="C100" s="55">
        <f>'Résultats observations'!D100</f>
        <v>39</v>
      </c>
      <c r="D100" s="50">
        <f t="shared" si="192"/>
        <v>-79.210178684884454</v>
      </c>
      <c r="E100" s="50">
        <f t="shared" si="171"/>
        <v>-63.824006510259323</v>
      </c>
      <c r="F100" s="50"/>
      <c r="G100" s="50"/>
      <c r="H100" s="50">
        <f t="shared" si="172"/>
        <v>-73.187340104478253</v>
      </c>
      <c r="I100" s="50">
        <f t="shared" si="193"/>
        <v>-57.520167940244171</v>
      </c>
      <c r="J100" s="50"/>
      <c r="K100" s="50">
        <f t="shared" si="173"/>
        <v>-34.230071167918652</v>
      </c>
      <c r="L100" s="50">
        <f t="shared" si="194"/>
        <v>-30.780280296477613</v>
      </c>
      <c r="R100" s="50">
        <f t="shared" si="277"/>
        <v>-6.959832294747322E-3</v>
      </c>
      <c r="S100" s="50">
        <f t="shared" si="278"/>
        <v>-7.2278724577014624E-3</v>
      </c>
      <c r="T100" s="50" t="str">
        <f t="shared" si="279"/>
        <v/>
      </c>
      <c r="U100" s="50" t="str">
        <f t="shared" si="280"/>
        <v/>
      </c>
      <c r="V100" s="50">
        <f t="shared" si="281"/>
        <v>-1.0818819231463155E-2</v>
      </c>
      <c r="W100" s="50">
        <f t="shared" si="282"/>
        <v>-2.1263610377452044E-2</v>
      </c>
      <c r="X100" s="50" t="str">
        <f t="shared" si="283"/>
        <v/>
      </c>
      <c r="Y100" s="50">
        <f t="shared" si="284"/>
        <v>3.0624188995057957E-3</v>
      </c>
      <c r="Z100" s="50">
        <f t="shared" si="285"/>
        <v>8.5599455421801079E-4</v>
      </c>
    </row>
    <row r="101" spans="1:26" ht="20.100000000000001" customHeight="1" x14ac:dyDescent="0.2">
      <c r="A101" s="53">
        <f t="shared" si="169"/>
        <v>1244</v>
      </c>
      <c r="B101" s="54">
        <f t="shared" si="170"/>
        <v>44902</v>
      </c>
      <c r="C101" s="55">
        <f>'Résultats observations'!D101</f>
        <v>39</v>
      </c>
      <c r="D101" s="50">
        <f t="shared" si="192"/>
        <v>-79.182091656561767</v>
      </c>
      <c r="E101" s="50">
        <f t="shared" si="171"/>
        <v>-62.791573438294002</v>
      </c>
      <c r="F101" s="50"/>
      <c r="G101" s="50"/>
      <c r="H101" s="50">
        <f t="shared" ca="1" si="172"/>
        <v>-76.738270823129454</v>
      </c>
      <c r="I101" s="50">
        <f t="shared" si="193"/>
        <v>-61.239590468280092</v>
      </c>
      <c r="J101" s="50"/>
      <c r="K101" s="50">
        <f t="shared" ca="1" si="173"/>
        <v>-35.436882526203028</v>
      </c>
      <c r="L101" s="50">
        <f t="shared" si="194"/>
        <v>-32.147380773128731</v>
      </c>
      <c r="R101" s="50">
        <f t="shared" si="277"/>
        <v>2.0805206164953706E-4</v>
      </c>
      <c r="S101" s="50">
        <f t="shared" si="278"/>
        <v>7.6476523849283102E-3</v>
      </c>
      <c r="T101" s="50" t="str">
        <f t="shared" si="279"/>
        <v/>
      </c>
      <c r="U101" s="50" t="str">
        <f t="shared" si="280"/>
        <v/>
      </c>
      <c r="V101" s="50">
        <f t="shared" ca="1" si="281"/>
        <v>-2.6303190508527422E-2</v>
      </c>
      <c r="W101" s="50">
        <f t="shared" si="282"/>
        <v>-2.7551277985451265E-2</v>
      </c>
      <c r="X101" s="50" t="str">
        <f t="shared" si="283"/>
        <v/>
      </c>
      <c r="Y101" s="50">
        <f t="shared" ca="1" si="284"/>
        <v>-8.9393433946990848E-3</v>
      </c>
      <c r="Z101" s="50">
        <f t="shared" si="285"/>
        <v>-1.0126670197415685E-2</v>
      </c>
    </row>
    <row r="102" spans="1:26" ht="20.100000000000001" customHeight="1" x14ac:dyDescent="0.2">
      <c r="A102" s="53">
        <f t="shared" si="169"/>
        <v>1257</v>
      </c>
      <c r="B102" s="54">
        <f t="shared" si="170"/>
        <v>44915</v>
      </c>
      <c r="C102" s="55">
        <f>'Résultats observations'!D102</f>
        <v>39</v>
      </c>
      <c r="D102" s="50">
        <f t="shared" si="192"/>
        <v>-79.23415543607338</v>
      </c>
      <c r="E102" s="50">
        <f t="shared" si="171"/>
        <v>-62.604213381905808</v>
      </c>
      <c r="F102" s="50"/>
      <c r="G102" s="50"/>
      <c r="H102" s="50">
        <f t="shared" si="172"/>
        <v>-76.810617871781787</v>
      </c>
      <c r="I102" s="50"/>
      <c r="J102" s="50"/>
      <c r="K102" s="50">
        <f t="shared" si="173"/>
        <v>-34.907218679241403</v>
      </c>
      <c r="L102" s="50"/>
      <c r="R102" s="50">
        <f t="shared" si="277"/>
        <v>-4.0049061162779238E-3</v>
      </c>
      <c r="S102" s="50">
        <f t="shared" si="278"/>
        <v>1.4412312029861049E-2</v>
      </c>
      <c r="T102" s="50" t="str">
        <f t="shared" si="279"/>
        <v/>
      </c>
      <c r="U102" s="50" t="str">
        <f t="shared" si="280"/>
        <v/>
      </c>
      <c r="V102" s="50">
        <f t="shared" ca="1" si="281"/>
        <v>-2.7610949091982522E-2</v>
      </c>
      <c r="W102" s="50" t="str">
        <f t="shared" si="282"/>
        <v/>
      </c>
      <c r="X102" s="50" t="str">
        <f t="shared" si="283"/>
        <v/>
      </c>
      <c r="Y102" s="50">
        <f t="shared" ca="1" si="284"/>
        <v>-2.2137993890355052E-2</v>
      </c>
      <c r="Z102" s="50" t="str">
        <f t="shared" si="285"/>
        <v/>
      </c>
    </row>
    <row r="103" spans="1:26" ht="20.100000000000001" customHeight="1" x14ac:dyDescent="0.2">
      <c r="A103" s="53">
        <f t="shared" si="169"/>
        <v>1272</v>
      </c>
      <c r="B103" s="54">
        <f t="shared" si="170"/>
        <v>44930</v>
      </c>
      <c r="C103" s="55">
        <f>'Résultats observations'!D103</f>
        <v>39</v>
      </c>
      <c r="D103" s="50">
        <f t="shared" si="192"/>
        <v>-79.369650771519147</v>
      </c>
      <c r="E103" s="50">
        <f t="shared" si="171"/>
        <v>-62.949139217293393</v>
      </c>
      <c r="F103" s="50"/>
      <c r="G103" s="50"/>
      <c r="H103" s="50">
        <f t="shared" si="172"/>
        <v>-77.039607502945358</v>
      </c>
      <c r="I103" s="50"/>
      <c r="J103" s="50"/>
      <c r="K103" s="50">
        <f t="shared" si="173"/>
        <v>-35.626813192389584</v>
      </c>
      <c r="L103" s="50"/>
      <c r="R103" s="50">
        <f t="shared" ref="R103" si="286">IF(AND(D103&lt;&gt;"",D102&lt;&gt;""),(D103-D102)/($B103-$B102),"")</f>
        <v>-9.0330223630511828E-3</v>
      </c>
      <c r="S103" s="50">
        <f t="shared" ref="S103" si="287">IF(AND(E103&lt;&gt;"",E102&lt;&gt;""),(E103-E102)/($B103-$B102),"")</f>
        <v>-2.2995055692505654E-2</v>
      </c>
      <c r="T103" s="50" t="str">
        <f t="shared" ref="T103" si="288">IF(AND(F103&lt;&gt;"",F102&lt;&gt;""),(F103-F102)/($B103-$B102),"")</f>
        <v/>
      </c>
      <c r="U103" s="50" t="str">
        <f t="shared" ref="U103" si="289">IF(AND(G103&lt;&gt;"",G102&lt;&gt;""),(G103-G102)/($B103-$B102),"")</f>
        <v/>
      </c>
      <c r="V103" s="50">
        <f t="shared" ref="V103" si="290">IF(AND(H103&lt;&gt;"",H102&lt;&gt;""),(H103-H102)/($B103-$B102),"")</f>
        <v>-1.5265975410904768E-2</v>
      </c>
      <c r="W103" s="50" t="str">
        <f t="shared" ref="W103" si="291">IF(AND(I103&lt;&gt;"",I102&lt;&gt;""),(I103-I102)/($B103-$B102),"")</f>
        <v/>
      </c>
      <c r="X103" s="50" t="str">
        <f t="shared" ref="X103" si="292">IF(AND(J103&lt;&gt;"",J102&lt;&gt;""),(J103-J102)/($B103-$B102),"")</f>
        <v/>
      </c>
      <c r="Y103" s="50">
        <f t="shared" ref="Y103" si="293">IF(AND(K103&lt;&gt;"",K102&lt;&gt;""),(K103-K102)/($B103-$B102),"")</f>
        <v>-4.7972967543212043E-2</v>
      </c>
      <c r="Z103" s="50" t="str">
        <f t="shared" ref="Z103" si="294">IF(AND(L103&lt;&gt;"",L102&lt;&gt;""),(L103-L102)/($B103-$B102),"")</f>
        <v/>
      </c>
    </row>
    <row r="104" spans="1:26" ht="20.100000000000001" customHeight="1" x14ac:dyDescent="0.2">
      <c r="A104" s="53">
        <f t="shared" si="169"/>
        <v>1287</v>
      </c>
      <c r="B104" s="54">
        <f t="shared" si="170"/>
        <v>44945</v>
      </c>
      <c r="C104" s="55">
        <f>'Résultats observations'!D104</f>
        <v>39</v>
      </c>
      <c r="D104" s="50">
        <f t="shared" si="192"/>
        <v>-79.466085731767507</v>
      </c>
      <c r="E104" s="50">
        <f t="shared" si="171"/>
        <v>-63.00748803380651</v>
      </c>
      <c r="F104" s="50"/>
      <c r="G104" s="50"/>
      <c r="H104" s="50">
        <f t="shared" si="172"/>
        <v>-77.173494872146094</v>
      </c>
      <c r="I104" s="50">
        <f t="shared" si="193"/>
        <v>-61.802098495556734</v>
      </c>
      <c r="J104" s="50"/>
      <c r="K104" s="50">
        <f t="shared" si="173"/>
        <v>-35.717692808290735</v>
      </c>
      <c r="L104" s="50">
        <f t="shared" si="194"/>
        <v>-32.371668407478182</v>
      </c>
      <c r="R104" s="50">
        <f t="shared" ref="R104" si="295">IF(AND(D104&lt;&gt;"",D103&lt;&gt;""),(D104-D103)/($B104-$B103),"")</f>
        <v>-6.4289973498906266E-3</v>
      </c>
      <c r="S104" s="50">
        <f t="shared" ref="S104" si="296">IF(AND(E104&lt;&gt;"",E103&lt;&gt;""),(E104-E103)/($B104-$B103),"")</f>
        <v>-3.8899211008744791E-3</v>
      </c>
      <c r="T104" s="50" t="str">
        <f t="shared" ref="T104" si="297">IF(AND(F104&lt;&gt;"",F103&lt;&gt;""),(F104-F103)/($B104-$B103),"")</f>
        <v/>
      </c>
      <c r="U104" s="50" t="str">
        <f t="shared" ref="U104" si="298">IF(AND(G104&lt;&gt;"",G103&lt;&gt;""),(G104-G103)/($B104-$B103),"")</f>
        <v/>
      </c>
      <c r="V104" s="50">
        <f t="shared" ref="V104" si="299">IF(AND(H104&lt;&gt;"",H103&lt;&gt;""),(H104-H103)/($B104-$B103),"")</f>
        <v>-8.9258246133823611E-3</v>
      </c>
      <c r="W104" s="50" t="str">
        <f t="shared" ref="W104" si="300">IF(AND(I104&lt;&gt;"",I103&lt;&gt;""),(I104-I103)/($B104-$B103),"")</f>
        <v/>
      </c>
      <c r="X104" s="50" t="str">
        <f t="shared" ref="X104" si="301">IF(AND(J104&lt;&gt;"",J103&lt;&gt;""),(J104-J103)/($B104-$B103),"")</f>
        <v/>
      </c>
      <c r="Y104" s="50">
        <f t="shared" ref="Y104" si="302">IF(AND(K104&lt;&gt;"",K103&lt;&gt;""),(K104-K103)/($B104-$B103),"")</f>
        <v>-6.0586410600767708E-3</v>
      </c>
      <c r="Z104" s="50" t="str">
        <f t="shared" ref="Z104" si="303">IF(AND(L104&lt;&gt;"",L103&lt;&gt;""),(L104-L103)/($B104-$B103),"")</f>
        <v/>
      </c>
    </row>
    <row r="105" spans="1:26" ht="20.100000000000001" customHeight="1" x14ac:dyDescent="0.2">
      <c r="A105" s="53">
        <f t="shared" si="169"/>
        <v>1299</v>
      </c>
      <c r="B105" s="54">
        <f t="shared" si="170"/>
        <v>44957</v>
      </c>
      <c r="C105" s="55">
        <f>'Résultats observations'!D105</f>
        <v>39</v>
      </c>
      <c r="D105" s="50">
        <f t="shared" si="192"/>
        <v>-79.221896748613574</v>
      </c>
      <c r="E105" s="50">
        <f t="shared" si="171"/>
        <v>-62.570499970819867</v>
      </c>
      <c r="F105" s="50"/>
      <c r="G105" s="50"/>
      <c r="H105" s="50">
        <f t="shared" si="172"/>
        <v>-77.034658928504484</v>
      </c>
      <c r="I105" s="50">
        <f t="shared" si="193"/>
        <v>-61.60587061293743</v>
      </c>
      <c r="J105" s="50"/>
      <c r="K105" s="50">
        <f t="shared" si="173"/>
        <v>-34.907934802077101</v>
      </c>
      <c r="L105" s="50">
        <f t="shared" si="194"/>
        <v>-31.770861734392142</v>
      </c>
      <c r="R105" s="50">
        <f t="shared" ref="R105" si="304">IF(AND(D105&lt;&gt;"",D104&lt;&gt;""),(D105-D104)/($B105-$B104),"")</f>
        <v>2.03490819294944E-2</v>
      </c>
      <c r="S105" s="50">
        <f t="shared" ref="S105" si="305">IF(AND(E105&lt;&gt;"",E104&lt;&gt;""),(E105-E104)/($B105-$B104),"")</f>
        <v>3.6415671915553581E-2</v>
      </c>
      <c r="T105" s="50" t="str">
        <f t="shared" ref="T105" si="306">IF(AND(F105&lt;&gt;"",F104&lt;&gt;""),(F105-F104)/($B105-$B104),"")</f>
        <v/>
      </c>
      <c r="U105" s="50" t="str">
        <f t="shared" ref="U105" si="307">IF(AND(G105&lt;&gt;"",G104&lt;&gt;""),(G105-G104)/($B105-$B104),"")</f>
        <v/>
      </c>
      <c r="V105" s="50">
        <f t="shared" ref="V105" si="308">IF(AND(H105&lt;&gt;"",H104&lt;&gt;""),(H105-H104)/($B105-$B104),"")</f>
        <v>1.1569661970134129E-2</v>
      </c>
      <c r="W105" s="50">
        <f t="shared" ref="W105" si="309">IF(AND(I105&lt;&gt;"",I104&lt;&gt;""),(I105-I104)/($B105-$B104),"")</f>
        <v>1.6352323551608688E-2</v>
      </c>
      <c r="X105" s="50" t="str">
        <f t="shared" ref="X105" si="310">IF(AND(J105&lt;&gt;"",J104&lt;&gt;""),(J105-J104)/($B105-$B104),"")</f>
        <v/>
      </c>
      <c r="Y105" s="50">
        <f t="shared" ref="Y105" si="311">IF(AND(K105&lt;&gt;"",K104&lt;&gt;""),(K105-K104)/($B105-$B104),"")</f>
        <v>6.7479833851136206E-2</v>
      </c>
      <c r="Z105" s="50">
        <f t="shared" ref="Z105" si="312">IF(AND(L105&lt;&gt;"",L104&lt;&gt;""),(L105-L104)/($B105-$B104),"")</f>
        <v>5.006722275717005E-2</v>
      </c>
    </row>
    <row r="106" spans="1:26" ht="20.100000000000001" customHeight="1" x14ac:dyDescent="0.2">
      <c r="A106" s="53">
        <f t="shared" si="169"/>
        <v>1330</v>
      </c>
      <c r="B106" s="54">
        <f t="shared" si="170"/>
        <v>44988</v>
      </c>
      <c r="C106" s="55">
        <f>'Résultats observations'!D106</f>
        <v>39</v>
      </c>
      <c r="D106" s="50">
        <f t="shared" si="192"/>
        <v>-79.387931456106571</v>
      </c>
      <c r="E106" s="50">
        <f t="shared" si="171"/>
        <v>-62.88609977843862</v>
      </c>
      <c r="F106" s="50"/>
      <c r="G106" s="50"/>
      <c r="H106" s="50">
        <f t="shared" si="172"/>
        <v>-77.40029212643762</v>
      </c>
      <c r="I106" s="50">
        <f t="shared" si="193"/>
        <v>-62.052128740863743</v>
      </c>
      <c r="J106" s="50"/>
      <c r="K106" s="50">
        <f t="shared" si="173"/>
        <v>-35.305721607775453</v>
      </c>
      <c r="L106" s="50">
        <f t="shared" si="194"/>
        <v>-32.016928359952956</v>
      </c>
      <c r="R106" s="50">
        <f t="shared" ref="R106:R107" si="313">IF(AND(D106&lt;&gt;"",D105&lt;&gt;""),(D106-D105)/($B106-$B105),"")</f>
        <v>-5.3559583062257202E-3</v>
      </c>
      <c r="S106" s="50">
        <f t="shared" ref="S106:S107" si="314">IF(AND(E106&lt;&gt;"",E105&lt;&gt;""),(E106-E105)/($B106-$B105),"")</f>
        <v>-1.0180638955443643E-2</v>
      </c>
      <c r="T106" s="50" t="str">
        <f t="shared" ref="T106:T107" si="315">IF(AND(F106&lt;&gt;"",F105&lt;&gt;""),(F106-F105)/($B106-$B105),"")</f>
        <v/>
      </c>
      <c r="U106" s="50" t="str">
        <f t="shared" ref="U106:U107" si="316">IF(AND(G106&lt;&gt;"",G105&lt;&gt;""),(G106-G105)/($B106-$B105),"")</f>
        <v/>
      </c>
      <c r="V106" s="50">
        <f t="shared" ref="V106:V107" si="317">IF(AND(H106&lt;&gt;"",H105&lt;&gt;""),(H106-H105)/($B106-$B105),"")</f>
        <v>-1.1794619288165662E-2</v>
      </c>
      <c r="W106" s="50">
        <f t="shared" ref="W106:W107" si="318">IF(AND(I106&lt;&gt;"",I105&lt;&gt;""),(I106-I105)/($B106-$B105),"")</f>
        <v>-1.4395423481493979E-2</v>
      </c>
      <c r="X106" s="50" t="str">
        <f t="shared" ref="X106:X107" si="319">IF(AND(J106&lt;&gt;"",J105&lt;&gt;""),(J106-J105)/($B106-$B105),"")</f>
        <v/>
      </c>
      <c r="Y106" s="50">
        <f t="shared" ref="Y106:Y107" si="320">IF(AND(K106&lt;&gt;"",K105&lt;&gt;""),(K106-K105)/($B106-$B105),"")</f>
        <v>-1.2831832441882338E-2</v>
      </c>
      <c r="Z106" s="50">
        <f t="shared" ref="Z106:Z107" si="321">IF(AND(L106&lt;&gt;"",L105&lt;&gt;""),(L106-L105)/($B106-$B105),"")</f>
        <v>-7.9376330826069225E-3</v>
      </c>
    </row>
    <row r="107" spans="1:26" ht="20.100000000000001" customHeight="1" x14ac:dyDescent="0.2">
      <c r="A107" s="53">
        <f t="shared" si="169"/>
        <v>1355</v>
      </c>
      <c r="B107" s="54">
        <f t="shared" si="170"/>
        <v>45013</v>
      </c>
      <c r="C107" s="55">
        <f>'Résultats observations'!D107</f>
        <v>39</v>
      </c>
      <c r="D107" s="50">
        <f t="shared" si="192"/>
        <v>-80.007223072414035</v>
      </c>
      <c r="E107" s="50">
        <f t="shared" si="171"/>
        <v>-63.160807642223205</v>
      </c>
      <c r="F107" s="50"/>
      <c r="G107" s="50"/>
      <c r="H107" s="50">
        <f t="shared" si="172"/>
        <v>-77.500901593683835</v>
      </c>
      <c r="I107" s="50">
        <f t="shared" si="193"/>
        <v>-62.26708523029334</v>
      </c>
      <c r="J107" s="50"/>
      <c r="K107" s="50">
        <f t="shared" si="173"/>
        <v>-35.305721607775453</v>
      </c>
      <c r="L107" s="50">
        <f t="shared" si="194"/>
        <v>-32.044451433346666</v>
      </c>
      <c r="R107" s="50">
        <f t="shared" si="313"/>
        <v>-2.4771664652298568E-2</v>
      </c>
      <c r="S107" s="50">
        <f t="shared" si="314"/>
        <v>-1.0988314551383382E-2</v>
      </c>
      <c r="T107" s="50" t="str">
        <f t="shared" si="315"/>
        <v/>
      </c>
      <c r="U107" s="50" t="str">
        <f t="shared" si="316"/>
        <v/>
      </c>
      <c r="V107" s="50">
        <f t="shared" si="317"/>
        <v>-4.0243786898486178E-3</v>
      </c>
      <c r="W107" s="50">
        <f t="shared" si="318"/>
        <v>-8.5982595771838533E-3</v>
      </c>
      <c r="X107" s="50" t="str">
        <f t="shared" si="319"/>
        <v/>
      </c>
      <c r="Y107" s="50">
        <f t="shared" si="320"/>
        <v>0</v>
      </c>
      <c r="Z107" s="50">
        <f t="shared" si="321"/>
        <v>-1.1009229357483719E-3</v>
      </c>
    </row>
  </sheetData>
  <mergeCells count="6">
    <mergeCell ref="N20:P20"/>
    <mergeCell ref="R8:Z8"/>
    <mergeCell ref="D8:L8"/>
    <mergeCell ref="U1:Z1"/>
    <mergeCell ref="U2:Z2"/>
    <mergeCell ref="A5:Z5"/>
  </mergeCells>
  <phoneticPr fontId="28" type="noConversion"/>
  <printOptions horizontalCentered="1"/>
  <pageMargins left="0.39370078740157499" right="0.39370078740157499" top="0.196850393700787" bottom="0.196850393700787" header="0.511811023622047" footer="0.511811023622047"/>
  <pageSetup paperSize="9" scale="64" fitToHeight="0" orientation="landscape" cellComments="atEnd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4">
    <pageSetUpPr fitToPage="1"/>
  </sheetPr>
  <dimension ref="A1:AB107"/>
  <sheetViews>
    <sheetView zoomScale="70" zoomScaleNormal="70" workbookViewId="0">
      <pane ySplit="9" topLeftCell="A101" activePane="bottomLeft" state="frozenSplit"/>
      <selection activeCell="C7" sqref="C7"/>
      <selection pane="bottomLeft" activeCell="A105" sqref="A105:XFD107"/>
    </sheetView>
  </sheetViews>
  <sheetFormatPr baseColWidth="10" defaultRowHeight="12.75" x14ac:dyDescent="0.2"/>
  <cols>
    <col min="1" max="1" width="11.28515625" customWidth="1"/>
    <col min="2" max="2" width="11.140625" style="23" bestFit="1" customWidth="1"/>
    <col min="3" max="23" width="12.5703125" customWidth="1"/>
    <col min="24" max="24" width="22.85546875" style="25" customWidth="1"/>
  </cols>
  <sheetData>
    <row r="1" spans="1:28" s="2" customFormat="1" ht="27.75" customHeight="1" x14ac:dyDescent="0.2">
      <c r="B1" s="19"/>
      <c r="S1" s="136" t="s">
        <v>9</v>
      </c>
      <c r="T1" s="136"/>
      <c r="U1" s="136"/>
      <c r="V1" s="136"/>
      <c r="W1" s="136"/>
      <c r="X1" s="24"/>
    </row>
    <row r="2" spans="1:28" s="2" customFormat="1" ht="15.75" x14ac:dyDescent="0.2">
      <c r="B2" s="19"/>
      <c r="S2" s="136" t="s">
        <v>54</v>
      </c>
      <c r="T2" s="136"/>
      <c r="U2" s="136"/>
      <c r="V2" s="136"/>
      <c r="W2" s="136"/>
      <c r="X2" s="24"/>
    </row>
    <row r="3" spans="1:28" s="2" customFormat="1" ht="15" customHeight="1" x14ac:dyDescent="0.2">
      <c r="B3" s="19"/>
      <c r="N3" s="11"/>
      <c r="O3" s="11"/>
      <c r="P3" s="11"/>
      <c r="Q3" s="11"/>
      <c r="R3" s="11"/>
      <c r="S3" s="11"/>
      <c r="T3" s="11"/>
      <c r="U3" s="11"/>
      <c r="V3" s="31"/>
      <c r="W3" s="31"/>
      <c r="X3" s="24"/>
    </row>
    <row r="4" spans="1:28" ht="15" customHeight="1" x14ac:dyDescent="0.2">
      <c r="A4" s="2"/>
      <c r="B4" s="19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11"/>
      <c r="O4" s="11"/>
      <c r="P4" s="11"/>
      <c r="Q4" s="11"/>
      <c r="R4" s="11"/>
      <c r="S4" s="11"/>
      <c r="T4" s="11"/>
      <c r="U4" s="11"/>
      <c r="V4" s="31"/>
      <c r="W4" s="31"/>
      <c r="X4" s="13"/>
      <c r="Y4" s="8"/>
    </row>
    <row r="5" spans="1:28" s="33" customFormat="1" ht="18" customHeight="1" x14ac:dyDescent="0.2">
      <c r="A5" s="138" t="str">
        <f>"GALERIE GVA3 - DEPLACEMENTS DES CIBLES - AUSCULTATION  INTER CINTRE 65-66 ( PM" &amp;'Résultats observations'!W6 &amp;")"</f>
        <v>GALERIE GVA3 - DEPLACEMENTS DES CIBLES - AUSCULTATION  INTER CINTRE 65-66 ( PM183.9)</v>
      </c>
      <c r="B5" s="138"/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34"/>
    </row>
    <row r="6" spans="1:28" ht="15" customHeight="1" x14ac:dyDescent="0.2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</row>
    <row r="7" spans="1:28" s="2" customFormat="1" ht="15" customHeight="1" thickBot="1" x14ac:dyDescent="0.25">
      <c r="B7" s="19"/>
      <c r="C7" s="139" t="s">
        <v>12</v>
      </c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24"/>
    </row>
    <row r="8" spans="1:28" s="14" customFormat="1" ht="31.5" customHeight="1" thickBot="1" x14ac:dyDescent="0.25">
      <c r="A8" s="114"/>
      <c r="B8" s="115"/>
      <c r="C8" s="118" t="s">
        <v>1</v>
      </c>
      <c r="D8" s="119"/>
      <c r="E8" s="120"/>
      <c r="F8" s="118" t="s">
        <v>59</v>
      </c>
      <c r="G8" s="119"/>
      <c r="H8" s="120"/>
      <c r="I8" s="118" t="s">
        <v>14</v>
      </c>
      <c r="J8" s="119"/>
      <c r="K8" s="120"/>
      <c r="L8" s="118" t="s">
        <v>2</v>
      </c>
      <c r="M8" s="119"/>
      <c r="N8" s="120"/>
      <c r="O8" s="118" t="s">
        <v>15</v>
      </c>
      <c r="P8" s="119"/>
      <c r="Q8" s="120"/>
      <c r="R8" s="118" t="s">
        <v>60</v>
      </c>
      <c r="S8" s="119"/>
      <c r="T8" s="120"/>
      <c r="U8" s="118" t="s">
        <v>3</v>
      </c>
      <c r="V8" s="119"/>
      <c r="W8" s="120"/>
      <c r="X8" s="116"/>
    </row>
    <row r="9" spans="1:28" s="3" customFormat="1" ht="60" customHeight="1" x14ac:dyDescent="0.25">
      <c r="A9" s="12" t="s">
        <v>13</v>
      </c>
      <c r="B9" s="22" t="s">
        <v>11</v>
      </c>
      <c r="C9" s="10" t="s">
        <v>28</v>
      </c>
      <c r="D9" s="10" t="s">
        <v>29</v>
      </c>
      <c r="E9" s="10" t="s">
        <v>30</v>
      </c>
      <c r="F9" s="10" t="s">
        <v>55</v>
      </c>
      <c r="G9" s="10" t="s">
        <v>56</v>
      </c>
      <c r="H9" s="10" t="s">
        <v>57</v>
      </c>
      <c r="I9" s="10" t="s">
        <v>31</v>
      </c>
      <c r="J9" s="10" t="s">
        <v>32</v>
      </c>
      <c r="K9" s="10" t="s">
        <v>33</v>
      </c>
      <c r="L9" s="10" t="s">
        <v>34</v>
      </c>
      <c r="M9" s="10" t="s">
        <v>35</v>
      </c>
      <c r="N9" s="10" t="s">
        <v>36</v>
      </c>
      <c r="O9" s="10" t="s">
        <v>37</v>
      </c>
      <c r="P9" s="10" t="s">
        <v>38</v>
      </c>
      <c r="Q9" s="10" t="s">
        <v>39</v>
      </c>
      <c r="R9" s="10" t="s">
        <v>82</v>
      </c>
      <c r="S9" s="10" t="s">
        <v>83</v>
      </c>
      <c r="T9" s="10" t="s">
        <v>58</v>
      </c>
      <c r="U9" s="10" t="s">
        <v>40</v>
      </c>
      <c r="V9" s="10" t="s">
        <v>41</v>
      </c>
      <c r="W9" s="10" t="s">
        <v>42</v>
      </c>
      <c r="X9" s="26"/>
      <c r="Y9" s="10" t="s">
        <v>74</v>
      </c>
      <c r="Z9"/>
      <c r="AA9"/>
      <c r="AB9"/>
    </row>
    <row r="10" spans="1:28" ht="24.95" customHeight="1" x14ac:dyDescent="0.2">
      <c r="A10" s="29">
        <f t="shared" ref="A10:A73" si="0">jours</f>
        <v>0</v>
      </c>
      <c r="B10" s="30">
        <f t="shared" ref="B10:B73" si="1">date</f>
        <v>43658</v>
      </c>
      <c r="C10" s="50">
        <f t="shared" ref="C10:C73" si="2">DPM_BG</f>
        <v>0</v>
      </c>
      <c r="D10" s="50">
        <f t="shared" ref="D10:D73" si="3">DH_BG</f>
        <v>0</v>
      </c>
      <c r="E10" s="50">
        <f t="shared" ref="E10:E73" si="4">DZ_BG</f>
        <v>0</v>
      </c>
      <c r="F10" s="50">
        <f t="shared" ref="F10:F73" si="5">DPM_IG</f>
        <v>0</v>
      </c>
      <c r="G10" s="50">
        <f t="shared" ref="G10:G73" si="6">DH_IG</f>
        <v>0</v>
      </c>
      <c r="H10" s="50">
        <f t="shared" ref="H10:H73" si="7">DZ_IG</f>
        <v>0</v>
      </c>
      <c r="I10" s="50">
        <f t="shared" ref="I10:I69" si="8">DPM_HG</f>
        <v>0</v>
      </c>
      <c r="J10" s="50">
        <f t="shared" ref="J10:J69" si="9">DH_HG</f>
        <v>0</v>
      </c>
      <c r="K10" s="50">
        <f t="shared" ref="K10:K69" si="10">DZ_HG</f>
        <v>0</v>
      </c>
      <c r="L10" s="50">
        <f t="shared" ref="L10:L73" si="11">DPMhaut</f>
        <v>0</v>
      </c>
      <c r="M10" s="50">
        <f t="shared" ref="M10:M73" si="12">DHhaut</f>
        <v>0</v>
      </c>
      <c r="N10" s="50">
        <f t="shared" ref="N10:N73" si="13">DZhaut</f>
        <v>0</v>
      </c>
      <c r="O10" s="50">
        <f t="shared" ref="O10:O73" si="14">DPM_HD</f>
        <v>0</v>
      </c>
      <c r="P10" s="50">
        <f t="shared" ref="P10:P73" si="15">DH_HD</f>
        <v>0</v>
      </c>
      <c r="Q10" s="50">
        <f t="shared" ref="Q10:Q73" si="16">DZ_HD</f>
        <v>0</v>
      </c>
      <c r="R10" s="51">
        <f t="shared" ref="R10:R18" si="17">DPM_ID</f>
        <v>0</v>
      </c>
      <c r="S10" s="51">
        <f t="shared" ref="S10:S18" si="18">DH_ID</f>
        <v>0</v>
      </c>
      <c r="T10" s="51">
        <f t="shared" ref="T10:T107" si="19">DZ_ID</f>
        <v>0</v>
      </c>
      <c r="U10" s="50">
        <f t="shared" ref="U10:U73" si="20">DPM_BD</f>
        <v>0</v>
      </c>
      <c r="V10" s="50">
        <f t="shared" ref="V10:V73" si="21">DH_BD</f>
        <v>0</v>
      </c>
      <c r="W10" s="50">
        <f t="shared" ref="W10:W73" si="22">DZ_BD</f>
        <v>0</v>
      </c>
      <c r="X10" s="24" t="str">
        <f>IF(Convergences!M10="","",Convergences!M10)</f>
        <v/>
      </c>
      <c r="Y10">
        <f>N10*2</f>
        <v>0</v>
      </c>
    </row>
    <row r="11" spans="1:28" s="80" customFormat="1" ht="24.95" customHeight="1" x14ac:dyDescent="0.2">
      <c r="A11" s="29">
        <f t="shared" si="0"/>
        <v>3</v>
      </c>
      <c r="B11" s="30">
        <f t="shared" si="1"/>
        <v>43661</v>
      </c>
      <c r="C11" s="77">
        <f t="shared" si="2"/>
        <v>2.5071236418909848</v>
      </c>
      <c r="D11" s="77">
        <f t="shared" si="3"/>
        <v>6.5807869110479089E-2</v>
      </c>
      <c r="E11" s="77">
        <f t="shared" si="4"/>
        <v>0.56666666667126719</v>
      </c>
      <c r="F11" s="78">
        <f t="shared" si="5"/>
        <v>1.3655367868068424</v>
      </c>
      <c r="G11" s="78">
        <f t="shared" si="6"/>
        <v>0.85750172299592364</v>
      </c>
      <c r="H11" s="78">
        <f t="shared" si="7"/>
        <v>0.4500000000007276</v>
      </c>
      <c r="I11" s="77">
        <f t="shared" si="8"/>
        <v>1.8186829840090013</v>
      </c>
      <c r="J11" s="77">
        <f t="shared" si="9"/>
        <v>1.0688275516614887</v>
      </c>
      <c r="K11" s="77">
        <f t="shared" si="10"/>
        <v>0</v>
      </c>
      <c r="L11" s="78">
        <f t="shared" si="11"/>
        <v>1.0814517110304678</v>
      </c>
      <c r="M11" s="78">
        <f t="shared" si="12"/>
        <v>0.28365894488230348</v>
      </c>
      <c r="N11" s="77">
        <f t="shared" si="13"/>
        <v>-3.6500000000074806</v>
      </c>
      <c r="O11" s="77">
        <f t="shared" si="14"/>
        <v>1.7942875674066272</v>
      </c>
      <c r="P11" s="77">
        <f t="shared" si="15"/>
        <v>0.17473322764360866</v>
      </c>
      <c r="Q11" s="77">
        <f t="shared" si="16"/>
        <v>-0.65000000000736691</v>
      </c>
      <c r="R11" s="51">
        <f t="shared" si="17"/>
        <v>1.2383148112178333</v>
      </c>
      <c r="S11" s="51">
        <f t="shared" si="18"/>
        <v>-0.52590518413309084</v>
      </c>
      <c r="T11" s="51">
        <f t="shared" si="19"/>
        <v>0</v>
      </c>
      <c r="U11" s="77">
        <f t="shared" si="20"/>
        <v>2.3197665150860303</v>
      </c>
      <c r="V11" s="77">
        <f t="shared" si="21"/>
        <v>-0.2422464995341933</v>
      </c>
      <c r="W11" s="77">
        <f t="shared" si="22"/>
        <v>0.29999999999574811</v>
      </c>
      <c r="X11" s="79" t="str">
        <f>IF(Convergences!M11="","",Convergences!M11)</f>
        <v/>
      </c>
      <c r="Y11">
        <f t="shared" ref="Y11:Y37" si="23">N11*2</f>
        <v>-7.3000000000149612</v>
      </c>
    </row>
    <row r="12" spans="1:28" s="80" customFormat="1" ht="24.95" customHeight="1" x14ac:dyDescent="0.2">
      <c r="A12" s="29">
        <f t="shared" si="0"/>
        <v>4</v>
      </c>
      <c r="B12" s="30">
        <f t="shared" si="1"/>
        <v>43662</v>
      </c>
      <c r="C12" s="77">
        <f t="shared" si="2"/>
        <v>2.2775013930242949</v>
      </c>
      <c r="D12" s="77">
        <f t="shared" si="3"/>
        <v>-0.15161718834288962</v>
      </c>
      <c r="E12" s="77">
        <f t="shared" si="4"/>
        <v>1.1000000000080945</v>
      </c>
      <c r="F12" s="78">
        <f t="shared" si="5"/>
        <v>2.3258652163633542</v>
      </c>
      <c r="G12" s="78">
        <f t="shared" si="6"/>
        <v>-1.8722797157533222E-2</v>
      </c>
      <c r="H12" s="78">
        <f t="shared" si="7"/>
        <v>1.1500000000097543</v>
      </c>
      <c r="I12" s="77">
        <f t="shared" si="8"/>
        <v>2.1145393805568347</v>
      </c>
      <c r="J12" s="77">
        <f t="shared" si="9"/>
        <v>0.43442313988650838</v>
      </c>
      <c r="K12" s="77">
        <f t="shared" si="10"/>
        <v>0.10000000000331966</v>
      </c>
      <c r="L12" s="78">
        <f t="shared" si="11"/>
        <v>0.76120010174918207</v>
      </c>
      <c r="M12" s="78">
        <f t="shared" si="12"/>
        <v>2.3968870838192435E-2</v>
      </c>
      <c r="N12" s="77">
        <f t="shared" si="13"/>
        <v>-6.5500000000042746</v>
      </c>
      <c r="O12" s="77">
        <f t="shared" si="14"/>
        <v>1.4557395521137551</v>
      </c>
      <c r="P12" s="77">
        <f t="shared" si="15"/>
        <v>-0.75552758066366188</v>
      </c>
      <c r="Q12" s="77">
        <f t="shared" si="16"/>
        <v>-2.250000000003638</v>
      </c>
      <c r="R12" s="51">
        <f t="shared" si="17"/>
        <v>1.9446256806929796</v>
      </c>
      <c r="S12" s="51">
        <f t="shared" si="18"/>
        <v>-2.5136490365862407</v>
      </c>
      <c r="T12" s="51">
        <f t="shared" si="19"/>
        <v>0.79999999999813554</v>
      </c>
      <c r="U12" s="77">
        <f t="shared" si="20"/>
        <v>1.817829997833087</v>
      </c>
      <c r="V12" s="77">
        <f t="shared" si="21"/>
        <v>-2.2417612506617779</v>
      </c>
      <c r="W12" s="77">
        <f t="shared" si="22"/>
        <v>0.90000000000145519</v>
      </c>
      <c r="X12" s="79"/>
      <c r="Y12">
        <f t="shared" si="23"/>
        <v>-13.100000000008549</v>
      </c>
    </row>
    <row r="13" spans="1:28" s="80" customFormat="1" ht="24.95" customHeight="1" x14ac:dyDescent="0.2">
      <c r="A13" s="29">
        <f t="shared" si="0"/>
        <v>5</v>
      </c>
      <c r="B13" s="30">
        <f t="shared" si="1"/>
        <v>43663</v>
      </c>
      <c r="C13" s="77">
        <f t="shared" si="2"/>
        <v>3.4805026640185588</v>
      </c>
      <c r="D13" s="77">
        <f t="shared" si="3"/>
        <v>2.9472193941697533</v>
      </c>
      <c r="E13" s="77">
        <f t="shared" si="4"/>
        <v>1.5999999999962711</v>
      </c>
      <c r="F13" s="78">
        <f t="shared" si="5"/>
        <v>3.0879181003911071</v>
      </c>
      <c r="G13" s="78">
        <f t="shared" si="6"/>
        <v>3.3158350377728851</v>
      </c>
      <c r="H13" s="78">
        <f t="shared" si="7"/>
        <v>1.3500000000021828</v>
      </c>
      <c r="I13" s="77">
        <f t="shared" si="8"/>
        <v>2.7859630025943716</v>
      </c>
      <c r="J13" s="77">
        <f t="shared" si="9"/>
        <v>3.7267157471982948</v>
      </c>
      <c r="K13" s="77">
        <f t="shared" si="10"/>
        <v>0.10000000000331966</v>
      </c>
      <c r="L13" s="78">
        <f t="shared" si="11"/>
        <v>-1.1344718586769886E-2</v>
      </c>
      <c r="M13" s="78">
        <f t="shared" si="12"/>
        <v>2.8635417704219179</v>
      </c>
      <c r="N13" s="77">
        <f t="shared" si="13"/>
        <v>-10.249999999999204</v>
      </c>
      <c r="O13" s="77">
        <f t="shared" si="14"/>
        <v>1.3354692639495624</v>
      </c>
      <c r="P13" s="77">
        <f t="shared" si="15"/>
        <v>1.3951780168945938</v>
      </c>
      <c r="Q13" s="77">
        <f t="shared" si="16"/>
        <v>-4.1499999999956572</v>
      </c>
      <c r="R13" s="51">
        <f t="shared" si="17"/>
        <v>2.5310924563655135</v>
      </c>
      <c r="S13" s="51">
        <f t="shared" si="18"/>
        <v>-0.69539238736782139</v>
      </c>
      <c r="T13" s="51">
        <f t="shared" si="19"/>
        <v>1.0000000000047748</v>
      </c>
      <c r="U13" s="77">
        <f t="shared" si="20"/>
        <v>2.1324092970189668</v>
      </c>
      <c r="V13" s="77">
        <f t="shared" si="21"/>
        <v>-0.55030039691938981</v>
      </c>
      <c r="W13" s="77">
        <f t="shared" si="22"/>
        <v>1.0999999999938836</v>
      </c>
      <c r="X13" s="79"/>
      <c r="Y13">
        <f t="shared" si="23"/>
        <v>-20.499999999998408</v>
      </c>
    </row>
    <row r="14" spans="1:28" s="80" customFormat="1" ht="24.95" customHeight="1" x14ac:dyDescent="0.2">
      <c r="A14" s="29">
        <f t="shared" si="0"/>
        <v>11</v>
      </c>
      <c r="B14" s="30">
        <f t="shared" si="1"/>
        <v>43669</v>
      </c>
      <c r="C14" s="77">
        <f t="shared" si="2"/>
        <v>1.4570189365770148</v>
      </c>
      <c r="D14" s="77">
        <f t="shared" si="3"/>
        <v>4.2103559639743438</v>
      </c>
      <c r="E14" s="77">
        <f t="shared" si="4"/>
        <v>4.5999999999963848</v>
      </c>
      <c r="F14" s="78">
        <f t="shared" si="5"/>
        <v>1.4208525086019108</v>
      </c>
      <c r="G14" s="78">
        <f t="shared" si="6"/>
        <v>4.5245087172842702</v>
      </c>
      <c r="H14" s="78">
        <f t="shared" si="7"/>
        <v>4.0500000000065484</v>
      </c>
      <c r="I14" s="77">
        <f t="shared" si="8"/>
        <v>1.7467765263177171</v>
      </c>
      <c r="J14" s="77">
        <f t="shared" si="9"/>
        <v>3.352427800622948</v>
      </c>
      <c r="K14" s="77">
        <f t="shared" si="10"/>
        <v>3.200000000006753</v>
      </c>
      <c r="L14" s="78">
        <f t="shared" si="11"/>
        <v>-3.4064641379245586</v>
      </c>
      <c r="M14" s="78">
        <f t="shared" si="12"/>
        <v>3.0456530766666265</v>
      </c>
      <c r="N14" s="77">
        <f t="shared" si="13"/>
        <v>-18.34999999999809</v>
      </c>
      <c r="O14" s="77">
        <f t="shared" si="14"/>
        <v>-0.26578887369055337</v>
      </c>
      <c r="P14" s="77">
        <f t="shared" si="15"/>
        <v>9.6728117908728706E-2</v>
      </c>
      <c r="Q14" s="77">
        <f t="shared" si="16"/>
        <v>-7.5500000000090495</v>
      </c>
      <c r="R14" s="51">
        <f t="shared" si="17"/>
        <v>1.76294087111728</v>
      </c>
      <c r="S14" s="51">
        <f t="shared" si="18"/>
        <v>-4.253473924666018</v>
      </c>
      <c r="T14" s="51">
        <f t="shared" si="19"/>
        <v>3.6000000000058208</v>
      </c>
      <c r="U14" s="77">
        <f t="shared" si="20"/>
        <v>14.414010325737081</v>
      </c>
      <c r="V14" s="77">
        <f t="shared" si="21"/>
        <v>-1.3327817481689763</v>
      </c>
      <c r="W14" s="77">
        <f t="shared" si="22"/>
        <v>-30.200000000007776</v>
      </c>
      <c r="X14" s="79"/>
      <c r="Y14">
        <f t="shared" si="23"/>
        <v>-36.69999999999618</v>
      </c>
    </row>
    <row r="15" spans="1:28" s="80" customFormat="1" ht="24.95" customHeight="1" x14ac:dyDescent="0.2">
      <c r="A15" s="29">
        <f t="shared" si="0"/>
        <v>17</v>
      </c>
      <c r="B15" s="30">
        <f t="shared" si="1"/>
        <v>43675</v>
      </c>
      <c r="C15" s="77">
        <f t="shared" si="2"/>
        <v>-0.28280590231588576</v>
      </c>
      <c r="D15" s="77">
        <f t="shared" si="3"/>
        <v>4.3920406680597601</v>
      </c>
      <c r="E15" s="77">
        <f t="shared" si="4"/>
        <v>1.90000000000623</v>
      </c>
      <c r="F15" s="78">
        <f t="shared" si="5"/>
        <v>-1.091832740485188E-2</v>
      </c>
      <c r="G15" s="78">
        <f t="shared" si="6"/>
        <v>4.5188362524744008</v>
      </c>
      <c r="H15" s="78">
        <f t="shared" si="7"/>
        <v>1.1500000000097543</v>
      </c>
      <c r="I15" s="77">
        <f t="shared" si="8"/>
        <v>0</v>
      </c>
      <c r="J15" s="77">
        <f t="shared" si="9"/>
        <v>0</v>
      </c>
      <c r="K15" s="77" t="str">
        <f t="shared" si="10"/>
        <v/>
      </c>
      <c r="L15" s="78">
        <f t="shared" si="11"/>
        <v>-7.4965495043102237</v>
      </c>
      <c r="M15" s="78">
        <f t="shared" si="12"/>
        <v>2.3519663031018325</v>
      </c>
      <c r="N15" s="77">
        <f t="shared" si="13"/>
        <v>-32.350000000008095</v>
      </c>
      <c r="O15" s="77">
        <f t="shared" si="14"/>
        <v>-2.9789926362866481</v>
      </c>
      <c r="P15" s="77">
        <f t="shared" si="15"/>
        <v>-2.6029989140889942</v>
      </c>
      <c r="Q15" s="77">
        <f t="shared" si="16"/>
        <v>-14.849999999995589</v>
      </c>
      <c r="R15" s="51">
        <f t="shared" si="17"/>
        <v>0.7651666362562537</v>
      </c>
      <c r="S15" s="51">
        <f t="shared" si="18"/>
        <v>-8.0289799355948155</v>
      </c>
      <c r="T15" s="51">
        <f t="shared" si="19"/>
        <v>0.79999999999813554</v>
      </c>
      <c r="U15" s="77">
        <f t="shared" si="20"/>
        <v>13.186613842037787</v>
      </c>
      <c r="V15" s="77">
        <f t="shared" si="21"/>
        <v>-5.3257128165116185</v>
      </c>
      <c r="W15" s="77">
        <f t="shared" si="22"/>
        <v>-32.700000000005502</v>
      </c>
      <c r="X15" s="79"/>
      <c r="Y15">
        <f t="shared" si="23"/>
        <v>-64.700000000016189</v>
      </c>
    </row>
    <row r="16" spans="1:28" ht="24.95" customHeight="1" x14ac:dyDescent="0.2">
      <c r="A16" s="29">
        <f t="shared" si="0"/>
        <v>21</v>
      </c>
      <c r="B16" s="30">
        <f t="shared" si="1"/>
        <v>43679</v>
      </c>
      <c r="C16" s="77">
        <f t="shared" si="2"/>
        <v>-0.46577964334915123</v>
      </c>
      <c r="D16" s="77">
        <f t="shared" si="3"/>
        <v>-2.3136680317925595</v>
      </c>
      <c r="E16" s="77">
        <f t="shared" si="4"/>
        <v>0.20000000000663931</v>
      </c>
      <c r="F16" s="78">
        <f t="shared" si="5"/>
        <v>3.574410231976799E-2</v>
      </c>
      <c r="G16" s="78">
        <f t="shared" si="6"/>
        <v>-1.9694473930993439</v>
      </c>
      <c r="H16" s="78">
        <f t="shared" si="7"/>
        <v>-0.4500000000007276</v>
      </c>
      <c r="I16" s="77">
        <f t="shared" si="8"/>
        <v>-2.7789854914601619</v>
      </c>
      <c r="J16" s="77">
        <f t="shared" si="9"/>
        <v>-0.19260301455936713</v>
      </c>
      <c r="K16" s="77">
        <f t="shared" si="10"/>
        <v>-6.1999999999926558</v>
      </c>
      <c r="L16" s="78">
        <f t="shared" si="11"/>
        <v>-9.0202024441907724</v>
      </c>
      <c r="M16" s="78">
        <f t="shared" si="12"/>
        <v>-2.6618549710806794</v>
      </c>
      <c r="N16" s="77">
        <f t="shared" si="13"/>
        <v>-40.350000000003661</v>
      </c>
      <c r="O16" s="77">
        <f t="shared" si="14"/>
        <v>-3.0656521362288913</v>
      </c>
      <c r="P16" s="77">
        <f t="shared" si="15"/>
        <v>-10.69821284717376</v>
      </c>
      <c r="Q16" s="77">
        <f t="shared" si="16"/>
        <v>-18.34999999999809</v>
      </c>
      <c r="R16" s="51">
        <f t="shared" si="17"/>
        <v>0.99876686869038167</v>
      </c>
      <c r="S16" s="51">
        <f t="shared" si="18"/>
        <v>-15.864504093085596</v>
      </c>
      <c r="T16" s="51">
        <f t="shared" si="19"/>
        <v>-0.69999999999481588</v>
      </c>
      <c r="U16" s="77">
        <f t="shared" si="20"/>
        <v>13.643745617684999</v>
      </c>
      <c r="V16" s="77">
        <f t="shared" si="21"/>
        <v>-13.167335174446126</v>
      </c>
      <c r="W16" s="77">
        <f t="shared" si="22"/>
        <v>-34.300000000001774</v>
      </c>
      <c r="X16" s="24"/>
      <c r="Y16">
        <f t="shared" si="23"/>
        <v>-80.700000000007321</v>
      </c>
    </row>
    <row r="17" spans="1:25" ht="24.95" customHeight="1" x14ac:dyDescent="0.2">
      <c r="A17" s="29">
        <f t="shared" si="0"/>
        <v>24</v>
      </c>
      <c r="B17" s="30">
        <f t="shared" si="1"/>
        <v>43682</v>
      </c>
      <c r="C17" s="77">
        <f t="shared" si="2"/>
        <v>-0.98515003344346042</v>
      </c>
      <c r="D17" s="77">
        <f t="shared" si="3"/>
        <v>-1.6731644477396834</v>
      </c>
      <c r="E17" s="77">
        <f t="shared" si="4"/>
        <v>1.0000000000047748</v>
      </c>
      <c r="F17" s="78">
        <f t="shared" si="5"/>
        <v>-0.79779291374393324</v>
      </c>
      <c r="G17" s="78">
        <f t="shared" si="6"/>
        <v>-1.3651103393583774</v>
      </c>
      <c r="H17" s="78">
        <f t="shared" si="7"/>
        <v>0.34999999999740794</v>
      </c>
      <c r="I17" s="77">
        <f t="shared" si="8"/>
        <v>-3.4373845485902166</v>
      </c>
      <c r="J17" s="77">
        <f t="shared" si="9"/>
        <v>0.27274035719182521</v>
      </c>
      <c r="K17" s="77">
        <f t="shared" si="10"/>
        <v>-5.8999999999969077</v>
      </c>
      <c r="L17" s="78">
        <f t="shared" si="11"/>
        <v>-10.838485368651618</v>
      </c>
      <c r="M17" s="78">
        <f t="shared" si="12"/>
        <v>-2.0753879051646775</v>
      </c>
      <c r="N17" s="77">
        <f t="shared" si="13"/>
        <v>-43.450000000007094</v>
      </c>
      <c r="O17" s="77">
        <f t="shared" si="14"/>
        <v>-3.2351423559475734</v>
      </c>
      <c r="P17" s="77">
        <f t="shared" si="15"/>
        <v>-11.990990494892495</v>
      </c>
      <c r="Q17" s="77">
        <f t="shared" si="16"/>
        <v>-18.650000000008049</v>
      </c>
      <c r="R17" s="51">
        <f t="shared" si="17"/>
        <v>0.79310219629746825</v>
      </c>
      <c r="S17" s="51">
        <f t="shared" si="18"/>
        <v>-16.84312890001527</v>
      </c>
      <c r="T17" s="51">
        <f t="shared" si="19"/>
        <v>0.20000000000663931</v>
      </c>
      <c r="U17" s="77">
        <f t="shared" si="20"/>
        <v>13.305178460086609</v>
      </c>
      <c r="V17" s="77">
        <f t="shared" si="21"/>
        <v>-14.097596391519307</v>
      </c>
      <c r="W17" s="77">
        <f t="shared" si="22"/>
        <v>-33.299999999996999</v>
      </c>
      <c r="X17" s="24"/>
      <c r="Y17">
        <f t="shared" si="23"/>
        <v>-86.900000000014188</v>
      </c>
    </row>
    <row r="18" spans="1:25" ht="24.95" customHeight="1" x14ac:dyDescent="0.2">
      <c r="A18" s="29">
        <f t="shared" si="0"/>
        <v>26</v>
      </c>
      <c r="B18" s="30">
        <f t="shared" si="1"/>
        <v>43684</v>
      </c>
      <c r="C18" s="77">
        <f t="shared" si="2"/>
        <v>-0.84707964336416808</v>
      </c>
      <c r="D18" s="77">
        <f t="shared" si="3"/>
        <v>-0.17236603179249244</v>
      </c>
      <c r="E18" s="77">
        <f t="shared" si="4"/>
        <v>1.1000000000080945</v>
      </c>
      <c r="F18" s="78">
        <f t="shared" si="5"/>
        <v>-0.3375558976586035</v>
      </c>
      <c r="G18" s="78">
        <f t="shared" si="6"/>
        <v>-2.2486393099541147E-2</v>
      </c>
      <c r="H18" s="78">
        <f t="shared" si="7"/>
        <v>0.55000000000404725</v>
      </c>
      <c r="I18" s="77">
        <f t="shared" si="8"/>
        <v>-2.3448854914533968</v>
      </c>
      <c r="J18" s="77">
        <f t="shared" si="9"/>
        <v>2.5724709854406669</v>
      </c>
      <c r="K18" s="77">
        <f t="shared" si="10"/>
        <v>-5.7999999999935881</v>
      </c>
      <c r="L18" s="78">
        <f t="shared" si="11"/>
        <v>-11.18120244419174</v>
      </c>
      <c r="M18" s="78">
        <f t="shared" si="12"/>
        <v>-1.0811089710806854</v>
      </c>
      <c r="N18" s="77">
        <f t="shared" si="13"/>
        <v>-45.249999999995794</v>
      </c>
      <c r="O18" s="77">
        <f t="shared" si="14"/>
        <v>-4.0936521362198164</v>
      </c>
      <c r="P18" s="77">
        <f t="shared" si="15"/>
        <v>-12.629753847173797</v>
      </c>
      <c r="Q18" s="77">
        <f t="shared" si="16"/>
        <v>-17.750000000006594</v>
      </c>
      <c r="R18" s="51">
        <f t="shared" si="17"/>
        <v>0.3344668686793284</v>
      </c>
      <c r="S18" s="51">
        <f t="shared" si="18"/>
        <v>-16.024604093085593</v>
      </c>
      <c r="T18" s="51">
        <f t="shared" si="19"/>
        <v>0.20000000000663931</v>
      </c>
      <c r="U18" s="77">
        <f t="shared" si="20"/>
        <v>12.42634561768341</v>
      </c>
      <c r="V18" s="77">
        <f t="shared" si="21"/>
        <v>-13.364695174446162</v>
      </c>
      <c r="W18" s="77">
        <f t="shared" si="22"/>
        <v>-33.10000000000457</v>
      </c>
      <c r="X18" s="24"/>
      <c r="Y18">
        <f t="shared" si="23"/>
        <v>-90.499999999991587</v>
      </c>
    </row>
    <row r="19" spans="1:25" ht="24.95" customHeight="1" x14ac:dyDescent="0.2">
      <c r="A19" s="95"/>
      <c r="B19" s="96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24"/>
      <c r="Y19">
        <f t="shared" si="23"/>
        <v>0</v>
      </c>
    </row>
    <row r="20" spans="1:25" ht="24.95" customHeight="1" x14ac:dyDescent="0.2">
      <c r="A20" s="95"/>
      <c r="B20" s="96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24"/>
      <c r="Y20">
        <f t="shared" si="23"/>
        <v>0</v>
      </c>
    </row>
    <row r="21" spans="1:25" ht="24.95" customHeight="1" x14ac:dyDescent="0.2">
      <c r="A21" s="29">
        <f t="shared" si="0"/>
        <v>27</v>
      </c>
      <c r="B21" s="30">
        <f t="shared" si="1"/>
        <v>43685</v>
      </c>
      <c r="C21" s="77">
        <f t="shared" si="2"/>
        <v>-0.64707964335752877</v>
      </c>
      <c r="D21" s="77">
        <f t="shared" si="3"/>
        <v>0.52763396820765252</v>
      </c>
      <c r="E21" s="77">
        <f t="shared" si="4"/>
        <v>1.300000000000523</v>
      </c>
      <c r="F21" s="78">
        <f t="shared" si="5"/>
        <v>-0.13755589765196419</v>
      </c>
      <c r="G21" s="78">
        <f t="shared" si="6"/>
        <v>0.87751360690058178</v>
      </c>
      <c r="H21" s="78">
        <f t="shared" si="7"/>
        <v>0.55000000000404725</v>
      </c>
      <c r="I21" s="77">
        <f t="shared" si="8"/>
        <v>-1.9448854914685398</v>
      </c>
      <c r="J21" s="77">
        <f t="shared" si="9"/>
        <v>3.2724709854403677</v>
      </c>
      <c r="K21" s="77">
        <f t="shared" si="10"/>
        <v>-5.6999999999902684</v>
      </c>
      <c r="L21" s="78">
        <f t="shared" si="11"/>
        <v>-10.481202444196924</v>
      </c>
      <c r="M21" s="78">
        <f t="shared" si="12"/>
        <v>-0.28110897108066246</v>
      </c>
      <c r="N21" s="77">
        <f t="shared" si="13"/>
        <v>-45.450000000002433</v>
      </c>
      <c r="O21" s="77">
        <f t="shared" si="14"/>
        <v>-3.9936521362449184</v>
      </c>
      <c r="P21" s="77">
        <f t="shared" si="15"/>
        <v>-11.929753847173874</v>
      </c>
      <c r="Q21" s="77">
        <f t="shared" si="16"/>
        <v>-17.750000000006594</v>
      </c>
      <c r="R21" s="51">
        <f t="shared" ref="R21:R52" si="24">DPM_ID</f>
        <v>0.63446686866086566</v>
      </c>
      <c r="S21" s="51">
        <f t="shared" ref="S21:S52" si="25">DH_ID</f>
        <v>-15.324604093085448</v>
      </c>
      <c r="T21" s="51">
        <f t="shared" si="19"/>
        <v>0.20000000000663931</v>
      </c>
      <c r="U21" s="77">
        <f t="shared" si="20"/>
        <v>12.42634561768341</v>
      </c>
      <c r="V21" s="77">
        <f t="shared" si="21"/>
        <v>-12.364695174446272</v>
      </c>
      <c r="W21" s="77">
        <f t="shared" si="22"/>
        <v>-33.000000000001251</v>
      </c>
      <c r="X21" s="24"/>
      <c r="Y21">
        <f t="shared" si="23"/>
        <v>-90.900000000004866</v>
      </c>
    </row>
    <row r="22" spans="1:25" ht="24.95" customHeight="1" x14ac:dyDescent="0.2">
      <c r="A22" s="29">
        <f t="shared" si="0"/>
        <v>31</v>
      </c>
      <c r="B22" s="30">
        <f t="shared" si="1"/>
        <v>43689</v>
      </c>
      <c r="C22" s="77">
        <f t="shared" si="2"/>
        <v>-1.8440098424434836</v>
      </c>
      <c r="D22" s="77">
        <f t="shared" si="3"/>
        <v>-0.75707618413467515</v>
      </c>
      <c r="E22" s="77">
        <f t="shared" si="4"/>
        <v>1.300000000000523</v>
      </c>
      <c r="F22" s="78">
        <f t="shared" si="5"/>
        <v>-1.2872994215342715</v>
      </c>
      <c r="G22" s="78">
        <f t="shared" si="6"/>
        <v>-0.37329214844694647</v>
      </c>
      <c r="H22" s="78">
        <f t="shared" si="7"/>
        <v>0.55000000000404725</v>
      </c>
      <c r="I22" s="77">
        <f t="shared" si="8"/>
        <v>-3.2145122737290421</v>
      </c>
      <c r="J22" s="77">
        <f t="shared" si="9"/>
        <v>2.2674116335688055</v>
      </c>
      <c r="K22" s="77">
        <f t="shared" si="10"/>
        <v>-6.0999999999893362</v>
      </c>
      <c r="L22" s="78">
        <f t="shared" si="11"/>
        <v>-12.413679079486428</v>
      </c>
      <c r="M22" s="78">
        <f t="shared" si="12"/>
        <v>-2.1440354578944607</v>
      </c>
      <c r="N22" s="77">
        <f t="shared" si="13"/>
        <v>-49.049999999994043</v>
      </c>
      <c r="O22" s="77">
        <f t="shared" si="14"/>
        <v>-4.6530288741166714</v>
      </c>
      <c r="P22" s="77">
        <f t="shared" si="15"/>
        <v>-14.246947761137552</v>
      </c>
      <c r="Q22" s="77">
        <f t="shared" si="16"/>
        <v>-18.650000000008049</v>
      </c>
      <c r="R22" s="51">
        <f t="shared" si="24"/>
        <v>0.24850531301012779</v>
      </c>
      <c r="S22" s="51">
        <f t="shared" si="25"/>
        <v>-17.324436359146489</v>
      </c>
      <c r="T22" s="51">
        <f t="shared" si="19"/>
        <v>0.30000000000995897</v>
      </c>
      <c r="U22" s="77">
        <f t="shared" si="20"/>
        <v>12.458211461449764</v>
      </c>
      <c r="V22" s="77">
        <f t="shared" si="21"/>
        <v>-14.631653456852245</v>
      </c>
      <c r="W22" s="77">
        <f t="shared" si="22"/>
        <v>-32.799999999994611</v>
      </c>
      <c r="X22" s="24"/>
      <c r="Y22">
        <f t="shared" si="23"/>
        <v>-98.099999999988086</v>
      </c>
    </row>
    <row r="23" spans="1:25" ht="24.95" customHeight="1" x14ac:dyDescent="0.2">
      <c r="A23" s="29">
        <f t="shared" si="0"/>
        <v>32</v>
      </c>
      <c r="B23" s="30">
        <f t="shared" si="1"/>
        <v>43690</v>
      </c>
      <c r="C23" s="77">
        <f t="shared" si="2"/>
        <v>-1.4030796433530668</v>
      </c>
      <c r="D23" s="77">
        <f t="shared" si="3"/>
        <v>-0.99279703179222523</v>
      </c>
      <c r="E23" s="77">
        <f t="shared" si="4"/>
        <v>2.0000000000095497</v>
      </c>
      <c r="F23" s="78">
        <f t="shared" si="5"/>
        <v>-1.0276558976443084</v>
      </c>
      <c r="G23" s="78">
        <f t="shared" si="6"/>
        <v>-0.69354339309946056</v>
      </c>
      <c r="H23" s="78">
        <f t="shared" si="7"/>
        <v>1.1500000000097543</v>
      </c>
      <c r="I23" s="77">
        <f t="shared" si="8"/>
        <v>-2.6406854914569067</v>
      </c>
      <c r="J23" s="77">
        <f t="shared" si="9"/>
        <v>1.98332698544057</v>
      </c>
      <c r="K23" s="77">
        <f t="shared" si="10"/>
        <v>-5.4999999999836291</v>
      </c>
      <c r="L23" s="78">
        <f t="shared" si="11"/>
        <v>-11.658602444185817</v>
      </c>
      <c r="M23" s="78">
        <f t="shared" si="12"/>
        <v>-2.3435899710806671</v>
      </c>
      <c r="N23" s="77">
        <f t="shared" si="13"/>
        <v>-48.749999999998295</v>
      </c>
      <c r="O23" s="77">
        <f t="shared" si="14"/>
        <v>-4.2604521362363812</v>
      </c>
      <c r="P23" s="77">
        <f t="shared" si="15"/>
        <v>-14.615563847173885</v>
      </c>
      <c r="Q23" s="77">
        <f t="shared" si="16"/>
        <v>-18.250000000008981</v>
      </c>
      <c r="R23" s="51">
        <f t="shared" si="24"/>
        <v>0.81626686866798082</v>
      </c>
      <c r="S23" s="51">
        <f t="shared" si="25"/>
        <v>-17.832045093085558</v>
      </c>
      <c r="T23" s="51">
        <f t="shared" si="19"/>
        <v>0.80000000001234639</v>
      </c>
      <c r="U23" s="77">
        <f t="shared" si="20"/>
        <v>12.663445617675961</v>
      </c>
      <c r="V23" s="77">
        <f t="shared" si="21"/>
        <v>-15.308323174446414</v>
      </c>
      <c r="W23" s="77">
        <f t="shared" si="22"/>
        <v>-31.999999999996476</v>
      </c>
      <c r="X23" s="24"/>
      <c r="Y23">
        <f t="shared" si="23"/>
        <v>-97.499999999996589</v>
      </c>
    </row>
    <row r="24" spans="1:25" ht="24.95" customHeight="1" x14ac:dyDescent="0.2">
      <c r="A24" s="29">
        <f t="shared" si="0"/>
        <v>38</v>
      </c>
      <c r="B24" s="30">
        <f t="shared" si="1"/>
        <v>43696</v>
      </c>
      <c r="C24" s="77">
        <f t="shared" si="2"/>
        <v>-0.54707964335420911</v>
      </c>
      <c r="D24" s="77">
        <f t="shared" si="3"/>
        <v>-0.17236603179249244</v>
      </c>
      <c r="E24" s="77">
        <f t="shared" si="4"/>
        <v>2.3000000000052978</v>
      </c>
      <c r="F24" s="78">
        <f t="shared" si="5"/>
        <v>-0.23755589765528384</v>
      </c>
      <c r="G24" s="78">
        <f t="shared" si="6"/>
        <v>0.17751360690043683</v>
      </c>
      <c r="H24" s="78">
        <f t="shared" si="7"/>
        <v>1.2499999999988631</v>
      </c>
      <c r="I24" s="77">
        <f t="shared" si="8"/>
        <v>-2.2448854914784988</v>
      </c>
      <c r="J24" s="77">
        <f t="shared" si="9"/>
        <v>3.3724709854405788</v>
      </c>
      <c r="K24" s="77">
        <f t="shared" si="10"/>
        <v>-5.8999999999826969</v>
      </c>
      <c r="L24" s="78">
        <f t="shared" si="11"/>
        <v>-12.581202444181372</v>
      </c>
      <c r="M24" s="78">
        <f t="shared" si="12"/>
        <v>-2.0811089710806865</v>
      </c>
      <c r="N24" s="77">
        <f t="shared" si="13"/>
        <v>-51.55000000000598</v>
      </c>
      <c r="O24" s="77">
        <f t="shared" si="14"/>
        <v>-3.7936521362382791</v>
      </c>
      <c r="P24" s="77">
        <f t="shared" si="15"/>
        <v>-14.52975384717381</v>
      </c>
      <c r="Q24" s="77">
        <f t="shared" si="16"/>
        <v>-18.950000000003797</v>
      </c>
      <c r="R24" s="51">
        <f t="shared" si="24"/>
        <v>1.0344668686741443</v>
      </c>
      <c r="S24" s="51">
        <f t="shared" si="25"/>
        <v>-17.724604093085627</v>
      </c>
      <c r="T24" s="51">
        <f t="shared" si="19"/>
        <v>1.1000000000080945</v>
      </c>
      <c r="U24" s="77">
        <f t="shared" si="20"/>
        <v>12.926345617671586</v>
      </c>
      <c r="V24" s="77">
        <f t="shared" si="21"/>
        <v>-15.064695174446197</v>
      </c>
      <c r="W24" s="77">
        <f t="shared" si="22"/>
        <v>-31.899999999993156</v>
      </c>
      <c r="X24" s="24"/>
      <c r="Y24">
        <f t="shared" si="23"/>
        <v>-103.10000000001196</v>
      </c>
    </row>
    <row r="25" spans="1:25" ht="24.95" customHeight="1" x14ac:dyDescent="0.2">
      <c r="A25" s="29">
        <f t="shared" si="0"/>
        <v>41</v>
      </c>
      <c r="B25" s="30">
        <f t="shared" si="1"/>
        <v>43699</v>
      </c>
      <c r="C25" s="77">
        <f t="shared" si="2"/>
        <v>-0.74707964336084842</v>
      </c>
      <c r="D25" s="77">
        <f t="shared" si="3"/>
        <v>0.22763396820746351</v>
      </c>
      <c r="E25" s="77">
        <f t="shared" si="4"/>
        <v>1.6999999999995907</v>
      </c>
      <c r="F25" s="78">
        <f t="shared" si="5"/>
        <v>-0.3375558976586035</v>
      </c>
      <c r="G25" s="78">
        <f t="shared" si="6"/>
        <v>0.47751360690062583</v>
      </c>
      <c r="H25" s="78">
        <f t="shared" si="7"/>
        <v>0.65000000000736691</v>
      </c>
      <c r="I25" s="77">
        <f t="shared" si="8"/>
        <v>-2.5448854914600361</v>
      </c>
      <c r="J25" s="77">
        <f t="shared" si="9"/>
        <v>3.1724709854406008</v>
      </c>
      <c r="K25" s="77">
        <f t="shared" si="10"/>
        <v>-6.6999999999950433</v>
      </c>
      <c r="L25" s="78">
        <f t="shared" si="11"/>
        <v>-13.381202444179507</v>
      </c>
      <c r="M25" s="78">
        <f t="shared" si="12"/>
        <v>-2.8811089710806534</v>
      </c>
      <c r="N25" s="77">
        <f t="shared" si="13"/>
        <v>-53.849999999997067</v>
      </c>
      <c r="O25" s="77">
        <f t="shared" si="14"/>
        <v>-4.2936521362264557</v>
      </c>
      <c r="P25" s="77">
        <f t="shared" si="15"/>
        <v>-15.629753847173911</v>
      </c>
      <c r="Q25" s="77">
        <f t="shared" si="16"/>
        <v>-20.25000000000432</v>
      </c>
      <c r="R25" s="51">
        <f t="shared" si="24"/>
        <v>0.83446686866750497</v>
      </c>
      <c r="S25" s="51">
        <f t="shared" si="25"/>
        <v>-18.624604093085306</v>
      </c>
      <c r="T25" s="51">
        <f t="shared" si="19"/>
        <v>0.40000000001327862</v>
      </c>
      <c r="U25" s="77">
        <f t="shared" si="20"/>
        <v>12.42634561768341</v>
      </c>
      <c r="V25" s="77">
        <f t="shared" si="21"/>
        <v>-16.064695174446086</v>
      </c>
      <c r="W25" s="77">
        <f t="shared" si="22"/>
        <v>-32.299999999992224</v>
      </c>
      <c r="X25" s="24"/>
      <c r="Y25">
        <f t="shared" si="23"/>
        <v>-107.69999999999413</v>
      </c>
    </row>
    <row r="26" spans="1:25" ht="24.95" customHeight="1" x14ac:dyDescent="0.2">
      <c r="A26" s="29">
        <f t="shared" si="0"/>
        <v>46</v>
      </c>
      <c r="B26" s="30">
        <f t="shared" si="1"/>
        <v>43704</v>
      </c>
      <c r="C26" s="77">
        <f t="shared" si="2"/>
        <v>-0.39351610377025281</v>
      </c>
      <c r="D26" s="77">
        <f t="shared" si="3"/>
        <v>1.5744615462311984</v>
      </c>
      <c r="E26" s="77">
        <f t="shared" si="4"/>
        <v>1.6000000000104819</v>
      </c>
      <c r="F26" s="78">
        <f t="shared" si="5"/>
        <v>-0.33221700934404907</v>
      </c>
      <c r="G26" s="78">
        <f t="shared" si="6"/>
        <v>1.8375488041830756</v>
      </c>
      <c r="H26" s="78">
        <f t="shared" si="7"/>
        <v>0.65000000000736691</v>
      </c>
      <c r="I26" s="77">
        <f t="shared" si="8"/>
        <v>-2.2411333499974262</v>
      </c>
      <c r="J26" s="77">
        <f t="shared" si="9"/>
        <v>5.1488233696668217</v>
      </c>
      <c r="K26" s="77">
        <f t="shared" si="10"/>
        <v>-6.8999999999874717</v>
      </c>
      <c r="L26" s="78">
        <f t="shared" si="11"/>
        <v>-13.585333548746803</v>
      </c>
      <c r="M26" s="78">
        <f t="shared" si="12"/>
        <v>-0.81466483885875296</v>
      </c>
      <c r="N26" s="77">
        <f t="shared" si="13"/>
        <v>-55.649999999999977</v>
      </c>
      <c r="O26" s="77">
        <f t="shared" si="14"/>
        <v>9.5090959528363328</v>
      </c>
      <c r="P26" s="77">
        <f t="shared" si="15"/>
        <v>-8.4147763819995003</v>
      </c>
      <c r="Q26" s="77">
        <f t="shared" si="16"/>
        <v>-28.750000000002274</v>
      </c>
      <c r="R26" s="51">
        <f t="shared" si="24"/>
        <v>0.29686924187899422</v>
      </c>
      <c r="S26" s="51">
        <f t="shared" si="25"/>
        <v>-17.191541918749831</v>
      </c>
      <c r="T26" s="51">
        <f t="shared" si="19"/>
        <v>0.50000000001659828</v>
      </c>
      <c r="U26" s="77">
        <f t="shared" si="20"/>
        <v>12.28305174421962</v>
      </c>
      <c r="V26" s="77">
        <f t="shared" si="21"/>
        <v>-14.492660160518422</v>
      </c>
      <c r="W26" s="77">
        <f t="shared" si="22"/>
        <v>-32.299999999992224</v>
      </c>
      <c r="X26" s="24"/>
      <c r="Y26">
        <f t="shared" si="23"/>
        <v>-111.29999999999995</v>
      </c>
    </row>
    <row r="27" spans="1:25" ht="24.95" customHeight="1" x14ac:dyDescent="0.2">
      <c r="A27" s="29">
        <f t="shared" si="0"/>
        <v>48</v>
      </c>
      <c r="B27" s="30">
        <f t="shared" si="1"/>
        <v>43706</v>
      </c>
      <c r="C27" s="77">
        <f t="shared" si="2"/>
        <v>1.1529203566453816</v>
      </c>
      <c r="D27" s="77">
        <f t="shared" si="3"/>
        <v>0.82763396820739743</v>
      </c>
      <c r="E27" s="77">
        <f t="shared" si="4"/>
        <v>2.4000000000086175</v>
      </c>
      <c r="F27" s="78">
        <f t="shared" si="5"/>
        <v>0.762444102349491</v>
      </c>
      <c r="G27" s="78">
        <f t="shared" si="6"/>
        <v>0.97751360690079281</v>
      </c>
      <c r="H27" s="78">
        <f t="shared" si="7"/>
        <v>1.4500000000055024</v>
      </c>
      <c r="I27" s="77">
        <f t="shared" si="8"/>
        <v>-1.5448854914552612</v>
      </c>
      <c r="J27" s="77">
        <f t="shared" si="9"/>
        <v>3.5724709854405567</v>
      </c>
      <c r="K27" s="77">
        <f t="shared" si="10"/>
        <v>-6.0999999999893362</v>
      </c>
      <c r="L27" s="78">
        <f t="shared" si="11"/>
        <v>-12.581202444181372</v>
      </c>
      <c r="M27" s="78">
        <f t="shared" si="12"/>
        <v>-1.3811089710806523</v>
      </c>
      <c r="N27" s="77">
        <f t="shared" si="13"/>
        <v>-55.14999999999759</v>
      </c>
      <c r="O27" s="77">
        <f t="shared" si="14"/>
        <v>11.2063478637765</v>
      </c>
      <c r="P27" s="77">
        <f t="shared" si="15"/>
        <v>-9.0297538471739713</v>
      </c>
      <c r="Q27" s="77">
        <f t="shared" si="16"/>
        <v>-27.75000000001171</v>
      </c>
      <c r="R27" s="51">
        <f t="shared" si="24"/>
        <v>2.3344668686604564</v>
      </c>
      <c r="S27" s="51">
        <f t="shared" si="25"/>
        <v>-18.324604093085561</v>
      </c>
      <c r="T27" s="51">
        <f t="shared" si="19"/>
        <v>1.2000000000114142</v>
      </c>
      <c r="U27" s="77">
        <f t="shared" si="20"/>
        <v>13.626345617666402</v>
      </c>
      <c r="V27" s="77">
        <f t="shared" si="21"/>
        <v>-15.66469517444613</v>
      </c>
      <c r="W27" s="77">
        <f t="shared" si="22"/>
        <v>-31.700000000000728</v>
      </c>
      <c r="X27" s="24"/>
      <c r="Y27">
        <f t="shared" si="23"/>
        <v>-110.29999999999518</v>
      </c>
    </row>
    <row r="28" spans="1:25" ht="24.95" customHeight="1" x14ac:dyDescent="0.2">
      <c r="A28" s="29">
        <f t="shared" si="0"/>
        <v>52</v>
      </c>
      <c r="B28" s="30">
        <f t="shared" si="1"/>
        <v>43710</v>
      </c>
      <c r="C28" s="77">
        <f t="shared" si="2"/>
        <v>-4.7079643366032542E-2</v>
      </c>
      <c r="D28" s="77">
        <f t="shared" si="3"/>
        <v>1.2276339682073534</v>
      </c>
      <c r="E28" s="77">
        <f t="shared" si="4"/>
        <v>2.0000000000095497</v>
      </c>
      <c r="F28" s="78">
        <f t="shared" si="5"/>
        <v>0.36244410233621238</v>
      </c>
      <c r="G28" s="78">
        <f t="shared" si="6"/>
        <v>1.3775136069007488</v>
      </c>
      <c r="H28" s="78">
        <f t="shared" si="7"/>
        <v>1.1500000000097543</v>
      </c>
      <c r="I28" s="77">
        <f t="shared" si="8"/>
        <v>-1.5448854914552612</v>
      </c>
      <c r="J28" s="77">
        <f t="shared" si="9"/>
        <v>4.6724709854406576</v>
      </c>
      <c r="K28" s="77">
        <f t="shared" si="10"/>
        <v>-6.7999999999841521</v>
      </c>
      <c r="L28" s="78">
        <f t="shared" si="11"/>
        <v>-12.781202444188011</v>
      </c>
      <c r="M28" s="78">
        <f t="shared" si="12"/>
        <v>-1.0811089710806854</v>
      </c>
      <c r="N28" s="77">
        <f t="shared" si="13"/>
        <v>-56.250000000005684</v>
      </c>
      <c r="O28" s="77">
        <f t="shared" si="14"/>
        <v>10.406347863778365</v>
      </c>
      <c r="P28" s="77">
        <f t="shared" si="15"/>
        <v>-8.9297538471739824</v>
      </c>
      <c r="Q28" s="77">
        <f t="shared" si="16"/>
        <v>-28.350000000003206</v>
      </c>
      <c r="R28" s="51">
        <f t="shared" si="24"/>
        <v>1.2344668686807836</v>
      </c>
      <c r="S28" s="51">
        <f t="shared" si="25"/>
        <v>-18.024604093085372</v>
      </c>
      <c r="T28" s="51">
        <f t="shared" si="19"/>
        <v>0.80000000001234639</v>
      </c>
      <c r="U28" s="77">
        <f t="shared" si="20"/>
        <v>13.326345617684865</v>
      </c>
      <c r="V28" s="77">
        <f t="shared" si="21"/>
        <v>-15.364695174446386</v>
      </c>
      <c r="W28" s="77">
        <f t="shared" si="22"/>
        <v>-31.899999999993156</v>
      </c>
      <c r="X28" s="24"/>
      <c r="Y28">
        <f t="shared" si="23"/>
        <v>-112.50000000001137</v>
      </c>
    </row>
    <row r="29" spans="1:25" ht="24.95" customHeight="1" x14ac:dyDescent="0.2">
      <c r="A29" s="29">
        <f t="shared" si="0"/>
        <v>55</v>
      </c>
      <c r="B29" s="30">
        <f t="shared" si="1"/>
        <v>43713</v>
      </c>
      <c r="C29" s="77">
        <f t="shared" si="2"/>
        <v>1.3529203566235992</v>
      </c>
      <c r="D29" s="77">
        <f t="shared" si="3"/>
        <v>2.8276339682076213</v>
      </c>
      <c r="E29" s="77">
        <f t="shared" si="4"/>
        <v>3.0000000000001137</v>
      </c>
      <c r="F29" s="78">
        <f t="shared" si="5"/>
        <v>1.3624441023409872</v>
      </c>
      <c r="G29" s="78">
        <f t="shared" si="6"/>
        <v>3.2775136069007615</v>
      </c>
      <c r="H29" s="78">
        <f t="shared" si="7"/>
        <v>2.0500000000112095</v>
      </c>
      <c r="I29" s="77">
        <f t="shared" si="8"/>
        <v>-0.84488549146044534</v>
      </c>
      <c r="J29" s="77">
        <f t="shared" si="9"/>
        <v>6.6724709854404374</v>
      </c>
      <c r="K29" s="77">
        <f t="shared" si="10"/>
        <v>-6.2999999999817646</v>
      </c>
      <c r="L29" s="78">
        <f t="shared" si="11"/>
        <v>-12.181202444196515</v>
      </c>
      <c r="M29" s="78">
        <f t="shared" si="12"/>
        <v>0.71889102891933843</v>
      </c>
      <c r="N29" s="77">
        <f t="shared" si="13"/>
        <v>-56.150000000002365</v>
      </c>
      <c r="O29" s="77">
        <f t="shared" si="14"/>
        <v>10.806347863763222</v>
      </c>
      <c r="P29" s="77">
        <f t="shared" si="15"/>
        <v>-7.0297538471739696</v>
      </c>
      <c r="Q29" s="77">
        <f t="shared" si="16"/>
        <v>-27.850000000000819</v>
      </c>
      <c r="R29" s="51">
        <f t="shared" si="24"/>
        <v>1.9344668686755995</v>
      </c>
      <c r="S29" s="51">
        <f t="shared" si="25"/>
        <v>-16.224604093085571</v>
      </c>
      <c r="T29" s="51">
        <f t="shared" si="19"/>
        <v>1.6000000000104819</v>
      </c>
      <c r="U29" s="77">
        <f t="shared" si="20"/>
        <v>13.926345617676361</v>
      </c>
      <c r="V29" s="77">
        <f t="shared" si="21"/>
        <v>-13.464695174446373</v>
      </c>
      <c r="W29" s="77">
        <f t="shared" si="22"/>
        <v>-31.099999999995021</v>
      </c>
      <c r="X29" s="24"/>
      <c r="Y29">
        <f t="shared" si="23"/>
        <v>-112.30000000000473</v>
      </c>
    </row>
    <row r="30" spans="1:25" ht="24.95" customHeight="1" x14ac:dyDescent="0.2">
      <c r="A30" s="29">
        <f t="shared" si="0"/>
        <v>60</v>
      </c>
      <c r="B30" s="30">
        <f t="shared" si="1"/>
        <v>43718</v>
      </c>
      <c r="C30" s="77">
        <f t="shared" si="2"/>
        <v>-4.7079643366032542E-2</v>
      </c>
      <c r="D30" s="77">
        <f t="shared" si="3"/>
        <v>-0.17236603179249244</v>
      </c>
      <c r="E30" s="77">
        <f t="shared" si="4"/>
        <v>2.6000000000010459</v>
      </c>
      <c r="F30" s="78">
        <f t="shared" si="5"/>
        <v>0.56244410234285169</v>
      </c>
      <c r="G30" s="78">
        <f t="shared" si="6"/>
        <v>-2.2486393099541147E-2</v>
      </c>
      <c r="H30" s="78">
        <f t="shared" si="7"/>
        <v>1.4500000000055024</v>
      </c>
      <c r="I30" s="77">
        <f t="shared" si="8"/>
        <v>-1.5448854914552612</v>
      </c>
      <c r="J30" s="77">
        <f t="shared" si="9"/>
        <v>3.3724709854405788</v>
      </c>
      <c r="K30" s="77">
        <f t="shared" si="10"/>
        <v>-6.8999999999874717</v>
      </c>
      <c r="L30" s="78">
        <f t="shared" si="11"/>
        <v>-12.481202444178052</v>
      </c>
      <c r="M30" s="78">
        <f t="shared" si="12"/>
        <v>-2.4811089710806424</v>
      </c>
      <c r="N30" s="77">
        <f t="shared" si="13"/>
        <v>-57.450000000002888</v>
      </c>
      <c r="O30" s="77">
        <f t="shared" si="14"/>
        <v>10.806347863763222</v>
      </c>
      <c r="P30" s="77">
        <f t="shared" si="15"/>
        <v>-10.729753847174006</v>
      </c>
      <c r="Q30" s="77">
        <f t="shared" si="16"/>
        <v>-28.750000000002274</v>
      </c>
      <c r="R30" s="51">
        <f t="shared" si="24"/>
        <v>2.3344668686604564</v>
      </c>
      <c r="S30" s="51">
        <f t="shared" si="25"/>
        <v>-20.124604093085363</v>
      </c>
      <c r="T30" s="51">
        <f t="shared" si="19"/>
        <v>1.0000000000189857</v>
      </c>
      <c r="U30" s="77">
        <f t="shared" si="20"/>
        <v>13.826345617673041</v>
      </c>
      <c r="V30" s="77">
        <f t="shared" si="21"/>
        <v>-17.364695174446165</v>
      </c>
      <c r="W30" s="77">
        <f t="shared" si="22"/>
        <v>-31.899999999993156</v>
      </c>
      <c r="X30" s="24"/>
      <c r="Y30">
        <f t="shared" si="23"/>
        <v>-114.90000000000578</v>
      </c>
    </row>
    <row r="31" spans="1:25" ht="24.95" customHeight="1" x14ac:dyDescent="0.2">
      <c r="A31" s="29">
        <f t="shared" si="0"/>
        <v>62</v>
      </c>
      <c r="B31" s="30">
        <f t="shared" si="1"/>
        <v>43720</v>
      </c>
      <c r="C31" s="77">
        <f t="shared" si="2"/>
        <v>0.15292035664060677</v>
      </c>
      <c r="D31" s="77">
        <f t="shared" si="3"/>
        <v>1.8276339682077314</v>
      </c>
      <c r="E31" s="77">
        <f t="shared" si="4"/>
        <v>2.0999999999986585</v>
      </c>
      <c r="F31" s="78">
        <f t="shared" si="5"/>
        <v>0.762444102349491</v>
      </c>
      <c r="G31" s="78">
        <f t="shared" si="6"/>
        <v>1.9775136069006827</v>
      </c>
      <c r="H31" s="78">
        <f t="shared" si="7"/>
        <v>0.75000000001068656</v>
      </c>
      <c r="I31" s="77">
        <f t="shared" si="8"/>
        <v>-1.5448854914552612</v>
      </c>
      <c r="J31" s="77">
        <f t="shared" si="9"/>
        <v>5.5724709854407806</v>
      </c>
      <c r="K31" s="77">
        <f t="shared" si="10"/>
        <v>-7.4999999999931788</v>
      </c>
      <c r="L31" s="78">
        <f t="shared" si="11"/>
        <v>-12.581202444181372</v>
      </c>
      <c r="M31" s="78">
        <f t="shared" si="12"/>
        <v>-1.3811089710806523</v>
      </c>
      <c r="N31" s="77">
        <f t="shared" si="13"/>
        <v>-58.450000000007662</v>
      </c>
      <c r="O31" s="77">
        <f t="shared" si="14"/>
        <v>10.206347863771725</v>
      </c>
      <c r="P31" s="77">
        <f t="shared" si="15"/>
        <v>-9.0297538471739713</v>
      </c>
      <c r="Q31" s="77">
        <f t="shared" si="16"/>
        <v>-29.350000000007981</v>
      </c>
      <c r="R31" s="51">
        <f t="shared" si="24"/>
        <v>2.3344668686604564</v>
      </c>
      <c r="S31" s="51">
        <f t="shared" si="25"/>
        <v>-18.324604093085561</v>
      </c>
      <c r="T31" s="51">
        <f t="shared" si="19"/>
        <v>0.40000000001327862</v>
      </c>
      <c r="U31" s="77">
        <f t="shared" si="20"/>
        <v>13.626345617666402</v>
      </c>
      <c r="V31" s="77">
        <f t="shared" si="21"/>
        <v>-15.66469517444613</v>
      </c>
      <c r="W31" s="77">
        <f t="shared" si="22"/>
        <v>-32.499999999998863</v>
      </c>
      <c r="X31" s="24"/>
      <c r="Y31">
        <f t="shared" si="23"/>
        <v>-116.90000000001532</v>
      </c>
    </row>
    <row r="32" spans="1:25" ht="24.95" customHeight="1" x14ac:dyDescent="0.2">
      <c r="A32" s="29">
        <f t="shared" si="0"/>
        <v>66</v>
      </c>
      <c r="B32" s="30">
        <f t="shared" si="1"/>
        <v>43724</v>
      </c>
      <c r="C32" s="77">
        <f t="shared" si="2"/>
        <v>5.2920356637287114E-2</v>
      </c>
      <c r="D32" s="77">
        <f t="shared" si="3"/>
        <v>2.1276339682074763</v>
      </c>
      <c r="E32" s="77">
        <f t="shared" si="4"/>
        <v>1.90000000000623</v>
      </c>
      <c r="F32" s="78">
        <f t="shared" si="5"/>
        <v>0.36244410233621238</v>
      </c>
      <c r="G32" s="78">
        <f t="shared" si="6"/>
        <v>2.2775136069004276</v>
      </c>
      <c r="H32" s="78">
        <f t="shared" si="7"/>
        <v>0.75000000001068656</v>
      </c>
      <c r="I32" s="77">
        <f t="shared" si="8"/>
        <v>-1.9448854914685398</v>
      </c>
      <c r="J32" s="77">
        <f t="shared" si="9"/>
        <v>5.6724709854405475</v>
      </c>
      <c r="K32" s="77">
        <f t="shared" si="10"/>
        <v>-7.8999999999922466</v>
      </c>
      <c r="L32" s="78">
        <f t="shared" si="11"/>
        <v>-13.381202444179507</v>
      </c>
      <c r="M32" s="78">
        <f t="shared" si="12"/>
        <v>-0.48110897108064044</v>
      </c>
      <c r="N32" s="77">
        <f t="shared" si="13"/>
        <v>-59.650000000004866</v>
      </c>
      <c r="O32" s="77">
        <f t="shared" si="14"/>
        <v>9.8063478637584467</v>
      </c>
      <c r="P32" s="77">
        <f t="shared" si="15"/>
        <v>-9.2297538471739493</v>
      </c>
      <c r="Q32" s="77">
        <f t="shared" si="16"/>
        <v>-29.750000000007049</v>
      </c>
      <c r="R32" s="51">
        <f t="shared" si="24"/>
        <v>1.1344668686774639</v>
      </c>
      <c r="S32" s="51">
        <f t="shared" si="25"/>
        <v>-18.824604093085284</v>
      </c>
      <c r="T32" s="51">
        <f t="shared" si="19"/>
        <v>0.20000000000663931</v>
      </c>
      <c r="U32" s="77"/>
      <c r="V32" s="77"/>
      <c r="W32" s="77"/>
      <c r="X32" s="24"/>
      <c r="Y32">
        <f t="shared" si="23"/>
        <v>-119.30000000000973</v>
      </c>
    </row>
    <row r="33" spans="1:25" ht="24.95" customHeight="1" x14ac:dyDescent="0.2">
      <c r="A33" s="29">
        <f t="shared" si="0"/>
        <v>69</v>
      </c>
      <c r="B33" s="30">
        <f t="shared" si="1"/>
        <v>43727</v>
      </c>
      <c r="C33" s="77">
        <f t="shared" si="2"/>
        <v>-0.64707964335752877</v>
      </c>
      <c r="D33" s="77">
        <f t="shared" si="3"/>
        <v>1.4276339682077754</v>
      </c>
      <c r="E33" s="77">
        <f t="shared" si="4"/>
        <v>2.6000000000010459</v>
      </c>
      <c r="F33" s="78">
        <f t="shared" si="5"/>
        <v>-0.13755589765196419</v>
      </c>
      <c r="G33" s="78">
        <f t="shared" si="6"/>
        <v>1.4775136069005157</v>
      </c>
      <c r="H33" s="78">
        <f t="shared" si="7"/>
        <v>1.4500000000055024</v>
      </c>
      <c r="I33" s="77">
        <f t="shared" si="8"/>
        <v>-2.1448854914751792</v>
      </c>
      <c r="J33" s="77">
        <f t="shared" si="9"/>
        <v>4.9724709854404026</v>
      </c>
      <c r="K33" s="77">
        <f t="shared" si="10"/>
        <v>-7.2999999999865395</v>
      </c>
      <c r="L33" s="78">
        <f t="shared" si="11"/>
        <v>-13.581202444186147</v>
      </c>
      <c r="M33" s="78">
        <f t="shared" si="12"/>
        <v>-1.6811089710806748</v>
      </c>
      <c r="N33" s="77">
        <f t="shared" si="13"/>
        <v>-59.550000000001546</v>
      </c>
      <c r="O33" s="77">
        <f t="shared" si="14"/>
        <v>9.6063478637802291</v>
      </c>
      <c r="P33" s="77">
        <f t="shared" si="15"/>
        <v>-10.329753847173828</v>
      </c>
      <c r="Q33" s="77">
        <f t="shared" si="16"/>
        <v>-29.4500000000113</v>
      </c>
      <c r="R33" s="51">
        <f t="shared" si="24"/>
        <v>1.3344668686556815</v>
      </c>
      <c r="S33" s="51">
        <f t="shared" si="25"/>
        <v>-19.924604093085385</v>
      </c>
      <c r="T33" s="51">
        <f t="shared" si="19"/>
        <v>0.80000000001234639</v>
      </c>
      <c r="U33" s="77">
        <f t="shared" si="20"/>
        <v>12.726345617693369</v>
      </c>
      <c r="V33" s="77">
        <f t="shared" si="21"/>
        <v>-17.264695174446398</v>
      </c>
      <c r="W33" s="77">
        <f t="shared" si="22"/>
        <v>-31.899999999993156</v>
      </c>
      <c r="Y33">
        <f t="shared" si="23"/>
        <v>-119.10000000000309</v>
      </c>
    </row>
    <row r="34" spans="1:25" ht="24.95" customHeight="1" x14ac:dyDescent="0.2">
      <c r="A34" s="29">
        <f t="shared" si="0"/>
        <v>73</v>
      </c>
      <c r="B34" s="30">
        <f t="shared" si="1"/>
        <v>43731</v>
      </c>
      <c r="C34" s="77">
        <f t="shared" si="2"/>
        <v>-1.147079643374127</v>
      </c>
      <c r="D34" s="77">
        <f t="shared" si="3"/>
        <v>0.52763396820765252</v>
      </c>
      <c r="E34" s="77">
        <f t="shared" si="4"/>
        <v>3.200000000006753</v>
      </c>
      <c r="F34" s="78">
        <f t="shared" si="5"/>
        <v>-0.53755589766524281</v>
      </c>
      <c r="G34" s="78">
        <f t="shared" si="6"/>
        <v>0.77751360690081484</v>
      </c>
      <c r="H34" s="78">
        <f t="shared" si="7"/>
        <v>1.5500000000088221</v>
      </c>
      <c r="I34" s="77">
        <f t="shared" si="8"/>
        <v>-3.0448854914766343</v>
      </c>
      <c r="J34" s="77">
        <f t="shared" si="9"/>
        <v>4.2724709854407017</v>
      </c>
      <c r="K34" s="77">
        <f t="shared" si="10"/>
        <v>-7.5999999999822876</v>
      </c>
      <c r="L34" s="78">
        <f t="shared" si="11"/>
        <v>-14.381202444184282</v>
      </c>
      <c r="M34" s="78">
        <f t="shared" si="12"/>
        <v>-2.6811089710806755</v>
      </c>
      <c r="N34" s="77">
        <f t="shared" si="13"/>
        <v>-60.349999999999682</v>
      </c>
      <c r="O34" s="77">
        <f t="shared" si="14"/>
        <v>9.4063478637735898</v>
      </c>
      <c r="P34" s="77">
        <f t="shared" si="15"/>
        <v>-11.229753847173951</v>
      </c>
      <c r="Q34" s="77">
        <f t="shared" si="16"/>
        <v>-29.750000000007049</v>
      </c>
      <c r="R34" s="51">
        <f t="shared" si="24"/>
        <v>1.0344668686741443</v>
      </c>
      <c r="S34" s="51">
        <f t="shared" si="25"/>
        <v>-21.324604093085675</v>
      </c>
      <c r="T34" s="51">
        <f t="shared" si="19"/>
        <v>0.80000000001234639</v>
      </c>
      <c r="U34" s="77">
        <f t="shared" si="20"/>
        <v>12.526345617686729</v>
      </c>
      <c r="V34" s="77">
        <f t="shared" si="21"/>
        <v>-18.564695174446477</v>
      </c>
      <c r="W34" s="77">
        <f t="shared" si="22"/>
        <v>-31.899999999993156</v>
      </c>
      <c r="Y34">
        <f t="shared" si="23"/>
        <v>-120.69999999999936</v>
      </c>
    </row>
    <row r="35" spans="1:25" ht="24.95" customHeight="1" x14ac:dyDescent="0.2">
      <c r="A35" s="29">
        <f t="shared" si="0"/>
        <v>76</v>
      </c>
      <c r="B35" s="30">
        <f t="shared" si="1"/>
        <v>43734</v>
      </c>
      <c r="C35" s="77">
        <f t="shared" si="2"/>
        <v>-0.84707964336416808</v>
      </c>
      <c r="D35" s="77">
        <f t="shared" si="3"/>
        <v>1.6276339682077534</v>
      </c>
      <c r="E35" s="77">
        <f t="shared" si="4"/>
        <v>2.2000000000019782</v>
      </c>
      <c r="F35" s="78">
        <f t="shared" si="5"/>
        <v>-0.43755589766192315</v>
      </c>
      <c r="G35" s="78">
        <f t="shared" si="6"/>
        <v>1.7775136069007047</v>
      </c>
      <c r="H35" s="78">
        <f t="shared" si="7"/>
        <v>0.84999999999979536</v>
      </c>
      <c r="I35" s="77">
        <f t="shared" si="8"/>
        <v>-3.0448854914766343</v>
      </c>
      <c r="J35" s="77">
        <f t="shared" si="9"/>
        <v>5.5724709854407806</v>
      </c>
      <c r="K35" s="77">
        <f t="shared" si="10"/>
        <v>-8.399999999994634</v>
      </c>
      <c r="L35" s="78">
        <f t="shared" si="11"/>
        <v>-14.581202444190922</v>
      </c>
      <c r="M35" s="78">
        <f t="shared" si="12"/>
        <v>-1.7811089710806638</v>
      </c>
      <c r="N35" s="77">
        <f t="shared" si="13"/>
        <v>-61.450000000007776</v>
      </c>
      <c r="O35" s="77">
        <f t="shared" si="14"/>
        <v>9.0063478637603112</v>
      </c>
      <c r="P35" s="77">
        <f t="shared" si="15"/>
        <v>-10.529753847173806</v>
      </c>
      <c r="Q35" s="77">
        <f t="shared" si="16"/>
        <v>-30.350000000012756</v>
      </c>
      <c r="R35" s="51">
        <f t="shared" si="24"/>
        <v>0.43446686868264806</v>
      </c>
      <c r="S35" s="51">
        <f t="shared" si="25"/>
        <v>-20.424604093085552</v>
      </c>
      <c r="T35" s="51">
        <f t="shared" si="19"/>
        <v>0.30000000000995897</v>
      </c>
      <c r="U35" s="77">
        <f t="shared" si="20"/>
        <v>11.726345617688594</v>
      </c>
      <c r="V35" s="77">
        <f t="shared" si="21"/>
        <v>-17.864695174446332</v>
      </c>
      <c r="W35" s="77">
        <f t="shared" si="22"/>
        <v>-32.299999999992224</v>
      </c>
      <c r="Y35">
        <f t="shared" si="23"/>
        <v>-122.90000000001555</v>
      </c>
    </row>
    <row r="36" spans="1:25" ht="24.95" customHeight="1" x14ac:dyDescent="0.2">
      <c r="A36" s="29">
        <f t="shared" si="0"/>
        <v>80</v>
      </c>
      <c r="B36" s="30">
        <f t="shared" si="1"/>
        <v>43738</v>
      </c>
      <c r="C36" s="77">
        <f t="shared" si="2"/>
        <v>-1.3470796433523446</v>
      </c>
      <c r="D36" s="77">
        <f t="shared" si="3"/>
        <v>1.7276339682075204</v>
      </c>
      <c r="E36" s="77">
        <f t="shared" si="4"/>
        <v>2.5000000000119371</v>
      </c>
      <c r="F36" s="78">
        <f t="shared" si="5"/>
        <v>-0.83755589764678007</v>
      </c>
      <c r="G36" s="78">
        <f t="shared" si="6"/>
        <v>2.0775136069004496</v>
      </c>
      <c r="H36" s="78">
        <f t="shared" si="7"/>
        <v>1.0500000000064347</v>
      </c>
      <c r="I36" s="77">
        <f t="shared" si="8"/>
        <v>-3.144885491479954</v>
      </c>
      <c r="J36" s="77">
        <f t="shared" si="9"/>
        <v>5.4724709854405695</v>
      </c>
      <c r="K36" s="77">
        <f t="shared" si="10"/>
        <v>-8.2999999999913143</v>
      </c>
      <c r="L36" s="78">
        <f t="shared" si="11"/>
        <v>-14.881202444200881</v>
      </c>
      <c r="M36" s="78">
        <f t="shared" si="12"/>
        <v>-1.5811089710806858</v>
      </c>
      <c r="N36" s="77">
        <f t="shared" si="13"/>
        <v>-61.549999999996885</v>
      </c>
      <c r="O36" s="77">
        <f t="shared" si="14"/>
        <v>8.5063478637721346</v>
      </c>
      <c r="P36" s="77">
        <f t="shared" si="15"/>
        <v>-10.629753847173795</v>
      </c>
      <c r="Q36" s="77">
        <f t="shared" si="16"/>
        <v>-30.350000000012756</v>
      </c>
      <c r="R36" s="51">
        <f t="shared" si="24"/>
        <v>0.23446686867600874</v>
      </c>
      <c r="S36" s="51">
        <f t="shared" si="25"/>
        <v>-20.62460409308553</v>
      </c>
      <c r="T36" s="51">
        <f t="shared" si="19"/>
        <v>0.50000000001659828</v>
      </c>
      <c r="U36" s="77"/>
      <c r="V36" s="77"/>
      <c r="W36" s="77"/>
      <c r="Y36">
        <f t="shared" si="23"/>
        <v>-123.09999999999377</v>
      </c>
    </row>
    <row r="37" spans="1:25" ht="24.95" customHeight="1" x14ac:dyDescent="0.2">
      <c r="A37" s="29">
        <f t="shared" si="0"/>
        <v>83</v>
      </c>
      <c r="B37" s="30">
        <f t="shared" si="1"/>
        <v>43741</v>
      </c>
      <c r="C37" s="77">
        <f t="shared" si="2"/>
        <v>0.15292035664060677</v>
      </c>
      <c r="D37" s="77">
        <f t="shared" si="3"/>
        <v>1.8276339682077314</v>
      </c>
      <c r="E37" s="77">
        <f t="shared" si="4"/>
        <v>2.7000000000043656</v>
      </c>
      <c r="F37" s="78">
        <f t="shared" si="5"/>
        <v>0.46244410233953204</v>
      </c>
      <c r="G37" s="78">
        <f t="shared" si="6"/>
        <v>2.0775136069004496</v>
      </c>
      <c r="H37" s="78">
        <f t="shared" si="7"/>
        <v>1.3500000000021828</v>
      </c>
      <c r="I37" s="77">
        <f t="shared" si="8"/>
        <v>-2.0448854914718595</v>
      </c>
      <c r="J37" s="77">
        <f t="shared" si="9"/>
        <v>5.6724709854405475</v>
      </c>
      <c r="K37" s="77">
        <f t="shared" si="10"/>
        <v>-7.9999999999955662</v>
      </c>
      <c r="L37" s="78">
        <f t="shared" si="11"/>
        <v>-13.781202444192786</v>
      </c>
      <c r="M37" s="78">
        <f t="shared" si="12"/>
        <v>-1.4811089710806413</v>
      </c>
      <c r="N37" s="77">
        <f t="shared" si="13"/>
        <v>-61.549999999996885</v>
      </c>
      <c r="O37" s="77">
        <f t="shared" si="14"/>
        <v>9.706347863755127</v>
      </c>
      <c r="P37" s="77">
        <f t="shared" si="15"/>
        <v>-10.029753847173861</v>
      </c>
      <c r="Q37" s="77">
        <f t="shared" si="16"/>
        <v>-30.050000000002797</v>
      </c>
      <c r="R37" s="51">
        <f t="shared" si="24"/>
        <v>1.3344668686556815</v>
      </c>
      <c r="S37" s="51">
        <f t="shared" si="25"/>
        <v>-20.124604093085363</v>
      </c>
      <c r="T37" s="51">
        <f t="shared" si="19"/>
        <v>0.70000000000902673</v>
      </c>
      <c r="U37" s="77">
        <f t="shared" si="20"/>
        <v>12.626345617690049</v>
      </c>
      <c r="V37" s="77">
        <f t="shared" si="21"/>
        <v>-17.664695174446354</v>
      </c>
      <c r="W37" s="77">
        <f t="shared" si="22"/>
        <v>-31.800000000004047</v>
      </c>
      <c r="Y37">
        <f t="shared" si="23"/>
        <v>-123.09999999999377</v>
      </c>
    </row>
    <row r="38" spans="1:25" ht="24.95" customHeight="1" x14ac:dyDescent="0.2">
      <c r="A38" s="29">
        <f t="shared" si="0"/>
        <v>88</v>
      </c>
      <c r="B38" s="30">
        <f t="shared" si="1"/>
        <v>43746</v>
      </c>
      <c r="C38" s="77">
        <f t="shared" si="2"/>
        <v>-1.5481533474996922</v>
      </c>
      <c r="D38" s="77">
        <f t="shared" si="3"/>
        <v>-1.3914808069128703</v>
      </c>
      <c r="E38" s="77">
        <f t="shared" si="4"/>
        <v>2.9666666666656738</v>
      </c>
      <c r="F38" s="78">
        <f t="shared" si="5"/>
        <v>-1.5986160725844911</v>
      </c>
      <c r="G38" s="78">
        <f t="shared" si="6"/>
        <v>-1.1253439908740503</v>
      </c>
      <c r="H38" s="78">
        <f t="shared" si="7"/>
        <v>1.7333333333482415</v>
      </c>
      <c r="I38" s="77">
        <f t="shared" si="8"/>
        <v>-3.7752120241236753</v>
      </c>
      <c r="J38" s="77">
        <f t="shared" si="9"/>
        <v>2.7599155487276761</v>
      </c>
      <c r="K38" s="77">
        <f t="shared" si="10"/>
        <v>-7.4999999999789679</v>
      </c>
      <c r="L38" s="78">
        <f t="shared" si="11"/>
        <v>-15.04722166839656</v>
      </c>
      <c r="M38" s="78">
        <f t="shared" si="12"/>
        <v>-4.3836429023194903</v>
      </c>
      <c r="N38" s="77">
        <f t="shared" si="13"/>
        <v>-61.733333333322093</v>
      </c>
      <c r="O38" s="77">
        <f t="shared" si="14"/>
        <v>9.4263355094312828</v>
      </c>
      <c r="P38" s="77">
        <f t="shared" si="15"/>
        <v>-13.087639787077388</v>
      </c>
      <c r="Q38" s="77">
        <f t="shared" si="16"/>
        <v>-29.850000000010368</v>
      </c>
      <c r="R38" s="51">
        <f t="shared" si="24"/>
        <v>1.5156084736247522</v>
      </c>
      <c r="S38" s="51">
        <f t="shared" si="25"/>
        <v>-23.353901283362344</v>
      </c>
      <c r="T38" s="51">
        <f t="shared" si="19"/>
        <v>0.90000000001566605</v>
      </c>
      <c r="U38" s="77">
        <f t="shared" si="20"/>
        <v>13.266283066712958</v>
      </c>
      <c r="V38" s="77">
        <f t="shared" si="21"/>
        <v>-20.268320987574473</v>
      </c>
      <c r="W38" s="77">
        <f t="shared" si="22"/>
        <v>-31.733333333320957</v>
      </c>
      <c r="Y38" s="99">
        <f t="shared" ref="Y38" si="26">N38*2</f>
        <v>-123.46666666664419</v>
      </c>
    </row>
    <row r="39" spans="1:25" ht="24.95" customHeight="1" x14ac:dyDescent="0.2">
      <c r="A39" s="29">
        <f t="shared" si="0"/>
        <v>95</v>
      </c>
      <c r="B39" s="30">
        <f t="shared" si="1"/>
        <v>43753</v>
      </c>
      <c r="C39" s="77">
        <f t="shared" si="2"/>
        <v>-1.3610308590159548</v>
      </c>
      <c r="D39" s="77">
        <f t="shared" si="3"/>
        <v>1.9140258206240546</v>
      </c>
      <c r="E39" s="77">
        <f t="shared" si="4"/>
        <v>2.6833333333371456</v>
      </c>
      <c r="F39" s="78">
        <f t="shared" si="5"/>
        <v>-0.74295567037552246</v>
      </c>
      <c r="G39" s="78">
        <f t="shared" si="6"/>
        <v>2.0873587096326141</v>
      </c>
      <c r="H39" s="78">
        <f t="shared" si="7"/>
        <v>1.2999999999863121</v>
      </c>
      <c r="I39" s="77">
        <f t="shared" si="8"/>
        <v>-3.0766991283144307</v>
      </c>
      <c r="J39" s="77">
        <f t="shared" si="9"/>
        <v>5.678652484453206</v>
      </c>
      <c r="K39" s="77">
        <f t="shared" si="10"/>
        <v>-8.3499999999929742</v>
      </c>
      <c r="L39" s="78">
        <f t="shared" si="11"/>
        <v>-14.638750571691617</v>
      </c>
      <c r="M39" s="78">
        <f t="shared" si="12"/>
        <v>-1.7105081190636751</v>
      </c>
      <c r="N39" s="77">
        <f t="shared" si="13"/>
        <v>-63.033333333351038</v>
      </c>
      <c r="O39" s="77">
        <f t="shared" si="14"/>
        <v>9.2668493057033174</v>
      </c>
      <c r="P39" s="77">
        <f t="shared" si="15"/>
        <v>-10.734542580562723</v>
      </c>
      <c r="Q39" s="77">
        <f t="shared" si="16"/>
        <v>-30.533333333352175</v>
      </c>
      <c r="R39" s="51">
        <f t="shared" si="24"/>
        <v>1.0269355827006166</v>
      </c>
      <c r="S39" s="51">
        <f t="shared" si="25"/>
        <v>-20.768132952138085</v>
      </c>
      <c r="T39" s="51">
        <f t="shared" si="19"/>
        <v>0.43333333336192936</v>
      </c>
      <c r="U39" s="77">
        <f t="shared" si="20"/>
        <v>12.393889732635444</v>
      </c>
      <c r="V39" s="77">
        <f t="shared" si="21"/>
        <v>-18.082181131557018</v>
      </c>
      <c r="W39" s="77">
        <f t="shared" si="22"/>
        <v>-31.983333333329256</v>
      </c>
      <c r="Y39" s="99">
        <f t="shared" ref="Y39:Y40" si="27">N39*2</f>
        <v>-126.06666666670208</v>
      </c>
    </row>
    <row r="40" spans="1:25" ht="24.95" customHeight="1" x14ac:dyDescent="0.2">
      <c r="A40" s="29">
        <f t="shared" si="0"/>
        <v>98</v>
      </c>
      <c r="B40" s="30">
        <f t="shared" si="1"/>
        <v>43756</v>
      </c>
      <c r="C40" s="77">
        <f t="shared" si="2"/>
        <v>-0.45975015299859479</v>
      </c>
      <c r="D40" s="77">
        <f t="shared" si="3"/>
        <v>2.4262908044399012</v>
      </c>
      <c r="E40" s="77">
        <f t="shared" si="4"/>
        <v>2.7000000000043656</v>
      </c>
      <c r="F40" s="78">
        <f t="shared" si="5"/>
        <v>-0.30782169818621696</v>
      </c>
      <c r="G40" s="78">
        <f t="shared" si="6"/>
        <v>2.7316430789730006</v>
      </c>
      <c r="H40" s="78">
        <f t="shared" si="7"/>
        <v>1.0500000000064347</v>
      </c>
      <c r="I40" s="77">
        <f t="shared" si="8"/>
        <v>-2.8328461430362495</v>
      </c>
      <c r="J40" s="77">
        <f t="shared" si="9"/>
        <v>6.4176321932536418</v>
      </c>
      <c r="K40" s="77">
        <f t="shared" si="10"/>
        <v>-8.7999999999937017</v>
      </c>
      <c r="L40" s="78">
        <f t="shared" si="11"/>
        <v>-14.177472838440508</v>
      </c>
      <c r="M40" s="78">
        <f t="shared" si="12"/>
        <v>-1.2011505465491512</v>
      </c>
      <c r="N40" s="77">
        <f t="shared" si="13"/>
        <v>-63.450000000003115</v>
      </c>
      <c r="O40" s="77">
        <f t="shared" si="14"/>
        <v>9.5086694561814511</v>
      </c>
      <c r="P40" s="77">
        <f t="shared" si="15"/>
        <v>-10.070070913259732</v>
      </c>
      <c r="Q40" s="77">
        <f t="shared" si="16"/>
        <v>-30.950000000004252</v>
      </c>
      <c r="R40" s="51">
        <f t="shared" si="24"/>
        <v>1.0149512281714124</v>
      </c>
      <c r="S40" s="51">
        <f t="shared" si="25"/>
        <v>-20.387532799303276</v>
      </c>
      <c r="T40" s="51">
        <f t="shared" si="19"/>
        <v>0.30000000000995897</v>
      </c>
      <c r="U40" s="77">
        <f t="shared" si="20"/>
        <v>12.233835033129026</v>
      </c>
      <c r="V40" s="77">
        <f t="shared" si="21"/>
        <v>-17.936143565024043</v>
      </c>
      <c r="W40" s="77">
        <f t="shared" si="22"/>
        <v>-31.999999999996476</v>
      </c>
      <c r="Y40" s="99">
        <f t="shared" si="27"/>
        <v>-126.90000000000623</v>
      </c>
    </row>
    <row r="41" spans="1:25" ht="24.95" customHeight="1" x14ac:dyDescent="0.2">
      <c r="A41" s="29">
        <f t="shared" si="0"/>
        <v>102</v>
      </c>
      <c r="B41" s="30">
        <f t="shared" si="1"/>
        <v>43760</v>
      </c>
      <c r="C41" s="77">
        <f t="shared" si="2"/>
        <v>-0.29068934094311771</v>
      </c>
      <c r="D41" s="77">
        <f t="shared" si="3"/>
        <v>2.0637739675453126</v>
      </c>
      <c r="E41" s="77">
        <f t="shared" si="4"/>
        <v>2.7000000000043656</v>
      </c>
      <c r="F41" s="78">
        <f t="shared" si="5"/>
        <v>-0.14485979124856385</v>
      </c>
      <c r="G41" s="78">
        <f t="shared" si="6"/>
        <v>2.1456027015438472</v>
      </c>
      <c r="H41" s="78">
        <f t="shared" si="7"/>
        <v>0.95000000000311502</v>
      </c>
      <c r="I41" s="77">
        <f t="shared" si="8"/>
        <v>-2.621520201785188</v>
      </c>
      <c r="J41" s="77">
        <f t="shared" si="9"/>
        <v>5.964486305391592</v>
      </c>
      <c r="K41" s="77">
        <f t="shared" si="10"/>
        <v>-8.9999999999861302</v>
      </c>
      <c r="L41" s="78">
        <f t="shared" si="11"/>
        <v>-14.413193985348016</v>
      </c>
      <c r="M41" s="78">
        <f t="shared" si="12"/>
        <v>-1.642098884339499</v>
      </c>
      <c r="N41" s="77">
        <f t="shared" si="13"/>
        <v>-64.149999999997931</v>
      </c>
      <c r="O41" s="77">
        <f t="shared" si="14"/>
        <v>9.0372270568366275</v>
      </c>
      <c r="P41" s="77">
        <f t="shared" si="15"/>
        <v>-10.951967637996551</v>
      </c>
      <c r="Q41" s="77">
        <f t="shared" si="16"/>
        <v>-31.450000000006639</v>
      </c>
      <c r="R41" s="51">
        <f t="shared" si="24"/>
        <v>0.81539650216200243</v>
      </c>
      <c r="S41" s="51">
        <f t="shared" si="25"/>
        <v>-21.142634150632666</v>
      </c>
      <c r="T41" s="51">
        <f t="shared" si="19"/>
        <v>0.20000000000663931</v>
      </c>
      <c r="U41" s="77">
        <f t="shared" si="20"/>
        <v>12.390698238789355</v>
      </c>
      <c r="V41" s="77">
        <f t="shared" si="21"/>
        <v>-18.745707644821863</v>
      </c>
      <c r="W41" s="77">
        <f t="shared" si="22"/>
        <v>-32.099999999999795</v>
      </c>
      <c r="Y41" s="99">
        <f t="shared" ref="Y41:Y42" si="28">N41*2</f>
        <v>-128.29999999999586</v>
      </c>
    </row>
    <row r="42" spans="1:25" ht="24.95" customHeight="1" x14ac:dyDescent="0.2">
      <c r="A42" s="29">
        <f t="shared" si="0"/>
        <v>104</v>
      </c>
      <c r="B42" s="30">
        <f t="shared" si="1"/>
        <v>43762</v>
      </c>
      <c r="C42" s="77">
        <f t="shared" si="2"/>
        <v>1.6434444034700846</v>
      </c>
      <c r="D42" s="77"/>
      <c r="E42" s="77">
        <f t="shared" si="4"/>
        <v>2.5000000000119371</v>
      </c>
      <c r="F42" s="78">
        <f t="shared" si="5"/>
        <v>1.8315390823602229</v>
      </c>
      <c r="G42" s="78"/>
      <c r="H42" s="78">
        <f t="shared" si="7"/>
        <v>1.4500000000055024</v>
      </c>
      <c r="I42" s="77">
        <f t="shared" si="8"/>
        <v>-0.98934175900922128</v>
      </c>
      <c r="J42" s="77"/>
      <c r="K42" s="77">
        <f t="shared" si="10"/>
        <v>-8.6999999999903821</v>
      </c>
      <c r="L42" s="78">
        <f t="shared" si="11"/>
        <v>-13.052903117483083</v>
      </c>
      <c r="M42" s="78"/>
      <c r="N42" s="77">
        <f t="shared" si="13"/>
        <v>-64.049999999994611</v>
      </c>
      <c r="O42" s="77">
        <f t="shared" si="14"/>
        <v>10.186191983393655</v>
      </c>
      <c r="P42" s="77"/>
      <c r="Q42" s="77">
        <f t="shared" si="16"/>
        <v>-30.850000000000932</v>
      </c>
      <c r="R42" s="51">
        <f t="shared" si="24"/>
        <v>1.7046712563058009</v>
      </c>
      <c r="S42" s="51">
        <f t="shared" si="25"/>
        <v>-16.42466945771659</v>
      </c>
      <c r="T42" s="51">
        <f t="shared" si="19"/>
        <v>0.40000000001327862</v>
      </c>
      <c r="U42" s="77">
        <f t="shared" si="20"/>
        <v>13.370602254866526</v>
      </c>
      <c r="V42" s="77"/>
      <c r="W42" s="77">
        <f t="shared" si="22"/>
        <v>-32.299999999992224</v>
      </c>
      <c r="Y42" s="99">
        <f t="shared" si="28"/>
        <v>-128.09999999998922</v>
      </c>
    </row>
    <row r="43" spans="1:25" ht="24.95" customHeight="1" x14ac:dyDescent="0.2">
      <c r="A43" s="29">
        <f t="shared" si="0"/>
        <v>108</v>
      </c>
      <c r="B43" s="30">
        <f t="shared" si="1"/>
        <v>43766</v>
      </c>
      <c r="C43" s="77">
        <f t="shared" si="2"/>
        <v>0.31889346698221743</v>
      </c>
      <c r="D43" s="77">
        <f t="shared" si="3"/>
        <v>-0.18975860382397514</v>
      </c>
      <c r="E43" s="77">
        <f t="shared" si="4"/>
        <v>2.3000000000052978</v>
      </c>
      <c r="F43" s="78">
        <f t="shared" si="5"/>
        <v>0.50698814587235574</v>
      </c>
      <c r="G43" s="78">
        <f t="shared" si="6"/>
        <v>-0.1985589208057803</v>
      </c>
      <c r="H43" s="78">
        <f t="shared" si="7"/>
        <v>1.1500000000097543</v>
      </c>
      <c r="I43" s="77">
        <f t="shared" si="8"/>
        <v>-2.3622566243659548</v>
      </c>
      <c r="J43" s="77">
        <f t="shared" si="9"/>
        <v>3.9889401648536271</v>
      </c>
      <c r="K43" s="77">
        <f t="shared" si="10"/>
        <v>-8.6999999999903821</v>
      </c>
      <c r="L43" s="78">
        <f t="shared" si="11"/>
        <v>-14.558712472449997</v>
      </c>
      <c r="M43" s="78">
        <f t="shared" si="12"/>
        <v>-3.6960765749708138</v>
      </c>
      <c r="N43" s="77">
        <f t="shared" si="13"/>
        <v>-64.750000000003638</v>
      </c>
      <c r="O43" s="77">
        <f t="shared" si="14"/>
        <v>10.075987036486822</v>
      </c>
      <c r="P43" s="77">
        <f t="shared" si="15"/>
        <v>-12.23297422264924</v>
      </c>
      <c r="Q43" s="77">
        <f t="shared" si="16"/>
        <v>-31.35000000000332</v>
      </c>
      <c r="R43" s="51">
        <f t="shared" si="24"/>
        <v>1.878125204996195</v>
      </c>
      <c r="S43" s="51">
        <f t="shared" si="25"/>
        <v>-23.184840520515504</v>
      </c>
      <c r="T43" s="51">
        <f t="shared" si="19"/>
        <v>-0.19999999999242846</v>
      </c>
      <c r="U43" s="77">
        <f t="shared" si="20"/>
        <v>13.423359418794689</v>
      </c>
      <c r="V43" s="77">
        <f t="shared" si="21"/>
        <v>-20.250237720856656</v>
      </c>
      <c r="W43" s="77">
        <f t="shared" si="22"/>
        <v>-32.799999999994611</v>
      </c>
      <c r="Y43" s="99">
        <f t="shared" ref="Y43" si="29">N43*2</f>
        <v>-129.50000000000728</v>
      </c>
    </row>
    <row r="44" spans="1:25" ht="24.95" customHeight="1" x14ac:dyDescent="0.2">
      <c r="A44" s="29">
        <f t="shared" si="0"/>
        <v>111</v>
      </c>
      <c r="B44" s="30">
        <f t="shared" si="1"/>
        <v>43769</v>
      </c>
      <c r="C44" s="77">
        <f t="shared" si="2"/>
        <v>0.96024956619089608</v>
      </c>
      <c r="D44" s="77">
        <f t="shared" si="3"/>
        <v>3.6402102973536188</v>
      </c>
      <c r="E44" s="77">
        <f t="shared" si="4"/>
        <v>2.8000000000076852</v>
      </c>
      <c r="F44" s="78">
        <f t="shared" si="5"/>
        <v>1.3296026635316593</v>
      </c>
      <c r="G44" s="78">
        <f t="shared" si="6"/>
        <v>3.715940386428418</v>
      </c>
      <c r="H44" s="78">
        <f t="shared" si="7"/>
        <v>1.7500000000012506</v>
      </c>
      <c r="I44" s="77">
        <f t="shared" si="8"/>
        <v>-1.4551117498911026</v>
      </c>
      <c r="J44" s="77">
        <f t="shared" si="9"/>
        <v>7.7221811591816625</v>
      </c>
      <c r="K44" s="77">
        <f t="shared" si="10"/>
        <v>-8.1999999999879947</v>
      </c>
      <c r="L44" s="78">
        <f t="shared" si="11"/>
        <v>-14.050250757321692</v>
      </c>
      <c r="M44" s="78">
        <f t="shared" si="12"/>
        <v>0.18225640982258429</v>
      </c>
      <c r="N44" s="77">
        <f t="shared" si="13"/>
        <v>-64.049999999994611</v>
      </c>
      <c r="O44" s="77">
        <f t="shared" si="14"/>
        <v>9.4546331188496424</v>
      </c>
      <c r="P44" s="77">
        <f t="shared" si="15"/>
        <v>-8.7711943629518174</v>
      </c>
      <c r="Q44" s="77">
        <f t="shared" si="16"/>
        <v>-30.850000000000932</v>
      </c>
      <c r="R44" s="51">
        <f t="shared" si="24"/>
        <v>0.78575527203383899</v>
      </c>
      <c r="S44" s="51">
        <f t="shared" si="25"/>
        <v>-18.949663163695174</v>
      </c>
      <c r="T44" s="51">
        <f t="shared" si="19"/>
        <v>0.60000000000570708</v>
      </c>
      <c r="U44" s="77">
        <f t="shared" si="20"/>
        <v>12.548414226756677</v>
      </c>
      <c r="V44" s="77">
        <f t="shared" si="21"/>
        <v>-16.244682760488516</v>
      </c>
      <c r="W44" s="77">
        <f t="shared" si="22"/>
        <v>-31.800000000004047</v>
      </c>
      <c r="Y44" s="99">
        <f t="shared" ref="Y44:Y46" si="30">N44*2</f>
        <v>-128.09999999998922</v>
      </c>
    </row>
    <row r="45" spans="1:25" ht="24.95" customHeight="1" x14ac:dyDescent="0.2">
      <c r="A45" s="29">
        <f t="shared" si="0"/>
        <v>116</v>
      </c>
      <c r="B45" s="30">
        <f t="shared" si="1"/>
        <v>43774</v>
      </c>
      <c r="C45" s="77">
        <f t="shared" si="2"/>
        <v>-1.0584146334622346</v>
      </c>
      <c r="D45" s="77">
        <f t="shared" si="3"/>
        <v>0.16098712330769871</v>
      </c>
      <c r="E45" s="77">
        <f t="shared" si="4"/>
        <v>3.3000000000100727</v>
      </c>
      <c r="F45" s="78">
        <f t="shared" si="5"/>
        <v>-0.33264340046912366</v>
      </c>
      <c r="G45" s="78">
        <f t="shared" si="6"/>
        <v>0.18225432210883241</v>
      </c>
      <c r="H45" s="78">
        <f t="shared" si="7"/>
        <v>1.8500000000045702</v>
      </c>
      <c r="I45" s="77">
        <f t="shared" si="8"/>
        <v>-3.1657218482337157</v>
      </c>
      <c r="J45" s="77">
        <f t="shared" si="9"/>
        <v>4.0556006052150373</v>
      </c>
      <c r="K45" s="77">
        <f t="shared" si="10"/>
        <v>-8.6999999999903821</v>
      </c>
      <c r="L45" s="78">
        <f t="shared" si="11"/>
        <v>-14.836698854082897</v>
      </c>
      <c r="M45" s="78">
        <f t="shared" si="12"/>
        <v>-4.0463959109872381</v>
      </c>
      <c r="N45" s="77">
        <f t="shared" si="13"/>
        <v>-64.750000000003638</v>
      </c>
      <c r="O45" s="77">
        <f t="shared" si="14"/>
        <v>9.0185042525945391</v>
      </c>
      <c r="P45" s="77">
        <f t="shared" si="15"/>
        <v>-13.277833114566651</v>
      </c>
      <c r="Q45" s="77">
        <f t="shared" si="16"/>
        <v>-31.150000000010891</v>
      </c>
      <c r="R45" s="51">
        <f t="shared" si="24"/>
        <v>1.195356758842081</v>
      </c>
      <c r="S45" s="51">
        <f t="shared" si="25"/>
        <v>-23.61359140661845</v>
      </c>
      <c r="T45" s="51">
        <f t="shared" si="19"/>
        <v>0.90000000001566605</v>
      </c>
      <c r="U45" s="77">
        <f t="shared" si="20"/>
        <v>12.58940007704723</v>
      </c>
      <c r="V45" s="77">
        <f t="shared" si="21"/>
        <v>-21.301195306843379</v>
      </c>
      <c r="W45" s="77">
        <f t="shared" si="22"/>
        <v>-31.400000000004979</v>
      </c>
      <c r="Y45" s="99">
        <f t="shared" si="30"/>
        <v>-129.50000000000728</v>
      </c>
    </row>
    <row r="46" spans="1:25" ht="24.95" customHeight="1" x14ac:dyDescent="0.2">
      <c r="A46" s="29">
        <f t="shared" si="0"/>
        <v>118</v>
      </c>
      <c r="B46" s="30">
        <f t="shared" si="1"/>
        <v>43776</v>
      </c>
      <c r="C46" s="77">
        <f t="shared" si="2"/>
        <v>0.25292035664392643</v>
      </c>
      <c r="D46" s="77">
        <f t="shared" si="3"/>
        <v>3.8276339682075111</v>
      </c>
      <c r="E46" s="77">
        <f t="shared" si="4"/>
        <v>2.5000000000119371</v>
      </c>
      <c r="F46" s="78">
        <f t="shared" si="5"/>
        <v>0.762444102349491</v>
      </c>
      <c r="G46" s="78">
        <f t="shared" si="6"/>
        <v>3.9775136069004624</v>
      </c>
      <c r="H46" s="78">
        <f t="shared" si="7"/>
        <v>0.75000000001068656</v>
      </c>
      <c r="I46" s="77">
        <f t="shared" si="8"/>
        <v>-2.0448854914718595</v>
      </c>
      <c r="J46" s="77">
        <f t="shared" si="9"/>
        <v>7.8724709854407493</v>
      </c>
      <c r="K46" s="77">
        <f t="shared" si="10"/>
        <v>-9.5999999999918373</v>
      </c>
      <c r="L46" s="78">
        <f t="shared" si="11"/>
        <v>-14.381202444184282</v>
      </c>
      <c r="M46" s="78">
        <f t="shared" si="12"/>
        <v>-0.38110897108065145</v>
      </c>
      <c r="N46" s="77">
        <f t="shared" si="13"/>
        <v>-66.150000000007481</v>
      </c>
      <c r="O46" s="77">
        <f t="shared" si="14"/>
        <v>9.6063478637802291</v>
      </c>
      <c r="P46" s="77">
        <f t="shared" si="15"/>
        <v>-9.6297538471739053</v>
      </c>
      <c r="Q46" s="77">
        <f t="shared" si="16"/>
        <v>-32.250000000004775</v>
      </c>
      <c r="R46" s="51">
        <f t="shared" si="24"/>
        <v>1.2344668686807836</v>
      </c>
      <c r="S46" s="51">
        <f t="shared" si="25"/>
        <v>-20.524604093085319</v>
      </c>
      <c r="T46" s="51">
        <f t="shared" si="19"/>
        <v>1.4210854715202004E-11</v>
      </c>
      <c r="U46" s="77">
        <f t="shared" si="20"/>
        <v>13.026345617674906</v>
      </c>
      <c r="V46" s="77">
        <f t="shared" si="21"/>
        <v>-17.764695174446121</v>
      </c>
      <c r="W46" s="77">
        <f t="shared" si="22"/>
        <v>-32.099999999999795</v>
      </c>
      <c r="Y46" s="99">
        <f t="shared" si="30"/>
        <v>-132.30000000001496</v>
      </c>
    </row>
    <row r="47" spans="1:25" ht="24.95" customHeight="1" x14ac:dyDescent="0.2">
      <c r="A47" s="29">
        <f t="shared" si="0"/>
        <v>123</v>
      </c>
      <c r="B47" s="30">
        <f t="shared" si="1"/>
        <v>43781</v>
      </c>
      <c r="C47" s="77">
        <f t="shared" si="2"/>
        <v>-2.1470796433504802</v>
      </c>
      <c r="D47" s="77">
        <f t="shared" si="3"/>
        <v>1.1276339682075864</v>
      </c>
      <c r="E47" s="77">
        <f t="shared" si="4"/>
        <v>2.9000000000110049</v>
      </c>
      <c r="F47" s="78">
        <f t="shared" si="5"/>
        <v>-1.5375558976700177</v>
      </c>
      <c r="G47" s="78">
        <f t="shared" si="6"/>
        <v>1.3775136069007488</v>
      </c>
      <c r="H47" s="78">
        <f t="shared" si="7"/>
        <v>1.2499999999988631</v>
      </c>
      <c r="I47" s="77">
        <f t="shared" si="8"/>
        <v>-3.9448854914780895</v>
      </c>
      <c r="J47" s="77">
        <f t="shared" si="9"/>
        <v>5.2724709854405916</v>
      </c>
      <c r="K47" s="77">
        <f t="shared" si="10"/>
        <v>-9.1999999999927695</v>
      </c>
      <c r="L47" s="78">
        <f t="shared" si="11"/>
        <v>-15.681202444199016</v>
      </c>
      <c r="M47" s="78">
        <f t="shared" si="12"/>
        <v>-3.1811089710806764</v>
      </c>
      <c r="N47" s="77">
        <f t="shared" si="13"/>
        <v>-65.950000000000841</v>
      </c>
      <c r="O47" s="77">
        <f t="shared" si="14"/>
        <v>8.3063478637654953</v>
      </c>
      <c r="P47" s="77">
        <f t="shared" si="15"/>
        <v>-12.629753847173797</v>
      </c>
      <c r="Q47" s="77">
        <f t="shared" si="16"/>
        <v>-32.050000000012346</v>
      </c>
      <c r="R47" s="51">
        <f t="shared" si="24"/>
        <v>0.43446686868264806</v>
      </c>
      <c r="S47" s="51">
        <f t="shared" si="25"/>
        <v>-23.224604093085688</v>
      </c>
      <c r="T47" s="51">
        <f t="shared" si="19"/>
        <v>0.20000000000663931</v>
      </c>
      <c r="U47" s="77">
        <f t="shared" si="20"/>
        <v>11.826345617691914</v>
      </c>
      <c r="V47" s="77">
        <f t="shared" si="21"/>
        <v>-20.664695174446468</v>
      </c>
      <c r="W47" s="77">
        <f t="shared" si="22"/>
        <v>-31.700000000000728</v>
      </c>
      <c r="Y47" s="99">
        <f t="shared" ref="Y47:Y48" si="31">N47*2</f>
        <v>-131.90000000000168</v>
      </c>
    </row>
    <row r="48" spans="1:25" ht="24.95" customHeight="1" x14ac:dyDescent="0.2">
      <c r="A48" s="29">
        <f t="shared" si="0"/>
        <v>125</v>
      </c>
      <c r="B48" s="30">
        <f t="shared" si="1"/>
        <v>43783</v>
      </c>
      <c r="C48" s="77">
        <f t="shared" si="2"/>
        <v>-0.74707964336084842</v>
      </c>
      <c r="D48" s="77">
        <f t="shared" si="3"/>
        <v>1.1276339682075864</v>
      </c>
      <c r="E48" s="77">
        <f t="shared" si="4"/>
        <v>3.3999999999991815</v>
      </c>
      <c r="F48" s="78">
        <f t="shared" si="5"/>
        <v>-0.43755589766192315</v>
      </c>
      <c r="G48" s="78">
        <f t="shared" si="6"/>
        <v>1.2775136069005377</v>
      </c>
      <c r="H48" s="78">
        <f t="shared" si="7"/>
        <v>1.8500000000045702</v>
      </c>
      <c r="I48" s="77">
        <f t="shared" si="8"/>
        <v>-3.0448854914766343</v>
      </c>
      <c r="J48" s="77">
        <f t="shared" si="9"/>
        <v>5.1724709854403805</v>
      </c>
      <c r="K48" s="77">
        <f t="shared" si="10"/>
        <v>-8.6999999999903821</v>
      </c>
      <c r="L48" s="78">
        <f t="shared" si="11"/>
        <v>-14.681202444194241</v>
      </c>
      <c r="M48" s="78">
        <f t="shared" si="12"/>
        <v>-3.1811089710806764</v>
      </c>
      <c r="N48" s="77">
        <f t="shared" si="13"/>
        <v>-65.550000000001774</v>
      </c>
      <c r="O48" s="77">
        <f t="shared" si="14"/>
        <v>9.6063478637802291</v>
      </c>
      <c r="P48" s="77">
        <f t="shared" si="15"/>
        <v>-12.32975384717383</v>
      </c>
      <c r="Q48" s="77">
        <f t="shared" si="16"/>
        <v>-31.25</v>
      </c>
      <c r="R48" s="51">
        <f t="shared" si="24"/>
        <v>1.5344668686623208</v>
      </c>
      <c r="S48" s="51">
        <f t="shared" si="25"/>
        <v>-23.02460409308571</v>
      </c>
      <c r="T48" s="51">
        <f t="shared" si="19"/>
        <v>0.90000000001566605</v>
      </c>
      <c r="U48" s="77">
        <f t="shared" si="20"/>
        <v>13.126345617678226</v>
      </c>
      <c r="V48" s="77">
        <f t="shared" si="21"/>
        <v>-20.464695174446046</v>
      </c>
      <c r="W48" s="77">
        <f t="shared" si="22"/>
        <v>-31.19999999999834</v>
      </c>
      <c r="Y48" s="99">
        <f t="shared" si="31"/>
        <v>-131.10000000000355</v>
      </c>
    </row>
    <row r="49" spans="1:25" ht="24.95" customHeight="1" x14ac:dyDescent="0.2">
      <c r="A49" s="29">
        <f t="shared" si="0"/>
        <v>129</v>
      </c>
      <c r="B49" s="30">
        <f t="shared" si="1"/>
        <v>43787</v>
      </c>
      <c r="C49" s="77">
        <f t="shared" si="2"/>
        <v>-1.147079643374127</v>
      </c>
      <c r="D49" s="77">
        <f t="shared" si="3"/>
        <v>1.2276339682073534</v>
      </c>
      <c r="E49" s="77">
        <f t="shared" si="4"/>
        <v>3.5000000000025011</v>
      </c>
      <c r="F49" s="78">
        <f t="shared" si="5"/>
        <v>-0.43755589766192315</v>
      </c>
      <c r="G49" s="78">
        <f t="shared" si="6"/>
        <v>1.1775136069007708</v>
      </c>
      <c r="H49" s="78">
        <f t="shared" si="7"/>
        <v>1.7500000000012506</v>
      </c>
      <c r="I49" s="77">
        <f t="shared" si="8"/>
        <v>-3.2448854914548519</v>
      </c>
      <c r="J49" s="77">
        <f t="shared" si="9"/>
        <v>5.1724709854403805</v>
      </c>
      <c r="K49" s="77">
        <f t="shared" si="10"/>
        <v>-8.7999999999937017</v>
      </c>
      <c r="L49" s="78">
        <f t="shared" si="11"/>
        <v>-15.081202444179098</v>
      </c>
      <c r="M49" s="78">
        <f t="shared" si="12"/>
        <v>-2.8811089710806534</v>
      </c>
      <c r="N49" s="77">
        <f t="shared" si="13"/>
        <v>-65.849999999997522</v>
      </c>
      <c r="O49" s="77">
        <f t="shared" si="14"/>
        <v>9.1063478637636308</v>
      </c>
      <c r="P49" s="77">
        <f t="shared" si="15"/>
        <v>-12.32975384717383</v>
      </c>
      <c r="Q49" s="77">
        <f t="shared" si="16"/>
        <v>-31.450000000006639</v>
      </c>
      <c r="R49" s="51">
        <f t="shared" si="24"/>
        <v>1.2344668686807836</v>
      </c>
      <c r="S49" s="51">
        <f t="shared" si="25"/>
        <v>-23.02460409308571</v>
      </c>
      <c r="T49" s="51">
        <f t="shared" si="19"/>
        <v>0.90000000001566605</v>
      </c>
      <c r="U49" s="77">
        <f t="shared" si="20"/>
        <v>12.826345617668267</v>
      </c>
      <c r="V49" s="77">
        <f t="shared" si="21"/>
        <v>-20.364695174446279</v>
      </c>
      <c r="W49" s="77">
        <f t="shared" si="22"/>
        <v>-31.19999999999834</v>
      </c>
      <c r="Y49" s="99">
        <f t="shared" ref="Y49:Y51" si="32">N49*2</f>
        <v>-131.69999999999504</v>
      </c>
    </row>
    <row r="50" spans="1:25" ht="24.95" customHeight="1" x14ac:dyDescent="0.2">
      <c r="A50" s="29">
        <f t="shared" si="0"/>
        <v>132</v>
      </c>
      <c r="B50" s="30">
        <f t="shared" si="1"/>
        <v>43790</v>
      </c>
      <c r="C50" s="77">
        <f t="shared" si="2"/>
        <v>-4.7079643366032542E-2</v>
      </c>
      <c r="D50" s="77">
        <f t="shared" si="3"/>
        <v>1.2276339682073534</v>
      </c>
      <c r="E50" s="77">
        <f t="shared" si="4"/>
        <v>3.1000000000034333</v>
      </c>
      <c r="F50" s="78">
        <f t="shared" si="5"/>
        <v>0.46244410233953204</v>
      </c>
      <c r="G50" s="78">
        <f t="shared" si="6"/>
        <v>1.2775136069005377</v>
      </c>
      <c r="H50" s="78">
        <f t="shared" si="7"/>
        <v>1.4500000000055024</v>
      </c>
      <c r="I50" s="77">
        <f t="shared" si="8"/>
        <v>-2.4448854914567164</v>
      </c>
      <c r="J50" s="77">
        <f t="shared" si="9"/>
        <v>5.2724709854405916</v>
      </c>
      <c r="K50" s="77">
        <f t="shared" si="10"/>
        <v>-8.9999999999861302</v>
      </c>
      <c r="L50" s="78">
        <f t="shared" si="11"/>
        <v>-14.481202444187602</v>
      </c>
      <c r="M50" s="78">
        <f t="shared" si="12"/>
        <v>-2.8811089710806534</v>
      </c>
      <c r="N50" s="77">
        <f t="shared" si="13"/>
        <v>-66.249999999996589</v>
      </c>
      <c r="O50" s="77">
        <f t="shared" si="14"/>
        <v>9.6063478637802291</v>
      </c>
      <c r="P50" s="77">
        <f t="shared" si="15"/>
        <v>-12.32975384717383</v>
      </c>
      <c r="Q50" s="77">
        <f t="shared" si="16"/>
        <v>-31.850000000005707</v>
      </c>
      <c r="R50" s="51">
        <f t="shared" si="24"/>
        <v>1.6344668686656405</v>
      </c>
      <c r="S50" s="51">
        <f t="shared" si="25"/>
        <v>-22.824604093085288</v>
      </c>
      <c r="T50" s="51">
        <f t="shared" si="19"/>
        <v>0.60000000000570708</v>
      </c>
      <c r="U50" s="77">
        <f t="shared" si="20"/>
        <v>13.026345617674906</v>
      </c>
      <c r="V50" s="77">
        <f t="shared" si="21"/>
        <v>-20.364695174446279</v>
      </c>
      <c r="W50" s="77">
        <f t="shared" si="22"/>
        <v>-31.400000000004979</v>
      </c>
      <c r="Y50" s="99">
        <f t="shared" si="32"/>
        <v>-132.49999999999318</v>
      </c>
    </row>
    <row r="51" spans="1:25" ht="24.95" customHeight="1" x14ac:dyDescent="0.2">
      <c r="A51" s="29">
        <f t="shared" si="0"/>
        <v>137</v>
      </c>
      <c r="B51" s="30">
        <f t="shared" si="1"/>
        <v>43795</v>
      </c>
      <c r="C51" s="77">
        <f t="shared" si="2"/>
        <v>-1.547079643358984</v>
      </c>
      <c r="D51" s="77">
        <f t="shared" si="3"/>
        <v>2.0276339682077094</v>
      </c>
      <c r="E51" s="77">
        <f t="shared" si="4"/>
        <v>3.1000000000034333</v>
      </c>
      <c r="F51" s="78">
        <f t="shared" si="5"/>
        <v>-1.3375558976633783</v>
      </c>
      <c r="G51" s="78">
        <f t="shared" si="6"/>
        <v>2.1775136069006606</v>
      </c>
      <c r="H51" s="78">
        <f t="shared" si="7"/>
        <v>1.1500000000097543</v>
      </c>
      <c r="I51" s="77"/>
      <c r="J51" s="77"/>
      <c r="K51" s="77"/>
      <c r="L51" s="78">
        <f t="shared" si="11"/>
        <v>-15.881202444177234</v>
      </c>
      <c r="M51" s="78">
        <f t="shared" si="12"/>
        <v>-2.4811089710806424</v>
      </c>
      <c r="N51" s="77">
        <f t="shared" si="13"/>
        <v>-67.049999999994725</v>
      </c>
      <c r="O51" s="77">
        <f t="shared" si="14"/>
        <v>7.8063478637773187</v>
      </c>
      <c r="P51" s="77">
        <f t="shared" si="15"/>
        <v>-11.829753847173885</v>
      </c>
      <c r="Q51" s="77">
        <f t="shared" si="16"/>
        <v>-32.550000000000523</v>
      </c>
      <c r="R51" s="51">
        <f t="shared" si="24"/>
        <v>0.23446686867600874</v>
      </c>
      <c r="S51" s="51">
        <f t="shared" si="25"/>
        <v>-22.724604093085521</v>
      </c>
      <c r="T51" s="51">
        <f t="shared" si="19"/>
        <v>0.40000000001327862</v>
      </c>
      <c r="U51" s="77">
        <f t="shared" si="20"/>
        <v>11.726345617688594</v>
      </c>
      <c r="V51" s="77">
        <f t="shared" si="21"/>
        <v>-20.06469517444609</v>
      </c>
      <c r="W51" s="77">
        <f t="shared" si="22"/>
        <v>-31.599999999997408</v>
      </c>
      <c r="Y51" s="99">
        <f t="shared" si="32"/>
        <v>-134.09999999998945</v>
      </c>
    </row>
    <row r="52" spans="1:25" ht="24.95" customHeight="1" x14ac:dyDescent="0.2">
      <c r="A52" s="29">
        <f t="shared" si="0"/>
        <v>139</v>
      </c>
      <c r="B52" s="30">
        <f t="shared" si="1"/>
        <v>43797</v>
      </c>
      <c r="C52" s="77">
        <f t="shared" si="2"/>
        <v>-2.4470796433604391</v>
      </c>
      <c r="D52" s="77">
        <f t="shared" si="3"/>
        <v>3.6276339682075331</v>
      </c>
      <c r="E52" s="77">
        <f t="shared" si="4"/>
        <v>3.0000000000001137</v>
      </c>
      <c r="F52" s="78">
        <f t="shared" si="5"/>
        <v>-1.8375558976515549</v>
      </c>
      <c r="G52" s="78">
        <f t="shared" si="6"/>
        <v>3.8775136069006955</v>
      </c>
      <c r="H52" s="78">
        <f t="shared" si="7"/>
        <v>1.1500000000097543</v>
      </c>
      <c r="I52" s="77">
        <f t="shared" si="8"/>
        <v>-1.0448854914670846</v>
      </c>
      <c r="J52" s="77">
        <f t="shared" si="9"/>
        <v>9.4724709854405731</v>
      </c>
      <c r="K52" s="77">
        <f t="shared" si="10"/>
        <v>-8.7999999999937017</v>
      </c>
      <c r="L52" s="78">
        <f t="shared" si="11"/>
        <v>-17.081202444188648</v>
      </c>
      <c r="M52" s="78">
        <f t="shared" si="12"/>
        <v>-1.0811089710806854</v>
      </c>
      <c r="N52" s="77">
        <f t="shared" si="13"/>
        <v>-68.150000000002819</v>
      </c>
      <c r="O52" s="77">
        <f t="shared" si="14"/>
        <v>7.0063478637791832</v>
      </c>
      <c r="P52" s="77">
        <f t="shared" si="15"/>
        <v>-10.829753847173995</v>
      </c>
      <c r="Q52" s="77">
        <f t="shared" si="16"/>
        <v>-33.05000000000291</v>
      </c>
      <c r="R52" s="51">
        <f t="shared" si="24"/>
        <v>-0.66553313132544645</v>
      </c>
      <c r="S52" s="51">
        <f t="shared" si="25"/>
        <v>-21.524604093085653</v>
      </c>
      <c r="T52" s="51">
        <f t="shared" si="19"/>
        <v>1.4210854715202004E-11</v>
      </c>
      <c r="U52" s="77">
        <f t="shared" si="20"/>
        <v>11.126345617668676</v>
      </c>
      <c r="V52" s="77">
        <f t="shared" si="21"/>
        <v>-19.0646951744462</v>
      </c>
      <c r="W52" s="77">
        <f t="shared" si="22"/>
        <v>-31.700000000000728</v>
      </c>
      <c r="Y52" s="99">
        <f t="shared" ref="Y52" si="33">N52*2</f>
        <v>-136.30000000000564</v>
      </c>
    </row>
    <row r="53" spans="1:25" ht="24.95" customHeight="1" x14ac:dyDescent="0.2">
      <c r="A53" s="29">
        <f t="shared" si="0"/>
        <v>140</v>
      </c>
      <c r="B53" s="30">
        <f t="shared" si="1"/>
        <v>43798</v>
      </c>
      <c r="C53" s="77">
        <f t="shared" si="2"/>
        <v>-2.1455385490583012</v>
      </c>
      <c r="D53" s="77">
        <f t="shared" si="3"/>
        <v>1.3090990073783004</v>
      </c>
      <c r="E53" s="77">
        <f t="shared" si="4"/>
        <v>3.3000000000100727</v>
      </c>
      <c r="F53" s="78">
        <f t="shared" si="5"/>
        <v>-1.8546171073410278</v>
      </c>
      <c r="G53" s="78">
        <f t="shared" si="6"/>
        <v>1.7896111117403635</v>
      </c>
      <c r="H53" s="78">
        <f t="shared" si="7"/>
        <v>1.4500000000055024</v>
      </c>
      <c r="I53" s="77">
        <f t="shared" si="8"/>
        <v>-1.1954216758169878</v>
      </c>
      <c r="J53" s="77">
        <f t="shared" si="9"/>
        <v>7.4019295499119231</v>
      </c>
      <c r="K53" s="77">
        <f t="shared" si="10"/>
        <v>-8.399999999994634</v>
      </c>
      <c r="L53" s="78">
        <f t="shared" si="11"/>
        <v>-17.053638606341792</v>
      </c>
      <c r="M53" s="78">
        <f t="shared" si="12"/>
        <v>-3.3148369901402628</v>
      </c>
      <c r="N53" s="77">
        <f t="shared" si="13"/>
        <v>-68.650000000005207</v>
      </c>
      <c r="O53" s="77">
        <f t="shared" si="14"/>
        <v>7.822454570600712</v>
      </c>
      <c r="P53" s="77">
        <f t="shared" si="15"/>
        <v>-12.842556981370823</v>
      </c>
      <c r="Q53" s="77">
        <f t="shared" si="16"/>
        <v>-32.650000000003843</v>
      </c>
      <c r="R53" s="51">
        <f t="shared" ref="R53:R71" si="34">DPM_ID</f>
        <v>0.30126237851391124</v>
      </c>
      <c r="S53" s="51">
        <f t="shared" ref="S53:S71" si="35">DH_ID</f>
        <v>-23.589196144676361</v>
      </c>
      <c r="T53" s="51">
        <f t="shared" si="19"/>
        <v>0.50000000001659828</v>
      </c>
      <c r="U53" s="77">
        <f t="shared" si="20"/>
        <v>11.828200080799434</v>
      </c>
      <c r="V53" s="77">
        <f t="shared" si="21"/>
        <v>-21.325164128473961</v>
      </c>
      <c r="W53" s="77">
        <f t="shared" si="22"/>
        <v>-31.30000000000166</v>
      </c>
      <c r="Y53" s="99">
        <f t="shared" ref="Y53" si="36">N53*2</f>
        <v>-137.30000000001041</v>
      </c>
    </row>
    <row r="54" spans="1:25" ht="24.95" customHeight="1" x14ac:dyDescent="0.2">
      <c r="A54" s="29">
        <f t="shared" si="0"/>
        <v>143</v>
      </c>
      <c r="B54" s="30">
        <f t="shared" si="1"/>
        <v>43801</v>
      </c>
      <c r="C54" s="77">
        <f t="shared" si="2"/>
        <v>-1.547079643358984</v>
      </c>
      <c r="D54" s="77">
        <f t="shared" si="3"/>
        <v>2.3276339682074543</v>
      </c>
      <c r="E54" s="77">
        <f t="shared" si="4"/>
        <v>2.9000000000110049</v>
      </c>
      <c r="F54" s="78">
        <f t="shared" si="5"/>
        <v>-1.437555897666698</v>
      </c>
      <c r="G54" s="78">
        <f t="shared" si="6"/>
        <v>2.2775136069004276</v>
      </c>
      <c r="H54" s="78">
        <f t="shared" si="7"/>
        <v>1.0500000000064347</v>
      </c>
      <c r="I54" s="77">
        <f t="shared" si="8"/>
        <v>-0.94488549146376499</v>
      </c>
      <c r="J54" s="77">
        <f t="shared" si="9"/>
        <v>8.2724709854407052</v>
      </c>
      <c r="K54" s="77">
        <f t="shared" si="10"/>
        <v>-8.9999999999861302</v>
      </c>
      <c r="L54" s="78">
        <f t="shared" si="11"/>
        <v>-16.781202444178689</v>
      </c>
      <c r="M54" s="78">
        <f t="shared" si="12"/>
        <v>-2.4811089710806424</v>
      </c>
      <c r="N54" s="77">
        <f t="shared" si="13"/>
        <v>-69.450000000003342</v>
      </c>
      <c r="O54" s="77">
        <f t="shared" si="14"/>
        <v>7.6063478637706794</v>
      </c>
      <c r="P54" s="77">
        <f t="shared" si="15"/>
        <v>-12.129753847173852</v>
      </c>
      <c r="Q54" s="77">
        <f t="shared" si="16"/>
        <v>-33.349999999998658</v>
      </c>
      <c r="R54" s="51">
        <f t="shared" si="34"/>
        <v>0.13446686867268909</v>
      </c>
      <c r="S54" s="51">
        <f t="shared" si="35"/>
        <v>-23.02460409308571</v>
      </c>
      <c r="T54" s="51">
        <f t="shared" si="19"/>
        <v>1.4210854715202004E-11</v>
      </c>
      <c r="U54" s="77">
        <f t="shared" si="20"/>
        <v>11.926345617666811</v>
      </c>
      <c r="V54" s="77">
        <f t="shared" si="21"/>
        <v>-20.964695174446213</v>
      </c>
      <c r="W54" s="77">
        <f t="shared" si="22"/>
        <v>-31.999999999996476</v>
      </c>
      <c r="Y54" s="99">
        <f t="shared" ref="Y54:Y65" si="37">N54*2</f>
        <v>-138.90000000000668</v>
      </c>
    </row>
    <row r="55" spans="1:25" ht="24.95" customHeight="1" x14ac:dyDescent="0.2">
      <c r="A55" s="29">
        <f t="shared" si="0"/>
        <v>145</v>
      </c>
      <c r="B55" s="30">
        <f t="shared" si="1"/>
        <v>43803</v>
      </c>
      <c r="C55" s="77">
        <f t="shared" si="2"/>
        <v>-1.6470796433623036</v>
      </c>
      <c r="D55" s="77">
        <f t="shared" si="3"/>
        <v>2.4276339682076653</v>
      </c>
      <c r="E55" s="77">
        <f t="shared" si="4"/>
        <v>3.3000000000100727</v>
      </c>
      <c r="F55" s="78">
        <f t="shared" si="5"/>
        <v>-1.3375558976633783</v>
      </c>
      <c r="G55" s="78">
        <f t="shared" si="6"/>
        <v>2.6775136069008276</v>
      </c>
      <c r="H55" s="78">
        <f t="shared" si="7"/>
        <v>1.3500000000021828</v>
      </c>
      <c r="I55" s="77">
        <f t="shared" si="8"/>
        <v>-0.64488549145380603</v>
      </c>
      <c r="J55" s="77">
        <f t="shared" si="9"/>
        <v>8.5724709854404502</v>
      </c>
      <c r="K55" s="77">
        <f t="shared" si="10"/>
        <v>-8.7999999999937017</v>
      </c>
      <c r="L55" s="78">
        <f t="shared" si="11"/>
        <v>-16.681202444175369</v>
      </c>
      <c r="M55" s="78">
        <f t="shared" si="12"/>
        <v>-2.3811089710806534</v>
      </c>
      <c r="N55" s="77">
        <f t="shared" si="13"/>
        <v>-69.95000000000573</v>
      </c>
      <c r="O55" s="77">
        <f t="shared" si="14"/>
        <v>8.106347863758856</v>
      </c>
      <c r="P55" s="77">
        <f t="shared" si="15"/>
        <v>-12.32975384717383</v>
      </c>
      <c r="Q55" s="77">
        <f t="shared" si="16"/>
        <v>-33.25000000000955</v>
      </c>
      <c r="R55" s="51">
        <f t="shared" si="34"/>
        <v>0.3344668686793284</v>
      </c>
      <c r="S55" s="51">
        <f t="shared" si="35"/>
        <v>-23.124604093085477</v>
      </c>
      <c r="T55" s="51">
        <f t="shared" si="19"/>
        <v>0.30000000000995897</v>
      </c>
      <c r="U55" s="77">
        <f t="shared" si="20"/>
        <v>12.126345617673451</v>
      </c>
      <c r="V55" s="77">
        <f t="shared" si="21"/>
        <v>-20.764695174446235</v>
      </c>
      <c r="W55" s="77">
        <f t="shared" si="22"/>
        <v>-31.499999999994088</v>
      </c>
      <c r="Y55" s="99">
        <f t="shared" si="37"/>
        <v>-139.90000000001146</v>
      </c>
    </row>
    <row r="56" spans="1:25" ht="24.95" customHeight="1" x14ac:dyDescent="0.2">
      <c r="A56" s="29">
        <f t="shared" si="0"/>
        <v>150</v>
      </c>
      <c r="B56" s="30">
        <f t="shared" si="1"/>
        <v>43808</v>
      </c>
      <c r="C56" s="77">
        <f t="shared" si="2"/>
        <v>-1.4470796433556643</v>
      </c>
      <c r="D56" s="77">
        <f t="shared" si="3"/>
        <v>2.5276339682074322</v>
      </c>
      <c r="E56" s="77">
        <f t="shared" si="4"/>
        <v>3.3999999999991815</v>
      </c>
      <c r="F56" s="78">
        <f t="shared" si="5"/>
        <v>-1.137555897656739</v>
      </c>
      <c r="G56" s="78">
        <f t="shared" si="6"/>
        <v>2.6775136069008276</v>
      </c>
      <c r="H56" s="78">
        <f t="shared" si="7"/>
        <v>1.5500000000088221</v>
      </c>
      <c r="I56" s="77">
        <f t="shared" si="8"/>
        <v>-0.74488549145712568</v>
      </c>
      <c r="J56" s="77">
        <f t="shared" si="9"/>
        <v>8.5724709854404502</v>
      </c>
      <c r="K56" s="77">
        <f t="shared" si="10"/>
        <v>-8.8999999999828106</v>
      </c>
      <c r="L56" s="78">
        <f t="shared" si="11"/>
        <v>-17.281202444195287</v>
      </c>
      <c r="M56" s="78">
        <f t="shared" si="12"/>
        <v>-2.5811089710806865</v>
      </c>
      <c r="N56" s="77">
        <f t="shared" si="13"/>
        <v>-70.549999999997226</v>
      </c>
      <c r="O56" s="77">
        <f t="shared" si="14"/>
        <v>7.6063478637706794</v>
      </c>
      <c r="P56" s="77">
        <f t="shared" si="15"/>
        <v>-12.32975384717383</v>
      </c>
      <c r="Q56" s="77">
        <f t="shared" si="16"/>
        <v>-33.450000000001978</v>
      </c>
      <c r="R56" s="51">
        <f t="shared" si="34"/>
        <v>3.4466868669369433E-2</v>
      </c>
      <c r="S56" s="51">
        <f t="shared" si="35"/>
        <v>-22.924604093085499</v>
      </c>
      <c r="T56" s="51">
        <f t="shared" si="19"/>
        <v>0.20000000000663931</v>
      </c>
      <c r="U56" s="77">
        <f t="shared" si="20"/>
        <v>11.726345617688594</v>
      </c>
      <c r="V56" s="77">
        <f t="shared" si="21"/>
        <v>-20.464695174446046</v>
      </c>
      <c r="W56" s="77">
        <f t="shared" si="22"/>
        <v>-31.30000000000166</v>
      </c>
      <c r="Y56" s="99">
        <f t="shared" si="37"/>
        <v>-141.09999999999445</v>
      </c>
    </row>
    <row r="57" spans="1:25" ht="24.95" customHeight="1" x14ac:dyDescent="0.2">
      <c r="A57" s="29">
        <f t="shared" si="0"/>
        <v>153</v>
      </c>
      <c r="B57" s="30">
        <f t="shared" si="1"/>
        <v>43811</v>
      </c>
      <c r="C57" s="77">
        <f t="shared" si="2"/>
        <v>-0.94707964336748773</v>
      </c>
      <c r="D57" s="77">
        <f t="shared" si="3"/>
        <v>1.2276339682073534</v>
      </c>
      <c r="E57" s="77">
        <f t="shared" si="4"/>
        <v>3.6000000000058208</v>
      </c>
      <c r="F57" s="78">
        <f t="shared" si="5"/>
        <v>-0.83755589764678007</v>
      </c>
      <c r="G57" s="78">
        <f t="shared" si="6"/>
        <v>1.4775136069005157</v>
      </c>
      <c r="H57" s="78">
        <f t="shared" si="7"/>
        <v>1.4500000000055024</v>
      </c>
      <c r="I57" s="77">
        <f t="shared" si="8"/>
        <v>-0.34488549147226877</v>
      </c>
      <c r="J57" s="77">
        <f t="shared" si="9"/>
        <v>7.3724709854405823</v>
      </c>
      <c r="K57" s="77">
        <f t="shared" si="10"/>
        <v>-8.6999999999903821</v>
      </c>
      <c r="L57" s="78">
        <f t="shared" si="11"/>
        <v>-16.381202444193832</v>
      </c>
      <c r="M57" s="78">
        <f t="shared" si="12"/>
        <v>-3.6811089710806764</v>
      </c>
      <c r="N57" s="77">
        <f t="shared" si="13"/>
        <v>-70.250000000001478</v>
      </c>
      <c r="O57" s="77">
        <f t="shared" si="14"/>
        <v>8.7063478637787739</v>
      </c>
      <c r="P57" s="77">
        <f t="shared" si="15"/>
        <v>-13.229753847173953</v>
      </c>
      <c r="Q57" s="77">
        <f t="shared" si="16"/>
        <v>-33.349999999998658</v>
      </c>
      <c r="R57" s="51">
        <f t="shared" si="34"/>
        <v>1.1344668686774639</v>
      </c>
      <c r="S57" s="51">
        <f t="shared" si="35"/>
        <v>-24.124604093085367</v>
      </c>
      <c r="T57" s="51">
        <f t="shared" si="19"/>
        <v>0.60000000000570708</v>
      </c>
      <c r="U57" s="77">
        <f t="shared" si="20"/>
        <v>12.526345617686729</v>
      </c>
      <c r="V57" s="77">
        <f t="shared" si="21"/>
        <v>-21.564695174446147</v>
      </c>
      <c r="W57" s="77">
        <f t="shared" si="22"/>
        <v>-31.19999999999834</v>
      </c>
      <c r="Y57" s="99">
        <f t="shared" si="37"/>
        <v>-140.50000000000296</v>
      </c>
    </row>
    <row r="58" spans="1:25" ht="24.95" customHeight="1" x14ac:dyDescent="0.2">
      <c r="A58" s="29">
        <f t="shared" si="0"/>
        <v>157</v>
      </c>
      <c r="B58" s="30">
        <f t="shared" si="1"/>
        <v>43815</v>
      </c>
      <c r="C58" s="77">
        <f t="shared" si="2"/>
        <v>0.15292035664060677</v>
      </c>
      <c r="D58" s="77">
        <f t="shared" si="3"/>
        <v>1.5276339682075424</v>
      </c>
      <c r="E58" s="77">
        <f t="shared" si="4"/>
        <v>3.3999999999991815</v>
      </c>
      <c r="F58" s="78">
        <f t="shared" si="5"/>
        <v>0.46244410233953204</v>
      </c>
      <c r="G58" s="78">
        <f t="shared" si="6"/>
        <v>1.5775136069007267</v>
      </c>
      <c r="H58" s="78">
        <f t="shared" si="7"/>
        <v>1.6500000000121418</v>
      </c>
      <c r="I58" s="77">
        <f t="shared" si="8"/>
        <v>0.75511450853582573</v>
      </c>
      <c r="J58" s="77">
        <f t="shared" si="9"/>
        <v>7.8724709854407493</v>
      </c>
      <c r="K58" s="77">
        <f t="shared" si="10"/>
        <v>-8.5999999999870624</v>
      </c>
      <c r="L58" s="78">
        <f t="shared" si="11"/>
        <v>-15.481202444192377</v>
      </c>
      <c r="M58" s="78">
        <f t="shared" si="12"/>
        <v>-3.0811089710806874</v>
      </c>
      <c r="N58" s="77">
        <f t="shared" si="13"/>
        <v>-70.350000000004798</v>
      </c>
      <c r="O58" s="77">
        <f t="shared" si="14"/>
        <v>9.8063478637584467</v>
      </c>
      <c r="P58" s="77">
        <f t="shared" si="15"/>
        <v>-12.229753847173841</v>
      </c>
      <c r="Q58" s="77">
        <f t="shared" si="16"/>
        <v>-32.850000000010482</v>
      </c>
      <c r="R58" s="51">
        <f t="shared" si="34"/>
        <v>1.7344668686689602</v>
      </c>
      <c r="S58" s="51">
        <f t="shared" si="35"/>
        <v>-23.524604093085433</v>
      </c>
      <c r="T58" s="51">
        <f t="shared" si="19"/>
        <v>0.60000000000570708</v>
      </c>
      <c r="U58" s="77">
        <f t="shared" si="20"/>
        <v>13.526345617691504</v>
      </c>
      <c r="V58" s="77">
        <f t="shared" si="21"/>
        <v>-20.764695174446235</v>
      </c>
      <c r="W58" s="77">
        <f t="shared" si="22"/>
        <v>-31.30000000000166</v>
      </c>
      <c r="Y58" s="99">
        <f t="shared" si="37"/>
        <v>-140.7000000000096</v>
      </c>
    </row>
    <row r="59" spans="1:25" ht="24.95" customHeight="1" x14ac:dyDescent="0.2">
      <c r="A59" s="29">
        <f t="shared" si="0"/>
        <v>160</v>
      </c>
      <c r="B59" s="30">
        <f t="shared" si="1"/>
        <v>43818</v>
      </c>
      <c r="C59" s="77">
        <f t="shared" si="2"/>
        <v>0.35292035664724608</v>
      </c>
      <c r="D59" s="77">
        <f t="shared" si="3"/>
        <v>5.027633968207379</v>
      </c>
      <c r="E59" s="77">
        <f t="shared" si="4"/>
        <v>3.5000000000025011</v>
      </c>
      <c r="F59" s="78">
        <f t="shared" si="5"/>
        <v>0.762444102349491</v>
      </c>
      <c r="G59" s="78">
        <f t="shared" si="6"/>
        <v>5.1775136069007743</v>
      </c>
      <c r="H59" s="78">
        <f t="shared" si="7"/>
        <v>1.4500000000055024</v>
      </c>
      <c r="I59" s="77">
        <f t="shared" si="8"/>
        <v>1.0551145085457847</v>
      </c>
      <c r="J59" s="77">
        <f t="shared" si="9"/>
        <v>11.272470985440375</v>
      </c>
      <c r="K59" s="77">
        <f t="shared" si="10"/>
        <v>-8.6999999999903821</v>
      </c>
      <c r="L59" s="78">
        <f t="shared" si="11"/>
        <v>-15.981202444180553</v>
      </c>
      <c r="M59" s="78">
        <f t="shared" si="12"/>
        <v>-8.1108971080684489E-2</v>
      </c>
      <c r="N59" s="77">
        <f t="shared" si="13"/>
        <v>-70.949999999996294</v>
      </c>
      <c r="O59" s="77">
        <f t="shared" si="14"/>
        <v>8.6063478637754542</v>
      </c>
      <c r="P59" s="77">
        <f t="shared" si="15"/>
        <v>-9.5297538471739163</v>
      </c>
      <c r="Q59" s="77">
        <f t="shared" si="16"/>
        <v>-33.349999999998658</v>
      </c>
      <c r="R59" s="51">
        <f t="shared" si="34"/>
        <v>0.43446686868264806</v>
      </c>
      <c r="S59" s="51">
        <f t="shared" si="35"/>
        <v>-20.424604093085552</v>
      </c>
      <c r="T59" s="51">
        <f t="shared" si="19"/>
        <v>0.60000000000570708</v>
      </c>
      <c r="U59" s="77">
        <f t="shared" si="20"/>
        <v>12.026345617670131</v>
      </c>
      <c r="V59" s="77">
        <f t="shared" si="21"/>
        <v>-18.06469517444631</v>
      </c>
      <c r="W59" s="77">
        <f t="shared" si="22"/>
        <v>-31.19999999999834</v>
      </c>
      <c r="Y59" s="99">
        <f t="shared" si="37"/>
        <v>-141.89999999999259</v>
      </c>
    </row>
    <row r="60" spans="1:25" ht="24.95" customHeight="1" x14ac:dyDescent="0.2">
      <c r="A60" s="29">
        <f t="shared" si="0"/>
        <v>179</v>
      </c>
      <c r="B60" s="30">
        <f t="shared" si="1"/>
        <v>43837</v>
      </c>
      <c r="C60" s="77">
        <f t="shared" si="2"/>
        <v>-1.0470796433708074</v>
      </c>
      <c r="D60" s="77">
        <f t="shared" si="3"/>
        <v>2.0276339682077094</v>
      </c>
      <c r="E60" s="77">
        <f t="shared" si="4"/>
        <v>3.9000000000015689</v>
      </c>
      <c r="F60" s="78">
        <f t="shared" si="5"/>
        <v>-0.93755589765009972</v>
      </c>
      <c r="G60" s="78">
        <f t="shared" si="6"/>
        <v>2.3775136069006386</v>
      </c>
      <c r="H60" s="78">
        <f t="shared" si="7"/>
        <v>1.7500000000012506</v>
      </c>
      <c r="I60" s="77">
        <f t="shared" si="8"/>
        <v>-0.44488549147558842</v>
      </c>
      <c r="J60" s="77">
        <f t="shared" si="9"/>
        <v>8.4724709854406832</v>
      </c>
      <c r="K60" s="77">
        <f t="shared" si="10"/>
        <v>-8.8999999999828106</v>
      </c>
      <c r="L60" s="78">
        <f t="shared" si="11"/>
        <v>-16.981202444185328</v>
      </c>
      <c r="M60" s="78">
        <f t="shared" si="12"/>
        <v>-3.0811089710806874</v>
      </c>
      <c r="N60" s="77">
        <f t="shared" si="13"/>
        <v>-71.650000000005321</v>
      </c>
      <c r="O60" s="77">
        <f t="shared" si="14"/>
        <v>8.106347863758856</v>
      </c>
      <c r="P60" s="77">
        <f t="shared" si="15"/>
        <v>-12.829753847173997</v>
      </c>
      <c r="Q60" s="77">
        <f t="shared" si="16"/>
        <v>-33.650000000008617</v>
      </c>
      <c r="R60" s="51">
        <f t="shared" si="34"/>
        <v>0.73446686866418531</v>
      </c>
      <c r="S60" s="51">
        <f t="shared" si="35"/>
        <v>-23.924604093085389</v>
      </c>
      <c r="T60" s="51">
        <f t="shared" si="19"/>
        <v>0.80000000001234639</v>
      </c>
      <c r="U60" s="77">
        <f t="shared" si="20"/>
        <v>12.42634561768341</v>
      </c>
      <c r="V60" s="77">
        <f t="shared" si="21"/>
        <v>-21.364695174446169</v>
      </c>
      <c r="W60" s="77">
        <f t="shared" si="22"/>
        <v>-30.999999999991701</v>
      </c>
      <c r="Y60" s="99">
        <f t="shared" si="37"/>
        <v>-143.30000000001064</v>
      </c>
    </row>
    <row r="61" spans="1:25" ht="24.95" customHeight="1" x14ac:dyDescent="0.2">
      <c r="A61" s="29">
        <f t="shared" si="0"/>
        <v>185</v>
      </c>
      <c r="B61" s="30">
        <f t="shared" si="1"/>
        <v>43843</v>
      </c>
      <c r="C61" s="77">
        <f t="shared" si="2"/>
        <v>-1.9470796433722626</v>
      </c>
      <c r="D61" s="77">
        <f t="shared" si="3"/>
        <v>1.6276339682077534</v>
      </c>
      <c r="E61" s="77">
        <f t="shared" si="4"/>
        <v>3.7000000000091404</v>
      </c>
      <c r="F61" s="78">
        <f t="shared" si="5"/>
        <v>-1.5375558976700177</v>
      </c>
      <c r="G61" s="78">
        <f t="shared" si="6"/>
        <v>1.9775136069006827</v>
      </c>
      <c r="H61" s="78">
        <f t="shared" si="7"/>
        <v>1.4500000000055024</v>
      </c>
      <c r="I61" s="77">
        <f t="shared" si="8"/>
        <v>-0.94488549146376499</v>
      </c>
      <c r="J61" s="77">
        <f t="shared" si="9"/>
        <v>8.5724709854404502</v>
      </c>
      <c r="K61" s="77">
        <f t="shared" si="10"/>
        <v>-8.6999999999903821</v>
      </c>
      <c r="L61" s="78">
        <f t="shared" si="11"/>
        <v>-17.481202444173505</v>
      </c>
      <c r="M61" s="78">
        <f t="shared" si="12"/>
        <v>-3.7811089710806653</v>
      </c>
      <c r="N61" s="77">
        <f t="shared" si="13"/>
        <v>-72.749999999999204</v>
      </c>
      <c r="O61" s="77">
        <f t="shared" si="14"/>
        <v>7.7063478637739991</v>
      </c>
      <c r="P61" s="77">
        <f t="shared" si="15"/>
        <v>-13.52975384717392</v>
      </c>
      <c r="Q61" s="77">
        <f t="shared" si="16"/>
        <v>-34.250000000000114</v>
      </c>
      <c r="R61" s="51">
        <f t="shared" si="34"/>
        <v>0.43446686868264806</v>
      </c>
      <c r="S61" s="51">
        <f t="shared" si="35"/>
        <v>-24.624604093085534</v>
      </c>
      <c r="T61" s="51">
        <f t="shared" si="19"/>
        <v>0.50000000001659828</v>
      </c>
      <c r="U61" s="77">
        <f t="shared" si="20"/>
        <v>11.926345617666811</v>
      </c>
      <c r="V61" s="77">
        <f t="shared" si="21"/>
        <v>-22.064695174446314</v>
      </c>
      <c r="W61" s="77">
        <f t="shared" si="22"/>
        <v>-31.099999999995021</v>
      </c>
      <c r="Y61" s="99">
        <f t="shared" si="37"/>
        <v>-145.49999999999841</v>
      </c>
    </row>
    <row r="62" spans="1:25" ht="24.95" customHeight="1" x14ac:dyDescent="0.2">
      <c r="A62" s="29">
        <f t="shared" si="0"/>
        <v>192</v>
      </c>
      <c r="B62" s="30">
        <f t="shared" si="1"/>
        <v>43850</v>
      </c>
      <c r="C62" s="77">
        <f t="shared" si="2"/>
        <v>-0.44707964335088946</v>
      </c>
      <c r="D62" s="77">
        <f t="shared" si="3"/>
        <v>2.1276339682074763</v>
      </c>
      <c r="E62" s="77">
        <f t="shared" si="4"/>
        <v>4.1000000000082082</v>
      </c>
      <c r="F62" s="78">
        <f t="shared" si="5"/>
        <v>-0.23755589765528384</v>
      </c>
      <c r="G62" s="78">
        <f t="shared" si="6"/>
        <v>2.3775136069006386</v>
      </c>
      <c r="H62" s="78">
        <f t="shared" si="7"/>
        <v>1.8500000000045702</v>
      </c>
      <c r="I62" s="77">
        <f t="shared" si="8"/>
        <v>0.55511450852918642</v>
      </c>
      <c r="J62" s="77">
        <f t="shared" si="9"/>
        <v>8.4724709854406832</v>
      </c>
      <c r="K62" s="77">
        <f t="shared" si="10"/>
        <v>-8.7999999999937017</v>
      </c>
      <c r="L62" s="78">
        <f t="shared" si="11"/>
        <v>-16.281202444190512</v>
      </c>
      <c r="M62" s="78">
        <f t="shared" si="12"/>
        <v>-2.9811089710806424</v>
      </c>
      <c r="N62" s="77">
        <f t="shared" si="13"/>
        <v>-72.150000000007708</v>
      </c>
      <c r="O62" s="77">
        <f t="shared" si="14"/>
        <v>8.8063478637536718</v>
      </c>
      <c r="P62" s="77">
        <f t="shared" si="15"/>
        <v>-12.729753847174008</v>
      </c>
      <c r="Q62" s="77">
        <f t="shared" si="16"/>
        <v>-33.650000000008617</v>
      </c>
      <c r="R62" s="51">
        <f t="shared" si="34"/>
        <v>1.1344668686774639</v>
      </c>
      <c r="S62" s="51">
        <f t="shared" si="35"/>
        <v>-23.924604093085389</v>
      </c>
      <c r="T62" s="51">
        <f t="shared" si="19"/>
        <v>0.90000000001566605</v>
      </c>
      <c r="U62" s="77">
        <f t="shared" si="20"/>
        <v>13.026345617674906</v>
      </c>
      <c r="V62" s="77">
        <f t="shared" si="21"/>
        <v>-21.264695174446402</v>
      </c>
      <c r="W62" s="77">
        <f t="shared" si="22"/>
        <v>-30.799999999999272</v>
      </c>
      <c r="Y62" s="99">
        <f t="shared" si="37"/>
        <v>-144.30000000001542</v>
      </c>
    </row>
    <row r="63" spans="1:25" ht="24.95" customHeight="1" x14ac:dyDescent="0.2">
      <c r="A63" s="29">
        <f t="shared" si="0"/>
        <v>201</v>
      </c>
      <c r="B63" s="30">
        <f t="shared" si="1"/>
        <v>43859</v>
      </c>
      <c r="C63" s="77">
        <f t="shared" si="2"/>
        <v>-0.64707964335752877</v>
      </c>
      <c r="D63" s="77">
        <f t="shared" si="3"/>
        <v>2.2276339682076873</v>
      </c>
      <c r="E63" s="77">
        <f t="shared" si="4"/>
        <v>1.6999999999995907</v>
      </c>
      <c r="F63" s="78">
        <f t="shared" si="5"/>
        <v>-0.3375558976586035</v>
      </c>
      <c r="G63" s="78">
        <f t="shared" si="6"/>
        <v>1.7775136069007047</v>
      </c>
      <c r="H63" s="78">
        <f t="shared" si="7"/>
        <v>1.8500000000045702</v>
      </c>
      <c r="I63" s="77">
        <f t="shared" si="8"/>
        <v>-0.74488549145712568</v>
      </c>
      <c r="J63" s="77">
        <f t="shared" si="9"/>
        <v>8.2724709854407052</v>
      </c>
      <c r="K63" s="77">
        <f t="shared" si="10"/>
        <v>-9.399999999985198</v>
      </c>
      <c r="L63" s="78">
        <f t="shared" si="11"/>
        <v>-16.481202444197152</v>
      </c>
      <c r="M63" s="78">
        <f t="shared" si="12"/>
        <v>-3.4811089710806433</v>
      </c>
      <c r="N63" s="77">
        <f t="shared" si="13"/>
        <v>-72.649999999995885</v>
      </c>
      <c r="O63" s="77">
        <f t="shared" si="14"/>
        <v>8.6063478637754542</v>
      </c>
      <c r="P63" s="77">
        <f t="shared" si="15"/>
        <v>-13.229753847173953</v>
      </c>
      <c r="Q63" s="77">
        <f t="shared" si="16"/>
        <v>-33.950000000004366</v>
      </c>
      <c r="R63" s="51">
        <f t="shared" si="34"/>
        <v>1.1344668686774639</v>
      </c>
      <c r="S63" s="51">
        <f t="shared" si="35"/>
        <v>-24.124604093085367</v>
      </c>
      <c r="T63" s="51">
        <f t="shared" si="19"/>
        <v>0.70000000000902673</v>
      </c>
      <c r="U63" s="77">
        <f t="shared" si="20"/>
        <v>12.926345617671586</v>
      </c>
      <c r="V63" s="77">
        <f t="shared" si="21"/>
        <v>-21.564695174446147</v>
      </c>
      <c r="W63" s="77">
        <f t="shared" si="22"/>
        <v>-30.799999999999272</v>
      </c>
      <c r="Y63" s="99">
        <f t="shared" si="37"/>
        <v>-145.29999999999177</v>
      </c>
    </row>
    <row r="64" spans="1:25" ht="24.95" customHeight="1" x14ac:dyDescent="0.2">
      <c r="A64" s="29">
        <f t="shared" si="0"/>
        <v>207</v>
      </c>
      <c r="B64" s="30">
        <f t="shared" si="1"/>
        <v>43865</v>
      </c>
      <c r="C64" s="77">
        <f t="shared" si="2"/>
        <v>0.65292035662878334</v>
      </c>
      <c r="D64" s="77">
        <f t="shared" si="3"/>
        <v>3.4276339682075552</v>
      </c>
      <c r="E64" s="77">
        <f t="shared" si="4"/>
        <v>2.5000000000119371</v>
      </c>
      <c r="F64" s="78">
        <f t="shared" si="5"/>
        <v>0.96244410235613032</v>
      </c>
      <c r="G64" s="78">
        <f t="shared" si="6"/>
        <v>3.2775136069007615</v>
      </c>
      <c r="H64" s="78">
        <f t="shared" si="7"/>
        <v>1.5500000000088221</v>
      </c>
      <c r="I64" s="77">
        <f t="shared" si="8"/>
        <v>0.85511450853914539</v>
      </c>
      <c r="J64" s="77">
        <f t="shared" si="9"/>
        <v>9.4724709854405731</v>
      </c>
      <c r="K64" s="77">
        <f t="shared" si="10"/>
        <v>-9.5999999999918373</v>
      </c>
      <c r="L64" s="78">
        <f t="shared" si="11"/>
        <v>-15.781202444173914</v>
      </c>
      <c r="M64" s="78">
        <f t="shared" si="12"/>
        <v>-2.2811089710806645</v>
      </c>
      <c r="N64" s="77">
        <f t="shared" si="13"/>
        <v>-73.350000000004911</v>
      </c>
      <c r="O64" s="77">
        <f t="shared" si="14"/>
        <v>9.6063478637802291</v>
      </c>
      <c r="P64" s="77">
        <f t="shared" si="15"/>
        <v>-12.129753847173852</v>
      </c>
      <c r="Q64" s="77">
        <f t="shared" si="16"/>
        <v>-34.350000000003433</v>
      </c>
      <c r="R64" s="51">
        <f t="shared" si="34"/>
        <v>1.8344668686722798</v>
      </c>
      <c r="S64" s="51">
        <f t="shared" si="35"/>
        <v>-22.824604093085288</v>
      </c>
      <c r="T64" s="51">
        <f t="shared" si="19"/>
        <v>0.50000000001659828</v>
      </c>
      <c r="U64" s="77">
        <f t="shared" si="20"/>
        <v>13.526345617691504</v>
      </c>
      <c r="V64" s="77">
        <f t="shared" si="21"/>
        <v>-20.264695174446068</v>
      </c>
      <c r="W64" s="77">
        <f t="shared" si="22"/>
        <v>-31.099999999995021</v>
      </c>
      <c r="Y64" s="99">
        <f t="shared" si="37"/>
        <v>-146.70000000000982</v>
      </c>
    </row>
    <row r="65" spans="1:25" ht="24.95" customHeight="1" x14ac:dyDescent="0.2">
      <c r="A65" s="29">
        <f t="shared" si="0"/>
        <v>228</v>
      </c>
      <c r="B65" s="30">
        <f t="shared" si="1"/>
        <v>43886</v>
      </c>
      <c r="C65" s="77">
        <f t="shared" si="2"/>
        <v>-1.0470796433708074</v>
      </c>
      <c r="D65" s="77">
        <f t="shared" si="3"/>
        <v>0.42763396820744148</v>
      </c>
      <c r="E65" s="77">
        <f t="shared" si="4"/>
        <v>3.3999999999991815</v>
      </c>
      <c r="F65" s="78">
        <f t="shared" si="5"/>
        <v>-0.63755589766856247</v>
      </c>
      <c r="G65" s="78">
        <f t="shared" si="6"/>
        <v>0.27751360690064786</v>
      </c>
      <c r="H65" s="78">
        <f t="shared" si="7"/>
        <v>2.1500000000003183</v>
      </c>
      <c r="I65" s="77">
        <f t="shared" si="8"/>
        <v>-0.24488549146894911</v>
      </c>
      <c r="J65" s="77">
        <f t="shared" si="9"/>
        <v>6.5724709854406704</v>
      </c>
      <c r="K65" s="77">
        <f t="shared" si="10"/>
        <v>-8.9999999999861302</v>
      </c>
      <c r="L65" s="78">
        <f t="shared" si="11"/>
        <v>-16.781202444178689</v>
      </c>
      <c r="M65" s="78">
        <f t="shared" si="12"/>
        <v>-4.9811089710806442</v>
      </c>
      <c r="N65" s="77">
        <f t="shared" si="13"/>
        <v>-73.250000000001592</v>
      </c>
      <c r="O65" s="77">
        <f t="shared" si="14"/>
        <v>9.0063478637603112</v>
      </c>
      <c r="P65" s="77">
        <f t="shared" si="15"/>
        <v>-14.72975384717401</v>
      </c>
      <c r="Q65" s="77">
        <f t="shared" si="16"/>
        <v>-33.650000000008617</v>
      </c>
      <c r="R65" s="51">
        <f t="shared" si="34"/>
        <v>1.5344668686623208</v>
      </c>
      <c r="S65" s="51">
        <f t="shared" si="35"/>
        <v>-25.524604093085657</v>
      </c>
      <c r="T65" s="51">
        <f t="shared" si="19"/>
        <v>1.1000000000080945</v>
      </c>
      <c r="U65" s="77">
        <f t="shared" si="20"/>
        <v>13.226345617681545</v>
      </c>
      <c r="V65" s="77">
        <f t="shared" si="21"/>
        <v>-23.164695174446415</v>
      </c>
      <c r="W65" s="77">
        <f t="shared" si="22"/>
        <v>-30.500000000003524</v>
      </c>
      <c r="Y65" s="99">
        <f t="shared" si="37"/>
        <v>-146.50000000000318</v>
      </c>
    </row>
    <row r="66" spans="1:25" ht="24.95" customHeight="1" x14ac:dyDescent="0.2">
      <c r="A66" s="29">
        <f t="shared" si="0"/>
        <v>312</v>
      </c>
      <c r="B66" s="30">
        <f t="shared" si="1"/>
        <v>43970</v>
      </c>
      <c r="C66" s="77">
        <f t="shared" si="2"/>
        <v>-4.7079643366032542E-2</v>
      </c>
      <c r="D66" s="77">
        <f t="shared" si="3"/>
        <v>1.0276339682073754</v>
      </c>
      <c r="E66" s="77">
        <f t="shared" si="4"/>
        <v>3.6000000000058208</v>
      </c>
      <c r="F66" s="78">
        <f t="shared" si="5"/>
        <v>0.36244410233621238</v>
      </c>
      <c r="G66" s="78">
        <f t="shared" si="6"/>
        <v>1.1775136069007708</v>
      </c>
      <c r="H66" s="78">
        <f t="shared" si="7"/>
        <v>1.4500000000055024</v>
      </c>
      <c r="I66" s="77">
        <f t="shared" si="8"/>
        <v>0.25511450851922746</v>
      </c>
      <c r="J66" s="77">
        <f t="shared" si="9"/>
        <v>7.5724709854405603</v>
      </c>
      <c r="K66" s="77">
        <f t="shared" si="10"/>
        <v>-9.9999999999909051</v>
      </c>
      <c r="L66" s="78">
        <f t="shared" si="11"/>
        <v>-15.681202444199016</v>
      </c>
      <c r="M66" s="78">
        <f t="shared" si="12"/>
        <v>-3.9811089710806433</v>
      </c>
      <c r="N66" s="77">
        <f t="shared" si="13"/>
        <v>-74.749999999994543</v>
      </c>
      <c r="O66" s="77">
        <f t="shared" si="14"/>
        <v>9.1063478637636308</v>
      </c>
      <c r="P66" s="77">
        <f t="shared" si="15"/>
        <v>-13.729753847173898</v>
      </c>
      <c r="Q66" s="77">
        <f t="shared" si="16"/>
        <v>-35.05000000001246</v>
      </c>
      <c r="R66" s="51">
        <f t="shared" si="34"/>
        <v>1.4344668686590012</v>
      </c>
      <c r="S66" s="51">
        <f t="shared" si="35"/>
        <v>-24.824604093085512</v>
      </c>
      <c r="T66" s="51">
        <f t="shared" si="19"/>
        <v>0.30000000000995897</v>
      </c>
      <c r="U66" s="77">
        <f t="shared" si="20"/>
        <v>13.326345617684865</v>
      </c>
      <c r="V66" s="77">
        <f t="shared" si="21"/>
        <v>-22.064695174446314</v>
      </c>
      <c r="W66" s="77">
        <f t="shared" si="22"/>
        <v>-31.099999999995021</v>
      </c>
      <c r="Y66" s="99">
        <f t="shared" ref="Y66:Y69" si="38">N66*2</f>
        <v>-149.49999999998909</v>
      </c>
    </row>
    <row r="67" spans="1:25" ht="24.95" customHeight="1" x14ac:dyDescent="0.2">
      <c r="A67" s="29">
        <f t="shared" si="0"/>
        <v>319</v>
      </c>
      <c r="B67" s="30">
        <f t="shared" si="1"/>
        <v>43977</v>
      </c>
      <c r="C67" s="77">
        <f t="shared" si="2"/>
        <v>-0.64707964335752877</v>
      </c>
      <c r="D67" s="77">
        <f t="shared" si="3"/>
        <v>2.0276339682077094</v>
      </c>
      <c r="E67" s="77">
        <f t="shared" si="4"/>
        <v>3.3999999999991815</v>
      </c>
      <c r="F67" s="78">
        <f t="shared" si="5"/>
        <v>-0.13755589765196419</v>
      </c>
      <c r="G67" s="78">
        <f t="shared" si="6"/>
        <v>2.3775136069006386</v>
      </c>
      <c r="H67" s="78">
        <f t="shared" si="7"/>
        <v>1.0500000000064347</v>
      </c>
      <c r="I67" s="77">
        <f t="shared" si="8"/>
        <v>0.35511450852254711</v>
      </c>
      <c r="J67" s="77">
        <f t="shared" si="9"/>
        <v>8.3724709854404722</v>
      </c>
      <c r="K67" s="77">
        <f t="shared" si="10"/>
        <v>-10.199999999983334</v>
      </c>
      <c r="L67" s="78">
        <f t="shared" si="11"/>
        <v>-17.381202444198607</v>
      </c>
      <c r="M67" s="78">
        <f t="shared" si="12"/>
        <v>-3.2811089710806653</v>
      </c>
      <c r="N67" s="77">
        <f t="shared" si="13"/>
        <v>-76.250000000001705</v>
      </c>
      <c r="O67" s="77">
        <f t="shared" si="14"/>
        <v>8.6063478637754542</v>
      </c>
      <c r="P67" s="77">
        <f t="shared" si="15"/>
        <v>-13.029753847173975</v>
      </c>
      <c r="Q67" s="77">
        <f t="shared" si="16"/>
        <v>-35.650000000003956</v>
      </c>
      <c r="R67" s="51">
        <f t="shared" si="34"/>
        <v>0.93446686867082462</v>
      </c>
      <c r="S67" s="51">
        <f t="shared" si="35"/>
        <v>-24.324604093085345</v>
      </c>
      <c r="T67" s="51">
        <f t="shared" si="19"/>
        <v>0.10000000001753051</v>
      </c>
      <c r="U67" s="77">
        <f t="shared" si="20"/>
        <v>12.926345617671586</v>
      </c>
      <c r="V67" s="77">
        <f t="shared" si="21"/>
        <v>-21.664695174446358</v>
      </c>
      <c r="W67" s="77">
        <f t="shared" si="22"/>
        <v>-31.19999999999834</v>
      </c>
      <c r="Y67" s="99">
        <f t="shared" si="38"/>
        <v>-152.50000000000341</v>
      </c>
    </row>
    <row r="68" spans="1:25" ht="24.95" customHeight="1" x14ac:dyDescent="0.2">
      <c r="A68" s="29">
        <f t="shared" si="0"/>
        <v>341</v>
      </c>
      <c r="B68" s="30">
        <f t="shared" si="1"/>
        <v>43999</v>
      </c>
      <c r="C68" s="77">
        <f t="shared" si="2"/>
        <v>-0.31465816252307377</v>
      </c>
      <c r="D68" s="77">
        <f t="shared" si="3"/>
        <v>2.8249739637660198</v>
      </c>
      <c r="E68" s="77">
        <f t="shared" si="4"/>
        <v>3.9000000000015689</v>
      </c>
      <c r="F68" s="78">
        <f t="shared" si="5"/>
        <v>0.63463671648378295</v>
      </c>
      <c r="G68" s="78">
        <f t="shared" si="6"/>
        <v>2.84014230663443</v>
      </c>
      <c r="H68" s="78">
        <f t="shared" si="7"/>
        <v>1.5500000000088221</v>
      </c>
      <c r="I68" s="77">
        <f t="shared" si="8"/>
        <v>0.68382284345602784</v>
      </c>
      <c r="J68" s="77">
        <f t="shared" si="9"/>
        <v>9.0506987849150455</v>
      </c>
      <c r="K68" s="77">
        <f t="shared" si="10"/>
        <v>-9.9999999999909051</v>
      </c>
      <c r="L68" s="78">
        <f t="shared" si="11"/>
        <v>-16.237975776107305</v>
      </c>
      <c r="M68" s="78">
        <f t="shared" si="12"/>
        <v>-2.9344501875578635</v>
      </c>
      <c r="N68" s="77">
        <f t="shared" si="13"/>
        <v>-75.649999999995998</v>
      </c>
      <c r="O68" s="77">
        <f t="shared" si="14"/>
        <v>9.0668682869363693</v>
      </c>
      <c r="P68" s="77">
        <f t="shared" si="15"/>
        <v>-13.144938624962244</v>
      </c>
      <c r="Q68" s="77">
        <f t="shared" si="16"/>
        <v>-35.450000000011528</v>
      </c>
      <c r="R68" s="51">
        <f t="shared" si="34"/>
        <v>1.4127816052678099</v>
      </c>
      <c r="S68" s="51">
        <f t="shared" si="35"/>
        <v>-23.843213753922843</v>
      </c>
      <c r="T68" s="51">
        <f t="shared" si="19"/>
        <v>0.40000000001327862</v>
      </c>
      <c r="U68" s="77">
        <f t="shared" si="20"/>
        <v>13.078712596779951</v>
      </c>
      <c r="V68" s="77">
        <f t="shared" si="21"/>
        <v>-21.404022280720802</v>
      </c>
      <c r="W68" s="77">
        <f t="shared" si="22"/>
        <v>-30.799999999999272</v>
      </c>
      <c r="Y68" s="99">
        <f t="shared" si="38"/>
        <v>-151.299999999992</v>
      </c>
    </row>
    <row r="69" spans="1:25" ht="24.95" customHeight="1" x14ac:dyDescent="0.2">
      <c r="A69" s="29">
        <f t="shared" si="0"/>
        <v>371</v>
      </c>
      <c r="B69" s="30">
        <f t="shared" si="1"/>
        <v>44029</v>
      </c>
      <c r="C69" s="77">
        <f t="shared" si="2"/>
        <v>0.53107239440919329</v>
      </c>
      <c r="D69" s="77">
        <f t="shared" si="3"/>
        <v>2.6676843106514525</v>
      </c>
      <c r="E69" s="77">
        <f t="shared" si="4"/>
        <v>4.0000000000048885</v>
      </c>
      <c r="F69" s="78">
        <f t="shared" si="5"/>
        <v>0.94878942061882299</v>
      </c>
      <c r="G69" s="78">
        <f t="shared" si="6"/>
        <v>2.876308840114028</v>
      </c>
      <c r="H69" s="78">
        <f t="shared" si="7"/>
        <v>1.5500000000088221</v>
      </c>
      <c r="I69" s="77">
        <f t="shared" si="8"/>
        <v>1.0886048024474348</v>
      </c>
      <c r="J69" s="77">
        <f t="shared" si="9"/>
        <v>9.1291302857765544</v>
      </c>
      <c r="K69" s="77">
        <f t="shared" si="10"/>
        <v>-9.8999999999875854</v>
      </c>
      <c r="L69" s="78">
        <f t="shared" si="11"/>
        <v>-15.645836486442022</v>
      </c>
      <c r="M69" s="78">
        <f t="shared" si="12"/>
        <v>-2.5479644798853949</v>
      </c>
      <c r="N69" s="77">
        <f t="shared" si="13"/>
        <v>-75.550000000006889</v>
      </c>
      <c r="O69" s="77">
        <f t="shared" si="14"/>
        <v>9.5744771142847185</v>
      </c>
      <c r="P69" s="77">
        <f t="shared" si="15"/>
        <v>-12.577194653522916</v>
      </c>
      <c r="Q69" s="77">
        <f t="shared" si="16"/>
        <v>-35.150000000001569</v>
      </c>
      <c r="R69" s="51">
        <f t="shared" si="34"/>
        <v>1.6907680853250895</v>
      </c>
      <c r="S69" s="51">
        <f t="shared" si="35"/>
        <v>-23.492894628928784</v>
      </c>
      <c r="T69" s="51">
        <f t="shared" si="19"/>
        <v>0.70000000000902673</v>
      </c>
      <c r="U69" s="77">
        <f t="shared" si="20"/>
        <v>13.405063012783103</v>
      </c>
      <c r="V69" s="77">
        <f t="shared" si="21"/>
        <v>-20.920808455120454</v>
      </c>
      <c r="W69" s="77">
        <f t="shared" si="22"/>
        <v>-30.799999999999272</v>
      </c>
      <c r="Y69" s="99">
        <f t="shared" si="38"/>
        <v>-151.10000000001378</v>
      </c>
    </row>
    <row r="70" spans="1:25" ht="24.95" customHeight="1" x14ac:dyDescent="0.2">
      <c r="A70" s="29"/>
      <c r="B70" s="30"/>
      <c r="C70" s="77"/>
      <c r="D70" s="77"/>
      <c r="E70" s="77"/>
      <c r="F70" s="78"/>
      <c r="G70" s="78"/>
      <c r="H70" s="78"/>
      <c r="I70" s="77"/>
      <c r="J70" s="77"/>
      <c r="K70" s="77"/>
      <c r="L70" s="78"/>
      <c r="M70" s="78"/>
      <c r="N70" s="77"/>
      <c r="O70" s="77"/>
      <c r="P70" s="77"/>
      <c r="Q70" s="77"/>
      <c r="R70" s="51"/>
      <c r="S70" s="51"/>
      <c r="T70" s="51"/>
      <c r="U70" s="77"/>
      <c r="V70" s="77"/>
      <c r="W70" s="77"/>
      <c r="Y70" s="99"/>
    </row>
    <row r="71" spans="1:25" ht="24.95" customHeight="1" x14ac:dyDescent="0.2">
      <c r="A71" s="29">
        <f t="shared" si="0"/>
        <v>424</v>
      </c>
      <c r="B71" s="30">
        <f t="shared" si="1"/>
        <v>44082</v>
      </c>
      <c r="C71" s="77">
        <f t="shared" si="2"/>
        <v>-7.3264600018774217E-2</v>
      </c>
      <c r="D71" s="77">
        <f t="shared" si="3"/>
        <v>1.834151571051823</v>
      </c>
      <c r="E71" s="77">
        <f t="shared" si="4"/>
        <v>3.3999999999991815</v>
      </c>
      <c r="F71" s="78">
        <f t="shared" si="5"/>
        <v>0.34445263005977722</v>
      </c>
      <c r="G71" s="78">
        <f t="shared" si="6"/>
        <v>2.0427759386931754</v>
      </c>
      <c r="H71" s="78">
        <f t="shared" si="7"/>
        <v>1.0500000000064347</v>
      </c>
      <c r="I71" s="77"/>
      <c r="J71" s="77"/>
      <c r="K71" s="77"/>
      <c r="L71" s="78">
        <f t="shared" si="11"/>
        <v>-15.404442825513343</v>
      </c>
      <c r="M71" s="78">
        <f t="shared" si="12"/>
        <v>-3.5387870836322275</v>
      </c>
      <c r="N71" s="77">
        <f t="shared" si="13"/>
        <v>-76.750000000004093</v>
      </c>
      <c r="O71" s="77">
        <f t="shared" si="14"/>
        <v>9.3143606491139508</v>
      </c>
      <c r="P71" s="77">
        <f t="shared" si="15"/>
        <v>-13.912237526366722</v>
      </c>
      <c r="Q71" s="77">
        <f t="shared" si="16"/>
        <v>-36.250000000009663</v>
      </c>
      <c r="R71" s="51">
        <f t="shared" si="34"/>
        <v>1.5151819769698704</v>
      </c>
      <c r="S71" s="51">
        <f t="shared" si="35"/>
        <v>-25.009195814669649</v>
      </c>
      <c r="T71" s="51">
        <f t="shared" si="19"/>
        <v>-9.9999999989108801E-2</v>
      </c>
      <c r="U71" s="77">
        <f t="shared" si="20"/>
        <v>13.320106159312672</v>
      </c>
      <c r="V71" s="77">
        <f t="shared" si="21"/>
        <v>-22.394844673448766</v>
      </c>
      <c r="W71" s="77">
        <f t="shared" si="22"/>
        <v>-31.099999999995021</v>
      </c>
      <c r="Y71" s="99">
        <f t="shared" ref="Y71" si="39">N71*2</f>
        <v>-153.50000000000819</v>
      </c>
    </row>
    <row r="72" spans="1:25" ht="24.95" customHeight="1" x14ac:dyDescent="0.2">
      <c r="A72" s="29"/>
      <c r="B72" s="30"/>
      <c r="C72" s="77"/>
      <c r="D72" s="77"/>
      <c r="E72" s="77"/>
      <c r="F72" s="78"/>
      <c r="G72" s="78"/>
      <c r="H72" s="78"/>
      <c r="I72" s="77"/>
      <c r="J72" s="77"/>
      <c r="K72" s="77"/>
      <c r="L72" s="78"/>
      <c r="M72" s="78"/>
      <c r="N72" s="77"/>
      <c r="O72" s="77"/>
      <c r="P72" s="77"/>
      <c r="Q72" s="77"/>
      <c r="R72" s="77"/>
      <c r="S72" s="77"/>
      <c r="T72" s="77"/>
      <c r="U72" s="77"/>
      <c r="V72" s="77"/>
      <c r="W72" s="77"/>
      <c r="Y72" s="99"/>
    </row>
    <row r="73" spans="1:25" ht="24.95" customHeight="1" x14ac:dyDescent="0.2">
      <c r="A73" s="29">
        <f t="shared" si="0"/>
        <v>424</v>
      </c>
      <c r="B73" s="30">
        <f t="shared" si="1"/>
        <v>44082</v>
      </c>
      <c r="C73" s="77">
        <f t="shared" si="2"/>
        <v>-7.3264600018774217E-2</v>
      </c>
      <c r="D73" s="77">
        <f t="shared" si="3"/>
        <v>1.834151571051823</v>
      </c>
      <c r="E73" s="77">
        <f t="shared" si="4"/>
        <v>3.3999999999991815</v>
      </c>
      <c r="F73" s="78">
        <f t="shared" si="5"/>
        <v>0.34445263005977722</v>
      </c>
      <c r="G73" s="78">
        <f t="shared" si="6"/>
        <v>2.0427759386931754</v>
      </c>
      <c r="H73" s="78">
        <f t="shared" si="7"/>
        <v>1.0500000000064347</v>
      </c>
      <c r="I73" s="77"/>
      <c r="J73" s="77"/>
      <c r="K73" s="77"/>
      <c r="L73" s="78">
        <f t="shared" si="11"/>
        <v>-15.404442825513343</v>
      </c>
      <c r="M73" s="78">
        <f t="shared" si="12"/>
        <v>-3.5387870836322275</v>
      </c>
      <c r="N73" s="77">
        <f t="shared" si="13"/>
        <v>-76.750000000004093</v>
      </c>
      <c r="O73" s="77">
        <f t="shared" si="14"/>
        <v>9.3143606491139508</v>
      </c>
      <c r="P73" s="77">
        <f t="shared" si="15"/>
        <v>-13.912237526366722</v>
      </c>
      <c r="Q73" s="77">
        <f t="shared" si="16"/>
        <v>-36.250000000009663</v>
      </c>
      <c r="R73" s="51">
        <f>DPM_ID</f>
        <v>1.5151819769698704</v>
      </c>
      <c r="S73" s="51">
        <f>DH_ID</f>
        <v>-25.009195814669649</v>
      </c>
      <c r="T73" s="51">
        <f t="shared" si="19"/>
        <v>-9.9999999989108801E-2</v>
      </c>
      <c r="U73" s="77">
        <f t="shared" si="20"/>
        <v>13.320106159312672</v>
      </c>
      <c r="V73" s="77">
        <f t="shared" si="21"/>
        <v>-22.394844673448766</v>
      </c>
      <c r="W73" s="77">
        <f t="shared" si="22"/>
        <v>-31.099999999995021</v>
      </c>
      <c r="Y73" s="99">
        <f t="shared" ref="Y73:Y75" si="40">N73*2</f>
        <v>-153.50000000000819</v>
      </c>
    </row>
    <row r="74" spans="1:25" ht="24.95" customHeight="1" x14ac:dyDescent="0.2">
      <c r="A74" s="29"/>
      <c r="B74" s="30"/>
      <c r="C74" s="77"/>
      <c r="D74" s="77"/>
      <c r="E74" s="77"/>
      <c r="F74" s="78"/>
      <c r="G74" s="78"/>
      <c r="H74" s="78"/>
      <c r="I74" s="77"/>
      <c r="J74" s="77"/>
      <c r="K74" s="77"/>
      <c r="L74" s="78"/>
      <c r="M74" s="78"/>
      <c r="N74" s="77"/>
      <c r="O74" s="77"/>
      <c r="P74" s="77"/>
      <c r="Q74" s="77"/>
      <c r="R74" s="77"/>
      <c r="S74" s="77"/>
      <c r="T74" s="77"/>
      <c r="U74" s="77"/>
      <c r="V74" s="77"/>
      <c r="W74" s="77"/>
      <c r="Y74" s="99"/>
    </row>
    <row r="75" spans="1:25" ht="24.95" customHeight="1" x14ac:dyDescent="0.2">
      <c r="A75" s="29">
        <f t="shared" ref="A75:A107" si="41">jours</f>
        <v>482</v>
      </c>
      <c r="B75" s="30">
        <f t="shared" ref="B75:B107" si="42">date</f>
        <v>44140</v>
      </c>
      <c r="C75" s="77"/>
      <c r="D75" s="77"/>
      <c r="E75" s="77"/>
      <c r="F75" s="78">
        <f t="shared" ref="F75:F107" si="43">DPM_IG</f>
        <v>-0.15554736992839935</v>
      </c>
      <c r="G75" s="78">
        <f t="shared" ref="G75:G107" si="44">DH_IG</f>
        <v>3.7427759386932102</v>
      </c>
      <c r="H75" s="78">
        <f t="shared" ref="H75:H107" si="45">DZ_IG</f>
        <v>1.1499999999955435</v>
      </c>
      <c r="I75" s="77"/>
      <c r="J75" s="77"/>
      <c r="K75" s="77"/>
      <c r="L75" s="78">
        <f t="shared" ref="L75:L107" si="46">DPMhaut</f>
        <v>-15.404442825513343</v>
      </c>
      <c r="M75" s="78">
        <f t="shared" ref="M75:M107" si="47">DHhaut</f>
        <v>-3.5387870836322275</v>
      </c>
      <c r="N75" s="77">
        <f t="shared" ref="N75:N107" si="48">DZhaut</f>
        <v>-76.750000000004093</v>
      </c>
      <c r="O75" s="77"/>
      <c r="P75" s="77"/>
      <c r="Q75" s="77"/>
      <c r="R75" s="51">
        <f t="shared" ref="R75:R107" si="49">DPM_ID</f>
        <v>0.41518197699019765</v>
      </c>
      <c r="S75" s="51">
        <f t="shared" ref="S75:S107" si="50">DH_ID</f>
        <v>-25.109195814669416</v>
      </c>
      <c r="T75" s="51">
        <f t="shared" si="19"/>
        <v>-0.29999999998153726</v>
      </c>
      <c r="U75" s="77"/>
      <c r="V75" s="77"/>
      <c r="W75" s="77"/>
      <c r="Y75" s="99">
        <f t="shared" si="40"/>
        <v>-153.50000000000819</v>
      </c>
    </row>
    <row r="76" spans="1:25" ht="24.95" customHeight="1" x14ac:dyDescent="0.2">
      <c r="A76" s="29">
        <f t="shared" si="41"/>
        <v>514</v>
      </c>
      <c r="B76" s="30">
        <f t="shared" si="42"/>
        <v>44172</v>
      </c>
      <c r="C76" s="77"/>
      <c r="D76" s="77"/>
      <c r="E76" s="77"/>
      <c r="F76" s="78">
        <f t="shared" si="43"/>
        <v>0.62295847064319787</v>
      </c>
      <c r="G76" s="78">
        <f t="shared" si="44"/>
        <v>3.4954900047958759</v>
      </c>
      <c r="H76" s="78">
        <f t="shared" si="45"/>
        <v>0.4500000000007276</v>
      </c>
      <c r="I76" s="77"/>
      <c r="J76" s="77"/>
      <c r="K76" s="77"/>
      <c r="L76" s="78">
        <f t="shared" si="46"/>
        <v>-14.482022654817683</v>
      </c>
      <c r="M76" s="78">
        <f t="shared" si="47"/>
        <v>-3.1891238396624111</v>
      </c>
      <c r="N76" s="77">
        <f t="shared" si="48"/>
        <v>-77.249999999992269</v>
      </c>
      <c r="O76" s="77"/>
      <c r="P76" s="77"/>
      <c r="Q76" s="77"/>
      <c r="R76" s="51">
        <f t="shared" si="49"/>
        <v>1.2610687376763963</v>
      </c>
      <c r="S76" s="51">
        <f t="shared" si="50"/>
        <v>-24.567109407011234</v>
      </c>
      <c r="T76" s="51">
        <f t="shared" si="19"/>
        <v>-0.49999999998817657</v>
      </c>
      <c r="U76" s="77"/>
      <c r="V76" s="77"/>
      <c r="W76" s="77"/>
      <c r="Y76" s="99">
        <f t="shared" ref="Y76:Y77" si="51">N76*2</f>
        <v>-154.49999999998454</v>
      </c>
    </row>
    <row r="77" spans="1:25" ht="24.95" customHeight="1" x14ac:dyDescent="0.2">
      <c r="A77" s="29">
        <f t="shared" si="41"/>
        <v>571</v>
      </c>
      <c r="B77" s="30">
        <f t="shared" si="42"/>
        <v>44229</v>
      </c>
      <c r="C77" s="77"/>
      <c r="D77" s="77"/>
      <c r="E77" s="77"/>
      <c r="F77" s="78">
        <f t="shared" si="43"/>
        <v>0.79811798391915545</v>
      </c>
      <c r="G77" s="78">
        <f t="shared" si="44"/>
        <v>3.3564968702970432</v>
      </c>
      <c r="H77" s="78">
        <f t="shared" si="45"/>
        <v>1.4500000000055024</v>
      </c>
      <c r="I77" s="77"/>
      <c r="J77" s="77"/>
      <c r="K77" s="77"/>
      <c r="L77" s="78">
        <f t="shared" si="46"/>
        <v>-13.908179883770799</v>
      </c>
      <c r="M77" s="78">
        <f t="shared" si="47"/>
        <v>-3.4732091756842216</v>
      </c>
      <c r="N77" s="77">
        <f t="shared" si="48"/>
        <v>-77.349999999995589</v>
      </c>
      <c r="O77" s="77"/>
      <c r="P77" s="77"/>
      <c r="Q77" s="77"/>
      <c r="R77" s="51">
        <f t="shared" si="49"/>
        <v>1.1151819769850135</v>
      </c>
      <c r="S77" s="51">
        <f t="shared" si="50"/>
        <v>-25.009195814669649</v>
      </c>
      <c r="T77" s="51">
        <f t="shared" si="19"/>
        <v>1.4210854715202004E-11</v>
      </c>
      <c r="U77" s="77"/>
      <c r="V77" s="77"/>
      <c r="W77" s="77"/>
      <c r="Y77" s="99">
        <f t="shared" si="51"/>
        <v>-154.69999999999118</v>
      </c>
    </row>
    <row r="78" spans="1:25" ht="24.95" customHeight="1" x14ac:dyDescent="0.2">
      <c r="A78" s="29"/>
      <c r="B78" s="30"/>
      <c r="C78" s="77"/>
      <c r="D78" s="77"/>
      <c r="E78" s="77"/>
      <c r="F78" s="78"/>
      <c r="G78" s="78"/>
      <c r="H78" s="78"/>
      <c r="I78" s="77"/>
      <c r="J78" s="77"/>
      <c r="K78" s="77"/>
      <c r="L78" s="78"/>
      <c r="M78" s="78"/>
      <c r="N78" s="77"/>
      <c r="O78" s="77"/>
      <c r="P78" s="77"/>
      <c r="Q78" s="77"/>
      <c r="R78" s="51"/>
      <c r="S78" s="51"/>
      <c r="T78" s="51"/>
      <c r="U78" s="77"/>
      <c r="V78" s="77"/>
      <c r="W78" s="77"/>
      <c r="Y78" s="99"/>
    </row>
    <row r="79" spans="1:25" ht="24.95" customHeight="1" x14ac:dyDescent="0.2">
      <c r="A79" s="29">
        <f t="shared" si="41"/>
        <v>664</v>
      </c>
      <c r="B79" s="30">
        <f t="shared" si="42"/>
        <v>44322</v>
      </c>
      <c r="C79" s="77">
        <f t="shared" ref="C79:C107" si="52">DPM_BG</f>
        <v>0.68963221431772581</v>
      </c>
      <c r="D79" s="77">
        <f t="shared" ref="D79:D107" si="53">DH_BG</f>
        <v>2.9595052153816859</v>
      </c>
      <c r="E79" s="77">
        <f t="shared" ref="E79:E107" si="54">DZ_BG</f>
        <v>3.9000000000015689</v>
      </c>
      <c r="F79" s="78">
        <f t="shared" si="43"/>
        <v>0.66522359981036061</v>
      </c>
      <c r="G79" s="78">
        <f t="shared" si="44"/>
        <v>3.4048609538488428</v>
      </c>
      <c r="H79" s="78">
        <f t="shared" si="45"/>
        <v>0.95000000000311502</v>
      </c>
      <c r="I79" s="77"/>
      <c r="J79" s="77"/>
      <c r="K79" s="77"/>
      <c r="L79" s="78">
        <f t="shared" si="46"/>
        <v>-13.714723858925026</v>
      </c>
      <c r="M79" s="78">
        <f t="shared" si="47"/>
        <v>-2.9416315267105642</v>
      </c>
      <c r="N79" s="77">
        <f t="shared" si="48"/>
        <v>-78.649999999996112</v>
      </c>
      <c r="O79" s="77"/>
      <c r="P79" s="77"/>
      <c r="Q79" s="77"/>
      <c r="R79" s="51">
        <f t="shared" si="49"/>
        <v>1.3939630233323896</v>
      </c>
      <c r="S79" s="51">
        <f t="shared" si="50"/>
        <v>-24.615473279569144</v>
      </c>
      <c r="T79" s="51">
        <f t="shared" si="19"/>
        <v>-0.29999999998153726</v>
      </c>
      <c r="U79" s="77">
        <f t="shared" ref="U79:U107" si="55">DPM_BD</f>
        <v>13.211932638995449</v>
      </c>
      <c r="V79" s="77">
        <f t="shared" ref="V79:V107" si="56">DH_BD</f>
        <v>-21.946679915801237</v>
      </c>
      <c r="W79" s="77">
        <f t="shared" ref="W79:W107" si="57">DZ_BD</f>
        <v>-30.699999999995953</v>
      </c>
      <c r="Y79" s="99">
        <f t="shared" ref="Y79" si="58">N79*2</f>
        <v>-157.29999999999222</v>
      </c>
    </row>
    <row r="80" spans="1:25" ht="24.95" customHeight="1" x14ac:dyDescent="0.2">
      <c r="A80" s="29">
        <f t="shared" si="41"/>
        <v>699</v>
      </c>
      <c r="B80" s="30">
        <f t="shared" si="42"/>
        <v>44357</v>
      </c>
      <c r="C80" s="77">
        <f t="shared" si="52"/>
        <v>0.88308823910665524</v>
      </c>
      <c r="D80" s="77">
        <f t="shared" si="53"/>
        <v>3.4910828643330838</v>
      </c>
      <c r="E80" s="77">
        <f t="shared" si="54"/>
        <v>3.1000000000034333</v>
      </c>
      <c r="F80" s="78">
        <f t="shared" si="43"/>
        <v>1.2150976548070958</v>
      </c>
      <c r="G80" s="78">
        <f t="shared" si="44"/>
        <v>3.8819756632917368</v>
      </c>
      <c r="H80" s="78">
        <f t="shared" si="45"/>
        <v>5.0000000001659828E-2</v>
      </c>
      <c r="I80" s="77"/>
      <c r="J80" s="77"/>
      <c r="K80" s="77"/>
      <c r="L80" s="78">
        <f t="shared" si="46"/>
        <v>-13.128683375953187</v>
      </c>
      <c r="M80" s="78">
        <f t="shared" si="47"/>
        <v>-2.7786695705670494</v>
      </c>
      <c r="N80" s="77">
        <f t="shared" si="48"/>
        <v>-79.749999999989996</v>
      </c>
      <c r="O80" s="77"/>
      <c r="P80" s="77"/>
      <c r="Q80" s="77"/>
      <c r="R80" s="51">
        <f t="shared" si="49"/>
        <v>2.3786866656223538</v>
      </c>
      <c r="S80" s="51">
        <f t="shared" si="50"/>
        <v>-24.597603313929461</v>
      </c>
      <c r="T80" s="51">
        <f t="shared" si="19"/>
        <v>-0.99999999997635314</v>
      </c>
      <c r="U80" s="77">
        <f t="shared" si="55"/>
        <v>14.559173118186663</v>
      </c>
      <c r="V80" s="77">
        <f t="shared" si="56"/>
        <v>-21.759749138047013</v>
      </c>
      <c r="W80" s="77">
        <f t="shared" si="57"/>
        <v>-31.499999999979877</v>
      </c>
      <c r="Y80" s="99">
        <f t="shared" ref="Y80:Y82" si="59">N80*2</f>
        <v>-159.49999999997999</v>
      </c>
    </row>
    <row r="81" spans="1:25" ht="24.95" customHeight="1" x14ac:dyDescent="0.2">
      <c r="A81" s="29">
        <f t="shared" si="41"/>
        <v>704</v>
      </c>
      <c r="B81" s="30">
        <f t="shared" si="42"/>
        <v>44362</v>
      </c>
      <c r="C81" s="77">
        <f t="shared" si="52"/>
        <v>0.2308138124362813</v>
      </c>
      <c r="D81" s="77">
        <f t="shared" si="53"/>
        <v>4.1799502156125712</v>
      </c>
      <c r="E81" s="77">
        <f t="shared" si="54"/>
        <v>2.2000000000019782</v>
      </c>
      <c r="F81" s="78">
        <f t="shared" si="43"/>
        <v>0.42992883695092132</v>
      </c>
      <c r="G81" s="78">
        <f t="shared" si="44"/>
        <v>4.6192068379280471</v>
      </c>
      <c r="H81" s="78">
        <f t="shared" si="45"/>
        <v>-0.95000000000311502</v>
      </c>
      <c r="I81" s="77"/>
      <c r="J81" s="77"/>
      <c r="K81" s="77"/>
      <c r="L81" s="78">
        <f t="shared" si="46"/>
        <v>-13.780957802651983</v>
      </c>
      <c r="M81" s="78">
        <f t="shared" si="47"/>
        <v>-2.0898022192977481</v>
      </c>
      <c r="N81" s="77">
        <f t="shared" si="48"/>
        <v>-80.84999999999809</v>
      </c>
      <c r="O81" s="77"/>
      <c r="P81" s="77"/>
      <c r="Q81" s="77"/>
      <c r="R81" s="51">
        <f t="shared" si="49"/>
        <v>1.7747762662168043</v>
      </c>
      <c r="S81" s="51">
        <f t="shared" si="50"/>
        <v>-23.775841733262748</v>
      </c>
      <c r="T81" s="51">
        <f t="shared" si="19"/>
        <v>-2.0999999999844476</v>
      </c>
      <c r="U81" s="77">
        <f t="shared" si="55"/>
        <v>13.683375143841658</v>
      </c>
      <c r="V81" s="77">
        <f t="shared" si="56"/>
        <v>-21.06478314184379</v>
      </c>
      <c r="W81" s="77">
        <f t="shared" si="57"/>
        <v>-32.099999999985585</v>
      </c>
      <c r="Y81" s="99">
        <f t="shared" si="59"/>
        <v>-161.69999999999618</v>
      </c>
    </row>
    <row r="82" spans="1:25" ht="24.95" customHeight="1" x14ac:dyDescent="0.2">
      <c r="A82" s="29">
        <f t="shared" si="41"/>
        <v>711</v>
      </c>
      <c r="B82" s="30">
        <f t="shared" si="42"/>
        <v>44369</v>
      </c>
      <c r="C82" s="77">
        <f t="shared" si="52"/>
        <v>-0.63321305211161416</v>
      </c>
      <c r="D82" s="77">
        <f t="shared" si="53"/>
        <v>3.6666689234774452</v>
      </c>
      <c r="E82" s="77">
        <f t="shared" si="54"/>
        <v>2.6999999999901547</v>
      </c>
      <c r="F82" s="78">
        <f t="shared" si="43"/>
        <v>-0.43409802051996849</v>
      </c>
      <c r="G82" s="78">
        <f t="shared" si="44"/>
        <v>4.1059258059781278</v>
      </c>
      <c r="H82" s="78">
        <f t="shared" si="45"/>
        <v>-0.64999999999315605</v>
      </c>
      <c r="I82" s="77"/>
      <c r="J82" s="77"/>
      <c r="K82" s="77"/>
      <c r="L82" s="78">
        <f t="shared" si="46"/>
        <v>-14.258499008747094</v>
      </c>
      <c r="M82" s="78">
        <f t="shared" si="47"/>
        <v>-3.195222695597105</v>
      </c>
      <c r="N82" s="77">
        <f t="shared" si="48"/>
        <v>-80.84999999999809</v>
      </c>
      <c r="O82" s="77"/>
      <c r="P82" s="77"/>
      <c r="Q82" s="77"/>
      <c r="R82" s="51">
        <f t="shared" si="49"/>
        <v>1.5569251341958079</v>
      </c>
      <c r="S82" s="51">
        <f t="shared" si="50"/>
        <v>-25.201513818816412</v>
      </c>
      <c r="T82" s="51">
        <f t="shared" si="19"/>
        <v>-1.8999999999778083</v>
      </c>
      <c r="U82" s="77">
        <f t="shared" si="55"/>
        <v>13.103007076495032</v>
      </c>
      <c r="V82" s="77">
        <f t="shared" si="56"/>
        <v>-22.659515828469701</v>
      </c>
      <c r="W82" s="77">
        <f t="shared" si="57"/>
        <v>-31.799999999989836</v>
      </c>
      <c r="Y82" s="99">
        <f t="shared" si="59"/>
        <v>-161.69999999999618</v>
      </c>
    </row>
    <row r="83" spans="1:25" ht="24.95" customHeight="1" x14ac:dyDescent="0.2">
      <c r="A83" s="29">
        <f t="shared" si="41"/>
        <v>718</v>
      </c>
      <c r="B83" s="30">
        <f t="shared" si="42"/>
        <v>44376</v>
      </c>
      <c r="C83" s="77">
        <f t="shared" si="52"/>
        <v>-0.92297064190915989</v>
      </c>
      <c r="D83" s="77">
        <f t="shared" si="53"/>
        <v>4.5245970868110774</v>
      </c>
      <c r="E83" s="77">
        <f t="shared" si="54"/>
        <v>2.7999999999934744</v>
      </c>
      <c r="F83" s="78">
        <f t="shared" si="43"/>
        <v>-0.63932526057897121</v>
      </c>
      <c r="G83" s="78">
        <f t="shared" si="44"/>
        <v>4.7825953961937451</v>
      </c>
      <c r="H83" s="78">
        <f t="shared" si="45"/>
        <v>-0.55000000000404725</v>
      </c>
      <c r="I83" s="77"/>
      <c r="J83" s="77"/>
      <c r="K83" s="77"/>
      <c r="L83" s="78">
        <f t="shared" si="46"/>
        <v>-14.548256703989182</v>
      </c>
      <c r="M83" s="78">
        <f t="shared" si="47"/>
        <v>-2.3372945814406076</v>
      </c>
      <c r="N83" s="77">
        <f t="shared" si="48"/>
        <v>-81.050000000004729</v>
      </c>
      <c r="O83" s="77"/>
      <c r="P83" s="77"/>
      <c r="Q83" s="77"/>
      <c r="R83" s="51">
        <f t="shared" si="49"/>
        <v>1.2127046049101864</v>
      </c>
      <c r="S83" s="51">
        <f t="shared" si="50"/>
        <v>-24.700003685597327</v>
      </c>
      <c r="T83" s="51">
        <f t="shared" si="19"/>
        <v>-1.7999999999886995</v>
      </c>
      <c r="U83" s="77">
        <f t="shared" si="55"/>
        <v>12.98840899292486</v>
      </c>
      <c r="V83" s="77">
        <f t="shared" si="56"/>
        <v>-21.940581059859188</v>
      </c>
      <c r="W83" s="77">
        <f t="shared" si="57"/>
        <v>-31.699999999986517</v>
      </c>
      <c r="Y83" s="99">
        <f t="shared" ref="Y83:Y92" si="60">N83*2</f>
        <v>-162.10000000000946</v>
      </c>
    </row>
    <row r="84" spans="1:25" ht="24.95" customHeight="1" x14ac:dyDescent="0.2">
      <c r="A84" s="29">
        <f t="shared" si="41"/>
        <v>742</v>
      </c>
      <c r="B84" s="30">
        <f t="shared" si="42"/>
        <v>44400</v>
      </c>
      <c r="C84" s="77">
        <f t="shared" si="52"/>
        <v>-0.61491674452440748</v>
      </c>
      <c r="D84" s="77">
        <f t="shared" si="53"/>
        <v>4.3372398687329117</v>
      </c>
      <c r="E84" s="77">
        <f t="shared" si="54"/>
        <v>2.899999999996794</v>
      </c>
      <c r="F84" s="78">
        <f t="shared" si="43"/>
        <v>-0.46416554337724847</v>
      </c>
      <c r="G84" s="78">
        <f t="shared" si="44"/>
        <v>4.6436020998887884</v>
      </c>
      <c r="H84" s="78">
        <f t="shared" si="45"/>
        <v>-0.4500000000007276</v>
      </c>
      <c r="I84" s="77"/>
      <c r="J84" s="77"/>
      <c r="K84" s="77"/>
      <c r="L84" s="78">
        <f t="shared" si="46"/>
        <v>-14.705546300888273</v>
      </c>
      <c r="M84" s="78">
        <f t="shared" si="47"/>
        <v>-3.1830249837395126</v>
      </c>
      <c r="N84" s="77">
        <f t="shared" si="48"/>
        <v>-81.749999999999545</v>
      </c>
      <c r="O84" s="77"/>
      <c r="P84" s="77"/>
      <c r="Q84" s="77"/>
      <c r="R84" s="51">
        <f t="shared" si="49"/>
        <v>1.8166151027116939</v>
      </c>
      <c r="S84" s="51">
        <f t="shared" si="50"/>
        <v>-25.52176547727214</v>
      </c>
      <c r="T84" s="51">
        <f t="shared" si="19"/>
        <v>-1.8999999999778083</v>
      </c>
      <c r="U84" s="77">
        <f t="shared" si="55"/>
        <v>13.278166688223791</v>
      </c>
      <c r="V84" s="77">
        <f t="shared" si="56"/>
        <v>-22.798509173993509</v>
      </c>
      <c r="W84" s="77">
        <f t="shared" si="57"/>
        <v>-31.399999999990769</v>
      </c>
      <c r="Y84" s="99">
        <f t="shared" si="60"/>
        <v>-163.49999999999909</v>
      </c>
    </row>
    <row r="85" spans="1:25" ht="24.95" customHeight="1" x14ac:dyDescent="0.2">
      <c r="A85" s="29">
        <f t="shared" si="41"/>
        <v>781</v>
      </c>
      <c r="B85" s="30">
        <f t="shared" si="42"/>
        <v>44439</v>
      </c>
      <c r="C85" s="77">
        <f t="shared" si="52"/>
        <v>-0.82624268580389071</v>
      </c>
      <c r="D85" s="77">
        <f t="shared" si="53"/>
        <v>4.7903857566056196</v>
      </c>
      <c r="E85" s="77">
        <f t="shared" si="54"/>
        <v>4.9999999999954525</v>
      </c>
      <c r="F85" s="78">
        <f t="shared" si="43"/>
        <v>-0.58486242656385912</v>
      </c>
      <c r="G85" s="78">
        <f t="shared" si="44"/>
        <v>5.1390133771378466</v>
      </c>
      <c r="H85" s="78">
        <f t="shared" si="45"/>
        <v>1.3500000000021828</v>
      </c>
      <c r="I85" s="77"/>
      <c r="J85" s="77"/>
      <c r="K85" s="77"/>
      <c r="L85" s="78">
        <f t="shared" si="46"/>
        <v>-14.524287882409226</v>
      </c>
      <c r="M85" s="78">
        <f t="shared" si="47"/>
        <v>-3.0984945777077497</v>
      </c>
      <c r="N85" s="77">
        <f t="shared" si="48"/>
        <v>-80.649999999991451</v>
      </c>
      <c r="O85" s="77"/>
      <c r="P85" s="77"/>
      <c r="Q85" s="77"/>
      <c r="R85" s="51">
        <f t="shared" si="49"/>
        <v>1.7560534690801433</v>
      </c>
      <c r="S85" s="51">
        <f t="shared" si="50"/>
        <v>-26.101706949586134</v>
      </c>
      <c r="T85" s="51">
        <f t="shared" si="19"/>
        <v>-0.49999999998817657</v>
      </c>
      <c r="U85" s="77">
        <f t="shared" si="55"/>
        <v>13.314333116198895</v>
      </c>
      <c r="V85" s="77">
        <f t="shared" si="56"/>
        <v>-23.112661927328304</v>
      </c>
      <c r="W85" s="77">
        <f t="shared" si="57"/>
        <v>-29.599999999987858</v>
      </c>
      <c r="Y85" s="99">
        <f t="shared" si="60"/>
        <v>-161.2999999999829</v>
      </c>
    </row>
    <row r="86" spans="1:25" ht="24.95" customHeight="1" x14ac:dyDescent="0.2">
      <c r="A86" s="29">
        <f t="shared" si="41"/>
        <v>816</v>
      </c>
      <c r="B86" s="30">
        <f t="shared" si="42"/>
        <v>44474</v>
      </c>
      <c r="C86" s="77">
        <f t="shared" si="52"/>
        <v>-0.94084066390109911</v>
      </c>
      <c r="D86" s="77">
        <f t="shared" si="53"/>
        <v>5.5093205744172202</v>
      </c>
      <c r="E86" s="77">
        <f t="shared" si="54"/>
        <v>3.6999999999949296</v>
      </c>
      <c r="F86" s="78">
        <f t="shared" si="43"/>
        <v>-0.52430089135668823</v>
      </c>
      <c r="G86" s="78">
        <f t="shared" si="44"/>
        <v>5.7189550604390682</v>
      </c>
      <c r="H86" s="78">
        <f t="shared" si="45"/>
        <v>5.0000000001659828E-2</v>
      </c>
      <c r="I86" s="77"/>
      <c r="J86" s="77"/>
      <c r="K86" s="77"/>
      <c r="L86" s="78">
        <f t="shared" si="46"/>
        <v>-14.161771151037783</v>
      </c>
      <c r="M86" s="78">
        <f t="shared" si="47"/>
        <v>-2.9294338148186378</v>
      </c>
      <c r="N86" s="77">
        <f t="shared" si="48"/>
        <v>-82.349999999991041</v>
      </c>
      <c r="O86" s="77"/>
      <c r="P86" s="77"/>
      <c r="Q86" s="77"/>
      <c r="R86" s="51">
        <f t="shared" si="49"/>
        <v>1.5808938502743786</v>
      </c>
      <c r="S86" s="51">
        <f t="shared" si="50"/>
        <v>-25.96271386428084</v>
      </c>
      <c r="T86" s="51">
        <f t="shared" si="19"/>
        <v>-1.7999999999886995</v>
      </c>
      <c r="U86" s="77">
        <f t="shared" si="55"/>
        <v>14.051564290838314</v>
      </c>
      <c r="V86" s="77">
        <f t="shared" si="56"/>
        <v>-22.327493109486785</v>
      </c>
      <c r="W86" s="77">
        <f t="shared" si="57"/>
        <v>-30.899999999988381</v>
      </c>
      <c r="Y86" s="99">
        <f t="shared" si="60"/>
        <v>-164.69999999998208</v>
      </c>
    </row>
    <row r="87" spans="1:25" ht="24.95" customHeight="1" x14ac:dyDescent="0.2">
      <c r="A87" s="29">
        <f t="shared" si="41"/>
        <v>864</v>
      </c>
      <c r="B87" s="30">
        <f t="shared" si="42"/>
        <v>44522</v>
      </c>
      <c r="C87" s="77">
        <f t="shared" si="52"/>
        <v>-2.439271933155851</v>
      </c>
      <c r="D87" s="77">
        <f t="shared" si="53"/>
        <v>4.7001831459794197</v>
      </c>
      <c r="E87" s="77">
        <f t="shared" si="54"/>
        <v>3.5999999999916099</v>
      </c>
      <c r="F87" s="78">
        <f t="shared" si="43"/>
        <v>-2.1133613242056981</v>
      </c>
      <c r="G87" s="78">
        <f t="shared" si="44"/>
        <v>4.8675521933576604</v>
      </c>
      <c r="H87" s="78">
        <f t="shared" si="45"/>
        <v>-0.4500000000007276</v>
      </c>
      <c r="I87" s="77"/>
      <c r="J87" s="77"/>
      <c r="K87" s="77"/>
      <c r="L87" s="78">
        <f t="shared" si="46"/>
        <v>-15.363919534252091</v>
      </c>
      <c r="M87" s="78">
        <f t="shared" si="47"/>
        <v>-2.7176813840237841</v>
      </c>
      <c r="N87" s="77">
        <f t="shared" si="48"/>
        <v>-83.749999999994884</v>
      </c>
      <c r="O87" s="77"/>
      <c r="P87" s="77"/>
      <c r="Q87" s="77"/>
      <c r="R87" s="51">
        <f t="shared" si="49"/>
        <v>0.69247178004161469</v>
      </c>
      <c r="S87" s="51">
        <f t="shared" si="50"/>
        <v>-27.370089381994589</v>
      </c>
      <c r="T87" s="51">
        <f t="shared" si="19"/>
        <v>-2.2999999999768761</v>
      </c>
      <c r="U87" s="77">
        <f t="shared" si="55"/>
        <v>12.069493008738164</v>
      </c>
      <c r="V87" s="77">
        <f t="shared" si="56"/>
        <v>-24.465574765776932</v>
      </c>
      <c r="W87" s="77">
        <f t="shared" si="57"/>
        <v>-30.999999999991701</v>
      </c>
      <c r="Y87" s="99">
        <f t="shared" si="60"/>
        <v>-167.49999999998977</v>
      </c>
    </row>
    <row r="88" spans="1:25" ht="24.95" customHeight="1" x14ac:dyDescent="0.2">
      <c r="A88" s="29">
        <f t="shared" si="41"/>
        <v>873</v>
      </c>
      <c r="B88" s="30">
        <f t="shared" si="42"/>
        <v>44531</v>
      </c>
      <c r="C88" s="77">
        <f t="shared" si="52"/>
        <v>-1.9682559249076803</v>
      </c>
      <c r="D88" s="77">
        <f t="shared" si="53"/>
        <v>3.9267853886530979</v>
      </c>
      <c r="E88" s="77">
        <f t="shared" si="54"/>
        <v>3.9000000000015689</v>
      </c>
      <c r="F88" s="78">
        <f t="shared" si="43"/>
        <v>-1.2859272787579812</v>
      </c>
      <c r="G88" s="78">
        <f t="shared" si="44"/>
        <v>4.0396917567875334</v>
      </c>
      <c r="H88" s="78">
        <f t="shared" si="45"/>
        <v>-0.15000000000497948</v>
      </c>
      <c r="I88" s="77"/>
      <c r="J88" s="77"/>
      <c r="K88" s="77"/>
      <c r="L88" s="78">
        <f t="shared" si="46"/>
        <v>-14.935168753652306</v>
      </c>
      <c r="M88" s="78">
        <f t="shared" si="47"/>
        <v>-3.4004498793719913</v>
      </c>
      <c r="N88" s="77">
        <f t="shared" si="48"/>
        <v>-83.249999999992497</v>
      </c>
      <c r="O88" s="77"/>
      <c r="P88" s="77"/>
      <c r="Q88" s="77"/>
      <c r="R88" s="51">
        <f t="shared" si="49"/>
        <v>0.84933498573036559</v>
      </c>
      <c r="S88" s="51">
        <f t="shared" si="50"/>
        <v>-28.179653461795517</v>
      </c>
      <c r="T88" s="51">
        <f t="shared" si="19"/>
        <v>-2.0999999999844476</v>
      </c>
      <c r="U88" s="77">
        <f t="shared" si="55"/>
        <v>12.951389782671185</v>
      </c>
      <c r="V88" s="77">
        <f t="shared" si="56"/>
        <v>-24.937017270653339</v>
      </c>
      <c r="W88" s="77">
        <f t="shared" si="57"/>
        <v>-30.799999999985062</v>
      </c>
      <c r="Y88" s="99">
        <f t="shared" si="60"/>
        <v>-166.49999999998499</v>
      </c>
    </row>
    <row r="89" spans="1:25" ht="24.95" customHeight="1" x14ac:dyDescent="0.2">
      <c r="A89" s="29">
        <f t="shared" si="41"/>
        <v>878</v>
      </c>
      <c r="B89" s="30">
        <f t="shared" si="42"/>
        <v>44536</v>
      </c>
      <c r="C89" s="77">
        <f t="shared" si="52"/>
        <v>-2.0288174601716946</v>
      </c>
      <c r="D89" s="77">
        <f t="shared" si="53"/>
        <v>3.3468437053341127</v>
      </c>
      <c r="E89" s="77">
        <f t="shared" si="54"/>
        <v>3.0000000000001137</v>
      </c>
      <c r="F89" s="78">
        <f t="shared" si="43"/>
        <v>-1.7451720788415059</v>
      </c>
      <c r="G89" s="78">
        <f t="shared" si="44"/>
        <v>3.6048420147167803</v>
      </c>
      <c r="H89" s="78">
        <f t="shared" si="45"/>
        <v>-1.0500000000064347</v>
      </c>
      <c r="I89" s="77"/>
      <c r="J89" s="77"/>
      <c r="K89" s="77"/>
      <c r="L89" s="78">
        <f t="shared" si="46"/>
        <v>-15.044094323229729</v>
      </c>
      <c r="M89" s="78">
        <f t="shared" si="47"/>
        <v>-4.1132860522440362</v>
      </c>
      <c r="N89" s="77">
        <f t="shared" si="48"/>
        <v>-84.450000000003911</v>
      </c>
      <c r="O89" s="77"/>
      <c r="P89" s="77"/>
      <c r="Q89" s="77"/>
      <c r="R89" s="51">
        <f t="shared" si="49"/>
        <v>0.59531742570584356</v>
      </c>
      <c r="S89" s="51">
        <f t="shared" si="50"/>
        <v>-29.291172794078335</v>
      </c>
      <c r="T89" s="51">
        <f t="shared" si="19"/>
        <v>-3.1999999999783313</v>
      </c>
      <c r="U89" s="77">
        <f t="shared" si="55"/>
        <v>12.105232940058386</v>
      </c>
      <c r="V89" s="77">
        <f t="shared" si="56"/>
        <v>-26.435022050376844</v>
      </c>
      <c r="W89" s="77">
        <f t="shared" si="57"/>
        <v>-31.599999999983197</v>
      </c>
      <c r="Y89" s="99">
        <f t="shared" si="60"/>
        <v>-168.90000000000782</v>
      </c>
    </row>
    <row r="90" spans="1:25" ht="24.95" customHeight="1" x14ac:dyDescent="0.2">
      <c r="A90" s="29">
        <f t="shared" si="41"/>
        <v>885</v>
      </c>
      <c r="B90" s="30">
        <f t="shared" si="42"/>
        <v>44543</v>
      </c>
      <c r="C90" s="77">
        <f t="shared" si="52"/>
        <v>-2.2161747837685652</v>
      </c>
      <c r="D90" s="77">
        <f t="shared" si="53"/>
        <v>3.038789758765148</v>
      </c>
      <c r="E90" s="77">
        <f t="shared" si="54"/>
        <v>3.6999999999949296</v>
      </c>
      <c r="F90" s="78">
        <f t="shared" si="43"/>
        <v>-1.4915809099420585</v>
      </c>
      <c r="G90" s="78">
        <f t="shared" si="44"/>
        <v>3.061066864886719</v>
      </c>
      <c r="H90" s="78">
        <f t="shared" si="45"/>
        <v>-0.34999999999740794</v>
      </c>
      <c r="I90" s="77"/>
      <c r="J90" s="77"/>
      <c r="K90" s="77"/>
      <c r="L90" s="78">
        <f t="shared" si="46"/>
        <v>-15.364345925405587</v>
      </c>
      <c r="M90" s="78">
        <f t="shared" si="47"/>
        <v>-4.3729758660581979</v>
      </c>
      <c r="N90" s="77">
        <f t="shared" si="48"/>
        <v>-84.050000000004843</v>
      </c>
      <c r="O90" s="77"/>
      <c r="P90" s="77"/>
      <c r="Q90" s="77"/>
      <c r="R90" s="51">
        <f t="shared" si="49"/>
        <v>0.13607252722636076</v>
      </c>
      <c r="S90" s="51">
        <f t="shared" si="50"/>
        <v>-29.7260223250988</v>
      </c>
      <c r="T90" s="51">
        <f t="shared" si="19"/>
        <v>-2.4999999999835154</v>
      </c>
      <c r="U90" s="77">
        <f t="shared" si="55"/>
        <v>12.552280232199564</v>
      </c>
      <c r="V90" s="77">
        <f t="shared" si="56"/>
        <v>-26.44721976227693</v>
      </c>
      <c r="W90" s="77">
        <f t="shared" si="57"/>
        <v>-31.099999999995021</v>
      </c>
      <c r="Y90" s="99">
        <f t="shared" si="60"/>
        <v>-168.10000000000969</v>
      </c>
    </row>
    <row r="91" spans="1:25" ht="24.95" customHeight="1" x14ac:dyDescent="0.2">
      <c r="A91" s="29">
        <f t="shared" si="41"/>
        <v>892</v>
      </c>
      <c r="B91" s="30">
        <f t="shared" si="42"/>
        <v>44550</v>
      </c>
      <c r="C91" s="77">
        <f t="shared" si="52"/>
        <v>-3.1830284111720175</v>
      </c>
      <c r="D91" s="77">
        <f t="shared" si="53"/>
        <v>2.0361960452910388</v>
      </c>
      <c r="E91" s="77">
        <f t="shared" si="54"/>
        <v>3.3999999999991815</v>
      </c>
      <c r="F91" s="78">
        <f t="shared" si="43"/>
        <v>-2.9416481519319859</v>
      </c>
      <c r="G91" s="78">
        <f t="shared" si="44"/>
        <v>2.3848236658472466</v>
      </c>
      <c r="H91" s="78">
        <f t="shared" si="45"/>
        <v>-0.4500000000007276</v>
      </c>
      <c r="I91" s="77"/>
      <c r="J91" s="77"/>
      <c r="K91" s="77"/>
      <c r="L91" s="78">
        <f t="shared" si="46"/>
        <v>-16.065410777571287</v>
      </c>
      <c r="M91" s="78">
        <f t="shared" si="47"/>
        <v>-5.4722974864218061</v>
      </c>
      <c r="N91" s="77">
        <f t="shared" si="48"/>
        <v>-84.149999999993952</v>
      </c>
      <c r="O91" s="77"/>
      <c r="P91" s="77"/>
      <c r="Q91" s="77"/>
      <c r="R91" s="51">
        <f t="shared" si="49"/>
        <v>1.2837582803513214</v>
      </c>
      <c r="S91" s="51">
        <f t="shared" si="50"/>
        <v>-30.294192898657979</v>
      </c>
      <c r="T91" s="51">
        <f t="shared" si="19"/>
        <v>-2.4999999999835154</v>
      </c>
      <c r="U91" s="77">
        <f t="shared" si="55"/>
        <v>13.162289431221552</v>
      </c>
      <c r="V91" s="77">
        <f t="shared" si="56"/>
        <v>-27.045457851594179</v>
      </c>
      <c r="W91" s="77">
        <f t="shared" si="57"/>
        <v>-31.099999999995021</v>
      </c>
      <c r="Y91" s="99">
        <f t="shared" si="60"/>
        <v>-168.2999999999879</v>
      </c>
    </row>
    <row r="92" spans="1:25" ht="34.5" customHeight="1" x14ac:dyDescent="0.2">
      <c r="A92" s="29">
        <f t="shared" si="41"/>
        <v>914</v>
      </c>
      <c r="B92" s="30">
        <f t="shared" si="42"/>
        <v>44572</v>
      </c>
      <c r="C92" s="77">
        <f t="shared" si="52"/>
        <v>-2.4575683462728648</v>
      </c>
      <c r="D92" s="77">
        <f t="shared" si="53"/>
        <v>4.0296121514935557</v>
      </c>
      <c r="E92" s="77">
        <f t="shared" si="54"/>
        <v>3.3999999999991815</v>
      </c>
      <c r="F92" s="78">
        <f t="shared" si="43"/>
        <v>-2.125558930600846</v>
      </c>
      <c r="G92" s="78">
        <f t="shared" si="44"/>
        <v>4.4205049504530969</v>
      </c>
      <c r="H92" s="78">
        <f t="shared" si="45"/>
        <v>-0.64999999999315605</v>
      </c>
      <c r="I92" s="77"/>
      <c r="J92" s="77"/>
      <c r="K92" s="77"/>
      <c r="L92" s="78">
        <f t="shared" si="46"/>
        <v>-15.877627168322306</v>
      </c>
      <c r="M92" s="78">
        <f t="shared" si="47"/>
        <v>-3.5089491070045828</v>
      </c>
      <c r="N92" s="77">
        <f t="shared" si="48"/>
        <v>-84.749999999999659</v>
      </c>
      <c r="O92" s="77"/>
      <c r="P92" s="77"/>
      <c r="Q92" s="77"/>
      <c r="R92" s="51">
        <f t="shared" si="49"/>
        <v>2.7573348774012629E-2</v>
      </c>
      <c r="S92" s="51">
        <f t="shared" si="50"/>
        <v>-28.783564015941732</v>
      </c>
      <c r="T92" s="51">
        <f t="shared" si="19"/>
        <v>-2.7999999999792635</v>
      </c>
      <c r="U92" s="77">
        <f t="shared" si="55"/>
        <v>12.268621442018457</v>
      </c>
      <c r="V92" s="77">
        <f t="shared" si="56"/>
        <v>-25.36576810755431</v>
      </c>
      <c r="W92" s="77">
        <f t="shared" si="57"/>
        <v>-31.299999999987449</v>
      </c>
      <c r="Y92" s="99">
        <f t="shared" si="60"/>
        <v>-169.49999999999932</v>
      </c>
    </row>
    <row r="93" spans="1:25" ht="34.5" customHeight="1" x14ac:dyDescent="0.2">
      <c r="A93" s="29">
        <f t="shared" si="41"/>
        <v>920</v>
      </c>
      <c r="B93" s="30">
        <f t="shared" si="42"/>
        <v>44578</v>
      </c>
      <c r="C93" s="77">
        <f t="shared" si="52"/>
        <v>-1.7687011004738906</v>
      </c>
      <c r="D93" s="77">
        <f t="shared" si="53"/>
        <v>4.6818865289424139</v>
      </c>
      <c r="E93" s="77">
        <f t="shared" si="54"/>
        <v>3.9999999999906777</v>
      </c>
      <c r="F93" s="78">
        <f t="shared" si="43"/>
        <v>-1.6602152253426539</v>
      </c>
      <c r="G93" s="78">
        <f t="shared" si="44"/>
        <v>5.0788782330499771</v>
      </c>
      <c r="H93" s="78">
        <f t="shared" si="45"/>
        <v>-0.15000000000497948</v>
      </c>
      <c r="I93" s="77"/>
      <c r="J93" s="77"/>
      <c r="K93" s="77"/>
      <c r="L93" s="78">
        <f t="shared" si="46"/>
        <v>-15.188759922551753</v>
      </c>
      <c r="M93" s="78">
        <f t="shared" si="47"/>
        <v>-2.8566747295458437</v>
      </c>
      <c r="N93" s="77">
        <f t="shared" si="48"/>
        <v>-84.050000000004843</v>
      </c>
      <c r="O93" s="77"/>
      <c r="P93" s="77"/>
      <c r="Q93" s="77"/>
      <c r="R93" s="51">
        <f t="shared" si="49"/>
        <v>1.3146785854871723</v>
      </c>
      <c r="S93" s="51">
        <f t="shared" si="50"/>
        <v>-27.521280228423706</v>
      </c>
      <c r="T93" s="51">
        <f t="shared" si="19"/>
        <v>-2.0999999999844476</v>
      </c>
      <c r="U93" s="77">
        <f t="shared" si="55"/>
        <v>13.827614253642651</v>
      </c>
      <c r="V93" s="77">
        <f t="shared" si="56"/>
        <v>-23.976688735592777</v>
      </c>
      <c r="W93" s="77">
        <f t="shared" si="57"/>
        <v>-30.899999999988381</v>
      </c>
      <c r="Y93" s="99">
        <f t="shared" ref="Y93:Y95" si="61">N93*2</f>
        <v>-168.10000000000969</v>
      </c>
    </row>
    <row r="94" spans="1:25" ht="34.5" customHeight="1" x14ac:dyDescent="0.2">
      <c r="A94" s="29">
        <f t="shared" si="41"/>
        <v>937</v>
      </c>
      <c r="B94" s="30">
        <f t="shared" si="42"/>
        <v>44595</v>
      </c>
      <c r="C94" s="77">
        <f t="shared" si="52"/>
        <v>-1.291586285503854</v>
      </c>
      <c r="D94" s="77">
        <f t="shared" si="53"/>
        <v>4.1320125231756322</v>
      </c>
      <c r="E94" s="77">
        <f t="shared" si="54"/>
        <v>2.299999999991087</v>
      </c>
      <c r="F94" s="78">
        <f t="shared" si="43"/>
        <v>-0.65152286694569739</v>
      </c>
      <c r="G94" s="78">
        <f t="shared" si="44"/>
        <v>4.335548153271862</v>
      </c>
      <c r="H94" s="78">
        <f t="shared" si="45"/>
        <v>-1.7500000000012506</v>
      </c>
      <c r="I94" s="77"/>
      <c r="J94" s="77"/>
      <c r="K94" s="77"/>
      <c r="L94" s="78">
        <f t="shared" si="46"/>
        <v>-14.047172969043231</v>
      </c>
      <c r="M94" s="78">
        <f t="shared" si="47"/>
        <v>-3.6483687944673102</v>
      </c>
      <c r="N94" s="77">
        <f t="shared" si="48"/>
        <v>-85.650000000001114</v>
      </c>
      <c r="O94" s="77"/>
      <c r="P94" s="77"/>
      <c r="Q94" s="77"/>
      <c r="R94" s="51">
        <f t="shared" si="49"/>
        <v>2.0453846677241927</v>
      </c>
      <c r="S94" s="51">
        <f t="shared" si="50"/>
        <v>-28.614929595022875</v>
      </c>
      <c r="T94" s="51">
        <f t="shared" si="19"/>
        <v>-3.9999999999764668</v>
      </c>
      <c r="U94" s="77">
        <f t="shared" si="55"/>
        <v>14.286432760997059</v>
      </c>
      <c r="V94" s="77">
        <f t="shared" si="56"/>
        <v>-25.197133686644335</v>
      </c>
      <c r="W94" s="77">
        <f t="shared" si="57"/>
        <v>-32.399999999995543</v>
      </c>
      <c r="Y94" s="99">
        <f t="shared" si="61"/>
        <v>-171.30000000000223</v>
      </c>
    </row>
    <row r="95" spans="1:25" ht="34.5" customHeight="1" x14ac:dyDescent="0.2">
      <c r="A95" s="29">
        <f t="shared" si="41"/>
        <v>955</v>
      </c>
      <c r="B95" s="30">
        <f t="shared" si="42"/>
        <v>44613</v>
      </c>
      <c r="C95" s="77">
        <f t="shared" si="52"/>
        <v>-3.1342379856482694</v>
      </c>
      <c r="D95" s="77">
        <f t="shared" si="53"/>
        <v>3.8243850169767946</v>
      </c>
      <c r="E95" s="77">
        <f t="shared" si="54"/>
        <v>3.5000000000025011</v>
      </c>
      <c r="F95" s="78">
        <f t="shared" si="43"/>
        <v>-2.5364396962856972</v>
      </c>
      <c r="G95" s="78">
        <f t="shared" si="44"/>
        <v>4.1185496979969649</v>
      </c>
      <c r="H95" s="78">
        <f t="shared" si="45"/>
        <v>-0.64999999999315605</v>
      </c>
      <c r="I95" s="77"/>
      <c r="J95" s="77"/>
      <c r="K95" s="77"/>
      <c r="L95" s="78">
        <f t="shared" si="46"/>
        <v>-16.071083193168079</v>
      </c>
      <c r="M95" s="78">
        <f t="shared" si="47"/>
        <v>-4.0405267559317775</v>
      </c>
      <c r="N95" s="77">
        <f t="shared" si="48"/>
        <v>-84.949999999992087</v>
      </c>
      <c r="O95" s="77"/>
      <c r="P95" s="77"/>
      <c r="Q95" s="77"/>
      <c r="R95" s="51">
        <f t="shared" si="49"/>
        <v>1.5375742407286452E-2</v>
      </c>
      <c r="S95" s="51">
        <f t="shared" si="50"/>
        <v>-29.230611258849848</v>
      </c>
      <c r="T95" s="51">
        <f t="shared" si="19"/>
        <v>-2.7999999999792635</v>
      </c>
      <c r="U95" s="77">
        <f t="shared" si="55"/>
        <v>12.069066617584667</v>
      </c>
      <c r="V95" s="77">
        <f t="shared" si="56"/>
        <v>-26.120869247857392</v>
      </c>
      <c r="W95" s="77">
        <f t="shared" si="57"/>
        <v>-31.099999999995021</v>
      </c>
      <c r="Y95" s="99">
        <f t="shared" si="61"/>
        <v>-169.89999999998417</v>
      </c>
    </row>
    <row r="96" spans="1:25" ht="34.5" customHeight="1" x14ac:dyDescent="0.2">
      <c r="A96" s="29">
        <f t="shared" si="41"/>
        <v>990</v>
      </c>
      <c r="B96" s="30">
        <f t="shared" si="42"/>
        <v>44648</v>
      </c>
      <c r="C96" s="77">
        <f t="shared" si="52"/>
        <v>-2.3307727618373519</v>
      </c>
      <c r="D96" s="77">
        <f t="shared" si="53"/>
        <v>3.7577245765980649</v>
      </c>
      <c r="E96" s="77">
        <f t="shared" si="54"/>
        <v>3.2999999999958618</v>
      </c>
      <c r="F96" s="78">
        <f t="shared" si="43"/>
        <v>-2.355181277863494</v>
      </c>
      <c r="G96" s="78">
        <f t="shared" si="44"/>
        <v>4.2030801040455756</v>
      </c>
      <c r="H96" s="78">
        <f t="shared" si="45"/>
        <v>-1.0500000000064347</v>
      </c>
      <c r="I96" s="77"/>
      <c r="J96" s="77"/>
      <c r="K96" s="77"/>
      <c r="L96" s="78">
        <f t="shared" si="46"/>
        <v>-15.448876282221136</v>
      </c>
      <c r="M96" s="78">
        <f t="shared" si="47"/>
        <v>-4.1917175531591688</v>
      </c>
      <c r="N96" s="77">
        <f t="shared" si="48"/>
        <v>-85.349999999991155</v>
      </c>
      <c r="O96" s="77"/>
      <c r="P96" s="77"/>
      <c r="Q96" s="77"/>
      <c r="R96" s="51">
        <f t="shared" si="49"/>
        <v>0.31733094567698572</v>
      </c>
      <c r="S96" s="51">
        <f t="shared" si="50"/>
        <v>-29.64149191905241</v>
      </c>
      <c r="T96" s="51">
        <f t="shared" si="19"/>
        <v>-3.0999999999892225</v>
      </c>
      <c r="U96" s="77">
        <f t="shared" si="55"/>
        <v>12.691273423001803</v>
      </c>
      <c r="V96" s="77">
        <f t="shared" si="56"/>
        <v>-26.272060094234551</v>
      </c>
      <c r="W96" s="77">
        <f t="shared" si="57"/>
        <v>-31.499999999994088</v>
      </c>
      <c r="Y96" s="99">
        <f t="shared" ref="Y96:Y100" si="62">N96*2</f>
        <v>-170.69999999998231</v>
      </c>
    </row>
    <row r="97" spans="1:25" ht="34.5" customHeight="1" x14ac:dyDescent="0.2">
      <c r="A97" s="29">
        <f t="shared" si="41"/>
        <v>1020</v>
      </c>
      <c r="B97" s="30">
        <f t="shared" si="42"/>
        <v>44678</v>
      </c>
      <c r="C97" s="77">
        <f t="shared" si="52"/>
        <v>-2.8745480171608051</v>
      </c>
      <c r="D97" s="77">
        <f t="shared" si="53"/>
        <v>3.5041333584713286</v>
      </c>
      <c r="E97" s="77">
        <f t="shared" si="54"/>
        <v>3.5999999999916099</v>
      </c>
      <c r="F97" s="78">
        <f t="shared" si="43"/>
        <v>-2.9412217608069113</v>
      </c>
      <c r="G97" s="78">
        <f t="shared" si="44"/>
        <v>4.0401181478908477</v>
      </c>
      <c r="H97" s="78">
        <f t="shared" si="45"/>
        <v>-0.74999999999647571</v>
      </c>
      <c r="I97" s="77"/>
      <c r="J97" s="77"/>
      <c r="K97" s="77"/>
      <c r="L97" s="78">
        <f t="shared" si="46"/>
        <v>-16.312903146825875</v>
      </c>
      <c r="M97" s="78">
        <f t="shared" si="47"/>
        <v>-4.7049988452901594</v>
      </c>
      <c r="N97" s="77">
        <f t="shared" si="48"/>
        <v>-85.349999999991155</v>
      </c>
      <c r="O97" s="77"/>
      <c r="P97" s="77"/>
      <c r="Q97" s="77"/>
      <c r="R97" s="51">
        <f t="shared" si="49"/>
        <v>-9.354982009313062E-2</v>
      </c>
      <c r="S97" s="51">
        <f t="shared" si="50"/>
        <v>-29.943447171493887</v>
      </c>
      <c r="T97" s="51">
        <f t="shared" si="19"/>
        <v>-2.9999999999859028</v>
      </c>
      <c r="U97" s="77">
        <f t="shared" si="55"/>
        <v>11.682154567949965</v>
      </c>
      <c r="V97" s="77">
        <f t="shared" si="56"/>
        <v>-27.184024545775731</v>
      </c>
      <c r="W97" s="77">
        <f t="shared" si="57"/>
        <v>-30.999999999991701</v>
      </c>
      <c r="Y97" s="99">
        <f t="shared" si="62"/>
        <v>-170.69999999998231</v>
      </c>
    </row>
    <row r="98" spans="1:25" ht="34.5" customHeight="1" x14ac:dyDescent="0.2">
      <c r="A98" s="29">
        <f t="shared" si="41"/>
        <v>1053</v>
      </c>
      <c r="B98" s="30">
        <f t="shared" si="42"/>
        <v>44711</v>
      </c>
      <c r="C98" s="77">
        <f t="shared" si="52"/>
        <v>-1.5451775528276812</v>
      </c>
      <c r="D98" s="77">
        <f t="shared" si="53"/>
        <v>4.6757878840271161</v>
      </c>
      <c r="E98" s="77">
        <f t="shared" si="54"/>
        <v>3.2999999999958618</v>
      </c>
      <c r="F98" s="78">
        <f t="shared" si="43"/>
        <v>-0.5547948053390428</v>
      </c>
      <c r="G98" s="78">
        <f t="shared" si="44"/>
        <v>4.6013368722293002</v>
      </c>
      <c r="H98" s="78">
        <f t="shared" si="45"/>
        <v>-0.95000000000311502</v>
      </c>
      <c r="I98" s="77"/>
      <c r="J98" s="77"/>
      <c r="K98" s="77"/>
      <c r="L98" s="78">
        <f t="shared" si="46"/>
        <v>-14.524287882409226</v>
      </c>
      <c r="M98" s="78">
        <f t="shared" si="47"/>
        <v>-3.0984945777077497</v>
      </c>
      <c r="N98" s="77">
        <f t="shared" si="48"/>
        <v>-85.650000000001114</v>
      </c>
      <c r="O98" s="77"/>
      <c r="P98" s="77"/>
      <c r="Q98" s="77"/>
      <c r="R98" s="51">
        <f t="shared" si="49"/>
        <v>1.7795957940336393</v>
      </c>
      <c r="S98" s="51">
        <f t="shared" si="50"/>
        <v>-28.518201477081728</v>
      </c>
      <c r="T98" s="51">
        <f t="shared" si="19"/>
        <v>-3.1999999999783313</v>
      </c>
      <c r="U98" s="77">
        <f t="shared" si="55"/>
        <v>13.645929444038529</v>
      </c>
      <c r="V98" s="77">
        <f t="shared" si="56"/>
        <v>-25.716513623698756</v>
      </c>
      <c r="W98" s="77">
        <f t="shared" si="57"/>
        <v>-31.399999999990769</v>
      </c>
      <c r="Y98" s="99">
        <f t="shared" si="62"/>
        <v>-171.30000000000223</v>
      </c>
    </row>
    <row r="99" spans="1:25" ht="34.5" customHeight="1" x14ac:dyDescent="0.2">
      <c r="A99" s="29">
        <f t="shared" si="41"/>
        <v>1082</v>
      </c>
      <c r="B99" s="30">
        <f t="shared" si="42"/>
        <v>44740</v>
      </c>
      <c r="C99" s="77">
        <f t="shared" si="52"/>
        <v>-2.3307727618373519</v>
      </c>
      <c r="D99" s="77">
        <f t="shared" si="53"/>
        <v>3.7577245765980649</v>
      </c>
      <c r="E99" s="77">
        <f t="shared" si="54"/>
        <v>3.5000000000025011</v>
      </c>
      <c r="F99" s="78">
        <f t="shared" si="43"/>
        <v>-1.9564981184885255</v>
      </c>
      <c r="G99" s="78">
        <f t="shared" si="44"/>
        <v>4.0579881135776041</v>
      </c>
      <c r="H99" s="78">
        <f t="shared" si="45"/>
        <v>-1.1499999999955435</v>
      </c>
      <c r="I99" s="77"/>
      <c r="J99" s="77"/>
      <c r="K99" s="77"/>
      <c r="L99" s="78">
        <f t="shared" si="46"/>
        <v>-15.098557051715034</v>
      </c>
      <c r="M99" s="78">
        <f t="shared" si="47"/>
        <v>-4.4697039839868005</v>
      </c>
      <c r="N99" s="77">
        <f t="shared" si="48"/>
        <v>-86.050000000000182</v>
      </c>
      <c r="O99" s="77"/>
      <c r="P99" s="77"/>
      <c r="Q99" s="77"/>
      <c r="R99" s="51">
        <f t="shared" si="49"/>
        <v>1.0541357291629083</v>
      </c>
      <c r="S99" s="51">
        <f t="shared" si="50"/>
        <v>-30.511617583292683</v>
      </c>
      <c r="T99" s="51">
        <f t="shared" si="19"/>
        <v>-3.3999999999849706</v>
      </c>
      <c r="U99" s="77">
        <f t="shared" si="55"/>
        <v>12.745309865863419</v>
      </c>
      <c r="V99" s="77">
        <f t="shared" si="56"/>
        <v>-27.570936595367801</v>
      </c>
      <c r="W99" s="77">
        <f t="shared" si="57"/>
        <v>-31.399999999990769</v>
      </c>
      <c r="Y99" s="99">
        <f t="shared" si="62"/>
        <v>-172.10000000000036</v>
      </c>
    </row>
    <row r="100" spans="1:25" ht="34.5" customHeight="1" x14ac:dyDescent="0.2">
      <c r="A100" s="29">
        <f t="shared" si="41"/>
        <v>1109</v>
      </c>
      <c r="B100" s="30">
        <f t="shared" si="42"/>
        <v>44767</v>
      </c>
      <c r="C100" s="77">
        <f t="shared" si="52"/>
        <v>-1.4304373787865643</v>
      </c>
      <c r="D100" s="77">
        <f t="shared" si="53"/>
        <v>4.5086177528697036</v>
      </c>
      <c r="E100" s="77">
        <f t="shared" si="54"/>
        <v>4.0666666666737683</v>
      </c>
      <c r="F100" s="78">
        <f t="shared" si="43"/>
        <v>-1.0416677011164666</v>
      </c>
      <c r="G100" s="78">
        <f t="shared" si="44"/>
        <v>4.7935732398038944</v>
      </c>
      <c r="H100" s="78">
        <f t="shared" si="45"/>
        <v>-0.42999999998016847</v>
      </c>
      <c r="I100" s="77"/>
      <c r="J100" s="77"/>
      <c r="K100" s="77"/>
      <c r="L100" s="78">
        <f t="shared" si="46"/>
        <v>-14.422936635469341</v>
      </c>
      <c r="M100" s="78">
        <f t="shared" si="47"/>
        <v>-3.6470637127113124</v>
      </c>
      <c r="N100" s="77">
        <f t="shared" si="48"/>
        <v>-85.790000000002919</v>
      </c>
      <c r="O100" s="77"/>
      <c r="P100" s="77"/>
      <c r="Q100" s="77"/>
      <c r="R100" s="51">
        <f t="shared" si="49"/>
        <v>1.9085751438296938</v>
      </c>
      <c r="S100" s="51">
        <f t="shared" si="50"/>
        <v>-29.69385646144751</v>
      </c>
      <c r="T100" s="51">
        <f t="shared" si="19"/>
        <v>-2.6999999999901547</v>
      </c>
      <c r="U100" s="77">
        <f t="shared" si="55"/>
        <v>13.459883777727555</v>
      </c>
      <c r="V100" s="77">
        <f t="shared" si="56"/>
        <v>-26.796334059854043</v>
      </c>
      <c r="W100" s="77">
        <f t="shared" si="57"/>
        <v>-30.474999999981378</v>
      </c>
      <c r="Y100" s="99">
        <f t="shared" si="62"/>
        <v>-171.58000000000584</v>
      </c>
    </row>
    <row r="101" spans="1:25" ht="34.5" customHeight="1" x14ac:dyDescent="0.2">
      <c r="A101" s="29">
        <f t="shared" si="41"/>
        <v>1244</v>
      </c>
      <c r="B101" s="30">
        <f t="shared" si="42"/>
        <v>44902</v>
      </c>
      <c r="C101" s="77">
        <f t="shared" si="52"/>
        <v>-1.5573751591944074</v>
      </c>
      <c r="D101" s="77">
        <f t="shared" si="53"/>
        <v>4.2287406411301021</v>
      </c>
      <c r="E101" s="77">
        <f t="shared" si="54"/>
        <v>4.5999999999963848</v>
      </c>
      <c r="F101" s="78">
        <f t="shared" si="43"/>
        <v>-1.09247125394063</v>
      </c>
      <c r="G101" s="78">
        <f t="shared" si="44"/>
        <v>4.5712694057029601</v>
      </c>
      <c r="H101" s="78">
        <f t="shared" si="45"/>
        <v>-0.34999999999740794</v>
      </c>
      <c r="I101" s="77"/>
      <c r="J101" s="77"/>
      <c r="K101" s="77"/>
      <c r="L101" s="78">
        <f t="shared" si="46"/>
        <v>-13.811025423876799</v>
      </c>
      <c r="M101" s="78">
        <f t="shared" si="47"/>
        <v>-1.5521257143956688</v>
      </c>
      <c r="N101" s="77">
        <f t="shared" si="48"/>
        <v>-87.149999999994066</v>
      </c>
      <c r="O101" s="77"/>
      <c r="P101" s="77"/>
      <c r="Q101" s="77"/>
      <c r="R101" s="51">
        <f t="shared" si="49"/>
        <v>2.1111922203260747</v>
      </c>
      <c r="S101" s="51">
        <f t="shared" si="50"/>
        <v>-31.122053384467829</v>
      </c>
      <c r="T101" s="51">
        <f t="shared" ca="1" si="19"/>
        <v>-2.6999999999759439</v>
      </c>
      <c r="U101" s="77">
        <f t="shared" si="55"/>
        <v>13.482114649349342</v>
      </c>
      <c r="V101" s="77">
        <f t="shared" si="56"/>
        <v>-28.441062259627614</v>
      </c>
      <c r="W101" s="77">
        <f t="shared" si="57"/>
        <v>-29.899999999983606</v>
      </c>
      <c r="Y101" s="99">
        <f t="shared" ref="Y101:Y102" si="63">N101*2</f>
        <v>-174.29999999998813</v>
      </c>
    </row>
    <row r="102" spans="1:25" ht="34.5" customHeight="1" x14ac:dyDescent="0.2">
      <c r="A102" s="29">
        <f t="shared" si="41"/>
        <v>1257</v>
      </c>
      <c r="B102" s="30">
        <f t="shared" si="42"/>
        <v>44915</v>
      </c>
      <c r="C102" s="77">
        <f t="shared" si="52"/>
        <v>-2.1312179373467188</v>
      </c>
      <c r="D102" s="77">
        <f t="shared" si="53"/>
        <v>4.5128257168656205</v>
      </c>
      <c r="E102" s="77">
        <f t="shared" si="54"/>
        <v>4.0999999999939973</v>
      </c>
      <c r="F102" s="78">
        <f t="shared" si="43"/>
        <v>-1.1831005158740027</v>
      </c>
      <c r="G102" s="78">
        <f t="shared" si="44"/>
        <v>4.5290041780954304</v>
      </c>
      <c r="H102" s="78">
        <f t="shared" si="45"/>
        <v>-0.74999999999647571</v>
      </c>
      <c r="I102" s="77"/>
      <c r="J102" s="77"/>
      <c r="K102" s="77"/>
      <c r="L102" s="78">
        <f t="shared" si="46"/>
        <v>-14.294239045568702</v>
      </c>
      <c r="M102" s="78">
        <f t="shared" si="47"/>
        <v>-1.2257754602083835</v>
      </c>
      <c r="N102" s="77">
        <f t="shared" si="48"/>
        <v>-87.749999999999773</v>
      </c>
      <c r="O102" s="77"/>
      <c r="P102" s="77"/>
      <c r="Q102" s="77"/>
      <c r="R102" s="51">
        <f t="shared" si="49"/>
        <v>2.2140190886545952</v>
      </c>
      <c r="S102" s="51">
        <f t="shared" si="50"/>
        <v>-30.632740913938861</v>
      </c>
      <c r="T102" s="51">
        <f t="shared" si="19"/>
        <v>-2.9999999999859028</v>
      </c>
      <c r="U102" s="77"/>
      <c r="V102" s="77"/>
      <c r="W102" s="77"/>
      <c r="Y102" s="99">
        <f t="shared" si="63"/>
        <v>-175.49999999999955</v>
      </c>
    </row>
    <row r="103" spans="1:25" ht="34.5" customHeight="1" x14ac:dyDescent="0.2">
      <c r="A103" s="29">
        <f t="shared" si="41"/>
        <v>1272</v>
      </c>
      <c r="B103" s="30">
        <f t="shared" si="42"/>
        <v>44930</v>
      </c>
      <c r="C103" s="77">
        <f t="shared" si="52"/>
        <v>-2.529901195146067</v>
      </c>
      <c r="D103" s="77">
        <f t="shared" si="53"/>
        <v>4.6579179183448005</v>
      </c>
      <c r="E103" s="77">
        <f t="shared" si="54"/>
        <v>4.199999999997317</v>
      </c>
      <c r="F103" s="78">
        <f t="shared" si="43"/>
        <v>-2.0649972898354463</v>
      </c>
      <c r="G103" s="78">
        <f t="shared" si="44"/>
        <v>5.0004466829478567</v>
      </c>
      <c r="H103" s="78">
        <f t="shared" si="45"/>
        <v>-0.74999999999647571</v>
      </c>
      <c r="I103" s="77"/>
      <c r="J103" s="77"/>
      <c r="K103" s="77"/>
      <c r="L103" s="78">
        <f t="shared" si="46"/>
        <v>-14.650657075719664</v>
      </c>
      <c r="M103" s="78">
        <f t="shared" si="47"/>
        <v>-1.1713125207142845</v>
      </c>
      <c r="N103" s="77">
        <f t="shared" si="48"/>
        <v>-87.749999999999773</v>
      </c>
      <c r="O103" s="77"/>
      <c r="P103" s="77"/>
      <c r="Q103" s="77"/>
      <c r="R103" s="51">
        <f t="shared" si="49"/>
        <v>1.4467201872605528</v>
      </c>
      <c r="S103" s="51">
        <f t="shared" si="50"/>
        <v>-30.8802332760858</v>
      </c>
      <c r="T103" s="51">
        <f t="shared" si="19"/>
        <v>-2.9999999999859028</v>
      </c>
      <c r="U103" s="77"/>
      <c r="V103" s="77"/>
      <c r="W103" s="77"/>
      <c r="Y103" s="99">
        <f t="shared" ref="Y103:Y104" si="64">N103*2</f>
        <v>-175.49999999999955</v>
      </c>
    </row>
    <row r="104" spans="1:25" ht="34.5" customHeight="1" x14ac:dyDescent="0.2">
      <c r="A104" s="29">
        <f t="shared" si="41"/>
        <v>1287</v>
      </c>
      <c r="B104" s="30">
        <f t="shared" si="42"/>
        <v>44945</v>
      </c>
      <c r="C104" s="77">
        <f t="shared" si="52"/>
        <v>-2.3063775490754779</v>
      </c>
      <c r="D104" s="77">
        <f t="shared" si="53"/>
        <v>4.6518190624267319</v>
      </c>
      <c r="E104" s="77">
        <f t="shared" si="54"/>
        <v>3.7999999999982492</v>
      </c>
      <c r="F104" s="78">
        <f t="shared" si="43"/>
        <v>-1.8837388713848213</v>
      </c>
      <c r="G104" s="78">
        <f t="shared" si="44"/>
        <v>5.0849770889951351</v>
      </c>
      <c r="H104" s="78">
        <f t="shared" si="45"/>
        <v>-1.2499999999988631</v>
      </c>
      <c r="I104" s="77"/>
      <c r="J104" s="77"/>
      <c r="K104" s="77"/>
      <c r="L104" s="78">
        <f t="shared" si="46"/>
        <v>-14.469398657297461</v>
      </c>
      <c r="M104" s="78">
        <f t="shared" si="47"/>
        <v>-1.0867821146739454</v>
      </c>
      <c r="N104" s="77">
        <f t="shared" si="48"/>
        <v>-88.349999999991269</v>
      </c>
      <c r="O104" s="77"/>
      <c r="P104" s="77"/>
      <c r="Q104" s="77"/>
      <c r="R104" s="51">
        <f t="shared" si="49"/>
        <v>1.670243833331142</v>
      </c>
      <c r="S104" s="51">
        <f t="shared" si="50"/>
        <v>-30.886332132062488</v>
      </c>
      <c r="T104" s="51">
        <f t="shared" si="19"/>
        <v>-3.4999999999882903</v>
      </c>
      <c r="U104" s="77">
        <f t="shared" si="55"/>
        <v>12.727013354350447</v>
      </c>
      <c r="V104" s="77">
        <f t="shared" si="56"/>
        <v>-28.241507378871322</v>
      </c>
      <c r="W104" s="77">
        <f t="shared" si="57"/>
        <v>-30.599999999992633</v>
      </c>
      <c r="Y104" s="99">
        <f t="shared" si="64"/>
        <v>-176.69999999998254</v>
      </c>
    </row>
    <row r="105" spans="1:25" ht="34.5" customHeight="1" x14ac:dyDescent="0.2">
      <c r="A105" s="29">
        <f t="shared" si="41"/>
        <v>1299</v>
      </c>
      <c r="B105" s="30">
        <f t="shared" si="42"/>
        <v>44957</v>
      </c>
      <c r="C105" s="77">
        <f t="shared" si="52"/>
        <v>-2.6388267647234898</v>
      </c>
      <c r="D105" s="77">
        <f t="shared" si="53"/>
        <v>3.9450817454729226</v>
      </c>
      <c r="E105" s="77">
        <f t="shared" si="54"/>
        <v>3.9000000000015689</v>
      </c>
      <c r="F105" s="78">
        <f t="shared" si="43"/>
        <v>-2.0893925025973203</v>
      </c>
      <c r="G105" s="78">
        <f t="shared" si="44"/>
        <v>4.1063521971320682</v>
      </c>
      <c r="H105" s="78">
        <f t="shared" si="45"/>
        <v>-1.0500000000064347</v>
      </c>
      <c r="I105" s="77"/>
      <c r="J105" s="77"/>
      <c r="K105" s="77"/>
      <c r="L105" s="78">
        <f t="shared" si="46"/>
        <v>-14.705119811281975</v>
      </c>
      <c r="M105" s="78">
        <f t="shared" si="47"/>
        <v>-1.527730712652053</v>
      </c>
      <c r="N105" s="77">
        <f t="shared" si="48"/>
        <v>-88.14999999999884</v>
      </c>
      <c r="O105" s="77"/>
      <c r="P105" s="77"/>
      <c r="Q105" s="77"/>
      <c r="R105" s="51">
        <f t="shared" si="49"/>
        <v>1.3077269964583138</v>
      </c>
      <c r="S105" s="51">
        <f t="shared" si="50"/>
        <v>-31.055392944129068</v>
      </c>
      <c r="T105" s="51">
        <f t="shared" si="19"/>
        <v>-3.1999999999783313</v>
      </c>
      <c r="U105" s="77">
        <f t="shared" si="55"/>
        <v>12.992802228012579</v>
      </c>
      <c r="V105" s="77">
        <f t="shared" si="56"/>
        <v>-28.33823549675385</v>
      </c>
      <c r="W105" s="77">
        <f t="shared" si="57"/>
        <v>-30.399999999985994</v>
      </c>
      <c r="Y105" s="99">
        <f t="shared" ref="Y105" si="65">N105*2</f>
        <v>-176.29999999999768</v>
      </c>
    </row>
    <row r="106" spans="1:25" ht="34.5" customHeight="1" x14ac:dyDescent="0.2">
      <c r="A106" s="29">
        <f t="shared" si="41"/>
        <v>1330</v>
      </c>
      <c r="B106" s="30">
        <f t="shared" si="42"/>
        <v>44988</v>
      </c>
      <c r="C106" s="77">
        <f t="shared" si="52"/>
        <v>-2.7111596135682703</v>
      </c>
      <c r="D106" s="77">
        <f t="shared" si="53"/>
        <v>4.5733875123183942</v>
      </c>
      <c r="E106" s="77">
        <f t="shared" si="54"/>
        <v>3.6999999999949296</v>
      </c>
      <c r="F106" s="78">
        <f t="shared" si="43"/>
        <v>-2.2885208374816557</v>
      </c>
      <c r="G106" s="78">
        <f t="shared" si="44"/>
        <v>5.0065453279111161</v>
      </c>
      <c r="H106" s="78">
        <f t="shared" si="45"/>
        <v>-1.2499999999988631</v>
      </c>
      <c r="I106" s="77"/>
      <c r="J106" s="77"/>
      <c r="K106" s="77"/>
      <c r="L106" s="78">
        <f t="shared" si="46"/>
        <v>-15.043241435449772</v>
      </c>
      <c r="M106" s="78">
        <f t="shared" si="47"/>
        <v>-0.80269703890900601</v>
      </c>
      <c r="N106" s="77">
        <f t="shared" si="48"/>
        <v>-88.650000000001228</v>
      </c>
      <c r="O106" s="77"/>
      <c r="P106" s="77"/>
      <c r="Q106" s="77"/>
      <c r="R106" s="51">
        <f t="shared" si="49"/>
        <v>0.96350657267407769</v>
      </c>
      <c r="S106" s="51">
        <f t="shared" si="50"/>
        <v>-30.553882761711559</v>
      </c>
      <c r="T106" s="51">
        <f t="shared" si="19"/>
        <v>-3.3999999999849706</v>
      </c>
      <c r="U106" s="77">
        <f t="shared" si="55"/>
        <v>12.376694123815923</v>
      </c>
      <c r="V106" s="77">
        <f t="shared" si="56"/>
        <v>-27.963520947996923</v>
      </c>
      <c r="W106" s="77">
        <f t="shared" si="57"/>
        <v>-30.599999999992633</v>
      </c>
      <c r="Y106" s="99">
        <f t="shared" ref="Y106:Y107" si="66">N106*2</f>
        <v>-177.30000000000246</v>
      </c>
    </row>
    <row r="107" spans="1:25" ht="34.5" customHeight="1" x14ac:dyDescent="0.2">
      <c r="A107" s="29">
        <f t="shared" si="41"/>
        <v>1355</v>
      </c>
      <c r="B107" s="30">
        <f t="shared" si="42"/>
        <v>45013</v>
      </c>
      <c r="C107" s="77">
        <f t="shared" si="52"/>
        <v>-2.7111596135682703</v>
      </c>
      <c r="D107" s="77">
        <f t="shared" si="53"/>
        <v>4.5733875123183942</v>
      </c>
      <c r="E107" s="77">
        <f t="shared" si="54"/>
        <v>3.1999999999925421</v>
      </c>
      <c r="F107" s="78">
        <f t="shared" si="43"/>
        <v>-1.8475724505151447</v>
      </c>
      <c r="G107" s="78">
        <f t="shared" si="44"/>
        <v>4.7708240754813502</v>
      </c>
      <c r="H107" s="78">
        <f t="shared" si="45"/>
        <v>-1.949999999993679</v>
      </c>
      <c r="I107" s="77"/>
      <c r="J107" s="77"/>
      <c r="K107" s="77"/>
      <c r="L107" s="78">
        <f t="shared" si="46"/>
        <v>-14.874180623394295</v>
      </c>
      <c r="M107" s="78">
        <f t="shared" si="47"/>
        <v>-1.165213875782861</v>
      </c>
      <c r="N107" s="77">
        <f t="shared" si="48"/>
        <v>-89.649999999991792</v>
      </c>
      <c r="O107" s="77"/>
      <c r="P107" s="77"/>
      <c r="Q107" s="77"/>
      <c r="R107" s="51">
        <f t="shared" si="49"/>
        <v>1.4044549596405886</v>
      </c>
      <c r="S107" s="51">
        <f t="shared" si="50"/>
        <v>-30.789604014134664</v>
      </c>
      <c r="T107" s="51">
        <f t="shared" si="19"/>
        <v>-4.0999999999797865</v>
      </c>
      <c r="U107" s="77">
        <f t="shared" si="55"/>
        <v>13.047264963631733</v>
      </c>
      <c r="V107" s="77">
        <f t="shared" si="56"/>
        <v>-27.9818173048203</v>
      </c>
      <c r="W107" s="77">
        <f t="shared" si="57"/>
        <v>-31.099999999995021</v>
      </c>
      <c r="Y107" s="99">
        <f t="shared" si="66"/>
        <v>-179.29999999998358</v>
      </c>
    </row>
  </sheetData>
  <mergeCells count="11">
    <mergeCell ref="A5:W5"/>
    <mergeCell ref="F8:H8"/>
    <mergeCell ref="R8:T8"/>
    <mergeCell ref="S1:W1"/>
    <mergeCell ref="S2:W2"/>
    <mergeCell ref="C7:W7"/>
    <mergeCell ref="C8:E8"/>
    <mergeCell ref="L8:N8"/>
    <mergeCell ref="U8:W8"/>
    <mergeCell ref="I8:K8"/>
    <mergeCell ref="O8:Q8"/>
  </mergeCells>
  <phoneticPr fontId="0" type="noConversion"/>
  <printOptions horizontalCentered="1"/>
  <pageMargins left="0.39370078740157499" right="0.39370078740157499" top="0.196850393700787" bottom="0.196850393700787" header="0.511811023622047" footer="0.511811023622047"/>
  <pageSetup paperSize="9" scale="48" fitToHeight="0" orientation="landscape" cellComments="atEnd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3">
    <pageSetUpPr fitToPage="1"/>
  </sheetPr>
  <dimension ref="A1:AG103"/>
  <sheetViews>
    <sheetView zoomScale="70" zoomScaleNormal="70" workbookViewId="0">
      <selection activeCell="AB18" sqref="AB18"/>
    </sheetView>
  </sheetViews>
  <sheetFormatPr baseColWidth="10" defaultColWidth="11.42578125" defaultRowHeight="12.75" customHeight="1" x14ac:dyDescent="0.2"/>
  <cols>
    <col min="1" max="1" width="11.42578125" style="104"/>
    <col min="2" max="24" width="11.28515625" style="2" customWidth="1"/>
    <col min="25" max="25" width="10.7109375" style="104" customWidth="1"/>
    <col min="26" max="16384" width="11.42578125" style="2"/>
  </cols>
  <sheetData>
    <row r="1" spans="1:33" s="104" customFormat="1" ht="12.75" customHeight="1" x14ac:dyDescent="0.2">
      <c r="AG1" s="2"/>
    </row>
    <row r="2" spans="1:33" ht="12.75" customHeight="1" x14ac:dyDescent="0.2">
      <c r="B2" s="63"/>
      <c r="C2" s="64"/>
      <c r="D2" s="64"/>
      <c r="E2" s="64"/>
      <c r="F2" s="64"/>
      <c r="G2" s="64"/>
      <c r="H2" s="64"/>
      <c r="I2" s="143" t="s">
        <v>9</v>
      </c>
      <c r="J2" s="143"/>
      <c r="K2" s="143"/>
      <c r="L2" s="144"/>
      <c r="M2" s="111"/>
      <c r="N2" s="63"/>
      <c r="O2" s="64"/>
      <c r="P2" s="64"/>
      <c r="Q2" s="64"/>
      <c r="R2" s="64"/>
      <c r="S2" s="64"/>
      <c r="T2" s="64"/>
      <c r="U2" s="143" t="s">
        <v>9</v>
      </c>
      <c r="V2" s="143"/>
      <c r="W2" s="143"/>
      <c r="X2" s="144"/>
      <c r="Y2" s="105"/>
    </row>
    <row r="3" spans="1:33" ht="12.75" customHeight="1" x14ac:dyDescent="0.2">
      <c r="B3" s="65"/>
      <c r="I3" s="136" t="s">
        <v>54</v>
      </c>
      <c r="J3" s="136"/>
      <c r="K3" s="136"/>
      <c r="L3" s="145"/>
      <c r="M3" s="105"/>
      <c r="N3" s="65"/>
      <c r="U3" s="136" t="s">
        <v>54</v>
      </c>
      <c r="V3" s="136"/>
      <c r="W3" s="136"/>
      <c r="X3" s="145"/>
      <c r="Y3" s="105"/>
    </row>
    <row r="4" spans="1:33" ht="12.75" customHeight="1" x14ac:dyDescent="0.2">
      <c r="B4" s="65"/>
      <c r="I4" s="66"/>
      <c r="J4" s="66"/>
      <c r="K4" s="66"/>
      <c r="L4" s="67"/>
      <c r="M4" s="104"/>
      <c r="N4" s="65"/>
      <c r="U4" s="66"/>
      <c r="V4" s="66"/>
      <c r="W4" s="66"/>
      <c r="X4" s="67"/>
    </row>
    <row r="5" spans="1:33" ht="12.75" customHeight="1" x14ac:dyDescent="0.2">
      <c r="B5" s="65"/>
      <c r="J5" s="146"/>
      <c r="K5" s="146"/>
      <c r="L5" s="147"/>
      <c r="M5" s="106"/>
      <c r="N5" s="65"/>
      <c r="V5" s="146"/>
      <c r="W5" s="146"/>
      <c r="X5" s="147"/>
      <c r="Y5" s="106"/>
    </row>
    <row r="6" spans="1:33" ht="12.75" customHeight="1" x14ac:dyDescent="0.2">
      <c r="B6" s="140" t="str">
        <f>"GALERIE GVA3 - CONVERGENCES HORIZONTALES -L:V C65-66 (PM  "&amp; 'Résultats observations'!W6 &amp; ") - Mesures au " &amp; TEXT( MAX('Résultats observations'!A10:A132),"jj/mm/aa")</f>
        <v>GALERIE GVA3 - CONVERGENCES HORIZONTALES -L:V C65-66 (PM  183.9) - Mesures au 28/03/23</v>
      </c>
      <c r="C6" s="141"/>
      <c r="D6" s="141"/>
      <c r="E6" s="141"/>
      <c r="F6" s="141"/>
      <c r="G6" s="141"/>
      <c r="H6" s="141"/>
      <c r="I6" s="141"/>
      <c r="J6" s="141"/>
      <c r="K6" s="141"/>
      <c r="L6" s="142"/>
      <c r="M6" s="107"/>
      <c r="N6" s="140" t="str">
        <f>"GALERIE GVA3 - CONVERGENCES VERTICALES - C65-66 (PM  "&amp; 'Résultats observations'!W6 &amp; ") - Mesures au " &amp; TEXT( MAX('Résultats observations'!A10:A132),"jj/mm/aa")</f>
        <v>GALERIE GVA3 - CONVERGENCES VERTICALES - C65-66 (PM  183.9) - Mesures au 28/03/23</v>
      </c>
      <c r="O6" s="141"/>
      <c r="P6" s="141"/>
      <c r="Q6" s="141"/>
      <c r="R6" s="141"/>
      <c r="S6" s="141"/>
      <c r="T6" s="141"/>
      <c r="U6" s="141"/>
      <c r="V6" s="141"/>
      <c r="W6" s="141"/>
      <c r="X6" s="142"/>
      <c r="Y6" s="107"/>
    </row>
    <row r="7" spans="1:33" ht="12.75" customHeight="1" x14ac:dyDescent="0.2">
      <c r="B7" s="65"/>
      <c r="L7" s="67"/>
      <c r="M7" s="104"/>
      <c r="N7" s="65"/>
      <c r="X7" s="67"/>
    </row>
    <row r="8" spans="1:33" s="32" customFormat="1" ht="12.75" customHeight="1" x14ac:dyDescent="0.2">
      <c r="A8" s="104"/>
      <c r="B8" s="68"/>
      <c r="C8"/>
      <c r="D8"/>
      <c r="E8"/>
      <c r="F8"/>
      <c r="G8"/>
      <c r="H8"/>
      <c r="I8"/>
      <c r="J8"/>
      <c r="K8"/>
      <c r="L8" s="69"/>
      <c r="M8" s="108"/>
      <c r="N8" s="68"/>
      <c r="O8"/>
      <c r="P8"/>
      <c r="Q8"/>
      <c r="R8"/>
      <c r="S8"/>
      <c r="T8"/>
      <c r="U8"/>
      <c r="V8"/>
      <c r="W8"/>
      <c r="X8" s="69"/>
      <c r="Y8" s="108"/>
      <c r="AG8" s="2"/>
    </row>
    <row r="9" spans="1:33" ht="12.75" customHeight="1" x14ac:dyDescent="0.2">
      <c r="B9" s="68"/>
      <c r="C9"/>
      <c r="D9"/>
      <c r="E9"/>
      <c r="F9"/>
      <c r="G9"/>
      <c r="H9"/>
      <c r="I9"/>
      <c r="J9"/>
      <c r="K9"/>
      <c r="L9" s="69"/>
      <c r="M9" s="108"/>
      <c r="N9" s="68"/>
      <c r="O9"/>
      <c r="P9"/>
      <c r="Q9"/>
      <c r="R9"/>
      <c r="S9"/>
      <c r="T9"/>
      <c r="U9"/>
      <c r="V9"/>
      <c r="W9"/>
      <c r="X9" s="69"/>
      <c r="Y9" s="108"/>
    </row>
    <row r="10" spans="1:33" customFormat="1" ht="12.75" customHeight="1" x14ac:dyDescent="0.2">
      <c r="A10" s="108"/>
      <c r="B10" s="68"/>
      <c r="L10" s="69"/>
      <c r="M10" s="108"/>
      <c r="N10" s="68"/>
      <c r="X10" s="69"/>
      <c r="Y10" s="108"/>
    </row>
    <row r="11" spans="1:33" customFormat="1" ht="12.75" customHeight="1" x14ac:dyDescent="0.2">
      <c r="A11" s="108"/>
      <c r="B11" s="68"/>
      <c r="L11" s="69"/>
      <c r="M11" s="108"/>
      <c r="N11" s="68"/>
      <c r="X11" s="69"/>
      <c r="Y11" s="108"/>
    </row>
    <row r="12" spans="1:33" customFormat="1" ht="12.75" customHeight="1" x14ac:dyDescent="0.2">
      <c r="A12" s="108"/>
      <c r="B12" s="68"/>
      <c r="L12" s="69"/>
      <c r="M12" s="108"/>
      <c r="N12" s="68"/>
      <c r="X12" s="69"/>
      <c r="Y12" s="108"/>
      <c r="AA12" t="s">
        <v>62</v>
      </c>
    </row>
    <row r="13" spans="1:33" customFormat="1" ht="12.75" customHeight="1" x14ac:dyDescent="0.2">
      <c r="A13" s="108"/>
      <c r="B13" s="68"/>
      <c r="L13" s="69"/>
      <c r="M13" s="108"/>
      <c r="N13" s="68"/>
      <c r="X13" s="69"/>
      <c r="Y13" s="108"/>
    </row>
    <row r="14" spans="1:33" customFormat="1" ht="12.75" customHeight="1" x14ac:dyDescent="0.2">
      <c r="A14" s="108"/>
      <c r="B14" s="68"/>
      <c r="L14" s="69"/>
      <c r="M14" s="108"/>
      <c r="N14" s="68"/>
      <c r="X14" s="69"/>
      <c r="Y14" s="108"/>
      <c r="AA14" s="2"/>
      <c r="AB14" t="s">
        <v>63</v>
      </c>
    </row>
    <row r="15" spans="1:33" customFormat="1" ht="12.75" customHeight="1" x14ac:dyDescent="0.2">
      <c r="A15" s="108"/>
      <c r="B15" s="68"/>
      <c r="L15" s="69"/>
      <c r="M15" s="108"/>
      <c r="N15" s="68"/>
      <c r="X15" s="69"/>
      <c r="Y15" s="108"/>
      <c r="AA15" s="2"/>
      <c r="AB15" s="2"/>
      <c r="AC15" t="s">
        <v>65</v>
      </c>
      <c r="AD15">
        <v>-181</v>
      </c>
      <c r="AE15" s="81">
        <v>43654</v>
      </c>
    </row>
    <row r="16" spans="1:33" customFormat="1" ht="12.75" customHeight="1" x14ac:dyDescent="0.2">
      <c r="A16" s="108"/>
      <c r="B16" s="68"/>
      <c r="L16" s="69"/>
      <c r="M16" s="108"/>
      <c r="N16" s="68"/>
      <c r="X16" s="69"/>
      <c r="Y16" s="108"/>
      <c r="AD16">
        <f>AD15</f>
        <v>-181</v>
      </c>
      <c r="AE16" s="81">
        <v>44927</v>
      </c>
    </row>
    <row r="17" spans="1:31" customFormat="1" ht="12.75" customHeight="1" x14ac:dyDescent="0.2">
      <c r="A17" s="108"/>
      <c r="B17" s="68"/>
      <c r="L17" s="69"/>
      <c r="M17" s="108"/>
      <c r="N17" s="68"/>
      <c r="X17" s="69"/>
      <c r="Y17" s="108"/>
      <c r="AC17" t="s">
        <v>67</v>
      </c>
      <c r="AD17">
        <v>-226</v>
      </c>
      <c r="AE17" s="81">
        <f>+AE15</f>
        <v>43654</v>
      </c>
    </row>
    <row r="18" spans="1:31" customFormat="1" ht="12.75" customHeight="1" x14ac:dyDescent="0.2">
      <c r="A18" s="108"/>
      <c r="B18" s="68"/>
      <c r="L18" s="69"/>
      <c r="M18" s="108"/>
      <c r="N18" s="68"/>
      <c r="X18" s="69"/>
      <c r="Y18" s="108"/>
      <c r="AA18" s="80" t="s">
        <v>75</v>
      </c>
      <c r="AD18">
        <f>AD17</f>
        <v>-226</v>
      </c>
      <c r="AE18" s="81">
        <v>44927</v>
      </c>
    </row>
    <row r="19" spans="1:31" customFormat="1" ht="12.75" customHeight="1" x14ac:dyDescent="0.2">
      <c r="A19" s="108"/>
      <c r="B19" s="68"/>
      <c r="L19" s="69"/>
      <c r="M19" s="108"/>
      <c r="N19" s="68"/>
      <c r="X19" s="69"/>
      <c r="Y19" s="108"/>
      <c r="AC19" s="2"/>
      <c r="AD19" s="2"/>
      <c r="AE19" s="2"/>
    </row>
    <row r="20" spans="1:31" customFormat="1" ht="12.75" customHeight="1" x14ac:dyDescent="0.2">
      <c r="A20" s="108"/>
      <c r="B20" s="68"/>
      <c r="L20" s="69"/>
      <c r="M20" s="108"/>
      <c r="N20" s="68"/>
      <c r="X20" s="69"/>
      <c r="Y20" s="108"/>
      <c r="AB20" t="s">
        <v>64</v>
      </c>
    </row>
    <row r="21" spans="1:31" customFormat="1" ht="12.75" customHeight="1" x14ac:dyDescent="0.2">
      <c r="A21" s="108"/>
      <c r="B21" s="68"/>
      <c r="L21" s="69"/>
      <c r="M21" s="108"/>
      <c r="N21" s="68"/>
      <c r="X21" s="69"/>
      <c r="Y21" s="108"/>
      <c r="AC21" t="s">
        <v>66</v>
      </c>
      <c r="AD21">
        <v>-58</v>
      </c>
      <c r="AE21" s="81">
        <f>+AE17</f>
        <v>43654</v>
      </c>
    </row>
    <row r="22" spans="1:31" customFormat="1" ht="12.75" customHeight="1" x14ac:dyDescent="0.2">
      <c r="A22" s="108"/>
      <c r="B22" s="68"/>
      <c r="L22" s="69"/>
      <c r="M22" s="108"/>
      <c r="N22" s="68"/>
      <c r="X22" s="69"/>
      <c r="Y22" s="108"/>
      <c r="AD22">
        <f>AD21</f>
        <v>-58</v>
      </c>
      <c r="AE22" s="81">
        <f>+AE18</f>
        <v>44927</v>
      </c>
    </row>
    <row r="23" spans="1:31" customFormat="1" ht="12.75" customHeight="1" x14ac:dyDescent="0.2">
      <c r="A23" s="108"/>
      <c r="B23" s="68"/>
      <c r="L23" s="69"/>
      <c r="M23" s="108"/>
      <c r="N23" s="68"/>
      <c r="X23" s="69"/>
      <c r="Y23" s="108"/>
      <c r="AC23" t="s">
        <v>68</v>
      </c>
      <c r="AD23">
        <v>-72</v>
      </c>
      <c r="AE23" s="81">
        <f>+AE21</f>
        <v>43654</v>
      </c>
    </row>
    <row r="24" spans="1:31" customFormat="1" ht="12.75" customHeight="1" x14ac:dyDescent="0.2">
      <c r="A24" s="108"/>
      <c r="B24" s="68"/>
      <c r="L24" s="69"/>
      <c r="M24" s="108"/>
      <c r="N24" s="68"/>
      <c r="X24" s="69"/>
      <c r="Y24" s="108"/>
      <c r="AD24">
        <f>AD23</f>
        <v>-72</v>
      </c>
      <c r="AE24" s="81">
        <f>+AE22</f>
        <v>44927</v>
      </c>
    </row>
    <row r="25" spans="1:31" customFormat="1" ht="12.75" customHeight="1" x14ac:dyDescent="0.2">
      <c r="A25" s="108"/>
      <c r="B25" s="68"/>
      <c r="L25" s="69"/>
      <c r="M25" s="108"/>
      <c r="N25" s="68"/>
      <c r="X25" s="69"/>
      <c r="Y25" s="108"/>
      <c r="AC25" t="s">
        <v>66</v>
      </c>
      <c r="AD25">
        <f>-AD21</f>
        <v>58</v>
      </c>
      <c r="AE25" s="81">
        <f>+AE21</f>
        <v>43654</v>
      </c>
    </row>
    <row r="26" spans="1:31" customFormat="1" ht="12.75" customHeight="1" x14ac:dyDescent="0.2">
      <c r="A26" s="108"/>
      <c r="B26" s="68"/>
      <c r="L26" s="69"/>
      <c r="M26" s="108"/>
      <c r="N26" s="68"/>
      <c r="X26" s="69"/>
      <c r="Y26" s="108"/>
      <c r="AD26">
        <f>-AD21</f>
        <v>58</v>
      </c>
      <c r="AE26" s="81">
        <f>+AE22</f>
        <v>44927</v>
      </c>
    </row>
    <row r="27" spans="1:31" customFormat="1" ht="12.75" customHeight="1" x14ac:dyDescent="0.2">
      <c r="A27" s="108"/>
      <c r="B27" s="68"/>
      <c r="L27" s="69"/>
      <c r="M27" s="108"/>
      <c r="N27" s="68"/>
      <c r="X27" s="69"/>
      <c r="Y27" s="108"/>
      <c r="AE27" s="81"/>
    </row>
    <row r="28" spans="1:31" customFormat="1" ht="12.75" customHeight="1" x14ac:dyDescent="0.2">
      <c r="A28" s="108"/>
      <c r="B28" s="68"/>
      <c r="L28" s="69"/>
      <c r="M28" s="108"/>
      <c r="N28" s="68"/>
      <c r="X28" s="69"/>
      <c r="Y28" s="108"/>
      <c r="AC28" t="s">
        <v>68</v>
      </c>
      <c r="AD28">
        <f>-AD23</f>
        <v>72</v>
      </c>
      <c r="AE28" s="81">
        <f>+AE25</f>
        <v>43654</v>
      </c>
    </row>
    <row r="29" spans="1:31" customFormat="1" ht="12.75" customHeight="1" x14ac:dyDescent="0.2">
      <c r="A29" s="108"/>
      <c r="B29" s="68"/>
      <c r="L29" s="69"/>
      <c r="M29" s="108"/>
      <c r="N29" s="68"/>
      <c r="X29" s="69"/>
      <c r="Y29" s="108"/>
      <c r="AE29" s="81"/>
    </row>
    <row r="30" spans="1:31" customFormat="1" ht="12.75" customHeight="1" x14ac:dyDescent="0.2">
      <c r="A30" s="108"/>
      <c r="B30" s="68"/>
      <c r="L30" s="69"/>
      <c r="M30" s="108"/>
      <c r="N30" s="68"/>
      <c r="X30" s="69"/>
      <c r="Y30" s="108"/>
      <c r="AD30">
        <f>-AD23</f>
        <v>72</v>
      </c>
      <c r="AE30" s="81">
        <f>+AE26</f>
        <v>44927</v>
      </c>
    </row>
    <row r="31" spans="1:31" customFormat="1" ht="12.75" customHeight="1" x14ac:dyDescent="0.2">
      <c r="A31" s="108"/>
      <c r="B31" s="68"/>
      <c r="L31" s="69"/>
      <c r="M31" s="108"/>
      <c r="N31" s="68"/>
      <c r="X31" s="69"/>
      <c r="Y31" s="108"/>
      <c r="AE31" s="81"/>
    </row>
    <row r="32" spans="1:31" customFormat="1" ht="12.75" customHeight="1" x14ac:dyDescent="0.2">
      <c r="A32" s="108"/>
      <c r="B32" s="68"/>
      <c r="L32" s="69"/>
      <c r="M32" s="108"/>
      <c r="N32" s="68"/>
      <c r="X32" s="69"/>
      <c r="Y32" s="108"/>
      <c r="AE32" s="81"/>
    </row>
    <row r="33" spans="1:30" customFormat="1" ht="12.75" customHeight="1" x14ac:dyDescent="0.2">
      <c r="A33" s="108"/>
      <c r="B33" s="68"/>
      <c r="L33" s="69"/>
      <c r="M33" s="108"/>
      <c r="N33" s="68"/>
      <c r="X33" s="69"/>
      <c r="Y33" s="108"/>
    </row>
    <row r="34" spans="1:30" customFormat="1" ht="12.75" customHeight="1" x14ac:dyDescent="0.2">
      <c r="A34" s="108"/>
      <c r="B34" s="70"/>
      <c r="C34" s="71"/>
      <c r="D34" s="71"/>
      <c r="E34" s="71"/>
      <c r="F34" s="71"/>
      <c r="G34" s="71"/>
      <c r="H34" s="71"/>
      <c r="I34" s="71"/>
      <c r="J34" s="71"/>
      <c r="K34" s="71"/>
      <c r="L34" s="72"/>
      <c r="M34" s="112"/>
      <c r="N34" s="70"/>
      <c r="O34" s="71"/>
      <c r="P34" s="71"/>
      <c r="Q34" s="71"/>
      <c r="R34" s="71"/>
      <c r="S34" s="71"/>
      <c r="T34" s="71"/>
      <c r="U34" s="71"/>
      <c r="V34" s="71"/>
      <c r="W34" s="71"/>
      <c r="X34" s="72"/>
      <c r="Y34" s="108"/>
    </row>
    <row r="35" spans="1:30" customFormat="1" ht="12.75" customHeight="1" x14ac:dyDescent="0.2">
      <c r="A35" s="108"/>
      <c r="B35" s="109"/>
      <c r="C35" s="108"/>
      <c r="D35" s="108"/>
      <c r="E35" s="108"/>
      <c r="F35" s="108"/>
      <c r="G35" s="108"/>
      <c r="H35" s="108"/>
      <c r="I35" s="108"/>
      <c r="J35" s="108"/>
      <c r="K35" s="108"/>
      <c r="L35" s="110"/>
      <c r="M35" s="108"/>
      <c r="N35" s="109"/>
      <c r="O35" s="108"/>
      <c r="P35" s="108"/>
      <c r="Q35" s="108"/>
      <c r="R35" s="108"/>
      <c r="S35" s="108"/>
      <c r="T35" s="108"/>
      <c r="U35" s="108"/>
      <c r="V35" s="108"/>
      <c r="W35" s="108"/>
      <c r="X35" s="110"/>
      <c r="Y35" s="108"/>
    </row>
    <row r="36" spans="1:30" ht="12.75" customHeight="1" x14ac:dyDescent="0.2">
      <c r="B36" s="63"/>
      <c r="C36" s="64"/>
      <c r="D36" s="64"/>
      <c r="E36" s="64"/>
      <c r="F36" s="64"/>
      <c r="G36" s="64"/>
      <c r="H36" s="64"/>
      <c r="I36" s="143" t="s">
        <v>9</v>
      </c>
      <c r="J36" s="143"/>
      <c r="K36" s="143"/>
      <c r="L36" s="144"/>
      <c r="M36" s="111"/>
      <c r="N36" s="63"/>
      <c r="O36" s="64"/>
      <c r="P36" s="64"/>
      <c r="Q36" s="64"/>
      <c r="R36" s="64"/>
      <c r="S36" s="64"/>
      <c r="T36" s="64"/>
      <c r="U36" s="143" t="s">
        <v>9</v>
      </c>
      <c r="V36" s="143"/>
      <c r="W36" s="143"/>
      <c r="X36" s="144"/>
      <c r="Y36" s="105"/>
    </row>
    <row r="37" spans="1:30" ht="12.75" customHeight="1" x14ac:dyDescent="0.2">
      <c r="B37" s="65"/>
      <c r="I37" s="136" t="s">
        <v>54</v>
      </c>
      <c r="J37" s="136"/>
      <c r="K37" s="136"/>
      <c r="L37" s="145"/>
      <c r="M37" s="105"/>
      <c r="N37" s="65"/>
      <c r="U37" s="136" t="s">
        <v>54</v>
      </c>
      <c r="V37" s="136"/>
      <c r="W37" s="136"/>
      <c r="X37" s="145"/>
      <c r="Y37" s="105"/>
      <c r="AC37" s="98"/>
      <c r="AD37" s="98"/>
    </row>
    <row r="38" spans="1:30" ht="12.75" customHeight="1" x14ac:dyDescent="0.2">
      <c r="B38" s="65"/>
      <c r="I38" s="66"/>
      <c r="J38" s="66"/>
      <c r="K38" s="66"/>
      <c r="L38" s="67"/>
      <c r="M38" s="104"/>
      <c r="N38" s="65"/>
      <c r="U38" s="66"/>
      <c r="V38" s="66"/>
      <c r="W38" s="66"/>
      <c r="X38" s="67"/>
      <c r="AC38" s="98"/>
      <c r="AD38" s="98"/>
    </row>
    <row r="39" spans="1:30" ht="12.75" customHeight="1" x14ac:dyDescent="0.2">
      <c r="B39" s="65"/>
      <c r="J39" s="146"/>
      <c r="K39" s="146"/>
      <c r="L39" s="147"/>
      <c r="M39" s="106"/>
      <c r="N39" s="65"/>
      <c r="V39" s="146"/>
      <c r="W39" s="146"/>
      <c r="X39" s="147"/>
      <c r="Y39" s="106"/>
      <c r="AC39" s="98"/>
      <c r="AD39" s="98"/>
    </row>
    <row r="40" spans="1:30" ht="12.75" customHeight="1" x14ac:dyDescent="0.2">
      <c r="B40" s="140" t="str">
        <f>"GALERIE GVA3 - CONVERGENCES INTER CINTRES C65-66 (PM  "&amp; 'Résultats observations'!W6 &amp; ") - Mesures au " &amp; TEXT( MAX('Résultats observations'!A10:A132),"jj/mm/aa")</f>
        <v>GALERIE GVA3 - CONVERGENCES INTER CINTRES C65-66 (PM  183.9) - Mesures au 28/03/23</v>
      </c>
      <c r="C40" s="141"/>
      <c r="D40" s="141"/>
      <c r="E40" s="141"/>
      <c r="F40" s="141"/>
      <c r="G40" s="141"/>
      <c r="H40" s="141"/>
      <c r="I40" s="141"/>
      <c r="J40" s="141"/>
      <c r="K40" s="141"/>
      <c r="L40" s="142"/>
      <c r="M40" s="107"/>
      <c r="N40" s="140" t="str">
        <f>"GVA3 - Déplacements altimétriques des cibles - (PM" &amp; 'Résultats observations'!W6 &amp;") - Mesures "&amp; TEXT( MAX('Résultats observations'!A10:A132),"jj/mm/aa")</f>
        <v>GVA3 - Déplacements altimétriques des cibles - (PM183.9) - Mesures 28/03/23</v>
      </c>
      <c r="O40" s="141"/>
      <c r="P40" s="141"/>
      <c r="Q40" s="141"/>
      <c r="R40" s="141"/>
      <c r="S40" s="141"/>
      <c r="T40" s="141"/>
      <c r="U40" s="141"/>
      <c r="V40" s="141"/>
      <c r="W40" s="141"/>
      <c r="X40" s="142"/>
      <c r="Y40" s="107"/>
      <c r="AC40" s="98"/>
      <c r="AD40" s="98"/>
    </row>
    <row r="41" spans="1:30" ht="12.75" customHeight="1" x14ac:dyDescent="0.2">
      <c r="B41" s="65"/>
      <c r="L41" s="67"/>
      <c r="M41" s="104"/>
      <c r="N41" s="65"/>
      <c r="X41" s="67"/>
      <c r="AC41" s="98"/>
      <c r="AD41" s="98"/>
    </row>
    <row r="42" spans="1:30" ht="12.75" customHeight="1" x14ac:dyDescent="0.2">
      <c r="B42" s="68"/>
      <c r="C42"/>
      <c r="D42"/>
      <c r="E42"/>
      <c r="F42"/>
      <c r="G42"/>
      <c r="H42"/>
      <c r="I42"/>
      <c r="J42"/>
      <c r="K42"/>
      <c r="L42" s="69"/>
      <c r="M42" s="108"/>
      <c r="N42" s="68"/>
      <c r="O42"/>
      <c r="P42"/>
      <c r="Q42"/>
      <c r="R42"/>
      <c r="S42"/>
      <c r="T42"/>
      <c r="U42"/>
      <c r="V42"/>
      <c r="W42"/>
      <c r="X42" s="69"/>
      <c r="Y42" s="108"/>
      <c r="AC42" s="98"/>
      <c r="AD42" s="98"/>
    </row>
    <row r="43" spans="1:30" ht="12.75" customHeight="1" x14ac:dyDescent="0.2">
      <c r="B43" s="68"/>
      <c r="C43"/>
      <c r="D43"/>
      <c r="E43"/>
      <c r="F43"/>
      <c r="G43"/>
      <c r="H43"/>
      <c r="I43"/>
      <c r="J43"/>
      <c r="K43"/>
      <c r="L43" s="69"/>
      <c r="M43" s="108"/>
      <c r="N43" s="68"/>
      <c r="O43"/>
      <c r="P43"/>
      <c r="Q43"/>
      <c r="R43"/>
      <c r="S43"/>
      <c r="T43"/>
      <c r="U43"/>
      <c r="V43"/>
      <c r="W43"/>
      <c r="X43" s="69"/>
      <c r="Y43" s="108"/>
      <c r="AC43" s="98"/>
      <c r="AD43" s="98"/>
    </row>
    <row r="44" spans="1:30" ht="12.75" customHeight="1" x14ac:dyDescent="0.2">
      <c r="B44" s="68"/>
      <c r="C44"/>
      <c r="D44"/>
      <c r="E44"/>
      <c r="F44"/>
      <c r="G44"/>
      <c r="H44"/>
      <c r="I44"/>
      <c r="J44"/>
      <c r="K44"/>
      <c r="L44" s="69"/>
      <c r="M44" s="108"/>
      <c r="N44" s="68"/>
      <c r="O44"/>
      <c r="P44"/>
      <c r="Q44"/>
      <c r="R44"/>
      <c r="S44"/>
      <c r="T44"/>
      <c r="U44"/>
      <c r="V44"/>
      <c r="W44"/>
      <c r="X44" s="69"/>
      <c r="Y44" s="108"/>
      <c r="AC44" s="98"/>
      <c r="AD44" s="98"/>
    </row>
    <row r="45" spans="1:30" ht="12.75" customHeight="1" x14ac:dyDescent="0.2">
      <c r="B45" s="68"/>
      <c r="C45"/>
      <c r="D45"/>
      <c r="E45"/>
      <c r="F45"/>
      <c r="G45"/>
      <c r="H45"/>
      <c r="I45"/>
      <c r="J45"/>
      <c r="K45"/>
      <c r="L45" s="69"/>
      <c r="M45" s="108"/>
      <c r="N45" s="68"/>
      <c r="O45"/>
      <c r="P45"/>
      <c r="Q45"/>
      <c r="R45"/>
      <c r="S45"/>
      <c r="T45"/>
      <c r="U45"/>
      <c r="V45"/>
      <c r="W45"/>
      <c r="X45" s="69"/>
      <c r="Y45" s="108"/>
      <c r="AC45" s="98"/>
      <c r="AD45" s="98"/>
    </row>
    <row r="46" spans="1:30" ht="12.75" customHeight="1" x14ac:dyDescent="0.2">
      <c r="B46" s="68"/>
      <c r="C46"/>
      <c r="D46"/>
      <c r="E46"/>
      <c r="F46"/>
      <c r="G46"/>
      <c r="H46"/>
      <c r="I46"/>
      <c r="J46"/>
      <c r="K46"/>
      <c r="L46" s="69"/>
      <c r="M46" s="108"/>
      <c r="N46" s="68"/>
      <c r="O46"/>
      <c r="P46"/>
      <c r="Q46"/>
      <c r="R46"/>
      <c r="S46"/>
      <c r="T46"/>
      <c r="U46"/>
      <c r="V46"/>
      <c r="W46"/>
      <c r="X46" s="69"/>
      <c r="Y46" s="108"/>
      <c r="AC46" s="98"/>
      <c r="AD46" s="98"/>
    </row>
    <row r="47" spans="1:30" ht="12.75" customHeight="1" x14ac:dyDescent="0.2">
      <c r="B47" s="68"/>
      <c r="C47"/>
      <c r="D47"/>
      <c r="E47"/>
      <c r="F47"/>
      <c r="G47"/>
      <c r="H47"/>
      <c r="I47"/>
      <c r="J47"/>
      <c r="K47"/>
      <c r="L47" s="69"/>
      <c r="M47" s="108"/>
      <c r="N47" s="68"/>
      <c r="O47"/>
      <c r="P47"/>
      <c r="Q47"/>
      <c r="R47"/>
      <c r="S47"/>
      <c r="T47"/>
      <c r="U47"/>
      <c r="V47"/>
      <c r="W47"/>
      <c r="X47" s="69"/>
      <c r="Y47" s="108"/>
      <c r="AC47" s="98"/>
      <c r="AD47" s="98"/>
    </row>
    <row r="48" spans="1:30" ht="12.75" customHeight="1" x14ac:dyDescent="0.2">
      <c r="B48" s="68"/>
      <c r="C48"/>
      <c r="D48"/>
      <c r="E48"/>
      <c r="F48"/>
      <c r="G48"/>
      <c r="H48"/>
      <c r="I48"/>
      <c r="J48"/>
      <c r="K48"/>
      <c r="L48" s="69"/>
      <c r="M48" s="108"/>
      <c r="N48" s="68"/>
      <c r="O48"/>
      <c r="P48"/>
      <c r="Q48"/>
      <c r="R48"/>
      <c r="S48"/>
      <c r="T48"/>
      <c r="U48"/>
      <c r="V48"/>
      <c r="W48"/>
      <c r="X48" s="69"/>
      <c r="Y48" s="108"/>
      <c r="AC48" s="98"/>
      <c r="AD48" s="98"/>
    </row>
    <row r="49" spans="2:30" ht="12.75" customHeight="1" x14ac:dyDescent="0.2">
      <c r="B49" s="68"/>
      <c r="C49"/>
      <c r="D49"/>
      <c r="E49"/>
      <c r="F49"/>
      <c r="G49"/>
      <c r="H49"/>
      <c r="I49"/>
      <c r="J49"/>
      <c r="K49"/>
      <c r="L49" s="69"/>
      <c r="M49" s="108"/>
      <c r="N49" s="68"/>
      <c r="O49"/>
      <c r="P49"/>
      <c r="Q49"/>
      <c r="R49"/>
      <c r="S49"/>
      <c r="T49"/>
      <c r="U49"/>
      <c r="V49"/>
      <c r="W49"/>
      <c r="X49" s="69"/>
      <c r="Y49" s="108"/>
      <c r="AC49" s="98"/>
      <c r="AD49" s="98"/>
    </row>
    <row r="50" spans="2:30" ht="12.75" customHeight="1" x14ac:dyDescent="0.2">
      <c r="B50" s="68"/>
      <c r="C50"/>
      <c r="D50"/>
      <c r="E50"/>
      <c r="F50"/>
      <c r="G50"/>
      <c r="H50"/>
      <c r="I50"/>
      <c r="J50"/>
      <c r="K50"/>
      <c r="L50" s="69"/>
      <c r="M50" s="108"/>
      <c r="N50" s="68"/>
      <c r="O50"/>
      <c r="P50"/>
      <c r="Q50"/>
      <c r="R50"/>
      <c r="S50"/>
      <c r="T50"/>
      <c r="U50"/>
      <c r="V50"/>
      <c r="W50"/>
      <c r="X50" s="69"/>
      <c r="Y50" s="108"/>
      <c r="AC50" s="98"/>
      <c r="AD50" s="98"/>
    </row>
    <row r="51" spans="2:30" ht="12.75" customHeight="1" x14ac:dyDescent="0.2">
      <c r="B51" s="68"/>
      <c r="C51"/>
      <c r="D51"/>
      <c r="E51"/>
      <c r="F51"/>
      <c r="G51"/>
      <c r="H51"/>
      <c r="I51"/>
      <c r="J51"/>
      <c r="K51"/>
      <c r="L51" s="69"/>
      <c r="M51" s="108"/>
      <c r="N51" s="68"/>
      <c r="O51"/>
      <c r="P51"/>
      <c r="Q51"/>
      <c r="R51"/>
      <c r="S51"/>
      <c r="T51"/>
      <c r="U51"/>
      <c r="V51"/>
      <c r="W51"/>
      <c r="X51" s="69"/>
      <c r="Y51" s="108"/>
      <c r="AC51" s="98"/>
      <c r="AD51" s="98"/>
    </row>
    <row r="52" spans="2:30" ht="12.75" customHeight="1" x14ac:dyDescent="0.2">
      <c r="B52" s="68"/>
      <c r="C52"/>
      <c r="D52"/>
      <c r="E52"/>
      <c r="F52"/>
      <c r="G52"/>
      <c r="H52"/>
      <c r="I52"/>
      <c r="J52"/>
      <c r="K52"/>
      <c r="L52" s="69"/>
      <c r="M52" s="108"/>
      <c r="N52" s="68"/>
      <c r="O52"/>
      <c r="P52"/>
      <c r="Q52"/>
      <c r="R52"/>
      <c r="S52"/>
      <c r="T52"/>
      <c r="U52"/>
      <c r="V52"/>
      <c r="W52"/>
      <c r="X52" s="69"/>
      <c r="Y52" s="108"/>
      <c r="AC52" s="98"/>
      <c r="AD52" s="98"/>
    </row>
    <row r="53" spans="2:30" ht="12.75" customHeight="1" x14ac:dyDescent="0.2">
      <c r="B53" s="68"/>
      <c r="C53"/>
      <c r="D53"/>
      <c r="E53"/>
      <c r="F53"/>
      <c r="G53"/>
      <c r="H53"/>
      <c r="I53"/>
      <c r="J53"/>
      <c r="K53"/>
      <c r="L53" s="69"/>
      <c r="M53" s="108"/>
      <c r="N53" s="68"/>
      <c r="O53"/>
      <c r="P53"/>
      <c r="Q53"/>
      <c r="R53"/>
      <c r="S53"/>
      <c r="T53"/>
      <c r="U53"/>
      <c r="V53"/>
      <c r="W53"/>
      <c r="X53" s="69"/>
      <c r="Y53" s="108"/>
      <c r="AC53" s="98"/>
      <c r="AD53" s="98"/>
    </row>
    <row r="54" spans="2:30" ht="12.75" customHeight="1" x14ac:dyDescent="0.2">
      <c r="B54" s="68"/>
      <c r="C54"/>
      <c r="D54"/>
      <c r="E54"/>
      <c r="F54"/>
      <c r="G54"/>
      <c r="H54"/>
      <c r="I54"/>
      <c r="J54"/>
      <c r="K54"/>
      <c r="L54" s="69"/>
      <c r="M54" s="108"/>
      <c r="N54" s="68"/>
      <c r="O54"/>
      <c r="P54"/>
      <c r="Q54"/>
      <c r="R54"/>
      <c r="S54"/>
      <c r="T54"/>
      <c r="U54"/>
      <c r="V54"/>
      <c r="W54"/>
      <c r="X54" s="69"/>
      <c r="Y54" s="108"/>
      <c r="AC54" s="98"/>
      <c r="AD54" s="98"/>
    </row>
    <row r="55" spans="2:30" ht="12.75" customHeight="1" x14ac:dyDescent="0.2">
      <c r="B55" s="68"/>
      <c r="C55"/>
      <c r="D55"/>
      <c r="E55"/>
      <c r="F55"/>
      <c r="G55"/>
      <c r="H55"/>
      <c r="I55"/>
      <c r="J55"/>
      <c r="K55"/>
      <c r="L55" s="69"/>
      <c r="M55" s="108"/>
      <c r="N55" s="68"/>
      <c r="O55"/>
      <c r="P55"/>
      <c r="Q55"/>
      <c r="R55"/>
      <c r="S55"/>
      <c r="T55"/>
      <c r="U55"/>
      <c r="V55"/>
      <c r="W55"/>
      <c r="X55" s="69"/>
      <c r="Y55" s="108"/>
      <c r="AC55" s="98"/>
      <c r="AD55" s="98"/>
    </row>
    <row r="56" spans="2:30" ht="12.75" customHeight="1" x14ac:dyDescent="0.2">
      <c r="B56" s="68"/>
      <c r="C56"/>
      <c r="D56"/>
      <c r="E56"/>
      <c r="F56"/>
      <c r="G56"/>
      <c r="H56"/>
      <c r="I56"/>
      <c r="J56"/>
      <c r="K56"/>
      <c r="L56" s="69"/>
      <c r="M56" s="108"/>
      <c r="N56" s="68"/>
      <c r="O56"/>
      <c r="P56"/>
      <c r="Q56"/>
      <c r="R56"/>
      <c r="S56"/>
      <c r="T56"/>
      <c r="U56"/>
      <c r="V56"/>
      <c r="W56"/>
      <c r="X56" s="69"/>
      <c r="Y56" s="108"/>
      <c r="AC56" s="98"/>
      <c r="AD56" s="98"/>
    </row>
    <row r="57" spans="2:30" ht="12.75" customHeight="1" x14ac:dyDescent="0.2">
      <c r="B57" s="68"/>
      <c r="C57"/>
      <c r="D57"/>
      <c r="E57"/>
      <c r="F57"/>
      <c r="G57"/>
      <c r="H57"/>
      <c r="I57"/>
      <c r="J57"/>
      <c r="K57"/>
      <c r="L57" s="69"/>
      <c r="M57" s="108"/>
      <c r="N57" s="68"/>
      <c r="O57"/>
      <c r="P57"/>
      <c r="Q57"/>
      <c r="R57"/>
      <c r="S57"/>
      <c r="T57"/>
      <c r="U57"/>
      <c r="V57"/>
      <c r="W57"/>
      <c r="X57" s="69"/>
      <c r="Y57" s="108"/>
      <c r="AA57" s="2" t="s">
        <v>75</v>
      </c>
      <c r="AC57" s="98"/>
      <c r="AD57" s="98"/>
    </row>
    <row r="58" spans="2:30" ht="12.75" customHeight="1" x14ac:dyDescent="0.2">
      <c r="B58" s="68"/>
      <c r="C58"/>
      <c r="D58"/>
      <c r="E58"/>
      <c r="F58"/>
      <c r="G58"/>
      <c r="H58"/>
      <c r="I58"/>
      <c r="J58"/>
      <c r="K58"/>
      <c r="L58" s="69"/>
      <c r="M58" s="108"/>
      <c r="N58" s="68"/>
      <c r="O58"/>
      <c r="P58"/>
      <c r="Q58"/>
      <c r="R58"/>
      <c r="S58"/>
      <c r="T58"/>
      <c r="U58"/>
      <c r="V58"/>
      <c r="W58"/>
      <c r="X58" s="69"/>
      <c r="Y58" s="108"/>
      <c r="AC58" s="98"/>
      <c r="AD58" s="98"/>
    </row>
    <row r="59" spans="2:30" ht="12.75" customHeight="1" x14ac:dyDescent="0.2">
      <c r="B59" s="68"/>
      <c r="C59"/>
      <c r="D59"/>
      <c r="E59"/>
      <c r="F59"/>
      <c r="G59"/>
      <c r="H59"/>
      <c r="I59"/>
      <c r="J59"/>
      <c r="K59"/>
      <c r="L59" s="69"/>
      <c r="M59" s="108"/>
      <c r="N59" s="68"/>
      <c r="O59"/>
      <c r="P59"/>
      <c r="Q59"/>
      <c r="R59"/>
      <c r="S59"/>
      <c r="T59"/>
      <c r="U59"/>
      <c r="V59"/>
      <c r="W59"/>
      <c r="X59" s="69"/>
      <c r="Y59" s="108"/>
      <c r="AC59" s="98"/>
      <c r="AD59" s="98"/>
    </row>
    <row r="60" spans="2:30" ht="12.75" customHeight="1" x14ac:dyDescent="0.2">
      <c r="B60" s="68"/>
      <c r="C60"/>
      <c r="D60"/>
      <c r="E60"/>
      <c r="F60"/>
      <c r="G60"/>
      <c r="H60"/>
      <c r="I60"/>
      <c r="J60"/>
      <c r="K60"/>
      <c r="L60" s="69"/>
      <c r="M60" s="108"/>
      <c r="N60" s="68"/>
      <c r="O60"/>
      <c r="P60"/>
      <c r="Q60"/>
      <c r="R60"/>
      <c r="S60"/>
      <c r="T60"/>
      <c r="U60"/>
      <c r="V60"/>
      <c r="W60"/>
      <c r="X60" s="69"/>
      <c r="Y60" s="108"/>
      <c r="AC60" s="98"/>
      <c r="AD60" s="98"/>
    </row>
    <row r="61" spans="2:30" ht="12.75" customHeight="1" x14ac:dyDescent="0.2">
      <c r="B61" s="68"/>
      <c r="C61"/>
      <c r="D61"/>
      <c r="E61"/>
      <c r="F61"/>
      <c r="G61"/>
      <c r="H61"/>
      <c r="I61"/>
      <c r="J61"/>
      <c r="K61"/>
      <c r="L61" s="69"/>
      <c r="M61" s="108"/>
      <c r="N61" s="68"/>
      <c r="O61"/>
      <c r="P61"/>
      <c r="Q61"/>
      <c r="R61"/>
      <c r="S61"/>
      <c r="T61"/>
      <c r="U61"/>
      <c r="V61"/>
      <c r="W61"/>
      <c r="X61" s="69"/>
      <c r="Y61" s="108"/>
      <c r="AC61" s="98"/>
      <c r="AD61" s="98"/>
    </row>
    <row r="62" spans="2:30" ht="12.75" customHeight="1" x14ac:dyDescent="0.2">
      <c r="B62" s="68"/>
      <c r="C62"/>
      <c r="D62"/>
      <c r="E62"/>
      <c r="F62"/>
      <c r="G62"/>
      <c r="H62"/>
      <c r="I62"/>
      <c r="J62"/>
      <c r="K62"/>
      <c r="L62" s="69"/>
      <c r="M62" s="108"/>
      <c r="N62" s="68"/>
      <c r="O62"/>
      <c r="P62"/>
      <c r="Q62"/>
      <c r="R62"/>
      <c r="S62"/>
      <c r="T62"/>
      <c r="U62"/>
      <c r="V62"/>
      <c r="W62"/>
      <c r="X62" s="69"/>
      <c r="Y62" s="108"/>
      <c r="AC62" s="98"/>
      <c r="AD62" s="98"/>
    </row>
    <row r="63" spans="2:30" ht="12.75" customHeight="1" x14ac:dyDescent="0.2">
      <c r="B63" s="68"/>
      <c r="C63"/>
      <c r="D63"/>
      <c r="E63"/>
      <c r="F63"/>
      <c r="G63"/>
      <c r="H63"/>
      <c r="I63"/>
      <c r="J63"/>
      <c r="K63"/>
      <c r="L63" s="69"/>
      <c r="M63" s="108"/>
      <c r="N63" s="68"/>
      <c r="O63"/>
      <c r="P63"/>
      <c r="Q63"/>
      <c r="R63"/>
      <c r="S63"/>
      <c r="T63"/>
      <c r="U63"/>
      <c r="V63"/>
      <c r="W63"/>
      <c r="X63" s="69"/>
      <c r="Y63" s="108"/>
      <c r="AC63" s="98"/>
      <c r="AD63" s="98"/>
    </row>
    <row r="64" spans="2:30" ht="12.75" customHeight="1" x14ac:dyDescent="0.2">
      <c r="B64" s="68"/>
      <c r="C64"/>
      <c r="D64"/>
      <c r="E64"/>
      <c r="F64"/>
      <c r="G64"/>
      <c r="H64"/>
      <c r="I64"/>
      <c r="J64"/>
      <c r="K64"/>
      <c r="L64" s="69"/>
      <c r="M64" s="108"/>
      <c r="N64" s="68"/>
      <c r="O64"/>
      <c r="P64"/>
      <c r="Q64"/>
      <c r="R64"/>
      <c r="S64"/>
      <c r="T64"/>
      <c r="U64"/>
      <c r="V64"/>
      <c r="W64"/>
      <c r="X64" s="69"/>
      <c r="Y64" s="108"/>
      <c r="AC64" s="98"/>
      <c r="AD64" s="98"/>
    </row>
    <row r="65" spans="2:30" ht="12.75" customHeight="1" x14ac:dyDescent="0.2">
      <c r="B65" s="68"/>
      <c r="C65"/>
      <c r="D65"/>
      <c r="E65"/>
      <c r="F65"/>
      <c r="G65"/>
      <c r="H65"/>
      <c r="I65"/>
      <c r="J65"/>
      <c r="K65"/>
      <c r="L65" s="69"/>
      <c r="M65" s="108"/>
      <c r="N65" s="68"/>
      <c r="O65"/>
      <c r="P65"/>
      <c r="Q65"/>
      <c r="R65"/>
      <c r="S65"/>
      <c r="T65"/>
      <c r="U65"/>
      <c r="V65"/>
      <c r="W65"/>
      <c r="X65" s="69"/>
      <c r="Y65" s="108"/>
      <c r="AC65" s="98"/>
      <c r="AD65" s="98"/>
    </row>
    <row r="66" spans="2:30" ht="12.75" customHeight="1" x14ac:dyDescent="0.2">
      <c r="B66" s="68"/>
      <c r="C66"/>
      <c r="D66"/>
      <c r="E66"/>
      <c r="F66"/>
      <c r="G66"/>
      <c r="H66"/>
      <c r="I66"/>
      <c r="J66"/>
      <c r="K66"/>
      <c r="L66" s="69"/>
      <c r="M66" s="108"/>
      <c r="N66" s="68"/>
      <c r="O66"/>
      <c r="P66"/>
      <c r="Q66"/>
      <c r="R66"/>
      <c r="S66"/>
      <c r="T66"/>
      <c r="U66"/>
      <c r="V66"/>
      <c r="W66"/>
      <c r="X66" s="69"/>
      <c r="Y66" s="108"/>
      <c r="AC66" s="98"/>
      <c r="AD66" s="98"/>
    </row>
    <row r="67" spans="2:30" ht="12.75" customHeight="1" x14ac:dyDescent="0.2">
      <c r="B67" s="68"/>
      <c r="C67"/>
      <c r="D67"/>
      <c r="E67"/>
      <c r="F67"/>
      <c r="G67"/>
      <c r="H67"/>
      <c r="I67"/>
      <c r="J67"/>
      <c r="K67"/>
      <c r="L67" s="69"/>
      <c r="M67" s="108"/>
      <c r="N67" s="68"/>
      <c r="O67"/>
      <c r="P67"/>
      <c r="Q67"/>
      <c r="R67"/>
      <c r="S67"/>
      <c r="T67"/>
      <c r="U67"/>
      <c r="V67"/>
      <c r="W67"/>
      <c r="X67" s="69"/>
      <c r="Y67" s="108"/>
      <c r="AC67" s="98"/>
      <c r="AD67" s="98"/>
    </row>
    <row r="68" spans="2:30" ht="12.75" customHeight="1" x14ac:dyDescent="0.2">
      <c r="B68" s="70"/>
      <c r="C68" s="71"/>
      <c r="D68" s="71"/>
      <c r="E68" s="71"/>
      <c r="F68" s="71"/>
      <c r="G68" s="71"/>
      <c r="H68" s="71"/>
      <c r="I68" s="71"/>
      <c r="J68" s="71"/>
      <c r="K68" s="71"/>
      <c r="L68" s="72"/>
      <c r="M68" s="112"/>
      <c r="N68" s="70"/>
      <c r="O68" s="71"/>
      <c r="P68" s="71"/>
      <c r="Q68" s="71"/>
      <c r="R68" s="71"/>
      <c r="S68" s="71"/>
      <c r="T68" s="71"/>
      <c r="U68" s="71"/>
      <c r="V68" s="71"/>
      <c r="W68" s="71"/>
      <c r="X68" s="72"/>
      <c r="Y68" s="108"/>
      <c r="AC68" s="98"/>
      <c r="AD68" s="98"/>
    </row>
    <row r="69" spans="2:30" ht="12.75" customHeight="1" x14ac:dyDescent="0.2">
      <c r="B69" s="109"/>
      <c r="C69" s="108"/>
      <c r="D69" s="108"/>
      <c r="E69" s="108"/>
      <c r="F69" s="108"/>
      <c r="G69" s="108"/>
      <c r="H69" s="108"/>
      <c r="I69" s="108"/>
      <c r="J69" s="108"/>
      <c r="K69" s="108"/>
      <c r="L69" s="110"/>
      <c r="M69" s="108"/>
      <c r="N69" s="109"/>
      <c r="O69" s="108"/>
      <c r="P69" s="108"/>
      <c r="Q69" s="108"/>
      <c r="R69" s="108"/>
      <c r="S69" s="108"/>
      <c r="T69" s="108"/>
      <c r="U69" s="108"/>
      <c r="V69" s="108"/>
      <c r="W69" s="108"/>
      <c r="X69" s="110"/>
      <c r="Y69" s="108"/>
      <c r="AC69" s="98"/>
      <c r="AD69" s="98"/>
    </row>
    <row r="70" spans="2:30" ht="12.75" customHeight="1" x14ac:dyDescent="0.2">
      <c r="B70" s="63"/>
      <c r="C70" s="64"/>
      <c r="D70" s="64"/>
      <c r="E70" s="64"/>
      <c r="F70" s="64"/>
      <c r="G70" s="64"/>
      <c r="H70" s="64"/>
      <c r="I70" s="143" t="s">
        <v>9</v>
      </c>
      <c r="J70" s="143"/>
      <c r="K70" s="143"/>
      <c r="L70" s="144"/>
      <c r="M70" s="111"/>
      <c r="N70" s="63"/>
      <c r="O70" s="64"/>
      <c r="P70" s="64"/>
      <c r="Q70" s="64"/>
      <c r="R70" s="64"/>
      <c r="S70" s="64"/>
      <c r="T70" s="64"/>
      <c r="U70" s="143" t="s">
        <v>9</v>
      </c>
      <c r="V70" s="143"/>
      <c r="W70" s="143"/>
      <c r="X70" s="144"/>
      <c r="Y70" s="105"/>
      <c r="AC70" s="98"/>
      <c r="AD70" s="98"/>
    </row>
    <row r="71" spans="2:30" ht="12.75" customHeight="1" x14ac:dyDescent="0.2">
      <c r="B71" s="65"/>
      <c r="I71" s="136" t="s">
        <v>54</v>
      </c>
      <c r="J71" s="136"/>
      <c r="K71" s="136"/>
      <c r="L71" s="145"/>
      <c r="M71" s="105"/>
      <c r="N71" s="65"/>
      <c r="U71" s="136" t="s">
        <v>54</v>
      </c>
      <c r="V71" s="136"/>
      <c r="W71" s="136"/>
      <c r="X71" s="145"/>
      <c r="Y71" s="105"/>
      <c r="AC71" s="98"/>
      <c r="AD71" s="98"/>
    </row>
    <row r="72" spans="2:30" ht="12.75" customHeight="1" x14ac:dyDescent="0.2">
      <c r="B72" s="65"/>
      <c r="I72" s="66"/>
      <c r="J72" s="66"/>
      <c r="K72" s="66"/>
      <c r="L72" s="67"/>
      <c r="M72" s="104"/>
      <c r="N72" s="65"/>
      <c r="U72" s="66"/>
      <c r="V72" s="66"/>
      <c r="W72" s="66"/>
      <c r="X72" s="67"/>
    </row>
    <row r="73" spans="2:30" ht="12.75" customHeight="1" x14ac:dyDescent="0.2">
      <c r="B73" s="65"/>
      <c r="J73" s="146"/>
      <c r="K73" s="146"/>
      <c r="L73" s="147"/>
      <c r="M73" s="106"/>
      <c r="N73" s="65"/>
      <c r="X73" s="67"/>
    </row>
    <row r="74" spans="2:30" ht="12.75" customHeight="1" x14ac:dyDescent="0.2">
      <c r="B74" s="140" t="str">
        <f xml:space="preserve"> "GVA3 - Déplacements en PM des cibles - (PM " &amp; 'Résultats observations'!W6 &amp; ") - Mesures au "&amp; TEXT( MAX('Résultats observations'!A10:A132),"jj/mm/aa")</f>
        <v>GVA3 - Déplacements en PM des cibles - (PM 183.9) - Mesures au 28/03/23</v>
      </c>
      <c r="C74" s="141"/>
      <c r="D74" s="141"/>
      <c r="E74" s="141"/>
      <c r="F74" s="141"/>
      <c r="G74" s="141"/>
      <c r="H74" s="141"/>
      <c r="I74" s="141"/>
      <c r="J74" s="141"/>
      <c r="K74" s="141"/>
      <c r="L74" s="142"/>
      <c r="M74" s="107"/>
      <c r="N74" s="140" t="str">
        <f>"GVA3 - Déplacements en déport des cibles - (PM "&amp;'Résultats observations'!W6&amp;") - Mesures au "&amp; TEXT( MAX('Résultats observations'!A10:A132),"jj/mm/aa")</f>
        <v>GVA3 - Déplacements en déport des cibles - (PM 183.9) - Mesures au 28/03/23</v>
      </c>
      <c r="O74" s="141"/>
      <c r="P74" s="141"/>
      <c r="Q74" s="141"/>
      <c r="R74" s="141"/>
      <c r="S74" s="141"/>
      <c r="T74" s="141"/>
      <c r="U74" s="141"/>
      <c r="V74" s="141"/>
      <c r="W74" s="141"/>
      <c r="X74" s="142"/>
      <c r="Y74" s="107"/>
    </row>
    <row r="75" spans="2:30" ht="12.75" customHeight="1" x14ac:dyDescent="0.2">
      <c r="B75" s="65"/>
      <c r="L75" s="67"/>
      <c r="M75" s="104"/>
      <c r="N75" s="65"/>
      <c r="X75" s="67"/>
    </row>
    <row r="76" spans="2:30" ht="12.75" customHeight="1" x14ac:dyDescent="0.2">
      <c r="B76" s="65"/>
      <c r="L76" s="67"/>
      <c r="M76" s="104"/>
      <c r="N76" s="65"/>
      <c r="X76" s="67"/>
    </row>
    <row r="77" spans="2:30" ht="12.75" customHeight="1" x14ac:dyDescent="0.2">
      <c r="B77" s="65"/>
      <c r="L77" s="67"/>
      <c r="M77" s="104"/>
      <c r="N77" s="65"/>
      <c r="X77" s="67"/>
    </row>
    <row r="78" spans="2:30" ht="12.75" customHeight="1" x14ac:dyDescent="0.2">
      <c r="B78" s="65"/>
      <c r="L78" s="67"/>
      <c r="M78" s="104"/>
      <c r="N78" s="65"/>
      <c r="X78" s="67"/>
    </row>
    <row r="79" spans="2:30" ht="12.75" customHeight="1" x14ac:dyDescent="0.2">
      <c r="B79" s="65"/>
      <c r="L79" s="67"/>
      <c r="M79" s="104"/>
      <c r="N79" s="65"/>
      <c r="X79" s="67"/>
    </row>
    <row r="80" spans="2:30" ht="12.75" customHeight="1" x14ac:dyDescent="0.2">
      <c r="B80" s="65"/>
      <c r="L80" s="67"/>
      <c r="M80" s="104"/>
      <c r="N80" s="65"/>
      <c r="X80" s="67"/>
    </row>
    <row r="81" spans="2:24" ht="12.75" customHeight="1" x14ac:dyDescent="0.2">
      <c r="B81" s="65"/>
      <c r="L81" s="67"/>
      <c r="M81" s="104"/>
      <c r="N81" s="65"/>
      <c r="X81" s="67"/>
    </row>
    <row r="82" spans="2:24" ht="12.75" customHeight="1" x14ac:dyDescent="0.2">
      <c r="B82" s="65"/>
      <c r="L82" s="67"/>
      <c r="M82" s="104"/>
      <c r="N82" s="65"/>
      <c r="X82" s="67"/>
    </row>
    <row r="83" spans="2:24" ht="12.75" customHeight="1" x14ac:dyDescent="0.2">
      <c r="B83" s="65"/>
      <c r="L83" s="67"/>
      <c r="M83" s="104"/>
      <c r="N83" s="65"/>
      <c r="X83" s="67"/>
    </row>
    <row r="84" spans="2:24" ht="12.75" customHeight="1" x14ac:dyDescent="0.2">
      <c r="B84" s="65"/>
      <c r="L84" s="67"/>
      <c r="M84" s="104"/>
      <c r="N84" s="65"/>
      <c r="X84" s="67"/>
    </row>
    <row r="85" spans="2:24" ht="12.75" customHeight="1" x14ac:dyDescent="0.2">
      <c r="B85" s="65"/>
      <c r="L85" s="67"/>
      <c r="M85" s="104"/>
      <c r="N85" s="65"/>
      <c r="X85" s="67"/>
    </row>
    <row r="86" spans="2:24" ht="12.75" customHeight="1" x14ac:dyDescent="0.2">
      <c r="B86" s="65"/>
      <c r="L86" s="67"/>
      <c r="M86" s="104"/>
      <c r="N86" s="65"/>
      <c r="X86" s="67"/>
    </row>
    <row r="87" spans="2:24" ht="12.75" customHeight="1" x14ac:dyDescent="0.2">
      <c r="B87" s="65"/>
      <c r="L87" s="67"/>
      <c r="M87" s="104"/>
      <c r="N87" s="65"/>
      <c r="X87" s="67"/>
    </row>
    <row r="88" spans="2:24" ht="12.75" customHeight="1" x14ac:dyDescent="0.2">
      <c r="B88" s="65"/>
      <c r="L88" s="67"/>
      <c r="M88" s="104"/>
      <c r="N88" s="65"/>
      <c r="X88" s="67"/>
    </row>
    <row r="89" spans="2:24" ht="12.75" customHeight="1" x14ac:dyDescent="0.2">
      <c r="B89" s="65"/>
      <c r="L89" s="67"/>
      <c r="M89" s="104"/>
      <c r="N89" s="65"/>
      <c r="X89" s="67"/>
    </row>
    <row r="90" spans="2:24" ht="12.75" customHeight="1" x14ac:dyDescent="0.2">
      <c r="B90" s="65"/>
      <c r="L90" s="67"/>
      <c r="M90" s="104"/>
      <c r="N90" s="65"/>
      <c r="X90" s="67"/>
    </row>
    <row r="91" spans="2:24" ht="12.75" customHeight="1" x14ac:dyDescent="0.2">
      <c r="B91" s="65"/>
      <c r="L91" s="67"/>
      <c r="M91" s="104"/>
      <c r="N91" s="65"/>
      <c r="X91" s="67"/>
    </row>
    <row r="92" spans="2:24" ht="12.75" customHeight="1" x14ac:dyDescent="0.2">
      <c r="B92" s="65"/>
      <c r="L92" s="67"/>
      <c r="M92" s="104"/>
      <c r="N92" s="65"/>
      <c r="X92" s="67"/>
    </row>
    <row r="93" spans="2:24" ht="12.75" customHeight="1" x14ac:dyDescent="0.2">
      <c r="B93" s="65"/>
      <c r="L93" s="67"/>
      <c r="M93" s="104"/>
      <c r="N93" s="65"/>
      <c r="X93" s="67"/>
    </row>
    <row r="94" spans="2:24" ht="12.75" customHeight="1" x14ac:dyDescent="0.2">
      <c r="B94" s="65"/>
      <c r="L94" s="67"/>
      <c r="M94" s="104"/>
      <c r="N94" s="65"/>
      <c r="X94" s="67"/>
    </row>
    <row r="95" spans="2:24" ht="12.75" customHeight="1" x14ac:dyDescent="0.2">
      <c r="B95" s="65"/>
      <c r="L95" s="67"/>
      <c r="M95" s="104"/>
      <c r="N95" s="65"/>
      <c r="X95" s="67"/>
    </row>
    <row r="96" spans="2:24" ht="12.75" customHeight="1" x14ac:dyDescent="0.2">
      <c r="B96" s="65"/>
      <c r="L96" s="67"/>
      <c r="M96" s="104"/>
      <c r="N96" s="65"/>
      <c r="X96" s="67"/>
    </row>
    <row r="97" spans="1:33" ht="12.75" customHeight="1" x14ac:dyDescent="0.2">
      <c r="B97" s="65"/>
      <c r="L97" s="67"/>
      <c r="M97" s="104"/>
      <c r="N97" s="65"/>
      <c r="X97" s="67"/>
    </row>
    <row r="98" spans="1:33" ht="12.75" customHeight="1" x14ac:dyDescent="0.2">
      <c r="B98" s="65"/>
      <c r="L98" s="67"/>
      <c r="M98" s="104"/>
      <c r="N98" s="65"/>
      <c r="X98" s="67"/>
    </row>
    <row r="99" spans="1:33" ht="12.75" customHeight="1" x14ac:dyDescent="0.2">
      <c r="B99" s="65"/>
      <c r="L99" s="67"/>
      <c r="M99" s="104"/>
      <c r="N99" s="65"/>
      <c r="X99" s="67"/>
    </row>
    <row r="100" spans="1:33" ht="12.75" customHeight="1" x14ac:dyDescent="0.2">
      <c r="B100" s="65"/>
      <c r="L100" s="67"/>
      <c r="M100" s="104"/>
      <c r="N100" s="65"/>
      <c r="X100" s="67"/>
    </row>
    <row r="101" spans="1:33" ht="12.75" customHeight="1" x14ac:dyDescent="0.2">
      <c r="B101" s="65"/>
      <c r="L101" s="67"/>
      <c r="M101" s="104"/>
      <c r="N101" s="65"/>
      <c r="X101" s="67"/>
    </row>
    <row r="102" spans="1:33" ht="12.75" customHeight="1" x14ac:dyDescent="0.2">
      <c r="B102" s="73"/>
      <c r="C102" s="74"/>
      <c r="D102" s="74"/>
      <c r="E102" s="74"/>
      <c r="F102" s="74"/>
      <c r="G102" s="74"/>
      <c r="H102" s="74"/>
      <c r="I102" s="74"/>
      <c r="J102" s="74"/>
      <c r="K102" s="74"/>
      <c r="L102" s="75"/>
      <c r="M102" s="113"/>
      <c r="N102" s="73"/>
      <c r="O102" s="74"/>
      <c r="P102" s="74"/>
      <c r="Q102" s="74"/>
      <c r="R102" s="74"/>
      <c r="S102" s="74"/>
      <c r="T102" s="74"/>
      <c r="U102" s="74"/>
      <c r="V102" s="74"/>
      <c r="W102" s="74"/>
      <c r="X102" s="75"/>
    </row>
    <row r="103" spans="1:33" s="117" customFormat="1" ht="12.75" customHeight="1" x14ac:dyDescent="0.2">
      <c r="A103" s="104"/>
      <c r="B103" s="104"/>
      <c r="C103" s="104"/>
      <c r="D103" s="104"/>
      <c r="E103" s="104"/>
      <c r="F103" s="104"/>
      <c r="G103" s="104"/>
      <c r="H103" s="104"/>
      <c r="I103" s="104"/>
      <c r="J103" s="104"/>
      <c r="K103" s="104"/>
      <c r="L103" s="104"/>
      <c r="M103" s="104"/>
      <c r="N103" s="104"/>
      <c r="O103" s="104"/>
      <c r="P103" s="104"/>
      <c r="Q103" s="104"/>
      <c r="R103" s="104"/>
      <c r="S103" s="104"/>
      <c r="T103" s="104"/>
      <c r="U103" s="104"/>
      <c r="V103" s="104"/>
      <c r="W103" s="104"/>
      <c r="X103" s="104"/>
      <c r="Y103" s="104"/>
      <c r="AG103" s="2"/>
    </row>
  </sheetData>
  <mergeCells count="23">
    <mergeCell ref="I70:L70"/>
    <mergeCell ref="I71:L71"/>
    <mergeCell ref="J73:L73"/>
    <mergeCell ref="B74:L74"/>
    <mergeCell ref="U36:X36"/>
    <mergeCell ref="U37:X37"/>
    <mergeCell ref="I36:L36"/>
    <mergeCell ref="I37:L37"/>
    <mergeCell ref="B40:L40"/>
    <mergeCell ref="J39:L39"/>
    <mergeCell ref="V39:X39"/>
    <mergeCell ref="N40:X40"/>
    <mergeCell ref="U70:X70"/>
    <mergeCell ref="U71:X71"/>
    <mergeCell ref="N74:X74"/>
    <mergeCell ref="B6:L6"/>
    <mergeCell ref="N6:X6"/>
    <mergeCell ref="I2:L2"/>
    <mergeCell ref="U2:X2"/>
    <mergeCell ref="I3:L3"/>
    <mergeCell ref="U3:X3"/>
    <mergeCell ref="J5:L5"/>
    <mergeCell ref="V5:X5"/>
  </mergeCells>
  <phoneticPr fontId="28" type="noConversion"/>
  <printOptions horizontalCentered="1" verticalCentered="1"/>
  <pageMargins left="0.39370078740157499" right="0.39370078740157499" top="0.196850393700787" bottom="0.196850393700787" header="0.511811023622047" footer="0.511811023622047"/>
  <pageSetup paperSize="9" orientation="landscape" cellComments="atEnd" r:id="rId1"/>
  <headerFooter alignWithMargins="0"/>
  <colBreaks count="1" manualBreakCount="1">
    <brk id="13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" r:id="rId4" name="Button 1">
              <controlPr defaultSize="0" print="0" autoFill="0" autoPict="0" macro="[0]!changerDateDerniereMesure">
                <anchor moveWithCells="1" sizeWithCells="1">
                  <from>
                    <xdr:col>25</xdr:col>
                    <xdr:colOff>695325</xdr:colOff>
                    <xdr:row>4</xdr:row>
                    <xdr:rowOff>104775</xdr:rowOff>
                  </from>
                  <to>
                    <xdr:col>26</xdr:col>
                    <xdr:colOff>752475</xdr:colOff>
                    <xdr:row>6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5"/>
  <dimension ref="A1:V64"/>
  <sheetViews>
    <sheetView topLeftCell="B7" zoomScaleNormal="100" workbookViewId="0">
      <selection activeCell="Y44" sqref="Y44"/>
    </sheetView>
  </sheetViews>
  <sheetFormatPr baseColWidth="10" defaultColWidth="11.42578125" defaultRowHeight="12.75" x14ac:dyDescent="0.2"/>
  <cols>
    <col min="1" max="1" width="7.140625" style="2" customWidth="1"/>
    <col min="2" max="2" width="9.42578125" style="2" customWidth="1"/>
    <col min="3" max="7" width="8.42578125" style="2" customWidth="1"/>
    <col min="8" max="8" width="9.85546875" style="2" bestFit="1" customWidth="1"/>
    <col min="9" max="10" width="8.42578125" style="2" customWidth="1"/>
    <col min="11" max="12" width="7.140625" style="2" customWidth="1"/>
    <col min="13" max="13" width="9.42578125" style="2" customWidth="1"/>
    <col min="14" max="18" width="8.42578125" style="2" customWidth="1"/>
    <col min="19" max="19" width="9.85546875" style="2" bestFit="1" customWidth="1"/>
    <col min="20" max="21" width="8.42578125" style="2" customWidth="1"/>
    <col min="22" max="22" width="7.140625" style="2" customWidth="1"/>
    <col min="23" max="16384" width="11.42578125" style="2"/>
  </cols>
  <sheetData>
    <row r="1" spans="1:22" ht="15.75" x14ac:dyDescent="0.2">
      <c r="A1" s="63"/>
      <c r="B1" s="64"/>
      <c r="C1" s="64"/>
      <c r="D1" s="64"/>
      <c r="E1" s="64"/>
      <c r="F1" s="64"/>
      <c r="G1" s="64"/>
      <c r="H1" s="143" t="s">
        <v>9</v>
      </c>
      <c r="I1" s="143"/>
      <c r="J1" s="143"/>
      <c r="K1" s="144"/>
      <c r="L1" s="63"/>
      <c r="M1" s="64"/>
      <c r="N1" s="64"/>
      <c r="O1" s="64"/>
      <c r="P1" s="64"/>
      <c r="Q1" s="64"/>
      <c r="R1" s="64"/>
      <c r="S1" s="143" t="s">
        <v>9</v>
      </c>
      <c r="T1" s="143"/>
      <c r="U1" s="143"/>
      <c r="V1" s="144"/>
    </row>
    <row r="2" spans="1:22" ht="15.75" x14ac:dyDescent="0.2">
      <c r="A2" s="65"/>
      <c r="H2" s="136" t="s">
        <v>54</v>
      </c>
      <c r="I2" s="136"/>
      <c r="J2" s="136"/>
      <c r="K2" s="145"/>
      <c r="L2" s="65"/>
      <c r="S2" s="136" t="s">
        <v>54</v>
      </c>
      <c r="T2" s="136"/>
      <c r="U2" s="136"/>
      <c r="V2" s="145"/>
    </row>
    <row r="3" spans="1:22" ht="15" x14ac:dyDescent="0.2">
      <c r="A3" s="65"/>
      <c r="H3" s="66"/>
      <c r="I3" s="66"/>
      <c r="J3" s="66"/>
      <c r="K3" s="67"/>
      <c r="L3" s="65"/>
      <c r="S3" s="66"/>
      <c r="T3" s="66"/>
      <c r="U3" s="66"/>
      <c r="V3" s="67"/>
    </row>
    <row r="4" spans="1:22" x14ac:dyDescent="0.2">
      <c r="A4" s="65"/>
      <c r="I4" s="146"/>
      <c r="J4" s="146"/>
      <c r="K4" s="147"/>
      <c r="L4" s="65"/>
      <c r="T4" s="146"/>
      <c r="U4" s="146"/>
      <c r="V4" s="147"/>
    </row>
    <row r="5" spans="1:22" x14ac:dyDescent="0.2">
      <c r="A5" s="140" t="str">
        <f>Graphiques!B40</f>
        <v>GALERIE GVA3 - CONVERGENCES INTER CINTRES C65-66 (PM  183.9) - Mesures au 28/03/23</v>
      </c>
      <c r="B5" s="141"/>
      <c r="C5" s="141"/>
      <c r="D5" s="141"/>
      <c r="E5" s="141"/>
      <c r="F5" s="141"/>
      <c r="G5" s="141"/>
      <c r="H5" s="141"/>
      <c r="I5" s="141"/>
      <c r="J5" s="141"/>
      <c r="K5" s="142"/>
      <c r="L5" s="140" t="str">
        <f>Graphiques!N40</f>
        <v>GVA3 - Déplacements altimétriques des cibles - (PM183.9) - Mesures 28/03/23</v>
      </c>
      <c r="M5" s="141"/>
      <c r="N5" s="141"/>
      <c r="O5" s="141"/>
      <c r="P5" s="141"/>
      <c r="Q5" s="141"/>
      <c r="R5" s="141"/>
      <c r="S5" s="141"/>
      <c r="T5" s="141"/>
      <c r="U5" s="141"/>
      <c r="V5" s="142"/>
    </row>
    <row r="6" spans="1:22" ht="7.5" customHeight="1" x14ac:dyDescent="0.2">
      <c r="A6" s="65"/>
      <c r="K6" s="67"/>
      <c r="L6" s="65"/>
      <c r="V6" s="67"/>
    </row>
    <row r="7" spans="1:22" s="32" customFormat="1" x14ac:dyDescent="0.2">
      <c r="A7" s="68"/>
      <c r="B7"/>
      <c r="C7"/>
      <c r="D7"/>
      <c r="E7"/>
      <c r="F7"/>
      <c r="G7"/>
      <c r="H7"/>
      <c r="I7"/>
      <c r="J7"/>
      <c r="K7" s="69"/>
      <c r="L7" s="68"/>
      <c r="M7"/>
      <c r="N7"/>
      <c r="O7"/>
      <c r="P7"/>
      <c r="Q7"/>
      <c r="R7"/>
      <c r="S7"/>
      <c r="T7"/>
      <c r="U7"/>
      <c r="V7" s="69"/>
    </row>
    <row r="8" spans="1:22" x14ac:dyDescent="0.2">
      <c r="A8" s="68"/>
      <c r="B8"/>
      <c r="C8"/>
      <c r="D8"/>
      <c r="E8"/>
      <c r="F8"/>
      <c r="G8"/>
      <c r="H8"/>
      <c r="I8"/>
      <c r="J8"/>
      <c r="K8" s="69"/>
      <c r="L8" s="68"/>
      <c r="M8"/>
      <c r="N8"/>
      <c r="O8"/>
      <c r="P8"/>
      <c r="Q8"/>
      <c r="R8"/>
      <c r="S8"/>
      <c r="T8"/>
      <c r="U8"/>
      <c r="V8" s="69"/>
    </row>
    <row r="9" spans="1:22" customFormat="1" ht="35.25" customHeight="1" x14ac:dyDescent="0.2">
      <c r="A9" s="68"/>
      <c r="K9" s="69"/>
      <c r="L9" s="68"/>
      <c r="V9" s="69"/>
    </row>
    <row r="10" spans="1:22" customFormat="1" ht="13.5" customHeight="1" x14ac:dyDescent="0.2">
      <c r="A10" s="68"/>
      <c r="K10" s="69"/>
      <c r="L10" s="68"/>
      <c r="V10" s="69"/>
    </row>
    <row r="11" spans="1:22" customFormat="1" ht="13.5" customHeight="1" x14ac:dyDescent="0.2">
      <c r="A11" s="68"/>
      <c r="K11" s="69"/>
      <c r="L11" s="68"/>
      <c r="V11" s="69"/>
    </row>
    <row r="12" spans="1:22" customFormat="1" ht="13.5" customHeight="1" x14ac:dyDescent="0.2">
      <c r="A12" s="68"/>
      <c r="K12" s="69"/>
      <c r="L12" s="68"/>
      <c r="V12" s="69"/>
    </row>
    <row r="13" spans="1:22" customFormat="1" ht="13.5" customHeight="1" x14ac:dyDescent="0.2">
      <c r="A13" s="68"/>
      <c r="K13" s="69"/>
      <c r="L13" s="68"/>
      <c r="V13" s="69"/>
    </row>
    <row r="14" spans="1:22" customFormat="1" ht="13.5" customHeight="1" x14ac:dyDescent="0.2">
      <c r="A14" s="68"/>
      <c r="K14" s="69"/>
      <c r="L14" s="68"/>
      <c r="V14" s="69"/>
    </row>
    <row r="15" spans="1:22" customFormat="1" ht="13.5" customHeight="1" x14ac:dyDescent="0.2">
      <c r="A15" s="68"/>
      <c r="K15" s="69"/>
      <c r="L15" s="68"/>
      <c r="V15" s="69"/>
    </row>
    <row r="16" spans="1:22" customFormat="1" ht="13.5" customHeight="1" x14ac:dyDescent="0.2">
      <c r="A16" s="68"/>
      <c r="K16" s="69"/>
      <c r="L16" s="68"/>
      <c r="V16" s="69"/>
    </row>
    <row r="17" spans="1:22" customFormat="1" ht="13.5" customHeight="1" x14ac:dyDescent="0.2">
      <c r="A17" s="68"/>
      <c r="K17" s="69"/>
      <c r="L17" s="68"/>
      <c r="V17" s="69"/>
    </row>
    <row r="18" spans="1:22" customFormat="1" x14ac:dyDescent="0.2">
      <c r="A18" s="68"/>
      <c r="K18" s="69"/>
      <c r="L18" s="68"/>
      <c r="V18" s="69"/>
    </row>
    <row r="19" spans="1:22" customFormat="1" x14ac:dyDescent="0.2">
      <c r="A19" s="68"/>
      <c r="K19" s="69"/>
      <c r="L19" s="68"/>
      <c r="V19" s="69"/>
    </row>
    <row r="20" spans="1:22" customFormat="1" x14ac:dyDescent="0.2">
      <c r="A20" s="68"/>
      <c r="K20" s="69"/>
      <c r="L20" s="68"/>
      <c r="V20" s="69"/>
    </row>
    <row r="21" spans="1:22" customFormat="1" x14ac:dyDescent="0.2">
      <c r="A21" s="68"/>
      <c r="K21" s="69"/>
      <c r="L21" s="68"/>
      <c r="V21" s="69"/>
    </row>
    <row r="22" spans="1:22" customFormat="1" x14ac:dyDescent="0.2">
      <c r="A22" s="68"/>
      <c r="K22" s="69"/>
      <c r="L22" s="68"/>
      <c r="V22" s="69"/>
    </row>
    <row r="23" spans="1:22" customFormat="1" x14ac:dyDescent="0.2">
      <c r="A23" s="68"/>
      <c r="K23" s="69"/>
      <c r="L23" s="68"/>
      <c r="V23" s="69"/>
    </row>
    <row r="24" spans="1:22" customFormat="1" x14ac:dyDescent="0.2">
      <c r="A24" s="68"/>
      <c r="K24" s="69"/>
      <c r="L24" s="68"/>
      <c r="V24" s="69"/>
    </row>
    <row r="25" spans="1:22" customFormat="1" x14ac:dyDescent="0.2">
      <c r="A25" s="68"/>
      <c r="K25" s="69"/>
      <c r="L25" s="68"/>
      <c r="V25" s="69"/>
    </row>
    <row r="26" spans="1:22" customFormat="1" x14ac:dyDescent="0.2">
      <c r="A26" s="68"/>
      <c r="K26" s="69"/>
      <c r="L26" s="68"/>
      <c r="V26" s="69"/>
    </row>
    <row r="27" spans="1:22" customFormat="1" x14ac:dyDescent="0.2">
      <c r="A27" s="68"/>
      <c r="K27" s="69"/>
      <c r="L27" s="68"/>
      <c r="V27" s="69"/>
    </row>
    <row r="28" spans="1:22" customFormat="1" x14ac:dyDescent="0.2">
      <c r="A28" s="68"/>
      <c r="K28" s="69"/>
      <c r="L28" s="68"/>
      <c r="V28" s="69"/>
    </row>
    <row r="29" spans="1:22" customFormat="1" x14ac:dyDescent="0.2">
      <c r="A29" s="68"/>
      <c r="K29" s="69"/>
      <c r="L29" s="68"/>
      <c r="V29" s="69"/>
    </row>
    <row r="30" spans="1:22" customFormat="1" x14ac:dyDescent="0.2">
      <c r="A30" s="68"/>
      <c r="K30" s="69"/>
      <c r="L30" s="68"/>
      <c r="V30" s="69"/>
    </row>
    <row r="31" spans="1:22" customFormat="1" x14ac:dyDescent="0.2">
      <c r="A31" s="68"/>
      <c r="K31" s="69"/>
      <c r="L31" s="68"/>
      <c r="V31" s="69"/>
    </row>
    <row r="32" spans="1:22" customFormat="1" x14ac:dyDescent="0.2">
      <c r="A32" s="70"/>
      <c r="B32" s="71"/>
      <c r="C32" s="71"/>
      <c r="D32" s="71"/>
      <c r="E32" s="71"/>
      <c r="F32" s="71"/>
      <c r="G32" s="71"/>
      <c r="H32" s="71"/>
      <c r="I32" s="71"/>
      <c r="J32" s="71"/>
      <c r="K32" s="72"/>
      <c r="L32" s="70"/>
      <c r="M32" s="71"/>
      <c r="N32" s="71"/>
      <c r="O32" s="71"/>
      <c r="P32" s="71"/>
      <c r="Q32" s="71"/>
      <c r="R32" s="71"/>
      <c r="S32" s="71"/>
      <c r="T32" s="71"/>
      <c r="U32" s="71"/>
      <c r="V32" s="72"/>
    </row>
    <row r="33" spans="1:22" ht="15.75" x14ac:dyDescent="0.2">
      <c r="A33" s="63"/>
      <c r="B33" s="64"/>
      <c r="C33" s="64"/>
      <c r="D33" s="64"/>
      <c r="E33" s="64"/>
      <c r="F33" s="64"/>
      <c r="G33" s="64"/>
      <c r="H33" s="143" t="s">
        <v>9</v>
      </c>
      <c r="I33" s="143"/>
      <c r="J33" s="143"/>
      <c r="K33" s="144"/>
      <c r="L33" s="63"/>
      <c r="M33" s="64"/>
      <c r="N33" s="64"/>
      <c r="O33" s="64"/>
      <c r="P33" s="64"/>
      <c r="Q33" s="64"/>
      <c r="R33" s="64"/>
      <c r="S33" s="143" t="s">
        <v>9</v>
      </c>
      <c r="T33" s="143"/>
      <c r="U33" s="143"/>
      <c r="V33" s="144"/>
    </row>
    <row r="34" spans="1:22" ht="15.75" x14ac:dyDescent="0.2">
      <c r="A34" s="65"/>
      <c r="H34" s="136" t="s">
        <v>54</v>
      </c>
      <c r="I34" s="136"/>
      <c r="J34" s="136"/>
      <c r="K34" s="145"/>
      <c r="L34" s="65"/>
      <c r="S34" s="136" t="s">
        <v>54</v>
      </c>
      <c r="T34" s="136"/>
      <c r="U34" s="136"/>
      <c r="V34" s="145"/>
    </row>
    <row r="35" spans="1:22" ht="15" x14ac:dyDescent="0.2">
      <c r="A35" s="65"/>
      <c r="H35" s="66"/>
      <c r="I35" s="66"/>
      <c r="J35" s="66"/>
      <c r="K35" s="67"/>
      <c r="L35" s="65"/>
      <c r="S35" s="66"/>
      <c r="T35" s="66"/>
      <c r="U35" s="66"/>
      <c r="V35" s="67"/>
    </row>
    <row r="36" spans="1:22" x14ac:dyDescent="0.2">
      <c r="A36" s="65"/>
      <c r="I36" s="146"/>
      <c r="J36" s="146"/>
      <c r="K36" s="147"/>
      <c r="L36" s="65"/>
      <c r="V36" s="67"/>
    </row>
    <row r="37" spans="1:22" x14ac:dyDescent="0.2">
      <c r="A37" s="140" t="str">
        <f>Graphiques!B74</f>
        <v>GVA3 - Déplacements en PM des cibles - (PM 183.9) - Mesures au 28/03/23</v>
      </c>
      <c r="B37" s="141"/>
      <c r="C37" s="141"/>
      <c r="D37" s="141"/>
      <c r="E37" s="141"/>
      <c r="F37" s="141"/>
      <c r="G37" s="141"/>
      <c r="H37" s="141"/>
      <c r="I37" s="141"/>
      <c r="J37" s="141"/>
      <c r="K37" s="142"/>
      <c r="L37" s="140" t="str">
        <f>Graphiques!N74</f>
        <v>GVA3 - Déplacements en déport des cibles - (PM 183.9) - Mesures au 28/03/23</v>
      </c>
      <c r="M37" s="141"/>
      <c r="N37" s="141"/>
      <c r="O37" s="141"/>
      <c r="P37" s="141"/>
      <c r="Q37" s="141"/>
      <c r="R37" s="141"/>
      <c r="S37" s="141"/>
      <c r="T37" s="141"/>
      <c r="U37" s="141"/>
      <c r="V37" s="142"/>
    </row>
    <row r="38" spans="1:22" x14ac:dyDescent="0.2">
      <c r="A38" s="65"/>
      <c r="K38" s="67"/>
      <c r="L38" s="65"/>
      <c r="V38" s="67"/>
    </row>
    <row r="39" spans="1:22" x14ac:dyDescent="0.2">
      <c r="A39" s="65"/>
      <c r="K39" s="67"/>
      <c r="L39" s="65"/>
      <c r="V39" s="67"/>
    </row>
    <row r="40" spans="1:22" x14ac:dyDescent="0.2">
      <c r="A40" s="65"/>
      <c r="K40" s="67"/>
      <c r="L40" s="65"/>
      <c r="V40" s="67"/>
    </row>
    <row r="41" spans="1:22" x14ac:dyDescent="0.2">
      <c r="A41" s="65"/>
      <c r="K41" s="67"/>
      <c r="L41" s="65"/>
      <c r="V41" s="67"/>
    </row>
    <row r="42" spans="1:22" x14ac:dyDescent="0.2">
      <c r="A42" s="65"/>
      <c r="K42" s="67"/>
      <c r="L42" s="65"/>
      <c r="V42" s="67"/>
    </row>
    <row r="43" spans="1:22" x14ac:dyDescent="0.2">
      <c r="A43" s="65"/>
      <c r="K43" s="67"/>
      <c r="L43" s="65"/>
      <c r="V43" s="67"/>
    </row>
    <row r="44" spans="1:22" x14ac:dyDescent="0.2">
      <c r="A44" s="65"/>
      <c r="K44" s="67"/>
      <c r="L44" s="65"/>
      <c r="V44" s="67"/>
    </row>
    <row r="45" spans="1:22" x14ac:dyDescent="0.2">
      <c r="A45" s="65"/>
      <c r="K45" s="67"/>
      <c r="L45" s="65"/>
      <c r="V45" s="67"/>
    </row>
    <row r="46" spans="1:22" x14ac:dyDescent="0.2">
      <c r="A46" s="65"/>
      <c r="K46" s="67"/>
      <c r="L46" s="65"/>
      <c r="V46" s="67"/>
    </row>
    <row r="47" spans="1:22" x14ac:dyDescent="0.2">
      <c r="A47" s="65"/>
      <c r="K47" s="67"/>
      <c r="L47" s="65"/>
      <c r="V47" s="67"/>
    </row>
    <row r="48" spans="1:22" x14ac:dyDescent="0.2">
      <c r="A48" s="65"/>
      <c r="K48" s="67"/>
      <c r="L48" s="65"/>
      <c r="V48" s="67"/>
    </row>
    <row r="49" spans="1:22" x14ac:dyDescent="0.2">
      <c r="A49" s="65"/>
      <c r="K49" s="67"/>
      <c r="L49" s="65"/>
      <c r="V49" s="67"/>
    </row>
    <row r="50" spans="1:22" x14ac:dyDescent="0.2">
      <c r="A50" s="65"/>
      <c r="K50" s="67"/>
      <c r="L50" s="65"/>
      <c r="V50" s="67"/>
    </row>
    <row r="51" spans="1:22" x14ac:dyDescent="0.2">
      <c r="A51" s="65"/>
      <c r="K51" s="67"/>
      <c r="L51" s="65"/>
      <c r="V51" s="67"/>
    </row>
    <row r="52" spans="1:22" x14ac:dyDescent="0.2">
      <c r="A52" s="65"/>
      <c r="K52" s="67"/>
      <c r="L52" s="65"/>
      <c r="V52" s="67"/>
    </row>
    <row r="53" spans="1:22" x14ac:dyDescent="0.2">
      <c r="A53" s="65"/>
      <c r="K53" s="67"/>
      <c r="L53" s="65"/>
      <c r="V53" s="67"/>
    </row>
    <row r="54" spans="1:22" x14ac:dyDescent="0.2">
      <c r="A54" s="65"/>
      <c r="K54" s="67"/>
      <c r="L54" s="65"/>
      <c r="V54" s="67"/>
    </row>
    <row r="55" spans="1:22" x14ac:dyDescent="0.2">
      <c r="A55" s="65"/>
      <c r="K55" s="67"/>
      <c r="L55" s="65"/>
      <c r="V55" s="67"/>
    </row>
    <row r="56" spans="1:22" x14ac:dyDescent="0.2">
      <c r="A56" s="65"/>
      <c r="K56" s="67"/>
      <c r="L56" s="65"/>
      <c r="V56" s="67"/>
    </row>
    <row r="57" spans="1:22" x14ac:dyDescent="0.2">
      <c r="A57" s="65"/>
      <c r="K57" s="67"/>
      <c r="L57" s="65"/>
      <c r="V57" s="67"/>
    </row>
    <row r="58" spans="1:22" x14ac:dyDescent="0.2">
      <c r="A58" s="65"/>
      <c r="K58" s="67"/>
      <c r="L58" s="65"/>
      <c r="V58" s="67"/>
    </row>
    <row r="59" spans="1:22" x14ac:dyDescent="0.2">
      <c r="A59" s="65"/>
      <c r="K59" s="67"/>
      <c r="L59" s="65"/>
      <c r="V59" s="67"/>
    </row>
    <row r="60" spans="1:22" x14ac:dyDescent="0.2">
      <c r="A60" s="65"/>
      <c r="K60" s="67"/>
      <c r="L60" s="65"/>
      <c r="V60" s="67"/>
    </row>
    <row r="61" spans="1:22" x14ac:dyDescent="0.2">
      <c r="A61" s="65"/>
      <c r="K61" s="67"/>
      <c r="L61" s="65"/>
      <c r="V61" s="67"/>
    </row>
    <row r="62" spans="1:22" x14ac:dyDescent="0.2">
      <c r="A62" s="65"/>
      <c r="K62" s="67"/>
      <c r="L62" s="65"/>
      <c r="V62" s="67"/>
    </row>
    <row r="63" spans="1:22" x14ac:dyDescent="0.2">
      <c r="A63" s="65"/>
      <c r="K63" s="67"/>
      <c r="L63" s="65"/>
      <c r="V63" s="67"/>
    </row>
    <row r="64" spans="1:22" x14ac:dyDescent="0.2">
      <c r="A64" s="73"/>
      <c r="B64" s="74"/>
      <c r="C64" s="74"/>
      <c r="D64" s="74"/>
      <c r="E64" s="74"/>
      <c r="F64" s="74"/>
      <c r="G64" s="74"/>
      <c r="H64" s="74"/>
      <c r="I64" s="74"/>
      <c r="J64" s="74"/>
      <c r="K64" s="75"/>
      <c r="L64" s="73"/>
      <c r="M64" s="74"/>
      <c r="N64" s="74"/>
      <c r="O64" s="74"/>
      <c r="P64" s="74"/>
      <c r="Q64" s="74"/>
      <c r="R64" s="74"/>
      <c r="S64" s="74"/>
      <c r="T64" s="74"/>
      <c r="U64" s="74"/>
      <c r="V64" s="75"/>
    </row>
  </sheetData>
  <mergeCells count="15">
    <mergeCell ref="H1:K1"/>
    <mergeCell ref="S1:V1"/>
    <mergeCell ref="H2:K2"/>
    <mergeCell ref="S2:V2"/>
    <mergeCell ref="I4:K4"/>
    <mergeCell ref="T4:V4"/>
    <mergeCell ref="I36:K36"/>
    <mergeCell ref="A37:K37"/>
    <mergeCell ref="L37:V37"/>
    <mergeCell ref="A5:K5"/>
    <mergeCell ref="L5:V5"/>
    <mergeCell ref="H33:K33"/>
    <mergeCell ref="S33:V33"/>
    <mergeCell ref="H34:K34"/>
    <mergeCell ref="S34:V34"/>
  </mergeCells>
  <printOptions horizontalCentered="1"/>
  <pageMargins left="0.39370078740157483" right="0.39370078740157483" top="0.19685039370078741" bottom="0.19685039370078741" header="0.51181102362204722" footer="0.51181102362204722"/>
  <pageSetup paperSize="9" scale="130" orientation="landscape" horizontalDpi="4294967293" r:id="rId1"/>
  <headerFooter alignWithMargins="0"/>
  <colBreaks count="1" manualBreakCount="1">
    <brk id="11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6"/>
  <dimension ref="A2:B14"/>
  <sheetViews>
    <sheetView workbookViewId="0">
      <selection activeCell="E23" sqref="E23"/>
    </sheetView>
  </sheetViews>
  <sheetFormatPr baseColWidth="10" defaultRowHeight="12.75" x14ac:dyDescent="0.2"/>
  <cols>
    <col min="2" max="2" width="95.42578125" customWidth="1"/>
  </cols>
  <sheetData>
    <row r="2" spans="1:2" x14ac:dyDescent="0.2">
      <c r="A2" s="81">
        <v>43704</v>
      </c>
      <c r="B2" s="80" t="s">
        <v>70</v>
      </c>
    </row>
    <row r="3" spans="1:2" x14ac:dyDescent="0.2">
      <c r="B3" s="80" t="s">
        <v>71</v>
      </c>
    </row>
    <row r="5" spans="1:2" x14ac:dyDescent="0.2">
      <c r="B5" t="s">
        <v>72</v>
      </c>
    </row>
    <row r="6" spans="1:2" x14ac:dyDescent="0.2">
      <c r="B6" t="s">
        <v>73</v>
      </c>
    </row>
    <row r="9" spans="1:2" x14ac:dyDescent="0.2">
      <c r="A9" s="81">
        <v>43738</v>
      </c>
      <c r="B9" t="s">
        <v>76</v>
      </c>
    </row>
    <row r="11" spans="1:2" x14ac:dyDescent="0.2">
      <c r="A11" s="81">
        <v>43796</v>
      </c>
      <c r="B11" t="s">
        <v>77</v>
      </c>
    </row>
    <row r="13" spans="1:2" x14ac:dyDescent="0.2">
      <c r="A13" s="81">
        <v>43797</v>
      </c>
      <c r="B13" t="s">
        <v>78</v>
      </c>
    </row>
    <row r="14" spans="1:2" x14ac:dyDescent="0.2">
      <c r="B14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66</vt:i4>
      </vt:variant>
    </vt:vector>
  </HeadingPairs>
  <TitlesOfParts>
    <vt:vector size="72" baseType="lpstr">
      <vt:lpstr>Résultats observations</vt:lpstr>
      <vt:lpstr>Convergences</vt:lpstr>
      <vt:lpstr>Déplacements</vt:lpstr>
      <vt:lpstr>Graphiques</vt:lpstr>
      <vt:lpstr>Graph avancement</vt:lpstr>
      <vt:lpstr>commentaires</vt:lpstr>
      <vt:lpstr>cintre</vt:lpstr>
      <vt:lpstr>date</vt:lpstr>
      <vt:lpstr>DH_BD</vt:lpstr>
      <vt:lpstr>DH_BG</vt:lpstr>
      <vt:lpstr>DH_HD</vt:lpstr>
      <vt:lpstr>DH_HG</vt:lpstr>
      <vt:lpstr>DH_ID</vt:lpstr>
      <vt:lpstr>DH_IG</vt:lpstr>
      <vt:lpstr>DHhaut</vt:lpstr>
      <vt:lpstr>dist</vt:lpstr>
      <vt:lpstr>DPM_BD</vt:lpstr>
      <vt:lpstr>DPM_BG</vt:lpstr>
      <vt:lpstr>DPM_HD</vt:lpstr>
      <vt:lpstr>DPM_HG</vt:lpstr>
      <vt:lpstr>DPM_ID</vt:lpstr>
      <vt:lpstr>DPM_IG</vt:lpstr>
      <vt:lpstr>DPMhaut</vt:lpstr>
      <vt:lpstr>DZ_BD</vt:lpstr>
      <vt:lpstr>DZ_BG</vt:lpstr>
      <vt:lpstr>DZ_HD</vt:lpstr>
      <vt:lpstr>DZ_HG</vt:lpstr>
      <vt:lpstr>DZ_ID</vt:lpstr>
      <vt:lpstr>DZ_IG</vt:lpstr>
      <vt:lpstr>DZhaut</vt:lpstr>
      <vt:lpstr>Ecart_BD</vt:lpstr>
      <vt:lpstr>Ecart_BG</vt:lpstr>
      <vt:lpstr>Ecart_HD</vt:lpstr>
      <vt:lpstr>Ecart_HG</vt:lpstr>
      <vt:lpstr>Ecart_ID</vt:lpstr>
      <vt:lpstr>Ecart_IG</vt:lpstr>
      <vt:lpstr>Ecart_LB</vt:lpstr>
      <vt:lpstr>Ecart_LH</vt:lpstr>
      <vt:lpstr>Ecart_LI</vt:lpstr>
      <vt:lpstr>excav</vt:lpstr>
      <vt:lpstr>front</vt:lpstr>
      <vt:lpstr>galerie</vt:lpstr>
      <vt:lpstr>Convergences!Impression_des_titres</vt:lpstr>
      <vt:lpstr>Déplacements!Impression_des_titres</vt:lpstr>
      <vt:lpstr>'Résultats observations'!Impression_des_titres</vt:lpstr>
      <vt:lpstr>jours</vt:lpstr>
      <vt:lpstr>PM</vt:lpstr>
      <vt:lpstr>Xbasdroit</vt:lpstr>
      <vt:lpstr>Xbasgauche</vt:lpstr>
      <vt:lpstr>Xhaut</vt:lpstr>
      <vt:lpstr>Xhautdroit</vt:lpstr>
      <vt:lpstr>Xhautgauche</vt:lpstr>
      <vt:lpstr>Xinterdroit</vt:lpstr>
      <vt:lpstr>Xintergauche</vt:lpstr>
      <vt:lpstr>Ybasdroit</vt:lpstr>
      <vt:lpstr>Ybasgauche</vt:lpstr>
      <vt:lpstr>Yhaut</vt:lpstr>
      <vt:lpstr>Yhautdroit</vt:lpstr>
      <vt:lpstr>Yhautgauche</vt:lpstr>
      <vt:lpstr>Yinterdroit</vt:lpstr>
      <vt:lpstr>Yintergauche</vt:lpstr>
      <vt:lpstr>Zbasdroit</vt:lpstr>
      <vt:lpstr>Zbasgauche</vt:lpstr>
      <vt:lpstr>Zhaut</vt:lpstr>
      <vt:lpstr>Zhautdroit</vt:lpstr>
      <vt:lpstr>Zhautgauche</vt:lpstr>
      <vt:lpstr>Zinterdroit</vt:lpstr>
      <vt:lpstr>Zintergauche</vt:lpstr>
      <vt:lpstr>Convergences!Zone_d_impression</vt:lpstr>
      <vt:lpstr>Déplacements!Zone_d_impression</vt:lpstr>
      <vt:lpstr>Graphiques!Zone_d_impression</vt:lpstr>
      <vt:lpstr>'Résultats observations'!Zone_d_impression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</dc:creator>
  <cp:lastModifiedBy>olivier boissard</cp:lastModifiedBy>
  <cp:lastPrinted>2021-12-24T21:24:39Z</cp:lastPrinted>
  <dcterms:created xsi:type="dcterms:W3CDTF">2008-07-29T13:58:19Z</dcterms:created>
  <dcterms:modified xsi:type="dcterms:W3CDTF">2025-11-06T18:30:10Z</dcterms:modified>
</cp:coreProperties>
</file>