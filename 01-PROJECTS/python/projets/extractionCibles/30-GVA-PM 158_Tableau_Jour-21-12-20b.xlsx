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11-CHANTIERS\BURE\10-ACTIVITES\2025\11\2025-11-06-b-etude referentiel carrefour GCR\identification cibles GMP104\"/>
    </mc:Choice>
  </mc:AlternateContent>
  <xr:revisionPtr revIDLastSave="0" documentId="8_{954E8E4E-48DE-4AC9-AE05-AD0F9E9C6887}" xr6:coauthVersionLast="47" xr6:coauthVersionMax="47" xr10:uidLastSave="{00000000-0000-0000-0000-000000000000}"/>
  <bookViews>
    <workbookView xWindow="57480" yWindow="-120" windowWidth="25440" windowHeight="15390" tabRatio="942" xr2:uid="{00000000-000D-0000-FFFF-FFFF00000000}"/>
  </bookViews>
  <sheets>
    <sheet name="Résultats observations" sheetId="1" r:id="rId1"/>
    <sheet name="Convergences" sheetId="2" r:id="rId2"/>
    <sheet name="Déplacements" sheetId="3" r:id="rId3"/>
    <sheet name="Graphiques F(date)" sheetId="7" r:id="rId4"/>
    <sheet name="Graphiques F(avancement)" sheetId="9" r:id="rId5"/>
    <sheet name="commentaires" sheetId="10" r:id="rId6"/>
    <sheet name="PARAM" sheetId="13" r:id="rId7"/>
  </sheets>
  <externalReferences>
    <externalReference r:id="rId8"/>
  </externalReferences>
  <definedNames>
    <definedName name="cintre">'Résultats observations'!$W$4</definedName>
    <definedName name="date">'Résultats observations'!$A:$A</definedName>
    <definedName name="DH_BD">'Résultats observations'!$DD:$DD</definedName>
    <definedName name="DH_BG">'Résultats observations'!$CL:$CL</definedName>
    <definedName name="DH_HD">'Résultats observations'!$CX:$CX</definedName>
    <definedName name="DH_HG">'Résultats observations'!$CR:$CR</definedName>
    <definedName name="DH_ID">'Résultats observations'!$DA:$DA</definedName>
    <definedName name="DH_IG">'Résultats observations'!$CO:$CO</definedName>
    <definedName name="DHhaut">'Résultats observations'!$CU:$CU</definedName>
    <definedName name="dist">'Résultats observations'!$D:$D</definedName>
    <definedName name="DPM_BD">'Résultats observations'!$DC:$DC</definedName>
    <definedName name="DPM_BG">'Résultats observations'!$CK:$CK</definedName>
    <definedName name="DPM_HD">'Résultats observations'!$CW:$CW</definedName>
    <definedName name="DPM_HG">'Résultats observations'!$CQ:$CQ</definedName>
    <definedName name="DPM_ID">'Résultats observations'!$CZ:$CZ</definedName>
    <definedName name="DPM_IG">'Résultats observations'!$CN:$CN</definedName>
    <definedName name="DPMhaut">'Résultats observations'!$CT:$CT</definedName>
    <definedName name="DZ_BD">'Résultats observations'!$BM:$BM</definedName>
    <definedName name="DZ_BG">'Résultats observations'!$AU:$AU</definedName>
    <definedName name="DZ_HD">'Résultats observations'!$BG:$BG</definedName>
    <definedName name="DZ_HG">'Résultats observations'!$BA:$BA</definedName>
    <definedName name="DZ_ID">'Résultats observations'!$BJ:$BJ</definedName>
    <definedName name="DZ_IG">'Résultats observations'!$AX:$AX</definedName>
    <definedName name="DZhaut">'Résultats observations'!$BD:$BD</definedName>
    <definedName name="Ecart_BD">'Résultats observations'!$AN:$AN</definedName>
    <definedName name="Ecart_BG">'Résultats observations'!$AI:$AI</definedName>
    <definedName name="Ecart_HD">'Résultats observations'!$AL:$AL</definedName>
    <definedName name="Ecart_HG">'Résultats observations'!$AK:$AK</definedName>
    <definedName name="Ecart_ID">'Résultats observations'!$AM:$AM</definedName>
    <definedName name="Ecart_IG">'Résultats observations'!$AJ:$AJ</definedName>
    <definedName name="Ecart_LB">'Résultats observations'!$AQ:$AQ</definedName>
    <definedName name="Ecart_LH">'Résultats observations'!$AO:$AO</definedName>
    <definedName name="Ecart_LI">'Résultats observations'!$AP:$AP</definedName>
    <definedName name="excav">'Résultats observations'!$A$7</definedName>
    <definedName name="front">'Résultats observations'!$C:$C</definedName>
    <definedName name="galerie">'Résultats observations'!$G$4</definedName>
    <definedName name="_xlnm.Print_Titles" localSheetId="1">Convergences!$1:$9</definedName>
    <definedName name="_xlnm.Print_Titles" localSheetId="2">Déplacements!$1:$9</definedName>
    <definedName name="_xlnm.Print_Titles" localSheetId="0">'Résultats observations'!$1:$9</definedName>
    <definedName name="jours">'Résultats observations'!$B:$B</definedName>
    <definedName name="N_DEST">#REF!</definedName>
    <definedName name="N_SOURCE">#REF!</definedName>
    <definedName name="PM">'Résultats observations'!$W$6</definedName>
    <definedName name="Xbasdroit">'Résultats observations'!$W:$W</definedName>
    <definedName name="Xbasgauche">'Résultats observations'!$E:$E</definedName>
    <definedName name="Xhaut">'Résultats observations'!$N:$N</definedName>
    <definedName name="Xhautdroit">'Résultats observations'!$Q:$Q</definedName>
    <definedName name="Xhautgauche">'Résultats observations'!$K:$K</definedName>
    <definedName name="Xinterdroit">'Résultats observations'!$T:$T</definedName>
    <definedName name="Xintergauche">'Résultats observations'!$H:$H</definedName>
    <definedName name="Ybasdroit">'Résultats observations'!$X:$X</definedName>
    <definedName name="Ybasgauche">'Résultats observations'!$F:$F</definedName>
    <definedName name="Yhaut">'Résultats observations'!$O:$O</definedName>
    <definedName name="Yhautdroit">'Résultats observations'!$R:$R</definedName>
    <definedName name="Yhautgauche">'Résultats observations'!$L:$L</definedName>
    <definedName name="Yinterdroit">'Résultats observations'!$U:$U</definedName>
    <definedName name="Yintergauche">'Résultats observations'!$I:$I</definedName>
    <definedName name="Zbasdroit">'Résultats observations'!$Y:$Y</definedName>
    <definedName name="Zbasgauche">'Résultats observations'!$G:$G</definedName>
    <definedName name="Zhaut">'Résultats observations'!$P:$P</definedName>
    <definedName name="Zhautdroit">'Résultats observations'!$S:$S</definedName>
    <definedName name="Zhautgauche">'Résultats observations'!$M:$M</definedName>
    <definedName name="Zinterdroit">'Résultats observations'!$V:$V</definedName>
    <definedName name="Zintergauche">'Résultats observations'!$J:$J</definedName>
    <definedName name="_xlnm.Print_Area" localSheetId="1">Convergences!$A$1:$Z$78</definedName>
    <definedName name="_xlnm.Print_Area" localSheetId="2">Déplacements!$A$1:$AD$78</definedName>
    <definedName name="_xlnm.Print_Area" localSheetId="3">'Graphiques F(date)'!$N$70:$X$103</definedName>
    <definedName name="_xlnm.Print_Area" localSheetId="0">'Résultats observations'!$A$1:$AH$10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28" i="1" l="1"/>
  <c r="DD28" i="1"/>
  <c r="DC28" i="1"/>
  <c r="DB28" i="1"/>
  <c r="DA28" i="1"/>
  <c r="X28" i="3" s="1"/>
  <c r="CZ28" i="1"/>
  <c r="W28" i="3" s="1"/>
  <c r="CY28" i="1"/>
  <c r="CX28" i="1"/>
  <c r="T28" i="3" s="1"/>
  <c r="CW28" i="1"/>
  <c r="CV28" i="1"/>
  <c r="CU28" i="1"/>
  <c r="CT28" i="1"/>
  <c r="O28" i="3" s="1"/>
  <c r="CS28" i="1"/>
  <c r="CR28" i="1"/>
  <c r="CQ28" i="1"/>
  <c r="CP28" i="1"/>
  <c r="CO28" i="1"/>
  <c r="CN28" i="1"/>
  <c r="CM28" i="1"/>
  <c r="CL28" i="1"/>
  <c r="D28" i="3" s="1"/>
  <c r="CK28" i="1"/>
  <c r="C28" i="3" s="1"/>
  <c r="BM28" i="1"/>
  <c r="AC28" i="3" s="1"/>
  <c r="BL28" i="1"/>
  <c r="BK28" i="1"/>
  <c r="BJ28" i="1"/>
  <c r="BI28" i="1"/>
  <c r="BH28" i="1"/>
  <c r="BG28" i="1"/>
  <c r="U28" i="3" s="1"/>
  <c r="BF28" i="1"/>
  <c r="BE28" i="1"/>
  <c r="BD28" i="1"/>
  <c r="BC28" i="1"/>
  <c r="BB28" i="1"/>
  <c r="BA28" i="1"/>
  <c r="AZ28" i="1"/>
  <c r="AY28" i="1"/>
  <c r="AX28" i="1"/>
  <c r="AW28" i="1"/>
  <c r="AV28" i="1"/>
  <c r="AU28" i="1"/>
  <c r="E28" i="3" s="1"/>
  <c r="AT28" i="1"/>
  <c r="AS28" i="1"/>
  <c r="AH28" i="1"/>
  <c r="AG28" i="1"/>
  <c r="AF28" i="1"/>
  <c r="AE28" i="1"/>
  <c r="AD28" i="1"/>
  <c r="AC28" i="1"/>
  <c r="AB28" i="1"/>
  <c r="AA28" i="1"/>
  <c r="Z28" i="1"/>
  <c r="D28" i="1"/>
  <c r="B28" i="1"/>
  <c r="A28" i="3"/>
  <c r="B28" i="3"/>
  <c r="G28" i="3"/>
  <c r="H28" i="3"/>
  <c r="I28" i="3"/>
  <c r="K28" i="3"/>
  <c r="L28" i="3"/>
  <c r="M28" i="3"/>
  <c r="P28" i="3"/>
  <c r="Q28" i="3"/>
  <c r="S28" i="3"/>
  <c r="Y28" i="3"/>
  <c r="AA28" i="3"/>
  <c r="AB28" i="3"/>
  <c r="A28" i="2"/>
  <c r="B28" i="2"/>
  <c r="C28" i="2"/>
  <c r="R28" i="3" l="1"/>
  <c r="Z28" i="3"/>
  <c r="J28" i="3"/>
  <c r="V28" i="3"/>
  <c r="AD28" i="3"/>
  <c r="N28" i="3"/>
  <c r="F28" i="3"/>
  <c r="B27" i="3"/>
  <c r="O27" i="3"/>
  <c r="B27" i="2"/>
  <c r="C27" i="2"/>
  <c r="CK27" i="1"/>
  <c r="C27" i="3" s="1"/>
  <c r="CL27" i="1"/>
  <c r="D27" i="3" s="1"/>
  <c r="CM27" i="1"/>
  <c r="CN27" i="1"/>
  <c r="G27" i="3" s="1"/>
  <c r="CO27" i="1"/>
  <c r="H27" i="3" s="1"/>
  <c r="CP27" i="1"/>
  <c r="CQ27" i="1"/>
  <c r="K27" i="3" s="1"/>
  <c r="CR27" i="1"/>
  <c r="L27" i="3" s="1"/>
  <c r="CS27" i="1"/>
  <c r="CT27" i="1"/>
  <c r="CU27" i="1"/>
  <c r="P27" i="3" s="1"/>
  <c r="CV27" i="1"/>
  <c r="CW27" i="1"/>
  <c r="S27" i="3" s="1"/>
  <c r="CX27" i="1"/>
  <c r="T27" i="3" s="1"/>
  <c r="CY27" i="1"/>
  <c r="CZ27" i="1"/>
  <c r="W27" i="3" s="1"/>
  <c r="DA27" i="1"/>
  <c r="X27" i="3" s="1"/>
  <c r="DB27" i="1"/>
  <c r="DC27" i="1"/>
  <c r="AA27" i="3" s="1"/>
  <c r="DD27" i="1"/>
  <c r="AB27" i="3" s="1"/>
  <c r="DE27" i="1"/>
  <c r="AS27" i="1"/>
  <c r="AT27" i="1"/>
  <c r="AU27" i="1"/>
  <c r="E27" i="3" s="1"/>
  <c r="AV27" i="1"/>
  <c r="AW27" i="1"/>
  <c r="AX27" i="1"/>
  <c r="I27" i="3" s="1"/>
  <c r="AY27" i="1"/>
  <c r="AZ27" i="1"/>
  <c r="BA27" i="1"/>
  <c r="M27" i="3" s="1"/>
  <c r="BB27" i="1"/>
  <c r="BC27" i="1"/>
  <c r="BD27" i="1"/>
  <c r="Q27" i="3" s="1"/>
  <c r="BE27" i="1"/>
  <c r="BF27" i="1"/>
  <c r="BG27" i="1"/>
  <c r="U27" i="3" s="1"/>
  <c r="BH27" i="1"/>
  <c r="BI27" i="1"/>
  <c r="BJ27" i="1"/>
  <c r="Y27" i="3" s="1"/>
  <c r="BK27" i="1"/>
  <c r="BL27" i="1"/>
  <c r="BM27" i="1"/>
  <c r="AC27" i="3" s="1"/>
  <c r="AH27" i="1"/>
  <c r="AG27" i="1"/>
  <c r="AF27" i="1"/>
  <c r="AE27" i="1"/>
  <c r="AD27" i="1"/>
  <c r="AC27" i="1"/>
  <c r="AB27" i="1"/>
  <c r="AA27" i="1"/>
  <c r="Z27" i="1"/>
  <c r="D27" i="1"/>
  <c r="B27" i="1"/>
  <c r="B26" i="3"/>
  <c r="X26" i="3"/>
  <c r="B26" i="2"/>
  <c r="C26" i="2"/>
  <c r="CK26" i="1"/>
  <c r="C26" i="3" s="1"/>
  <c r="CL26" i="1"/>
  <c r="D26" i="3" s="1"/>
  <c r="CM26" i="1"/>
  <c r="CN26" i="1"/>
  <c r="G26" i="3" s="1"/>
  <c r="CO26" i="1"/>
  <c r="H26" i="3" s="1"/>
  <c r="CP26" i="1"/>
  <c r="CQ26" i="1"/>
  <c r="K26" i="3" s="1"/>
  <c r="CR26" i="1"/>
  <c r="L26" i="3" s="1"/>
  <c r="CS26" i="1"/>
  <c r="CT26" i="1"/>
  <c r="O26" i="3" s="1"/>
  <c r="CU26" i="1"/>
  <c r="P26" i="3" s="1"/>
  <c r="CV26" i="1"/>
  <c r="CW26" i="1"/>
  <c r="S26" i="3" s="1"/>
  <c r="CX26" i="1"/>
  <c r="T26" i="3" s="1"/>
  <c r="CY26" i="1"/>
  <c r="CZ26" i="1"/>
  <c r="W26" i="3" s="1"/>
  <c r="DA26" i="1"/>
  <c r="DB26" i="1"/>
  <c r="DC26" i="1"/>
  <c r="AA26" i="3" s="1"/>
  <c r="DD26" i="1"/>
  <c r="AB26" i="3" s="1"/>
  <c r="DE26" i="1"/>
  <c r="AS26" i="1"/>
  <c r="AT26" i="1"/>
  <c r="AU26" i="1"/>
  <c r="E26" i="3" s="1"/>
  <c r="AV26" i="1"/>
  <c r="AW26" i="1"/>
  <c r="AX26" i="1"/>
  <c r="I26" i="3" s="1"/>
  <c r="AY26" i="1"/>
  <c r="AZ26" i="1"/>
  <c r="BA26" i="1"/>
  <c r="M26" i="3" s="1"/>
  <c r="BB26" i="1"/>
  <c r="BC26" i="1"/>
  <c r="BD26" i="1"/>
  <c r="Q26" i="3" s="1"/>
  <c r="BE26" i="1"/>
  <c r="BF26" i="1"/>
  <c r="BG26" i="1"/>
  <c r="U26" i="3" s="1"/>
  <c r="BH26" i="1"/>
  <c r="BI26" i="1"/>
  <c r="BJ26" i="1"/>
  <c r="Y26" i="3" s="1"/>
  <c r="BK26" i="1"/>
  <c r="BL26" i="1"/>
  <c r="BM26" i="1"/>
  <c r="AC26" i="3" s="1"/>
  <c r="Z26" i="1"/>
  <c r="AA26" i="1"/>
  <c r="AB26" i="1"/>
  <c r="AC26" i="1"/>
  <c r="AD26" i="1"/>
  <c r="AE26" i="1"/>
  <c r="AF26" i="1"/>
  <c r="AG26" i="1"/>
  <c r="AH26" i="1"/>
  <c r="D26" i="1"/>
  <c r="B26" i="1"/>
  <c r="A26" i="3" s="1"/>
  <c r="B25" i="3"/>
  <c r="B25" i="2"/>
  <c r="C25" i="2"/>
  <c r="CK25" i="1"/>
  <c r="C25" i="3" s="1"/>
  <c r="CL25" i="1"/>
  <c r="D25" i="3" s="1"/>
  <c r="CM25" i="1"/>
  <c r="CN25" i="1"/>
  <c r="G25" i="3" s="1"/>
  <c r="CO25" i="1"/>
  <c r="H25" i="3" s="1"/>
  <c r="J25" i="3" s="1"/>
  <c r="CP25" i="1"/>
  <c r="CQ25" i="1"/>
  <c r="K25" i="3" s="1"/>
  <c r="CR25" i="1"/>
  <c r="L25" i="3" s="1"/>
  <c r="CS25" i="1"/>
  <c r="CT25" i="1"/>
  <c r="O25" i="3" s="1"/>
  <c r="CU25" i="1"/>
  <c r="P25" i="3" s="1"/>
  <c r="CV25" i="1"/>
  <c r="CW25" i="1"/>
  <c r="S25" i="3" s="1"/>
  <c r="CX25" i="1"/>
  <c r="T25" i="3" s="1"/>
  <c r="CY25" i="1"/>
  <c r="CZ25" i="1"/>
  <c r="W25" i="3" s="1"/>
  <c r="DA25" i="1"/>
  <c r="X25" i="3" s="1"/>
  <c r="DB25" i="1"/>
  <c r="DC25" i="1"/>
  <c r="AA25" i="3" s="1"/>
  <c r="DD25" i="1"/>
  <c r="AB25" i="3" s="1"/>
  <c r="DE25" i="1"/>
  <c r="AS25" i="1"/>
  <c r="AT25" i="1"/>
  <c r="AU25" i="1"/>
  <c r="E25" i="3" s="1"/>
  <c r="AV25" i="1"/>
  <c r="AW25" i="1"/>
  <c r="AX25" i="1"/>
  <c r="I25" i="3" s="1"/>
  <c r="AY25" i="1"/>
  <c r="AZ25" i="1"/>
  <c r="BA25" i="1"/>
  <c r="M25" i="3" s="1"/>
  <c r="BB25" i="1"/>
  <c r="BC25" i="1"/>
  <c r="BD25" i="1"/>
  <c r="Q25" i="3" s="1"/>
  <c r="BE25" i="1"/>
  <c r="BF25" i="1"/>
  <c r="BG25" i="1"/>
  <c r="U25" i="3" s="1"/>
  <c r="BH25" i="1"/>
  <c r="BI25" i="1"/>
  <c r="BJ25" i="1"/>
  <c r="Y25" i="3" s="1"/>
  <c r="BK25" i="1"/>
  <c r="BL25" i="1"/>
  <c r="BM25" i="1"/>
  <c r="AC25" i="3" s="1"/>
  <c r="Z25" i="1"/>
  <c r="AA25" i="1"/>
  <c r="AB25" i="1"/>
  <c r="AC25" i="1"/>
  <c r="AD25" i="1"/>
  <c r="AE25" i="1"/>
  <c r="AF25" i="1"/>
  <c r="AG25" i="1"/>
  <c r="AH25" i="1"/>
  <c r="D25" i="1"/>
  <c r="B25" i="1"/>
  <c r="A25" i="3" s="1"/>
  <c r="B24" i="3"/>
  <c r="O24" i="3"/>
  <c r="B24" i="2"/>
  <c r="C24" i="2"/>
  <c r="DE24" i="1"/>
  <c r="DD24" i="1"/>
  <c r="AB24" i="3" s="1"/>
  <c r="DC24" i="1"/>
  <c r="AA24" i="3" s="1"/>
  <c r="CK24" i="1"/>
  <c r="C24" i="3" s="1"/>
  <c r="CL24" i="1"/>
  <c r="D24" i="3" s="1"/>
  <c r="CM24" i="1"/>
  <c r="CN24" i="1"/>
  <c r="G24" i="3" s="1"/>
  <c r="CO24" i="1"/>
  <c r="H24" i="3" s="1"/>
  <c r="CP24" i="1"/>
  <c r="CQ24" i="1"/>
  <c r="K24" i="3" s="1"/>
  <c r="CR24" i="1"/>
  <c r="L24" i="3" s="1"/>
  <c r="CS24" i="1"/>
  <c r="CT24" i="1"/>
  <c r="CU24" i="1"/>
  <c r="P24" i="3" s="1"/>
  <c r="CV24" i="1"/>
  <c r="CW24" i="1"/>
  <c r="S24" i="3" s="1"/>
  <c r="CX24" i="1"/>
  <c r="T24" i="3" s="1"/>
  <c r="CY24" i="1"/>
  <c r="CZ24" i="1"/>
  <c r="W24" i="3" s="1"/>
  <c r="DA24" i="1"/>
  <c r="X24" i="3" s="1"/>
  <c r="DB24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AS23" i="1"/>
  <c r="AT23" i="1"/>
  <c r="AU23" i="1"/>
  <c r="E23" i="3" s="1"/>
  <c r="AV23" i="1"/>
  <c r="AW23" i="1"/>
  <c r="AX23" i="1"/>
  <c r="I23" i="3" s="1"/>
  <c r="AY23" i="1"/>
  <c r="AZ23" i="1"/>
  <c r="BA23" i="1"/>
  <c r="M23" i="3" s="1"/>
  <c r="BB23" i="1"/>
  <c r="BC23" i="1"/>
  <c r="BD23" i="1"/>
  <c r="BE23" i="1"/>
  <c r="BF23" i="1"/>
  <c r="BG23" i="1"/>
  <c r="U23" i="3" s="1"/>
  <c r="BH23" i="1"/>
  <c r="BI23" i="1"/>
  <c r="BJ23" i="1"/>
  <c r="AS24" i="1"/>
  <c r="AT24" i="1"/>
  <c r="AU24" i="1"/>
  <c r="E24" i="3" s="1"/>
  <c r="AV24" i="1"/>
  <c r="AW24" i="1"/>
  <c r="AX24" i="1"/>
  <c r="I24" i="3" s="1"/>
  <c r="AY24" i="1"/>
  <c r="AZ24" i="1"/>
  <c r="BA24" i="1"/>
  <c r="M24" i="3" s="1"/>
  <c r="BB24" i="1"/>
  <c r="BC24" i="1"/>
  <c r="BD24" i="1"/>
  <c r="Q24" i="3" s="1"/>
  <c r="BE24" i="1"/>
  <c r="BF24" i="1"/>
  <c r="BG24" i="1"/>
  <c r="U24" i="3" s="1"/>
  <c r="BH24" i="1"/>
  <c r="BI24" i="1"/>
  <c r="BJ24" i="1"/>
  <c r="Y24" i="3" s="1"/>
  <c r="BK24" i="1"/>
  <c r="BL24" i="1"/>
  <c r="BM24" i="1"/>
  <c r="AC24" i="3" s="1"/>
  <c r="AH24" i="1"/>
  <c r="AG24" i="1"/>
  <c r="AF24" i="1"/>
  <c r="AE24" i="1"/>
  <c r="AD24" i="1"/>
  <c r="AC24" i="1"/>
  <c r="AB24" i="1"/>
  <c r="AA24" i="1"/>
  <c r="Z24" i="1"/>
  <c r="D24" i="1"/>
  <c r="B24" i="1"/>
  <c r="A24" i="3" s="1"/>
  <c r="B23" i="3"/>
  <c r="AE23" i="1"/>
  <c r="AH23" i="1"/>
  <c r="B23" i="2"/>
  <c r="C23" i="2"/>
  <c r="W23" i="2"/>
  <c r="Z23" i="2"/>
  <c r="CK23" i="1"/>
  <c r="C23" i="3" s="1"/>
  <c r="CL23" i="1"/>
  <c r="D23" i="3" s="1"/>
  <c r="CM23" i="1"/>
  <c r="CN23" i="1"/>
  <c r="G23" i="3" s="1"/>
  <c r="CO23" i="1"/>
  <c r="H23" i="3" s="1"/>
  <c r="CP23" i="1"/>
  <c r="CQ23" i="1"/>
  <c r="K23" i="3" s="1"/>
  <c r="CR23" i="1"/>
  <c r="L23" i="3" s="1"/>
  <c r="CS23" i="1"/>
  <c r="CT23" i="1"/>
  <c r="O23" i="3" s="1"/>
  <c r="CU23" i="1"/>
  <c r="P23" i="3" s="1"/>
  <c r="CV23" i="1"/>
  <c r="CW23" i="1"/>
  <c r="S23" i="3" s="1"/>
  <c r="CX23" i="1"/>
  <c r="T23" i="3" s="1"/>
  <c r="CY23" i="1"/>
  <c r="CZ23" i="1"/>
  <c r="W23" i="3" s="1"/>
  <c r="DA23" i="1"/>
  <c r="X23" i="3" s="1"/>
  <c r="DB23" i="1"/>
  <c r="Q23" i="3"/>
  <c r="Y23" i="3"/>
  <c r="Z23" i="1"/>
  <c r="AA23" i="1"/>
  <c r="AB23" i="1"/>
  <c r="AC23" i="1"/>
  <c r="AD23" i="1"/>
  <c r="AF23" i="1"/>
  <c r="AG23" i="1"/>
  <c r="D23" i="1"/>
  <c r="B23" i="1"/>
  <c r="A23" i="3" s="1"/>
  <c r="F26" i="3" l="1"/>
  <c r="Z25" i="3"/>
  <c r="J26" i="3"/>
  <c r="A25" i="2"/>
  <c r="AD27" i="3"/>
  <c r="N27" i="3"/>
  <c r="R26" i="3"/>
  <c r="AD26" i="3"/>
  <c r="N26" i="3"/>
  <c r="V26" i="3"/>
  <c r="A27" i="3"/>
  <c r="A27" i="2"/>
  <c r="Z26" i="3"/>
  <c r="R27" i="3"/>
  <c r="Z24" i="3"/>
  <c r="J24" i="3"/>
  <c r="A26" i="2"/>
  <c r="V27" i="3"/>
  <c r="F27" i="3"/>
  <c r="AD25" i="3"/>
  <c r="N25" i="3"/>
  <c r="Z27" i="3"/>
  <c r="J27" i="3"/>
  <c r="N24" i="3"/>
  <c r="R25" i="3"/>
  <c r="V24" i="3"/>
  <c r="F24" i="3"/>
  <c r="AD24" i="3"/>
  <c r="A24" i="2"/>
  <c r="R24" i="3"/>
  <c r="F25" i="3"/>
  <c r="V25" i="3"/>
  <c r="N23" i="3"/>
  <c r="R23" i="3"/>
  <c r="V23" i="3"/>
  <c r="F23" i="3"/>
  <c r="Z23" i="3"/>
  <c r="J23" i="3"/>
  <c r="A23" i="2"/>
  <c r="B22" i="3"/>
  <c r="Y22" i="3"/>
  <c r="B22" i="2"/>
  <c r="C22" i="2"/>
  <c r="W22" i="2"/>
  <c r="Z22" i="2"/>
  <c r="CN22" i="1"/>
  <c r="G22" i="3" s="1"/>
  <c r="CO22" i="1"/>
  <c r="H22" i="3" s="1"/>
  <c r="CP22" i="1"/>
  <c r="CQ22" i="1"/>
  <c r="K22" i="3" s="1"/>
  <c r="CR22" i="1"/>
  <c r="L22" i="3" s="1"/>
  <c r="CS22" i="1"/>
  <c r="CT22" i="1"/>
  <c r="O22" i="3" s="1"/>
  <c r="CU22" i="1"/>
  <c r="P22" i="3" s="1"/>
  <c r="CV22" i="1"/>
  <c r="CW22" i="1"/>
  <c r="S22" i="3" s="1"/>
  <c r="CX22" i="1"/>
  <c r="T22" i="3" s="1"/>
  <c r="CY22" i="1"/>
  <c r="CZ22" i="1"/>
  <c r="W22" i="3" s="1"/>
  <c r="DA22" i="1"/>
  <c r="X22" i="3" s="1"/>
  <c r="DB22" i="1"/>
  <c r="CK18" i="1"/>
  <c r="C18" i="3" s="1"/>
  <c r="CL18" i="1"/>
  <c r="D18" i="3" s="1"/>
  <c r="CM18" i="1"/>
  <c r="CK19" i="1"/>
  <c r="C19" i="3" s="1"/>
  <c r="CL19" i="1"/>
  <c r="D19" i="3" s="1"/>
  <c r="CM19" i="1"/>
  <c r="CK20" i="1"/>
  <c r="C20" i="3" s="1"/>
  <c r="CL20" i="1"/>
  <c r="D20" i="3" s="1"/>
  <c r="CM20" i="1"/>
  <c r="CK21" i="1"/>
  <c r="C21" i="3" s="1"/>
  <c r="CL21" i="1"/>
  <c r="D21" i="3" s="1"/>
  <c r="CM21" i="1"/>
  <c r="CK22" i="1"/>
  <c r="C22" i="3" s="1"/>
  <c r="CL22" i="1"/>
  <c r="D22" i="3" s="1"/>
  <c r="CM22" i="1"/>
  <c r="E22" i="3"/>
  <c r="I22" i="3"/>
  <c r="M22" i="3"/>
  <c r="Q22" i="3"/>
  <c r="U22" i="3"/>
  <c r="AH20" i="1"/>
  <c r="AH21" i="1"/>
  <c r="AH22" i="1"/>
  <c r="AG22" i="1"/>
  <c r="AF22" i="1"/>
  <c r="AD22" i="1"/>
  <c r="AC22" i="1"/>
  <c r="AB22" i="1"/>
  <c r="AA22" i="1"/>
  <c r="Z22" i="1"/>
  <c r="D22" i="1"/>
  <c r="B22" i="1"/>
  <c r="A22" i="3" s="1"/>
  <c r="Z22" i="3" l="1"/>
  <c r="J22" i="3"/>
  <c r="F22" i="3"/>
  <c r="R22" i="3"/>
  <c r="N22" i="3"/>
  <c r="V22" i="3"/>
  <c r="A22" i="2"/>
  <c r="B21" i="3"/>
  <c r="Q21" i="3"/>
  <c r="U21" i="3"/>
  <c r="B21" i="2"/>
  <c r="C21" i="2"/>
  <c r="W21" i="2"/>
  <c r="Z21" i="2"/>
  <c r="CN21" i="1"/>
  <c r="G21" i="3" s="1"/>
  <c r="CO21" i="1"/>
  <c r="H21" i="3" s="1"/>
  <c r="CP21" i="1"/>
  <c r="CQ21" i="1"/>
  <c r="K21" i="3" s="1"/>
  <c r="CR21" i="1"/>
  <c r="L21" i="3" s="1"/>
  <c r="CS21" i="1"/>
  <c r="CT21" i="1"/>
  <c r="O21" i="3" s="1"/>
  <c r="CU21" i="1"/>
  <c r="P21" i="3" s="1"/>
  <c r="CV21" i="1"/>
  <c r="CW21" i="1"/>
  <c r="S21" i="3" s="1"/>
  <c r="CX21" i="1"/>
  <c r="T21" i="3" s="1"/>
  <c r="CY21" i="1"/>
  <c r="CZ21" i="1"/>
  <c r="W21" i="3" s="1"/>
  <c r="DA21" i="1"/>
  <c r="X21" i="3" s="1"/>
  <c r="DB21" i="1"/>
  <c r="Z21" i="1"/>
  <c r="AA21" i="1"/>
  <c r="AB21" i="1"/>
  <c r="AC21" i="1"/>
  <c r="AD21" i="1"/>
  <c r="AF21" i="1"/>
  <c r="AG21" i="1"/>
  <c r="E21" i="3"/>
  <c r="F21" i="3" s="1"/>
  <c r="I21" i="3"/>
  <c r="M21" i="3"/>
  <c r="Y21" i="3"/>
  <c r="D21" i="1"/>
  <c r="B21" i="1"/>
  <c r="A21" i="2" s="1"/>
  <c r="R21" i="3" l="1"/>
  <c r="A21" i="3"/>
  <c r="V21" i="3"/>
  <c r="N21" i="3"/>
  <c r="Z21" i="3"/>
  <c r="J21" i="3"/>
  <c r="AC1" i="7"/>
  <c r="AC2" i="7" l="1"/>
  <c r="B20" i="3"/>
  <c r="Q20" i="3"/>
  <c r="U20" i="3"/>
  <c r="B20" i="2"/>
  <c r="C20" i="2"/>
  <c r="W20" i="2"/>
  <c r="Z20" i="2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CN20" i="1"/>
  <c r="G20" i="3" s="1"/>
  <c r="CO20" i="1"/>
  <c r="H20" i="3" s="1"/>
  <c r="CP20" i="1"/>
  <c r="CQ20" i="1"/>
  <c r="K20" i="3" s="1"/>
  <c r="CR20" i="1"/>
  <c r="L20" i="3" s="1"/>
  <c r="CS20" i="1"/>
  <c r="CT20" i="1"/>
  <c r="O20" i="3" s="1"/>
  <c r="CU20" i="1"/>
  <c r="P20" i="3" s="1"/>
  <c r="CV20" i="1"/>
  <c r="CW20" i="1"/>
  <c r="S20" i="3" s="1"/>
  <c r="CX20" i="1"/>
  <c r="T20" i="3" s="1"/>
  <c r="CY20" i="1"/>
  <c r="CZ20" i="1"/>
  <c r="W20" i="3" s="1"/>
  <c r="DA20" i="1"/>
  <c r="X20" i="3" s="1"/>
  <c r="DB20" i="1"/>
  <c r="E20" i="3"/>
  <c r="F20" i="3" s="1"/>
  <c r="I20" i="3"/>
  <c r="M20" i="3"/>
  <c r="Y20" i="3"/>
  <c r="Z20" i="1"/>
  <c r="AA20" i="1"/>
  <c r="AB20" i="1"/>
  <c r="AC20" i="1"/>
  <c r="AD20" i="1"/>
  <c r="AF20" i="1"/>
  <c r="AG20" i="1"/>
  <c r="D20" i="1"/>
  <c r="B20" i="1"/>
  <c r="A20" i="3" s="1"/>
  <c r="N20" i="3" l="1"/>
  <c r="R20" i="3"/>
  <c r="Z20" i="3"/>
  <c r="J20" i="3"/>
  <c r="V20" i="3"/>
  <c r="A20" i="2"/>
  <c r="AS19" i="1"/>
  <c r="AT19" i="1"/>
  <c r="AU19" i="1"/>
  <c r="E19" i="3" s="1"/>
  <c r="F19" i="3" s="1"/>
  <c r="AV19" i="1"/>
  <c r="AW19" i="1"/>
  <c r="AX19" i="1"/>
  <c r="I19" i="3" s="1"/>
  <c r="AY19" i="1"/>
  <c r="AZ19" i="1"/>
  <c r="BA19" i="1"/>
  <c r="M19" i="3" s="1"/>
  <c r="BB19" i="1"/>
  <c r="BC19" i="1"/>
  <c r="BD19" i="1"/>
  <c r="Q19" i="3" s="1"/>
  <c r="BE19" i="1"/>
  <c r="BF19" i="1"/>
  <c r="BG19" i="1"/>
  <c r="U19" i="3" s="1"/>
  <c r="BH19" i="1"/>
  <c r="BI19" i="1"/>
  <c r="BJ19" i="1"/>
  <c r="Y19" i="3" s="1"/>
  <c r="BK19" i="1"/>
  <c r="BL19" i="1"/>
  <c r="BM19" i="1"/>
  <c r="AC19" i="3" s="1"/>
  <c r="B19" i="3"/>
  <c r="G19" i="3"/>
  <c r="H19" i="3"/>
  <c r="K19" i="3"/>
  <c r="L19" i="3"/>
  <c r="O19" i="3"/>
  <c r="P19" i="3"/>
  <c r="S19" i="3"/>
  <c r="T19" i="3"/>
  <c r="W19" i="3"/>
  <c r="X19" i="3"/>
  <c r="AA19" i="3"/>
  <c r="AB19" i="3"/>
  <c r="B19" i="2"/>
  <c r="C19" i="2"/>
  <c r="W19" i="2"/>
  <c r="Z19" i="2"/>
  <c r="AH19" i="1"/>
  <c r="AG19" i="1"/>
  <c r="AF19" i="1"/>
  <c r="AE19" i="1"/>
  <c r="AD19" i="1"/>
  <c r="AC19" i="1"/>
  <c r="AB19" i="1"/>
  <c r="AA19" i="1"/>
  <c r="Z19" i="1"/>
  <c r="D19" i="1"/>
  <c r="B19" i="1"/>
  <c r="A19" i="3" s="1"/>
  <c r="A19" i="2" l="1"/>
  <c r="R19" i="3"/>
  <c r="N19" i="3"/>
  <c r="V19" i="3"/>
  <c r="J19" i="3"/>
  <c r="AD19" i="3"/>
  <c r="Z19" i="3"/>
  <c r="B18" i="3"/>
  <c r="G18" i="3"/>
  <c r="H18" i="3"/>
  <c r="K18" i="3"/>
  <c r="L18" i="3"/>
  <c r="O18" i="3"/>
  <c r="P18" i="3"/>
  <c r="S18" i="3"/>
  <c r="T18" i="3"/>
  <c r="W18" i="3"/>
  <c r="X18" i="3"/>
  <c r="AA18" i="3"/>
  <c r="AB18" i="3"/>
  <c r="B18" i="2"/>
  <c r="C18" i="2"/>
  <c r="W18" i="2"/>
  <c r="Z18" i="2"/>
  <c r="BM18" i="1"/>
  <c r="AC18" i="3" s="1"/>
  <c r="BL18" i="1"/>
  <c r="BK18" i="1"/>
  <c r="BJ18" i="1"/>
  <c r="Y18" i="3" s="1"/>
  <c r="BI18" i="1"/>
  <c r="BH18" i="1"/>
  <c r="BG18" i="1"/>
  <c r="U18" i="3" s="1"/>
  <c r="BF18" i="1"/>
  <c r="BE18" i="1"/>
  <c r="BD18" i="1"/>
  <c r="Q18" i="3" s="1"/>
  <c r="BC18" i="1"/>
  <c r="BB18" i="1"/>
  <c r="BA18" i="1"/>
  <c r="M18" i="3" s="1"/>
  <c r="AZ18" i="1"/>
  <c r="AY18" i="1"/>
  <c r="AX18" i="1"/>
  <c r="I18" i="3" s="1"/>
  <c r="AW18" i="1"/>
  <c r="AV18" i="1"/>
  <c r="AU18" i="1"/>
  <c r="E18" i="3" s="1"/>
  <c r="F18" i="3" s="1"/>
  <c r="AT18" i="1"/>
  <c r="AS18" i="1"/>
  <c r="AH18" i="1"/>
  <c r="AG18" i="1"/>
  <c r="AF18" i="1"/>
  <c r="AE18" i="1"/>
  <c r="AD18" i="1"/>
  <c r="AC18" i="1"/>
  <c r="AB18" i="1"/>
  <c r="AA18" i="1"/>
  <c r="Z18" i="1"/>
  <c r="D18" i="1"/>
  <c r="B18" i="1"/>
  <c r="A18" i="2" s="1"/>
  <c r="Z18" i="3" l="1"/>
  <c r="R18" i="3"/>
  <c r="A18" i="3"/>
  <c r="AD18" i="3"/>
  <c r="J18" i="3"/>
  <c r="N18" i="3"/>
  <c r="V18" i="3"/>
  <c r="AF2" i="7"/>
  <c r="AF1" i="7"/>
  <c r="B17" i="3"/>
  <c r="B17" i="2"/>
  <c r="C17" i="2"/>
  <c r="D17" i="2"/>
  <c r="W17" i="2"/>
  <c r="Z17" i="2"/>
  <c r="CN17" i="1"/>
  <c r="G17" i="3" s="1"/>
  <c r="CO17" i="1"/>
  <c r="H17" i="3" s="1"/>
  <c r="CP17" i="1"/>
  <c r="CQ17" i="1"/>
  <c r="K17" i="3" s="1"/>
  <c r="CR17" i="1"/>
  <c r="L17" i="3" s="1"/>
  <c r="CS17" i="1"/>
  <c r="CT17" i="1"/>
  <c r="O17" i="3" s="1"/>
  <c r="CU17" i="1"/>
  <c r="P17" i="3" s="1"/>
  <c r="CV17" i="1"/>
  <c r="CW17" i="1"/>
  <c r="S17" i="3" s="1"/>
  <c r="CX17" i="1"/>
  <c r="T17" i="3" s="1"/>
  <c r="CY17" i="1"/>
  <c r="CZ17" i="1"/>
  <c r="W17" i="3" s="1"/>
  <c r="DA17" i="1"/>
  <c r="X17" i="3" s="1"/>
  <c r="DB17" i="1"/>
  <c r="DC17" i="1"/>
  <c r="AA17" i="3" s="1"/>
  <c r="DD17" i="1"/>
  <c r="AB17" i="3" s="1"/>
  <c r="DE17" i="1"/>
  <c r="AV17" i="1"/>
  <c r="AW17" i="1"/>
  <c r="AX17" i="1"/>
  <c r="I17" i="3" s="1"/>
  <c r="AY17" i="1"/>
  <c r="AZ17" i="1"/>
  <c r="BA17" i="1"/>
  <c r="M17" i="3" s="1"/>
  <c r="BB17" i="1"/>
  <c r="BC17" i="1"/>
  <c r="BD17" i="1"/>
  <c r="Q17" i="3" s="1"/>
  <c r="BE17" i="1"/>
  <c r="BF17" i="1"/>
  <c r="BG17" i="1"/>
  <c r="U17" i="3" s="1"/>
  <c r="BH17" i="1"/>
  <c r="BI17" i="1"/>
  <c r="BJ17" i="1"/>
  <c r="Y17" i="3" s="1"/>
  <c r="BK17" i="1"/>
  <c r="BL17" i="1"/>
  <c r="BM17" i="1"/>
  <c r="AC17" i="3" s="1"/>
  <c r="AG17" i="1"/>
  <c r="AF17" i="1"/>
  <c r="AE17" i="1"/>
  <c r="AD17" i="1"/>
  <c r="AC17" i="1"/>
  <c r="AB17" i="1"/>
  <c r="AA17" i="1"/>
  <c r="D17" i="1"/>
  <c r="B17" i="1"/>
  <c r="A17" i="2" s="1"/>
  <c r="V17" i="3" l="1"/>
  <c r="J17" i="3"/>
  <c r="AD17" i="3"/>
  <c r="N17" i="3"/>
  <c r="R17" i="3"/>
  <c r="Z17" i="3"/>
  <c r="A17" i="3"/>
  <c r="B16" i="3"/>
  <c r="D16" i="1"/>
  <c r="B16" i="1"/>
  <c r="A16" i="2" s="1"/>
  <c r="B16" i="2"/>
  <c r="C16" i="2"/>
  <c r="D16" i="2"/>
  <c r="W16" i="2"/>
  <c r="Z16" i="2"/>
  <c r="CN16" i="1"/>
  <c r="G16" i="3" s="1"/>
  <c r="CO16" i="1"/>
  <c r="H16" i="3" s="1"/>
  <c r="CP16" i="1"/>
  <c r="CQ16" i="1"/>
  <c r="K16" i="3" s="1"/>
  <c r="CR16" i="1"/>
  <c r="L16" i="3" s="1"/>
  <c r="CS16" i="1"/>
  <c r="CT16" i="1"/>
  <c r="O16" i="3" s="1"/>
  <c r="CU16" i="1"/>
  <c r="P16" i="3" s="1"/>
  <c r="CV16" i="1"/>
  <c r="CW16" i="1"/>
  <c r="S16" i="3" s="1"/>
  <c r="CX16" i="1"/>
  <c r="T16" i="3" s="1"/>
  <c r="CY16" i="1"/>
  <c r="CZ16" i="1"/>
  <c r="W16" i="3" s="1"/>
  <c r="DA16" i="1"/>
  <c r="X16" i="3" s="1"/>
  <c r="DB16" i="1"/>
  <c r="DC16" i="1"/>
  <c r="AA16" i="3" s="1"/>
  <c r="DD16" i="1"/>
  <c r="AB16" i="3" s="1"/>
  <c r="DE16" i="1"/>
  <c r="AV16" i="1"/>
  <c r="AW16" i="1"/>
  <c r="AX16" i="1"/>
  <c r="I16" i="3" s="1"/>
  <c r="AY16" i="1"/>
  <c r="AZ16" i="1"/>
  <c r="BA16" i="1"/>
  <c r="M16" i="3" s="1"/>
  <c r="BB16" i="1"/>
  <c r="BC16" i="1"/>
  <c r="BD16" i="1"/>
  <c r="Q16" i="3" s="1"/>
  <c r="BE16" i="1"/>
  <c r="BF16" i="1"/>
  <c r="BG16" i="1"/>
  <c r="U16" i="3" s="1"/>
  <c r="BH16" i="1"/>
  <c r="BI16" i="1"/>
  <c r="BJ16" i="1"/>
  <c r="Y16" i="3" s="1"/>
  <c r="BK16" i="1"/>
  <c r="BL16" i="1"/>
  <c r="BM16" i="1"/>
  <c r="AC16" i="3" s="1"/>
  <c r="AA16" i="1"/>
  <c r="AB16" i="1"/>
  <c r="AC16" i="1"/>
  <c r="AD16" i="1"/>
  <c r="AE16" i="1"/>
  <c r="AF16" i="1"/>
  <c r="AG16" i="1"/>
  <c r="R17" i="2" l="1"/>
  <c r="V16" i="3"/>
  <c r="R16" i="3"/>
  <c r="Z16" i="3"/>
  <c r="J16" i="3"/>
  <c r="AD16" i="3"/>
  <c r="N16" i="3"/>
  <c r="A16" i="3"/>
  <c r="B14" i="3"/>
  <c r="B15" i="3"/>
  <c r="B14" i="2"/>
  <c r="C14" i="2"/>
  <c r="D14" i="2"/>
  <c r="W14" i="2"/>
  <c r="Z14" i="2"/>
  <c r="B15" i="2"/>
  <c r="C15" i="2"/>
  <c r="W15" i="2"/>
  <c r="Z15" i="2"/>
  <c r="CN14" i="1"/>
  <c r="G14" i="3" s="1"/>
  <c r="CO14" i="1"/>
  <c r="H14" i="3" s="1"/>
  <c r="CP14" i="1"/>
  <c r="CQ14" i="1"/>
  <c r="K14" i="3" s="1"/>
  <c r="CR14" i="1"/>
  <c r="L14" i="3" s="1"/>
  <c r="CS14" i="1"/>
  <c r="CT14" i="1"/>
  <c r="O14" i="3" s="1"/>
  <c r="CU14" i="1"/>
  <c r="P14" i="3" s="1"/>
  <c r="CV14" i="1"/>
  <c r="CW14" i="1"/>
  <c r="S14" i="3" s="1"/>
  <c r="CX14" i="1"/>
  <c r="T14" i="3" s="1"/>
  <c r="CY14" i="1"/>
  <c r="CZ14" i="1"/>
  <c r="W14" i="3" s="1"/>
  <c r="DA14" i="1"/>
  <c r="X14" i="3" s="1"/>
  <c r="DB14" i="1"/>
  <c r="DC14" i="1"/>
  <c r="AA14" i="3" s="1"/>
  <c r="DD14" i="1"/>
  <c r="AB14" i="3" s="1"/>
  <c r="DE14" i="1"/>
  <c r="CK15" i="1"/>
  <c r="C15" i="3" s="1"/>
  <c r="CL15" i="1"/>
  <c r="D15" i="3" s="1"/>
  <c r="CM15" i="1"/>
  <c r="CN15" i="1"/>
  <c r="G15" i="3" s="1"/>
  <c r="CO15" i="1"/>
  <c r="H15" i="3" s="1"/>
  <c r="CP15" i="1"/>
  <c r="CQ15" i="1"/>
  <c r="K15" i="3" s="1"/>
  <c r="CR15" i="1"/>
  <c r="L15" i="3" s="1"/>
  <c r="CS15" i="1"/>
  <c r="CT15" i="1"/>
  <c r="O15" i="3" s="1"/>
  <c r="CU15" i="1"/>
  <c r="P15" i="3" s="1"/>
  <c r="CV15" i="1"/>
  <c r="CW15" i="1"/>
  <c r="S15" i="3" s="1"/>
  <c r="CX15" i="1"/>
  <c r="T15" i="3" s="1"/>
  <c r="CY15" i="1"/>
  <c r="CZ15" i="1"/>
  <c r="W15" i="3" s="1"/>
  <c r="DA15" i="1"/>
  <c r="X15" i="3" s="1"/>
  <c r="DB15" i="1"/>
  <c r="DC15" i="1"/>
  <c r="AA15" i="3" s="1"/>
  <c r="DD15" i="1"/>
  <c r="AB15" i="3" s="1"/>
  <c r="DE15" i="1"/>
  <c r="AV14" i="1"/>
  <c r="AW14" i="1"/>
  <c r="AX14" i="1"/>
  <c r="I14" i="3" s="1"/>
  <c r="AY14" i="1"/>
  <c r="AZ14" i="1"/>
  <c r="BA14" i="1"/>
  <c r="M14" i="3" s="1"/>
  <c r="BB14" i="1"/>
  <c r="BC14" i="1"/>
  <c r="BD14" i="1"/>
  <c r="Q14" i="3" s="1"/>
  <c r="BE14" i="1"/>
  <c r="BF14" i="1"/>
  <c r="BG14" i="1"/>
  <c r="U14" i="3" s="1"/>
  <c r="BH14" i="1"/>
  <c r="BI14" i="1"/>
  <c r="BJ14" i="1"/>
  <c r="Y14" i="3" s="1"/>
  <c r="BK14" i="1"/>
  <c r="BL14" i="1"/>
  <c r="BM14" i="1"/>
  <c r="AC14" i="3" s="1"/>
  <c r="AS15" i="1"/>
  <c r="AT15" i="1"/>
  <c r="AU15" i="1"/>
  <c r="E15" i="3" s="1"/>
  <c r="AV15" i="1"/>
  <c r="AW15" i="1"/>
  <c r="AX15" i="1"/>
  <c r="I15" i="3" s="1"/>
  <c r="AY15" i="1"/>
  <c r="AZ15" i="1"/>
  <c r="BA15" i="1"/>
  <c r="M15" i="3" s="1"/>
  <c r="BB15" i="1"/>
  <c r="BC15" i="1"/>
  <c r="BD15" i="1"/>
  <c r="Q15" i="3" s="1"/>
  <c r="BE15" i="1"/>
  <c r="BF15" i="1"/>
  <c r="BG15" i="1"/>
  <c r="U15" i="3" s="1"/>
  <c r="BH15" i="1"/>
  <c r="BI15" i="1"/>
  <c r="BJ15" i="1"/>
  <c r="Y15" i="3" s="1"/>
  <c r="BK15" i="1"/>
  <c r="BL15" i="1"/>
  <c r="BM15" i="1"/>
  <c r="AC15" i="3" s="1"/>
  <c r="AA14" i="1"/>
  <c r="AB14" i="1"/>
  <c r="AC14" i="1"/>
  <c r="AD14" i="1"/>
  <c r="AE14" i="1"/>
  <c r="AF14" i="1"/>
  <c r="AG14" i="1"/>
  <c r="Z15" i="1"/>
  <c r="AA15" i="1"/>
  <c r="AB15" i="1"/>
  <c r="AC15" i="1"/>
  <c r="AD15" i="1"/>
  <c r="AE15" i="1"/>
  <c r="AF15" i="1"/>
  <c r="AG15" i="1"/>
  <c r="AH15" i="1"/>
  <c r="D15" i="1"/>
  <c r="B15" i="1"/>
  <c r="A15" i="3" s="1"/>
  <c r="D14" i="1"/>
  <c r="B14" i="1"/>
  <c r="A14" i="3" s="1"/>
  <c r="Z14" i="3" l="1"/>
  <c r="R14" i="3"/>
  <c r="AD14" i="3"/>
  <c r="N14" i="3"/>
  <c r="F15" i="3"/>
  <c r="V14" i="3"/>
  <c r="J14" i="3"/>
  <c r="V15" i="3"/>
  <c r="A15" i="2"/>
  <c r="N15" i="3"/>
  <c r="A14" i="2"/>
  <c r="Z15" i="3"/>
  <c r="J15" i="3"/>
  <c r="R15" i="3"/>
  <c r="AD15" i="3"/>
  <c r="B13" i="3"/>
  <c r="Z13" i="2"/>
  <c r="W13" i="2"/>
  <c r="B13" i="2"/>
  <c r="C13" i="2"/>
  <c r="DE13" i="1"/>
  <c r="DD13" i="1"/>
  <c r="AB13" i="3" s="1"/>
  <c r="DC13" i="1"/>
  <c r="AA13" i="3" s="1"/>
  <c r="CK13" i="1"/>
  <c r="C13" i="3" s="1"/>
  <c r="CL13" i="1"/>
  <c r="D13" i="3" s="1"/>
  <c r="CM13" i="1"/>
  <c r="CN13" i="1"/>
  <c r="G13" i="3" s="1"/>
  <c r="CO13" i="1"/>
  <c r="H13" i="3" s="1"/>
  <c r="CP13" i="1"/>
  <c r="CQ13" i="1"/>
  <c r="K13" i="3" s="1"/>
  <c r="CR13" i="1"/>
  <c r="L13" i="3" s="1"/>
  <c r="CS13" i="1"/>
  <c r="CT13" i="1"/>
  <c r="O13" i="3" s="1"/>
  <c r="CU13" i="1"/>
  <c r="P13" i="3" s="1"/>
  <c r="CV13" i="1"/>
  <c r="CW13" i="1"/>
  <c r="S13" i="3" s="1"/>
  <c r="CX13" i="1"/>
  <c r="T13" i="3" s="1"/>
  <c r="CY13" i="1"/>
  <c r="CZ13" i="1"/>
  <c r="W13" i="3" s="1"/>
  <c r="DA13" i="1"/>
  <c r="X13" i="3" s="1"/>
  <c r="DB13" i="1"/>
  <c r="BM13" i="1"/>
  <c r="AC13" i="3" s="1"/>
  <c r="BL13" i="1"/>
  <c r="BK13" i="1"/>
  <c r="AS13" i="1"/>
  <c r="AT13" i="1"/>
  <c r="AU13" i="1"/>
  <c r="E13" i="3" s="1"/>
  <c r="AV13" i="1"/>
  <c r="AW13" i="1"/>
  <c r="AX13" i="1"/>
  <c r="I13" i="3" s="1"/>
  <c r="AY13" i="1"/>
  <c r="AZ13" i="1"/>
  <c r="BA13" i="1"/>
  <c r="M13" i="3" s="1"/>
  <c r="BB13" i="1"/>
  <c r="BC13" i="1"/>
  <c r="BD13" i="1"/>
  <c r="Q13" i="3" s="1"/>
  <c r="BE13" i="1"/>
  <c r="BF13" i="1"/>
  <c r="BG13" i="1"/>
  <c r="U13" i="3" s="1"/>
  <c r="BH13" i="1"/>
  <c r="BI13" i="1"/>
  <c r="BJ13" i="1"/>
  <c r="Y13" i="3" s="1"/>
  <c r="Z13" i="1"/>
  <c r="AA13" i="1"/>
  <c r="AB13" i="1"/>
  <c r="AC13" i="1"/>
  <c r="AD13" i="1"/>
  <c r="AE13" i="1"/>
  <c r="AF13" i="1"/>
  <c r="AG13" i="1"/>
  <c r="AH13" i="1"/>
  <c r="B13" i="1"/>
  <c r="A13" i="2" s="1"/>
  <c r="D13" i="1"/>
  <c r="V13" i="3" l="1"/>
  <c r="J13" i="3"/>
  <c r="N13" i="3"/>
  <c r="A13" i="3"/>
  <c r="R13" i="3"/>
  <c r="F13" i="3"/>
  <c r="Z13" i="3"/>
  <c r="AD13" i="3"/>
  <c r="B12" i="3"/>
  <c r="B12" i="2"/>
  <c r="C12" i="2"/>
  <c r="CK12" i="1"/>
  <c r="C12" i="3" s="1"/>
  <c r="CL12" i="1"/>
  <c r="D12" i="3" s="1"/>
  <c r="CM12" i="1"/>
  <c r="CN12" i="1"/>
  <c r="G12" i="3" s="1"/>
  <c r="CO12" i="1"/>
  <c r="H12" i="3" s="1"/>
  <c r="CP12" i="1"/>
  <c r="CQ12" i="1"/>
  <c r="K12" i="3" s="1"/>
  <c r="CR12" i="1"/>
  <c r="L12" i="3" s="1"/>
  <c r="CS12" i="1"/>
  <c r="CT12" i="1"/>
  <c r="O12" i="3" s="1"/>
  <c r="CU12" i="1"/>
  <c r="P12" i="3" s="1"/>
  <c r="CV12" i="1"/>
  <c r="CW12" i="1"/>
  <c r="S12" i="3" s="1"/>
  <c r="CX12" i="1"/>
  <c r="T12" i="3" s="1"/>
  <c r="CY12" i="1"/>
  <c r="CZ12" i="1"/>
  <c r="W12" i="3" s="1"/>
  <c r="DA12" i="1"/>
  <c r="X12" i="3" s="1"/>
  <c r="DB12" i="1"/>
  <c r="AS12" i="1"/>
  <c r="AT12" i="1"/>
  <c r="AU12" i="1"/>
  <c r="E12" i="3" s="1"/>
  <c r="AV12" i="1"/>
  <c r="AW12" i="1"/>
  <c r="AX12" i="1"/>
  <c r="I12" i="3" s="1"/>
  <c r="AY12" i="1"/>
  <c r="AZ12" i="1"/>
  <c r="BA12" i="1"/>
  <c r="M12" i="3" s="1"/>
  <c r="BB12" i="1"/>
  <c r="BC12" i="1"/>
  <c r="BD12" i="1"/>
  <c r="Q12" i="3" s="1"/>
  <c r="BE12" i="1"/>
  <c r="BF12" i="1"/>
  <c r="BG12" i="1"/>
  <c r="U12" i="3" s="1"/>
  <c r="BH12" i="1"/>
  <c r="BI12" i="1"/>
  <c r="BJ12" i="1"/>
  <c r="Y12" i="3" s="1"/>
  <c r="AH12" i="1"/>
  <c r="AG12" i="1"/>
  <c r="AF12" i="1"/>
  <c r="AD12" i="1"/>
  <c r="AC12" i="1"/>
  <c r="AB12" i="1"/>
  <c r="AA12" i="1"/>
  <c r="Z12" i="1"/>
  <c r="V12" i="3" l="1"/>
  <c r="F12" i="3"/>
  <c r="N12" i="3"/>
  <c r="Z12" i="3"/>
  <c r="J12" i="3"/>
  <c r="R12" i="3"/>
  <c r="D12" i="1"/>
  <c r="B12" i="1"/>
  <c r="B11" i="3"/>
  <c r="B11" i="2"/>
  <c r="C11" i="2"/>
  <c r="CL11" i="1"/>
  <c r="D11" i="3" s="1"/>
  <c r="CM11" i="1"/>
  <c r="CN11" i="1"/>
  <c r="G11" i="3" s="1"/>
  <c r="CO11" i="1"/>
  <c r="H11" i="3" s="1"/>
  <c r="CP11" i="1"/>
  <c r="CQ11" i="1"/>
  <c r="K11" i="3" s="1"/>
  <c r="CR11" i="1"/>
  <c r="L11" i="3" s="1"/>
  <c r="CS11" i="1"/>
  <c r="CT11" i="1"/>
  <c r="O11" i="3" s="1"/>
  <c r="CU11" i="1"/>
  <c r="P11" i="3" s="1"/>
  <c r="CV11" i="1"/>
  <c r="CW11" i="1"/>
  <c r="S11" i="3" s="1"/>
  <c r="CX11" i="1"/>
  <c r="T11" i="3" s="1"/>
  <c r="CY11" i="1"/>
  <c r="CZ11" i="1"/>
  <c r="W11" i="3" s="1"/>
  <c r="DA11" i="1"/>
  <c r="X11" i="3" s="1"/>
  <c r="DB11" i="1"/>
  <c r="DC11" i="1"/>
  <c r="AA11" i="3" s="1"/>
  <c r="DD11" i="1"/>
  <c r="AB11" i="3" s="1"/>
  <c r="DE11" i="1"/>
  <c r="CK11" i="1"/>
  <c r="C11" i="3" s="1"/>
  <c r="AT11" i="1"/>
  <c r="AU11" i="1"/>
  <c r="E11" i="3" s="1"/>
  <c r="AV11" i="1"/>
  <c r="AW11" i="1"/>
  <c r="AX11" i="1"/>
  <c r="I11" i="3" s="1"/>
  <c r="AY11" i="1"/>
  <c r="AZ11" i="1"/>
  <c r="BA11" i="1"/>
  <c r="M11" i="3" s="1"/>
  <c r="BB11" i="1"/>
  <c r="BC11" i="1"/>
  <c r="BD11" i="1"/>
  <c r="Q11" i="3" s="1"/>
  <c r="BE11" i="1"/>
  <c r="BF11" i="1"/>
  <c r="BG11" i="1"/>
  <c r="U11" i="3" s="1"/>
  <c r="BH11" i="1"/>
  <c r="BI11" i="1"/>
  <c r="BJ11" i="1"/>
  <c r="Y11" i="3" s="1"/>
  <c r="BK11" i="1"/>
  <c r="BL11" i="1"/>
  <c r="BM11" i="1"/>
  <c r="AC11" i="3" s="1"/>
  <c r="AS11" i="1"/>
  <c r="AH11" i="1"/>
  <c r="AG11" i="1"/>
  <c r="AF11" i="1"/>
  <c r="AE11" i="1"/>
  <c r="AD11" i="1"/>
  <c r="AC11" i="1"/>
  <c r="AB11" i="1"/>
  <c r="AA11" i="1"/>
  <c r="Z11" i="1"/>
  <c r="B11" i="1"/>
  <c r="A11" i="3" s="1"/>
  <c r="D11" i="1"/>
  <c r="N74" i="7"/>
  <c r="L37" i="9" s="1"/>
  <c r="B74" i="7"/>
  <c r="A37" i="9" s="1"/>
  <c r="N41" i="7"/>
  <c r="L5" i="9" s="1"/>
  <c r="B41" i="7"/>
  <c r="A5" i="9" s="1"/>
  <c r="B6" i="7"/>
  <c r="N11" i="3" l="1"/>
  <c r="F11" i="3"/>
  <c r="A12" i="3"/>
  <c r="A12" i="2"/>
  <c r="V11" i="3"/>
  <c r="J11" i="3"/>
  <c r="AD11" i="3"/>
  <c r="Z11" i="3"/>
  <c r="R11" i="3"/>
  <c r="A11" i="2"/>
  <c r="AW10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X10" i="3" l="1"/>
  <c r="W10" i="3"/>
  <c r="AD59" i="7" l="1"/>
  <c r="AD62" i="7"/>
  <c r="AD63" i="7" s="1"/>
  <c r="AE61" i="7"/>
  <c r="AE63" i="7" s="1"/>
  <c r="AE60" i="7"/>
  <c r="AE62" i="7" s="1"/>
  <c r="AE59" i="7"/>
  <c r="AE58" i="7"/>
  <c r="AH10" i="1" l="1"/>
  <c r="AQ28" i="1" s="1"/>
  <c r="L28" i="2" s="1"/>
  <c r="AG10" i="1"/>
  <c r="AP28" i="1" s="1"/>
  <c r="K28" i="2" s="1"/>
  <c r="AF10" i="1"/>
  <c r="AO28" i="1" s="1"/>
  <c r="J28" i="2" s="1"/>
  <c r="AE10" i="1"/>
  <c r="AN28" i="1" s="1"/>
  <c r="I28" i="2" s="1"/>
  <c r="AD10" i="1"/>
  <c r="AM28" i="1" s="1"/>
  <c r="H28" i="2" s="1"/>
  <c r="AC10" i="1"/>
  <c r="AL28" i="1" s="1"/>
  <c r="G28" i="2" s="1"/>
  <c r="AB10" i="1"/>
  <c r="AK28" i="1" s="1"/>
  <c r="F28" i="2" s="1"/>
  <c r="AA10" i="1"/>
  <c r="AJ28" i="1" s="1"/>
  <c r="E28" i="2" s="1"/>
  <c r="Z10" i="1"/>
  <c r="AI28" i="1" s="1"/>
  <c r="D28" i="2" s="1"/>
  <c r="D10" i="1"/>
  <c r="AJ26" i="1" l="1"/>
  <c r="E26" i="2" s="1"/>
  <c r="AJ27" i="1"/>
  <c r="E27" i="2" s="1"/>
  <c r="S27" i="2" s="1"/>
  <c r="AN27" i="1"/>
  <c r="I27" i="2" s="1"/>
  <c r="W28" i="2" s="1"/>
  <c r="AN26" i="1"/>
  <c r="I26" i="2" s="1"/>
  <c r="AK26" i="1"/>
  <c r="F26" i="2" s="1"/>
  <c r="AK27" i="1"/>
  <c r="F27" i="2" s="1"/>
  <c r="AO26" i="1"/>
  <c r="J26" i="2" s="1"/>
  <c r="AO27" i="1"/>
  <c r="J27" i="2" s="1"/>
  <c r="X27" i="2" s="1"/>
  <c r="AL26" i="1"/>
  <c r="G26" i="2" s="1"/>
  <c r="AL27" i="1"/>
  <c r="G27" i="2" s="1"/>
  <c r="U27" i="2" s="1"/>
  <c r="AP27" i="1"/>
  <c r="K27" i="2" s="1"/>
  <c r="Y28" i="2" s="1"/>
  <c r="AP26" i="1"/>
  <c r="K26" i="2" s="1"/>
  <c r="AI26" i="1"/>
  <c r="D26" i="2" s="1"/>
  <c r="AI27" i="1"/>
  <c r="D27" i="2" s="1"/>
  <c r="R27" i="2" s="1"/>
  <c r="AM26" i="1"/>
  <c r="H26" i="2" s="1"/>
  <c r="AM27" i="1"/>
  <c r="H27" i="2" s="1"/>
  <c r="V27" i="2" s="1"/>
  <c r="AQ26" i="1"/>
  <c r="L26" i="2" s="1"/>
  <c r="AQ27" i="1"/>
  <c r="L27" i="2" s="1"/>
  <c r="Z27" i="2" s="1"/>
  <c r="AO25" i="1"/>
  <c r="J25" i="2" s="1"/>
  <c r="AO24" i="1"/>
  <c r="J24" i="2" s="1"/>
  <c r="AL24" i="1"/>
  <c r="G24" i="2" s="1"/>
  <c r="AL25" i="1"/>
  <c r="G25" i="2" s="1"/>
  <c r="U25" i="2" s="1"/>
  <c r="AP24" i="1"/>
  <c r="K24" i="2" s="1"/>
  <c r="AP25" i="1"/>
  <c r="K25" i="2" s="1"/>
  <c r="AJ25" i="1"/>
  <c r="E25" i="2" s="1"/>
  <c r="AJ24" i="1"/>
  <c r="E24" i="2" s="1"/>
  <c r="AN25" i="1"/>
  <c r="I25" i="2" s="1"/>
  <c r="AN24" i="1"/>
  <c r="I24" i="2" s="1"/>
  <c r="W24" i="2" s="1"/>
  <c r="AK25" i="1"/>
  <c r="F25" i="2" s="1"/>
  <c r="AK24" i="1"/>
  <c r="F24" i="2" s="1"/>
  <c r="AI24" i="1"/>
  <c r="D24" i="2" s="1"/>
  <c r="AI25" i="1"/>
  <c r="D25" i="2" s="1"/>
  <c r="AM25" i="1"/>
  <c r="H25" i="2" s="1"/>
  <c r="AM24" i="1"/>
  <c r="H24" i="2" s="1"/>
  <c r="AQ24" i="1"/>
  <c r="L24" i="2" s="1"/>
  <c r="Z24" i="2" s="1"/>
  <c r="AQ25" i="1"/>
  <c r="L25" i="2" s="1"/>
  <c r="AN11" i="1"/>
  <c r="I11" i="2" s="1"/>
  <c r="AN19" i="1"/>
  <c r="AN18" i="1"/>
  <c r="AN17" i="1"/>
  <c r="AN16" i="1"/>
  <c r="AN15" i="1"/>
  <c r="AN14" i="1"/>
  <c r="AN13" i="1"/>
  <c r="AK11" i="1"/>
  <c r="F11" i="2" s="1"/>
  <c r="AK23" i="1"/>
  <c r="F23" i="2" s="1"/>
  <c r="AK22" i="1"/>
  <c r="F22" i="2" s="1"/>
  <c r="AK21" i="1"/>
  <c r="F21" i="2" s="1"/>
  <c r="AK20" i="1"/>
  <c r="F20" i="2" s="1"/>
  <c r="AK19" i="1"/>
  <c r="F19" i="2" s="1"/>
  <c r="AK18" i="1"/>
  <c r="F18" i="2" s="1"/>
  <c r="AK17" i="1"/>
  <c r="F17" i="2" s="1"/>
  <c r="AK16" i="1"/>
  <c r="F16" i="2" s="1"/>
  <c r="AK15" i="1"/>
  <c r="F15" i="2" s="1"/>
  <c r="AK14" i="1"/>
  <c r="F14" i="2" s="1"/>
  <c r="AK13" i="1"/>
  <c r="F13" i="2" s="1"/>
  <c r="AK12" i="1"/>
  <c r="F12" i="2" s="1"/>
  <c r="AL11" i="1"/>
  <c r="G11" i="2" s="1"/>
  <c r="AL23" i="1"/>
  <c r="G23" i="2" s="1"/>
  <c r="AL22" i="1"/>
  <c r="G22" i="2" s="1"/>
  <c r="AL21" i="1"/>
  <c r="G21" i="2" s="1"/>
  <c r="AL20" i="1"/>
  <c r="G20" i="2" s="1"/>
  <c r="AL19" i="1"/>
  <c r="G19" i="2" s="1"/>
  <c r="AL18" i="1"/>
  <c r="G18" i="2" s="1"/>
  <c r="AL17" i="1"/>
  <c r="G17" i="2" s="1"/>
  <c r="AL16" i="1"/>
  <c r="G16" i="2" s="1"/>
  <c r="AL15" i="1"/>
  <c r="G15" i="2" s="1"/>
  <c r="AL14" i="1"/>
  <c r="G14" i="2" s="1"/>
  <c r="AL13" i="1"/>
  <c r="G13" i="2" s="1"/>
  <c r="AL12" i="1"/>
  <c r="G12" i="2" s="1"/>
  <c r="AJ11" i="1"/>
  <c r="E11" i="2" s="1"/>
  <c r="AJ23" i="1"/>
  <c r="E23" i="2" s="1"/>
  <c r="AJ22" i="1"/>
  <c r="E22" i="2" s="1"/>
  <c r="AJ21" i="1"/>
  <c r="E21" i="2" s="1"/>
  <c r="AJ20" i="1"/>
  <c r="E20" i="2" s="1"/>
  <c r="AJ19" i="1"/>
  <c r="E19" i="2" s="1"/>
  <c r="AJ18" i="1"/>
  <c r="E18" i="2" s="1"/>
  <c r="AJ17" i="1"/>
  <c r="E17" i="2" s="1"/>
  <c r="AJ16" i="1"/>
  <c r="E16" i="2" s="1"/>
  <c r="AJ15" i="1"/>
  <c r="E15" i="2" s="1"/>
  <c r="AJ14" i="1"/>
  <c r="E14" i="2" s="1"/>
  <c r="AJ13" i="1"/>
  <c r="E13" i="2" s="1"/>
  <c r="AJ12" i="1"/>
  <c r="E12" i="2" s="1"/>
  <c r="AO11" i="1"/>
  <c r="J11" i="2" s="1"/>
  <c r="AO23" i="1"/>
  <c r="J23" i="2" s="1"/>
  <c r="AO22" i="1"/>
  <c r="J22" i="2" s="1"/>
  <c r="AO21" i="1"/>
  <c r="J21" i="2" s="1"/>
  <c r="AO20" i="1"/>
  <c r="J20" i="2" s="1"/>
  <c r="AO19" i="1"/>
  <c r="J19" i="2" s="1"/>
  <c r="AO18" i="1"/>
  <c r="J18" i="2" s="1"/>
  <c r="AO17" i="1"/>
  <c r="J17" i="2" s="1"/>
  <c r="AO16" i="1"/>
  <c r="J16" i="2" s="1"/>
  <c r="AO14" i="1"/>
  <c r="J14" i="2" s="1"/>
  <c r="AO15" i="1"/>
  <c r="J15" i="2" s="1"/>
  <c r="AO13" i="1"/>
  <c r="J13" i="2" s="1"/>
  <c r="AO12" i="1"/>
  <c r="J12" i="2" s="1"/>
  <c r="AP11" i="1"/>
  <c r="K11" i="2" s="1"/>
  <c r="AP23" i="1"/>
  <c r="K23" i="2" s="1"/>
  <c r="AP22" i="1"/>
  <c r="K22" i="2" s="1"/>
  <c r="AP21" i="1"/>
  <c r="K21" i="2" s="1"/>
  <c r="AP20" i="1"/>
  <c r="K20" i="2" s="1"/>
  <c r="AP19" i="1"/>
  <c r="K19" i="2" s="1"/>
  <c r="AP18" i="1"/>
  <c r="K18" i="2" s="1"/>
  <c r="AP17" i="1"/>
  <c r="K17" i="2" s="1"/>
  <c r="AP16" i="1"/>
  <c r="K16" i="2" s="1"/>
  <c r="AP15" i="1"/>
  <c r="K15" i="2" s="1"/>
  <c r="AP14" i="1"/>
  <c r="K14" i="2" s="1"/>
  <c r="AP13" i="1"/>
  <c r="K13" i="2" s="1"/>
  <c r="AP12" i="1"/>
  <c r="K12" i="2" s="1"/>
  <c r="AI11" i="1"/>
  <c r="D11" i="2" s="1"/>
  <c r="AI23" i="1"/>
  <c r="D23" i="2" s="1"/>
  <c r="AI22" i="1"/>
  <c r="D22" i="2" s="1"/>
  <c r="AI21" i="1"/>
  <c r="D21" i="2" s="1"/>
  <c r="AI20" i="1"/>
  <c r="D20" i="2" s="1"/>
  <c r="AI19" i="1"/>
  <c r="D19" i="2" s="1"/>
  <c r="AI18" i="1"/>
  <c r="D18" i="2" s="1"/>
  <c r="R18" i="2" s="1"/>
  <c r="AI15" i="1"/>
  <c r="D15" i="2" s="1"/>
  <c r="AI13" i="1"/>
  <c r="D13" i="2" s="1"/>
  <c r="AI12" i="1"/>
  <c r="D12" i="2" s="1"/>
  <c r="AM11" i="1"/>
  <c r="H11" i="2" s="1"/>
  <c r="AM23" i="1"/>
  <c r="H23" i="2" s="1"/>
  <c r="AM22" i="1"/>
  <c r="H22" i="2" s="1"/>
  <c r="AM21" i="1"/>
  <c r="H21" i="2" s="1"/>
  <c r="AM20" i="1"/>
  <c r="H20" i="2" s="1"/>
  <c r="AM18" i="1"/>
  <c r="H18" i="2" s="1"/>
  <c r="AM19" i="1"/>
  <c r="H19" i="2" s="1"/>
  <c r="AM17" i="1"/>
  <c r="H17" i="2" s="1"/>
  <c r="AM16" i="1"/>
  <c r="H16" i="2" s="1"/>
  <c r="AM14" i="1"/>
  <c r="H14" i="2" s="1"/>
  <c r="AM13" i="1"/>
  <c r="H13" i="2" s="1"/>
  <c r="AM15" i="1"/>
  <c r="H15" i="2" s="1"/>
  <c r="AM12" i="1"/>
  <c r="H12" i="2" s="1"/>
  <c r="AQ11" i="1"/>
  <c r="L11" i="2" s="1"/>
  <c r="AQ18" i="1"/>
  <c r="AQ19" i="1"/>
  <c r="AQ15" i="1"/>
  <c r="AQ13" i="1"/>
  <c r="C10" i="2"/>
  <c r="T27" i="2" l="1"/>
  <c r="Z25" i="2"/>
  <c r="V24" i="2"/>
  <c r="V16" i="2"/>
  <c r="R25" i="2"/>
  <c r="V28" i="2"/>
  <c r="X28" i="2"/>
  <c r="W26" i="2"/>
  <c r="V26" i="2"/>
  <c r="Z28" i="2"/>
  <c r="R28" i="2"/>
  <c r="U28" i="2"/>
  <c r="T28" i="2"/>
  <c r="S28" i="2"/>
  <c r="Y26" i="2"/>
  <c r="W25" i="2"/>
  <c r="X25" i="2"/>
  <c r="Y27" i="2"/>
  <c r="X26" i="2"/>
  <c r="W27" i="2"/>
  <c r="S24" i="2"/>
  <c r="V18" i="2"/>
  <c r="X14" i="2"/>
  <c r="U24" i="2"/>
  <c r="Z26" i="2"/>
  <c r="R26" i="2"/>
  <c r="U26" i="2"/>
  <c r="T26" i="2"/>
  <c r="S26" i="2"/>
  <c r="T24" i="2"/>
  <c r="Y20" i="2"/>
  <c r="X19" i="2"/>
  <c r="S18" i="2"/>
  <c r="U13" i="2"/>
  <c r="U21" i="2"/>
  <c r="T25" i="2"/>
  <c r="V20" i="2"/>
  <c r="X16" i="2"/>
  <c r="S23" i="2"/>
  <c r="U14" i="2"/>
  <c r="U18" i="2"/>
  <c r="U22" i="2"/>
  <c r="T13" i="2"/>
  <c r="T17" i="2"/>
  <c r="T21" i="2"/>
  <c r="Y25" i="2"/>
  <c r="X24" i="2"/>
  <c r="V14" i="2"/>
  <c r="V23" i="2"/>
  <c r="R21" i="2"/>
  <c r="Y16" i="2"/>
  <c r="X23" i="2"/>
  <c r="S14" i="2"/>
  <c r="S22" i="2"/>
  <c r="U17" i="2"/>
  <c r="V25" i="2"/>
  <c r="S25" i="2"/>
  <c r="R24" i="2"/>
  <c r="Y24" i="2"/>
  <c r="R15" i="2"/>
  <c r="R16" i="2"/>
  <c r="R22" i="2"/>
  <c r="Y13" i="2"/>
  <c r="Y17" i="2"/>
  <c r="Y21" i="2"/>
  <c r="X20" i="2"/>
  <c r="S15" i="2"/>
  <c r="S19" i="2"/>
  <c r="V15" i="2"/>
  <c r="V17" i="2"/>
  <c r="V21" i="2"/>
  <c r="R19" i="2"/>
  <c r="R23" i="2"/>
  <c r="Y14" i="2"/>
  <c r="Y18" i="2"/>
  <c r="Y22" i="2"/>
  <c r="X13" i="2"/>
  <c r="X17" i="2"/>
  <c r="X21" i="2"/>
  <c r="S16" i="2"/>
  <c r="S20" i="2"/>
  <c r="U15" i="2"/>
  <c r="U23" i="2"/>
  <c r="T14" i="2"/>
  <c r="T22" i="2"/>
  <c r="U19" i="2"/>
  <c r="T18" i="2"/>
  <c r="V13" i="2"/>
  <c r="V19" i="2"/>
  <c r="V22" i="2"/>
  <c r="R13" i="2"/>
  <c r="R14" i="2"/>
  <c r="R20" i="2"/>
  <c r="Y15" i="2"/>
  <c r="Y19" i="2"/>
  <c r="Y23" i="2"/>
  <c r="X15" i="2"/>
  <c r="X18" i="2"/>
  <c r="X22" i="2"/>
  <c r="S13" i="2"/>
  <c r="S17" i="2"/>
  <c r="S21" i="2"/>
  <c r="U16" i="2"/>
  <c r="U20" i="2"/>
  <c r="T15" i="2"/>
  <c r="T19" i="2"/>
  <c r="T23" i="2"/>
  <c r="T16" i="2"/>
  <c r="T20" i="2"/>
  <c r="Y10" i="3"/>
  <c r="I10" i="3"/>
  <c r="H10" i="3"/>
  <c r="G10" i="3"/>
  <c r="K10" i="2"/>
  <c r="H10" i="2"/>
  <c r="E10" i="2"/>
  <c r="Z10" i="3" l="1"/>
  <c r="J10" i="3"/>
  <c r="D10" i="2" l="1"/>
  <c r="B10" i="2"/>
  <c r="AE10" i="3"/>
  <c r="B10" i="3"/>
  <c r="A10" i="3"/>
  <c r="M10" i="3"/>
  <c r="L10" i="3"/>
  <c r="K10" i="3"/>
  <c r="U10" i="3"/>
  <c r="T10" i="3"/>
  <c r="S10" i="3"/>
  <c r="AC10" i="3"/>
  <c r="AB10" i="3"/>
  <c r="AA10" i="3"/>
  <c r="E10" i="3"/>
  <c r="D10" i="3"/>
  <c r="C10" i="3"/>
  <c r="F10" i="2"/>
  <c r="G10" i="2"/>
  <c r="I10" i="2"/>
  <c r="J10" i="2"/>
  <c r="L10" i="2"/>
  <c r="O10" i="3"/>
  <c r="P10" i="3"/>
  <c r="Q10" i="3"/>
  <c r="A10" i="2"/>
  <c r="R10" i="3" l="1"/>
  <c r="V10" i="3"/>
  <c r="AD10" i="3"/>
  <c r="F10" i="3"/>
  <c r="N10" i="3"/>
  <c r="U11" i="2"/>
  <c r="S11" i="2"/>
  <c r="Y11" i="2"/>
  <c r="Y12" i="2"/>
  <c r="S12" i="2"/>
  <c r="V12" i="2"/>
  <c r="V11" i="2"/>
  <c r="R11" i="2"/>
  <c r="X11" i="2"/>
  <c r="Z11" i="2"/>
  <c r="W11" i="2"/>
  <c r="T11" i="2"/>
  <c r="U12" i="2" l="1"/>
  <c r="R12" i="2"/>
  <c r="Z12" i="2"/>
  <c r="X12" i="2"/>
  <c r="W12" i="2"/>
  <c r="T12" i="2"/>
</calcChain>
</file>

<file path=xl/sharedStrings.xml><?xml version="1.0" encoding="utf-8"?>
<sst xmlns="http://schemas.openxmlformats.org/spreadsheetml/2006/main" count="247" uniqueCount="97">
  <si>
    <t>PM</t>
  </si>
  <si>
    <t>Point bas gauche</t>
  </si>
  <si>
    <t>Point centre haut</t>
  </si>
  <si>
    <t>Point bas droit</t>
  </si>
  <si>
    <t>Différences</t>
  </si>
  <si>
    <t>X</t>
  </si>
  <si>
    <t>Y</t>
  </si>
  <si>
    <t>Z</t>
  </si>
  <si>
    <t>H</t>
  </si>
  <si>
    <t>Laboratoire ANDRA - Bure</t>
  </si>
  <si>
    <t>Temps (j)</t>
  </si>
  <si>
    <t>Date</t>
  </si>
  <si>
    <t>Toutes les valeurs de déplacement sont en mm</t>
  </si>
  <si>
    <t>Point haut gauche</t>
  </si>
  <si>
    <t>Point haut droit</t>
  </si>
  <si>
    <t>BG</t>
  </si>
  <si>
    <t>BD</t>
  </si>
  <si>
    <t>LB</t>
  </si>
  <si>
    <t>HG</t>
  </si>
  <si>
    <t>HD</t>
  </si>
  <si>
    <t>LH</t>
  </si>
  <si>
    <t>V</t>
  </si>
  <si>
    <r>
      <t>D</t>
    </r>
    <r>
      <rPr>
        <b/>
        <sz val="12"/>
        <rFont val="Arial"/>
        <family val="2"/>
      </rPr>
      <t>X</t>
    </r>
  </si>
  <si>
    <r>
      <t>D</t>
    </r>
    <r>
      <rPr>
        <b/>
        <sz val="12"/>
        <rFont val="Arial"/>
        <family val="2"/>
      </rPr>
      <t>Y</t>
    </r>
  </si>
  <si>
    <r>
      <t>D</t>
    </r>
    <r>
      <rPr>
        <b/>
        <sz val="12"/>
        <rFont val="Arial"/>
        <family val="2"/>
      </rPr>
      <t>Z</t>
    </r>
  </si>
  <si>
    <r>
      <t>D</t>
    </r>
    <r>
      <rPr>
        <b/>
        <sz val="12"/>
        <rFont val="Arial"/>
        <family val="2"/>
      </rPr>
      <t>H</t>
    </r>
  </si>
  <si>
    <r>
      <t>D</t>
    </r>
    <r>
      <rPr>
        <b/>
        <sz val="12"/>
        <rFont val="Arial"/>
        <family val="2"/>
      </rPr>
      <t>PM</t>
    </r>
  </si>
  <si>
    <r>
      <t>D</t>
    </r>
    <r>
      <rPr>
        <b/>
        <sz val="12"/>
        <rFont val="Arial"/>
        <family val="2"/>
      </rPr>
      <t>PM bas gauche</t>
    </r>
  </si>
  <si>
    <r>
      <t>D</t>
    </r>
    <r>
      <rPr>
        <b/>
        <sz val="12"/>
        <rFont val="Arial"/>
        <family val="2"/>
      </rPr>
      <t>H bas gauche</t>
    </r>
  </si>
  <si>
    <r>
      <t>D</t>
    </r>
    <r>
      <rPr>
        <b/>
        <sz val="12"/>
        <rFont val="Arial"/>
        <family val="2"/>
      </rPr>
      <t>Z bas gauche</t>
    </r>
  </si>
  <si>
    <r>
      <t>D</t>
    </r>
    <r>
      <rPr>
        <b/>
        <sz val="12"/>
        <rFont val="Arial"/>
        <family val="2"/>
      </rPr>
      <t>PM haut gauche</t>
    </r>
  </si>
  <si>
    <r>
      <t>D</t>
    </r>
    <r>
      <rPr>
        <b/>
        <sz val="12"/>
        <rFont val="Arial"/>
        <family val="2"/>
      </rPr>
      <t>H haut gauche</t>
    </r>
  </si>
  <si>
    <r>
      <t>D</t>
    </r>
    <r>
      <rPr>
        <b/>
        <sz val="12"/>
        <rFont val="Arial"/>
        <family val="2"/>
      </rPr>
      <t>Z haut gauche</t>
    </r>
  </si>
  <si>
    <r>
      <t>D</t>
    </r>
    <r>
      <rPr>
        <b/>
        <sz val="12"/>
        <rFont val="Arial"/>
        <family val="2"/>
      </rPr>
      <t>PM centre haut</t>
    </r>
  </si>
  <si>
    <r>
      <t>D</t>
    </r>
    <r>
      <rPr>
        <b/>
        <sz val="12"/>
        <rFont val="Arial"/>
        <family val="2"/>
      </rPr>
      <t>H centre haut</t>
    </r>
  </si>
  <si>
    <r>
      <t>D</t>
    </r>
    <r>
      <rPr>
        <b/>
        <sz val="12"/>
        <rFont val="Arial"/>
        <family val="2"/>
      </rPr>
      <t>Z centre haut</t>
    </r>
  </si>
  <si>
    <r>
      <t>D</t>
    </r>
    <r>
      <rPr>
        <b/>
        <sz val="12"/>
        <rFont val="Arial"/>
        <family val="2"/>
      </rPr>
      <t>PM haut droit</t>
    </r>
  </si>
  <si>
    <r>
      <t>D</t>
    </r>
    <r>
      <rPr>
        <b/>
        <sz val="12"/>
        <rFont val="Arial"/>
        <family val="2"/>
      </rPr>
      <t>H haut droit</t>
    </r>
  </si>
  <si>
    <r>
      <t>D</t>
    </r>
    <r>
      <rPr>
        <b/>
        <sz val="12"/>
        <rFont val="Arial"/>
        <family val="2"/>
      </rPr>
      <t>Z haut droit</t>
    </r>
  </si>
  <si>
    <r>
      <t>D</t>
    </r>
    <r>
      <rPr>
        <b/>
        <sz val="12"/>
        <rFont val="Arial"/>
        <family val="2"/>
      </rPr>
      <t>PM bas droit</t>
    </r>
  </si>
  <si>
    <r>
      <t>D</t>
    </r>
    <r>
      <rPr>
        <b/>
        <sz val="12"/>
        <rFont val="Arial"/>
        <family val="2"/>
      </rPr>
      <t>H bas droit</t>
    </r>
  </si>
  <si>
    <r>
      <t>D</t>
    </r>
    <r>
      <rPr>
        <b/>
        <sz val="12"/>
        <rFont val="Arial"/>
        <family val="2"/>
      </rPr>
      <t>Z bas droit</t>
    </r>
  </si>
  <si>
    <t>Distance au front</t>
  </si>
  <si>
    <t>Jours</t>
  </si>
  <si>
    <t>Front</t>
  </si>
  <si>
    <t>Dist</t>
  </si>
  <si>
    <t>Date point 0</t>
  </si>
  <si>
    <t>PM =</t>
  </si>
  <si>
    <t>Ecarts ( en mm )</t>
  </si>
  <si>
    <t>Vitesse de convergence ( en mm/j )</t>
  </si>
  <si>
    <t>IG</t>
  </si>
  <si>
    <t>ID</t>
  </si>
  <si>
    <t>LI</t>
  </si>
  <si>
    <t>Chantier 4</t>
  </si>
  <si>
    <r>
      <t>D</t>
    </r>
    <r>
      <rPr>
        <b/>
        <sz val="12"/>
        <rFont val="Arial"/>
        <family val="2"/>
      </rPr>
      <t>PM inter gauche</t>
    </r>
  </si>
  <si>
    <r>
      <t>D</t>
    </r>
    <r>
      <rPr>
        <b/>
        <sz val="12"/>
        <rFont val="Arial"/>
        <family val="2"/>
      </rPr>
      <t>H inter gauche</t>
    </r>
  </si>
  <si>
    <r>
      <t>D</t>
    </r>
    <r>
      <rPr>
        <b/>
        <sz val="12"/>
        <rFont val="Arial"/>
        <family val="2"/>
      </rPr>
      <t>Z inter gauche</t>
    </r>
  </si>
  <si>
    <r>
      <t>D</t>
    </r>
    <r>
      <rPr>
        <b/>
        <sz val="12"/>
        <rFont val="Arial"/>
        <family val="2"/>
      </rPr>
      <t>Z inter droit</t>
    </r>
  </si>
  <si>
    <t>Point intermédiaire gauche</t>
  </si>
  <si>
    <t>Point intermédiaire droit</t>
  </si>
  <si>
    <t>Fin du confortement du tympan GVA3</t>
  </si>
  <si>
    <t>Nota : Date de commencement réelle le 22/05. La date du 20 est utilisée pour faciliter l'interprétation sur les graphiques</t>
  </si>
  <si>
    <t>Seuils</t>
  </si>
  <si>
    <t>Seuils en déplacements absolu</t>
  </si>
  <si>
    <t xml:space="preserve">Seuil de vigilance </t>
  </si>
  <si>
    <t>Seuil d'alerte</t>
  </si>
  <si>
    <t>Début creusement</t>
  </si>
  <si>
    <t>il y a un ensemble de cables devant le point haut gauche qui genent les mesures =&gt; ecartées</t>
  </si>
  <si>
    <r>
      <t>D</t>
    </r>
    <r>
      <rPr>
        <b/>
        <sz val="12"/>
        <rFont val="Arial"/>
        <family val="2"/>
      </rPr>
      <t>PM inter droit</t>
    </r>
  </si>
  <si>
    <r>
      <t>D</t>
    </r>
    <r>
      <rPr>
        <b/>
        <sz val="12"/>
        <rFont val="Arial"/>
        <family val="2"/>
      </rPr>
      <t>H inter droit</t>
    </r>
  </si>
  <si>
    <t>Norme BG</t>
  </si>
  <si>
    <t>Norme IG</t>
  </si>
  <si>
    <t>Norme HG</t>
  </si>
  <si>
    <t>Norme CH</t>
  </si>
  <si>
    <t>Norme HD</t>
  </si>
  <si>
    <t>Norme ID</t>
  </si>
  <si>
    <t>Norme BD</t>
  </si>
  <si>
    <t>Plot 7 non visible</t>
  </si>
  <si>
    <t>plot 7 non visible</t>
  </si>
  <si>
    <t>cible ID masquée</t>
  </si>
  <si>
    <t>XX</t>
  </si>
  <si>
    <r>
      <rPr>
        <b/>
        <sz val="12"/>
        <rFont val="Arial"/>
        <family val="2"/>
      </rPr>
      <t xml:space="preserve">jours </t>
    </r>
    <r>
      <rPr>
        <b/>
        <sz val="11"/>
        <rFont val="Arial"/>
        <family val="2"/>
      </rPr>
      <t>écoulés</t>
    </r>
  </si>
  <si>
    <t>SULEM - n=3</t>
  </si>
  <si>
    <t>DATE</t>
  </si>
  <si>
    <t>J</t>
  </si>
  <si>
    <t>Paramètrage SULEM</t>
  </si>
  <si>
    <t>mesures assez dégradées</t>
  </si>
  <si>
    <t>mauvais angle de placement station pour atteindre la cible HG a cause de nombreux masques</t>
  </si>
  <si>
    <t>CONVERGENCE T12T13 - PM158</t>
  </si>
  <si>
    <t>CARREFOUR GCR2 - GVA2 - GVA3 - CONVERGENCE T12-T13 ( PM158 )</t>
  </si>
  <si>
    <t>CARREFOUR GCR2 - GVA2 -  GVA3 -DEPLACEMENTS DES CIBLES - CONVERGENCE T12T13 ( PM158 )</t>
  </si>
  <si>
    <t>1er ligne</t>
  </si>
  <si>
    <t>entete</t>
  </si>
  <si>
    <t>nb colonnes</t>
  </si>
  <si>
    <t>1ere colonne</t>
  </si>
  <si>
    <t>1ere ligne Dest</t>
  </si>
  <si>
    <t>1ere colonne 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</si>
</sst>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+\ 0.0;\-\ 0.0;\±\ 0.0"/>
    <numFmt numFmtId="165" formatCode="0.0"/>
    <numFmt numFmtId="166" formatCode="0.0000"/>
    <numFmt numFmtId="167" formatCode="0.000"/>
    <numFmt numFmtId="168" formatCode="dd\ /\ mm\ /\ yy"/>
    <numFmt numFmtId="169" formatCode="\+\ 0;\-\ 0;\±\ 0"/>
    <numFmt numFmtId="170" formatCode="\+\ 0.000;\-\ 0.000;\±\ 0.000"/>
    <numFmt numFmtId="171" formatCode="dd\ /\ mm\ /\ yyyy"/>
    <numFmt numFmtId="172" formatCode="\+\ 0.0000;\-\ 0.0000;\±\ 0.0000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Symbol"/>
      <family val="1"/>
      <charset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b/>
      <sz val="12"/>
      <name val="Symbol"/>
      <family val="1"/>
      <charset val="2"/>
    </font>
    <font>
      <b/>
      <sz val="11"/>
      <name val="Arial"/>
      <family val="2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49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20" borderId="1" applyNumberFormat="0" applyAlignment="0" applyProtection="0"/>
    <xf numFmtId="0" fontId="14" fillId="0" borderId="2" applyNumberFormat="0" applyFill="0" applyAlignment="0" applyProtection="0"/>
    <xf numFmtId="0" fontId="15" fillId="21" borderId="3" applyNumberFormat="0" applyFont="0" applyAlignment="0" applyProtection="0"/>
    <xf numFmtId="0" fontId="16" fillId="7" borderId="1" applyNumberFormat="0" applyAlignment="0" applyProtection="0"/>
    <xf numFmtId="0" fontId="17" fillId="3" borderId="0" applyNumberFormat="0" applyBorder="0" applyAlignment="0" applyProtection="0"/>
    <xf numFmtId="0" fontId="18" fillId="22" borderId="0" applyNumberFormat="0" applyBorder="0" applyAlignment="0" applyProtection="0"/>
    <xf numFmtId="0" fontId="19" fillId="4" borderId="0" applyNumberFormat="0" applyBorder="0" applyAlignment="0" applyProtection="0"/>
    <xf numFmtId="0" fontId="20" fillId="20" borderId="4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8" applyNumberFormat="0" applyFill="0" applyAlignment="0" applyProtection="0"/>
    <xf numFmtId="0" fontId="27" fillId="23" borderId="9" applyNumberFormat="0" applyAlignment="0" applyProtection="0"/>
    <xf numFmtId="0" fontId="9" fillId="0" borderId="0"/>
    <xf numFmtId="0" fontId="9" fillId="27" borderId="24" applyNumberFormat="0" applyFont="0" applyAlignment="0" applyProtection="0"/>
    <xf numFmtId="0" fontId="15" fillId="0" borderId="0"/>
    <xf numFmtId="9" fontId="15" fillId="0" borderId="0" applyFont="0" applyFill="0" applyBorder="0" applyAlignment="0" applyProtection="0"/>
    <xf numFmtId="0" fontId="8" fillId="0" borderId="0"/>
    <xf numFmtId="0" fontId="8" fillId="27" borderId="24" applyNumberFormat="0" applyFont="0" applyAlignment="0" applyProtection="0"/>
    <xf numFmtId="0" fontId="7" fillId="0" borderId="0"/>
    <xf numFmtId="0" fontId="7" fillId="0" borderId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27" borderId="24" applyNumberFormat="0" applyFont="0" applyAlignment="0" applyProtection="0"/>
    <xf numFmtId="0" fontId="6" fillId="0" borderId="0"/>
    <xf numFmtId="0" fontId="6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27" borderId="24" applyNumberFormat="0" applyFont="0" applyAlignment="0" applyProtection="0"/>
    <xf numFmtId="0" fontId="5" fillId="0" borderId="0"/>
    <xf numFmtId="0" fontId="5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27" borderId="24" applyNumberFormat="0" applyFont="0" applyAlignment="0" applyProtection="0"/>
    <xf numFmtId="0" fontId="4" fillId="0" borderId="0"/>
    <xf numFmtId="0" fontId="4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27" borderId="24" applyNumberFormat="0" applyFont="0" applyAlignment="0" applyProtection="0"/>
    <xf numFmtId="0" fontId="3" fillId="0" borderId="0"/>
    <xf numFmtId="0" fontId="3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27" borderId="2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27" borderId="2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32" fillId="0" borderId="0" xfId="0" applyFont="1" applyAlignment="1">
      <alignment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horizontal="center"/>
    </xf>
    <xf numFmtId="0" fontId="33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6" fillId="0" borderId="12" xfId="0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vertical="center"/>
    </xf>
    <xf numFmtId="0" fontId="31" fillId="0" borderId="0" xfId="0" applyFont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66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8" fontId="29" fillId="0" borderId="12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168" fontId="36" fillId="0" borderId="0" xfId="0" applyNumberFormat="1" applyFont="1" applyAlignment="1">
      <alignment vertical="center"/>
    </xf>
    <xf numFmtId="168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9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1" fontId="31" fillId="24" borderId="11" xfId="0" applyNumberFormat="1" applyFont="1" applyFill="1" applyBorder="1" applyAlignment="1">
      <alignment horizontal="center" vertical="center"/>
    </xf>
    <xf numFmtId="168" fontId="15" fillId="24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4" borderId="0" xfId="0" applyFill="1" applyAlignment="1">
      <alignment vertical="center"/>
    </xf>
    <xf numFmtId="0" fontId="0" fillId="24" borderId="0" xfId="0" applyFill="1"/>
    <xf numFmtId="0" fontId="0" fillId="24" borderId="0" xfId="0" applyFill="1" applyAlignment="1">
      <alignment wrapText="1"/>
    </xf>
    <xf numFmtId="168" fontId="31" fillId="25" borderId="11" xfId="0" applyNumberFormat="1" applyFont="1" applyFill="1" applyBorder="1" applyAlignment="1">
      <alignment horizontal="center" vertical="center"/>
    </xf>
    <xf numFmtId="168" fontId="31" fillId="24" borderId="11" xfId="0" applyNumberFormat="1" applyFont="1" applyFill="1" applyBorder="1" applyAlignment="1">
      <alignment horizontal="center" vertical="center"/>
    </xf>
    <xf numFmtId="165" fontId="31" fillId="24" borderId="11" xfId="0" applyNumberFormat="1" applyFont="1" applyFill="1" applyBorder="1" applyAlignment="1">
      <alignment horizontal="center" vertical="center"/>
    </xf>
    <xf numFmtId="166" fontId="31" fillId="24" borderId="11" xfId="0" applyNumberFormat="1" applyFont="1" applyFill="1" applyBorder="1" applyAlignment="1">
      <alignment horizontal="center" vertical="center"/>
    </xf>
    <xf numFmtId="0" fontId="31" fillId="24" borderId="0" xfId="0" applyFont="1" applyFill="1" applyAlignment="1">
      <alignment vertical="center"/>
    </xf>
    <xf numFmtId="167" fontId="31" fillId="24" borderId="11" xfId="0" applyNumberFormat="1" applyFont="1" applyFill="1" applyBorder="1" applyAlignment="1">
      <alignment horizontal="center" vertical="center"/>
    </xf>
    <xf numFmtId="170" fontId="31" fillId="24" borderId="11" xfId="0" applyNumberFormat="1" applyFont="1" applyFill="1" applyBorder="1" applyAlignment="1">
      <alignment horizontal="center" vertical="center"/>
    </xf>
    <xf numFmtId="164" fontId="31" fillId="24" borderId="11" xfId="0" applyNumberFormat="1" applyFont="1" applyFill="1" applyBorder="1" applyAlignment="1">
      <alignment horizontal="center" vertical="center"/>
    </xf>
    <xf numFmtId="0" fontId="29" fillId="24" borderId="15" xfId="0" applyFont="1" applyFill="1" applyBorder="1" applyAlignment="1">
      <alignment horizontal="center" vertical="center"/>
    </xf>
    <xf numFmtId="1" fontId="31" fillId="25" borderId="11" xfId="0" applyNumberFormat="1" applyFont="1" applyFill="1" applyBorder="1" applyAlignment="1">
      <alignment horizontal="center" vertical="center"/>
    </xf>
    <xf numFmtId="165" fontId="31" fillId="25" borderId="11" xfId="0" applyNumberFormat="1" applyFont="1" applyFill="1" applyBorder="1" applyAlignment="1">
      <alignment horizontal="center" vertical="center"/>
    </xf>
    <xf numFmtId="166" fontId="31" fillId="25" borderId="11" xfId="0" applyNumberFormat="1" applyFont="1" applyFill="1" applyBorder="1" applyAlignment="1">
      <alignment horizontal="center" vertical="center"/>
    </xf>
    <xf numFmtId="169" fontId="31" fillId="25" borderId="10" xfId="0" applyNumberFormat="1" applyFont="1" applyFill="1" applyBorder="1" applyAlignment="1">
      <alignment horizontal="center" vertical="center"/>
    </xf>
    <xf numFmtId="169" fontId="31" fillId="25" borderId="11" xfId="0" applyNumberFormat="1" applyFont="1" applyFill="1" applyBorder="1" applyAlignment="1">
      <alignment horizontal="center" vertical="center"/>
    </xf>
    <xf numFmtId="164" fontId="0" fillId="24" borderId="11" xfId="0" applyNumberForma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/>
    </xf>
    <xf numFmtId="168" fontId="0" fillId="24" borderId="11" xfId="0" applyNumberFormat="1" applyFill="1" applyBorder="1" applyAlignment="1">
      <alignment horizontal="center" vertical="center"/>
    </xf>
    <xf numFmtId="165" fontId="0" fillId="24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8" fontId="0" fillId="0" borderId="17" xfId="0" applyNumberFormat="1" applyBorder="1" applyAlignment="1">
      <alignment horizontal="center" vertical="center" wrapText="1"/>
    </xf>
    <xf numFmtId="166" fontId="38" fillId="25" borderId="11" xfId="0" applyNumberFormat="1" applyFont="1" applyFill="1" applyBorder="1" applyAlignment="1">
      <alignment horizontal="center" vertical="center"/>
    </xf>
    <xf numFmtId="0" fontId="39" fillId="24" borderId="15" xfId="0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0" fontId="29" fillId="24" borderId="16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35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/>
    <xf numFmtId="0" fontId="0" fillId="0" borderId="22" xfId="0" applyBorder="1"/>
    <xf numFmtId="0" fontId="0" fillId="0" borderId="2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0" xfId="0" applyFont="1"/>
    <xf numFmtId="14" fontId="15" fillId="0" borderId="0" xfId="0" applyNumberFormat="1" applyFont="1"/>
    <xf numFmtId="165" fontId="29" fillId="24" borderId="14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40" fillId="0" borderId="0" xfId="0" applyFont="1" applyAlignment="1">
      <alignment vertical="center"/>
    </xf>
    <xf numFmtId="14" fontId="40" fillId="0" borderId="0" xfId="0" applyNumberFormat="1" applyFont="1" applyAlignment="1">
      <alignment vertical="center"/>
    </xf>
    <xf numFmtId="0" fontId="30" fillId="26" borderId="0" xfId="0" applyFont="1" applyFill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168" fontId="29" fillId="0" borderId="13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14" fontId="34" fillId="0" borderId="0" xfId="0" applyNumberFormat="1" applyFon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15" fillId="0" borderId="0" xfId="0" applyNumberFormat="1" applyFont="1"/>
    <xf numFmtId="0" fontId="15" fillId="0" borderId="0" xfId="0" applyFont="1" applyAlignment="1">
      <alignment vertical="center"/>
    </xf>
    <xf numFmtId="167" fontId="0" fillId="0" borderId="0" xfId="0" applyNumberFormat="1"/>
    <xf numFmtId="16" fontId="0" fillId="0" borderId="0" xfId="0" applyNumberFormat="1"/>
    <xf numFmtId="1" fontId="31" fillId="24" borderId="11" xfId="44" applyNumberFormat="1" applyFont="1" applyFill="1" applyBorder="1" applyAlignment="1">
      <alignment horizontal="center" vertical="center"/>
    </xf>
    <xf numFmtId="168" fontId="31" fillId="24" borderId="11" xfId="44" applyNumberFormat="1" applyFont="1" applyFill="1" applyBorder="1" applyAlignment="1">
      <alignment horizontal="center" vertical="center"/>
    </xf>
    <xf numFmtId="165" fontId="31" fillId="24" borderId="11" xfId="44" applyNumberFormat="1" applyFont="1" applyFill="1" applyBorder="1" applyAlignment="1">
      <alignment horizontal="center" vertical="center"/>
    </xf>
    <xf numFmtId="166" fontId="31" fillId="24" borderId="11" xfId="44" applyNumberFormat="1" applyFont="1" applyFill="1" applyBorder="1" applyAlignment="1">
      <alignment horizontal="center" vertical="center"/>
    </xf>
    <xf numFmtId="0" fontId="31" fillId="24" borderId="0" xfId="44" applyFont="1" applyFill="1" applyAlignment="1">
      <alignment vertical="center"/>
    </xf>
    <xf numFmtId="167" fontId="31" fillId="24" borderId="11" xfId="44" applyNumberFormat="1" applyFont="1" applyFill="1" applyBorder="1" applyAlignment="1">
      <alignment horizontal="center" vertical="center"/>
    </xf>
    <xf numFmtId="170" fontId="31" fillId="24" borderId="11" xfId="44" applyNumberFormat="1" applyFont="1" applyFill="1" applyBorder="1" applyAlignment="1">
      <alignment horizontal="center" vertical="center"/>
    </xf>
    <xf numFmtId="164" fontId="31" fillId="24" borderId="11" xfId="44" applyNumberFormat="1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172" fontId="31" fillId="24" borderId="1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8" borderId="0" xfId="0" applyFill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29" borderId="0" xfId="0" applyFill="1" applyAlignment="1">
      <alignment vertical="center"/>
    </xf>
    <xf numFmtId="0" fontId="0" fillId="29" borderId="27" xfId="0" applyFill="1" applyBorder="1"/>
    <xf numFmtId="0" fontId="0" fillId="29" borderId="0" xfId="0" applyFill="1"/>
    <xf numFmtId="0" fontId="0" fillId="29" borderId="28" xfId="0" applyFill="1" applyBorder="1"/>
    <xf numFmtId="0" fontId="29" fillId="29" borderId="0" xfId="0" applyFont="1" applyFill="1" applyAlignment="1">
      <alignment horizontal="center" vertical="center"/>
    </xf>
    <xf numFmtId="14" fontId="0" fillId="29" borderId="0" xfId="0" applyNumberFormat="1" applyFill="1" applyAlignment="1">
      <alignment horizontal="center" vertical="center"/>
    </xf>
    <xf numFmtId="0" fontId="31" fillId="29" borderId="0" xfId="0" applyFont="1" applyFill="1" applyAlignment="1">
      <alignment horizontal="center" vertical="center"/>
    </xf>
    <xf numFmtId="0" fontId="29" fillId="29" borderId="26" xfId="0" applyFont="1" applyFill="1" applyBorder="1" applyAlignment="1">
      <alignment horizontal="center" vertical="center"/>
    </xf>
    <xf numFmtId="0" fontId="0" fillId="29" borderId="12" xfId="0" applyFill="1" applyBorder="1"/>
    <xf numFmtId="0" fontId="0" fillId="29" borderId="12" xfId="0" applyFill="1" applyBorder="1" applyAlignment="1">
      <alignment vertical="center"/>
    </xf>
    <xf numFmtId="166" fontId="31" fillId="24" borderId="13" xfId="0" applyNumberFormat="1" applyFont="1" applyFill="1" applyBorder="1" applyAlignment="1">
      <alignment horizontal="center" vertical="center"/>
    </xf>
    <xf numFmtId="166" fontId="31" fillId="24" borderId="17" xfId="0" applyNumberFormat="1" applyFont="1" applyFill="1" applyBorder="1" applyAlignment="1">
      <alignment horizontal="center" vertical="center"/>
    </xf>
    <xf numFmtId="166" fontId="31" fillId="24" borderId="30" xfId="0" applyNumberFormat="1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169" fontId="31" fillId="24" borderId="18" xfId="0" applyNumberFormat="1" applyFont="1" applyFill="1" applyBorder="1" applyAlignment="1">
      <alignment horizontal="center" vertical="center"/>
    </xf>
    <xf numFmtId="169" fontId="31" fillId="24" borderId="19" xfId="0" applyNumberFormat="1" applyFont="1" applyFill="1" applyBorder="1" applyAlignment="1">
      <alignment horizontal="center" vertical="center"/>
    </xf>
    <xf numFmtId="169" fontId="31" fillId="24" borderId="20" xfId="0" applyNumberFormat="1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31" fillId="26" borderId="27" xfId="0" applyFont="1" applyFill="1" applyBorder="1" applyAlignment="1">
      <alignment horizontal="center" vertical="center"/>
    </xf>
    <xf numFmtId="0" fontId="31" fillId="26" borderId="0" xfId="0" applyFont="1" applyFill="1" applyAlignment="1">
      <alignment horizontal="center" vertical="center"/>
    </xf>
    <xf numFmtId="0" fontId="31" fillId="26" borderId="28" xfId="0" applyFont="1" applyFill="1" applyBorder="1" applyAlignment="1">
      <alignment horizontal="center" vertical="center"/>
    </xf>
  </cellXfs>
  <cellStyles count="849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 2" xfId="43" xr:uid="{00000000-0005-0000-0000-00001C000000}"/>
    <cellStyle name="Commentaire 2 2" xfId="59" xr:uid="{00000000-0005-0000-0000-00001D000000}"/>
    <cellStyle name="Commentaire 2 2 2" xfId="79" xr:uid="{00000000-0005-0000-0000-00001E000000}"/>
    <cellStyle name="Commentaire 2 2 2 2" xfId="119" xr:uid="{00000000-0005-0000-0000-00001F000000}"/>
    <cellStyle name="Commentaire 2 2 2 2 2" xfId="199" xr:uid="{00000000-0005-0000-0000-000020000000}"/>
    <cellStyle name="Commentaire 2 2 2 2 2 2" xfId="399" xr:uid="{00000000-0005-0000-0000-000021000000}"/>
    <cellStyle name="Commentaire 2 2 2 2 2 2 2" xfId="802" xr:uid="{00000000-0005-0000-0000-000022000000}"/>
    <cellStyle name="Commentaire 2 2 2 2 2 3" xfId="602" xr:uid="{00000000-0005-0000-0000-000023000000}"/>
    <cellStyle name="Commentaire 2 2 2 2 3" xfId="319" xr:uid="{00000000-0005-0000-0000-000024000000}"/>
    <cellStyle name="Commentaire 2 2 2 2 3 2" xfId="722" xr:uid="{00000000-0005-0000-0000-000025000000}"/>
    <cellStyle name="Commentaire 2 2 2 2 4" xfId="522" xr:uid="{00000000-0005-0000-0000-000026000000}"/>
    <cellStyle name="Commentaire 2 2 2 3" xfId="239" xr:uid="{00000000-0005-0000-0000-000027000000}"/>
    <cellStyle name="Commentaire 2 2 2 3 2" xfId="439" xr:uid="{00000000-0005-0000-0000-000028000000}"/>
    <cellStyle name="Commentaire 2 2 2 3 2 2" xfId="842" xr:uid="{00000000-0005-0000-0000-000029000000}"/>
    <cellStyle name="Commentaire 2 2 2 3 3" xfId="642" xr:uid="{00000000-0005-0000-0000-00002A000000}"/>
    <cellStyle name="Commentaire 2 2 2 4" xfId="159" xr:uid="{00000000-0005-0000-0000-00002B000000}"/>
    <cellStyle name="Commentaire 2 2 2 4 2" xfId="359" xr:uid="{00000000-0005-0000-0000-00002C000000}"/>
    <cellStyle name="Commentaire 2 2 2 4 2 2" xfId="762" xr:uid="{00000000-0005-0000-0000-00002D000000}"/>
    <cellStyle name="Commentaire 2 2 2 4 3" xfId="562" xr:uid="{00000000-0005-0000-0000-00002E000000}"/>
    <cellStyle name="Commentaire 2 2 2 5" xfId="279" xr:uid="{00000000-0005-0000-0000-00002F000000}"/>
    <cellStyle name="Commentaire 2 2 2 5 2" xfId="682" xr:uid="{00000000-0005-0000-0000-000030000000}"/>
    <cellStyle name="Commentaire 2 2 2 6" xfId="482" xr:uid="{00000000-0005-0000-0000-000031000000}"/>
    <cellStyle name="Commentaire 2 2 3" xfId="99" xr:uid="{00000000-0005-0000-0000-000032000000}"/>
    <cellStyle name="Commentaire 2 2 3 2" xfId="179" xr:uid="{00000000-0005-0000-0000-000033000000}"/>
    <cellStyle name="Commentaire 2 2 3 2 2" xfId="379" xr:uid="{00000000-0005-0000-0000-000034000000}"/>
    <cellStyle name="Commentaire 2 2 3 2 2 2" xfId="782" xr:uid="{00000000-0005-0000-0000-000035000000}"/>
    <cellStyle name="Commentaire 2 2 3 2 3" xfId="582" xr:uid="{00000000-0005-0000-0000-000036000000}"/>
    <cellStyle name="Commentaire 2 2 3 3" xfId="299" xr:uid="{00000000-0005-0000-0000-000037000000}"/>
    <cellStyle name="Commentaire 2 2 3 3 2" xfId="702" xr:uid="{00000000-0005-0000-0000-000038000000}"/>
    <cellStyle name="Commentaire 2 2 3 4" xfId="502" xr:uid="{00000000-0005-0000-0000-000039000000}"/>
    <cellStyle name="Commentaire 2 2 4" xfId="219" xr:uid="{00000000-0005-0000-0000-00003A000000}"/>
    <cellStyle name="Commentaire 2 2 4 2" xfId="419" xr:uid="{00000000-0005-0000-0000-00003B000000}"/>
    <cellStyle name="Commentaire 2 2 4 2 2" xfId="822" xr:uid="{00000000-0005-0000-0000-00003C000000}"/>
    <cellStyle name="Commentaire 2 2 4 3" xfId="622" xr:uid="{00000000-0005-0000-0000-00003D000000}"/>
    <cellStyle name="Commentaire 2 2 5" xfId="139" xr:uid="{00000000-0005-0000-0000-00003E000000}"/>
    <cellStyle name="Commentaire 2 2 5 2" xfId="339" xr:uid="{00000000-0005-0000-0000-00003F000000}"/>
    <cellStyle name="Commentaire 2 2 5 2 2" xfId="742" xr:uid="{00000000-0005-0000-0000-000040000000}"/>
    <cellStyle name="Commentaire 2 2 5 3" xfId="542" xr:uid="{00000000-0005-0000-0000-000041000000}"/>
    <cellStyle name="Commentaire 2 2 6" xfId="259" xr:uid="{00000000-0005-0000-0000-000042000000}"/>
    <cellStyle name="Commentaire 2 2 6 2" xfId="662" xr:uid="{00000000-0005-0000-0000-000043000000}"/>
    <cellStyle name="Commentaire 2 2 7" xfId="462" xr:uid="{00000000-0005-0000-0000-000044000000}"/>
    <cellStyle name="Commentaire 2 3" xfId="51" xr:uid="{00000000-0005-0000-0000-000045000000}"/>
    <cellStyle name="Commentaire 2 3 2" xfId="71" xr:uid="{00000000-0005-0000-0000-000046000000}"/>
    <cellStyle name="Commentaire 2 3 2 2" xfId="111" xr:uid="{00000000-0005-0000-0000-000047000000}"/>
    <cellStyle name="Commentaire 2 3 2 2 2" xfId="191" xr:uid="{00000000-0005-0000-0000-000048000000}"/>
    <cellStyle name="Commentaire 2 3 2 2 2 2" xfId="391" xr:uid="{00000000-0005-0000-0000-000049000000}"/>
    <cellStyle name="Commentaire 2 3 2 2 2 2 2" xfId="794" xr:uid="{00000000-0005-0000-0000-00004A000000}"/>
    <cellStyle name="Commentaire 2 3 2 2 2 3" xfId="594" xr:uid="{00000000-0005-0000-0000-00004B000000}"/>
    <cellStyle name="Commentaire 2 3 2 2 3" xfId="311" xr:uid="{00000000-0005-0000-0000-00004C000000}"/>
    <cellStyle name="Commentaire 2 3 2 2 3 2" xfId="714" xr:uid="{00000000-0005-0000-0000-00004D000000}"/>
    <cellStyle name="Commentaire 2 3 2 2 4" xfId="514" xr:uid="{00000000-0005-0000-0000-00004E000000}"/>
    <cellStyle name="Commentaire 2 3 2 3" xfId="231" xr:uid="{00000000-0005-0000-0000-00004F000000}"/>
    <cellStyle name="Commentaire 2 3 2 3 2" xfId="431" xr:uid="{00000000-0005-0000-0000-000050000000}"/>
    <cellStyle name="Commentaire 2 3 2 3 2 2" xfId="834" xr:uid="{00000000-0005-0000-0000-000051000000}"/>
    <cellStyle name="Commentaire 2 3 2 3 3" xfId="634" xr:uid="{00000000-0005-0000-0000-000052000000}"/>
    <cellStyle name="Commentaire 2 3 2 4" xfId="151" xr:uid="{00000000-0005-0000-0000-000053000000}"/>
    <cellStyle name="Commentaire 2 3 2 4 2" xfId="351" xr:uid="{00000000-0005-0000-0000-000054000000}"/>
    <cellStyle name="Commentaire 2 3 2 4 2 2" xfId="754" xr:uid="{00000000-0005-0000-0000-000055000000}"/>
    <cellStyle name="Commentaire 2 3 2 4 3" xfId="554" xr:uid="{00000000-0005-0000-0000-000056000000}"/>
    <cellStyle name="Commentaire 2 3 2 5" xfId="271" xr:uid="{00000000-0005-0000-0000-000057000000}"/>
    <cellStyle name="Commentaire 2 3 2 5 2" xfId="674" xr:uid="{00000000-0005-0000-0000-000058000000}"/>
    <cellStyle name="Commentaire 2 3 2 6" xfId="474" xr:uid="{00000000-0005-0000-0000-000059000000}"/>
    <cellStyle name="Commentaire 2 3 3" xfId="91" xr:uid="{00000000-0005-0000-0000-00005A000000}"/>
    <cellStyle name="Commentaire 2 3 3 2" xfId="171" xr:uid="{00000000-0005-0000-0000-00005B000000}"/>
    <cellStyle name="Commentaire 2 3 3 2 2" xfId="371" xr:uid="{00000000-0005-0000-0000-00005C000000}"/>
    <cellStyle name="Commentaire 2 3 3 2 2 2" xfId="774" xr:uid="{00000000-0005-0000-0000-00005D000000}"/>
    <cellStyle name="Commentaire 2 3 3 2 3" xfId="574" xr:uid="{00000000-0005-0000-0000-00005E000000}"/>
    <cellStyle name="Commentaire 2 3 3 3" xfId="291" xr:uid="{00000000-0005-0000-0000-00005F000000}"/>
    <cellStyle name="Commentaire 2 3 3 3 2" xfId="694" xr:uid="{00000000-0005-0000-0000-000060000000}"/>
    <cellStyle name="Commentaire 2 3 3 4" xfId="494" xr:uid="{00000000-0005-0000-0000-000061000000}"/>
    <cellStyle name="Commentaire 2 3 4" xfId="211" xr:uid="{00000000-0005-0000-0000-000062000000}"/>
    <cellStyle name="Commentaire 2 3 4 2" xfId="411" xr:uid="{00000000-0005-0000-0000-000063000000}"/>
    <cellStyle name="Commentaire 2 3 4 2 2" xfId="814" xr:uid="{00000000-0005-0000-0000-000064000000}"/>
    <cellStyle name="Commentaire 2 3 4 3" xfId="614" xr:uid="{00000000-0005-0000-0000-000065000000}"/>
    <cellStyle name="Commentaire 2 3 5" xfId="131" xr:uid="{00000000-0005-0000-0000-000066000000}"/>
    <cellStyle name="Commentaire 2 3 5 2" xfId="331" xr:uid="{00000000-0005-0000-0000-000067000000}"/>
    <cellStyle name="Commentaire 2 3 5 2 2" xfId="734" xr:uid="{00000000-0005-0000-0000-000068000000}"/>
    <cellStyle name="Commentaire 2 3 5 3" xfId="534" xr:uid="{00000000-0005-0000-0000-000069000000}"/>
    <cellStyle name="Commentaire 2 3 6" xfId="251" xr:uid="{00000000-0005-0000-0000-00006A000000}"/>
    <cellStyle name="Commentaire 2 3 6 2" xfId="654" xr:uid="{00000000-0005-0000-0000-00006B000000}"/>
    <cellStyle name="Commentaire 2 3 7" xfId="454" xr:uid="{00000000-0005-0000-0000-00006C000000}"/>
    <cellStyle name="Commentaire 2 4" xfId="65" xr:uid="{00000000-0005-0000-0000-00006D000000}"/>
    <cellStyle name="Commentaire 2 4 2" xfId="105" xr:uid="{00000000-0005-0000-0000-00006E000000}"/>
    <cellStyle name="Commentaire 2 4 2 2" xfId="185" xr:uid="{00000000-0005-0000-0000-00006F000000}"/>
    <cellStyle name="Commentaire 2 4 2 2 2" xfId="385" xr:uid="{00000000-0005-0000-0000-000070000000}"/>
    <cellStyle name="Commentaire 2 4 2 2 2 2" xfId="788" xr:uid="{00000000-0005-0000-0000-000071000000}"/>
    <cellStyle name="Commentaire 2 4 2 2 3" xfId="588" xr:uid="{00000000-0005-0000-0000-000072000000}"/>
    <cellStyle name="Commentaire 2 4 2 3" xfId="305" xr:uid="{00000000-0005-0000-0000-000073000000}"/>
    <cellStyle name="Commentaire 2 4 2 3 2" xfId="708" xr:uid="{00000000-0005-0000-0000-000074000000}"/>
    <cellStyle name="Commentaire 2 4 2 4" xfId="508" xr:uid="{00000000-0005-0000-0000-000075000000}"/>
    <cellStyle name="Commentaire 2 4 3" xfId="225" xr:uid="{00000000-0005-0000-0000-000076000000}"/>
    <cellStyle name="Commentaire 2 4 3 2" xfId="425" xr:uid="{00000000-0005-0000-0000-000077000000}"/>
    <cellStyle name="Commentaire 2 4 3 2 2" xfId="828" xr:uid="{00000000-0005-0000-0000-000078000000}"/>
    <cellStyle name="Commentaire 2 4 3 3" xfId="628" xr:uid="{00000000-0005-0000-0000-000079000000}"/>
    <cellStyle name="Commentaire 2 4 4" xfId="145" xr:uid="{00000000-0005-0000-0000-00007A000000}"/>
    <cellStyle name="Commentaire 2 4 4 2" xfId="345" xr:uid="{00000000-0005-0000-0000-00007B000000}"/>
    <cellStyle name="Commentaire 2 4 4 2 2" xfId="748" xr:uid="{00000000-0005-0000-0000-00007C000000}"/>
    <cellStyle name="Commentaire 2 4 4 3" xfId="548" xr:uid="{00000000-0005-0000-0000-00007D000000}"/>
    <cellStyle name="Commentaire 2 4 5" xfId="265" xr:uid="{00000000-0005-0000-0000-00007E000000}"/>
    <cellStyle name="Commentaire 2 4 5 2" xfId="668" xr:uid="{00000000-0005-0000-0000-00007F000000}"/>
    <cellStyle name="Commentaire 2 4 6" xfId="468" xr:uid="{00000000-0005-0000-0000-000080000000}"/>
    <cellStyle name="Commentaire 2 5" xfId="85" xr:uid="{00000000-0005-0000-0000-000081000000}"/>
    <cellStyle name="Commentaire 2 5 2" xfId="165" xr:uid="{00000000-0005-0000-0000-000082000000}"/>
    <cellStyle name="Commentaire 2 5 2 2" xfId="365" xr:uid="{00000000-0005-0000-0000-000083000000}"/>
    <cellStyle name="Commentaire 2 5 2 2 2" xfId="768" xr:uid="{00000000-0005-0000-0000-000084000000}"/>
    <cellStyle name="Commentaire 2 5 2 3" xfId="568" xr:uid="{00000000-0005-0000-0000-000085000000}"/>
    <cellStyle name="Commentaire 2 5 3" xfId="285" xr:uid="{00000000-0005-0000-0000-000086000000}"/>
    <cellStyle name="Commentaire 2 5 3 2" xfId="688" xr:uid="{00000000-0005-0000-0000-000087000000}"/>
    <cellStyle name="Commentaire 2 5 4" xfId="488" xr:uid="{00000000-0005-0000-0000-000088000000}"/>
    <cellStyle name="Commentaire 2 6" xfId="205" xr:uid="{00000000-0005-0000-0000-000089000000}"/>
    <cellStyle name="Commentaire 2 6 2" xfId="405" xr:uid="{00000000-0005-0000-0000-00008A000000}"/>
    <cellStyle name="Commentaire 2 6 2 2" xfId="808" xr:uid="{00000000-0005-0000-0000-00008B000000}"/>
    <cellStyle name="Commentaire 2 6 3" xfId="608" xr:uid="{00000000-0005-0000-0000-00008C000000}"/>
    <cellStyle name="Commentaire 2 7" xfId="125" xr:uid="{00000000-0005-0000-0000-00008D000000}"/>
    <cellStyle name="Commentaire 2 7 2" xfId="325" xr:uid="{00000000-0005-0000-0000-00008E000000}"/>
    <cellStyle name="Commentaire 2 7 2 2" xfId="728" xr:uid="{00000000-0005-0000-0000-00008F000000}"/>
    <cellStyle name="Commentaire 2 7 3" xfId="528" xr:uid="{00000000-0005-0000-0000-000090000000}"/>
    <cellStyle name="Commentaire 2 8" xfId="245" xr:uid="{00000000-0005-0000-0000-000091000000}"/>
    <cellStyle name="Commentaire 2 8 2" xfId="648" xr:uid="{00000000-0005-0000-0000-000092000000}"/>
    <cellStyle name="Commentaire 2 9" xfId="448" xr:uid="{00000000-0005-0000-0000-000093000000}"/>
    <cellStyle name="Commentaire 3" xfId="47" xr:uid="{00000000-0005-0000-0000-000094000000}"/>
    <cellStyle name="Commentaire 3 2" xfId="61" xr:uid="{00000000-0005-0000-0000-000095000000}"/>
    <cellStyle name="Commentaire 3 2 2" xfId="81" xr:uid="{00000000-0005-0000-0000-000096000000}"/>
    <cellStyle name="Commentaire 3 2 2 2" xfId="121" xr:uid="{00000000-0005-0000-0000-000097000000}"/>
    <cellStyle name="Commentaire 3 2 2 2 2" xfId="201" xr:uid="{00000000-0005-0000-0000-000098000000}"/>
    <cellStyle name="Commentaire 3 2 2 2 2 2" xfId="401" xr:uid="{00000000-0005-0000-0000-000099000000}"/>
    <cellStyle name="Commentaire 3 2 2 2 2 2 2" xfId="804" xr:uid="{00000000-0005-0000-0000-00009A000000}"/>
    <cellStyle name="Commentaire 3 2 2 2 2 3" xfId="604" xr:uid="{00000000-0005-0000-0000-00009B000000}"/>
    <cellStyle name="Commentaire 3 2 2 2 3" xfId="321" xr:uid="{00000000-0005-0000-0000-00009C000000}"/>
    <cellStyle name="Commentaire 3 2 2 2 3 2" xfId="724" xr:uid="{00000000-0005-0000-0000-00009D000000}"/>
    <cellStyle name="Commentaire 3 2 2 2 4" xfId="524" xr:uid="{00000000-0005-0000-0000-00009E000000}"/>
    <cellStyle name="Commentaire 3 2 2 3" xfId="241" xr:uid="{00000000-0005-0000-0000-00009F000000}"/>
    <cellStyle name="Commentaire 3 2 2 3 2" xfId="441" xr:uid="{00000000-0005-0000-0000-0000A0000000}"/>
    <cellStyle name="Commentaire 3 2 2 3 2 2" xfId="844" xr:uid="{00000000-0005-0000-0000-0000A1000000}"/>
    <cellStyle name="Commentaire 3 2 2 3 3" xfId="644" xr:uid="{00000000-0005-0000-0000-0000A2000000}"/>
    <cellStyle name="Commentaire 3 2 2 4" xfId="161" xr:uid="{00000000-0005-0000-0000-0000A3000000}"/>
    <cellStyle name="Commentaire 3 2 2 4 2" xfId="361" xr:uid="{00000000-0005-0000-0000-0000A4000000}"/>
    <cellStyle name="Commentaire 3 2 2 4 2 2" xfId="764" xr:uid="{00000000-0005-0000-0000-0000A5000000}"/>
    <cellStyle name="Commentaire 3 2 2 4 3" xfId="564" xr:uid="{00000000-0005-0000-0000-0000A6000000}"/>
    <cellStyle name="Commentaire 3 2 2 5" xfId="281" xr:uid="{00000000-0005-0000-0000-0000A7000000}"/>
    <cellStyle name="Commentaire 3 2 2 5 2" xfId="684" xr:uid="{00000000-0005-0000-0000-0000A8000000}"/>
    <cellStyle name="Commentaire 3 2 2 6" xfId="484" xr:uid="{00000000-0005-0000-0000-0000A9000000}"/>
    <cellStyle name="Commentaire 3 2 3" xfId="101" xr:uid="{00000000-0005-0000-0000-0000AA000000}"/>
    <cellStyle name="Commentaire 3 2 3 2" xfId="181" xr:uid="{00000000-0005-0000-0000-0000AB000000}"/>
    <cellStyle name="Commentaire 3 2 3 2 2" xfId="381" xr:uid="{00000000-0005-0000-0000-0000AC000000}"/>
    <cellStyle name="Commentaire 3 2 3 2 2 2" xfId="784" xr:uid="{00000000-0005-0000-0000-0000AD000000}"/>
    <cellStyle name="Commentaire 3 2 3 2 3" xfId="584" xr:uid="{00000000-0005-0000-0000-0000AE000000}"/>
    <cellStyle name="Commentaire 3 2 3 3" xfId="301" xr:uid="{00000000-0005-0000-0000-0000AF000000}"/>
    <cellStyle name="Commentaire 3 2 3 3 2" xfId="704" xr:uid="{00000000-0005-0000-0000-0000B0000000}"/>
    <cellStyle name="Commentaire 3 2 3 4" xfId="504" xr:uid="{00000000-0005-0000-0000-0000B1000000}"/>
    <cellStyle name="Commentaire 3 2 4" xfId="221" xr:uid="{00000000-0005-0000-0000-0000B2000000}"/>
    <cellStyle name="Commentaire 3 2 4 2" xfId="421" xr:uid="{00000000-0005-0000-0000-0000B3000000}"/>
    <cellStyle name="Commentaire 3 2 4 2 2" xfId="824" xr:uid="{00000000-0005-0000-0000-0000B4000000}"/>
    <cellStyle name="Commentaire 3 2 4 3" xfId="624" xr:uid="{00000000-0005-0000-0000-0000B5000000}"/>
    <cellStyle name="Commentaire 3 2 5" xfId="141" xr:uid="{00000000-0005-0000-0000-0000B6000000}"/>
    <cellStyle name="Commentaire 3 2 5 2" xfId="341" xr:uid="{00000000-0005-0000-0000-0000B7000000}"/>
    <cellStyle name="Commentaire 3 2 5 2 2" xfId="744" xr:uid="{00000000-0005-0000-0000-0000B8000000}"/>
    <cellStyle name="Commentaire 3 2 5 3" xfId="544" xr:uid="{00000000-0005-0000-0000-0000B9000000}"/>
    <cellStyle name="Commentaire 3 2 6" xfId="261" xr:uid="{00000000-0005-0000-0000-0000BA000000}"/>
    <cellStyle name="Commentaire 3 2 6 2" xfId="664" xr:uid="{00000000-0005-0000-0000-0000BB000000}"/>
    <cellStyle name="Commentaire 3 2 7" xfId="464" xr:uid="{00000000-0005-0000-0000-0000BC000000}"/>
    <cellStyle name="Commentaire 3 3" xfId="53" xr:uid="{00000000-0005-0000-0000-0000BD000000}"/>
    <cellStyle name="Commentaire 3 3 2" xfId="73" xr:uid="{00000000-0005-0000-0000-0000BE000000}"/>
    <cellStyle name="Commentaire 3 3 2 2" xfId="113" xr:uid="{00000000-0005-0000-0000-0000BF000000}"/>
    <cellStyle name="Commentaire 3 3 2 2 2" xfId="193" xr:uid="{00000000-0005-0000-0000-0000C0000000}"/>
    <cellStyle name="Commentaire 3 3 2 2 2 2" xfId="393" xr:uid="{00000000-0005-0000-0000-0000C1000000}"/>
    <cellStyle name="Commentaire 3 3 2 2 2 2 2" xfId="796" xr:uid="{00000000-0005-0000-0000-0000C2000000}"/>
    <cellStyle name="Commentaire 3 3 2 2 2 3" xfId="596" xr:uid="{00000000-0005-0000-0000-0000C3000000}"/>
    <cellStyle name="Commentaire 3 3 2 2 3" xfId="313" xr:uid="{00000000-0005-0000-0000-0000C4000000}"/>
    <cellStyle name="Commentaire 3 3 2 2 3 2" xfId="716" xr:uid="{00000000-0005-0000-0000-0000C5000000}"/>
    <cellStyle name="Commentaire 3 3 2 2 4" xfId="516" xr:uid="{00000000-0005-0000-0000-0000C6000000}"/>
    <cellStyle name="Commentaire 3 3 2 3" xfId="233" xr:uid="{00000000-0005-0000-0000-0000C7000000}"/>
    <cellStyle name="Commentaire 3 3 2 3 2" xfId="433" xr:uid="{00000000-0005-0000-0000-0000C8000000}"/>
    <cellStyle name="Commentaire 3 3 2 3 2 2" xfId="836" xr:uid="{00000000-0005-0000-0000-0000C9000000}"/>
    <cellStyle name="Commentaire 3 3 2 3 3" xfId="636" xr:uid="{00000000-0005-0000-0000-0000CA000000}"/>
    <cellStyle name="Commentaire 3 3 2 4" xfId="153" xr:uid="{00000000-0005-0000-0000-0000CB000000}"/>
    <cellStyle name="Commentaire 3 3 2 4 2" xfId="353" xr:uid="{00000000-0005-0000-0000-0000CC000000}"/>
    <cellStyle name="Commentaire 3 3 2 4 2 2" xfId="756" xr:uid="{00000000-0005-0000-0000-0000CD000000}"/>
    <cellStyle name="Commentaire 3 3 2 4 3" xfId="556" xr:uid="{00000000-0005-0000-0000-0000CE000000}"/>
    <cellStyle name="Commentaire 3 3 2 5" xfId="273" xr:uid="{00000000-0005-0000-0000-0000CF000000}"/>
    <cellStyle name="Commentaire 3 3 2 5 2" xfId="676" xr:uid="{00000000-0005-0000-0000-0000D0000000}"/>
    <cellStyle name="Commentaire 3 3 2 6" xfId="476" xr:uid="{00000000-0005-0000-0000-0000D1000000}"/>
    <cellStyle name="Commentaire 3 3 3" xfId="93" xr:uid="{00000000-0005-0000-0000-0000D2000000}"/>
    <cellStyle name="Commentaire 3 3 3 2" xfId="173" xr:uid="{00000000-0005-0000-0000-0000D3000000}"/>
    <cellStyle name="Commentaire 3 3 3 2 2" xfId="373" xr:uid="{00000000-0005-0000-0000-0000D4000000}"/>
    <cellStyle name="Commentaire 3 3 3 2 2 2" xfId="776" xr:uid="{00000000-0005-0000-0000-0000D5000000}"/>
    <cellStyle name="Commentaire 3 3 3 2 3" xfId="576" xr:uid="{00000000-0005-0000-0000-0000D6000000}"/>
    <cellStyle name="Commentaire 3 3 3 3" xfId="293" xr:uid="{00000000-0005-0000-0000-0000D7000000}"/>
    <cellStyle name="Commentaire 3 3 3 3 2" xfId="696" xr:uid="{00000000-0005-0000-0000-0000D8000000}"/>
    <cellStyle name="Commentaire 3 3 3 4" xfId="496" xr:uid="{00000000-0005-0000-0000-0000D9000000}"/>
    <cellStyle name="Commentaire 3 3 4" xfId="213" xr:uid="{00000000-0005-0000-0000-0000DA000000}"/>
    <cellStyle name="Commentaire 3 3 4 2" xfId="413" xr:uid="{00000000-0005-0000-0000-0000DB000000}"/>
    <cellStyle name="Commentaire 3 3 4 2 2" xfId="816" xr:uid="{00000000-0005-0000-0000-0000DC000000}"/>
    <cellStyle name="Commentaire 3 3 4 3" xfId="616" xr:uid="{00000000-0005-0000-0000-0000DD000000}"/>
    <cellStyle name="Commentaire 3 3 5" xfId="133" xr:uid="{00000000-0005-0000-0000-0000DE000000}"/>
    <cellStyle name="Commentaire 3 3 5 2" xfId="333" xr:uid="{00000000-0005-0000-0000-0000DF000000}"/>
    <cellStyle name="Commentaire 3 3 5 2 2" xfId="736" xr:uid="{00000000-0005-0000-0000-0000E0000000}"/>
    <cellStyle name="Commentaire 3 3 5 3" xfId="536" xr:uid="{00000000-0005-0000-0000-0000E1000000}"/>
    <cellStyle name="Commentaire 3 3 6" xfId="253" xr:uid="{00000000-0005-0000-0000-0000E2000000}"/>
    <cellStyle name="Commentaire 3 3 6 2" xfId="656" xr:uid="{00000000-0005-0000-0000-0000E3000000}"/>
    <cellStyle name="Commentaire 3 3 7" xfId="456" xr:uid="{00000000-0005-0000-0000-0000E4000000}"/>
    <cellStyle name="Commentaire 3 4" xfId="67" xr:uid="{00000000-0005-0000-0000-0000E5000000}"/>
    <cellStyle name="Commentaire 3 4 2" xfId="107" xr:uid="{00000000-0005-0000-0000-0000E6000000}"/>
    <cellStyle name="Commentaire 3 4 2 2" xfId="187" xr:uid="{00000000-0005-0000-0000-0000E7000000}"/>
    <cellStyle name="Commentaire 3 4 2 2 2" xfId="387" xr:uid="{00000000-0005-0000-0000-0000E8000000}"/>
    <cellStyle name="Commentaire 3 4 2 2 2 2" xfId="790" xr:uid="{00000000-0005-0000-0000-0000E9000000}"/>
    <cellStyle name="Commentaire 3 4 2 2 3" xfId="590" xr:uid="{00000000-0005-0000-0000-0000EA000000}"/>
    <cellStyle name="Commentaire 3 4 2 3" xfId="307" xr:uid="{00000000-0005-0000-0000-0000EB000000}"/>
    <cellStyle name="Commentaire 3 4 2 3 2" xfId="710" xr:uid="{00000000-0005-0000-0000-0000EC000000}"/>
    <cellStyle name="Commentaire 3 4 2 4" xfId="510" xr:uid="{00000000-0005-0000-0000-0000ED000000}"/>
    <cellStyle name="Commentaire 3 4 3" xfId="227" xr:uid="{00000000-0005-0000-0000-0000EE000000}"/>
    <cellStyle name="Commentaire 3 4 3 2" xfId="427" xr:uid="{00000000-0005-0000-0000-0000EF000000}"/>
    <cellStyle name="Commentaire 3 4 3 2 2" xfId="830" xr:uid="{00000000-0005-0000-0000-0000F0000000}"/>
    <cellStyle name="Commentaire 3 4 3 3" xfId="630" xr:uid="{00000000-0005-0000-0000-0000F1000000}"/>
    <cellStyle name="Commentaire 3 4 4" xfId="147" xr:uid="{00000000-0005-0000-0000-0000F2000000}"/>
    <cellStyle name="Commentaire 3 4 4 2" xfId="347" xr:uid="{00000000-0005-0000-0000-0000F3000000}"/>
    <cellStyle name="Commentaire 3 4 4 2 2" xfId="750" xr:uid="{00000000-0005-0000-0000-0000F4000000}"/>
    <cellStyle name="Commentaire 3 4 4 3" xfId="550" xr:uid="{00000000-0005-0000-0000-0000F5000000}"/>
    <cellStyle name="Commentaire 3 4 5" xfId="267" xr:uid="{00000000-0005-0000-0000-0000F6000000}"/>
    <cellStyle name="Commentaire 3 4 5 2" xfId="670" xr:uid="{00000000-0005-0000-0000-0000F7000000}"/>
    <cellStyle name="Commentaire 3 4 6" xfId="470" xr:uid="{00000000-0005-0000-0000-0000F8000000}"/>
    <cellStyle name="Commentaire 3 5" xfId="87" xr:uid="{00000000-0005-0000-0000-0000F9000000}"/>
    <cellStyle name="Commentaire 3 5 2" xfId="167" xr:uid="{00000000-0005-0000-0000-0000FA000000}"/>
    <cellStyle name="Commentaire 3 5 2 2" xfId="367" xr:uid="{00000000-0005-0000-0000-0000FB000000}"/>
    <cellStyle name="Commentaire 3 5 2 2 2" xfId="770" xr:uid="{00000000-0005-0000-0000-0000FC000000}"/>
    <cellStyle name="Commentaire 3 5 2 3" xfId="570" xr:uid="{00000000-0005-0000-0000-0000FD000000}"/>
    <cellStyle name="Commentaire 3 5 3" xfId="287" xr:uid="{00000000-0005-0000-0000-0000FE000000}"/>
    <cellStyle name="Commentaire 3 5 3 2" xfId="690" xr:uid="{00000000-0005-0000-0000-0000FF000000}"/>
    <cellStyle name="Commentaire 3 5 4" xfId="490" xr:uid="{00000000-0005-0000-0000-000000010000}"/>
    <cellStyle name="Commentaire 3 6" xfId="207" xr:uid="{00000000-0005-0000-0000-000001010000}"/>
    <cellStyle name="Commentaire 3 6 2" xfId="407" xr:uid="{00000000-0005-0000-0000-000002010000}"/>
    <cellStyle name="Commentaire 3 6 2 2" xfId="810" xr:uid="{00000000-0005-0000-0000-000003010000}"/>
    <cellStyle name="Commentaire 3 6 3" xfId="610" xr:uid="{00000000-0005-0000-0000-000004010000}"/>
    <cellStyle name="Commentaire 3 7" xfId="127" xr:uid="{00000000-0005-0000-0000-000005010000}"/>
    <cellStyle name="Commentaire 3 7 2" xfId="327" xr:uid="{00000000-0005-0000-0000-000006010000}"/>
    <cellStyle name="Commentaire 3 7 2 2" xfId="730" xr:uid="{00000000-0005-0000-0000-000007010000}"/>
    <cellStyle name="Commentaire 3 7 3" xfId="530" xr:uid="{00000000-0005-0000-0000-000008010000}"/>
    <cellStyle name="Commentaire 3 8" xfId="247" xr:uid="{00000000-0005-0000-0000-000009010000}"/>
    <cellStyle name="Commentaire 3 8 2" xfId="650" xr:uid="{00000000-0005-0000-0000-00000A010000}"/>
    <cellStyle name="Commentaire 3 9" xfId="450" xr:uid="{00000000-0005-0000-0000-00000B010000}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2" xfId="42" xr:uid="{00000000-0005-0000-0000-000010010000}"/>
    <cellStyle name="Normal 2 10" xfId="447" xr:uid="{00000000-0005-0000-0000-000011010000}"/>
    <cellStyle name="Normal 2 2" xfId="44" xr:uid="{00000000-0005-0000-0000-000012010000}"/>
    <cellStyle name="Normal 2 3" xfId="58" xr:uid="{00000000-0005-0000-0000-000013010000}"/>
    <cellStyle name="Normal 2 3 2" xfId="78" xr:uid="{00000000-0005-0000-0000-000014010000}"/>
    <cellStyle name="Normal 2 3 2 2" xfId="118" xr:uid="{00000000-0005-0000-0000-000015010000}"/>
    <cellStyle name="Normal 2 3 2 2 2" xfId="198" xr:uid="{00000000-0005-0000-0000-000016010000}"/>
    <cellStyle name="Normal 2 3 2 2 2 2" xfId="398" xr:uid="{00000000-0005-0000-0000-000017010000}"/>
    <cellStyle name="Normal 2 3 2 2 2 2 2" xfId="801" xr:uid="{00000000-0005-0000-0000-000018010000}"/>
    <cellStyle name="Normal 2 3 2 2 2 3" xfId="601" xr:uid="{00000000-0005-0000-0000-000019010000}"/>
    <cellStyle name="Normal 2 3 2 2 3" xfId="318" xr:uid="{00000000-0005-0000-0000-00001A010000}"/>
    <cellStyle name="Normal 2 3 2 2 3 2" xfId="721" xr:uid="{00000000-0005-0000-0000-00001B010000}"/>
    <cellStyle name="Normal 2 3 2 2 4" xfId="521" xr:uid="{00000000-0005-0000-0000-00001C010000}"/>
    <cellStyle name="Normal 2 3 2 3" xfId="238" xr:uid="{00000000-0005-0000-0000-00001D010000}"/>
    <cellStyle name="Normal 2 3 2 3 2" xfId="438" xr:uid="{00000000-0005-0000-0000-00001E010000}"/>
    <cellStyle name="Normal 2 3 2 3 2 2" xfId="841" xr:uid="{00000000-0005-0000-0000-00001F010000}"/>
    <cellStyle name="Normal 2 3 2 3 3" xfId="641" xr:uid="{00000000-0005-0000-0000-000020010000}"/>
    <cellStyle name="Normal 2 3 2 4" xfId="158" xr:uid="{00000000-0005-0000-0000-000021010000}"/>
    <cellStyle name="Normal 2 3 2 4 2" xfId="358" xr:uid="{00000000-0005-0000-0000-000022010000}"/>
    <cellStyle name="Normal 2 3 2 4 2 2" xfId="761" xr:uid="{00000000-0005-0000-0000-000023010000}"/>
    <cellStyle name="Normal 2 3 2 4 3" xfId="561" xr:uid="{00000000-0005-0000-0000-000024010000}"/>
    <cellStyle name="Normal 2 3 2 5" xfId="278" xr:uid="{00000000-0005-0000-0000-000025010000}"/>
    <cellStyle name="Normal 2 3 2 5 2" xfId="681" xr:uid="{00000000-0005-0000-0000-000026010000}"/>
    <cellStyle name="Normal 2 3 2 6" xfId="481" xr:uid="{00000000-0005-0000-0000-000027010000}"/>
    <cellStyle name="Normal 2 3 3" xfId="98" xr:uid="{00000000-0005-0000-0000-000028010000}"/>
    <cellStyle name="Normal 2 3 3 2" xfId="178" xr:uid="{00000000-0005-0000-0000-000029010000}"/>
    <cellStyle name="Normal 2 3 3 2 2" xfId="378" xr:uid="{00000000-0005-0000-0000-00002A010000}"/>
    <cellStyle name="Normal 2 3 3 2 2 2" xfId="781" xr:uid="{00000000-0005-0000-0000-00002B010000}"/>
    <cellStyle name="Normal 2 3 3 2 3" xfId="581" xr:uid="{00000000-0005-0000-0000-00002C010000}"/>
    <cellStyle name="Normal 2 3 3 3" xfId="298" xr:uid="{00000000-0005-0000-0000-00002D010000}"/>
    <cellStyle name="Normal 2 3 3 3 2" xfId="701" xr:uid="{00000000-0005-0000-0000-00002E010000}"/>
    <cellStyle name="Normal 2 3 3 4" xfId="501" xr:uid="{00000000-0005-0000-0000-00002F010000}"/>
    <cellStyle name="Normal 2 3 4" xfId="218" xr:uid="{00000000-0005-0000-0000-000030010000}"/>
    <cellStyle name="Normal 2 3 4 2" xfId="418" xr:uid="{00000000-0005-0000-0000-000031010000}"/>
    <cellStyle name="Normal 2 3 4 2 2" xfId="821" xr:uid="{00000000-0005-0000-0000-000032010000}"/>
    <cellStyle name="Normal 2 3 4 3" xfId="621" xr:uid="{00000000-0005-0000-0000-000033010000}"/>
    <cellStyle name="Normal 2 3 5" xfId="138" xr:uid="{00000000-0005-0000-0000-000034010000}"/>
    <cellStyle name="Normal 2 3 5 2" xfId="338" xr:uid="{00000000-0005-0000-0000-000035010000}"/>
    <cellStyle name="Normal 2 3 5 2 2" xfId="741" xr:uid="{00000000-0005-0000-0000-000036010000}"/>
    <cellStyle name="Normal 2 3 5 3" xfId="541" xr:uid="{00000000-0005-0000-0000-000037010000}"/>
    <cellStyle name="Normal 2 3 6" xfId="258" xr:uid="{00000000-0005-0000-0000-000038010000}"/>
    <cellStyle name="Normal 2 3 6 2" xfId="661" xr:uid="{00000000-0005-0000-0000-000039010000}"/>
    <cellStyle name="Normal 2 3 7" xfId="461" xr:uid="{00000000-0005-0000-0000-00003A010000}"/>
    <cellStyle name="Normal 2 4" xfId="64" xr:uid="{00000000-0005-0000-0000-00003B010000}"/>
    <cellStyle name="Normal 2 4 2" xfId="104" xr:uid="{00000000-0005-0000-0000-00003C010000}"/>
    <cellStyle name="Normal 2 4 2 2" xfId="184" xr:uid="{00000000-0005-0000-0000-00003D010000}"/>
    <cellStyle name="Normal 2 4 2 2 2" xfId="384" xr:uid="{00000000-0005-0000-0000-00003E010000}"/>
    <cellStyle name="Normal 2 4 2 2 2 2" xfId="787" xr:uid="{00000000-0005-0000-0000-00003F010000}"/>
    <cellStyle name="Normal 2 4 2 2 3" xfId="587" xr:uid="{00000000-0005-0000-0000-000040010000}"/>
    <cellStyle name="Normal 2 4 2 3" xfId="304" xr:uid="{00000000-0005-0000-0000-000041010000}"/>
    <cellStyle name="Normal 2 4 2 3 2" xfId="707" xr:uid="{00000000-0005-0000-0000-000042010000}"/>
    <cellStyle name="Normal 2 4 2 4" xfId="507" xr:uid="{00000000-0005-0000-0000-000043010000}"/>
    <cellStyle name="Normal 2 4 3" xfId="224" xr:uid="{00000000-0005-0000-0000-000044010000}"/>
    <cellStyle name="Normal 2 4 3 2" xfId="424" xr:uid="{00000000-0005-0000-0000-000045010000}"/>
    <cellStyle name="Normal 2 4 3 2 2" xfId="827" xr:uid="{00000000-0005-0000-0000-000046010000}"/>
    <cellStyle name="Normal 2 4 3 3" xfId="627" xr:uid="{00000000-0005-0000-0000-000047010000}"/>
    <cellStyle name="Normal 2 4 4" xfId="144" xr:uid="{00000000-0005-0000-0000-000048010000}"/>
    <cellStyle name="Normal 2 4 4 2" xfId="344" xr:uid="{00000000-0005-0000-0000-000049010000}"/>
    <cellStyle name="Normal 2 4 4 2 2" xfId="747" xr:uid="{00000000-0005-0000-0000-00004A010000}"/>
    <cellStyle name="Normal 2 4 4 3" xfId="547" xr:uid="{00000000-0005-0000-0000-00004B010000}"/>
    <cellStyle name="Normal 2 4 5" xfId="264" xr:uid="{00000000-0005-0000-0000-00004C010000}"/>
    <cellStyle name="Normal 2 4 5 2" xfId="667" xr:uid="{00000000-0005-0000-0000-00004D010000}"/>
    <cellStyle name="Normal 2 4 6" xfId="467" xr:uid="{00000000-0005-0000-0000-00004E010000}"/>
    <cellStyle name="Normal 2 5" xfId="84" xr:uid="{00000000-0005-0000-0000-00004F010000}"/>
    <cellStyle name="Normal 2 5 2" xfId="164" xr:uid="{00000000-0005-0000-0000-000050010000}"/>
    <cellStyle name="Normal 2 5 2 2" xfId="364" xr:uid="{00000000-0005-0000-0000-000051010000}"/>
    <cellStyle name="Normal 2 5 2 2 2" xfId="767" xr:uid="{00000000-0005-0000-0000-000052010000}"/>
    <cellStyle name="Normal 2 5 2 3" xfId="567" xr:uid="{00000000-0005-0000-0000-000053010000}"/>
    <cellStyle name="Normal 2 5 3" xfId="284" xr:uid="{00000000-0005-0000-0000-000054010000}"/>
    <cellStyle name="Normal 2 5 3 2" xfId="687" xr:uid="{00000000-0005-0000-0000-000055010000}"/>
    <cellStyle name="Normal 2 5 4" xfId="487" xr:uid="{00000000-0005-0000-0000-000056010000}"/>
    <cellStyle name="Normal 2 6" xfId="204" xr:uid="{00000000-0005-0000-0000-000057010000}"/>
    <cellStyle name="Normal 2 6 2" xfId="404" xr:uid="{00000000-0005-0000-0000-000058010000}"/>
    <cellStyle name="Normal 2 6 2 2" xfId="807" xr:uid="{00000000-0005-0000-0000-000059010000}"/>
    <cellStyle name="Normal 2 6 3" xfId="607" xr:uid="{00000000-0005-0000-0000-00005A010000}"/>
    <cellStyle name="Normal 2 7" xfId="124" xr:uid="{00000000-0005-0000-0000-00005B010000}"/>
    <cellStyle name="Normal 2 7 2" xfId="324" xr:uid="{00000000-0005-0000-0000-00005C010000}"/>
    <cellStyle name="Normal 2 7 2 2" xfId="727" xr:uid="{00000000-0005-0000-0000-00005D010000}"/>
    <cellStyle name="Normal 2 7 3" xfId="527" xr:uid="{00000000-0005-0000-0000-00005E010000}"/>
    <cellStyle name="Normal 2 8" xfId="446" xr:uid="{00000000-0005-0000-0000-00005F010000}"/>
    <cellStyle name="Normal 2 8 2" xfId="848" xr:uid="{00000000-0005-0000-0000-000060010000}"/>
    <cellStyle name="Normal 2 9" xfId="244" xr:uid="{00000000-0005-0000-0000-000061010000}"/>
    <cellStyle name="Normal 2 9 2" xfId="647" xr:uid="{00000000-0005-0000-0000-000062010000}"/>
    <cellStyle name="Normal 3" xfId="46" xr:uid="{00000000-0005-0000-0000-000063010000}"/>
    <cellStyle name="Normal 3 10" xfId="445" xr:uid="{00000000-0005-0000-0000-000064010000}"/>
    <cellStyle name="Normal 3 11" xfId="246" xr:uid="{00000000-0005-0000-0000-000065010000}"/>
    <cellStyle name="Normal 3 11 2" xfId="649" xr:uid="{00000000-0005-0000-0000-000066010000}"/>
    <cellStyle name="Normal 3 12" xfId="449" xr:uid="{00000000-0005-0000-0000-000067010000}"/>
    <cellStyle name="Normal 3 2" xfId="49" xr:uid="{00000000-0005-0000-0000-000068010000}"/>
    <cellStyle name="Normal 3 2 2" xfId="63" xr:uid="{00000000-0005-0000-0000-000069010000}"/>
    <cellStyle name="Normal 3 2 2 2" xfId="83" xr:uid="{00000000-0005-0000-0000-00006A010000}"/>
    <cellStyle name="Normal 3 2 2 2 2" xfId="123" xr:uid="{00000000-0005-0000-0000-00006B010000}"/>
    <cellStyle name="Normal 3 2 2 2 2 2" xfId="203" xr:uid="{00000000-0005-0000-0000-00006C010000}"/>
    <cellStyle name="Normal 3 2 2 2 2 2 2" xfId="403" xr:uid="{00000000-0005-0000-0000-00006D010000}"/>
    <cellStyle name="Normal 3 2 2 2 2 2 2 2" xfId="806" xr:uid="{00000000-0005-0000-0000-00006E010000}"/>
    <cellStyle name="Normal 3 2 2 2 2 2 3" xfId="606" xr:uid="{00000000-0005-0000-0000-00006F010000}"/>
    <cellStyle name="Normal 3 2 2 2 2 3" xfId="323" xr:uid="{00000000-0005-0000-0000-000070010000}"/>
    <cellStyle name="Normal 3 2 2 2 2 3 2" xfId="726" xr:uid="{00000000-0005-0000-0000-000071010000}"/>
    <cellStyle name="Normal 3 2 2 2 2 4" xfId="526" xr:uid="{00000000-0005-0000-0000-000072010000}"/>
    <cellStyle name="Normal 3 2 2 2 3" xfId="243" xr:uid="{00000000-0005-0000-0000-000073010000}"/>
    <cellStyle name="Normal 3 2 2 2 3 2" xfId="443" xr:uid="{00000000-0005-0000-0000-000074010000}"/>
    <cellStyle name="Normal 3 2 2 2 3 2 2" xfId="846" xr:uid="{00000000-0005-0000-0000-000075010000}"/>
    <cellStyle name="Normal 3 2 2 2 3 3" xfId="646" xr:uid="{00000000-0005-0000-0000-000076010000}"/>
    <cellStyle name="Normal 3 2 2 2 4" xfId="163" xr:uid="{00000000-0005-0000-0000-000077010000}"/>
    <cellStyle name="Normal 3 2 2 2 4 2" xfId="363" xr:uid="{00000000-0005-0000-0000-000078010000}"/>
    <cellStyle name="Normal 3 2 2 2 4 2 2" xfId="766" xr:uid="{00000000-0005-0000-0000-000079010000}"/>
    <cellStyle name="Normal 3 2 2 2 4 3" xfId="566" xr:uid="{00000000-0005-0000-0000-00007A010000}"/>
    <cellStyle name="Normal 3 2 2 2 5" xfId="283" xr:uid="{00000000-0005-0000-0000-00007B010000}"/>
    <cellStyle name="Normal 3 2 2 2 5 2" xfId="686" xr:uid="{00000000-0005-0000-0000-00007C010000}"/>
    <cellStyle name="Normal 3 2 2 2 6" xfId="486" xr:uid="{00000000-0005-0000-0000-00007D010000}"/>
    <cellStyle name="Normal 3 2 2 3" xfId="103" xr:uid="{00000000-0005-0000-0000-00007E010000}"/>
    <cellStyle name="Normal 3 2 2 3 2" xfId="183" xr:uid="{00000000-0005-0000-0000-00007F010000}"/>
    <cellStyle name="Normal 3 2 2 3 2 2" xfId="383" xr:uid="{00000000-0005-0000-0000-000080010000}"/>
    <cellStyle name="Normal 3 2 2 3 2 2 2" xfId="786" xr:uid="{00000000-0005-0000-0000-000081010000}"/>
    <cellStyle name="Normal 3 2 2 3 2 3" xfId="586" xr:uid="{00000000-0005-0000-0000-000082010000}"/>
    <cellStyle name="Normal 3 2 2 3 3" xfId="303" xr:uid="{00000000-0005-0000-0000-000083010000}"/>
    <cellStyle name="Normal 3 2 2 3 3 2" xfId="706" xr:uid="{00000000-0005-0000-0000-000084010000}"/>
    <cellStyle name="Normal 3 2 2 3 4" xfId="506" xr:uid="{00000000-0005-0000-0000-000085010000}"/>
    <cellStyle name="Normal 3 2 2 4" xfId="223" xr:uid="{00000000-0005-0000-0000-000086010000}"/>
    <cellStyle name="Normal 3 2 2 4 2" xfId="423" xr:uid="{00000000-0005-0000-0000-000087010000}"/>
    <cellStyle name="Normal 3 2 2 4 2 2" xfId="826" xr:uid="{00000000-0005-0000-0000-000088010000}"/>
    <cellStyle name="Normal 3 2 2 4 3" xfId="626" xr:uid="{00000000-0005-0000-0000-000089010000}"/>
    <cellStyle name="Normal 3 2 2 5" xfId="143" xr:uid="{00000000-0005-0000-0000-00008A010000}"/>
    <cellStyle name="Normal 3 2 2 5 2" xfId="343" xr:uid="{00000000-0005-0000-0000-00008B010000}"/>
    <cellStyle name="Normal 3 2 2 5 2 2" xfId="746" xr:uid="{00000000-0005-0000-0000-00008C010000}"/>
    <cellStyle name="Normal 3 2 2 5 3" xfId="546" xr:uid="{00000000-0005-0000-0000-00008D010000}"/>
    <cellStyle name="Normal 3 2 2 6" xfId="263" xr:uid="{00000000-0005-0000-0000-00008E010000}"/>
    <cellStyle name="Normal 3 2 2 6 2" xfId="666" xr:uid="{00000000-0005-0000-0000-00008F010000}"/>
    <cellStyle name="Normal 3 2 2 7" xfId="466" xr:uid="{00000000-0005-0000-0000-000090010000}"/>
    <cellStyle name="Normal 3 2 3" xfId="57" xr:uid="{00000000-0005-0000-0000-000091010000}"/>
    <cellStyle name="Normal 3 2 3 2" xfId="77" xr:uid="{00000000-0005-0000-0000-000092010000}"/>
    <cellStyle name="Normal 3 2 3 2 2" xfId="117" xr:uid="{00000000-0005-0000-0000-000093010000}"/>
    <cellStyle name="Normal 3 2 3 2 2 2" xfId="197" xr:uid="{00000000-0005-0000-0000-000094010000}"/>
    <cellStyle name="Normal 3 2 3 2 2 2 2" xfId="397" xr:uid="{00000000-0005-0000-0000-000095010000}"/>
    <cellStyle name="Normal 3 2 3 2 2 2 2 2" xfId="800" xr:uid="{00000000-0005-0000-0000-000096010000}"/>
    <cellStyle name="Normal 3 2 3 2 2 2 3" xfId="600" xr:uid="{00000000-0005-0000-0000-000097010000}"/>
    <cellStyle name="Normal 3 2 3 2 2 3" xfId="317" xr:uid="{00000000-0005-0000-0000-000098010000}"/>
    <cellStyle name="Normal 3 2 3 2 2 3 2" xfId="720" xr:uid="{00000000-0005-0000-0000-000099010000}"/>
    <cellStyle name="Normal 3 2 3 2 2 4" xfId="520" xr:uid="{00000000-0005-0000-0000-00009A010000}"/>
    <cellStyle name="Normal 3 2 3 2 3" xfId="237" xr:uid="{00000000-0005-0000-0000-00009B010000}"/>
    <cellStyle name="Normal 3 2 3 2 3 2" xfId="437" xr:uid="{00000000-0005-0000-0000-00009C010000}"/>
    <cellStyle name="Normal 3 2 3 2 3 2 2" xfId="840" xr:uid="{00000000-0005-0000-0000-00009D010000}"/>
    <cellStyle name="Normal 3 2 3 2 3 3" xfId="640" xr:uid="{00000000-0005-0000-0000-00009E010000}"/>
    <cellStyle name="Normal 3 2 3 2 4" xfId="157" xr:uid="{00000000-0005-0000-0000-00009F010000}"/>
    <cellStyle name="Normal 3 2 3 2 4 2" xfId="357" xr:uid="{00000000-0005-0000-0000-0000A0010000}"/>
    <cellStyle name="Normal 3 2 3 2 4 2 2" xfId="760" xr:uid="{00000000-0005-0000-0000-0000A1010000}"/>
    <cellStyle name="Normal 3 2 3 2 4 3" xfId="560" xr:uid="{00000000-0005-0000-0000-0000A2010000}"/>
    <cellStyle name="Normal 3 2 3 2 5" xfId="277" xr:uid="{00000000-0005-0000-0000-0000A3010000}"/>
    <cellStyle name="Normal 3 2 3 2 5 2" xfId="680" xr:uid="{00000000-0005-0000-0000-0000A4010000}"/>
    <cellStyle name="Normal 3 2 3 2 6" xfId="480" xr:uid="{00000000-0005-0000-0000-0000A5010000}"/>
    <cellStyle name="Normal 3 2 3 3" xfId="97" xr:uid="{00000000-0005-0000-0000-0000A6010000}"/>
    <cellStyle name="Normal 3 2 3 3 2" xfId="177" xr:uid="{00000000-0005-0000-0000-0000A7010000}"/>
    <cellStyle name="Normal 3 2 3 3 2 2" xfId="377" xr:uid="{00000000-0005-0000-0000-0000A8010000}"/>
    <cellStyle name="Normal 3 2 3 3 2 2 2" xfId="780" xr:uid="{00000000-0005-0000-0000-0000A9010000}"/>
    <cellStyle name="Normal 3 2 3 3 2 3" xfId="580" xr:uid="{00000000-0005-0000-0000-0000AA010000}"/>
    <cellStyle name="Normal 3 2 3 3 3" xfId="297" xr:uid="{00000000-0005-0000-0000-0000AB010000}"/>
    <cellStyle name="Normal 3 2 3 3 3 2" xfId="700" xr:uid="{00000000-0005-0000-0000-0000AC010000}"/>
    <cellStyle name="Normal 3 2 3 3 4" xfId="500" xr:uid="{00000000-0005-0000-0000-0000AD010000}"/>
    <cellStyle name="Normal 3 2 3 4" xfId="217" xr:uid="{00000000-0005-0000-0000-0000AE010000}"/>
    <cellStyle name="Normal 3 2 3 4 2" xfId="417" xr:uid="{00000000-0005-0000-0000-0000AF010000}"/>
    <cellStyle name="Normal 3 2 3 4 2 2" xfId="820" xr:uid="{00000000-0005-0000-0000-0000B0010000}"/>
    <cellStyle name="Normal 3 2 3 4 3" xfId="620" xr:uid="{00000000-0005-0000-0000-0000B1010000}"/>
    <cellStyle name="Normal 3 2 3 5" xfId="137" xr:uid="{00000000-0005-0000-0000-0000B2010000}"/>
    <cellStyle name="Normal 3 2 3 5 2" xfId="337" xr:uid="{00000000-0005-0000-0000-0000B3010000}"/>
    <cellStyle name="Normal 3 2 3 5 2 2" xfId="740" xr:uid="{00000000-0005-0000-0000-0000B4010000}"/>
    <cellStyle name="Normal 3 2 3 5 3" xfId="540" xr:uid="{00000000-0005-0000-0000-0000B5010000}"/>
    <cellStyle name="Normal 3 2 3 6" xfId="257" xr:uid="{00000000-0005-0000-0000-0000B6010000}"/>
    <cellStyle name="Normal 3 2 3 6 2" xfId="660" xr:uid="{00000000-0005-0000-0000-0000B7010000}"/>
    <cellStyle name="Normal 3 2 3 7" xfId="460" xr:uid="{00000000-0005-0000-0000-0000B8010000}"/>
    <cellStyle name="Normal 3 2 4" xfId="69" xr:uid="{00000000-0005-0000-0000-0000B9010000}"/>
    <cellStyle name="Normal 3 2 4 2" xfId="109" xr:uid="{00000000-0005-0000-0000-0000BA010000}"/>
    <cellStyle name="Normal 3 2 4 2 2" xfId="189" xr:uid="{00000000-0005-0000-0000-0000BB010000}"/>
    <cellStyle name="Normal 3 2 4 2 2 2" xfId="389" xr:uid="{00000000-0005-0000-0000-0000BC010000}"/>
    <cellStyle name="Normal 3 2 4 2 2 2 2" xfId="792" xr:uid="{00000000-0005-0000-0000-0000BD010000}"/>
    <cellStyle name="Normal 3 2 4 2 2 3" xfId="592" xr:uid="{00000000-0005-0000-0000-0000BE010000}"/>
    <cellStyle name="Normal 3 2 4 2 3" xfId="309" xr:uid="{00000000-0005-0000-0000-0000BF010000}"/>
    <cellStyle name="Normal 3 2 4 2 3 2" xfId="712" xr:uid="{00000000-0005-0000-0000-0000C0010000}"/>
    <cellStyle name="Normal 3 2 4 2 4" xfId="512" xr:uid="{00000000-0005-0000-0000-0000C1010000}"/>
    <cellStyle name="Normal 3 2 4 3" xfId="229" xr:uid="{00000000-0005-0000-0000-0000C2010000}"/>
    <cellStyle name="Normal 3 2 4 3 2" xfId="429" xr:uid="{00000000-0005-0000-0000-0000C3010000}"/>
    <cellStyle name="Normal 3 2 4 3 2 2" xfId="832" xr:uid="{00000000-0005-0000-0000-0000C4010000}"/>
    <cellStyle name="Normal 3 2 4 3 3" xfId="632" xr:uid="{00000000-0005-0000-0000-0000C5010000}"/>
    <cellStyle name="Normal 3 2 4 4" xfId="149" xr:uid="{00000000-0005-0000-0000-0000C6010000}"/>
    <cellStyle name="Normal 3 2 4 4 2" xfId="349" xr:uid="{00000000-0005-0000-0000-0000C7010000}"/>
    <cellStyle name="Normal 3 2 4 4 2 2" xfId="752" xr:uid="{00000000-0005-0000-0000-0000C8010000}"/>
    <cellStyle name="Normal 3 2 4 4 3" xfId="552" xr:uid="{00000000-0005-0000-0000-0000C9010000}"/>
    <cellStyle name="Normal 3 2 4 5" xfId="269" xr:uid="{00000000-0005-0000-0000-0000CA010000}"/>
    <cellStyle name="Normal 3 2 4 5 2" xfId="672" xr:uid="{00000000-0005-0000-0000-0000CB010000}"/>
    <cellStyle name="Normal 3 2 4 6" xfId="472" xr:uid="{00000000-0005-0000-0000-0000CC010000}"/>
    <cellStyle name="Normal 3 2 5" xfId="89" xr:uid="{00000000-0005-0000-0000-0000CD010000}"/>
    <cellStyle name="Normal 3 2 5 2" xfId="169" xr:uid="{00000000-0005-0000-0000-0000CE010000}"/>
    <cellStyle name="Normal 3 2 5 2 2" xfId="369" xr:uid="{00000000-0005-0000-0000-0000CF010000}"/>
    <cellStyle name="Normal 3 2 5 2 2 2" xfId="772" xr:uid="{00000000-0005-0000-0000-0000D0010000}"/>
    <cellStyle name="Normal 3 2 5 2 3" xfId="572" xr:uid="{00000000-0005-0000-0000-0000D1010000}"/>
    <cellStyle name="Normal 3 2 5 3" xfId="289" xr:uid="{00000000-0005-0000-0000-0000D2010000}"/>
    <cellStyle name="Normal 3 2 5 3 2" xfId="692" xr:uid="{00000000-0005-0000-0000-0000D3010000}"/>
    <cellStyle name="Normal 3 2 5 4" xfId="492" xr:uid="{00000000-0005-0000-0000-0000D4010000}"/>
    <cellStyle name="Normal 3 2 6" xfId="209" xr:uid="{00000000-0005-0000-0000-0000D5010000}"/>
    <cellStyle name="Normal 3 2 6 2" xfId="409" xr:uid="{00000000-0005-0000-0000-0000D6010000}"/>
    <cellStyle name="Normal 3 2 6 2 2" xfId="812" xr:uid="{00000000-0005-0000-0000-0000D7010000}"/>
    <cellStyle name="Normal 3 2 6 3" xfId="612" xr:uid="{00000000-0005-0000-0000-0000D8010000}"/>
    <cellStyle name="Normal 3 2 7" xfId="129" xr:uid="{00000000-0005-0000-0000-0000D9010000}"/>
    <cellStyle name="Normal 3 2 7 2" xfId="329" xr:uid="{00000000-0005-0000-0000-0000DA010000}"/>
    <cellStyle name="Normal 3 2 7 2 2" xfId="732" xr:uid="{00000000-0005-0000-0000-0000DB010000}"/>
    <cellStyle name="Normal 3 2 7 3" xfId="532" xr:uid="{00000000-0005-0000-0000-0000DC010000}"/>
    <cellStyle name="Normal 3 2 8" xfId="249" xr:uid="{00000000-0005-0000-0000-0000DD010000}"/>
    <cellStyle name="Normal 3 2 8 2" xfId="652" xr:uid="{00000000-0005-0000-0000-0000DE010000}"/>
    <cellStyle name="Normal 3 2 9" xfId="452" xr:uid="{00000000-0005-0000-0000-0000DF010000}"/>
    <cellStyle name="Normal 3 3" xfId="56" xr:uid="{00000000-0005-0000-0000-0000E0010000}"/>
    <cellStyle name="Normal 3 3 2" xfId="76" xr:uid="{00000000-0005-0000-0000-0000E1010000}"/>
    <cellStyle name="Normal 3 3 2 2" xfId="116" xr:uid="{00000000-0005-0000-0000-0000E2010000}"/>
    <cellStyle name="Normal 3 3 2 2 2" xfId="196" xr:uid="{00000000-0005-0000-0000-0000E3010000}"/>
    <cellStyle name="Normal 3 3 2 2 2 2" xfId="396" xr:uid="{00000000-0005-0000-0000-0000E4010000}"/>
    <cellStyle name="Normal 3 3 2 2 2 2 2" xfId="799" xr:uid="{00000000-0005-0000-0000-0000E5010000}"/>
    <cellStyle name="Normal 3 3 2 2 2 3" xfId="599" xr:uid="{00000000-0005-0000-0000-0000E6010000}"/>
    <cellStyle name="Normal 3 3 2 2 3" xfId="316" xr:uid="{00000000-0005-0000-0000-0000E7010000}"/>
    <cellStyle name="Normal 3 3 2 2 3 2" xfId="719" xr:uid="{00000000-0005-0000-0000-0000E8010000}"/>
    <cellStyle name="Normal 3 3 2 2 4" xfId="519" xr:uid="{00000000-0005-0000-0000-0000E9010000}"/>
    <cellStyle name="Normal 3 3 2 3" xfId="236" xr:uid="{00000000-0005-0000-0000-0000EA010000}"/>
    <cellStyle name="Normal 3 3 2 3 2" xfId="436" xr:uid="{00000000-0005-0000-0000-0000EB010000}"/>
    <cellStyle name="Normal 3 3 2 3 2 2" xfId="839" xr:uid="{00000000-0005-0000-0000-0000EC010000}"/>
    <cellStyle name="Normal 3 3 2 3 3" xfId="639" xr:uid="{00000000-0005-0000-0000-0000ED010000}"/>
    <cellStyle name="Normal 3 3 2 4" xfId="156" xr:uid="{00000000-0005-0000-0000-0000EE010000}"/>
    <cellStyle name="Normal 3 3 2 4 2" xfId="356" xr:uid="{00000000-0005-0000-0000-0000EF010000}"/>
    <cellStyle name="Normal 3 3 2 4 2 2" xfId="759" xr:uid="{00000000-0005-0000-0000-0000F0010000}"/>
    <cellStyle name="Normal 3 3 2 4 3" xfId="559" xr:uid="{00000000-0005-0000-0000-0000F1010000}"/>
    <cellStyle name="Normal 3 3 2 5" xfId="276" xr:uid="{00000000-0005-0000-0000-0000F2010000}"/>
    <cellStyle name="Normal 3 3 2 5 2" xfId="679" xr:uid="{00000000-0005-0000-0000-0000F3010000}"/>
    <cellStyle name="Normal 3 3 2 6" xfId="479" xr:uid="{00000000-0005-0000-0000-0000F4010000}"/>
    <cellStyle name="Normal 3 3 3" xfId="96" xr:uid="{00000000-0005-0000-0000-0000F5010000}"/>
    <cellStyle name="Normal 3 3 3 2" xfId="176" xr:uid="{00000000-0005-0000-0000-0000F6010000}"/>
    <cellStyle name="Normal 3 3 3 2 2" xfId="376" xr:uid="{00000000-0005-0000-0000-0000F7010000}"/>
    <cellStyle name="Normal 3 3 3 2 2 2" xfId="779" xr:uid="{00000000-0005-0000-0000-0000F8010000}"/>
    <cellStyle name="Normal 3 3 3 2 3" xfId="579" xr:uid="{00000000-0005-0000-0000-0000F9010000}"/>
    <cellStyle name="Normal 3 3 3 3" xfId="296" xr:uid="{00000000-0005-0000-0000-0000FA010000}"/>
    <cellStyle name="Normal 3 3 3 3 2" xfId="699" xr:uid="{00000000-0005-0000-0000-0000FB010000}"/>
    <cellStyle name="Normal 3 3 3 4" xfId="499" xr:uid="{00000000-0005-0000-0000-0000FC010000}"/>
    <cellStyle name="Normal 3 3 4" xfId="216" xr:uid="{00000000-0005-0000-0000-0000FD010000}"/>
    <cellStyle name="Normal 3 3 4 2" xfId="416" xr:uid="{00000000-0005-0000-0000-0000FE010000}"/>
    <cellStyle name="Normal 3 3 4 2 2" xfId="819" xr:uid="{00000000-0005-0000-0000-0000FF010000}"/>
    <cellStyle name="Normal 3 3 4 3" xfId="619" xr:uid="{00000000-0005-0000-0000-000000020000}"/>
    <cellStyle name="Normal 3 3 5" xfId="136" xr:uid="{00000000-0005-0000-0000-000001020000}"/>
    <cellStyle name="Normal 3 3 5 2" xfId="336" xr:uid="{00000000-0005-0000-0000-000002020000}"/>
    <cellStyle name="Normal 3 3 5 2 2" xfId="739" xr:uid="{00000000-0005-0000-0000-000003020000}"/>
    <cellStyle name="Normal 3 3 5 3" xfId="539" xr:uid="{00000000-0005-0000-0000-000004020000}"/>
    <cellStyle name="Normal 3 3 6" xfId="256" xr:uid="{00000000-0005-0000-0000-000005020000}"/>
    <cellStyle name="Normal 3 3 6 2" xfId="659" xr:uid="{00000000-0005-0000-0000-000006020000}"/>
    <cellStyle name="Normal 3 3 7" xfId="459" xr:uid="{00000000-0005-0000-0000-000007020000}"/>
    <cellStyle name="Normal 3 4" xfId="60" xr:uid="{00000000-0005-0000-0000-000008020000}"/>
    <cellStyle name="Normal 3 4 2" xfId="80" xr:uid="{00000000-0005-0000-0000-000009020000}"/>
    <cellStyle name="Normal 3 4 2 2" xfId="120" xr:uid="{00000000-0005-0000-0000-00000A020000}"/>
    <cellStyle name="Normal 3 4 2 2 2" xfId="200" xr:uid="{00000000-0005-0000-0000-00000B020000}"/>
    <cellStyle name="Normal 3 4 2 2 2 2" xfId="400" xr:uid="{00000000-0005-0000-0000-00000C020000}"/>
    <cellStyle name="Normal 3 4 2 2 2 2 2" xfId="803" xr:uid="{00000000-0005-0000-0000-00000D020000}"/>
    <cellStyle name="Normal 3 4 2 2 2 3" xfId="603" xr:uid="{00000000-0005-0000-0000-00000E020000}"/>
    <cellStyle name="Normal 3 4 2 2 3" xfId="320" xr:uid="{00000000-0005-0000-0000-00000F020000}"/>
    <cellStyle name="Normal 3 4 2 2 3 2" xfId="723" xr:uid="{00000000-0005-0000-0000-000010020000}"/>
    <cellStyle name="Normal 3 4 2 2 4" xfId="523" xr:uid="{00000000-0005-0000-0000-000011020000}"/>
    <cellStyle name="Normal 3 4 2 3" xfId="240" xr:uid="{00000000-0005-0000-0000-000012020000}"/>
    <cellStyle name="Normal 3 4 2 3 2" xfId="440" xr:uid="{00000000-0005-0000-0000-000013020000}"/>
    <cellStyle name="Normal 3 4 2 3 2 2" xfId="843" xr:uid="{00000000-0005-0000-0000-000014020000}"/>
    <cellStyle name="Normal 3 4 2 3 3" xfId="643" xr:uid="{00000000-0005-0000-0000-000015020000}"/>
    <cellStyle name="Normal 3 4 2 4" xfId="160" xr:uid="{00000000-0005-0000-0000-000016020000}"/>
    <cellStyle name="Normal 3 4 2 4 2" xfId="360" xr:uid="{00000000-0005-0000-0000-000017020000}"/>
    <cellStyle name="Normal 3 4 2 4 2 2" xfId="763" xr:uid="{00000000-0005-0000-0000-000018020000}"/>
    <cellStyle name="Normal 3 4 2 4 3" xfId="563" xr:uid="{00000000-0005-0000-0000-000019020000}"/>
    <cellStyle name="Normal 3 4 2 5" xfId="280" xr:uid="{00000000-0005-0000-0000-00001A020000}"/>
    <cellStyle name="Normal 3 4 2 5 2" xfId="683" xr:uid="{00000000-0005-0000-0000-00001B020000}"/>
    <cellStyle name="Normal 3 4 2 6" xfId="483" xr:uid="{00000000-0005-0000-0000-00001C020000}"/>
    <cellStyle name="Normal 3 4 3" xfId="100" xr:uid="{00000000-0005-0000-0000-00001D020000}"/>
    <cellStyle name="Normal 3 4 3 2" xfId="180" xr:uid="{00000000-0005-0000-0000-00001E020000}"/>
    <cellStyle name="Normal 3 4 3 2 2" xfId="380" xr:uid="{00000000-0005-0000-0000-00001F020000}"/>
    <cellStyle name="Normal 3 4 3 2 2 2" xfId="783" xr:uid="{00000000-0005-0000-0000-000020020000}"/>
    <cellStyle name="Normal 3 4 3 2 3" xfId="583" xr:uid="{00000000-0005-0000-0000-000021020000}"/>
    <cellStyle name="Normal 3 4 3 3" xfId="300" xr:uid="{00000000-0005-0000-0000-000022020000}"/>
    <cellStyle name="Normal 3 4 3 3 2" xfId="703" xr:uid="{00000000-0005-0000-0000-000023020000}"/>
    <cellStyle name="Normal 3 4 3 4" xfId="503" xr:uid="{00000000-0005-0000-0000-000024020000}"/>
    <cellStyle name="Normal 3 4 4" xfId="220" xr:uid="{00000000-0005-0000-0000-000025020000}"/>
    <cellStyle name="Normal 3 4 4 2" xfId="420" xr:uid="{00000000-0005-0000-0000-000026020000}"/>
    <cellStyle name="Normal 3 4 4 2 2" xfId="823" xr:uid="{00000000-0005-0000-0000-000027020000}"/>
    <cellStyle name="Normal 3 4 4 3" xfId="623" xr:uid="{00000000-0005-0000-0000-000028020000}"/>
    <cellStyle name="Normal 3 4 5" xfId="140" xr:uid="{00000000-0005-0000-0000-000029020000}"/>
    <cellStyle name="Normal 3 4 5 2" xfId="340" xr:uid="{00000000-0005-0000-0000-00002A020000}"/>
    <cellStyle name="Normal 3 4 5 2 2" xfId="743" xr:uid="{00000000-0005-0000-0000-00002B020000}"/>
    <cellStyle name="Normal 3 4 5 3" xfId="543" xr:uid="{00000000-0005-0000-0000-00002C020000}"/>
    <cellStyle name="Normal 3 4 6" xfId="260" xr:uid="{00000000-0005-0000-0000-00002D020000}"/>
    <cellStyle name="Normal 3 4 6 2" xfId="663" xr:uid="{00000000-0005-0000-0000-00002E020000}"/>
    <cellStyle name="Normal 3 4 7" xfId="463" xr:uid="{00000000-0005-0000-0000-00002F020000}"/>
    <cellStyle name="Normal 3 5" xfId="50" xr:uid="{00000000-0005-0000-0000-000030020000}"/>
    <cellStyle name="Normal 3 5 2" xfId="70" xr:uid="{00000000-0005-0000-0000-000031020000}"/>
    <cellStyle name="Normal 3 5 2 2" xfId="110" xr:uid="{00000000-0005-0000-0000-000032020000}"/>
    <cellStyle name="Normal 3 5 2 2 2" xfId="190" xr:uid="{00000000-0005-0000-0000-000033020000}"/>
    <cellStyle name="Normal 3 5 2 2 2 2" xfId="390" xr:uid="{00000000-0005-0000-0000-000034020000}"/>
    <cellStyle name="Normal 3 5 2 2 2 2 2" xfId="793" xr:uid="{00000000-0005-0000-0000-000035020000}"/>
    <cellStyle name="Normal 3 5 2 2 2 3" xfId="593" xr:uid="{00000000-0005-0000-0000-000036020000}"/>
    <cellStyle name="Normal 3 5 2 2 3" xfId="310" xr:uid="{00000000-0005-0000-0000-000037020000}"/>
    <cellStyle name="Normal 3 5 2 2 3 2" xfId="713" xr:uid="{00000000-0005-0000-0000-000038020000}"/>
    <cellStyle name="Normal 3 5 2 2 4" xfId="513" xr:uid="{00000000-0005-0000-0000-000039020000}"/>
    <cellStyle name="Normal 3 5 2 3" xfId="230" xr:uid="{00000000-0005-0000-0000-00003A020000}"/>
    <cellStyle name="Normal 3 5 2 3 2" xfId="430" xr:uid="{00000000-0005-0000-0000-00003B020000}"/>
    <cellStyle name="Normal 3 5 2 3 2 2" xfId="833" xr:uid="{00000000-0005-0000-0000-00003C020000}"/>
    <cellStyle name="Normal 3 5 2 3 3" xfId="633" xr:uid="{00000000-0005-0000-0000-00003D020000}"/>
    <cellStyle name="Normal 3 5 2 4" xfId="150" xr:uid="{00000000-0005-0000-0000-00003E020000}"/>
    <cellStyle name="Normal 3 5 2 4 2" xfId="350" xr:uid="{00000000-0005-0000-0000-00003F020000}"/>
    <cellStyle name="Normal 3 5 2 4 2 2" xfId="753" xr:uid="{00000000-0005-0000-0000-000040020000}"/>
    <cellStyle name="Normal 3 5 2 4 3" xfId="553" xr:uid="{00000000-0005-0000-0000-000041020000}"/>
    <cellStyle name="Normal 3 5 2 5" xfId="270" xr:uid="{00000000-0005-0000-0000-000042020000}"/>
    <cellStyle name="Normal 3 5 2 5 2" xfId="673" xr:uid="{00000000-0005-0000-0000-000043020000}"/>
    <cellStyle name="Normal 3 5 2 6" xfId="473" xr:uid="{00000000-0005-0000-0000-000044020000}"/>
    <cellStyle name="Normal 3 5 3" xfId="90" xr:uid="{00000000-0005-0000-0000-000045020000}"/>
    <cellStyle name="Normal 3 5 3 2" xfId="170" xr:uid="{00000000-0005-0000-0000-000046020000}"/>
    <cellStyle name="Normal 3 5 3 2 2" xfId="370" xr:uid="{00000000-0005-0000-0000-000047020000}"/>
    <cellStyle name="Normal 3 5 3 2 2 2" xfId="773" xr:uid="{00000000-0005-0000-0000-000048020000}"/>
    <cellStyle name="Normal 3 5 3 2 3" xfId="573" xr:uid="{00000000-0005-0000-0000-000049020000}"/>
    <cellStyle name="Normal 3 5 3 3" xfId="290" xr:uid="{00000000-0005-0000-0000-00004A020000}"/>
    <cellStyle name="Normal 3 5 3 3 2" xfId="693" xr:uid="{00000000-0005-0000-0000-00004B020000}"/>
    <cellStyle name="Normal 3 5 3 4" xfId="493" xr:uid="{00000000-0005-0000-0000-00004C020000}"/>
    <cellStyle name="Normal 3 5 4" xfId="210" xr:uid="{00000000-0005-0000-0000-00004D020000}"/>
    <cellStyle name="Normal 3 5 4 2" xfId="410" xr:uid="{00000000-0005-0000-0000-00004E020000}"/>
    <cellStyle name="Normal 3 5 4 2 2" xfId="813" xr:uid="{00000000-0005-0000-0000-00004F020000}"/>
    <cellStyle name="Normal 3 5 4 3" xfId="613" xr:uid="{00000000-0005-0000-0000-000050020000}"/>
    <cellStyle name="Normal 3 5 5" xfId="130" xr:uid="{00000000-0005-0000-0000-000051020000}"/>
    <cellStyle name="Normal 3 5 5 2" xfId="330" xr:uid="{00000000-0005-0000-0000-000052020000}"/>
    <cellStyle name="Normal 3 5 5 2 2" xfId="733" xr:uid="{00000000-0005-0000-0000-000053020000}"/>
    <cellStyle name="Normal 3 5 5 3" xfId="533" xr:uid="{00000000-0005-0000-0000-000054020000}"/>
    <cellStyle name="Normal 3 5 6" xfId="250" xr:uid="{00000000-0005-0000-0000-000055020000}"/>
    <cellStyle name="Normal 3 5 6 2" xfId="653" xr:uid="{00000000-0005-0000-0000-000056020000}"/>
    <cellStyle name="Normal 3 5 7" xfId="453" xr:uid="{00000000-0005-0000-0000-000057020000}"/>
    <cellStyle name="Normal 3 6" xfId="66" xr:uid="{00000000-0005-0000-0000-000058020000}"/>
    <cellStyle name="Normal 3 6 2" xfId="106" xr:uid="{00000000-0005-0000-0000-000059020000}"/>
    <cellStyle name="Normal 3 6 2 2" xfId="186" xr:uid="{00000000-0005-0000-0000-00005A020000}"/>
    <cellStyle name="Normal 3 6 2 2 2" xfId="386" xr:uid="{00000000-0005-0000-0000-00005B020000}"/>
    <cellStyle name="Normal 3 6 2 2 2 2" xfId="789" xr:uid="{00000000-0005-0000-0000-00005C020000}"/>
    <cellStyle name="Normal 3 6 2 2 3" xfId="589" xr:uid="{00000000-0005-0000-0000-00005D020000}"/>
    <cellStyle name="Normal 3 6 2 3" xfId="306" xr:uid="{00000000-0005-0000-0000-00005E020000}"/>
    <cellStyle name="Normal 3 6 2 3 2" xfId="709" xr:uid="{00000000-0005-0000-0000-00005F020000}"/>
    <cellStyle name="Normal 3 6 2 4" xfId="509" xr:uid="{00000000-0005-0000-0000-000060020000}"/>
    <cellStyle name="Normal 3 6 3" xfId="226" xr:uid="{00000000-0005-0000-0000-000061020000}"/>
    <cellStyle name="Normal 3 6 3 2" xfId="426" xr:uid="{00000000-0005-0000-0000-000062020000}"/>
    <cellStyle name="Normal 3 6 3 2 2" xfId="829" xr:uid="{00000000-0005-0000-0000-000063020000}"/>
    <cellStyle name="Normal 3 6 3 3" xfId="629" xr:uid="{00000000-0005-0000-0000-000064020000}"/>
    <cellStyle name="Normal 3 6 4" xfId="146" xr:uid="{00000000-0005-0000-0000-000065020000}"/>
    <cellStyle name="Normal 3 6 4 2" xfId="346" xr:uid="{00000000-0005-0000-0000-000066020000}"/>
    <cellStyle name="Normal 3 6 4 2 2" xfId="749" xr:uid="{00000000-0005-0000-0000-000067020000}"/>
    <cellStyle name="Normal 3 6 4 3" xfId="549" xr:uid="{00000000-0005-0000-0000-000068020000}"/>
    <cellStyle name="Normal 3 6 5" xfId="266" xr:uid="{00000000-0005-0000-0000-000069020000}"/>
    <cellStyle name="Normal 3 6 5 2" xfId="669" xr:uid="{00000000-0005-0000-0000-00006A020000}"/>
    <cellStyle name="Normal 3 6 6" xfId="469" xr:uid="{00000000-0005-0000-0000-00006B020000}"/>
    <cellStyle name="Normal 3 7" xfId="86" xr:uid="{00000000-0005-0000-0000-00006C020000}"/>
    <cellStyle name="Normal 3 7 2" xfId="166" xr:uid="{00000000-0005-0000-0000-00006D020000}"/>
    <cellStyle name="Normal 3 7 2 2" xfId="366" xr:uid="{00000000-0005-0000-0000-00006E020000}"/>
    <cellStyle name="Normal 3 7 2 2 2" xfId="769" xr:uid="{00000000-0005-0000-0000-00006F020000}"/>
    <cellStyle name="Normal 3 7 2 3" xfId="569" xr:uid="{00000000-0005-0000-0000-000070020000}"/>
    <cellStyle name="Normal 3 7 3" xfId="286" xr:uid="{00000000-0005-0000-0000-000071020000}"/>
    <cellStyle name="Normal 3 7 3 2" xfId="689" xr:uid="{00000000-0005-0000-0000-000072020000}"/>
    <cellStyle name="Normal 3 7 4" xfId="489" xr:uid="{00000000-0005-0000-0000-000073020000}"/>
    <cellStyle name="Normal 3 8" xfId="206" xr:uid="{00000000-0005-0000-0000-000074020000}"/>
    <cellStyle name="Normal 3 8 2" xfId="406" xr:uid="{00000000-0005-0000-0000-000075020000}"/>
    <cellStyle name="Normal 3 8 2 2" xfId="809" xr:uid="{00000000-0005-0000-0000-000076020000}"/>
    <cellStyle name="Normal 3 8 3" xfId="609" xr:uid="{00000000-0005-0000-0000-000077020000}"/>
    <cellStyle name="Normal 3 9" xfId="126" xr:uid="{00000000-0005-0000-0000-000078020000}"/>
    <cellStyle name="Normal 3 9 2" xfId="326" xr:uid="{00000000-0005-0000-0000-000079020000}"/>
    <cellStyle name="Normal 3 9 2 2" xfId="729" xr:uid="{00000000-0005-0000-0000-00007A020000}"/>
    <cellStyle name="Normal 3 9 3" xfId="529" xr:uid="{00000000-0005-0000-0000-00007B020000}"/>
    <cellStyle name="Normal 4" xfId="48" xr:uid="{00000000-0005-0000-0000-00007C020000}"/>
    <cellStyle name="Normal 4 10" xfId="451" xr:uid="{00000000-0005-0000-0000-00007D020000}"/>
    <cellStyle name="Normal 4 2" xfId="55" xr:uid="{00000000-0005-0000-0000-00007E020000}"/>
    <cellStyle name="Normal 4 2 2" xfId="75" xr:uid="{00000000-0005-0000-0000-00007F020000}"/>
    <cellStyle name="Normal 4 2 2 2" xfId="115" xr:uid="{00000000-0005-0000-0000-000080020000}"/>
    <cellStyle name="Normal 4 2 2 2 2" xfId="195" xr:uid="{00000000-0005-0000-0000-000081020000}"/>
    <cellStyle name="Normal 4 2 2 2 2 2" xfId="395" xr:uid="{00000000-0005-0000-0000-000082020000}"/>
    <cellStyle name="Normal 4 2 2 2 2 2 2" xfId="798" xr:uid="{00000000-0005-0000-0000-000083020000}"/>
    <cellStyle name="Normal 4 2 2 2 2 3" xfId="598" xr:uid="{00000000-0005-0000-0000-000084020000}"/>
    <cellStyle name="Normal 4 2 2 2 3" xfId="315" xr:uid="{00000000-0005-0000-0000-000085020000}"/>
    <cellStyle name="Normal 4 2 2 2 3 2" xfId="718" xr:uid="{00000000-0005-0000-0000-000086020000}"/>
    <cellStyle name="Normal 4 2 2 2 4" xfId="518" xr:uid="{00000000-0005-0000-0000-000087020000}"/>
    <cellStyle name="Normal 4 2 2 3" xfId="235" xr:uid="{00000000-0005-0000-0000-000088020000}"/>
    <cellStyle name="Normal 4 2 2 3 2" xfId="435" xr:uid="{00000000-0005-0000-0000-000089020000}"/>
    <cellStyle name="Normal 4 2 2 3 2 2" xfId="838" xr:uid="{00000000-0005-0000-0000-00008A020000}"/>
    <cellStyle name="Normal 4 2 2 3 3" xfId="638" xr:uid="{00000000-0005-0000-0000-00008B020000}"/>
    <cellStyle name="Normal 4 2 2 4" xfId="155" xr:uid="{00000000-0005-0000-0000-00008C020000}"/>
    <cellStyle name="Normal 4 2 2 4 2" xfId="355" xr:uid="{00000000-0005-0000-0000-00008D020000}"/>
    <cellStyle name="Normal 4 2 2 4 2 2" xfId="758" xr:uid="{00000000-0005-0000-0000-00008E020000}"/>
    <cellStyle name="Normal 4 2 2 4 3" xfId="558" xr:uid="{00000000-0005-0000-0000-00008F020000}"/>
    <cellStyle name="Normal 4 2 2 5" xfId="275" xr:uid="{00000000-0005-0000-0000-000090020000}"/>
    <cellStyle name="Normal 4 2 2 5 2" xfId="678" xr:uid="{00000000-0005-0000-0000-000091020000}"/>
    <cellStyle name="Normal 4 2 2 6" xfId="478" xr:uid="{00000000-0005-0000-0000-000092020000}"/>
    <cellStyle name="Normal 4 2 3" xfId="95" xr:uid="{00000000-0005-0000-0000-000093020000}"/>
    <cellStyle name="Normal 4 2 3 2" xfId="175" xr:uid="{00000000-0005-0000-0000-000094020000}"/>
    <cellStyle name="Normal 4 2 3 2 2" xfId="375" xr:uid="{00000000-0005-0000-0000-000095020000}"/>
    <cellStyle name="Normal 4 2 3 2 2 2" xfId="778" xr:uid="{00000000-0005-0000-0000-000096020000}"/>
    <cellStyle name="Normal 4 2 3 2 3" xfId="578" xr:uid="{00000000-0005-0000-0000-000097020000}"/>
    <cellStyle name="Normal 4 2 3 3" xfId="295" xr:uid="{00000000-0005-0000-0000-000098020000}"/>
    <cellStyle name="Normal 4 2 3 3 2" xfId="698" xr:uid="{00000000-0005-0000-0000-000099020000}"/>
    <cellStyle name="Normal 4 2 3 4" xfId="498" xr:uid="{00000000-0005-0000-0000-00009A020000}"/>
    <cellStyle name="Normal 4 2 4" xfId="215" xr:uid="{00000000-0005-0000-0000-00009B020000}"/>
    <cellStyle name="Normal 4 2 4 2" xfId="415" xr:uid="{00000000-0005-0000-0000-00009C020000}"/>
    <cellStyle name="Normal 4 2 4 2 2" xfId="818" xr:uid="{00000000-0005-0000-0000-00009D020000}"/>
    <cellStyle name="Normal 4 2 4 3" xfId="618" xr:uid="{00000000-0005-0000-0000-00009E020000}"/>
    <cellStyle name="Normal 4 2 5" xfId="135" xr:uid="{00000000-0005-0000-0000-00009F020000}"/>
    <cellStyle name="Normal 4 2 5 2" xfId="335" xr:uid="{00000000-0005-0000-0000-0000A0020000}"/>
    <cellStyle name="Normal 4 2 5 2 2" xfId="738" xr:uid="{00000000-0005-0000-0000-0000A1020000}"/>
    <cellStyle name="Normal 4 2 5 3" xfId="538" xr:uid="{00000000-0005-0000-0000-0000A2020000}"/>
    <cellStyle name="Normal 4 2 6" xfId="255" xr:uid="{00000000-0005-0000-0000-0000A3020000}"/>
    <cellStyle name="Normal 4 2 6 2" xfId="658" xr:uid="{00000000-0005-0000-0000-0000A4020000}"/>
    <cellStyle name="Normal 4 2 7" xfId="458" xr:uid="{00000000-0005-0000-0000-0000A5020000}"/>
    <cellStyle name="Normal 4 3" xfId="62" xr:uid="{00000000-0005-0000-0000-0000A6020000}"/>
    <cellStyle name="Normal 4 3 2" xfId="82" xr:uid="{00000000-0005-0000-0000-0000A7020000}"/>
    <cellStyle name="Normal 4 3 2 2" xfId="122" xr:uid="{00000000-0005-0000-0000-0000A8020000}"/>
    <cellStyle name="Normal 4 3 2 2 2" xfId="202" xr:uid="{00000000-0005-0000-0000-0000A9020000}"/>
    <cellStyle name="Normal 4 3 2 2 2 2" xfId="402" xr:uid="{00000000-0005-0000-0000-0000AA020000}"/>
    <cellStyle name="Normal 4 3 2 2 2 2 2" xfId="805" xr:uid="{00000000-0005-0000-0000-0000AB020000}"/>
    <cellStyle name="Normal 4 3 2 2 2 3" xfId="605" xr:uid="{00000000-0005-0000-0000-0000AC020000}"/>
    <cellStyle name="Normal 4 3 2 2 3" xfId="322" xr:uid="{00000000-0005-0000-0000-0000AD020000}"/>
    <cellStyle name="Normal 4 3 2 2 3 2" xfId="725" xr:uid="{00000000-0005-0000-0000-0000AE020000}"/>
    <cellStyle name="Normal 4 3 2 2 4" xfId="525" xr:uid="{00000000-0005-0000-0000-0000AF020000}"/>
    <cellStyle name="Normal 4 3 2 3" xfId="242" xr:uid="{00000000-0005-0000-0000-0000B0020000}"/>
    <cellStyle name="Normal 4 3 2 3 2" xfId="442" xr:uid="{00000000-0005-0000-0000-0000B1020000}"/>
    <cellStyle name="Normal 4 3 2 3 2 2" xfId="845" xr:uid="{00000000-0005-0000-0000-0000B2020000}"/>
    <cellStyle name="Normal 4 3 2 3 3" xfId="645" xr:uid="{00000000-0005-0000-0000-0000B3020000}"/>
    <cellStyle name="Normal 4 3 2 4" xfId="162" xr:uid="{00000000-0005-0000-0000-0000B4020000}"/>
    <cellStyle name="Normal 4 3 2 4 2" xfId="362" xr:uid="{00000000-0005-0000-0000-0000B5020000}"/>
    <cellStyle name="Normal 4 3 2 4 2 2" xfId="765" xr:uid="{00000000-0005-0000-0000-0000B6020000}"/>
    <cellStyle name="Normal 4 3 2 4 3" xfId="565" xr:uid="{00000000-0005-0000-0000-0000B7020000}"/>
    <cellStyle name="Normal 4 3 2 5" xfId="282" xr:uid="{00000000-0005-0000-0000-0000B8020000}"/>
    <cellStyle name="Normal 4 3 2 5 2" xfId="685" xr:uid="{00000000-0005-0000-0000-0000B9020000}"/>
    <cellStyle name="Normal 4 3 2 6" xfId="485" xr:uid="{00000000-0005-0000-0000-0000BA020000}"/>
    <cellStyle name="Normal 4 3 3" xfId="102" xr:uid="{00000000-0005-0000-0000-0000BB020000}"/>
    <cellStyle name="Normal 4 3 3 2" xfId="182" xr:uid="{00000000-0005-0000-0000-0000BC020000}"/>
    <cellStyle name="Normal 4 3 3 2 2" xfId="382" xr:uid="{00000000-0005-0000-0000-0000BD020000}"/>
    <cellStyle name="Normal 4 3 3 2 2 2" xfId="785" xr:uid="{00000000-0005-0000-0000-0000BE020000}"/>
    <cellStyle name="Normal 4 3 3 2 3" xfId="585" xr:uid="{00000000-0005-0000-0000-0000BF020000}"/>
    <cellStyle name="Normal 4 3 3 3" xfId="302" xr:uid="{00000000-0005-0000-0000-0000C0020000}"/>
    <cellStyle name="Normal 4 3 3 3 2" xfId="705" xr:uid="{00000000-0005-0000-0000-0000C1020000}"/>
    <cellStyle name="Normal 4 3 3 4" xfId="505" xr:uid="{00000000-0005-0000-0000-0000C2020000}"/>
    <cellStyle name="Normal 4 3 4" xfId="222" xr:uid="{00000000-0005-0000-0000-0000C3020000}"/>
    <cellStyle name="Normal 4 3 4 2" xfId="422" xr:uid="{00000000-0005-0000-0000-0000C4020000}"/>
    <cellStyle name="Normal 4 3 4 2 2" xfId="825" xr:uid="{00000000-0005-0000-0000-0000C5020000}"/>
    <cellStyle name="Normal 4 3 4 3" xfId="625" xr:uid="{00000000-0005-0000-0000-0000C6020000}"/>
    <cellStyle name="Normal 4 3 5" xfId="142" xr:uid="{00000000-0005-0000-0000-0000C7020000}"/>
    <cellStyle name="Normal 4 3 5 2" xfId="342" xr:uid="{00000000-0005-0000-0000-0000C8020000}"/>
    <cellStyle name="Normal 4 3 5 2 2" xfId="745" xr:uid="{00000000-0005-0000-0000-0000C9020000}"/>
    <cellStyle name="Normal 4 3 5 3" xfId="545" xr:uid="{00000000-0005-0000-0000-0000CA020000}"/>
    <cellStyle name="Normal 4 3 6" xfId="262" xr:uid="{00000000-0005-0000-0000-0000CB020000}"/>
    <cellStyle name="Normal 4 3 6 2" xfId="665" xr:uid="{00000000-0005-0000-0000-0000CC020000}"/>
    <cellStyle name="Normal 4 3 7" xfId="465" xr:uid="{00000000-0005-0000-0000-0000CD020000}"/>
    <cellStyle name="Normal 4 4" xfId="52" xr:uid="{00000000-0005-0000-0000-0000CE020000}"/>
    <cellStyle name="Normal 4 4 2" xfId="72" xr:uid="{00000000-0005-0000-0000-0000CF020000}"/>
    <cellStyle name="Normal 4 4 2 2" xfId="112" xr:uid="{00000000-0005-0000-0000-0000D0020000}"/>
    <cellStyle name="Normal 4 4 2 2 2" xfId="192" xr:uid="{00000000-0005-0000-0000-0000D1020000}"/>
    <cellStyle name="Normal 4 4 2 2 2 2" xfId="392" xr:uid="{00000000-0005-0000-0000-0000D2020000}"/>
    <cellStyle name="Normal 4 4 2 2 2 2 2" xfId="795" xr:uid="{00000000-0005-0000-0000-0000D3020000}"/>
    <cellStyle name="Normal 4 4 2 2 2 3" xfId="595" xr:uid="{00000000-0005-0000-0000-0000D4020000}"/>
    <cellStyle name="Normal 4 4 2 2 3" xfId="312" xr:uid="{00000000-0005-0000-0000-0000D5020000}"/>
    <cellStyle name="Normal 4 4 2 2 3 2" xfId="715" xr:uid="{00000000-0005-0000-0000-0000D6020000}"/>
    <cellStyle name="Normal 4 4 2 2 4" xfId="515" xr:uid="{00000000-0005-0000-0000-0000D7020000}"/>
    <cellStyle name="Normal 4 4 2 3" xfId="232" xr:uid="{00000000-0005-0000-0000-0000D8020000}"/>
    <cellStyle name="Normal 4 4 2 3 2" xfId="432" xr:uid="{00000000-0005-0000-0000-0000D9020000}"/>
    <cellStyle name="Normal 4 4 2 3 2 2" xfId="835" xr:uid="{00000000-0005-0000-0000-0000DA020000}"/>
    <cellStyle name="Normal 4 4 2 3 3" xfId="635" xr:uid="{00000000-0005-0000-0000-0000DB020000}"/>
    <cellStyle name="Normal 4 4 2 4" xfId="152" xr:uid="{00000000-0005-0000-0000-0000DC020000}"/>
    <cellStyle name="Normal 4 4 2 4 2" xfId="352" xr:uid="{00000000-0005-0000-0000-0000DD020000}"/>
    <cellStyle name="Normal 4 4 2 4 2 2" xfId="755" xr:uid="{00000000-0005-0000-0000-0000DE020000}"/>
    <cellStyle name="Normal 4 4 2 4 3" xfId="555" xr:uid="{00000000-0005-0000-0000-0000DF020000}"/>
    <cellStyle name="Normal 4 4 2 5" xfId="272" xr:uid="{00000000-0005-0000-0000-0000E0020000}"/>
    <cellStyle name="Normal 4 4 2 5 2" xfId="675" xr:uid="{00000000-0005-0000-0000-0000E1020000}"/>
    <cellStyle name="Normal 4 4 2 6" xfId="475" xr:uid="{00000000-0005-0000-0000-0000E2020000}"/>
    <cellStyle name="Normal 4 4 3" xfId="92" xr:uid="{00000000-0005-0000-0000-0000E3020000}"/>
    <cellStyle name="Normal 4 4 3 2" xfId="172" xr:uid="{00000000-0005-0000-0000-0000E4020000}"/>
    <cellStyle name="Normal 4 4 3 2 2" xfId="372" xr:uid="{00000000-0005-0000-0000-0000E5020000}"/>
    <cellStyle name="Normal 4 4 3 2 2 2" xfId="775" xr:uid="{00000000-0005-0000-0000-0000E6020000}"/>
    <cellStyle name="Normal 4 4 3 2 3" xfId="575" xr:uid="{00000000-0005-0000-0000-0000E7020000}"/>
    <cellStyle name="Normal 4 4 3 3" xfId="292" xr:uid="{00000000-0005-0000-0000-0000E8020000}"/>
    <cellStyle name="Normal 4 4 3 3 2" xfId="695" xr:uid="{00000000-0005-0000-0000-0000E9020000}"/>
    <cellStyle name="Normal 4 4 3 4" xfId="495" xr:uid="{00000000-0005-0000-0000-0000EA020000}"/>
    <cellStyle name="Normal 4 4 4" xfId="212" xr:uid="{00000000-0005-0000-0000-0000EB020000}"/>
    <cellStyle name="Normal 4 4 4 2" xfId="412" xr:uid="{00000000-0005-0000-0000-0000EC020000}"/>
    <cellStyle name="Normal 4 4 4 2 2" xfId="815" xr:uid="{00000000-0005-0000-0000-0000ED020000}"/>
    <cellStyle name="Normal 4 4 4 3" xfId="615" xr:uid="{00000000-0005-0000-0000-0000EE020000}"/>
    <cellStyle name="Normal 4 4 5" xfId="132" xr:uid="{00000000-0005-0000-0000-0000EF020000}"/>
    <cellStyle name="Normal 4 4 5 2" xfId="332" xr:uid="{00000000-0005-0000-0000-0000F0020000}"/>
    <cellStyle name="Normal 4 4 5 2 2" xfId="735" xr:uid="{00000000-0005-0000-0000-0000F1020000}"/>
    <cellStyle name="Normal 4 4 5 3" xfId="535" xr:uid="{00000000-0005-0000-0000-0000F2020000}"/>
    <cellStyle name="Normal 4 4 6" xfId="252" xr:uid="{00000000-0005-0000-0000-0000F3020000}"/>
    <cellStyle name="Normal 4 4 6 2" xfId="655" xr:uid="{00000000-0005-0000-0000-0000F4020000}"/>
    <cellStyle name="Normal 4 4 7" xfId="455" xr:uid="{00000000-0005-0000-0000-0000F5020000}"/>
    <cellStyle name="Normal 4 5" xfId="68" xr:uid="{00000000-0005-0000-0000-0000F6020000}"/>
    <cellStyle name="Normal 4 5 2" xfId="108" xr:uid="{00000000-0005-0000-0000-0000F7020000}"/>
    <cellStyle name="Normal 4 5 2 2" xfId="188" xr:uid="{00000000-0005-0000-0000-0000F8020000}"/>
    <cellStyle name="Normal 4 5 2 2 2" xfId="388" xr:uid="{00000000-0005-0000-0000-0000F9020000}"/>
    <cellStyle name="Normal 4 5 2 2 2 2" xfId="791" xr:uid="{00000000-0005-0000-0000-0000FA020000}"/>
    <cellStyle name="Normal 4 5 2 2 3" xfId="591" xr:uid="{00000000-0005-0000-0000-0000FB020000}"/>
    <cellStyle name="Normal 4 5 2 3" xfId="308" xr:uid="{00000000-0005-0000-0000-0000FC020000}"/>
    <cellStyle name="Normal 4 5 2 3 2" xfId="711" xr:uid="{00000000-0005-0000-0000-0000FD020000}"/>
    <cellStyle name="Normal 4 5 2 4" xfId="511" xr:uid="{00000000-0005-0000-0000-0000FE020000}"/>
    <cellStyle name="Normal 4 5 3" xfId="228" xr:uid="{00000000-0005-0000-0000-0000FF020000}"/>
    <cellStyle name="Normal 4 5 3 2" xfId="428" xr:uid="{00000000-0005-0000-0000-000000030000}"/>
    <cellStyle name="Normal 4 5 3 2 2" xfId="831" xr:uid="{00000000-0005-0000-0000-000001030000}"/>
    <cellStyle name="Normal 4 5 3 3" xfId="631" xr:uid="{00000000-0005-0000-0000-000002030000}"/>
    <cellStyle name="Normal 4 5 4" xfId="148" xr:uid="{00000000-0005-0000-0000-000003030000}"/>
    <cellStyle name="Normal 4 5 4 2" xfId="348" xr:uid="{00000000-0005-0000-0000-000004030000}"/>
    <cellStyle name="Normal 4 5 4 2 2" xfId="751" xr:uid="{00000000-0005-0000-0000-000005030000}"/>
    <cellStyle name="Normal 4 5 4 3" xfId="551" xr:uid="{00000000-0005-0000-0000-000006030000}"/>
    <cellStyle name="Normal 4 5 5" xfId="268" xr:uid="{00000000-0005-0000-0000-000007030000}"/>
    <cellStyle name="Normal 4 5 5 2" xfId="671" xr:uid="{00000000-0005-0000-0000-000008030000}"/>
    <cellStyle name="Normal 4 5 6" xfId="471" xr:uid="{00000000-0005-0000-0000-000009030000}"/>
    <cellStyle name="Normal 4 6" xfId="88" xr:uid="{00000000-0005-0000-0000-00000A030000}"/>
    <cellStyle name="Normal 4 6 2" xfId="168" xr:uid="{00000000-0005-0000-0000-00000B030000}"/>
    <cellStyle name="Normal 4 6 2 2" xfId="368" xr:uid="{00000000-0005-0000-0000-00000C030000}"/>
    <cellStyle name="Normal 4 6 2 2 2" xfId="771" xr:uid="{00000000-0005-0000-0000-00000D030000}"/>
    <cellStyle name="Normal 4 6 2 3" xfId="571" xr:uid="{00000000-0005-0000-0000-00000E030000}"/>
    <cellStyle name="Normal 4 6 3" xfId="288" xr:uid="{00000000-0005-0000-0000-00000F030000}"/>
    <cellStyle name="Normal 4 6 3 2" xfId="691" xr:uid="{00000000-0005-0000-0000-000010030000}"/>
    <cellStyle name="Normal 4 6 4" xfId="491" xr:uid="{00000000-0005-0000-0000-000011030000}"/>
    <cellStyle name="Normal 4 7" xfId="208" xr:uid="{00000000-0005-0000-0000-000012030000}"/>
    <cellStyle name="Normal 4 7 2" xfId="408" xr:uid="{00000000-0005-0000-0000-000013030000}"/>
    <cellStyle name="Normal 4 7 2 2" xfId="811" xr:uid="{00000000-0005-0000-0000-000014030000}"/>
    <cellStyle name="Normal 4 7 3" xfId="611" xr:uid="{00000000-0005-0000-0000-000015030000}"/>
    <cellStyle name="Normal 4 8" xfId="128" xr:uid="{00000000-0005-0000-0000-000016030000}"/>
    <cellStyle name="Normal 4 8 2" xfId="328" xr:uid="{00000000-0005-0000-0000-000017030000}"/>
    <cellStyle name="Normal 4 8 2 2" xfId="731" xr:uid="{00000000-0005-0000-0000-000018030000}"/>
    <cellStyle name="Normal 4 8 3" xfId="531" xr:uid="{00000000-0005-0000-0000-000019030000}"/>
    <cellStyle name="Normal 4 9" xfId="248" xr:uid="{00000000-0005-0000-0000-00001A030000}"/>
    <cellStyle name="Normal 4 9 2" xfId="651" xr:uid="{00000000-0005-0000-0000-00001B030000}"/>
    <cellStyle name="Normal 5" xfId="54" xr:uid="{00000000-0005-0000-0000-00001C030000}"/>
    <cellStyle name="Normal 5 2" xfId="74" xr:uid="{00000000-0005-0000-0000-00001D030000}"/>
    <cellStyle name="Normal 5 2 2" xfId="114" xr:uid="{00000000-0005-0000-0000-00001E030000}"/>
    <cellStyle name="Normal 5 2 2 2" xfId="194" xr:uid="{00000000-0005-0000-0000-00001F030000}"/>
    <cellStyle name="Normal 5 2 2 2 2" xfId="394" xr:uid="{00000000-0005-0000-0000-000020030000}"/>
    <cellStyle name="Normal 5 2 2 2 2 2" xfId="797" xr:uid="{00000000-0005-0000-0000-000021030000}"/>
    <cellStyle name="Normal 5 2 2 2 3" xfId="597" xr:uid="{00000000-0005-0000-0000-000022030000}"/>
    <cellStyle name="Normal 5 2 2 3" xfId="314" xr:uid="{00000000-0005-0000-0000-000023030000}"/>
    <cellStyle name="Normal 5 2 2 3 2" xfId="717" xr:uid="{00000000-0005-0000-0000-000024030000}"/>
    <cellStyle name="Normal 5 2 2 4" xfId="517" xr:uid="{00000000-0005-0000-0000-000025030000}"/>
    <cellStyle name="Normal 5 2 3" xfId="234" xr:uid="{00000000-0005-0000-0000-000026030000}"/>
    <cellStyle name="Normal 5 2 3 2" xfId="434" xr:uid="{00000000-0005-0000-0000-000027030000}"/>
    <cellStyle name="Normal 5 2 3 2 2" xfId="837" xr:uid="{00000000-0005-0000-0000-000028030000}"/>
    <cellStyle name="Normal 5 2 3 3" xfId="637" xr:uid="{00000000-0005-0000-0000-000029030000}"/>
    <cellStyle name="Normal 5 2 4" xfId="154" xr:uid="{00000000-0005-0000-0000-00002A030000}"/>
    <cellStyle name="Normal 5 2 4 2" xfId="354" xr:uid="{00000000-0005-0000-0000-00002B030000}"/>
    <cellStyle name="Normal 5 2 4 2 2" xfId="757" xr:uid="{00000000-0005-0000-0000-00002C030000}"/>
    <cellStyle name="Normal 5 2 4 3" xfId="557" xr:uid="{00000000-0005-0000-0000-00002D030000}"/>
    <cellStyle name="Normal 5 2 5" xfId="274" xr:uid="{00000000-0005-0000-0000-00002E030000}"/>
    <cellStyle name="Normal 5 2 5 2" xfId="677" xr:uid="{00000000-0005-0000-0000-00002F030000}"/>
    <cellStyle name="Normal 5 2 6" xfId="477" xr:uid="{00000000-0005-0000-0000-000030030000}"/>
    <cellStyle name="Normal 5 3" xfId="94" xr:uid="{00000000-0005-0000-0000-000031030000}"/>
    <cellStyle name="Normal 5 3 2" xfId="174" xr:uid="{00000000-0005-0000-0000-000032030000}"/>
    <cellStyle name="Normal 5 3 2 2" xfId="374" xr:uid="{00000000-0005-0000-0000-000033030000}"/>
    <cellStyle name="Normal 5 3 2 2 2" xfId="777" xr:uid="{00000000-0005-0000-0000-000034030000}"/>
    <cellStyle name="Normal 5 3 2 3" xfId="577" xr:uid="{00000000-0005-0000-0000-000035030000}"/>
    <cellStyle name="Normal 5 3 3" xfId="294" xr:uid="{00000000-0005-0000-0000-000036030000}"/>
    <cellStyle name="Normal 5 3 3 2" xfId="697" xr:uid="{00000000-0005-0000-0000-000037030000}"/>
    <cellStyle name="Normal 5 3 4" xfId="497" xr:uid="{00000000-0005-0000-0000-000038030000}"/>
    <cellStyle name="Normal 5 4" xfId="214" xr:uid="{00000000-0005-0000-0000-000039030000}"/>
    <cellStyle name="Normal 5 4 2" xfId="414" xr:uid="{00000000-0005-0000-0000-00003A030000}"/>
    <cellStyle name="Normal 5 4 2 2" xfId="817" xr:uid="{00000000-0005-0000-0000-00003B030000}"/>
    <cellStyle name="Normal 5 4 3" xfId="617" xr:uid="{00000000-0005-0000-0000-00003C030000}"/>
    <cellStyle name="Normal 5 5" xfId="134" xr:uid="{00000000-0005-0000-0000-00003D030000}"/>
    <cellStyle name="Normal 5 5 2" xfId="334" xr:uid="{00000000-0005-0000-0000-00003E030000}"/>
    <cellStyle name="Normal 5 5 2 2" xfId="737" xr:uid="{00000000-0005-0000-0000-00003F030000}"/>
    <cellStyle name="Normal 5 5 3" xfId="537" xr:uid="{00000000-0005-0000-0000-000040030000}"/>
    <cellStyle name="Normal 5 6" xfId="254" xr:uid="{00000000-0005-0000-0000-000041030000}"/>
    <cellStyle name="Normal 5 6 2" xfId="657" xr:uid="{00000000-0005-0000-0000-000042030000}"/>
    <cellStyle name="Normal 5 7" xfId="457" xr:uid="{00000000-0005-0000-0000-000043030000}"/>
    <cellStyle name="Normal 6" xfId="444" xr:uid="{00000000-0005-0000-0000-000044030000}"/>
    <cellStyle name="Normal 6 2" xfId="847" xr:uid="{00000000-0005-0000-0000-000045030000}"/>
    <cellStyle name="Note" xfId="28" builtinId="10" customBuiltin="1"/>
    <cellStyle name="Pourcentage 2" xfId="45" xr:uid="{00000000-0005-0000-0000-000046030000}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9" defaultPivotStyle="PivotStyleLight16"/>
  <colors>
    <mruColors>
      <color rgb="FFFF66CC"/>
      <color rgb="FF969696"/>
      <color rgb="FF666699"/>
      <color rgb="FFFFFF00"/>
      <color rgb="FF00FF00"/>
      <color rgb="FFFF3300"/>
      <color rgb="FF80000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Convergences!$S$9</c:f>
              <c:strCache>
                <c:ptCount val="1"/>
                <c:pt idx="0">
                  <c:v>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Convergences!$S$11:$S$39</c:f>
              <c:numCache>
                <c:formatCode>\+\ 0.0;\-\ 0.0;\±\ 0.0</c:formatCode>
                <c:ptCount val="29"/>
                <c:pt idx="0">
                  <c:v>-2.2700814863996222E-2</c:v>
                </c:pt>
                <c:pt idx="1">
                  <c:v>1.670887072222315E-2</c:v>
                </c:pt>
                <c:pt idx="2">
                  <c:v>-6.2181503390606511E-2</c:v>
                </c:pt>
                <c:pt idx="3">
                  <c:v>3.352025062421303E-2</c:v>
                </c:pt>
                <c:pt idx="4">
                  <c:v>1.8122386542656393E-2</c:v>
                </c:pt>
                <c:pt idx="5">
                  <c:v>2.1150190835975531E-2</c:v>
                </c:pt>
                <c:pt idx="6">
                  <c:v>-3.7184158392970325E-2</c:v>
                </c:pt>
                <c:pt idx="7">
                  <c:v>4.4969388129193329E-2</c:v>
                </c:pt>
                <c:pt idx="8">
                  <c:v>1.0021023405156388E-3</c:v>
                </c:pt>
                <c:pt idx="9">
                  <c:v>4.6902858715621876E-3</c:v>
                </c:pt>
                <c:pt idx="10">
                  <c:v>-2.4647640661092294E-2</c:v>
                </c:pt>
                <c:pt idx="11">
                  <c:v>-9.5024998794736495E-3</c:v>
                </c:pt>
                <c:pt idx="12">
                  <c:v>-6.6075989639813315E-3</c:v>
                </c:pt>
                <c:pt idx="13">
                  <c:v>-3.2648306189539594E-2</c:v>
                </c:pt>
                <c:pt idx="14">
                  <c:v>3.1625239691860312E-2</c:v>
                </c:pt>
                <c:pt idx="15">
                  <c:v>-2.1652245292526715E-2</c:v>
                </c:pt>
                <c:pt idx="16">
                  <c:v>-3.7327470339029938E-2</c:v>
                </c:pt>
                <c:pt idx="17">
                  <c:v>-9.7407347547520083E-3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11-4A59-B1F0-50635AB64BF3}"/>
            </c:ext>
          </c:extLst>
        </c:ser>
        <c:ser>
          <c:idx val="1"/>
          <c:order val="1"/>
          <c:tx>
            <c:strRef>
              <c:f>Convergences!$T$9</c:f>
              <c:strCache>
                <c:ptCount val="1"/>
                <c:pt idx="0">
                  <c:v>HG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Convergences!$T$11:$T$39</c:f>
              <c:numCache>
                <c:formatCode>\+\ 0.0;\-\ 0.0;\±\ 0.0</c:formatCode>
                <c:ptCount val="29"/>
                <c:pt idx="0">
                  <c:v>1.3025399478588939E-3</c:v>
                </c:pt>
                <c:pt idx="1">
                  <c:v>1.8380213186883453E-2</c:v>
                </c:pt>
                <c:pt idx="2">
                  <c:v>-5.6757938501481787E-2</c:v>
                </c:pt>
                <c:pt idx="3">
                  <c:v>4.418589258497236E-2</c:v>
                </c:pt>
                <c:pt idx="4">
                  <c:v>5.2832006460884744E-3</c:v>
                </c:pt>
                <c:pt idx="5">
                  <c:v>8.7638016353126201E-3</c:v>
                </c:pt>
                <c:pt idx="6">
                  <c:v>4.8196010128028394E-4</c:v>
                </c:pt>
                <c:pt idx="7">
                  <c:v>-2.1833791168696898E-4</c:v>
                </c:pt>
                <c:pt idx="8">
                  <c:v>2.5929621212839038E-2</c:v>
                </c:pt>
                <c:pt idx="9">
                  <c:v>-2.8810095702626524E-2</c:v>
                </c:pt>
                <c:pt idx="10">
                  <c:v>-6.4985743107394611E-3</c:v>
                </c:pt>
                <c:pt idx="11">
                  <c:v>-2.0387363454808596E-2</c:v>
                </c:pt>
                <c:pt idx="12">
                  <c:v>3.4256382500035759E-3</c:v>
                </c:pt>
                <c:pt idx="13">
                  <c:v>-2.5478129939954113E-2</c:v>
                </c:pt>
                <c:pt idx="14">
                  <c:v>4.0508166699178526E-2</c:v>
                </c:pt>
                <c:pt idx="15">
                  <c:v>-3.0168153710918272E-2</c:v>
                </c:pt>
                <c:pt idx="16">
                  <c:v>-4.9172162484695673E-3</c:v>
                </c:pt>
                <c:pt idx="17">
                  <c:v>-6.7577203996781257E-3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11-4A59-B1F0-50635AB64BF3}"/>
            </c:ext>
          </c:extLst>
        </c:ser>
        <c:ser>
          <c:idx val="2"/>
          <c:order val="2"/>
          <c:tx>
            <c:strRef>
              <c:f>Convergences!$U$9</c:f>
              <c:strCache>
                <c:ptCount val="1"/>
                <c:pt idx="0">
                  <c:v>HD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Convergences!$U$11:$U$39</c:f>
              <c:numCache>
                <c:formatCode>\+\ 0.0;\-\ 0.0;\±\ 0.0</c:formatCode>
                <c:ptCount val="29"/>
                <c:pt idx="0">
                  <c:v>-1.1055810566595881E-2</c:v>
                </c:pt>
                <c:pt idx="1">
                  <c:v>1.4777024660389645E-2</c:v>
                </c:pt>
                <c:pt idx="2">
                  <c:v>-2.3957443201211796E-2</c:v>
                </c:pt>
                <c:pt idx="3">
                  <c:v>-2.1534335850250028E-2</c:v>
                </c:pt>
                <c:pt idx="4">
                  <c:v>1.8888826966059098E-2</c:v>
                </c:pt>
                <c:pt idx="5">
                  <c:v>-4.8226113999064579E-3</c:v>
                </c:pt>
                <c:pt idx="6">
                  <c:v>-1.6069194401246989E-2</c:v>
                </c:pt>
                <c:pt idx="7">
                  <c:v>2.3520911974867737E-2</c:v>
                </c:pt>
                <c:pt idx="8">
                  <c:v>3.0757638368683615E-2</c:v>
                </c:pt>
                <c:pt idx="9">
                  <c:v>-3.7184032940158165E-2</c:v>
                </c:pt>
                <c:pt idx="10">
                  <c:v>-1.8818565280996426E-2</c:v>
                </c:pt>
                <c:pt idx="11">
                  <c:v>-4.0294476984583027E-3</c:v>
                </c:pt>
                <c:pt idx="12">
                  <c:v>1.9929357319487589E-3</c:v>
                </c:pt>
                <c:pt idx="13">
                  <c:v>-1.3167460269981019E-2</c:v>
                </c:pt>
                <c:pt idx="14">
                  <c:v>1.8711207647475699E-2</c:v>
                </c:pt>
                <c:pt idx="15">
                  <c:v>-1.4360295430653437E-2</c:v>
                </c:pt>
                <c:pt idx="16">
                  <c:v>-9.9457762738726259E-3</c:v>
                </c:pt>
                <c:pt idx="17">
                  <c:v>-6.9838452239638161E-3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11-4A59-B1F0-50635AB64BF3}"/>
            </c:ext>
          </c:extLst>
        </c:ser>
        <c:ser>
          <c:idx val="3"/>
          <c:order val="3"/>
          <c:tx>
            <c:strRef>
              <c:f>Convergences!$V$9</c:f>
              <c:strCache>
                <c:ptCount val="1"/>
                <c:pt idx="0">
                  <c:v>ID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Convergences!$V$11:$V$39</c:f>
              <c:numCache>
                <c:formatCode>\+\ 0.0;\-\ 0.0;\±\ 0.0</c:formatCode>
                <c:ptCount val="29"/>
                <c:pt idx="0">
                  <c:v>-1.1940459005987947E-2</c:v>
                </c:pt>
                <c:pt idx="1">
                  <c:v>-6.9752143336587165E-3</c:v>
                </c:pt>
                <c:pt idx="2">
                  <c:v>-2.6355134152429696E-2</c:v>
                </c:pt>
                <c:pt idx="3">
                  <c:v>-9.6698651573008068E-2</c:v>
                </c:pt>
                <c:pt idx="4">
                  <c:v>6.4306653165104755E-2</c:v>
                </c:pt>
                <c:pt idx="5">
                  <c:v>-8.1723356939455982E-3</c:v>
                </c:pt>
                <c:pt idx="6">
                  <c:v>-1.7167899178005541E-2</c:v>
                </c:pt>
                <c:pt idx="7">
                  <c:v>7.4825067660607859E-3</c:v>
                </c:pt>
                <c:pt idx="8">
                  <c:v>8.9634529677399641E-2</c:v>
                </c:pt>
                <c:pt idx="9">
                  <c:v>-4.2180542908149779E-2</c:v>
                </c:pt>
                <c:pt idx="10">
                  <c:v>1.0827539452711627E-2</c:v>
                </c:pt>
                <c:pt idx="11">
                  <c:v>-3.734447750763132E-2</c:v>
                </c:pt>
                <c:pt idx="12">
                  <c:v>-6.5876815185599786E-3</c:v>
                </c:pt>
                <c:pt idx="13">
                  <c:v>-3.2167100750508971E-2</c:v>
                </c:pt>
                <c:pt idx="14">
                  <c:v>2.9895441277131219E-2</c:v>
                </c:pt>
                <c:pt idx="15">
                  <c:v>-8.3283855124630241E-3</c:v>
                </c:pt>
                <c:pt idx="16">
                  <c:v>-4.124386406302049E-2</c:v>
                </c:pt>
                <c:pt idx="17">
                  <c:v>-1.1282783119582904E-2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11-4A59-B1F0-50635AB64BF3}"/>
            </c:ext>
          </c:extLst>
        </c:ser>
        <c:ser>
          <c:idx val="4"/>
          <c:order val="4"/>
          <c:tx>
            <c:strRef>
              <c:f>Convergences!$W$9</c:f>
              <c:strCache>
                <c:ptCount val="1"/>
                <c:pt idx="0">
                  <c:v>BD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Convergences!$W$11:$W$39</c:f>
              <c:numCache>
                <c:formatCode>\+\ 0.0;\-\ 0.0;\±\ 0.0</c:formatCode>
                <c:ptCount val="29"/>
                <c:pt idx="0">
                  <c:v>-1.7197656106970882E-2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2.2908459542199635E-2</c:v>
                </c:pt>
                <c:pt idx="15">
                  <c:v>-8.2185277152179107E-3</c:v>
                </c:pt>
                <c:pt idx="16">
                  <c:v>-5.442282087646351E-2</c:v>
                </c:pt>
                <c:pt idx="17">
                  <c:v>-1.398540839077256E-2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11-4A59-B1F0-50635AB64BF3}"/>
            </c:ext>
          </c:extLst>
        </c:ser>
        <c:ser>
          <c:idx val="5"/>
          <c:order val="5"/>
          <c:tx>
            <c:strRef>
              <c:f>Convergences!$X$9</c:f>
              <c:strCache>
                <c:ptCount val="1"/>
                <c:pt idx="0">
                  <c:v>LH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Convergences!$X$11:$X$39</c:f>
              <c:numCache>
                <c:formatCode>\+\ 0.0;\-\ 0.0;\±\ 0.0</c:formatCode>
                <c:ptCount val="29"/>
                <c:pt idx="0">
                  <c:v>-1.7358872616390908E-2</c:v>
                </c:pt>
                <c:pt idx="1">
                  <c:v>4.2975655305704116E-2</c:v>
                </c:pt>
                <c:pt idx="2">
                  <c:v>-6.3724057132881609E-2</c:v>
                </c:pt>
                <c:pt idx="3">
                  <c:v>6.6417647803669003E-2</c:v>
                </c:pt>
                <c:pt idx="4">
                  <c:v>1.4338220650693467E-2</c:v>
                </c:pt>
                <c:pt idx="5">
                  <c:v>-7.6904920823953459E-3</c:v>
                </c:pt>
                <c:pt idx="6">
                  <c:v>6.1502923908681355E-3</c:v>
                </c:pt>
                <c:pt idx="7">
                  <c:v>-1.547536710682402E-2</c:v>
                </c:pt>
                <c:pt idx="8">
                  <c:v>4.403418507233544E-2</c:v>
                </c:pt>
                <c:pt idx="9">
                  <c:v>-7.6650279297929558E-2</c:v>
                </c:pt>
                <c:pt idx="10">
                  <c:v>-3.0727617114946679E-2</c:v>
                </c:pt>
                <c:pt idx="11">
                  <c:v>5.5109337188901416E-4</c:v>
                </c:pt>
                <c:pt idx="12">
                  <c:v>1.7596434588935178E-3</c:v>
                </c:pt>
                <c:pt idx="13">
                  <c:v>-1.2698229742782556E-2</c:v>
                </c:pt>
                <c:pt idx="14">
                  <c:v>-3.9092595504249227E-3</c:v>
                </c:pt>
                <c:pt idx="15">
                  <c:v>-4.991688582946022E-4</c:v>
                </c:pt>
                <c:pt idx="16">
                  <c:v>1.0228960350607745E-2</c:v>
                </c:pt>
                <c:pt idx="17">
                  <c:v>-1.0147716208524052E-2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11-4A59-B1F0-50635AB64BF3}"/>
            </c:ext>
          </c:extLst>
        </c:ser>
        <c:ser>
          <c:idx val="6"/>
          <c:order val="6"/>
          <c:tx>
            <c:strRef>
              <c:f>Convergences!$Y$9</c:f>
              <c:strCache>
                <c:ptCount val="1"/>
                <c:pt idx="0">
                  <c:v>LI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Convergences!$Y$11:$Y$39</c:f>
              <c:numCache>
                <c:formatCode>\+\ 0.0;\-\ 0.0;\±\ 0.0</c:formatCode>
                <c:ptCount val="29"/>
                <c:pt idx="0">
                  <c:v>-3.6546215545552041E-2</c:v>
                </c:pt>
                <c:pt idx="1">
                  <c:v>3.0292151523170219E-2</c:v>
                </c:pt>
                <c:pt idx="2">
                  <c:v>-5.4388853355735733E-2</c:v>
                </c:pt>
                <c:pt idx="3">
                  <c:v>-3.8704037929651998E-2</c:v>
                </c:pt>
                <c:pt idx="4">
                  <c:v>8.9024323186053037E-2</c:v>
                </c:pt>
                <c:pt idx="5">
                  <c:v>5.5153431098377481E-3</c:v>
                </c:pt>
                <c:pt idx="6">
                  <c:v>-5.844867319962551E-2</c:v>
                </c:pt>
                <c:pt idx="7">
                  <c:v>3.4036920491610702E-2</c:v>
                </c:pt>
                <c:pt idx="8">
                  <c:v>7.0411002645857465E-2</c:v>
                </c:pt>
                <c:pt idx="9">
                  <c:v>-0.12842612183331223</c:v>
                </c:pt>
                <c:pt idx="10">
                  <c:v>2.5183638066218959E-2</c:v>
                </c:pt>
                <c:pt idx="11">
                  <c:v>-2.6135167153361141E-2</c:v>
                </c:pt>
                <c:pt idx="12">
                  <c:v>-1.8807761249739485E-2</c:v>
                </c:pt>
                <c:pt idx="13">
                  <c:v>-1.1722185023709072E-2</c:v>
                </c:pt>
                <c:pt idx="14">
                  <c:v>-3.6670871006241071E-2</c:v>
                </c:pt>
                <c:pt idx="15">
                  <c:v>4.9794032190151792E-2</c:v>
                </c:pt>
                <c:pt idx="16">
                  <c:v>-2.7783023472539324E-2</c:v>
                </c:pt>
                <c:pt idx="17">
                  <c:v>-7.5893525339356628E-3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11-4A59-B1F0-50635AB64BF3}"/>
            </c:ext>
          </c:extLst>
        </c:ser>
        <c:ser>
          <c:idx val="7"/>
          <c:order val="7"/>
          <c:tx>
            <c:strRef>
              <c:f>Convergences!$Z$9</c:f>
              <c:strCache>
                <c:ptCount val="1"/>
                <c:pt idx="0">
                  <c:v>LB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Convergences!$B$11:$B$39</c:f>
              <c:numCache>
                <c:formatCode>dd\ /\ mm\ /\ yy</c:formatCode>
                <c:ptCount val="29"/>
                <c:pt idx="0">
                  <c:v>44172</c:v>
                </c:pt>
                <c:pt idx="1">
                  <c:v>44229</c:v>
                </c:pt>
                <c:pt idx="2">
                  <c:v>44273</c:v>
                </c:pt>
                <c:pt idx="3">
                  <c:v>44287</c:v>
                </c:pt>
                <c:pt idx="4">
                  <c:v>44308</c:v>
                </c:pt>
                <c:pt idx="5">
                  <c:v>44322</c:v>
                </c:pt>
                <c:pt idx="6">
                  <c:v>44337</c:v>
                </c:pt>
                <c:pt idx="7">
                  <c:v>44351</c:v>
                </c:pt>
                <c:pt idx="8">
                  <c:v>44357</c:v>
                </c:pt>
                <c:pt idx="9">
                  <c:v>44364</c:v>
                </c:pt>
                <c:pt idx="10">
                  <c:v>44378</c:v>
                </c:pt>
                <c:pt idx="11">
                  <c:v>44392</c:v>
                </c:pt>
                <c:pt idx="12">
                  <c:v>44410</c:v>
                </c:pt>
                <c:pt idx="13">
                  <c:v>44453</c:v>
                </c:pt>
                <c:pt idx="14">
                  <c:v>44470</c:v>
                </c:pt>
                <c:pt idx="15">
                  <c:v>44489</c:v>
                </c:pt>
                <c:pt idx="16">
                  <c:v>44502</c:v>
                </c:pt>
                <c:pt idx="17">
                  <c:v>44915</c:v>
                </c:pt>
              </c:numCache>
            </c:numRef>
          </c:xVal>
          <c:yVal>
            <c:numRef>
              <c:f>Convergences!$Z$11:$Z$39</c:f>
              <c:numCache>
                <c:formatCode>\+\ 0.0;\-\ 0.0;\±\ 0.0</c:formatCode>
                <c:ptCount val="29"/>
                <c:pt idx="0">
                  <c:v>-3.3154553699843436E-2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-1.8039607245125839E-2</c:v>
                </c:pt>
                <c:pt idx="15">
                  <c:v>3.6766740089648399E-2</c:v>
                </c:pt>
                <c:pt idx="16">
                  <c:v>-1.7222025391629467E-2</c:v>
                </c:pt>
                <c:pt idx="17">
                  <c:v>-1.1717730427807159E-2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11-4A59-B1F0-50635AB64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296984"/>
        <c:axId val="251297376"/>
      </c:scatterChart>
      <c:valAx>
        <c:axId val="25129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 /\ mm\ /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1297376"/>
        <c:crosses val="autoZero"/>
        <c:crossBetween val="midCat"/>
      </c:valAx>
      <c:valAx>
        <c:axId val="251297376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\ 0.0;\-\ 0.0;\±\ 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129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baseline="0"/>
              <a:t>Ajustement d'une loi théorique de déplacements aux données mesurées sur la cible CH-PM169-GVA3 - </a:t>
            </a:r>
            <a:r>
              <a:rPr lang="fr-FR" sz="800" b="0" i="1" baseline="0"/>
              <a:t>Ajustement d'une loi dite de Sulem (contrainte sur </a:t>
            </a:r>
            <a:r>
              <a:rPr lang="fr-FR" sz="8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n=0.3 ) aux mesures existantes</a:t>
            </a:r>
          </a:p>
        </c:rich>
      </c:tx>
      <c:layout>
        <c:manualLayout>
          <c:xMode val="edge"/>
          <c:yMode val="edge"/>
          <c:x val="0.11155277777777778"/>
          <c:y val="2.116666666666667E-2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55524516912449"/>
          <c:y val="0.18089589578425211"/>
          <c:w val="0.85651981481481521"/>
          <c:h val="0.6376050000000007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Déplacements!$R$9</c:f>
              <c:strCache>
                <c:ptCount val="1"/>
                <c:pt idx="0">
                  <c:v>Norme 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0.42426403762639081</c:v>
                </c:pt>
                <c:pt idx="2">
                  <c:v>2.7166156086113253</c:v>
                </c:pt>
                <c:pt idx="3">
                  <c:v>3.518522415254286</c:v>
                </c:pt>
                <c:pt idx="4">
                  <c:v>3.6180104151475603</c:v>
                </c:pt>
                <c:pt idx="5">
                  <c:v>3.36749167754382</c:v>
                </c:pt>
                <c:pt idx="6">
                  <c:v>3.5707142453147522</c:v>
                </c:pt>
                <c:pt idx="7">
                  <c:v>4.1400483080415977</c:v>
                </c:pt>
                <c:pt idx="8">
                  <c:v>4.514421421763176</c:v>
                </c:pt>
                <c:pt idx="9">
                  <c:v>2.3685438323567016</c:v>
                </c:pt>
                <c:pt idx="10">
                  <c:v>3.3015147738106041</c:v>
                </c:pt>
                <c:pt idx="11">
                  <c:v>3.1968735052028512</c:v>
                </c:pt>
                <c:pt idx="12">
                  <c:v>3.5397739976639624</c:v>
                </c:pt>
                <c:pt idx="13">
                  <c:v>3.3837848527100123</c:v>
                </c:pt>
                <c:pt idx="14">
                  <c:v>4.5354161919132654</c:v>
                </c:pt>
                <c:pt idx="15">
                  <c:v>3.6851051370771413</c:v>
                </c:pt>
                <c:pt idx="16">
                  <c:v>4.88876263270829</c:v>
                </c:pt>
                <c:pt idx="17">
                  <c:v>4.4788391320830563</c:v>
                </c:pt>
                <c:pt idx="18">
                  <c:v>9.6420952313066284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1-44D5-A9D9-F8AFF94E056A}"/>
            </c:ext>
          </c:extLst>
        </c:ser>
        <c:ser>
          <c:idx val="4"/>
          <c:order val="2"/>
          <c:tx>
            <c:strRef>
              <c:f>Déplacements!$AW$9</c:f>
              <c:strCache>
                <c:ptCount val="1"/>
                <c:pt idx="0">
                  <c:v>SULEM - n=3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Déplacements!$AU$10:$AU$196</c:f>
              <c:numCache>
                <c:formatCode>m/d/yyyy</c:formatCode>
                <c:ptCount val="187"/>
                <c:pt idx="0">
                  <c:v>43599</c:v>
                </c:pt>
                <c:pt idx="87">
                  <c:v>44139</c:v>
                </c:pt>
                <c:pt idx="88">
                  <c:v>44149</c:v>
                </c:pt>
                <c:pt idx="89">
                  <c:v>44159</c:v>
                </c:pt>
                <c:pt idx="90">
                  <c:v>44169</c:v>
                </c:pt>
                <c:pt idx="91">
                  <c:v>44179</c:v>
                </c:pt>
                <c:pt idx="92">
                  <c:v>44189</c:v>
                </c:pt>
                <c:pt idx="93">
                  <c:v>44199</c:v>
                </c:pt>
                <c:pt idx="94">
                  <c:v>44209</c:v>
                </c:pt>
                <c:pt idx="95">
                  <c:v>44219</c:v>
                </c:pt>
                <c:pt idx="96">
                  <c:v>44229</c:v>
                </c:pt>
                <c:pt idx="97">
                  <c:v>44239</c:v>
                </c:pt>
                <c:pt idx="98">
                  <c:v>44249</c:v>
                </c:pt>
                <c:pt idx="99">
                  <c:v>44259</c:v>
                </c:pt>
                <c:pt idx="100">
                  <c:v>44269</c:v>
                </c:pt>
                <c:pt idx="101">
                  <c:v>44279</c:v>
                </c:pt>
                <c:pt idx="102">
                  <c:v>44289</c:v>
                </c:pt>
                <c:pt idx="103">
                  <c:v>44299</c:v>
                </c:pt>
                <c:pt idx="104">
                  <c:v>44309</c:v>
                </c:pt>
                <c:pt idx="105">
                  <c:v>44319</c:v>
                </c:pt>
                <c:pt idx="106">
                  <c:v>44329</c:v>
                </c:pt>
                <c:pt idx="107">
                  <c:v>44339</c:v>
                </c:pt>
                <c:pt idx="108">
                  <c:v>44349</c:v>
                </c:pt>
                <c:pt idx="109">
                  <c:v>44359</c:v>
                </c:pt>
                <c:pt idx="110">
                  <c:v>44369</c:v>
                </c:pt>
                <c:pt idx="111">
                  <c:v>44379</c:v>
                </c:pt>
                <c:pt idx="112">
                  <c:v>44389</c:v>
                </c:pt>
                <c:pt idx="113">
                  <c:v>44399</c:v>
                </c:pt>
                <c:pt idx="114">
                  <c:v>44409</c:v>
                </c:pt>
                <c:pt idx="115">
                  <c:v>44419</c:v>
                </c:pt>
                <c:pt idx="116">
                  <c:v>44429</c:v>
                </c:pt>
                <c:pt idx="117">
                  <c:v>44439</c:v>
                </c:pt>
                <c:pt idx="118">
                  <c:v>44449</c:v>
                </c:pt>
                <c:pt idx="119">
                  <c:v>44459</c:v>
                </c:pt>
                <c:pt idx="120">
                  <c:v>44469</c:v>
                </c:pt>
                <c:pt idx="121">
                  <c:v>44479</c:v>
                </c:pt>
                <c:pt idx="122">
                  <c:v>44489</c:v>
                </c:pt>
                <c:pt idx="123">
                  <c:v>44499</c:v>
                </c:pt>
                <c:pt idx="124">
                  <c:v>44509</c:v>
                </c:pt>
                <c:pt idx="125">
                  <c:v>44519</c:v>
                </c:pt>
                <c:pt idx="126">
                  <c:v>44529</c:v>
                </c:pt>
                <c:pt idx="127">
                  <c:v>44539</c:v>
                </c:pt>
                <c:pt idx="128">
                  <c:v>44549</c:v>
                </c:pt>
                <c:pt idx="129">
                  <c:v>44559</c:v>
                </c:pt>
                <c:pt idx="130">
                  <c:v>44569</c:v>
                </c:pt>
                <c:pt idx="131">
                  <c:v>44579</c:v>
                </c:pt>
                <c:pt idx="132">
                  <c:v>44599</c:v>
                </c:pt>
                <c:pt idx="133">
                  <c:v>44659</c:v>
                </c:pt>
                <c:pt idx="134">
                  <c:v>44719</c:v>
                </c:pt>
                <c:pt idx="135">
                  <c:v>44779</c:v>
                </c:pt>
                <c:pt idx="136">
                  <c:v>44839</c:v>
                </c:pt>
                <c:pt idx="137">
                  <c:v>44899</c:v>
                </c:pt>
                <c:pt idx="138">
                  <c:v>44959</c:v>
                </c:pt>
                <c:pt idx="139">
                  <c:v>45019</c:v>
                </c:pt>
                <c:pt idx="140">
                  <c:v>45079</c:v>
                </c:pt>
                <c:pt idx="141">
                  <c:v>45139</c:v>
                </c:pt>
                <c:pt idx="142">
                  <c:v>45199</c:v>
                </c:pt>
                <c:pt idx="143">
                  <c:v>45259</c:v>
                </c:pt>
                <c:pt idx="144">
                  <c:v>45319</c:v>
                </c:pt>
                <c:pt idx="145">
                  <c:v>45379</c:v>
                </c:pt>
                <c:pt idx="146">
                  <c:v>45439</c:v>
                </c:pt>
                <c:pt idx="147">
                  <c:v>45499</c:v>
                </c:pt>
                <c:pt idx="148">
                  <c:v>45559</c:v>
                </c:pt>
                <c:pt idx="149">
                  <c:v>45619</c:v>
                </c:pt>
                <c:pt idx="150">
                  <c:v>45719</c:v>
                </c:pt>
                <c:pt idx="151">
                  <c:v>45839</c:v>
                </c:pt>
                <c:pt idx="152">
                  <c:v>45959</c:v>
                </c:pt>
                <c:pt idx="153">
                  <c:v>46079</c:v>
                </c:pt>
                <c:pt idx="154">
                  <c:v>46199</c:v>
                </c:pt>
                <c:pt idx="155">
                  <c:v>46319</c:v>
                </c:pt>
                <c:pt idx="156">
                  <c:v>46439</c:v>
                </c:pt>
                <c:pt idx="157">
                  <c:v>46559</c:v>
                </c:pt>
                <c:pt idx="158">
                  <c:v>46679</c:v>
                </c:pt>
                <c:pt idx="159">
                  <c:v>46799</c:v>
                </c:pt>
                <c:pt idx="160">
                  <c:v>46919</c:v>
                </c:pt>
                <c:pt idx="161">
                  <c:v>47039</c:v>
                </c:pt>
                <c:pt idx="162">
                  <c:v>47159</c:v>
                </c:pt>
                <c:pt idx="163">
                  <c:v>47279</c:v>
                </c:pt>
                <c:pt idx="164">
                  <c:v>47399</c:v>
                </c:pt>
                <c:pt idx="165">
                  <c:v>47519</c:v>
                </c:pt>
                <c:pt idx="166">
                  <c:v>47639</c:v>
                </c:pt>
                <c:pt idx="167">
                  <c:v>47759</c:v>
                </c:pt>
                <c:pt idx="168">
                  <c:v>47879</c:v>
                </c:pt>
                <c:pt idx="169">
                  <c:v>47999</c:v>
                </c:pt>
                <c:pt idx="170">
                  <c:v>48119</c:v>
                </c:pt>
                <c:pt idx="171">
                  <c:v>48239</c:v>
                </c:pt>
                <c:pt idx="172">
                  <c:v>48359</c:v>
                </c:pt>
                <c:pt idx="173">
                  <c:v>48479</c:v>
                </c:pt>
                <c:pt idx="174">
                  <c:v>48599</c:v>
                </c:pt>
                <c:pt idx="175">
                  <c:v>48719</c:v>
                </c:pt>
                <c:pt idx="176">
                  <c:v>48839</c:v>
                </c:pt>
                <c:pt idx="177">
                  <c:v>48959</c:v>
                </c:pt>
                <c:pt idx="178">
                  <c:v>49079</c:v>
                </c:pt>
                <c:pt idx="179">
                  <c:v>49199</c:v>
                </c:pt>
                <c:pt idx="180">
                  <c:v>49319</c:v>
                </c:pt>
                <c:pt idx="181">
                  <c:v>49439</c:v>
                </c:pt>
                <c:pt idx="182">
                  <c:v>49559</c:v>
                </c:pt>
                <c:pt idx="183">
                  <c:v>49679</c:v>
                </c:pt>
                <c:pt idx="184">
                  <c:v>49799</c:v>
                </c:pt>
                <c:pt idx="185">
                  <c:v>49919</c:v>
                </c:pt>
                <c:pt idx="186">
                  <c:v>50039</c:v>
                </c:pt>
              </c:numCache>
            </c:numRef>
          </c:xVal>
          <c:yVal>
            <c:numRef>
              <c:f>Déplacements!$AW$10:$AW$196</c:f>
              <c:numCache>
                <c:formatCode>General</c:formatCode>
                <c:ptCount val="187"/>
                <c:pt idx="0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031-44D5-A9D9-F8AFF94E0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45360"/>
        <c:axId val="2520457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[1]PM169!$E$2</c15:sqref>
                        </c15:formulaRef>
                      </c:ext>
                    </c:extLst>
                    <c:strCache>
                      <c:ptCount val="1"/>
                      <c:pt idx="0">
                        <c:v>Norme CH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[1]PM169!$A$39:$A$65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43738</c:v>
                      </c:pt>
                      <c:pt idx="1">
                        <c:v>43741</c:v>
                      </c:pt>
                      <c:pt idx="2">
                        <c:v>43746</c:v>
                      </c:pt>
                      <c:pt idx="3">
                        <c:v>43753</c:v>
                      </c:pt>
                      <c:pt idx="4">
                        <c:v>43756</c:v>
                      </c:pt>
                      <c:pt idx="5">
                        <c:v>43760</c:v>
                      </c:pt>
                      <c:pt idx="6">
                        <c:v>43762</c:v>
                      </c:pt>
                      <c:pt idx="7">
                        <c:v>43766</c:v>
                      </c:pt>
                      <c:pt idx="8">
                        <c:v>43769</c:v>
                      </c:pt>
                      <c:pt idx="9">
                        <c:v>43774</c:v>
                      </c:pt>
                      <c:pt idx="10">
                        <c:v>43776</c:v>
                      </c:pt>
                      <c:pt idx="11">
                        <c:v>43781</c:v>
                      </c:pt>
                      <c:pt idx="12">
                        <c:v>43783</c:v>
                      </c:pt>
                      <c:pt idx="13">
                        <c:v>43787</c:v>
                      </c:pt>
                      <c:pt idx="14">
                        <c:v>43790</c:v>
                      </c:pt>
                      <c:pt idx="15">
                        <c:v>43795</c:v>
                      </c:pt>
                      <c:pt idx="16">
                        <c:v>43797</c:v>
                      </c:pt>
                      <c:pt idx="17">
                        <c:v>43801</c:v>
                      </c:pt>
                      <c:pt idx="18">
                        <c:v>43803</c:v>
                      </c:pt>
                      <c:pt idx="19">
                        <c:v>43808</c:v>
                      </c:pt>
                      <c:pt idx="20">
                        <c:v>43811</c:v>
                      </c:pt>
                      <c:pt idx="21">
                        <c:v>43815</c:v>
                      </c:pt>
                      <c:pt idx="22">
                        <c:v>43818</c:v>
                      </c:pt>
                      <c:pt idx="23">
                        <c:v>43837</c:v>
                      </c:pt>
                      <c:pt idx="24">
                        <c:v>43843</c:v>
                      </c:pt>
                      <c:pt idx="25">
                        <c:v>43850</c:v>
                      </c:pt>
                      <c:pt idx="26">
                        <c:v>43857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[1]PM169!$E$39:$E$65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18.331487663901811</c:v>
                      </c:pt>
                      <c:pt idx="1">
                        <c:v>18.600584903277213</c:v>
                      </c:pt>
                      <c:pt idx="2">
                        <c:v>19.71236219668431</c:v>
                      </c:pt>
                      <c:pt idx="3">
                        <c:v>19.72705417497842</c:v>
                      </c:pt>
                      <c:pt idx="4">
                        <c:v>19.15228446255519</c:v>
                      </c:pt>
                      <c:pt idx="5">
                        <c:v>20.03324584437949</c:v>
                      </c:pt>
                      <c:pt idx="6">
                        <c:v>20.20618717150256</c:v>
                      </c:pt>
                      <c:pt idx="7">
                        <c:v>20.224206899693066</c:v>
                      </c:pt>
                      <c:pt idx="8">
                        <c:v>20.201485102072755</c:v>
                      </c:pt>
                      <c:pt idx="9">
                        <c:v>20.740781101614143</c:v>
                      </c:pt>
                      <c:pt idx="10">
                        <c:v>20.756004670876287</c:v>
                      </c:pt>
                      <c:pt idx="11">
                        <c:v>20.812839707626349</c:v>
                      </c:pt>
                      <c:pt idx="12">
                        <c:v>21.20966875435348</c:v>
                      </c:pt>
                      <c:pt idx="13">
                        <c:v>21.221853585851314</c:v>
                      </c:pt>
                      <c:pt idx="14">
                        <c:v>21.511789084586237</c:v>
                      </c:pt>
                      <c:pt idx="15">
                        <c:v>21.880381227786099</c:v>
                      </c:pt>
                      <c:pt idx="16">
                        <c:v>21.941326021688621</c:v>
                      </c:pt>
                      <c:pt idx="17">
                        <c:v>21.778728790260587</c:v>
                      </c:pt>
                      <c:pt idx="18">
                        <c:v>21.822963361967595</c:v>
                      </c:pt>
                      <c:pt idx="19">
                        <c:v>22.39336557094293</c:v>
                      </c:pt>
                      <c:pt idx="20">
                        <c:v>22.078126694028526</c:v>
                      </c:pt>
                      <c:pt idx="21">
                        <c:v>23.129199467700737</c:v>
                      </c:pt>
                      <c:pt idx="22">
                        <c:v>22.63249072500399</c:v>
                      </c:pt>
                      <c:pt idx="23">
                        <c:v>23.098565045542546</c:v>
                      </c:pt>
                      <c:pt idx="24">
                        <c:v>23.20753022485162</c:v>
                      </c:pt>
                      <c:pt idx="25">
                        <c:v>23.347605857293772</c:v>
                      </c:pt>
                      <c:pt idx="26">
                        <c:v>23.950020296257836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031-44D5-A9D9-F8AFF94E056A}"/>
                  </c:ext>
                </c:extLst>
              </c15:ser>
            </c15:filteredScatterSeries>
          </c:ext>
        </c:extLst>
      </c:scatterChart>
      <c:valAx>
        <c:axId val="252045360"/>
        <c:scaling>
          <c:orientation val="minMax"/>
          <c:max val="44100"/>
          <c:min val="435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yy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5752"/>
        <c:crosses val="autoZero"/>
        <c:crossBetween val="midCat"/>
        <c:majorUnit val="30"/>
        <c:minorUnit val="30"/>
      </c:valAx>
      <c:valAx>
        <c:axId val="252045752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Norme des déplacements [mm]</a:t>
                </a:r>
              </a:p>
            </c:rich>
          </c:tx>
          <c:layout>
            <c:manualLayout>
              <c:xMode val="edge"/>
              <c:yMode val="edge"/>
              <c:x val="4.2214814814814814E-3"/>
              <c:y val="0.24103777777777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baseline="0"/>
              <a:t>Projection à 10 ans des déplacements de la cible CH-PM169-GVA3 - </a:t>
            </a:r>
            <a:r>
              <a:rPr lang="fr-FR" sz="800" b="0" i="1" baseline="0"/>
              <a:t>Projection à partir d'une loi dite de Sulem ajustée aux </a:t>
            </a:r>
            <a:r>
              <a:rPr lang="fr-FR" sz="800" b="0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mesures existantes au 16/06/2020</a:t>
            </a:r>
          </a:p>
        </c:rich>
      </c:tx>
      <c:layout>
        <c:manualLayout>
          <c:xMode val="edge"/>
          <c:yMode val="edge"/>
          <c:x val="0.15388611111111128"/>
          <c:y val="3.175E-2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048021144559357"/>
          <c:y val="0.17000003589562782"/>
          <c:w val="0.85651981481481521"/>
          <c:h val="0.63760500000000075"/>
        </c:manualLayout>
      </c:layout>
      <c:scatterChart>
        <c:scatterStyle val="lineMarker"/>
        <c:varyColors val="0"/>
        <c:ser>
          <c:idx val="1"/>
          <c:order val="0"/>
          <c:tx>
            <c:strRef>
              <c:f>Déplacements!$R$9</c:f>
              <c:strCache>
                <c:ptCount val="1"/>
                <c:pt idx="0">
                  <c:v>Norme CH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0.42426403762639081</c:v>
                </c:pt>
                <c:pt idx="2">
                  <c:v>2.7166156086113253</c:v>
                </c:pt>
                <c:pt idx="3">
                  <c:v>3.518522415254286</c:v>
                </c:pt>
                <c:pt idx="4">
                  <c:v>3.6180104151475603</c:v>
                </c:pt>
                <c:pt idx="5">
                  <c:v>3.36749167754382</c:v>
                </c:pt>
                <c:pt idx="6">
                  <c:v>3.5707142453147522</c:v>
                </c:pt>
                <c:pt idx="7">
                  <c:v>4.1400483080415977</c:v>
                </c:pt>
                <c:pt idx="8">
                  <c:v>4.514421421763176</c:v>
                </c:pt>
                <c:pt idx="9">
                  <c:v>2.3685438323567016</c:v>
                </c:pt>
                <c:pt idx="10">
                  <c:v>3.3015147738106041</c:v>
                </c:pt>
                <c:pt idx="11">
                  <c:v>3.1968735052028512</c:v>
                </c:pt>
                <c:pt idx="12">
                  <c:v>3.5397739976639624</c:v>
                </c:pt>
                <c:pt idx="13">
                  <c:v>3.3837848527100123</c:v>
                </c:pt>
                <c:pt idx="14">
                  <c:v>4.5354161919132654</c:v>
                </c:pt>
                <c:pt idx="15">
                  <c:v>3.6851051370771413</c:v>
                </c:pt>
                <c:pt idx="16">
                  <c:v>4.88876263270829</c:v>
                </c:pt>
                <c:pt idx="17">
                  <c:v>4.4788391320830563</c:v>
                </c:pt>
                <c:pt idx="18">
                  <c:v>9.6420952313066284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A-45CE-9916-13303FCCB450}"/>
            </c:ext>
          </c:extLst>
        </c:ser>
        <c:ser>
          <c:idx val="4"/>
          <c:order val="2"/>
          <c:tx>
            <c:strRef>
              <c:f>Déplacements!$AW$9</c:f>
              <c:strCache>
                <c:ptCount val="1"/>
                <c:pt idx="0">
                  <c:v>SULEM - n=3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Déplacements!$AU$10:$AU$196</c:f>
              <c:numCache>
                <c:formatCode>m/d/yyyy</c:formatCode>
                <c:ptCount val="187"/>
                <c:pt idx="0">
                  <c:v>43599</c:v>
                </c:pt>
                <c:pt idx="87">
                  <c:v>44139</c:v>
                </c:pt>
                <c:pt idx="88">
                  <c:v>44149</c:v>
                </c:pt>
                <c:pt idx="89">
                  <c:v>44159</c:v>
                </c:pt>
                <c:pt idx="90">
                  <c:v>44169</c:v>
                </c:pt>
                <c:pt idx="91">
                  <c:v>44179</c:v>
                </c:pt>
                <c:pt idx="92">
                  <c:v>44189</c:v>
                </c:pt>
                <c:pt idx="93">
                  <c:v>44199</c:v>
                </c:pt>
                <c:pt idx="94">
                  <c:v>44209</c:v>
                </c:pt>
                <c:pt idx="95">
                  <c:v>44219</c:v>
                </c:pt>
                <c:pt idx="96">
                  <c:v>44229</c:v>
                </c:pt>
                <c:pt idx="97">
                  <c:v>44239</c:v>
                </c:pt>
                <c:pt idx="98">
                  <c:v>44249</c:v>
                </c:pt>
                <c:pt idx="99">
                  <c:v>44259</c:v>
                </c:pt>
                <c:pt idx="100">
                  <c:v>44269</c:v>
                </c:pt>
                <c:pt idx="101">
                  <c:v>44279</c:v>
                </c:pt>
                <c:pt idx="102">
                  <c:v>44289</c:v>
                </c:pt>
                <c:pt idx="103">
                  <c:v>44299</c:v>
                </c:pt>
                <c:pt idx="104">
                  <c:v>44309</c:v>
                </c:pt>
                <c:pt idx="105">
                  <c:v>44319</c:v>
                </c:pt>
                <c:pt idx="106">
                  <c:v>44329</c:v>
                </c:pt>
                <c:pt idx="107">
                  <c:v>44339</c:v>
                </c:pt>
                <c:pt idx="108">
                  <c:v>44349</c:v>
                </c:pt>
                <c:pt idx="109">
                  <c:v>44359</c:v>
                </c:pt>
                <c:pt idx="110">
                  <c:v>44369</c:v>
                </c:pt>
                <c:pt idx="111">
                  <c:v>44379</c:v>
                </c:pt>
                <c:pt idx="112">
                  <c:v>44389</c:v>
                </c:pt>
                <c:pt idx="113">
                  <c:v>44399</c:v>
                </c:pt>
                <c:pt idx="114">
                  <c:v>44409</c:v>
                </c:pt>
                <c:pt idx="115">
                  <c:v>44419</c:v>
                </c:pt>
                <c:pt idx="116">
                  <c:v>44429</c:v>
                </c:pt>
                <c:pt idx="117">
                  <c:v>44439</c:v>
                </c:pt>
                <c:pt idx="118">
                  <c:v>44449</c:v>
                </c:pt>
                <c:pt idx="119">
                  <c:v>44459</c:v>
                </c:pt>
                <c:pt idx="120">
                  <c:v>44469</c:v>
                </c:pt>
                <c:pt idx="121">
                  <c:v>44479</c:v>
                </c:pt>
                <c:pt idx="122">
                  <c:v>44489</c:v>
                </c:pt>
                <c:pt idx="123">
                  <c:v>44499</c:v>
                </c:pt>
                <c:pt idx="124">
                  <c:v>44509</c:v>
                </c:pt>
                <c:pt idx="125">
                  <c:v>44519</c:v>
                </c:pt>
                <c:pt idx="126">
                  <c:v>44529</c:v>
                </c:pt>
                <c:pt idx="127">
                  <c:v>44539</c:v>
                </c:pt>
                <c:pt idx="128">
                  <c:v>44549</c:v>
                </c:pt>
                <c:pt idx="129">
                  <c:v>44559</c:v>
                </c:pt>
                <c:pt idx="130">
                  <c:v>44569</c:v>
                </c:pt>
                <c:pt idx="131">
                  <c:v>44579</c:v>
                </c:pt>
                <c:pt idx="132">
                  <c:v>44599</c:v>
                </c:pt>
                <c:pt idx="133">
                  <c:v>44659</c:v>
                </c:pt>
                <c:pt idx="134">
                  <c:v>44719</c:v>
                </c:pt>
                <c:pt idx="135">
                  <c:v>44779</c:v>
                </c:pt>
                <c:pt idx="136">
                  <c:v>44839</c:v>
                </c:pt>
                <c:pt idx="137">
                  <c:v>44899</c:v>
                </c:pt>
                <c:pt idx="138">
                  <c:v>44959</c:v>
                </c:pt>
                <c:pt idx="139">
                  <c:v>45019</c:v>
                </c:pt>
                <c:pt idx="140">
                  <c:v>45079</c:v>
                </c:pt>
                <c:pt idx="141">
                  <c:v>45139</c:v>
                </c:pt>
                <c:pt idx="142">
                  <c:v>45199</c:v>
                </c:pt>
                <c:pt idx="143">
                  <c:v>45259</c:v>
                </c:pt>
                <c:pt idx="144">
                  <c:v>45319</c:v>
                </c:pt>
                <c:pt idx="145">
                  <c:v>45379</c:v>
                </c:pt>
                <c:pt idx="146">
                  <c:v>45439</c:v>
                </c:pt>
                <c:pt idx="147">
                  <c:v>45499</c:v>
                </c:pt>
                <c:pt idx="148">
                  <c:v>45559</c:v>
                </c:pt>
                <c:pt idx="149">
                  <c:v>45619</c:v>
                </c:pt>
                <c:pt idx="150">
                  <c:v>45719</c:v>
                </c:pt>
                <c:pt idx="151">
                  <c:v>45839</c:v>
                </c:pt>
                <c:pt idx="152">
                  <c:v>45959</c:v>
                </c:pt>
                <c:pt idx="153">
                  <c:v>46079</c:v>
                </c:pt>
                <c:pt idx="154">
                  <c:v>46199</c:v>
                </c:pt>
                <c:pt idx="155">
                  <c:v>46319</c:v>
                </c:pt>
                <c:pt idx="156">
                  <c:v>46439</c:v>
                </c:pt>
                <c:pt idx="157">
                  <c:v>46559</c:v>
                </c:pt>
                <c:pt idx="158">
                  <c:v>46679</c:v>
                </c:pt>
                <c:pt idx="159">
                  <c:v>46799</c:v>
                </c:pt>
                <c:pt idx="160">
                  <c:v>46919</c:v>
                </c:pt>
                <c:pt idx="161">
                  <c:v>47039</c:v>
                </c:pt>
                <c:pt idx="162">
                  <c:v>47159</c:v>
                </c:pt>
                <c:pt idx="163">
                  <c:v>47279</c:v>
                </c:pt>
                <c:pt idx="164">
                  <c:v>47399</c:v>
                </c:pt>
                <c:pt idx="165">
                  <c:v>47519</c:v>
                </c:pt>
                <c:pt idx="166">
                  <c:v>47639</c:v>
                </c:pt>
                <c:pt idx="167">
                  <c:v>47759</c:v>
                </c:pt>
                <c:pt idx="168">
                  <c:v>47879</c:v>
                </c:pt>
                <c:pt idx="169">
                  <c:v>47999</c:v>
                </c:pt>
                <c:pt idx="170">
                  <c:v>48119</c:v>
                </c:pt>
                <c:pt idx="171">
                  <c:v>48239</c:v>
                </c:pt>
                <c:pt idx="172">
                  <c:v>48359</c:v>
                </c:pt>
                <c:pt idx="173">
                  <c:v>48479</c:v>
                </c:pt>
                <c:pt idx="174">
                  <c:v>48599</c:v>
                </c:pt>
                <c:pt idx="175">
                  <c:v>48719</c:v>
                </c:pt>
                <c:pt idx="176">
                  <c:v>48839</c:v>
                </c:pt>
                <c:pt idx="177">
                  <c:v>48959</c:v>
                </c:pt>
                <c:pt idx="178">
                  <c:v>49079</c:v>
                </c:pt>
                <c:pt idx="179">
                  <c:v>49199</c:v>
                </c:pt>
                <c:pt idx="180">
                  <c:v>49319</c:v>
                </c:pt>
                <c:pt idx="181">
                  <c:v>49439</c:v>
                </c:pt>
                <c:pt idx="182">
                  <c:v>49559</c:v>
                </c:pt>
                <c:pt idx="183">
                  <c:v>49679</c:v>
                </c:pt>
                <c:pt idx="184">
                  <c:v>49799</c:v>
                </c:pt>
                <c:pt idx="185">
                  <c:v>49919</c:v>
                </c:pt>
                <c:pt idx="186">
                  <c:v>50039</c:v>
                </c:pt>
              </c:numCache>
            </c:numRef>
          </c:xVal>
          <c:yVal>
            <c:numRef>
              <c:f>Déplacements!$AW$10:$AW$196</c:f>
              <c:numCache>
                <c:formatCode>General</c:formatCode>
                <c:ptCount val="187"/>
                <c:pt idx="0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CDA-45CE-9916-13303FCCB450}"/>
            </c:ext>
          </c:extLst>
        </c:ser>
        <c:ser>
          <c:idx val="2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1.4111111111111111E-2"/>
                  <c:y val="-5.6444444444444443E-2"/>
                </c:manualLayout>
              </c:layout>
              <c:numFmt formatCode="mmm\-yyyy;@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DA-45CE-9916-13303FCCB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Déplacements!$AK$30:$AK$32</c:f>
              <c:numCache>
                <c:formatCode>m/d/yyyy</c:formatCode>
                <c:ptCount val="3"/>
              </c:numCache>
            </c:numRef>
          </c:xVal>
          <c:yVal>
            <c:numRef>
              <c:f>Déplacements!$AM$30:$AM$32</c:f>
              <c:numCache>
                <c:formatCode>General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DA-45CE-9916-13303FCCB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46928"/>
        <c:axId val="2520473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[1]PM169!$E$2</c15:sqref>
                        </c15:formulaRef>
                      </c:ext>
                    </c:extLst>
                    <c:strCache>
                      <c:ptCount val="1"/>
                      <c:pt idx="0">
                        <c:v>Norme CH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[1]PM169!$A$39:$A$65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43738</c:v>
                      </c:pt>
                      <c:pt idx="1">
                        <c:v>43741</c:v>
                      </c:pt>
                      <c:pt idx="2">
                        <c:v>43746</c:v>
                      </c:pt>
                      <c:pt idx="3">
                        <c:v>43753</c:v>
                      </c:pt>
                      <c:pt idx="4">
                        <c:v>43756</c:v>
                      </c:pt>
                      <c:pt idx="5">
                        <c:v>43760</c:v>
                      </c:pt>
                      <c:pt idx="6">
                        <c:v>43762</c:v>
                      </c:pt>
                      <c:pt idx="7">
                        <c:v>43766</c:v>
                      </c:pt>
                      <c:pt idx="8">
                        <c:v>43769</c:v>
                      </c:pt>
                      <c:pt idx="9">
                        <c:v>43774</c:v>
                      </c:pt>
                      <c:pt idx="10">
                        <c:v>43776</c:v>
                      </c:pt>
                      <c:pt idx="11">
                        <c:v>43781</c:v>
                      </c:pt>
                      <c:pt idx="12">
                        <c:v>43783</c:v>
                      </c:pt>
                      <c:pt idx="13">
                        <c:v>43787</c:v>
                      </c:pt>
                      <c:pt idx="14">
                        <c:v>43790</c:v>
                      </c:pt>
                      <c:pt idx="15">
                        <c:v>43795</c:v>
                      </c:pt>
                      <c:pt idx="16">
                        <c:v>43797</c:v>
                      </c:pt>
                      <c:pt idx="17">
                        <c:v>43801</c:v>
                      </c:pt>
                      <c:pt idx="18">
                        <c:v>43803</c:v>
                      </c:pt>
                      <c:pt idx="19">
                        <c:v>43808</c:v>
                      </c:pt>
                      <c:pt idx="20">
                        <c:v>43811</c:v>
                      </c:pt>
                      <c:pt idx="21">
                        <c:v>43815</c:v>
                      </c:pt>
                      <c:pt idx="22">
                        <c:v>43818</c:v>
                      </c:pt>
                      <c:pt idx="23">
                        <c:v>43837</c:v>
                      </c:pt>
                      <c:pt idx="24">
                        <c:v>43843</c:v>
                      </c:pt>
                      <c:pt idx="25">
                        <c:v>43850</c:v>
                      </c:pt>
                      <c:pt idx="26">
                        <c:v>43857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[1]PM169!$E$39:$E$65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18.331487663901811</c:v>
                      </c:pt>
                      <c:pt idx="1">
                        <c:v>18.600584903277213</c:v>
                      </c:pt>
                      <c:pt idx="2">
                        <c:v>19.71236219668431</c:v>
                      </c:pt>
                      <c:pt idx="3">
                        <c:v>19.72705417497842</c:v>
                      </c:pt>
                      <c:pt idx="4">
                        <c:v>19.15228446255519</c:v>
                      </c:pt>
                      <c:pt idx="5">
                        <c:v>20.03324584437949</c:v>
                      </c:pt>
                      <c:pt idx="6">
                        <c:v>20.20618717150256</c:v>
                      </c:pt>
                      <c:pt idx="7">
                        <c:v>20.224206899693066</c:v>
                      </c:pt>
                      <c:pt idx="8">
                        <c:v>20.201485102072755</c:v>
                      </c:pt>
                      <c:pt idx="9">
                        <c:v>20.740781101614143</c:v>
                      </c:pt>
                      <c:pt idx="10">
                        <c:v>20.756004670876287</c:v>
                      </c:pt>
                      <c:pt idx="11">
                        <c:v>20.812839707626349</c:v>
                      </c:pt>
                      <c:pt idx="12">
                        <c:v>21.20966875435348</c:v>
                      </c:pt>
                      <c:pt idx="13">
                        <c:v>21.221853585851314</c:v>
                      </c:pt>
                      <c:pt idx="14">
                        <c:v>21.511789084586237</c:v>
                      </c:pt>
                      <c:pt idx="15">
                        <c:v>21.880381227786099</c:v>
                      </c:pt>
                      <c:pt idx="16">
                        <c:v>21.941326021688621</c:v>
                      </c:pt>
                      <c:pt idx="17">
                        <c:v>21.778728790260587</c:v>
                      </c:pt>
                      <c:pt idx="18">
                        <c:v>21.822963361967595</c:v>
                      </c:pt>
                      <c:pt idx="19">
                        <c:v>22.39336557094293</c:v>
                      </c:pt>
                      <c:pt idx="20">
                        <c:v>22.078126694028526</c:v>
                      </c:pt>
                      <c:pt idx="21">
                        <c:v>23.129199467700737</c:v>
                      </c:pt>
                      <c:pt idx="22">
                        <c:v>22.63249072500399</c:v>
                      </c:pt>
                      <c:pt idx="23">
                        <c:v>23.098565045542546</c:v>
                      </c:pt>
                      <c:pt idx="24">
                        <c:v>23.20753022485162</c:v>
                      </c:pt>
                      <c:pt idx="25">
                        <c:v>23.347605857293772</c:v>
                      </c:pt>
                      <c:pt idx="26">
                        <c:v>23.950020296257836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2CDA-45CE-9916-13303FCCB450}"/>
                  </c:ext>
                </c:extLst>
              </c15:ser>
            </c15:filteredScatterSeries>
          </c:ext>
        </c:extLst>
      </c:scatterChart>
      <c:valAx>
        <c:axId val="252046928"/>
        <c:scaling>
          <c:orientation val="minMax"/>
          <c:max val="47900"/>
          <c:min val="435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yy;@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7320"/>
        <c:crosses val="autoZero"/>
        <c:crossBetween val="midCat"/>
        <c:majorUnit val="365"/>
        <c:minorUnit val="30"/>
      </c:valAx>
      <c:valAx>
        <c:axId val="252047320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Norme des déplacements [mm]</a:t>
                </a:r>
              </a:p>
            </c:rich>
          </c:tx>
          <c:layout>
            <c:manualLayout>
              <c:xMode val="edge"/>
              <c:yMode val="edge"/>
              <c:x val="4.2214814814814814E-3"/>
              <c:y val="0.241037777777777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Convergences</a:t>
            </a:r>
          </a:p>
        </c:rich>
      </c:tx>
      <c:layout>
        <c:manualLayout>
          <c:xMode val="edge"/>
          <c:yMode val="edge"/>
          <c:x val="0.43150045151108535"/>
          <c:y val="2.98953732555053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402131807479048"/>
          <c:y val="5.0822134534358424E-2"/>
          <c:w val="0.77290072663747622"/>
          <c:h val="0.70939437387907778"/>
        </c:manualLayout>
      </c:layout>
      <c:scatterChart>
        <c:scatterStyle val="lineMarker"/>
        <c:varyColors val="0"/>
        <c:ser>
          <c:idx val="7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Convergences!$D$10:$D$100</c:f>
              <c:numCache>
                <c:formatCode>\+\ 0.0;\-\ 0.0;\±\ 0.0</c:formatCode>
                <c:ptCount val="91"/>
                <c:pt idx="0">
                  <c:v>0</c:v>
                </c:pt>
                <c:pt idx="1">
                  <c:v>-0.6875872031413266</c:v>
                </c:pt>
                <c:pt idx="2">
                  <c:v>0.42333119131221508</c:v>
                </c:pt>
                <c:pt idx="3">
                  <c:v>-2.184340223051251</c:v>
                </c:pt>
                <c:pt idx="4">
                  <c:v>0</c:v>
                </c:pt>
                <c:pt idx="5">
                  <c:v>-1.9050164942866488</c:v>
                </c:pt>
                <c:pt idx="6">
                  <c:v>0</c:v>
                </c:pt>
                <c:pt idx="7">
                  <c:v>0</c:v>
                </c:pt>
                <c:pt idx="8">
                  <c:v>-1.2857064291793563</c:v>
                </c:pt>
                <c:pt idx="9">
                  <c:v>-1.448531322376212</c:v>
                </c:pt>
                <c:pt idx="10">
                  <c:v>-0.98490007267137969</c:v>
                </c:pt>
                <c:pt idx="11">
                  <c:v>-1.8091861591473801</c:v>
                </c:pt>
                <c:pt idx="12">
                  <c:v>-1.7817196826630521</c:v>
                </c:pt>
                <c:pt idx="13">
                  <c:v>-1.7923143365932148</c:v>
                </c:pt>
                <c:pt idx="14">
                  <c:v>-3.9340424488552017</c:v>
                </c:pt>
                <c:pt idx="15">
                  <c:v>-2.5972493211545711</c:v>
                </c:pt>
                <c:pt idx="16">
                  <c:v>-3.5125152472748056</c:v>
                </c:pt>
                <c:pt idx="17">
                  <c:v>-4.1506635258237168</c:v>
                </c:pt>
                <c:pt idx="18">
                  <c:v>-10.078161131268359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F-49FA-B5A5-AEAAAC71C3C2}"/>
            </c:ext>
          </c:extLst>
        </c:ser>
        <c:ser>
          <c:idx val="8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-0.55032499542306823</c:v>
                </c:pt>
                <c:pt idx="14">
                  <c:v>-3.8670542570287125</c:v>
                </c:pt>
                <c:pt idx="15">
                  <c:v>-3.4776104448113188</c:v>
                </c:pt>
                <c:pt idx="16">
                  <c:v>-3.633762471400459</c:v>
                </c:pt>
                <c:pt idx="17">
                  <c:v>-4.3412591427944847</c:v>
                </c:pt>
                <c:pt idx="18">
                  <c:v>-10.117232808183552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F-49FA-B5A5-AEAAAC71C3C2}"/>
            </c:ext>
          </c:extLst>
        </c:ser>
        <c:ser>
          <c:idx val="9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-1.06094571839499</c:v>
                </c:pt>
                <c:pt idx="14">
                  <c:v>-1.9493629597500117</c:v>
                </c:pt>
                <c:pt idx="15">
                  <c:v>-2.256036282917151</c:v>
                </c:pt>
                <c:pt idx="16">
                  <c:v>-1.5574682212138313</c:v>
                </c:pt>
                <c:pt idx="17">
                  <c:v>-1.7813545513050144</c:v>
                </c:pt>
                <c:pt idx="18">
                  <c:v>-6.6207772179893709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F-49FA-B5A5-AEAAAC71C3C2}"/>
            </c:ext>
          </c:extLst>
        </c:ser>
        <c:ser>
          <c:idx val="10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4.1681278331484606E-2</c:v>
                </c:pt>
                <c:pt idx="2">
                  <c:v>1.0893534299838414</c:v>
                </c:pt>
                <c:pt idx="3">
                  <c:v>-1.4079958640813572</c:v>
                </c:pt>
                <c:pt idx="4">
                  <c:v>-0.78939336789174419</c:v>
                </c:pt>
                <c:pt idx="5">
                  <c:v>-0.67844615432388622</c:v>
                </c:pt>
                <c:pt idx="6">
                  <c:v>-0.55575293142950954</c:v>
                </c:pt>
                <c:pt idx="7">
                  <c:v>-0.54852352991030529</c:v>
                </c:pt>
                <c:pt idx="8">
                  <c:v>-0.55158026067392285</c:v>
                </c:pt>
                <c:pt idx="9">
                  <c:v>-0.39600253339688862</c:v>
                </c:pt>
                <c:pt idx="10">
                  <c:v>-0.59767320331527429</c:v>
                </c:pt>
                <c:pt idx="11">
                  <c:v>-0.68865324366562675</c:v>
                </c:pt>
                <c:pt idx="12">
                  <c:v>-0.97407633203294708</c:v>
                </c:pt>
                <c:pt idx="13">
                  <c:v>-0.91241484353288271</c:v>
                </c:pt>
                <c:pt idx="14">
                  <c:v>-2.0079744309509096</c:v>
                </c:pt>
                <c:pt idx="15">
                  <c:v>-1.3193355970648746</c:v>
                </c:pt>
                <c:pt idx="16">
                  <c:v>-1.8925305175723217</c:v>
                </c:pt>
                <c:pt idx="17">
                  <c:v>-1.9564543288024261</c:v>
                </c:pt>
                <c:pt idx="18">
                  <c:v>-4.7473928538694921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0F-49FA-B5A5-AEAAAC71C3C2}"/>
            </c:ext>
          </c:extLst>
        </c:ser>
        <c:ser>
          <c:idx val="11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-0.35378593813106818</c:v>
                </c:pt>
                <c:pt idx="2">
                  <c:v>0.48850446751114163</c:v>
                </c:pt>
                <c:pt idx="3">
                  <c:v>-0.56562303334217745</c:v>
                </c:pt>
                <c:pt idx="4">
                  <c:v>-0.86710373524567785</c:v>
                </c:pt>
                <c:pt idx="5">
                  <c:v>-0.47043836895843683</c:v>
                </c:pt>
                <c:pt idx="6">
                  <c:v>-0.53795492855712723</c:v>
                </c:pt>
                <c:pt idx="7">
                  <c:v>-0.77899284457583207</c:v>
                </c:pt>
                <c:pt idx="8">
                  <c:v>-0.44970007692768377</c:v>
                </c:pt>
                <c:pt idx="9">
                  <c:v>-0.26515424671558208</c:v>
                </c:pt>
                <c:pt idx="10">
                  <c:v>-0.52544247729668925</c:v>
                </c:pt>
                <c:pt idx="11">
                  <c:v>-0.78890239123063921</c:v>
                </c:pt>
                <c:pt idx="12">
                  <c:v>-0.84531465900905545</c:v>
                </c:pt>
                <c:pt idx="13">
                  <c:v>-0.80944181583397778</c:v>
                </c:pt>
                <c:pt idx="14">
                  <c:v>-1.3756426074431616</c:v>
                </c:pt>
                <c:pt idx="15">
                  <c:v>-1.0575520774360747</c:v>
                </c:pt>
                <c:pt idx="16">
                  <c:v>-1.33039769061849</c:v>
                </c:pt>
                <c:pt idx="17">
                  <c:v>-1.4596927821788341</c:v>
                </c:pt>
                <c:pt idx="18">
                  <c:v>-4.34402085967589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0F-49FA-B5A5-AEAAAC71C3C2}"/>
            </c:ext>
          </c:extLst>
        </c:ser>
        <c:ser>
          <c:idx val="12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-0.55548392372450905</c:v>
                </c:pt>
                <c:pt idx="2">
                  <c:v>1.8941284287006255</c:v>
                </c:pt>
                <c:pt idx="3">
                  <c:v>-0.90973008514616538</c:v>
                </c:pt>
                <c:pt idx="4">
                  <c:v>2.0116984105200686E-2</c:v>
                </c:pt>
                <c:pt idx="5">
                  <c:v>0.32121961776976349</c:v>
                </c:pt>
                <c:pt idx="6">
                  <c:v>0.21355272861622865</c:v>
                </c:pt>
                <c:pt idx="7">
                  <c:v>0.30580711447925069</c:v>
                </c:pt>
                <c:pt idx="8">
                  <c:v>8.915197498371441E-2</c:v>
                </c:pt>
                <c:pt idx="9">
                  <c:v>0.35335708541772703</c:v>
                </c:pt>
                <c:pt idx="10">
                  <c:v>-0.18319486966777987</c:v>
                </c:pt>
                <c:pt idx="11">
                  <c:v>-0.61338150927703339</c:v>
                </c:pt>
                <c:pt idx="12">
                  <c:v>-0.60566620207058719</c:v>
                </c:pt>
                <c:pt idx="13">
                  <c:v>-0.57399261981050387</c:v>
                </c:pt>
                <c:pt idx="14">
                  <c:v>-1.1200164987501537</c:v>
                </c:pt>
                <c:pt idx="15">
                  <c:v>-1.1864739111073774</c:v>
                </c:pt>
                <c:pt idx="16">
                  <c:v>-1.1959581194149749</c:v>
                </c:pt>
                <c:pt idx="17">
                  <c:v>-1.0629816348570742</c:v>
                </c:pt>
                <c:pt idx="18">
                  <c:v>-5.2539884289775074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0F-49FA-B5A5-AEAAAC71C3C2}"/>
            </c:ext>
          </c:extLst>
        </c:ser>
        <c:ser>
          <c:idx val="13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-0.72642607564787909</c:v>
                </c:pt>
                <c:pt idx="2">
                  <c:v>0.22597955551884041</c:v>
                </c:pt>
                <c:pt idx="3">
                  <c:v>-2.5100065936678462</c:v>
                </c:pt>
                <c:pt idx="4">
                  <c:v>-2.0407230849288638</c:v>
                </c:pt>
                <c:pt idx="5">
                  <c:v>-1.6601529675330795</c:v>
                </c:pt>
                <c:pt idx="6">
                  <c:v>-1.3640502958294221</c:v>
                </c:pt>
                <c:pt idx="7">
                  <c:v>-1.921812671723977</c:v>
                </c:pt>
                <c:pt idx="8">
                  <c:v>-1.2922412379152703</c:v>
                </c:pt>
                <c:pt idx="9">
                  <c:v>-1.2862286238721765</c:v>
                </c:pt>
                <c:pt idx="10">
                  <c:v>-1.2533966227712412</c:v>
                </c:pt>
                <c:pt idx="11">
                  <c:v>-1.5984635920265333</c:v>
                </c:pt>
                <c:pt idx="12">
                  <c:v>-1.7314985903391644</c:v>
                </c:pt>
                <c:pt idx="13">
                  <c:v>-1.8504353716908284</c:v>
                </c:pt>
                <c:pt idx="14">
                  <c:v>-3.2543125378410309</c:v>
                </c:pt>
                <c:pt idx="15">
                  <c:v>-2.7166834630794057</c:v>
                </c:pt>
                <c:pt idx="16">
                  <c:v>-3.1280761236374133</c:v>
                </c:pt>
                <c:pt idx="17">
                  <c:v>-3.6133332380448024</c:v>
                </c:pt>
                <c:pt idx="18">
                  <c:v>-7.6362566917573815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0F-49FA-B5A5-AEAAAC71C3C2}"/>
            </c:ext>
          </c:extLst>
        </c:ser>
        <c:ser>
          <c:idx val="14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Convergences!$K$10:$K$200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-1.1694788974576653</c:v>
                </c:pt>
                <c:pt idx="2">
                  <c:v>0.55717373936303716</c:v>
                </c:pt>
                <c:pt idx="3">
                  <c:v>-1.8359358082893351</c:v>
                </c:pt>
                <c:pt idx="4">
                  <c:v>-2.3777923393044631</c:v>
                </c:pt>
                <c:pt idx="5">
                  <c:v>-0.5082815523973494</c:v>
                </c:pt>
                <c:pt idx="6">
                  <c:v>-0.43106674885962093</c:v>
                </c:pt>
                <c:pt idx="7">
                  <c:v>-1.3077968468540035</c:v>
                </c:pt>
                <c:pt idx="8">
                  <c:v>-0.83127995997145376</c:v>
                </c:pt>
                <c:pt idx="9">
                  <c:v>-0.408813944096309</c:v>
                </c:pt>
                <c:pt idx="10">
                  <c:v>-1.3077967969294946</c:v>
                </c:pt>
                <c:pt idx="11">
                  <c:v>-0.95522586400242915</c:v>
                </c:pt>
                <c:pt idx="12">
                  <c:v>-1.3211182041494851</c:v>
                </c:pt>
                <c:pt idx="13">
                  <c:v>-1.6596579066447958</c:v>
                </c:pt>
                <c:pt idx="14">
                  <c:v>-2.1637118626642859</c:v>
                </c:pt>
                <c:pt idx="15">
                  <c:v>-2.7871166697703842</c:v>
                </c:pt>
                <c:pt idx="16">
                  <c:v>-1.8410300581575001</c:v>
                </c:pt>
                <c:pt idx="17">
                  <c:v>-2.2022093633005113</c:v>
                </c:pt>
                <c:pt idx="18">
                  <c:v>-5.3366119598159401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0F-49FA-B5A5-AEAAAC71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48104"/>
        <c:axId val="252048496"/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52049280"/>
        <c:axId val="25204888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8"/>
                <c:tx>
                  <c:v>Avancement du front</c:v>
                </c:tx>
                <c:spPr>
                  <a:ln w="15875" cap="rnd">
                    <a:solidFill>
                      <a:schemeClr val="accent1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tint val="50000"/>
                            <a:satMod val="300000"/>
                          </a:schemeClr>
                        </a:gs>
                        <a:gs pos="35000">
                          <a:schemeClr val="accent1">
                            <a:tint val="37000"/>
                            <a:satMod val="300000"/>
                          </a:schemeClr>
                        </a:gs>
                        <a:gs pos="100000">
                          <a:schemeClr val="accent1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1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Convergences!$B$10:$B$200</c15:sqref>
                        </c15:formulaRef>
                      </c:ext>
                    </c:extLst>
                    <c:numCache>
                      <c:formatCode>dd\ /\ mm\ /\ yy</c:formatCode>
                      <c:ptCount val="191"/>
                      <c:pt idx="0">
                        <c:v>44140</c:v>
                      </c:pt>
                      <c:pt idx="1">
                        <c:v>44172</c:v>
                      </c:pt>
                      <c:pt idx="2">
                        <c:v>44229</c:v>
                      </c:pt>
                      <c:pt idx="3">
                        <c:v>44273</c:v>
                      </c:pt>
                      <c:pt idx="4">
                        <c:v>44287</c:v>
                      </c:pt>
                      <c:pt idx="5">
                        <c:v>44308</c:v>
                      </c:pt>
                      <c:pt idx="6">
                        <c:v>44322</c:v>
                      </c:pt>
                      <c:pt idx="7">
                        <c:v>44337</c:v>
                      </c:pt>
                      <c:pt idx="8">
                        <c:v>44351</c:v>
                      </c:pt>
                      <c:pt idx="9">
                        <c:v>44357</c:v>
                      </c:pt>
                      <c:pt idx="10">
                        <c:v>44364</c:v>
                      </c:pt>
                      <c:pt idx="11">
                        <c:v>44378</c:v>
                      </c:pt>
                      <c:pt idx="12">
                        <c:v>44392</c:v>
                      </c:pt>
                      <c:pt idx="13">
                        <c:v>44410</c:v>
                      </c:pt>
                      <c:pt idx="14">
                        <c:v>44453</c:v>
                      </c:pt>
                      <c:pt idx="15">
                        <c:v>44470</c:v>
                      </c:pt>
                      <c:pt idx="16">
                        <c:v>44489</c:v>
                      </c:pt>
                      <c:pt idx="17">
                        <c:v>44502</c:v>
                      </c:pt>
                      <c:pt idx="18">
                        <c:v>44915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Convergences!$C$10:$C$200</c15:sqref>
                        </c15:formulaRef>
                      </c:ext>
                    </c:extLst>
                    <c:numCache>
                      <c:formatCode>0.0</c:formatCode>
                      <c:ptCount val="191"/>
                      <c:pt idx="0">
                        <c:v>222.9</c:v>
                      </c:pt>
                      <c:pt idx="1">
                        <c:v>222.9</c:v>
                      </c:pt>
                      <c:pt idx="2">
                        <c:v>222.9</c:v>
                      </c:pt>
                      <c:pt idx="3">
                        <c:v>222.9</c:v>
                      </c:pt>
                      <c:pt idx="4">
                        <c:v>222.9</c:v>
                      </c:pt>
                      <c:pt idx="5">
                        <c:v>222.9</c:v>
                      </c:pt>
                      <c:pt idx="6">
                        <c:v>222.9</c:v>
                      </c:pt>
                      <c:pt idx="7">
                        <c:v>222.9</c:v>
                      </c:pt>
                      <c:pt idx="8">
                        <c:v>222.9</c:v>
                      </c:pt>
                      <c:pt idx="9">
                        <c:v>222.9</c:v>
                      </c:pt>
                      <c:pt idx="10">
                        <c:v>222.9</c:v>
                      </c:pt>
                      <c:pt idx="11">
                        <c:v>222.9</c:v>
                      </c:pt>
                      <c:pt idx="12">
                        <c:v>222.9</c:v>
                      </c:pt>
                      <c:pt idx="13">
                        <c:v>222.9</c:v>
                      </c:pt>
                      <c:pt idx="14">
                        <c:v>222.9</c:v>
                      </c:pt>
                      <c:pt idx="15">
                        <c:v>222.9</c:v>
                      </c:pt>
                      <c:pt idx="16">
                        <c:v>222.9</c:v>
                      </c:pt>
                      <c:pt idx="17">
                        <c:v>222.9</c:v>
                      </c:pt>
                      <c:pt idx="18">
                        <c:v>222.9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E20F-49FA-B5A5-AEAAAC71C3C2}"/>
                  </c:ext>
                </c:extLst>
              </c15:ser>
            </c15:filteredScatterSeries>
            <c15:filteredScatterSeries>
              <c15:ser>
                <c:idx val="3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F(date)'!$AA$72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F(date)'!$AC$73:$AC$107</c15:sqref>
                        </c15:formulaRef>
                      </c:ext>
                    </c:extLst>
                    <c:numCache>
                      <c:formatCode>m/d/yyyy</c:formatCode>
                      <c:ptCount val="3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F(date)'!$AD$73:$AD$107</c15:sqref>
                        </c15:formulaRef>
                      </c:ext>
                    </c:extLst>
                    <c:numCache>
                      <c:formatCode>General</c:formatCode>
                      <c:ptCount val="3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20F-49FA-B5A5-AEAAAC71C3C2}"/>
                  </c:ext>
                </c:extLst>
              </c15:ser>
            </c15:filteredScatterSeries>
          </c:ext>
        </c:extLst>
      </c:scatterChart>
      <c:valAx>
        <c:axId val="252048104"/>
        <c:scaling>
          <c:orientation val="minMax"/>
          <c:max val="44950"/>
          <c:min val="44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7827986935716662"/>
              <c:y val="0.81093177287331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8496"/>
        <c:crossesAt val="0"/>
        <c:crossBetween val="midCat"/>
        <c:majorUnit val="40"/>
      </c:valAx>
      <c:valAx>
        <c:axId val="252048496"/>
        <c:scaling>
          <c:orientation val="minMax"/>
          <c:max val="15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8104"/>
        <c:crosses val="autoZero"/>
        <c:crossBetween val="midCat"/>
      </c:valAx>
      <c:valAx>
        <c:axId val="252048888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9280"/>
        <c:crosses val="max"/>
        <c:crossBetween val="midCat"/>
      </c:valAx>
      <c:valAx>
        <c:axId val="252049280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48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156135346936678"/>
          <c:y val="0.57756750745139906"/>
          <c:w val="0.39870022977468361"/>
          <c:h val="0.16418234709027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Z</a:t>
            </a:r>
          </a:p>
        </c:rich>
      </c:tx>
      <c:layout>
        <c:manualLayout>
          <c:xMode val="edge"/>
          <c:yMode val="edge"/>
          <c:x val="0.43150045151108535"/>
          <c:y val="2.98953732555053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402131807479048"/>
          <c:y val="5.0822134534358424E-2"/>
          <c:w val="0.77290072663747622"/>
          <c:h val="0.70939437387907778"/>
        </c:manualLayout>
      </c:layout>
      <c:scatterChart>
        <c:scatterStyle val="lineMarker"/>
        <c:varyColors val="0"/>
        <c:ser>
          <c:idx val="7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Convergences!$B$10:$B$200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0.60000000000570708</c:v>
                </c:pt>
                <c:pt idx="2">
                  <c:v>-0.99999999999056399</c:v>
                </c:pt>
                <c:pt idx="3">
                  <c:v>-0.29999999999574811</c:v>
                </c:pt>
                <c:pt idx="5">
                  <c:v>0</c:v>
                </c:pt>
                <c:pt idx="8">
                  <c:v>-1.5999999999962711</c:v>
                </c:pt>
                <c:pt idx="9">
                  <c:v>-9.9999999989108801E-2</c:v>
                </c:pt>
                <c:pt idx="10">
                  <c:v>-1.4999999999929514</c:v>
                </c:pt>
                <c:pt idx="11">
                  <c:v>-0.39999999999906777</c:v>
                </c:pt>
                <c:pt idx="12">
                  <c:v>-0.59999999999149622</c:v>
                </c:pt>
                <c:pt idx="13">
                  <c:v>-0.69999999999481588</c:v>
                </c:pt>
                <c:pt idx="14">
                  <c:v>-0.39999999999906777</c:v>
                </c:pt>
                <c:pt idx="15">
                  <c:v>-0.69999999999481588</c:v>
                </c:pt>
                <c:pt idx="16">
                  <c:v>-0.90000000000145519</c:v>
                </c:pt>
                <c:pt idx="17">
                  <c:v>0.20000000000663931</c:v>
                </c:pt>
                <c:pt idx="18">
                  <c:v>0.39999999999906777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F-49FA-B5A5-AEAAAC71C3C2}"/>
            </c:ext>
          </c:extLst>
        </c:ser>
        <c:ser>
          <c:idx val="8"/>
          <c:order val="1"/>
          <c:tx>
            <c:strRef>
              <c:f>Déplacements!$Q$9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Déplacements!$Q$10:$Q$200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0.29999999999574811</c:v>
                </c:pt>
                <c:pt idx="2">
                  <c:v>-1.0999999999938836</c:v>
                </c:pt>
                <c:pt idx="3">
                  <c:v>-2.3000000000052978</c:v>
                </c:pt>
                <c:pt idx="4">
                  <c:v>-1.8000000000029104</c:v>
                </c:pt>
                <c:pt idx="5">
                  <c:v>-2.2000000000019782</c:v>
                </c:pt>
                <c:pt idx="6">
                  <c:v>-2.4999999999977263</c:v>
                </c:pt>
                <c:pt idx="7">
                  <c:v>-2.7000000000043656</c:v>
                </c:pt>
                <c:pt idx="8">
                  <c:v>-3.2999999999958618</c:v>
                </c:pt>
                <c:pt idx="9">
                  <c:v>-1.6999999999995907</c:v>
                </c:pt>
                <c:pt idx="10">
                  <c:v>-2.7999999999934744</c:v>
                </c:pt>
                <c:pt idx="11">
                  <c:v>-2.2000000000019782</c:v>
                </c:pt>
                <c:pt idx="12">
                  <c:v>-2.6000000000010459</c:v>
                </c:pt>
                <c:pt idx="13">
                  <c:v>-2.7000000000043656</c:v>
                </c:pt>
                <c:pt idx="14">
                  <c:v>-4.199999999997317</c:v>
                </c:pt>
                <c:pt idx="15">
                  <c:v>-3.2999999999958618</c:v>
                </c:pt>
                <c:pt idx="16">
                  <c:v>-4.4999999999930651</c:v>
                </c:pt>
                <c:pt idx="17">
                  <c:v>-4.0999999999939973</c:v>
                </c:pt>
                <c:pt idx="18">
                  <c:v>-9.3999999999994088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F-49FA-B5A5-AEAAAC71C3C2}"/>
            </c:ext>
          </c:extLst>
        </c:ser>
        <c:ser>
          <c:idx val="9"/>
          <c:order val="2"/>
          <c:tx>
            <c:strRef>
              <c:f>Déplacements!$AC$9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Déplacements!$AC$10:$AC$200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0.70000000000902673</c:v>
                </c:pt>
                <c:pt idx="3">
                  <c:v>0.10000000000331966</c:v>
                </c:pt>
                <c:pt idx="4">
                  <c:v>0.90000000000145519</c:v>
                </c:pt>
                <c:pt idx="5">
                  <c:v>0.20000000000663931</c:v>
                </c:pt>
                <c:pt idx="6">
                  <c:v>0</c:v>
                </c:pt>
                <c:pt idx="7">
                  <c:v>0</c:v>
                </c:pt>
                <c:pt idx="8">
                  <c:v>-1.0999999999938836</c:v>
                </c:pt>
                <c:pt idx="9">
                  <c:v>0.40000000001327862</c:v>
                </c:pt>
                <c:pt idx="14">
                  <c:v>0</c:v>
                </c:pt>
                <c:pt idx="15">
                  <c:v>-9.9999999989108801E-2</c:v>
                </c:pt>
                <c:pt idx="16">
                  <c:v>-0.59999999999149622</c:v>
                </c:pt>
                <c:pt idx="17">
                  <c:v>0.60000000000570708</c:v>
                </c:pt>
                <c:pt idx="18">
                  <c:v>0.70000000000902673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F-49FA-B5A5-AEAAAC71C3C2}"/>
            </c:ext>
          </c:extLst>
        </c:ser>
        <c:ser>
          <c:idx val="10"/>
          <c:order val="3"/>
          <c:tx>
            <c:strRef>
              <c:f>Déplacements!$M$9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Déplacements!$M$10:$M$200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0.39999999999906777</c:v>
                </c:pt>
                <c:pt idx="2">
                  <c:v>-0.90000000000145519</c:v>
                </c:pt>
                <c:pt idx="3">
                  <c:v>-0.90000000000145519</c:v>
                </c:pt>
                <c:pt idx="4">
                  <c:v>0.39999999999906777</c:v>
                </c:pt>
                <c:pt idx="5">
                  <c:v>-0.39999999999906777</c:v>
                </c:pt>
                <c:pt idx="6">
                  <c:v>-0.70000000000902673</c:v>
                </c:pt>
                <c:pt idx="7">
                  <c:v>-0.70000000000902673</c:v>
                </c:pt>
                <c:pt idx="8">
                  <c:v>-1.8000000000029104</c:v>
                </c:pt>
                <c:pt idx="9">
                  <c:v>-0.20000000000663931</c:v>
                </c:pt>
                <c:pt idx="10">
                  <c:v>-1.5000000000071623</c:v>
                </c:pt>
                <c:pt idx="11">
                  <c:v>-1.1000000000080945</c:v>
                </c:pt>
                <c:pt idx="12">
                  <c:v>-0.70000000000902673</c:v>
                </c:pt>
                <c:pt idx="13">
                  <c:v>-1.0000000000047748</c:v>
                </c:pt>
                <c:pt idx="14">
                  <c:v>-1.1000000000080945</c:v>
                </c:pt>
                <c:pt idx="15">
                  <c:v>-1.5999999999962711</c:v>
                </c:pt>
                <c:pt idx="16">
                  <c:v>-1.5999999999962711</c:v>
                </c:pt>
                <c:pt idx="17">
                  <c:v>-0.90000000000145519</c:v>
                </c:pt>
                <c:pt idx="18">
                  <c:v>-3.2999999999958618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0F-49FA-B5A5-AEAAAC71C3C2}"/>
            </c:ext>
          </c:extLst>
        </c:ser>
        <c:ser>
          <c:idx val="11"/>
          <c:order val="4"/>
          <c:tx>
            <c:strRef>
              <c:f>Déplacements!$U$9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Déplacements!$U$10:$U$200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-9.9999999989108801E-2</c:v>
                </c:pt>
                <c:pt idx="2">
                  <c:v>-0.89999999998724434</c:v>
                </c:pt>
                <c:pt idx="3">
                  <c:v>-0.99999999999056399</c:v>
                </c:pt>
                <c:pt idx="4">
                  <c:v>0</c:v>
                </c:pt>
                <c:pt idx="5">
                  <c:v>-0.59999999999149622</c:v>
                </c:pt>
                <c:pt idx="6">
                  <c:v>-1.1999999999972033</c:v>
                </c:pt>
                <c:pt idx="7">
                  <c:v>-0.89999999998724434</c:v>
                </c:pt>
                <c:pt idx="8">
                  <c:v>-2.1999999999877673</c:v>
                </c:pt>
                <c:pt idx="9">
                  <c:v>-0.79999999999813554</c:v>
                </c:pt>
                <c:pt idx="10">
                  <c:v>-1.7999999999886995</c:v>
                </c:pt>
                <c:pt idx="11">
                  <c:v>-1.0999999999938836</c:v>
                </c:pt>
                <c:pt idx="12">
                  <c:v>-1.3999999999896318</c:v>
                </c:pt>
                <c:pt idx="13">
                  <c:v>-1.4999999999929514</c:v>
                </c:pt>
                <c:pt idx="14">
                  <c:v>-1.6999999999995907</c:v>
                </c:pt>
                <c:pt idx="15">
                  <c:v>-1.8999999999920192</c:v>
                </c:pt>
                <c:pt idx="16">
                  <c:v>-2.299999999991087</c:v>
                </c:pt>
                <c:pt idx="17">
                  <c:v>-1.4999999999929514</c:v>
                </c:pt>
                <c:pt idx="18">
                  <c:v>-5.0999999999987722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0F-49FA-B5A5-AEAAAC71C3C2}"/>
            </c:ext>
          </c:extLst>
        </c:ser>
        <c:ser>
          <c:idx val="12"/>
          <c:order val="5"/>
          <c:tx>
            <c:strRef>
              <c:f>Déplacements!$I$9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0.59999999999149622</c:v>
                </c:pt>
                <c:pt idx="2">
                  <c:v>-0.50000000000238742</c:v>
                </c:pt>
                <c:pt idx="3">
                  <c:v>-0.10000000000331966</c:v>
                </c:pt>
                <c:pt idx="4">
                  <c:v>0.89999999998724434</c:v>
                </c:pt>
                <c:pt idx="5">
                  <c:v>9.9999999989108801E-2</c:v>
                </c:pt>
                <c:pt idx="6">
                  <c:v>-0.10000000000331966</c:v>
                </c:pt>
                <c:pt idx="7">
                  <c:v>-0.40000000001327862</c:v>
                </c:pt>
                <c:pt idx="8">
                  <c:v>-1.2000000000114142</c:v>
                </c:pt>
                <c:pt idx="9">
                  <c:v>0.19999999999242846</c:v>
                </c:pt>
                <c:pt idx="10">
                  <c:v>-1.2000000000114142</c:v>
                </c:pt>
                <c:pt idx="11">
                  <c:v>-0.20000000000663931</c:v>
                </c:pt>
                <c:pt idx="12">
                  <c:v>-0.30000000000995897</c:v>
                </c:pt>
                <c:pt idx="13">
                  <c:v>-0.40000000001327862</c:v>
                </c:pt>
                <c:pt idx="14">
                  <c:v>-0.30000000000995897</c:v>
                </c:pt>
                <c:pt idx="15">
                  <c:v>-0.50000000000238742</c:v>
                </c:pt>
                <c:pt idx="16">
                  <c:v>-0.90000000000145519</c:v>
                </c:pt>
                <c:pt idx="17">
                  <c:v>9.9999999989108801E-2</c:v>
                </c:pt>
                <c:pt idx="18">
                  <c:v>-0.60000000000570708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0F-49FA-B5A5-AEAAAC71C3C2}"/>
            </c:ext>
          </c:extLst>
        </c:ser>
        <c:ser>
          <c:idx val="13"/>
          <c:order val="6"/>
          <c:tx>
            <c:strRef>
              <c:f>Déplacements!$Y$9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Déplacements!$Y$10:$Y$200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0.39999999999906777</c:v>
                </c:pt>
                <c:pt idx="2">
                  <c:v>-0.30000000000995897</c:v>
                </c:pt>
                <c:pt idx="3">
                  <c:v>-0.10000000000331966</c:v>
                </c:pt>
                <c:pt idx="4">
                  <c:v>0.79999999999813554</c:v>
                </c:pt>
                <c:pt idx="5">
                  <c:v>9.9999999989108801E-2</c:v>
                </c:pt>
                <c:pt idx="6">
                  <c:v>-0.39999999999906777</c:v>
                </c:pt>
                <c:pt idx="7">
                  <c:v>-0.30000000000995897</c:v>
                </c:pt>
                <c:pt idx="8">
                  <c:v>-1.1999999999972033</c:v>
                </c:pt>
                <c:pt idx="9">
                  <c:v>0.19999999999242846</c:v>
                </c:pt>
                <c:pt idx="10">
                  <c:v>-1.1000000000080945</c:v>
                </c:pt>
                <c:pt idx="11">
                  <c:v>-0.30000000000995897</c:v>
                </c:pt>
                <c:pt idx="12">
                  <c:v>-0.39999999999906777</c:v>
                </c:pt>
                <c:pt idx="13">
                  <c:v>-0.50000000000238742</c:v>
                </c:pt>
                <c:pt idx="14">
                  <c:v>-0.20000000000663931</c:v>
                </c:pt>
                <c:pt idx="15">
                  <c:v>-0.30000000000995897</c:v>
                </c:pt>
                <c:pt idx="16">
                  <c:v>-0.60000000000570708</c:v>
                </c:pt>
                <c:pt idx="17">
                  <c:v>0.29999999999574811</c:v>
                </c:pt>
                <c:pt idx="18">
                  <c:v>-0.39999999999906777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0F-49FA-B5A5-AEAAAC71C3C2}"/>
            </c:ext>
          </c:extLst>
        </c:ser>
        <c:ser>
          <c:idx val="14"/>
          <c:order val="7"/>
          <c:tx>
            <c:strRef>
              <c:f>'Graphiques F(date)'!$AC$58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F(date)'!$AE$58:$AE$59</c:f>
              <c:numCache>
                <c:formatCode>m/d/yyyy</c:formatCode>
                <c:ptCount val="2"/>
                <c:pt idx="0">
                  <c:v>43598</c:v>
                </c:pt>
                <c:pt idx="1">
                  <c:v>44197</c:v>
                </c:pt>
              </c:numCache>
            </c:numRef>
          </c:xVal>
          <c:yVal>
            <c:numRef>
              <c:f>'Graphiques F(date)'!$AD$58:$AD$59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0F-49FA-B5A5-AEAAAC71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51632"/>
        <c:axId val="252052024"/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52052808"/>
        <c:axId val="2520524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8"/>
                <c:tx>
                  <c:v>Avancement du front</c:v>
                </c:tx>
                <c:spPr>
                  <a:ln w="15875" cap="rnd">
                    <a:solidFill>
                      <a:schemeClr val="accent1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tint val="50000"/>
                            <a:satMod val="300000"/>
                          </a:schemeClr>
                        </a:gs>
                        <a:gs pos="35000">
                          <a:schemeClr val="accent1">
                            <a:tint val="37000"/>
                            <a:satMod val="300000"/>
                          </a:schemeClr>
                        </a:gs>
                        <a:gs pos="100000">
                          <a:schemeClr val="accent1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1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Convergences!$B$10:$B$200</c15:sqref>
                        </c15:formulaRef>
                      </c:ext>
                    </c:extLst>
                    <c:numCache>
                      <c:formatCode>dd\ /\ mm\ /\ yy</c:formatCode>
                      <c:ptCount val="191"/>
                      <c:pt idx="0">
                        <c:v>44140</c:v>
                      </c:pt>
                      <c:pt idx="1">
                        <c:v>44172</c:v>
                      </c:pt>
                      <c:pt idx="2">
                        <c:v>44229</c:v>
                      </c:pt>
                      <c:pt idx="3">
                        <c:v>44273</c:v>
                      </c:pt>
                      <c:pt idx="4">
                        <c:v>44287</c:v>
                      </c:pt>
                      <c:pt idx="5">
                        <c:v>44308</c:v>
                      </c:pt>
                      <c:pt idx="6">
                        <c:v>44322</c:v>
                      </c:pt>
                      <c:pt idx="7">
                        <c:v>44337</c:v>
                      </c:pt>
                      <c:pt idx="8">
                        <c:v>44351</c:v>
                      </c:pt>
                      <c:pt idx="9">
                        <c:v>44357</c:v>
                      </c:pt>
                      <c:pt idx="10">
                        <c:v>44364</c:v>
                      </c:pt>
                      <c:pt idx="11">
                        <c:v>44378</c:v>
                      </c:pt>
                      <c:pt idx="12">
                        <c:v>44392</c:v>
                      </c:pt>
                      <c:pt idx="13">
                        <c:v>44410</c:v>
                      </c:pt>
                      <c:pt idx="14">
                        <c:v>44453</c:v>
                      </c:pt>
                      <c:pt idx="15">
                        <c:v>44470</c:v>
                      </c:pt>
                      <c:pt idx="16">
                        <c:v>44489</c:v>
                      </c:pt>
                      <c:pt idx="17">
                        <c:v>44502</c:v>
                      </c:pt>
                      <c:pt idx="18">
                        <c:v>44915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Convergences!$C$10:$C$200</c15:sqref>
                        </c15:formulaRef>
                      </c:ext>
                    </c:extLst>
                    <c:numCache>
                      <c:formatCode>0.0</c:formatCode>
                      <c:ptCount val="191"/>
                      <c:pt idx="0">
                        <c:v>222.9</c:v>
                      </c:pt>
                      <c:pt idx="1">
                        <c:v>222.9</c:v>
                      </c:pt>
                      <c:pt idx="2">
                        <c:v>222.9</c:v>
                      </c:pt>
                      <c:pt idx="3">
                        <c:v>222.9</c:v>
                      </c:pt>
                      <c:pt idx="4">
                        <c:v>222.9</c:v>
                      </c:pt>
                      <c:pt idx="5">
                        <c:v>222.9</c:v>
                      </c:pt>
                      <c:pt idx="6">
                        <c:v>222.9</c:v>
                      </c:pt>
                      <c:pt idx="7">
                        <c:v>222.9</c:v>
                      </c:pt>
                      <c:pt idx="8">
                        <c:v>222.9</c:v>
                      </c:pt>
                      <c:pt idx="9">
                        <c:v>222.9</c:v>
                      </c:pt>
                      <c:pt idx="10">
                        <c:v>222.9</c:v>
                      </c:pt>
                      <c:pt idx="11">
                        <c:v>222.9</c:v>
                      </c:pt>
                      <c:pt idx="12">
                        <c:v>222.9</c:v>
                      </c:pt>
                      <c:pt idx="13">
                        <c:v>222.9</c:v>
                      </c:pt>
                      <c:pt idx="14">
                        <c:v>222.9</c:v>
                      </c:pt>
                      <c:pt idx="15">
                        <c:v>222.9</c:v>
                      </c:pt>
                      <c:pt idx="16">
                        <c:v>222.9</c:v>
                      </c:pt>
                      <c:pt idx="17">
                        <c:v>222.9</c:v>
                      </c:pt>
                      <c:pt idx="18">
                        <c:v>222.9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E20F-49FA-B5A5-AEAAAC71C3C2}"/>
                  </c:ext>
                </c:extLst>
              </c15:ser>
            </c15:filteredScatterSeries>
            <c15:filteredScatterSeries>
              <c15:ser>
                <c:idx val="3"/>
                <c:order val="9"/>
                <c:tx>
                  <c:v>Semaines</c:v>
                </c:tx>
                <c:spPr>
                  <a:ln w="25400" cap="rnd">
                    <a:noFill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F(date)'!$AC$73:$AC$107</c15:sqref>
                        </c15:formulaRef>
                      </c:ext>
                    </c:extLst>
                    <c:numCache>
                      <c:formatCode>m/d/yyyy</c:formatCode>
                      <c:ptCount val="3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F(date)'!$AD$73:$AD$107</c15:sqref>
                        </c15:formulaRef>
                      </c:ext>
                    </c:extLst>
                    <c:numCache>
                      <c:formatCode>General</c:formatCode>
                      <c:ptCount val="3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20F-49FA-B5A5-AEAAAC71C3C2}"/>
                  </c:ext>
                </c:extLst>
              </c15:ser>
            </c15:filteredScatterSeries>
          </c:ext>
        </c:extLst>
      </c:scatterChart>
      <c:valAx>
        <c:axId val="252051632"/>
        <c:scaling>
          <c:orientation val="minMax"/>
          <c:max val="44950"/>
          <c:min val="44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7827986935716662"/>
              <c:y val="0.81093177287331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2024"/>
        <c:crossesAt val="0"/>
        <c:crossBetween val="midCat"/>
        <c:majorUnit val="40"/>
      </c:valAx>
      <c:valAx>
        <c:axId val="252052024"/>
        <c:scaling>
          <c:orientation val="minMax"/>
          <c:max val="15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1632"/>
        <c:crosses val="autoZero"/>
        <c:crossBetween val="midCat"/>
      </c:valAx>
      <c:valAx>
        <c:axId val="252052416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2808"/>
        <c:crosses val="max"/>
        <c:crossBetween val="midCat"/>
      </c:valAx>
      <c:valAx>
        <c:axId val="252052808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855129871712904"/>
          <c:y val="0.53986963117727704"/>
          <c:w val="0.61773443475499656"/>
          <c:h val="0.17148764976349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PM</a:t>
            </a:r>
          </a:p>
        </c:rich>
      </c:tx>
      <c:layout>
        <c:manualLayout>
          <c:xMode val="edge"/>
          <c:yMode val="edge"/>
          <c:x val="0.43150045151108535"/>
          <c:y val="2.98953732555053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402131807479048"/>
          <c:y val="5.0822134534358424E-2"/>
          <c:w val="0.77290072663747622"/>
          <c:h val="0.70939437387907778"/>
        </c:manualLayout>
      </c:layout>
      <c:scatterChart>
        <c:scatterStyle val="lineMarker"/>
        <c:varyColors val="0"/>
        <c:ser>
          <c:idx val="7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Déplacements!$C$10:$C$200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-1.5886340417239353</c:v>
                </c:pt>
                <c:pt idx="2">
                  <c:v>-1.1481120458824989</c:v>
                </c:pt>
                <c:pt idx="3">
                  <c:v>-1.4439684424019106</c:v>
                </c:pt>
                <c:pt idx="5">
                  <c:v>-0.96075492621139347</c:v>
                </c:pt>
                <c:pt idx="8">
                  <c:v>-0.44747358487029487</c:v>
                </c:pt>
                <c:pt idx="9">
                  <c:v>-1.4858072788683785</c:v>
                </c:pt>
                <c:pt idx="10">
                  <c:v>-1.618701768450137</c:v>
                </c:pt>
                <c:pt idx="11">
                  <c:v>-1.0688276079804382</c:v>
                </c:pt>
                <c:pt idx="12">
                  <c:v>-1.3045488604461752</c:v>
                </c:pt>
                <c:pt idx="13">
                  <c:v>-1.2561849315773088</c:v>
                </c:pt>
                <c:pt idx="14">
                  <c:v>-1.7694660689926422</c:v>
                </c:pt>
                <c:pt idx="15">
                  <c:v>-2.1742481335138564</c:v>
                </c:pt>
                <c:pt idx="16">
                  <c:v>-2.0474525490499218</c:v>
                </c:pt>
                <c:pt idx="17">
                  <c:v>-1.8117312966410282</c:v>
                </c:pt>
                <c:pt idx="18">
                  <c:v>-1.5093496038218746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F-49FA-B5A5-AEAAAC71C3C2}"/>
            </c:ext>
          </c:extLst>
        </c:ser>
        <c:ser>
          <c:idx val="8"/>
          <c:order val="1"/>
          <c:tx>
            <c:strRef>
              <c:f>Déplacements!$O$9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Déplacements!$O$10:$O$200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0.27188757491103388</c:v>
                </c:pt>
                <c:pt idx="2">
                  <c:v>2.3981981707095201</c:v>
                </c:pt>
                <c:pt idx="3">
                  <c:v>2.2892725027077176</c:v>
                </c:pt>
                <c:pt idx="4">
                  <c:v>2.1210645713551912</c:v>
                </c:pt>
                <c:pt idx="5">
                  <c:v>2.343735336694408</c:v>
                </c:pt>
                <c:pt idx="6">
                  <c:v>2.5493889679069071</c:v>
                </c:pt>
                <c:pt idx="7">
                  <c:v>3.1232317389822128</c:v>
                </c:pt>
                <c:pt idx="8">
                  <c:v>2.6879557604502224</c:v>
                </c:pt>
                <c:pt idx="9">
                  <c:v>1.2810064299344504</c:v>
                </c:pt>
                <c:pt idx="10">
                  <c:v>0.97905133222297991</c:v>
                </c:pt>
                <c:pt idx="11">
                  <c:v>1.9576761748396621</c:v>
                </c:pt>
                <c:pt idx="12">
                  <c:v>2.1328357865968428</c:v>
                </c:pt>
                <c:pt idx="13">
                  <c:v>1.6435232668072786</c:v>
                </c:pt>
                <c:pt idx="14">
                  <c:v>1.4561661471645948</c:v>
                </c:pt>
                <c:pt idx="15">
                  <c:v>0.75552768615239074</c:v>
                </c:pt>
                <c:pt idx="16">
                  <c:v>1.6374245656152198</c:v>
                </c:pt>
                <c:pt idx="17">
                  <c:v>1.287105335080696</c:v>
                </c:pt>
                <c:pt idx="18">
                  <c:v>2.1446070018100727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F-49FA-B5A5-AEAAAC71C3C2}"/>
            </c:ext>
          </c:extLst>
        </c:ser>
        <c:ser>
          <c:idx val="9"/>
          <c:order val="2"/>
          <c:tx>
            <c:strRef>
              <c:f>Déplacements!$AA$9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Déplacements!$AA$10:$AA$200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-0.54377525529503146</c:v>
                </c:pt>
                <c:pt idx="3">
                  <c:v>-1.8722804242088387E-2</c:v>
                </c:pt>
                <c:pt idx="4">
                  <c:v>-1.1476856547290026</c:v>
                </c:pt>
                <c:pt idx="5">
                  <c:v>0.41655317420463689</c:v>
                </c:pt>
                <c:pt idx="6">
                  <c:v>0.6161081041966554</c:v>
                </c:pt>
                <c:pt idx="7">
                  <c:v>1.4557397560110985</c:v>
                </c:pt>
                <c:pt idx="8">
                  <c:v>1.2923512540510274</c:v>
                </c:pt>
                <c:pt idx="9">
                  <c:v>0.53767644860158725</c:v>
                </c:pt>
                <c:pt idx="14">
                  <c:v>-0.97252603589481623</c:v>
                </c:pt>
                <c:pt idx="15">
                  <c:v>-0.13289448955333683</c:v>
                </c:pt>
                <c:pt idx="16">
                  <c:v>-0.88189687943440731</c:v>
                </c:pt>
                <c:pt idx="17">
                  <c:v>-0.65227432827441589</c:v>
                </c:pt>
                <c:pt idx="18">
                  <c:v>-7.9284437873639035E-2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F-49FA-B5A5-AEAAAC71C3C2}"/>
            </c:ext>
          </c:extLst>
        </c:ser>
        <c:ser>
          <c:idx val="10"/>
          <c:order val="3"/>
          <c:tx>
            <c:strRef>
              <c:f>Déplacements!$K$9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-1.3411416795463538</c:v>
                </c:pt>
                <c:pt idx="2">
                  <c:v>-0.25401756005294374</c:v>
                </c:pt>
                <c:pt idx="3">
                  <c:v>-0.90629209219628137</c:v>
                </c:pt>
                <c:pt idx="4">
                  <c:v>-2.0413536439036761</c:v>
                </c:pt>
                <c:pt idx="5">
                  <c:v>-0.29628278764448623</c:v>
                </c:pt>
                <c:pt idx="6">
                  <c:v>-0.13899319083066075</c:v>
                </c:pt>
                <c:pt idx="7">
                  <c:v>0.4771148149700366</c:v>
                </c:pt>
                <c:pt idx="8">
                  <c:v>0.49498482979970504</c:v>
                </c:pt>
                <c:pt idx="9">
                  <c:v>-1.2744812391929372</c:v>
                </c:pt>
                <c:pt idx="10">
                  <c:v>-1.1655556695870928</c:v>
                </c:pt>
                <c:pt idx="11">
                  <c:v>-0.27146118378595929</c:v>
                </c:pt>
                <c:pt idx="12">
                  <c:v>-0.85750166670095496</c:v>
                </c:pt>
                <c:pt idx="13">
                  <c:v>-0.36209044574775362</c:v>
                </c:pt>
                <c:pt idx="14">
                  <c:v>-1.3829804105114363</c:v>
                </c:pt>
                <c:pt idx="15">
                  <c:v>-1.0143647740221695</c:v>
                </c:pt>
                <c:pt idx="16">
                  <c:v>-1.2923512540510274</c:v>
                </c:pt>
                <c:pt idx="17">
                  <c:v>-1.2862524544345888</c:v>
                </c:pt>
                <c:pt idx="18">
                  <c:v>-1.4975784940816084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0F-49FA-B5A5-AEAAAC71C3C2}"/>
            </c:ext>
          </c:extLst>
        </c:ser>
        <c:ser>
          <c:idx val="11"/>
          <c:order val="4"/>
          <c:tx>
            <c:strRef>
              <c:f>Déplacements!$S$9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Déplacements!$S$10:$S$200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-0.86402686457631717</c:v>
                </c:pt>
                <c:pt idx="2">
                  <c:v>-0.58604048291499566</c:v>
                </c:pt>
                <c:pt idx="3">
                  <c:v>-0.48364011121293515</c:v>
                </c:pt>
                <c:pt idx="4">
                  <c:v>-7.1906359295326183E-2</c:v>
                </c:pt>
                <c:pt idx="5">
                  <c:v>-0.55597286166175763</c:v>
                </c:pt>
                <c:pt idx="6">
                  <c:v>9.0629156460408922E-2</c:v>
                </c:pt>
                <c:pt idx="7">
                  <c:v>0.66447203303710012</c:v>
                </c:pt>
                <c:pt idx="8">
                  <c:v>0.45271960220816254</c:v>
                </c:pt>
                <c:pt idx="9">
                  <c:v>-1.2200185035737832</c:v>
                </c:pt>
                <c:pt idx="10">
                  <c:v>-1.0810252143471644</c:v>
                </c:pt>
                <c:pt idx="11">
                  <c:v>-0.64617562699709197</c:v>
                </c:pt>
                <c:pt idx="12">
                  <c:v>-0.24749246765054522</c:v>
                </c:pt>
                <c:pt idx="13">
                  <c:v>-0.64617562699709197</c:v>
                </c:pt>
                <c:pt idx="14">
                  <c:v>-1.413474528419556</c:v>
                </c:pt>
                <c:pt idx="15">
                  <c:v>-1.673164496935442</c:v>
                </c:pt>
                <c:pt idx="16">
                  <c:v>-1.7276272325261743</c:v>
                </c:pt>
                <c:pt idx="17">
                  <c:v>-1.673164496935442</c:v>
                </c:pt>
                <c:pt idx="18">
                  <c:v>-1.1485384369791518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0F-49FA-B5A5-AEAAAC71C3C2}"/>
            </c:ext>
          </c:extLst>
        </c:ser>
        <c:ser>
          <c:idx val="12"/>
          <c:order val="5"/>
          <c:tx>
            <c:strRef>
              <c:f>Déplacements!$G$9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-1.2744813375604735</c:v>
                </c:pt>
                <c:pt idx="2">
                  <c:v>-0.52590524043694131</c:v>
                </c:pt>
                <c:pt idx="3">
                  <c:v>-1.0269888699099283</c:v>
                </c:pt>
                <c:pt idx="4">
                  <c:v>-1.8056323914663608</c:v>
                </c:pt>
                <c:pt idx="5">
                  <c:v>-0.51370763407021514</c:v>
                </c:pt>
                <c:pt idx="6">
                  <c:v>-0.85792805782602954</c:v>
                </c:pt>
                <c:pt idx="7">
                  <c:v>0.76729890142246404</c:v>
                </c:pt>
                <c:pt idx="8">
                  <c:v>-0.13332088070683312</c:v>
                </c:pt>
                <c:pt idx="9">
                  <c:v>-0.95422962988322979</c:v>
                </c:pt>
                <c:pt idx="10">
                  <c:v>-1.0265624787280103</c:v>
                </c:pt>
                <c:pt idx="11">
                  <c:v>-0.98429725113646782</c:v>
                </c:pt>
                <c:pt idx="12">
                  <c:v>-0.99039595235694833</c:v>
                </c:pt>
                <c:pt idx="13">
                  <c:v>-0.44662080253488057</c:v>
                </c:pt>
                <c:pt idx="14">
                  <c:v>-1.5158749000647731</c:v>
                </c:pt>
                <c:pt idx="15">
                  <c:v>-1.2256908136691891</c:v>
                </c:pt>
                <c:pt idx="16">
                  <c:v>-1.6004052569087435</c:v>
                </c:pt>
                <c:pt idx="17">
                  <c:v>-1.2317897187585913</c:v>
                </c:pt>
                <c:pt idx="18">
                  <c:v>-1.5459424229220531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0F-49FA-B5A5-AEAAAC71C3C2}"/>
            </c:ext>
          </c:extLst>
        </c:ser>
        <c:ser>
          <c:idx val="13"/>
          <c:order val="6"/>
          <c:tx>
            <c:strRef>
              <c:f>Déplacements!$W$9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Déplacements!$W$10:$W$200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-0.94855721434328188</c:v>
                </c:pt>
                <c:pt idx="2">
                  <c:v>0.24139356253272126</c:v>
                </c:pt>
                <c:pt idx="3">
                  <c:v>-0.94288490421945426</c:v>
                </c:pt>
                <c:pt idx="4">
                  <c:v>-1.4679372569332827</c:v>
                </c:pt>
                <c:pt idx="5">
                  <c:v>0.2775599904794035</c:v>
                </c:pt>
                <c:pt idx="6">
                  <c:v>0.56164517178558526</c:v>
                </c:pt>
                <c:pt idx="7">
                  <c:v>1.2683824324426496</c:v>
                </c:pt>
                <c:pt idx="8">
                  <c:v>1.1411603584292607</c:v>
                </c:pt>
                <c:pt idx="9">
                  <c:v>-0.65227442667037394</c:v>
                </c:pt>
                <c:pt idx="10">
                  <c:v>-0.52547884223486108</c:v>
                </c:pt>
                <c:pt idx="11">
                  <c:v>-0.20522723295357537</c:v>
                </c:pt>
                <c:pt idx="12">
                  <c:v>0.18125841842220325</c:v>
                </c:pt>
                <c:pt idx="13">
                  <c:v>-0.22352364607058917</c:v>
                </c:pt>
                <c:pt idx="14">
                  <c:v>-0.72503367377407812</c:v>
                </c:pt>
                <c:pt idx="15">
                  <c:v>-0.58604048297183908</c:v>
                </c:pt>
                <c:pt idx="16">
                  <c:v>-1.2927777436004817</c:v>
                </c:pt>
                <c:pt idx="17">
                  <c:v>-0.75510129502731616</c:v>
                </c:pt>
                <c:pt idx="18">
                  <c:v>-0.93111368900622438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0F-49FA-B5A5-AEAAAC71C3C2}"/>
            </c:ext>
          </c:extLst>
        </c:ser>
        <c:ser>
          <c:idx val="14"/>
          <c:order val="7"/>
          <c:tx>
            <c:strRef>
              <c:f>'Graphiques F(date)'!$AC$58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F(date)'!$AE$58:$AE$59</c:f>
              <c:numCache>
                <c:formatCode>m/d/yyyy</c:formatCode>
                <c:ptCount val="2"/>
                <c:pt idx="0">
                  <c:v>43598</c:v>
                </c:pt>
                <c:pt idx="1">
                  <c:v>44197</c:v>
                </c:pt>
              </c:numCache>
            </c:numRef>
          </c:xVal>
          <c:yVal>
            <c:numRef>
              <c:f>'Graphiques F(date)'!$AD$58:$AD$59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0F-49FA-B5A5-AEAAAC71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465656"/>
        <c:axId val="5104660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0"/>
                <c:tx>
                  <c:strRef>
                    <c:extLst>
                      <c:ext uri="{02D57815-91ED-43cb-92C2-25804820EDAC}">
                        <c15:formulaRef>
                          <c15:sqref>'Graphiques F(date)'!$AA$72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F(date)'!$AC$73:$AC$107</c15:sqref>
                        </c15:formulaRef>
                      </c:ext>
                    </c:extLst>
                    <c:numCache>
                      <c:formatCode>m/d/yyyy</c:formatCode>
                      <c:ptCount val="35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F(date)'!$AD$73:$AD$107</c15:sqref>
                        </c15:formulaRef>
                      </c:ext>
                    </c:extLst>
                    <c:numCache>
                      <c:formatCode>General</c:formatCode>
                      <c:ptCount val="35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66F-446F-B749-9174B058212C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8"/>
          <c:tx>
            <c:strRef>
              <c:f>'Graphiques F(date)'!$AC$62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F(date)'!$AE$62:$AE$63</c:f>
              <c:numCache>
                <c:formatCode>m/d/yyyy</c:formatCode>
                <c:ptCount val="2"/>
                <c:pt idx="0">
                  <c:v>43598</c:v>
                </c:pt>
                <c:pt idx="1">
                  <c:v>44197</c:v>
                </c:pt>
              </c:numCache>
            </c:numRef>
          </c:xVal>
          <c:yVal>
            <c:numRef>
              <c:f>'Graphiques F(date)'!$AD$62:$AD$63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0F-49FA-B5A5-AEAAAC71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466832"/>
        <c:axId val="51046644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9"/>
                <c:tx>
                  <c:v>Avancement du front</c:v>
                </c:tx>
                <c:spPr>
                  <a:ln w="25400" cap="rnd">
                    <a:noFill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Convergences!$B$10:$B$200</c15:sqref>
                        </c15:formulaRef>
                      </c:ext>
                    </c:extLst>
                    <c:numCache>
                      <c:formatCode>dd\ /\ mm\ /\ yy</c:formatCode>
                      <c:ptCount val="191"/>
                      <c:pt idx="0">
                        <c:v>44140</c:v>
                      </c:pt>
                      <c:pt idx="1">
                        <c:v>44172</c:v>
                      </c:pt>
                      <c:pt idx="2">
                        <c:v>44229</c:v>
                      </c:pt>
                      <c:pt idx="3">
                        <c:v>44273</c:v>
                      </c:pt>
                      <c:pt idx="4">
                        <c:v>44287</c:v>
                      </c:pt>
                      <c:pt idx="5">
                        <c:v>44308</c:v>
                      </c:pt>
                      <c:pt idx="6">
                        <c:v>44322</c:v>
                      </c:pt>
                      <c:pt idx="7">
                        <c:v>44337</c:v>
                      </c:pt>
                      <c:pt idx="8">
                        <c:v>44351</c:v>
                      </c:pt>
                      <c:pt idx="9">
                        <c:v>44357</c:v>
                      </c:pt>
                      <c:pt idx="10">
                        <c:v>44364</c:v>
                      </c:pt>
                      <c:pt idx="11">
                        <c:v>44378</c:v>
                      </c:pt>
                      <c:pt idx="12">
                        <c:v>44392</c:v>
                      </c:pt>
                      <c:pt idx="13">
                        <c:v>44410</c:v>
                      </c:pt>
                      <c:pt idx="14">
                        <c:v>44453</c:v>
                      </c:pt>
                      <c:pt idx="15">
                        <c:v>44470</c:v>
                      </c:pt>
                      <c:pt idx="16">
                        <c:v>44489</c:v>
                      </c:pt>
                      <c:pt idx="17">
                        <c:v>44502</c:v>
                      </c:pt>
                      <c:pt idx="18">
                        <c:v>44915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Convergences!$C$10:$C$200</c15:sqref>
                        </c15:formulaRef>
                      </c:ext>
                    </c:extLst>
                    <c:numCache>
                      <c:formatCode>0.0</c:formatCode>
                      <c:ptCount val="191"/>
                      <c:pt idx="0">
                        <c:v>222.9</c:v>
                      </c:pt>
                      <c:pt idx="1">
                        <c:v>222.9</c:v>
                      </c:pt>
                      <c:pt idx="2">
                        <c:v>222.9</c:v>
                      </c:pt>
                      <c:pt idx="3">
                        <c:v>222.9</c:v>
                      </c:pt>
                      <c:pt idx="4">
                        <c:v>222.9</c:v>
                      </c:pt>
                      <c:pt idx="5">
                        <c:v>222.9</c:v>
                      </c:pt>
                      <c:pt idx="6">
                        <c:v>222.9</c:v>
                      </c:pt>
                      <c:pt idx="7">
                        <c:v>222.9</c:v>
                      </c:pt>
                      <c:pt idx="8">
                        <c:v>222.9</c:v>
                      </c:pt>
                      <c:pt idx="9">
                        <c:v>222.9</c:v>
                      </c:pt>
                      <c:pt idx="10">
                        <c:v>222.9</c:v>
                      </c:pt>
                      <c:pt idx="11">
                        <c:v>222.9</c:v>
                      </c:pt>
                      <c:pt idx="12">
                        <c:v>222.9</c:v>
                      </c:pt>
                      <c:pt idx="13">
                        <c:v>222.9</c:v>
                      </c:pt>
                      <c:pt idx="14">
                        <c:v>222.9</c:v>
                      </c:pt>
                      <c:pt idx="15">
                        <c:v>222.9</c:v>
                      </c:pt>
                      <c:pt idx="16">
                        <c:v>222.9</c:v>
                      </c:pt>
                      <c:pt idx="17">
                        <c:v>222.9</c:v>
                      </c:pt>
                      <c:pt idx="18">
                        <c:v>222.9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E20F-49FA-B5A5-AEAAAC71C3C2}"/>
                  </c:ext>
                </c:extLst>
              </c15:ser>
            </c15:filteredScatterSeries>
          </c:ext>
        </c:extLst>
      </c:scatterChart>
      <c:valAx>
        <c:axId val="510465656"/>
        <c:scaling>
          <c:orientation val="minMax"/>
          <c:max val="44950"/>
          <c:min val="44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7827986935716662"/>
              <c:y val="0.81093177287331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466048"/>
        <c:crossesAt val="0"/>
        <c:crossBetween val="midCat"/>
        <c:majorUnit val="40"/>
      </c:valAx>
      <c:valAx>
        <c:axId val="510466048"/>
        <c:scaling>
          <c:orientation val="minMax"/>
          <c:max val="15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465656"/>
        <c:crosses val="autoZero"/>
        <c:crossBetween val="midCat"/>
      </c:valAx>
      <c:valAx>
        <c:axId val="510466440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466832"/>
        <c:crosses val="max"/>
        <c:crossBetween val="midCat"/>
      </c:valAx>
      <c:valAx>
        <c:axId val="5104668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466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003623770828935"/>
          <c:y val="0.50332015396589103"/>
          <c:w val="0.62185024231633124"/>
          <c:h val="0.22166760876216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Déplacements en déport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850972734688379"/>
          <c:y val="6.6186186186186186E-2"/>
          <c:w val="0.76823022726023982"/>
          <c:h val="0.70234272752105076"/>
        </c:manualLayout>
      </c:layout>
      <c:scatterChart>
        <c:scatterStyle val="lineMarker"/>
        <c:varyColors val="0"/>
        <c:ser>
          <c:idx val="6"/>
          <c:order val="0"/>
          <c:tx>
            <c:strRef>
              <c:f>'Graphiques F(date)'!$AC$62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'Graphiques F(date)'!$AE$62:$AE$63</c:f>
              <c:numCache>
                <c:formatCode>m/d/yyyy</c:formatCode>
                <c:ptCount val="2"/>
                <c:pt idx="0">
                  <c:v>43598</c:v>
                </c:pt>
                <c:pt idx="1">
                  <c:v>44197</c:v>
                </c:pt>
              </c:numCache>
            </c:numRef>
          </c:xVal>
          <c:yVal>
            <c:numRef>
              <c:f>'Graphiques F(date)'!$AD$62:$AD$63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0-4E75-937B-B056BACBF73E}"/>
            </c:ext>
          </c:extLst>
        </c:ser>
        <c:ser>
          <c:idx val="4"/>
          <c:order val="1"/>
          <c:tx>
            <c:strRef>
              <c:f>'Graphiques F(date)'!$AC$58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'Graphiques F(date)'!$AE$58:$AE$59</c:f>
              <c:numCache>
                <c:formatCode>m/d/yyyy</c:formatCode>
                <c:ptCount val="2"/>
                <c:pt idx="0">
                  <c:v>43598</c:v>
                </c:pt>
                <c:pt idx="1">
                  <c:v>44197</c:v>
                </c:pt>
              </c:numCache>
            </c:numRef>
          </c:xVal>
          <c:yVal>
            <c:numRef>
              <c:f>'Graphiques F(date)'!$AD$58:$AD$59</c:f>
              <c:numCache>
                <c:formatCode>General</c:formatCode>
                <c:ptCount val="2"/>
                <c:pt idx="0">
                  <c:v>-40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0-4E75-937B-B056BACBF73E}"/>
            </c:ext>
          </c:extLst>
        </c:ser>
        <c:ser>
          <c:idx val="7"/>
          <c:order val="2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Déplacements!$D$10:$D$200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0.80389161500304951</c:v>
                </c:pt>
                <c:pt idx="2">
                  <c:v>-1.0871241195062886</c:v>
                </c:pt>
                <c:pt idx="3">
                  <c:v>-0.45271970770821568</c:v>
                </c:pt>
                <c:pt idx="5">
                  <c:v>-0.77907001111343632</c:v>
                </c:pt>
                <c:pt idx="8">
                  <c:v>-1.6430969812124552</c:v>
                </c:pt>
                <c:pt idx="9">
                  <c:v>1.2932040363349273</c:v>
                </c:pt>
                <c:pt idx="10">
                  <c:v>1.3415680706665434</c:v>
                </c:pt>
                <c:pt idx="11">
                  <c:v>1.8186828293278445</c:v>
                </c:pt>
                <c:pt idx="12">
                  <c:v>1.3777344423653304</c:v>
                </c:pt>
                <c:pt idx="13">
                  <c:v>1.5106288827420045</c:v>
                </c:pt>
                <c:pt idx="14">
                  <c:v>2.3746556910149152</c:v>
                </c:pt>
                <c:pt idx="15">
                  <c:v>2.2962241409323347</c:v>
                </c:pt>
                <c:pt idx="16">
                  <c:v>2.0243365660381762</c:v>
                </c:pt>
                <c:pt idx="17">
                  <c:v>2.4652849529993581</c:v>
                </c:pt>
                <c:pt idx="18">
                  <c:v>3.7096985638207514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0-4E75-937B-B056BACBF73E}"/>
            </c:ext>
          </c:extLst>
        </c:ser>
        <c:ser>
          <c:idx val="8"/>
          <c:order val="3"/>
          <c:tx>
            <c:strRef>
              <c:f>Déplacements!$P$9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Déplacements!$P$10:$P$200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0.12679558444439465</c:v>
                </c:pt>
                <c:pt idx="2">
                  <c:v>-0.6470285148041377</c:v>
                </c:pt>
                <c:pt idx="3">
                  <c:v>-1.3598644766920076</c:v>
                </c:pt>
                <c:pt idx="4">
                  <c:v>2.3132411132970043</c:v>
                </c:pt>
                <c:pt idx="5">
                  <c:v>-1.0034464957575651</c:v>
                </c:pt>
                <c:pt idx="6">
                  <c:v>-2.4821603889058075E-2</c:v>
                </c:pt>
                <c:pt idx="7">
                  <c:v>-0.3089069398842792</c:v>
                </c:pt>
                <c:pt idx="8">
                  <c:v>-1.5049566781685231</c:v>
                </c:pt>
                <c:pt idx="9">
                  <c:v>1.0387600359385019</c:v>
                </c:pt>
                <c:pt idx="10">
                  <c:v>1.4496407453568061</c:v>
                </c:pt>
                <c:pt idx="11">
                  <c:v>1.2439872196788881</c:v>
                </c:pt>
                <c:pt idx="12">
                  <c:v>1.1049938741659604</c:v>
                </c:pt>
                <c:pt idx="13">
                  <c:v>1.2078208480024166</c:v>
                </c:pt>
                <c:pt idx="14">
                  <c:v>0.89976673962943732</c:v>
                </c:pt>
                <c:pt idx="15">
                  <c:v>1.455739601301298</c:v>
                </c:pt>
                <c:pt idx="16">
                  <c:v>0.98429714565628768</c:v>
                </c:pt>
                <c:pt idx="17">
                  <c:v>1.2622835765130347</c:v>
                </c:pt>
                <c:pt idx="18">
                  <c:v>-0.10325336500249804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0-4E75-937B-B056BACBF73E}"/>
            </c:ext>
          </c:extLst>
        </c:ser>
        <c:ser>
          <c:idx val="9"/>
          <c:order val="4"/>
          <c:tx>
            <c:strRef>
              <c:f>Déplacements!$AB$9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Déplacements!$AB$10:$AB$200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-0.25359121808854468</c:v>
                </c:pt>
                <c:pt idx="3">
                  <c:v>-2.3258654765574427</c:v>
                </c:pt>
                <c:pt idx="4">
                  <c:v>0.56817036256973097</c:v>
                </c:pt>
                <c:pt idx="5">
                  <c:v>-1.129815738273976</c:v>
                </c:pt>
                <c:pt idx="6">
                  <c:v>-0.37471454876802923</c:v>
                </c:pt>
                <c:pt idx="7">
                  <c:v>-0.75552774245490895</c:v>
                </c:pt>
                <c:pt idx="8">
                  <c:v>-1.8247816852974275</c:v>
                </c:pt>
                <c:pt idx="9">
                  <c:v>3.006746653211323E-2</c:v>
                </c:pt>
                <c:pt idx="14">
                  <c:v>0.42917727723024157</c:v>
                </c:pt>
                <c:pt idx="15">
                  <c:v>4.8364034332948336E-2</c:v>
                </c:pt>
                <c:pt idx="16">
                  <c:v>0.47144245564911813</c:v>
                </c:pt>
                <c:pt idx="17">
                  <c:v>0.68886714028160156</c:v>
                </c:pt>
                <c:pt idx="18">
                  <c:v>-2.9058069488456795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0-4E75-937B-B056BACBF73E}"/>
            </c:ext>
          </c:extLst>
        </c:ser>
        <c:ser>
          <c:idx val="10"/>
          <c:order val="5"/>
          <c:tx>
            <c:strRef>
              <c:f>Déplacements!$L$9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3.6592713611671712E-2</c:v>
                </c:pt>
                <c:pt idx="2">
                  <c:v>-1.111519332269495</c:v>
                </c:pt>
                <c:pt idx="3">
                  <c:v>-0.42265203016222941</c:v>
                </c:pt>
                <c:pt idx="4">
                  <c:v>2.2478601065545334</c:v>
                </c:pt>
                <c:pt idx="5">
                  <c:v>-1.0208900702828316</c:v>
                </c:pt>
                <c:pt idx="6">
                  <c:v>-0.17515966802461591</c:v>
                </c:pt>
                <c:pt idx="7">
                  <c:v>-0.54987400575345902</c:v>
                </c:pt>
                <c:pt idx="8">
                  <c:v>-1.5345977535528021</c:v>
                </c:pt>
                <c:pt idx="9">
                  <c:v>0.84005793744612589</c:v>
                </c:pt>
                <c:pt idx="10">
                  <c:v>1.5528941103770677</c:v>
                </c:pt>
                <c:pt idx="11">
                  <c:v>1.528498897612085</c:v>
                </c:pt>
                <c:pt idx="12">
                  <c:v>1.3655369414893315</c:v>
                </c:pt>
                <c:pt idx="13">
                  <c:v>1.4862336699885681</c:v>
                </c:pt>
                <c:pt idx="14">
                  <c:v>1.7825165068385829</c:v>
                </c:pt>
                <c:pt idx="15">
                  <c:v>2.1751008102786074</c:v>
                </c:pt>
                <c:pt idx="16">
                  <c:v>1.8247816852792198</c:v>
                </c:pt>
                <c:pt idx="17">
                  <c:v>2.0483051766113647</c:v>
                </c:pt>
                <c:pt idx="18">
                  <c:v>2.5014512754721885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0-4E75-937B-B056BACBF73E}"/>
            </c:ext>
          </c:extLst>
        </c:ser>
        <c:ser>
          <c:idx val="11"/>
          <c:order val="6"/>
          <c:tx>
            <c:strRef>
              <c:f>Déplacements!$T$9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Déplacements!$T$10:$T$200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-0.51328129214445184</c:v>
                </c:pt>
                <c:pt idx="2">
                  <c:v>-0.16296195611920083</c:v>
                </c:pt>
                <c:pt idx="3">
                  <c:v>-1.3289440168762212</c:v>
                </c:pt>
                <c:pt idx="4">
                  <c:v>2.2836000379222732</c:v>
                </c:pt>
                <c:pt idx="5">
                  <c:v>-0.70063846100909544</c:v>
                </c:pt>
                <c:pt idx="6">
                  <c:v>4.2265178418876559E-2</c:v>
                </c:pt>
                <c:pt idx="7">
                  <c:v>-0.24182010839091106</c:v>
                </c:pt>
                <c:pt idx="8">
                  <c:v>-1.4439684915994455</c:v>
                </c:pt>
                <c:pt idx="9">
                  <c:v>1.196476129406765</c:v>
                </c:pt>
                <c:pt idx="10">
                  <c:v>1.3716355863979679</c:v>
                </c:pt>
                <c:pt idx="11">
                  <c:v>0.9123908426147409</c:v>
                </c:pt>
                <c:pt idx="12">
                  <c:v>0.76729885217874383</c:v>
                </c:pt>
                <c:pt idx="13">
                  <c:v>0.9123908426147409</c:v>
                </c:pt>
                <c:pt idx="14">
                  <c:v>0.66489848046957789</c:v>
                </c:pt>
                <c:pt idx="15">
                  <c:v>0.98515013894351355</c:v>
                </c:pt>
                <c:pt idx="16">
                  <c:v>0.6287319469784336</c:v>
                </c:pt>
                <c:pt idx="17">
                  <c:v>0.98515013894351355</c:v>
                </c:pt>
                <c:pt idx="18">
                  <c:v>-2.7424186015752028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0-4E75-937B-B056BACBF73E}"/>
            </c:ext>
          </c:extLst>
        </c:ser>
        <c:ser>
          <c:idx val="12"/>
          <c:order val="7"/>
          <c:tx>
            <c:strRef>
              <c:f>Déplacements!$H$9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Déplacements!$H$10:$H$200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0.84005814846310756</c:v>
                </c:pt>
                <c:pt idx="2">
                  <c:v>-1.2383149659322967</c:v>
                </c:pt>
                <c:pt idx="3">
                  <c:v>7.2759296285695996E-2</c:v>
                </c:pt>
                <c:pt idx="4">
                  <c:v>2.6888084935325907</c:v>
                </c:pt>
                <c:pt idx="5">
                  <c:v>-0.79126772298820924</c:v>
                </c:pt>
                <c:pt idx="6">
                  <c:v>-0.28975754060223124</c:v>
                </c:pt>
                <c:pt idx="7">
                  <c:v>0.24749236214205439</c:v>
                </c:pt>
                <c:pt idx="8">
                  <c:v>-1.6069304477204227</c:v>
                </c:pt>
                <c:pt idx="9">
                  <c:v>1.0997480114989244</c:v>
                </c:pt>
                <c:pt idx="10">
                  <c:v>1.7280537783728178</c:v>
                </c:pt>
                <c:pt idx="11">
                  <c:v>1.6374245163861545</c:v>
                </c:pt>
                <c:pt idx="12">
                  <c:v>1.4139008140281462</c:v>
                </c:pt>
                <c:pt idx="13">
                  <c:v>1.6674919829240409</c:v>
                </c:pt>
                <c:pt idx="14">
                  <c:v>1.8308805412061702</c:v>
                </c:pt>
                <c:pt idx="15">
                  <c:v>2.6282469091283289</c:v>
                </c:pt>
                <c:pt idx="16">
                  <c:v>2.0121388541296525</c:v>
                </c:pt>
                <c:pt idx="17">
                  <c:v>2.4047233685591252</c:v>
                </c:pt>
                <c:pt idx="18">
                  <c:v>2.3685568350924058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0-4E75-937B-B056BACBF73E}"/>
            </c:ext>
          </c:extLst>
        </c:ser>
        <c:ser>
          <c:idx val="13"/>
          <c:order val="8"/>
          <c:tx>
            <c:strRef>
              <c:f>Déplacements!$X$9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Déplacements!$X$10:$X$200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-0.33202271897447844</c:v>
                </c:pt>
                <c:pt idx="2">
                  <c:v>-0.99082239270931183</c:v>
                </c:pt>
                <c:pt idx="3">
                  <c:v>-1.7637934986947101</c:v>
                </c:pt>
                <c:pt idx="4">
                  <c:v>0.30848054876653208</c:v>
                </c:pt>
                <c:pt idx="5">
                  <c:v>-1.3049751460334491</c:v>
                </c:pt>
                <c:pt idx="6">
                  <c:v>-0.73113231866805961</c:v>
                </c:pt>
                <c:pt idx="7">
                  <c:v>-1.0635816890234295</c:v>
                </c:pt>
                <c:pt idx="8">
                  <c:v>-2.4469883851541141</c:v>
                </c:pt>
                <c:pt idx="9">
                  <c:v>0.68886735128970145</c:v>
                </c:pt>
                <c:pt idx="10">
                  <c:v>0.41697977640264838</c:v>
                </c:pt>
                <c:pt idx="11">
                  <c:v>0.67666985042880157</c:v>
                </c:pt>
                <c:pt idx="12">
                  <c:v>8.4530406064153851E-2</c:v>
                </c:pt>
                <c:pt idx="13">
                  <c:v>6.0988559527075381E-3</c:v>
                </c:pt>
                <c:pt idx="14">
                  <c:v>-0.33812162411095414</c:v>
                </c:pt>
                <c:pt idx="15">
                  <c:v>-0.16296195611076314</c:v>
                </c:pt>
                <c:pt idx="16">
                  <c:v>0.16948741421707325</c:v>
                </c:pt>
                <c:pt idx="17">
                  <c:v>0.19955488077894046</c:v>
                </c:pt>
                <c:pt idx="18">
                  <c:v>-2.9720407378164282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20-4E75-937B-B056BACB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51240"/>
        <c:axId val="252050848"/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52050064"/>
        <c:axId val="2520504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9"/>
                <c:tx>
                  <c:v>Avancement du front</c:v>
                </c:tx>
                <c:spPr>
                  <a:ln w="15875" cap="rnd">
                    <a:solidFill>
                      <a:schemeClr val="accent1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tint val="50000"/>
                            <a:satMod val="300000"/>
                          </a:schemeClr>
                        </a:gs>
                        <a:gs pos="35000">
                          <a:schemeClr val="accent1">
                            <a:tint val="37000"/>
                            <a:satMod val="300000"/>
                          </a:schemeClr>
                        </a:gs>
                        <a:gs pos="100000">
                          <a:schemeClr val="accent1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1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Convergences!$B$10:$B$200</c15:sqref>
                        </c15:formulaRef>
                      </c:ext>
                    </c:extLst>
                    <c:numCache>
                      <c:formatCode>dd\ /\ mm\ /\ yy</c:formatCode>
                      <c:ptCount val="191"/>
                      <c:pt idx="0">
                        <c:v>44140</c:v>
                      </c:pt>
                      <c:pt idx="1">
                        <c:v>44172</c:v>
                      </c:pt>
                      <c:pt idx="2">
                        <c:v>44229</c:v>
                      </c:pt>
                      <c:pt idx="3">
                        <c:v>44273</c:v>
                      </c:pt>
                      <c:pt idx="4">
                        <c:v>44287</c:v>
                      </c:pt>
                      <c:pt idx="5">
                        <c:v>44308</c:v>
                      </c:pt>
                      <c:pt idx="6">
                        <c:v>44322</c:v>
                      </c:pt>
                      <c:pt idx="7">
                        <c:v>44337</c:v>
                      </c:pt>
                      <c:pt idx="8">
                        <c:v>44351</c:v>
                      </c:pt>
                      <c:pt idx="9">
                        <c:v>44357</c:v>
                      </c:pt>
                      <c:pt idx="10">
                        <c:v>44364</c:v>
                      </c:pt>
                      <c:pt idx="11">
                        <c:v>44378</c:v>
                      </c:pt>
                      <c:pt idx="12">
                        <c:v>44392</c:v>
                      </c:pt>
                      <c:pt idx="13">
                        <c:v>44410</c:v>
                      </c:pt>
                      <c:pt idx="14">
                        <c:v>44453</c:v>
                      </c:pt>
                      <c:pt idx="15">
                        <c:v>44470</c:v>
                      </c:pt>
                      <c:pt idx="16">
                        <c:v>44489</c:v>
                      </c:pt>
                      <c:pt idx="17">
                        <c:v>44502</c:v>
                      </c:pt>
                      <c:pt idx="18">
                        <c:v>44915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Convergences!$C$10:$C$200</c15:sqref>
                        </c15:formulaRef>
                      </c:ext>
                    </c:extLst>
                    <c:numCache>
                      <c:formatCode>0.0</c:formatCode>
                      <c:ptCount val="191"/>
                      <c:pt idx="0">
                        <c:v>222.9</c:v>
                      </c:pt>
                      <c:pt idx="1">
                        <c:v>222.9</c:v>
                      </c:pt>
                      <c:pt idx="2">
                        <c:v>222.9</c:v>
                      </c:pt>
                      <c:pt idx="3">
                        <c:v>222.9</c:v>
                      </c:pt>
                      <c:pt idx="4">
                        <c:v>222.9</c:v>
                      </c:pt>
                      <c:pt idx="5">
                        <c:v>222.9</c:v>
                      </c:pt>
                      <c:pt idx="6">
                        <c:v>222.9</c:v>
                      </c:pt>
                      <c:pt idx="7">
                        <c:v>222.9</c:v>
                      </c:pt>
                      <c:pt idx="8">
                        <c:v>222.9</c:v>
                      </c:pt>
                      <c:pt idx="9">
                        <c:v>222.9</c:v>
                      </c:pt>
                      <c:pt idx="10">
                        <c:v>222.9</c:v>
                      </c:pt>
                      <c:pt idx="11">
                        <c:v>222.9</c:v>
                      </c:pt>
                      <c:pt idx="12">
                        <c:v>222.9</c:v>
                      </c:pt>
                      <c:pt idx="13">
                        <c:v>222.9</c:v>
                      </c:pt>
                      <c:pt idx="14">
                        <c:v>222.9</c:v>
                      </c:pt>
                      <c:pt idx="15">
                        <c:v>222.9</c:v>
                      </c:pt>
                      <c:pt idx="16">
                        <c:v>222.9</c:v>
                      </c:pt>
                      <c:pt idx="17">
                        <c:v>222.9</c:v>
                      </c:pt>
                      <c:pt idx="18">
                        <c:v>222.9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9920-4E75-937B-B056BACBF73E}"/>
                  </c:ext>
                </c:extLst>
              </c15:ser>
            </c15:filteredScatterSeries>
            <c15:filteredScatterSeries>
              <c15:ser>
                <c:idx val="14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F(date)'!$AA$72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F(date)'!$AC$73:$AC$107</c15:sqref>
                        </c15:formulaRef>
                      </c:ext>
                    </c:extLst>
                    <c:numCache>
                      <c:formatCode>m/d/yyyy</c:formatCode>
                      <c:ptCount val="3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F(date)'!$AD$73:$AD$107</c15:sqref>
                        </c15:formulaRef>
                      </c:ext>
                    </c:extLst>
                    <c:numCache>
                      <c:formatCode>General</c:formatCode>
                      <c:ptCount val="3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20-4E75-937B-B056BACBF73E}"/>
                  </c:ext>
                </c:extLst>
              </c15:ser>
            </c15:filteredScatterSeries>
          </c:ext>
        </c:extLst>
      </c:scatterChart>
      <c:valAx>
        <c:axId val="252051240"/>
        <c:scaling>
          <c:orientation val="minMax"/>
          <c:max val="44950"/>
          <c:min val="44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539073065305063"/>
              <c:y val="0.81317822828707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0848"/>
        <c:crossesAt val="0"/>
        <c:crossBetween val="midCat"/>
        <c:majorUnit val="40"/>
      </c:valAx>
      <c:valAx>
        <c:axId val="252050848"/>
        <c:scaling>
          <c:orientation val="minMax"/>
          <c:max val="15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Déplacement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1240"/>
        <c:crosses val="autoZero"/>
        <c:crossBetween val="midCat"/>
      </c:valAx>
      <c:valAx>
        <c:axId val="252050456"/>
        <c:scaling>
          <c:orientation val="minMax"/>
          <c:max val="225"/>
          <c:min val="1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PM Front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0064"/>
        <c:crosses val="max"/>
        <c:crossBetween val="midCat"/>
      </c:valAx>
      <c:valAx>
        <c:axId val="252050064"/>
        <c:scaling>
          <c:orientation val="minMax"/>
        </c:scaling>
        <c:delete val="0"/>
        <c:axPos val="b"/>
        <c:numFmt formatCode="dd\ /\ mm\ /\ yy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050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19843074485085296"/>
          <c:y val="0.52817875076950571"/>
          <c:w val="0.61321375949960288"/>
          <c:h val="0.20070238355180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Norme des déplacements</a:t>
            </a:r>
          </a:p>
        </c:rich>
      </c:tx>
      <c:layout>
        <c:manualLayout>
          <c:xMode val="edge"/>
          <c:yMode val="edge"/>
          <c:x val="0.43150045151108535"/>
          <c:y val="2.98953732555053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402131807479048"/>
          <c:y val="5.0822134534358424E-2"/>
          <c:w val="0.77290072663747622"/>
          <c:h val="0.70939437387907778"/>
        </c:manualLayout>
      </c:layout>
      <c:scatterChart>
        <c:scatterStyle val="lineMarker"/>
        <c:varyColors val="0"/>
        <c:ser>
          <c:idx val="7"/>
          <c:order val="0"/>
          <c:tx>
            <c:strRef>
              <c:f>Déplacements!$F$9</c:f>
              <c:strCache>
                <c:ptCount val="1"/>
                <c:pt idx="0">
                  <c:v>Norme BG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1.8788293821428241</c:v>
                </c:pt>
                <c:pt idx="2">
                  <c:v>1.8708287257506895</c:v>
                </c:pt>
                <c:pt idx="3">
                  <c:v>1.5427248608865618</c:v>
                </c:pt>
                <c:pt idx="5">
                  <c:v>1.236931732334388</c:v>
                </c:pt>
                <c:pt idx="8">
                  <c:v>2.3366643530499247</c:v>
                </c:pt>
                <c:pt idx="9">
                  <c:v>1.972308279536702</c:v>
                </c:pt>
                <c:pt idx="10">
                  <c:v>2.5826343727663827</c:v>
                </c:pt>
                <c:pt idx="11">
                  <c:v>2.1470909829982454</c:v>
                </c:pt>
                <c:pt idx="12">
                  <c:v>1.989974854856442</c:v>
                </c:pt>
                <c:pt idx="13">
                  <c:v>2.0856654102921177</c:v>
                </c:pt>
                <c:pt idx="14">
                  <c:v>2.988310529410398</c:v>
                </c:pt>
                <c:pt idx="15">
                  <c:v>3.2388269869632849</c:v>
                </c:pt>
                <c:pt idx="16">
                  <c:v>3.016620704233941</c:v>
                </c:pt>
                <c:pt idx="17">
                  <c:v>3.0659419744535747</c:v>
                </c:pt>
                <c:pt idx="18">
                  <c:v>4.0249223173833117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F-49FA-B5A5-AEAAAC71C3C2}"/>
            </c:ext>
          </c:extLst>
        </c:ser>
        <c:ser>
          <c:idx val="8"/>
          <c:order val="1"/>
          <c:tx>
            <c:strRef>
              <c:f>Déplacements!$R$9</c:f>
              <c:strCache>
                <c:ptCount val="1"/>
                <c:pt idx="0">
                  <c:v>Norme CH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Déplacements!$R$10:$R$200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0.42426403762639081</c:v>
                </c:pt>
                <c:pt idx="2">
                  <c:v>2.7166156086113253</c:v>
                </c:pt>
                <c:pt idx="3">
                  <c:v>3.518522415254286</c:v>
                </c:pt>
                <c:pt idx="4">
                  <c:v>3.6180104151475603</c:v>
                </c:pt>
                <c:pt idx="5">
                  <c:v>3.36749167754382</c:v>
                </c:pt>
                <c:pt idx="6">
                  <c:v>3.5707142453147522</c:v>
                </c:pt>
                <c:pt idx="7">
                  <c:v>4.1400483080415977</c:v>
                </c:pt>
                <c:pt idx="8">
                  <c:v>4.514421421763176</c:v>
                </c:pt>
                <c:pt idx="9">
                  <c:v>2.3685438323567016</c:v>
                </c:pt>
                <c:pt idx="10">
                  <c:v>3.3015147738106041</c:v>
                </c:pt>
                <c:pt idx="11">
                  <c:v>3.1968735052028512</c:v>
                </c:pt>
                <c:pt idx="12">
                  <c:v>3.5397739976639624</c:v>
                </c:pt>
                <c:pt idx="13">
                  <c:v>3.3837848527100123</c:v>
                </c:pt>
                <c:pt idx="14">
                  <c:v>4.5354161919132654</c:v>
                </c:pt>
                <c:pt idx="15">
                  <c:v>3.6851051370771413</c:v>
                </c:pt>
                <c:pt idx="16">
                  <c:v>4.88876263270829</c:v>
                </c:pt>
                <c:pt idx="17">
                  <c:v>4.4788391320830563</c:v>
                </c:pt>
                <c:pt idx="18">
                  <c:v>9.6420952313066284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F-49FA-B5A5-AEAAAC71C3C2}"/>
            </c:ext>
          </c:extLst>
        </c:ser>
        <c:ser>
          <c:idx val="9"/>
          <c:order val="2"/>
          <c:tx>
            <c:strRef>
              <c:f>Déplacements!$AD$9</c:f>
              <c:strCache>
                <c:ptCount val="1"/>
                <c:pt idx="0">
                  <c:v>Norme BD</c:v>
                </c:pt>
              </c:strCache>
            </c:strRef>
          </c:tx>
          <c:spPr>
            <a:ln w="1587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Déplacements!$AD$10:$AD$200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0.92195446426352634</c:v>
                </c:pt>
                <c:pt idx="3">
                  <c:v>2.3280895082537381</c:v>
                </c:pt>
                <c:pt idx="4">
                  <c:v>1.5652475596454314</c:v>
                </c:pt>
                <c:pt idx="5">
                  <c:v>1.2206556227676109</c:v>
                </c:pt>
                <c:pt idx="6">
                  <c:v>0.7211103862206012</c:v>
                </c:pt>
                <c:pt idx="7">
                  <c:v>1.6401220707161599</c:v>
                </c:pt>
                <c:pt idx="8">
                  <c:v>2.4919871514176646</c:v>
                </c:pt>
                <c:pt idx="9">
                  <c:v>0.6708204051272576</c:v>
                </c:pt>
                <c:pt idx="14">
                  <c:v>1.0630145934012614</c:v>
                </c:pt>
                <c:pt idx="15">
                  <c:v>0.1732051534118495</c:v>
                </c:pt>
                <c:pt idx="16">
                  <c:v>1.1661904196718527</c:v>
                </c:pt>
                <c:pt idx="17">
                  <c:v>1.1224970985674934</c:v>
                </c:pt>
                <c:pt idx="18">
                  <c:v>2.9899832852478312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F-49FA-B5A5-AEAAAC71C3C2}"/>
            </c:ext>
          </c:extLst>
        </c:ser>
        <c:ser>
          <c:idx val="10"/>
          <c:order val="3"/>
          <c:tx>
            <c:strRef>
              <c:f>Déplacements!$N$9</c:f>
              <c:strCache>
                <c:ptCount val="1"/>
                <c:pt idx="0">
                  <c:v>Norme HG</c:v>
                </c:pt>
              </c:strCache>
            </c:strRef>
          </c:tx>
          <c:spPr>
            <a:ln w="1587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Déplacements!$N$10:$N$200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1.4000000111804052</c:v>
                </c:pt>
                <c:pt idx="2">
                  <c:v>1.4525839551732265</c:v>
                </c:pt>
                <c:pt idx="3">
                  <c:v>1.3453624400065531</c:v>
                </c:pt>
                <c:pt idx="4">
                  <c:v>3.0626785267339809</c:v>
                </c:pt>
                <c:pt idx="5">
                  <c:v>1.1357816805424037</c:v>
                </c:pt>
                <c:pt idx="6">
                  <c:v>0.73484693400219037</c:v>
                </c:pt>
                <c:pt idx="7">
                  <c:v>1.0099504784294548</c:v>
                </c:pt>
                <c:pt idx="8">
                  <c:v>2.4166092458135688</c:v>
                </c:pt>
                <c:pt idx="9">
                  <c:v>1.5394803562643011</c:v>
                </c:pt>
                <c:pt idx="10">
                  <c:v>2.453568857189846</c:v>
                </c:pt>
                <c:pt idx="11">
                  <c:v>1.9026297733194553</c:v>
                </c:pt>
                <c:pt idx="12">
                  <c:v>1.7578396533755833</c:v>
                </c:pt>
                <c:pt idx="13">
                  <c:v>1.8275666917294822</c:v>
                </c:pt>
                <c:pt idx="14">
                  <c:v>2.5099800622770321</c:v>
                </c:pt>
                <c:pt idx="15">
                  <c:v>2.8844409215027733</c:v>
                </c:pt>
                <c:pt idx="16">
                  <c:v>2.7495454102025301</c:v>
                </c:pt>
                <c:pt idx="17">
                  <c:v>2.5806974780230512</c:v>
                </c:pt>
                <c:pt idx="18">
                  <c:v>4.4034077518973715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0F-49FA-B5A5-AEAAAC71C3C2}"/>
            </c:ext>
          </c:extLst>
        </c:ser>
        <c:ser>
          <c:idx val="11"/>
          <c:order val="4"/>
          <c:tx>
            <c:strRef>
              <c:f>Déplacements!$V$9</c:f>
              <c:strCache>
                <c:ptCount val="1"/>
                <c:pt idx="0">
                  <c:v>Norme HD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Déplacements!$V$10:$V$200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1.0099505470927184</c:v>
                </c:pt>
                <c:pt idx="2">
                  <c:v>1.0862780706313082</c:v>
                </c:pt>
                <c:pt idx="3">
                  <c:v>1.7320507951980781</c:v>
                </c:pt>
                <c:pt idx="4">
                  <c:v>2.2847318568501023</c:v>
                </c:pt>
                <c:pt idx="5">
                  <c:v>1.0770329966808598</c:v>
                </c:pt>
                <c:pt idx="6">
                  <c:v>1.2041594534366256</c:v>
                </c:pt>
                <c:pt idx="7">
                  <c:v>1.1445523349710527</c:v>
                </c:pt>
                <c:pt idx="8">
                  <c:v>2.6702059925971389</c:v>
                </c:pt>
                <c:pt idx="9">
                  <c:v>1.8867962998955725</c:v>
                </c:pt>
                <c:pt idx="10">
                  <c:v>2.5079871801679823</c:v>
                </c:pt>
                <c:pt idx="11">
                  <c:v>1.56843871113884</c:v>
                </c:pt>
                <c:pt idx="12">
                  <c:v>1.6155494576364857</c:v>
                </c:pt>
                <c:pt idx="13">
                  <c:v>1.8708286908723568</c:v>
                </c:pt>
                <c:pt idx="14">
                  <c:v>2.3086793263292864</c:v>
                </c:pt>
                <c:pt idx="15">
                  <c:v>2.716615583779812</c:v>
                </c:pt>
                <c:pt idx="16">
                  <c:v>2.9444863245864021</c:v>
                </c:pt>
                <c:pt idx="17">
                  <c:v>2.4535688761566301</c:v>
                </c:pt>
                <c:pt idx="18">
                  <c:v>5.9033888849940821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0F-49FA-B5A5-AEAAAC71C3C2}"/>
            </c:ext>
          </c:extLst>
        </c:ser>
        <c:ser>
          <c:idx val="12"/>
          <c:order val="5"/>
          <c:tx>
            <c:strRef>
              <c:f>Déplacements!$J$9</c:f>
              <c:strCache>
                <c:ptCount val="1"/>
                <c:pt idx="0">
                  <c:v>Norme IG</c:v>
                </c:pt>
              </c:strCache>
            </c:strRef>
          </c:tx>
          <c:spPr>
            <a:ln w="158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Déplacements!$B$10:$B$200</c:f>
              <c:numCache>
                <c:formatCode>dd\ /\ mm\ /\ yy</c:formatCode>
                <c:ptCount val="1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1.6401220602683795</c:v>
                </c:pt>
                <c:pt idx="2">
                  <c:v>1.4352701058592872</c:v>
                </c:pt>
                <c:pt idx="3">
                  <c:v>1.0344080694365863</c:v>
                </c:pt>
                <c:pt idx="4">
                  <c:v>3.3615471806866801</c:v>
                </c:pt>
                <c:pt idx="5">
                  <c:v>0.94868337328256436</c:v>
                </c:pt>
                <c:pt idx="6">
                  <c:v>0.91104334954032828</c:v>
                </c:pt>
                <c:pt idx="7">
                  <c:v>0.90000004080744178</c:v>
                </c:pt>
                <c:pt idx="8">
                  <c:v>2.0099751045898051</c:v>
                </c:pt>
                <c:pt idx="9">
                  <c:v>1.4696938032596776</c:v>
                </c:pt>
                <c:pt idx="10">
                  <c:v>2.3409400640999252</c:v>
                </c:pt>
                <c:pt idx="11">
                  <c:v>1.9209373038857604</c:v>
                </c:pt>
                <c:pt idx="12">
                  <c:v>1.752141448160067</c:v>
                </c:pt>
                <c:pt idx="13">
                  <c:v>1.7720044171455875</c:v>
                </c:pt>
                <c:pt idx="14">
                  <c:v>2.3958297662437871</c:v>
                </c:pt>
                <c:pt idx="15">
                  <c:v>2.9427877575622134</c:v>
                </c:pt>
                <c:pt idx="16">
                  <c:v>2.72396764933836</c:v>
                </c:pt>
                <c:pt idx="17">
                  <c:v>2.7037012391408073</c:v>
                </c:pt>
                <c:pt idx="18">
                  <c:v>2.8913663648973835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0F-49FA-B5A5-AEAAAC71C3C2}"/>
            </c:ext>
          </c:extLst>
        </c:ser>
        <c:ser>
          <c:idx val="13"/>
          <c:order val="6"/>
          <c:tx>
            <c:strRef>
              <c:f>Déplacements!$Z$9</c:f>
              <c:strCache>
                <c:ptCount val="1"/>
                <c:pt idx="0">
                  <c:v>Norme ID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Déplacements!$B$10:$B$300</c:f>
              <c:numCache>
                <c:formatCode>dd\ /\ mm\ /\ yy</c:formatCode>
                <c:ptCount val="291"/>
                <c:pt idx="0">
                  <c:v>44140</c:v>
                </c:pt>
                <c:pt idx="1">
                  <c:v>44172</c:v>
                </c:pt>
                <c:pt idx="2">
                  <c:v>44229</c:v>
                </c:pt>
                <c:pt idx="3">
                  <c:v>44273</c:v>
                </c:pt>
                <c:pt idx="4">
                  <c:v>44287</c:v>
                </c:pt>
                <c:pt idx="5">
                  <c:v>44308</c:v>
                </c:pt>
                <c:pt idx="6">
                  <c:v>44322</c:v>
                </c:pt>
                <c:pt idx="7">
                  <c:v>44337</c:v>
                </c:pt>
                <c:pt idx="8">
                  <c:v>44351</c:v>
                </c:pt>
                <c:pt idx="9">
                  <c:v>44357</c:v>
                </c:pt>
                <c:pt idx="10">
                  <c:v>44364</c:v>
                </c:pt>
                <c:pt idx="11">
                  <c:v>44378</c:v>
                </c:pt>
                <c:pt idx="12">
                  <c:v>44392</c:v>
                </c:pt>
                <c:pt idx="13">
                  <c:v>44410</c:v>
                </c:pt>
                <c:pt idx="14">
                  <c:v>44453</c:v>
                </c:pt>
                <c:pt idx="15">
                  <c:v>44470</c:v>
                </c:pt>
                <c:pt idx="16">
                  <c:v>44489</c:v>
                </c:pt>
                <c:pt idx="17">
                  <c:v>44502</c:v>
                </c:pt>
                <c:pt idx="18">
                  <c:v>44915</c:v>
                </c:pt>
              </c:numCache>
            </c:numRef>
          </c:xVal>
          <c:yVal>
            <c:numRef>
              <c:f>Déplacements!$Z$10:$Z$300</c:f>
              <c:numCache>
                <c:formatCode>\+\ 0.0;\-\ 0.0;\±\ 0.0</c:formatCode>
                <c:ptCount val="291"/>
                <c:pt idx="0">
                  <c:v>0</c:v>
                </c:pt>
                <c:pt idx="1">
                  <c:v>1.0816653247641559</c:v>
                </c:pt>
                <c:pt idx="2">
                  <c:v>1.0630145182133779</c:v>
                </c:pt>
                <c:pt idx="3">
                  <c:v>2.0024983017828801</c:v>
                </c:pt>
                <c:pt idx="4">
                  <c:v>1.7000000115462139</c:v>
                </c:pt>
                <c:pt idx="5">
                  <c:v>1.3379086964654092</c:v>
                </c:pt>
                <c:pt idx="6">
                  <c:v>1.0049874458868862</c:v>
                </c:pt>
                <c:pt idx="7">
                  <c:v>1.6822603853628126</c:v>
                </c:pt>
                <c:pt idx="8">
                  <c:v>2.9546571917437099</c:v>
                </c:pt>
                <c:pt idx="9">
                  <c:v>0.96953605160304657</c:v>
                </c:pt>
                <c:pt idx="10">
                  <c:v>1.2884099299458618</c:v>
                </c:pt>
                <c:pt idx="11">
                  <c:v>0.76811477243384219</c:v>
                </c:pt>
                <c:pt idx="12">
                  <c:v>0.4472135997457406</c:v>
                </c:pt>
                <c:pt idx="13">
                  <c:v>0.54772257247534473</c:v>
                </c:pt>
                <c:pt idx="14">
                  <c:v>0.82462116198920177</c:v>
                </c:pt>
                <c:pt idx="15">
                  <c:v>0.67823303283406078</c:v>
                </c:pt>
                <c:pt idx="16">
                  <c:v>1.4352701062634836</c:v>
                </c:pt>
                <c:pt idx="17">
                  <c:v>0.83666009597211932</c:v>
                </c:pt>
                <c:pt idx="18">
                  <c:v>3.1400635103600139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0F-49FA-B5A5-AEAAAC71C3C2}"/>
            </c:ext>
          </c:extLst>
        </c:ser>
        <c:ser>
          <c:idx val="14"/>
          <c:order val="7"/>
          <c:tx>
            <c:strRef>
              <c:f>'Graphiques F(date)'!$AC$62</c:f>
              <c:strCache>
                <c:ptCount val="1"/>
                <c:pt idx="0">
                  <c:v>Seuil d'alerte</c:v>
                </c:pt>
              </c:strCache>
            </c:strRef>
          </c:tx>
          <c:spPr>
            <a:ln w="158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80000"/>
                      <a:lumOff val="2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80000"/>
                      <a:lumOff val="2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'Graphiques F(date)'!$AE$62:$AE$63</c:f>
              <c:numCache>
                <c:formatCode>m/d/yyyy</c:formatCode>
                <c:ptCount val="2"/>
                <c:pt idx="0">
                  <c:v>43598</c:v>
                </c:pt>
                <c:pt idx="1">
                  <c:v>44197</c:v>
                </c:pt>
              </c:numCache>
            </c:numRef>
          </c:xVal>
          <c:yVal>
            <c:numRef>
              <c:f>'Graphiques F(date)'!$AD$62:$AD$63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0F-49FA-B5A5-AEAAAC71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468008"/>
        <c:axId val="51046840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9"/>
                <c:tx>
                  <c:strRef>
                    <c:extLst>
                      <c:ext uri="{02D57815-91ED-43cb-92C2-25804820EDAC}">
                        <c15:formulaRef>
                          <c15:sqref>'Graphiques F(date)'!$AA$43</c15:sqref>
                        </c15:formulaRef>
                      </c:ext>
                    </c:extLst>
                    <c:strCache>
                      <c:ptCount val="1"/>
                      <c:pt idx="0">
                        <c:v>Début creusement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'Graphiques F(date)'!$AA$44:$AA$46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43605</c:v>
                      </c:pt>
                      <c:pt idx="1">
                        <c:v>43605</c:v>
                      </c:pt>
                      <c:pt idx="2">
                        <c:v>43605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'Graphiques F(date)'!$AB$44:$AB$46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167</c:v>
                      </c:pt>
                      <c:pt idx="2">
                        <c:v>230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E20F-49FA-B5A5-AEAAAC71C3C2}"/>
                  </c:ext>
                </c:extLst>
              </c15:ser>
            </c15:filteredScatterSeries>
            <c15:filteredScatterSeries>
              <c15:ser>
                <c:idx val="1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F(date)'!$AA$49</c15:sqref>
                        </c15:formulaRef>
                      </c:ext>
                    </c:extLst>
                    <c:strCache>
                      <c:ptCount val="1"/>
                      <c:pt idx="0">
                        <c:v>Fin du confortement du tympan GVA3</c:v>
                      </c:pt>
                    </c:strCache>
                  </c:strRef>
                </c:tx>
                <c:spPr>
                  <a:ln w="15875" cap="rnd">
                    <a:solidFill>
                      <a:schemeClr val="accent2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tint val="50000"/>
                            <a:satMod val="300000"/>
                          </a:schemeClr>
                        </a:gs>
                        <a:gs pos="35000">
                          <a:schemeClr val="accent2">
                            <a:tint val="37000"/>
                            <a:satMod val="300000"/>
                          </a:schemeClr>
                        </a:gs>
                        <a:gs pos="100000">
                          <a:schemeClr val="accent2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2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F(date)'!$AA$50:$AA$52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43655</c:v>
                      </c:pt>
                      <c:pt idx="1">
                        <c:v>43655</c:v>
                      </c:pt>
                      <c:pt idx="2">
                        <c:v>43655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F(date)'!$AB$50:$AB$52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168</c:v>
                      </c:pt>
                      <c:pt idx="2">
                        <c:v>230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919-458F-9EC9-9D3B97EA09DA}"/>
                  </c:ext>
                </c:extLst>
              </c15:ser>
            </c15:filteredScatterSeries>
            <c15:filteredScatterSeries>
              <c15:ser>
                <c:idx val="2"/>
                <c:order val="11"/>
                <c:tx>
                  <c:v>Semaines</c:v>
                </c:tx>
                <c:spPr>
                  <a:ln w="15875" cap="rnd">
                    <a:solidFill>
                      <a:schemeClr val="accent3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tint val="50000"/>
                            <a:satMod val="300000"/>
                          </a:schemeClr>
                        </a:gs>
                        <a:gs pos="35000">
                          <a:schemeClr val="accent3">
                            <a:tint val="37000"/>
                            <a:satMod val="300000"/>
                          </a:schemeClr>
                        </a:gs>
                        <a:gs pos="100000">
                          <a:schemeClr val="accent3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3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F(date)'!$AC$73:$AC$107</c15:sqref>
                        </c15:formulaRef>
                      </c:ext>
                    </c:extLst>
                    <c:numCache>
                      <c:formatCode>m/d/yyyy</c:formatCode>
                      <c:ptCount val="35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'Graphiques F(date)'!$AD$73:$AD$107</c15:sqref>
                        </c15:formulaRef>
                      </c:ext>
                    </c:extLst>
                    <c:numCache>
                      <c:formatCode>General</c:formatCode>
                      <c:ptCount val="35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919-458F-9EC9-9D3B97EA09DA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10469184"/>
        <c:axId val="5104687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8"/>
                <c:tx>
                  <c:v>Avancement du front</c:v>
                </c:tx>
                <c:spPr>
                  <a:ln w="15875" cap="rnd">
                    <a:solidFill>
                      <a:schemeClr val="accent1"/>
                    </a:solidFill>
                    <a:round/>
                  </a:ln>
                  <a:effectLst>
                    <a:outerShdw blurRad="40000" dist="20000" dir="5400000" rotWithShape="0">
                      <a:srgbClr val="000000">
                        <a:alpha val="38000"/>
                      </a:srgbClr>
                    </a:outerShdw>
                  </a:effectLst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tint val="50000"/>
                            <a:satMod val="300000"/>
                          </a:schemeClr>
                        </a:gs>
                        <a:gs pos="35000">
                          <a:schemeClr val="accent1">
                            <a:tint val="37000"/>
                            <a:satMod val="300000"/>
                          </a:schemeClr>
                        </a:gs>
                        <a:gs pos="100000">
                          <a:schemeClr val="accent1">
                            <a:tint val="15000"/>
                            <a:satMod val="350000"/>
                          </a:schemeClr>
                        </a:gs>
                      </a:gsLst>
                      <a:lin ang="16200000" scaled="1"/>
                    </a:gradFill>
                    <a:ln w="9525" cap="flat" cmpd="sng" algn="ctr">
                      <a:solidFill>
                        <a:schemeClr val="accent1">
                          <a:shade val="95000"/>
                        </a:schemeClr>
                      </a:solidFill>
                      <a:round/>
                    </a:ln>
                    <a:effectLst>
                      <a:outerShdw blurRad="40000" dist="20000" dir="5400000" rotWithShape="0">
                        <a:srgbClr val="000000">
                          <a:alpha val="38000"/>
                        </a:srgbClr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Convergences!$B$10:$B$200</c15:sqref>
                        </c15:formulaRef>
                      </c:ext>
                    </c:extLst>
                    <c:numCache>
                      <c:formatCode>dd\ /\ mm\ /\ yy</c:formatCode>
                      <c:ptCount val="191"/>
                      <c:pt idx="0">
                        <c:v>44140</c:v>
                      </c:pt>
                      <c:pt idx="1">
                        <c:v>44172</c:v>
                      </c:pt>
                      <c:pt idx="2">
                        <c:v>44229</c:v>
                      </c:pt>
                      <c:pt idx="3">
                        <c:v>44273</c:v>
                      </c:pt>
                      <c:pt idx="4">
                        <c:v>44287</c:v>
                      </c:pt>
                      <c:pt idx="5">
                        <c:v>44308</c:v>
                      </c:pt>
                      <c:pt idx="6">
                        <c:v>44322</c:v>
                      </c:pt>
                      <c:pt idx="7">
                        <c:v>44337</c:v>
                      </c:pt>
                      <c:pt idx="8">
                        <c:v>44351</c:v>
                      </c:pt>
                      <c:pt idx="9">
                        <c:v>44357</c:v>
                      </c:pt>
                      <c:pt idx="10">
                        <c:v>44364</c:v>
                      </c:pt>
                      <c:pt idx="11">
                        <c:v>44378</c:v>
                      </c:pt>
                      <c:pt idx="12">
                        <c:v>44392</c:v>
                      </c:pt>
                      <c:pt idx="13">
                        <c:v>44410</c:v>
                      </c:pt>
                      <c:pt idx="14">
                        <c:v>44453</c:v>
                      </c:pt>
                      <c:pt idx="15">
                        <c:v>44470</c:v>
                      </c:pt>
                      <c:pt idx="16">
                        <c:v>44489</c:v>
                      </c:pt>
                      <c:pt idx="17">
                        <c:v>44502</c:v>
                      </c:pt>
                      <c:pt idx="18">
                        <c:v>44915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Convergences!$C$10:$C$200</c15:sqref>
                        </c15:formulaRef>
                      </c:ext>
                    </c:extLst>
                    <c:numCache>
                      <c:formatCode>0.0</c:formatCode>
                      <c:ptCount val="191"/>
                      <c:pt idx="0">
                        <c:v>222.9</c:v>
                      </c:pt>
                      <c:pt idx="1">
                        <c:v>222.9</c:v>
                      </c:pt>
                      <c:pt idx="2">
                        <c:v>222.9</c:v>
                      </c:pt>
                      <c:pt idx="3">
                        <c:v>222.9</c:v>
                      </c:pt>
                      <c:pt idx="4">
                        <c:v>222.9</c:v>
                      </c:pt>
                      <c:pt idx="5">
                        <c:v>222.9</c:v>
                      </c:pt>
                      <c:pt idx="6">
                        <c:v>222.9</c:v>
                      </c:pt>
                      <c:pt idx="7">
                        <c:v>222.9</c:v>
                      </c:pt>
                      <c:pt idx="8">
                        <c:v>222.9</c:v>
                      </c:pt>
                      <c:pt idx="9">
                        <c:v>222.9</c:v>
                      </c:pt>
                      <c:pt idx="10">
                        <c:v>222.9</c:v>
                      </c:pt>
                      <c:pt idx="11">
                        <c:v>222.9</c:v>
                      </c:pt>
                      <c:pt idx="12">
                        <c:v>222.9</c:v>
                      </c:pt>
                      <c:pt idx="13">
                        <c:v>222.9</c:v>
                      </c:pt>
                      <c:pt idx="14">
                        <c:v>222.9</c:v>
                      </c:pt>
                      <c:pt idx="15">
                        <c:v>222.9</c:v>
                      </c:pt>
                      <c:pt idx="16">
                        <c:v>222.9</c:v>
                      </c:pt>
                      <c:pt idx="17">
                        <c:v>222.9</c:v>
                      </c:pt>
                      <c:pt idx="18">
                        <c:v>222.9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8-E20F-49FA-B5A5-AEAAAC71C3C2}"/>
                  </c:ext>
                </c:extLst>
              </c15:ser>
            </c15:filteredScatterSeries>
          </c:ext>
        </c:extLst>
      </c:scatterChart>
      <c:valAx>
        <c:axId val="510468008"/>
        <c:scaling>
          <c:orientation val="minMax"/>
          <c:max val="44950"/>
          <c:min val="44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7827986935716662"/>
              <c:y val="0.81093177287331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dd/mm/yyyy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468400"/>
        <c:crossesAt val="0"/>
        <c:crossBetween val="midCat"/>
        <c:majorUnit val="40"/>
      </c:valAx>
      <c:valAx>
        <c:axId val="510468400"/>
        <c:scaling>
          <c:orientation val="minMax"/>
          <c:max val="15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\+\ 0.0;\-\ 0.0;\±\ 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468008"/>
        <c:crosses val="autoZero"/>
        <c:crossBetween val="midCat"/>
      </c:valAx>
      <c:valAx>
        <c:axId val="51046879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469184"/>
        <c:crosses val="max"/>
        <c:crossBetween val="midCat"/>
      </c:valAx>
      <c:valAx>
        <c:axId val="510469184"/>
        <c:scaling>
          <c:orientation val="minMax"/>
        </c:scaling>
        <c:delete val="1"/>
        <c:axPos val="b"/>
        <c:numFmt formatCode="dd\ /\ mm\ /\ yy" sourceLinked="1"/>
        <c:majorTickMark val="out"/>
        <c:minorTickMark val="none"/>
        <c:tickLblPos val="nextTo"/>
        <c:crossAx val="510468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367307706215372"/>
          <c:y val="0.50574904306995616"/>
          <c:w val="0.54096431405524847"/>
          <c:h val="0.18326181088268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Convergences!$D$9</c:f>
              <c:strCache>
                <c:ptCount val="1"/>
                <c:pt idx="0">
                  <c:v>BG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Convergences!$D$10:$D$33</c:f>
              <c:numCache>
                <c:formatCode>\+\ 0.0;\-\ 0.0;\±\ 0.0</c:formatCode>
                <c:ptCount val="24"/>
                <c:pt idx="0">
                  <c:v>0</c:v>
                </c:pt>
                <c:pt idx="1">
                  <c:v>-0.6875872031413266</c:v>
                </c:pt>
                <c:pt idx="2">
                  <c:v>0.42333119131221508</c:v>
                </c:pt>
                <c:pt idx="3">
                  <c:v>-2.184340223051251</c:v>
                </c:pt>
                <c:pt idx="4">
                  <c:v>0</c:v>
                </c:pt>
                <c:pt idx="5">
                  <c:v>-1.9050164942866488</c:v>
                </c:pt>
                <c:pt idx="6">
                  <c:v>0</c:v>
                </c:pt>
                <c:pt idx="7">
                  <c:v>0</c:v>
                </c:pt>
                <c:pt idx="8">
                  <c:v>-1.2857064291793563</c:v>
                </c:pt>
                <c:pt idx="9">
                  <c:v>-1.448531322376212</c:v>
                </c:pt>
                <c:pt idx="10">
                  <c:v>-0.98490007267137969</c:v>
                </c:pt>
                <c:pt idx="11">
                  <c:v>-1.8091861591473801</c:v>
                </c:pt>
                <c:pt idx="12">
                  <c:v>-1.7817196826630521</c:v>
                </c:pt>
                <c:pt idx="13">
                  <c:v>-1.7923143365932148</c:v>
                </c:pt>
                <c:pt idx="14">
                  <c:v>-3.9340424488552017</c:v>
                </c:pt>
                <c:pt idx="15">
                  <c:v>-2.5972493211545711</c:v>
                </c:pt>
                <c:pt idx="16">
                  <c:v>-3.5125152472748056</c:v>
                </c:pt>
                <c:pt idx="17">
                  <c:v>-4.1506635258237168</c:v>
                </c:pt>
                <c:pt idx="18">
                  <c:v>-10.078161131268359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29-4AE9-A3DA-C2E2E792CAA0}"/>
            </c:ext>
          </c:extLst>
        </c:ser>
        <c:ser>
          <c:idx val="8"/>
          <c:order val="1"/>
          <c:tx>
            <c:strRef>
              <c:f>Convergences!$I$9</c:f>
              <c:strCache>
                <c:ptCount val="1"/>
                <c:pt idx="0">
                  <c:v>BD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-0.55032499542306823</c:v>
                </c:pt>
                <c:pt idx="14">
                  <c:v>-3.8670542570287125</c:v>
                </c:pt>
                <c:pt idx="15">
                  <c:v>-3.4776104448113188</c:v>
                </c:pt>
                <c:pt idx="16">
                  <c:v>-3.633762471400459</c:v>
                </c:pt>
                <c:pt idx="17">
                  <c:v>-4.3412591427944847</c:v>
                </c:pt>
                <c:pt idx="18">
                  <c:v>-10.117232808183552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29-4AE9-A3DA-C2E2E792CAA0}"/>
            </c:ext>
          </c:extLst>
        </c:ser>
        <c:ser>
          <c:idx val="9"/>
          <c:order val="2"/>
          <c:tx>
            <c:strRef>
              <c:f>Convergences!$L$9</c:f>
              <c:strCache>
                <c:ptCount val="1"/>
                <c:pt idx="0">
                  <c:v>LB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-1.06094571839499</c:v>
                </c:pt>
                <c:pt idx="14">
                  <c:v>-1.9493629597500117</c:v>
                </c:pt>
                <c:pt idx="15">
                  <c:v>-2.256036282917151</c:v>
                </c:pt>
                <c:pt idx="16">
                  <c:v>-1.5574682212138313</c:v>
                </c:pt>
                <c:pt idx="17">
                  <c:v>-1.7813545513050144</c:v>
                </c:pt>
                <c:pt idx="18">
                  <c:v>-6.6207772179893709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29-4AE9-A3DA-C2E2E792CAA0}"/>
            </c:ext>
          </c:extLst>
        </c:ser>
        <c:ser>
          <c:idx val="10"/>
          <c:order val="3"/>
          <c:tx>
            <c:strRef>
              <c:f>Convergences!$F$9</c:f>
              <c:strCache>
                <c:ptCount val="1"/>
                <c:pt idx="0">
                  <c:v>HG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Convergences!$F$10:$F$200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4.1681278331484606E-2</c:v>
                </c:pt>
                <c:pt idx="2">
                  <c:v>1.0893534299838414</c:v>
                </c:pt>
                <c:pt idx="3">
                  <c:v>-1.4079958640813572</c:v>
                </c:pt>
                <c:pt idx="4">
                  <c:v>-0.78939336789174419</c:v>
                </c:pt>
                <c:pt idx="5">
                  <c:v>-0.67844615432388622</c:v>
                </c:pt>
                <c:pt idx="6">
                  <c:v>-0.55575293142950954</c:v>
                </c:pt>
                <c:pt idx="7">
                  <c:v>-0.54852352991030529</c:v>
                </c:pt>
                <c:pt idx="8">
                  <c:v>-0.55158026067392285</c:v>
                </c:pt>
                <c:pt idx="9">
                  <c:v>-0.39600253339688862</c:v>
                </c:pt>
                <c:pt idx="10">
                  <c:v>-0.59767320331527429</c:v>
                </c:pt>
                <c:pt idx="11">
                  <c:v>-0.68865324366562675</c:v>
                </c:pt>
                <c:pt idx="12">
                  <c:v>-0.97407633203294708</c:v>
                </c:pt>
                <c:pt idx="13">
                  <c:v>-0.91241484353288271</c:v>
                </c:pt>
                <c:pt idx="14">
                  <c:v>-2.0079744309509096</c:v>
                </c:pt>
                <c:pt idx="15">
                  <c:v>-1.3193355970648746</c:v>
                </c:pt>
                <c:pt idx="16">
                  <c:v>-1.8925305175723217</c:v>
                </c:pt>
                <c:pt idx="17">
                  <c:v>-1.9564543288024261</c:v>
                </c:pt>
                <c:pt idx="18">
                  <c:v>-4.7473928538694921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29-4AE9-A3DA-C2E2E792CAA0}"/>
            </c:ext>
          </c:extLst>
        </c:ser>
        <c:ser>
          <c:idx val="11"/>
          <c:order val="4"/>
          <c:tx>
            <c:strRef>
              <c:f>Convergences!$G$9</c:f>
              <c:strCache>
                <c:ptCount val="1"/>
                <c:pt idx="0">
                  <c:v>HD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-0.35378593813106818</c:v>
                </c:pt>
                <c:pt idx="2">
                  <c:v>0.48850446751114163</c:v>
                </c:pt>
                <c:pt idx="3">
                  <c:v>-0.56562303334217745</c:v>
                </c:pt>
                <c:pt idx="4">
                  <c:v>-0.86710373524567785</c:v>
                </c:pt>
                <c:pt idx="5">
                  <c:v>-0.47043836895843683</c:v>
                </c:pt>
                <c:pt idx="6">
                  <c:v>-0.53795492855712723</c:v>
                </c:pt>
                <c:pt idx="7">
                  <c:v>-0.77899284457583207</c:v>
                </c:pt>
                <c:pt idx="8">
                  <c:v>-0.44970007692768377</c:v>
                </c:pt>
                <c:pt idx="9">
                  <c:v>-0.26515424671558208</c:v>
                </c:pt>
                <c:pt idx="10">
                  <c:v>-0.52544247729668925</c:v>
                </c:pt>
                <c:pt idx="11">
                  <c:v>-0.78890239123063921</c:v>
                </c:pt>
                <c:pt idx="12">
                  <c:v>-0.84531465900905545</c:v>
                </c:pt>
                <c:pt idx="13">
                  <c:v>-0.80944181583397778</c:v>
                </c:pt>
                <c:pt idx="14">
                  <c:v>-1.3756426074431616</c:v>
                </c:pt>
                <c:pt idx="15">
                  <c:v>-1.0575520774360747</c:v>
                </c:pt>
                <c:pt idx="16">
                  <c:v>-1.33039769061849</c:v>
                </c:pt>
                <c:pt idx="17">
                  <c:v>-1.4596927821788341</c:v>
                </c:pt>
                <c:pt idx="18">
                  <c:v>-4.34402085967589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29-4AE9-A3DA-C2E2E792CAA0}"/>
            </c:ext>
          </c:extLst>
        </c:ser>
        <c:ser>
          <c:idx val="12"/>
          <c:order val="5"/>
          <c:tx>
            <c:strRef>
              <c:f>Convergences!$J$9</c:f>
              <c:strCache>
                <c:ptCount val="1"/>
                <c:pt idx="0">
                  <c:v>LH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Convergences!$J$10:$J$200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-0.55548392372450905</c:v>
                </c:pt>
                <c:pt idx="2">
                  <c:v>1.8941284287006255</c:v>
                </c:pt>
                <c:pt idx="3">
                  <c:v>-0.90973008514616538</c:v>
                </c:pt>
                <c:pt idx="4">
                  <c:v>2.0116984105200686E-2</c:v>
                </c:pt>
                <c:pt idx="5">
                  <c:v>0.32121961776976349</c:v>
                </c:pt>
                <c:pt idx="6">
                  <c:v>0.21355272861622865</c:v>
                </c:pt>
                <c:pt idx="7">
                  <c:v>0.30580711447925069</c:v>
                </c:pt>
                <c:pt idx="8">
                  <c:v>8.915197498371441E-2</c:v>
                </c:pt>
                <c:pt idx="9">
                  <c:v>0.35335708541772703</c:v>
                </c:pt>
                <c:pt idx="10">
                  <c:v>-0.18319486966777987</c:v>
                </c:pt>
                <c:pt idx="11">
                  <c:v>-0.61338150927703339</c:v>
                </c:pt>
                <c:pt idx="12">
                  <c:v>-0.60566620207058719</c:v>
                </c:pt>
                <c:pt idx="13">
                  <c:v>-0.57399261981050387</c:v>
                </c:pt>
                <c:pt idx="14">
                  <c:v>-1.1200164987501537</c:v>
                </c:pt>
                <c:pt idx="15">
                  <c:v>-1.1864739111073774</c:v>
                </c:pt>
                <c:pt idx="16">
                  <c:v>-1.1959581194149749</c:v>
                </c:pt>
                <c:pt idx="17">
                  <c:v>-1.0629816348570742</c:v>
                </c:pt>
                <c:pt idx="18">
                  <c:v>-5.2539884289775074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29-4AE9-A3DA-C2E2E792CAA0}"/>
            </c:ext>
          </c:extLst>
        </c:ser>
        <c:ser>
          <c:idx val="13"/>
          <c:order val="6"/>
          <c:tx>
            <c:strRef>
              <c:f>Convergences!$E$9</c:f>
              <c:strCache>
                <c:ptCount val="1"/>
                <c:pt idx="0">
                  <c:v>IG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-0.72642607564787909</c:v>
                </c:pt>
                <c:pt idx="2">
                  <c:v>0.22597955551884041</c:v>
                </c:pt>
                <c:pt idx="3">
                  <c:v>-2.5100065936678462</c:v>
                </c:pt>
                <c:pt idx="4">
                  <c:v>-2.0407230849288638</c:v>
                </c:pt>
                <c:pt idx="5">
                  <c:v>-1.6601529675330795</c:v>
                </c:pt>
                <c:pt idx="6">
                  <c:v>-1.3640502958294221</c:v>
                </c:pt>
                <c:pt idx="7">
                  <c:v>-1.921812671723977</c:v>
                </c:pt>
                <c:pt idx="8">
                  <c:v>-1.2922412379152703</c:v>
                </c:pt>
                <c:pt idx="9">
                  <c:v>-1.2862286238721765</c:v>
                </c:pt>
                <c:pt idx="10">
                  <c:v>-1.2533966227712412</c:v>
                </c:pt>
                <c:pt idx="11">
                  <c:v>-1.5984635920265333</c:v>
                </c:pt>
                <c:pt idx="12">
                  <c:v>-1.7314985903391644</c:v>
                </c:pt>
                <c:pt idx="13">
                  <c:v>-1.8504353716908284</c:v>
                </c:pt>
                <c:pt idx="14">
                  <c:v>-3.2543125378410309</c:v>
                </c:pt>
                <c:pt idx="15">
                  <c:v>-2.7166834630794057</c:v>
                </c:pt>
                <c:pt idx="16">
                  <c:v>-3.1280761236374133</c:v>
                </c:pt>
                <c:pt idx="17">
                  <c:v>-3.6133332380448024</c:v>
                </c:pt>
                <c:pt idx="18">
                  <c:v>-7.6362566917573815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29-4AE9-A3DA-C2E2E792CAA0}"/>
            </c:ext>
          </c:extLst>
        </c:ser>
        <c:ser>
          <c:idx val="14"/>
          <c:order val="7"/>
          <c:tx>
            <c:strRef>
              <c:f>Convergences!$K$9</c:f>
              <c:strCache>
                <c:ptCount val="1"/>
                <c:pt idx="0">
                  <c:v>LI</c:v>
                </c:pt>
              </c:strCache>
            </c:strRef>
          </c:tx>
          <c:spPr>
            <a:ln w="19050">
              <a:solidFill>
                <a:schemeClr val="accent3">
                  <a:lumMod val="75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Convergences!$K$10:$K$200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-1.1694788974576653</c:v>
                </c:pt>
                <c:pt idx="2">
                  <c:v>0.55717373936303716</c:v>
                </c:pt>
                <c:pt idx="3">
                  <c:v>-1.8359358082893351</c:v>
                </c:pt>
                <c:pt idx="4">
                  <c:v>-2.3777923393044631</c:v>
                </c:pt>
                <c:pt idx="5">
                  <c:v>-0.5082815523973494</c:v>
                </c:pt>
                <c:pt idx="6">
                  <c:v>-0.43106674885962093</c:v>
                </c:pt>
                <c:pt idx="7">
                  <c:v>-1.3077968468540035</c:v>
                </c:pt>
                <c:pt idx="8">
                  <c:v>-0.83127995997145376</c:v>
                </c:pt>
                <c:pt idx="9">
                  <c:v>-0.408813944096309</c:v>
                </c:pt>
                <c:pt idx="10">
                  <c:v>-1.3077967969294946</c:v>
                </c:pt>
                <c:pt idx="11">
                  <c:v>-0.95522586400242915</c:v>
                </c:pt>
                <c:pt idx="12">
                  <c:v>-1.3211182041494851</c:v>
                </c:pt>
                <c:pt idx="13">
                  <c:v>-1.6596579066447958</c:v>
                </c:pt>
                <c:pt idx="14">
                  <c:v>-2.1637118626642859</c:v>
                </c:pt>
                <c:pt idx="15">
                  <c:v>-2.7871166697703842</c:v>
                </c:pt>
                <c:pt idx="16">
                  <c:v>-1.8410300581575001</c:v>
                </c:pt>
                <c:pt idx="17">
                  <c:v>-2.2022093633005113</c:v>
                </c:pt>
                <c:pt idx="18">
                  <c:v>-5.3366119598159401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29-4AE9-A3DA-C2E2E792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470752"/>
        <c:axId val="510471144"/>
      </c:scatterChart>
      <c:valAx>
        <c:axId val="510470752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PM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0471144"/>
        <c:crossesAt val="0"/>
        <c:crossBetween val="midCat"/>
      </c:valAx>
      <c:valAx>
        <c:axId val="510471144"/>
        <c:scaling>
          <c:orientation val="minMax"/>
          <c:max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Convergence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0470752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Déplacements!$E$9</c:f>
              <c:strCache>
                <c:ptCount val="1"/>
                <c:pt idx="0">
                  <c:v>DZ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Déplacements!$E$10:$E$200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0.60000000000570708</c:v>
                </c:pt>
                <c:pt idx="2">
                  <c:v>-0.99999999999056399</c:v>
                </c:pt>
                <c:pt idx="3">
                  <c:v>-0.29999999999574811</c:v>
                </c:pt>
                <c:pt idx="5">
                  <c:v>0</c:v>
                </c:pt>
                <c:pt idx="8">
                  <c:v>-1.5999999999962711</c:v>
                </c:pt>
                <c:pt idx="9">
                  <c:v>-9.9999999989108801E-2</c:v>
                </c:pt>
                <c:pt idx="10">
                  <c:v>-1.4999999999929514</c:v>
                </c:pt>
                <c:pt idx="11">
                  <c:v>-0.39999999999906777</c:v>
                </c:pt>
                <c:pt idx="12">
                  <c:v>-0.59999999999149622</c:v>
                </c:pt>
                <c:pt idx="13">
                  <c:v>-0.69999999999481588</c:v>
                </c:pt>
                <c:pt idx="14">
                  <c:v>-0.39999999999906777</c:v>
                </c:pt>
                <c:pt idx="15">
                  <c:v>-0.69999999999481588</c:v>
                </c:pt>
                <c:pt idx="16">
                  <c:v>-0.90000000000145519</c:v>
                </c:pt>
                <c:pt idx="17">
                  <c:v>0.20000000000663931</c:v>
                </c:pt>
                <c:pt idx="18">
                  <c:v>0.39999999999906777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4-4095-80DF-714B0C0E1066}"/>
            </c:ext>
          </c:extLst>
        </c:ser>
        <c:ser>
          <c:idx val="8"/>
          <c:order val="1"/>
          <c:tx>
            <c:strRef>
              <c:f>Déplacements!$Q$9</c:f>
              <c:strCache>
                <c:ptCount val="1"/>
                <c:pt idx="0">
                  <c:v>DZ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Déplacements!$Q$10:$Q$200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0.29999999999574811</c:v>
                </c:pt>
                <c:pt idx="2">
                  <c:v>-1.0999999999938836</c:v>
                </c:pt>
                <c:pt idx="3">
                  <c:v>-2.3000000000052978</c:v>
                </c:pt>
                <c:pt idx="4">
                  <c:v>-1.8000000000029104</c:v>
                </c:pt>
                <c:pt idx="5">
                  <c:v>-2.2000000000019782</c:v>
                </c:pt>
                <c:pt idx="6">
                  <c:v>-2.4999999999977263</c:v>
                </c:pt>
                <c:pt idx="7">
                  <c:v>-2.7000000000043656</c:v>
                </c:pt>
                <c:pt idx="8">
                  <c:v>-3.2999999999958618</c:v>
                </c:pt>
                <c:pt idx="9">
                  <c:v>-1.6999999999995907</c:v>
                </c:pt>
                <c:pt idx="10">
                  <c:v>-2.7999999999934744</c:v>
                </c:pt>
                <c:pt idx="11">
                  <c:v>-2.2000000000019782</c:v>
                </c:pt>
                <c:pt idx="12">
                  <c:v>-2.6000000000010459</c:v>
                </c:pt>
                <c:pt idx="13">
                  <c:v>-2.7000000000043656</c:v>
                </c:pt>
                <c:pt idx="14">
                  <c:v>-4.199999999997317</c:v>
                </c:pt>
                <c:pt idx="15">
                  <c:v>-3.2999999999958618</c:v>
                </c:pt>
                <c:pt idx="16">
                  <c:v>-4.4999999999930651</c:v>
                </c:pt>
                <c:pt idx="17">
                  <c:v>-4.0999999999939973</c:v>
                </c:pt>
                <c:pt idx="18">
                  <c:v>-9.3999999999994088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C4-4095-80DF-714B0C0E1066}"/>
            </c:ext>
          </c:extLst>
        </c:ser>
        <c:ser>
          <c:idx val="9"/>
          <c:order val="2"/>
          <c:tx>
            <c:strRef>
              <c:f>Déplacements!$AC$9</c:f>
              <c:strCache>
                <c:ptCount val="1"/>
                <c:pt idx="0">
                  <c:v>DZ bas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Déplacements!$AC$10:$AC$200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0.70000000000902673</c:v>
                </c:pt>
                <c:pt idx="3">
                  <c:v>0.10000000000331966</c:v>
                </c:pt>
                <c:pt idx="4">
                  <c:v>0.90000000000145519</c:v>
                </c:pt>
                <c:pt idx="5">
                  <c:v>0.20000000000663931</c:v>
                </c:pt>
                <c:pt idx="6">
                  <c:v>0</c:v>
                </c:pt>
                <c:pt idx="7">
                  <c:v>0</c:v>
                </c:pt>
                <c:pt idx="8">
                  <c:v>-1.0999999999938836</c:v>
                </c:pt>
                <c:pt idx="9">
                  <c:v>0.40000000001327862</c:v>
                </c:pt>
                <c:pt idx="14">
                  <c:v>0</c:v>
                </c:pt>
                <c:pt idx="15">
                  <c:v>-9.9999999989108801E-2</c:v>
                </c:pt>
                <c:pt idx="16">
                  <c:v>-0.59999999999149622</c:v>
                </c:pt>
                <c:pt idx="17">
                  <c:v>0.60000000000570708</c:v>
                </c:pt>
                <c:pt idx="18">
                  <c:v>0.70000000000902673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C4-4095-80DF-714B0C0E1066}"/>
            </c:ext>
          </c:extLst>
        </c:ser>
        <c:ser>
          <c:idx val="10"/>
          <c:order val="3"/>
          <c:tx>
            <c:strRef>
              <c:f>Déplacements!$M$9</c:f>
              <c:strCache>
                <c:ptCount val="1"/>
                <c:pt idx="0">
                  <c:v>DZ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Déplacements!$M$10:$M$200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0.39999999999906777</c:v>
                </c:pt>
                <c:pt idx="2">
                  <c:v>-0.90000000000145519</c:v>
                </c:pt>
                <c:pt idx="3">
                  <c:v>-0.90000000000145519</c:v>
                </c:pt>
                <c:pt idx="4">
                  <c:v>0.39999999999906777</c:v>
                </c:pt>
                <c:pt idx="5">
                  <c:v>-0.39999999999906777</c:v>
                </c:pt>
                <c:pt idx="6">
                  <c:v>-0.70000000000902673</c:v>
                </c:pt>
                <c:pt idx="7">
                  <c:v>-0.70000000000902673</c:v>
                </c:pt>
                <c:pt idx="8">
                  <c:v>-1.8000000000029104</c:v>
                </c:pt>
                <c:pt idx="9">
                  <c:v>-0.20000000000663931</c:v>
                </c:pt>
                <c:pt idx="10">
                  <c:v>-1.5000000000071623</c:v>
                </c:pt>
                <c:pt idx="11">
                  <c:v>-1.1000000000080945</c:v>
                </c:pt>
                <c:pt idx="12">
                  <c:v>-0.70000000000902673</c:v>
                </c:pt>
                <c:pt idx="13">
                  <c:v>-1.0000000000047748</c:v>
                </c:pt>
                <c:pt idx="14">
                  <c:v>-1.1000000000080945</c:v>
                </c:pt>
                <c:pt idx="15">
                  <c:v>-1.5999999999962711</c:v>
                </c:pt>
                <c:pt idx="16">
                  <c:v>-1.5999999999962711</c:v>
                </c:pt>
                <c:pt idx="17">
                  <c:v>-0.90000000000145519</c:v>
                </c:pt>
                <c:pt idx="18">
                  <c:v>-3.2999999999958618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4-4095-80DF-714B0C0E1066}"/>
            </c:ext>
          </c:extLst>
        </c:ser>
        <c:ser>
          <c:idx val="11"/>
          <c:order val="4"/>
          <c:tx>
            <c:strRef>
              <c:f>Déplacements!$U$9</c:f>
              <c:strCache>
                <c:ptCount val="1"/>
                <c:pt idx="0">
                  <c:v>DZ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Déplacements!$U$10:$U$200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-9.9999999989108801E-2</c:v>
                </c:pt>
                <c:pt idx="2">
                  <c:v>-0.89999999998724434</c:v>
                </c:pt>
                <c:pt idx="3">
                  <c:v>-0.99999999999056399</c:v>
                </c:pt>
                <c:pt idx="4">
                  <c:v>0</c:v>
                </c:pt>
                <c:pt idx="5">
                  <c:v>-0.59999999999149622</c:v>
                </c:pt>
                <c:pt idx="6">
                  <c:v>-1.1999999999972033</c:v>
                </c:pt>
                <c:pt idx="7">
                  <c:v>-0.89999999998724434</c:v>
                </c:pt>
                <c:pt idx="8">
                  <c:v>-2.1999999999877673</c:v>
                </c:pt>
                <c:pt idx="9">
                  <c:v>-0.79999999999813554</c:v>
                </c:pt>
                <c:pt idx="10">
                  <c:v>-1.7999999999886995</c:v>
                </c:pt>
                <c:pt idx="11">
                  <c:v>-1.0999999999938836</c:v>
                </c:pt>
                <c:pt idx="12">
                  <c:v>-1.3999999999896318</c:v>
                </c:pt>
                <c:pt idx="13">
                  <c:v>-1.4999999999929514</c:v>
                </c:pt>
                <c:pt idx="14">
                  <c:v>-1.6999999999995907</c:v>
                </c:pt>
                <c:pt idx="15">
                  <c:v>-1.8999999999920192</c:v>
                </c:pt>
                <c:pt idx="16">
                  <c:v>-2.299999999991087</c:v>
                </c:pt>
                <c:pt idx="17">
                  <c:v>-1.4999999999929514</c:v>
                </c:pt>
                <c:pt idx="18">
                  <c:v>-5.0999999999987722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C4-4095-80DF-714B0C0E1066}"/>
            </c:ext>
          </c:extLst>
        </c:ser>
        <c:ser>
          <c:idx val="12"/>
          <c:order val="5"/>
          <c:tx>
            <c:strRef>
              <c:f>Déplacements!$I$9</c:f>
              <c:strCache>
                <c:ptCount val="1"/>
                <c:pt idx="0">
                  <c:v>DZ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Déplacements!$I$10:$I$200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0.59999999999149622</c:v>
                </c:pt>
                <c:pt idx="2">
                  <c:v>-0.50000000000238742</c:v>
                </c:pt>
                <c:pt idx="3">
                  <c:v>-0.10000000000331966</c:v>
                </c:pt>
                <c:pt idx="4">
                  <c:v>0.89999999998724434</c:v>
                </c:pt>
                <c:pt idx="5">
                  <c:v>9.9999999989108801E-2</c:v>
                </c:pt>
                <c:pt idx="6">
                  <c:v>-0.10000000000331966</c:v>
                </c:pt>
                <c:pt idx="7">
                  <c:v>-0.40000000001327862</c:v>
                </c:pt>
                <c:pt idx="8">
                  <c:v>-1.2000000000114142</c:v>
                </c:pt>
                <c:pt idx="9">
                  <c:v>0.19999999999242846</c:v>
                </c:pt>
                <c:pt idx="10">
                  <c:v>-1.2000000000114142</c:v>
                </c:pt>
                <c:pt idx="11">
                  <c:v>-0.20000000000663931</c:v>
                </c:pt>
                <c:pt idx="12">
                  <c:v>-0.30000000000995897</c:v>
                </c:pt>
                <c:pt idx="13">
                  <c:v>-0.40000000001327862</c:v>
                </c:pt>
                <c:pt idx="14">
                  <c:v>-0.30000000000995897</c:v>
                </c:pt>
                <c:pt idx="15">
                  <c:v>-0.50000000000238742</c:v>
                </c:pt>
                <c:pt idx="16">
                  <c:v>-0.90000000000145519</c:v>
                </c:pt>
                <c:pt idx="17">
                  <c:v>9.9999999989108801E-2</c:v>
                </c:pt>
                <c:pt idx="18">
                  <c:v>-0.60000000000570708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C4-4095-80DF-714B0C0E1066}"/>
            </c:ext>
          </c:extLst>
        </c:ser>
        <c:ser>
          <c:idx val="13"/>
          <c:order val="6"/>
          <c:tx>
            <c:strRef>
              <c:f>Déplacements!$Y$9</c:f>
              <c:strCache>
                <c:ptCount val="1"/>
                <c:pt idx="0">
                  <c:v>DZ inter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Déplacements!$Y$10:$Y$200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0.39999999999906777</c:v>
                </c:pt>
                <c:pt idx="2">
                  <c:v>-0.30000000000995897</c:v>
                </c:pt>
                <c:pt idx="3">
                  <c:v>-0.10000000000331966</c:v>
                </c:pt>
                <c:pt idx="4">
                  <c:v>0.79999999999813554</c:v>
                </c:pt>
                <c:pt idx="5">
                  <c:v>9.9999999989108801E-2</c:v>
                </c:pt>
                <c:pt idx="6">
                  <c:v>-0.39999999999906777</c:v>
                </c:pt>
                <c:pt idx="7">
                  <c:v>-0.30000000000995897</c:v>
                </c:pt>
                <c:pt idx="8">
                  <c:v>-1.1999999999972033</c:v>
                </c:pt>
                <c:pt idx="9">
                  <c:v>0.19999999999242846</c:v>
                </c:pt>
                <c:pt idx="10">
                  <c:v>-1.1000000000080945</c:v>
                </c:pt>
                <c:pt idx="11">
                  <c:v>-0.30000000000995897</c:v>
                </c:pt>
                <c:pt idx="12">
                  <c:v>-0.39999999999906777</c:v>
                </c:pt>
                <c:pt idx="13">
                  <c:v>-0.50000000000238742</c:v>
                </c:pt>
                <c:pt idx="14">
                  <c:v>-0.20000000000663931</c:v>
                </c:pt>
                <c:pt idx="15">
                  <c:v>-0.30000000000995897</c:v>
                </c:pt>
                <c:pt idx="16">
                  <c:v>-0.60000000000570708</c:v>
                </c:pt>
                <c:pt idx="17">
                  <c:v>0.29999999999574811</c:v>
                </c:pt>
                <c:pt idx="18">
                  <c:v>-0.39999999999906777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C4-4095-80DF-714B0C0E1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471536"/>
        <c:axId val="510471928"/>
      </c:scatterChart>
      <c:valAx>
        <c:axId val="510471536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0471928"/>
        <c:crossesAt val="0"/>
        <c:crossBetween val="midCat"/>
      </c:valAx>
      <c:valAx>
        <c:axId val="510471928"/>
        <c:scaling>
          <c:orientation val="minMax"/>
          <c:max val="5"/>
          <c:min val="-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Déplacement Dz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0471536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Déplacements!$C$9</c:f>
              <c:strCache>
                <c:ptCount val="1"/>
                <c:pt idx="0">
                  <c:v>DPM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Déplacements!$C$10:$C$200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-1.5886340417239353</c:v>
                </c:pt>
                <c:pt idx="2">
                  <c:v>-1.1481120458824989</c:v>
                </c:pt>
                <c:pt idx="3">
                  <c:v>-1.4439684424019106</c:v>
                </c:pt>
                <c:pt idx="5">
                  <c:v>-0.96075492621139347</c:v>
                </c:pt>
                <c:pt idx="8">
                  <c:v>-0.44747358487029487</c:v>
                </c:pt>
                <c:pt idx="9">
                  <c:v>-1.4858072788683785</c:v>
                </c:pt>
                <c:pt idx="10">
                  <c:v>-1.618701768450137</c:v>
                </c:pt>
                <c:pt idx="11">
                  <c:v>-1.0688276079804382</c:v>
                </c:pt>
                <c:pt idx="12">
                  <c:v>-1.3045488604461752</c:v>
                </c:pt>
                <c:pt idx="13">
                  <c:v>-1.2561849315773088</c:v>
                </c:pt>
                <c:pt idx="14">
                  <c:v>-1.7694660689926422</c:v>
                </c:pt>
                <c:pt idx="15">
                  <c:v>-2.1742481335138564</c:v>
                </c:pt>
                <c:pt idx="16">
                  <c:v>-2.0474525490499218</c:v>
                </c:pt>
                <c:pt idx="17">
                  <c:v>-1.8117312966410282</c:v>
                </c:pt>
                <c:pt idx="18">
                  <c:v>-1.5093496038218746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B-41EE-8244-CAEBF21365BA}"/>
            </c:ext>
          </c:extLst>
        </c:ser>
        <c:ser>
          <c:idx val="8"/>
          <c:order val="1"/>
          <c:tx>
            <c:strRef>
              <c:f>Déplacements!$O$9</c:f>
              <c:strCache>
                <c:ptCount val="1"/>
                <c:pt idx="0">
                  <c:v>DPM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Déplacements!$O$10:$O$200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0.27188757491103388</c:v>
                </c:pt>
                <c:pt idx="2">
                  <c:v>2.3981981707095201</c:v>
                </c:pt>
                <c:pt idx="3">
                  <c:v>2.2892725027077176</c:v>
                </c:pt>
                <c:pt idx="4">
                  <c:v>2.1210645713551912</c:v>
                </c:pt>
                <c:pt idx="5">
                  <c:v>2.343735336694408</c:v>
                </c:pt>
                <c:pt idx="6">
                  <c:v>2.5493889679069071</c:v>
                </c:pt>
                <c:pt idx="7">
                  <c:v>3.1232317389822128</c:v>
                </c:pt>
                <c:pt idx="8">
                  <c:v>2.6879557604502224</c:v>
                </c:pt>
                <c:pt idx="9">
                  <c:v>1.2810064299344504</c:v>
                </c:pt>
                <c:pt idx="10">
                  <c:v>0.97905133222297991</c:v>
                </c:pt>
                <c:pt idx="11">
                  <c:v>1.9576761748396621</c:v>
                </c:pt>
                <c:pt idx="12">
                  <c:v>2.1328357865968428</c:v>
                </c:pt>
                <c:pt idx="13">
                  <c:v>1.6435232668072786</c:v>
                </c:pt>
                <c:pt idx="14">
                  <c:v>1.4561661471645948</c:v>
                </c:pt>
                <c:pt idx="15">
                  <c:v>0.75552768615239074</c:v>
                </c:pt>
                <c:pt idx="16">
                  <c:v>1.6374245656152198</c:v>
                </c:pt>
                <c:pt idx="17">
                  <c:v>1.287105335080696</c:v>
                </c:pt>
                <c:pt idx="18">
                  <c:v>2.1446070018100727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4B-41EE-8244-CAEBF21365BA}"/>
            </c:ext>
          </c:extLst>
        </c:ser>
        <c:ser>
          <c:idx val="9"/>
          <c:order val="2"/>
          <c:tx>
            <c:strRef>
              <c:f>Déplacements!$AA$9</c:f>
              <c:strCache>
                <c:ptCount val="1"/>
                <c:pt idx="0">
                  <c:v>DPM bas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Déplacements!$AA$10:$AA$200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-0.54377525529503146</c:v>
                </c:pt>
                <c:pt idx="3">
                  <c:v>-1.8722804242088387E-2</c:v>
                </c:pt>
                <c:pt idx="4">
                  <c:v>-1.1476856547290026</c:v>
                </c:pt>
                <c:pt idx="5">
                  <c:v>0.41655317420463689</c:v>
                </c:pt>
                <c:pt idx="6">
                  <c:v>0.6161081041966554</c:v>
                </c:pt>
                <c:pt idx="7">
                  <c:v>1.4557397560110985</c:v>
                </c:pt>
                <c:pt idx="8">
                  <c:v>1.2923512540510274</c:v>
                </c:pt>
                <c:pt idx="9">
                  <c:v>0.53767644860158725</c:v>
                </c:pt>
                <c:pt idx="14">
                  <c:v>-0.97252603589481623</c:v>
                </c:pt>
                <c:pt idx="15">
                  <c:v>-0.13289448955333683</c:v>
                </c:pt>
                <c:pt idx="16">
                  <c:v>-0.88189687943440731</c:v>
                </c:pt>
                <c:pt idx="17">
                  <c:v>-0.65227432827441589</c:v>
                </c:pt>
                <c:pt idx="18">
                  <c:v>-7.9284437873639035E-2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4B-41EE-8244-CAEBF21365BA}"/>
            </c:ext>
          </c:extLst>
        </c:ser>
        <c:ser>
          <c:idx val="10"/>
          <c:order val="3"/>
          <c:tx>
            <c:strRef>
              <c:f>Déplacements!$K$9</c:f>
              <c:strCache>
                <c:ptCount val="1"/>
                <c:pt idx="0">
                  <c:v>DPM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Déplacements!$K$10:$K$200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-1.3411416795463538</c:v>
                </c:pt>
                <c:pt idx="2">
                  <c:v>-0.25401756005294374</c:v>
                </c:pt>
                <c:pt idx="3">
                  <c:v>-0.90629209219628137</c:v>
                </c:pt>
                <c:pt idx="4">
                  <c:v>-2.0413536439036761</c:v>
                </c:pt>
                <c:pt idx="5">
                  <c:v>-0.29628278764448623</c:v>
                </c:pt>
                <c:pt idx="6">
                  <c:v>-0.13899319083066075</c:v>
                </c:pt>
                <c:pt idx="7">
                  <c:v>0.4771148149700366</c:v>
                </c:pt>
                <c:pt idx="8">
                  <c:v>0.49498482979970504</c:v>
                </c:pt>
                <c:pt idx="9">
                  <c:v>-1.2744812391929372</c:v>
                </c:pt>
                <c:pt idx="10">
                  <c:v>-1.1655556695870928</c:v>
                </c:pt>
                <c:pt idx="11">
                  <c:v>-0.27146118378595929</c:v>
                </c:pt>
                <c:pt idx="12">
                  <c:v>-0.85750166670095496</c:v>
                </c:pt>
                <c:pt idx="13">
                  <c:v>-0.36209044574775362</c:v>
                </c:pt>
                <c:pt idx="14">
                  <c:v>-1.3829804105114363</c:v>
                </c:pt>
                <c:pt idx="15">
                  <c:v>-1.0143647740221695</c:v>
                </c:pt>
                <c:pt idx="16">
                  <c:v>-1.2923512540510274</c:v>
                </c:pt>
                <c:pt idx="17">
                  <c:v>-1.2862524544345888</c:v>
                </c:pt>
                <c:pt idx="18">
                  <c:v>-1.4975784940816084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4B-41EE-8244-CAEBF21365BA}"/>
            </c:ext>
          </c:extLst>
        </c:ser>
        <c:ser>
          <c:idx val="11"/>
          <c:order val="4"/>
          <c:tx>
            <c:strRef>
              <c:f>Déplacements!$S$9</c:f>
              <c:strCache>
                <c:ptCount val="1"/>
                <c:pt idx="0">
                  <c:v>DPM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Déplacements!$S$10:$S$200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-0.86402686457631717</c:v>
                </c:pt>
                <c:pt idx="2">
                  <c:v>-0.58604048291499566</c:v>
                </c:pt>
                <c:pt idx="3">
                  <c:v>-0.48364011121293515</c:v>
                </c:pt>
                <c:pt idx="4">
                  <c:v>-7.1906359295326183E-2</c:v>
                </c:pt>
                <c:pt idx="5">
                  <c:v>-0.55597286166175763</c:v>
                </c:pt>
                <c:pt idx="6">
                  <c:v>9.0629156460408922E-2</c:v>
                </c:pt>
                <c:pt idx="7">
                  <c:v>0.66447203303710012</c:v>
                </c:pt>
                <c:pt idx="8">
                  <c:v>0.45271960220816254</c:v>
                </c:pt>
                <c:pt idx="9">
                  <c:v>-1.2200185035737832</c:v>
                </c:pt>
                <c:pt idx="10">
                  <c:v>-1.0810252143471644</c:v>
                </c:pt>
                <c:pt idx="11">
                  <c:v>-0.64617562699709197</c:v>
                </c:pt>
                <c:pt idx="12">
                  <c:v>-0.24749246765054522</c:v>
                </c:pt>
                <c:pt idx="13">
                  <c:v>-0.64617562699709197</c:v>
                </c:pt>
                <c:pt idx="14">
                  <c:v>-1.413474528419556</c:v>
                </c:pt>
                <c:pt idx="15">
                  <c:v>-1.673164496935442</c:v>
                </c:pt>
                <c:pt idx="16">
                  <c:v>-1.7276272325261743</c:v>
                </c:pt>
                <c:pt idx="17">
                  <c:v>-1.673164496935442</c:v>
                </c:pt>
                <c:pt idx="18">
                  <c:v>-1.1485384369791518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4B-41EE-8244-CAEBF21365BA}"/>
            </c:ext>
          </c:extLst>
        </c:ser>
        <c:ser>
          <c:idx val="12"/>
          <c:order val="5"/>
          <c:tx>
            <c:strRef>
              <c:f>Déplacements!$G$9</c:f>
              <c:strCache>
                <c:ptCount val="1"/>
                <c:pt idx="0">
                  <c:v>DPM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Déplacements!$G$10:$G$200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-1.2744813375604735</c:v>
                </c:pt>
                <c:pt idx="2">
                  <c:v>-0.52590524043694131</c:v>
                </c:pt>
                <c:pt idx="3">
                  <c:v>-1.0269888699099283</c:v>
                </c:pt>
                <c:pt idx="4">
                  <c:v>-1.8056323914663608</c:v>
                </c:pt>
                <c:pt idx="5">
                  <c:v>-0.51370763407021514</c:v>
                </c:pt>
                <c:pt idx="6">
                  <c:v>-0.85792805782602954</c:v>
                </c:pt>
                <c:pt idx="7">
                  <c:v>0.76729890142246404</c:v>
                </c:pt>
                <c:pt idx="8">
                  <c:v>-0.13332088070683312</c:v>
                </c:pt>
                <c:pt idx="9">
                  <c:v>-0.95422962988322979</c:v>
                </c:pt>
                <c:pt idx="10">
                  <c:v>-1.0265624787280103</c:v>
                </c:pt>
                <c:pt idx="11">
                  <c:v>-0.98429725113646782</c:v>
                </c:pt>
                <c:pt idx="12">
                  <c:v>-0.99039595235694833</c:v>
                </c:pt>
                <c:pt idx="13">
                  <c:v>-0.44662080253488057</c:v>
                </c:pt>
                <c:pt idx="14">
                  <c:v>-1.5158749000647731</c:v>
                </c:pt>
                <c:pt idx="15">
                  <c:v>-1.2256908136691891</c:v>
                </c:pt>
                <c:pt idx="16">
                  <c:v>-1.6004052569087435</c:v>
                </c:pt>
                <c:pt idx="17">
                  <c:v>-1.2317897187585913</c:v>
                </c:pt>
                <c:pt idx="18">
                  <c:v>-1.5459424229220531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4B-41EE-8244-CAEBF21365BA}"/>
            </c:ext>
          </c:extLst>
        </c:ser>
        <c:ser>
          <c:idx val="13"/>
          <c:order val="6"/>
          <c:tx>
            <c:strRef>
              <c:f>Déplacements!$W$9</c:f>
              <c:strCache>
                <c:ptCount val="1"/>
                <c:pt idx="0">
                  <c:v>DPM inter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Déplacements!$W$10:$W$200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-0.94855721434328188</c:v>
                </c:pt>
                <c:pt idx="2">
                  <c:v>0.24139356253272126</c:v>
                </c:pt>
                <c:pt idx="3">
                  <c:v>-0.94288490421945426</c:v>
                </c:pt>
                <c:pt idx="4">
                  <c:v>-1.4679372569332827</c:v>
                </c:pt>
                <c:pt idx="5">
                  <c:v>0.2775599904794035</c:v>
                </c:pt>
                <c:pt idx="6">
                  <c:v>0.56164517178558526</c:v>
                </c:pt>
                <c:pt idx="7">
                  <c:v>1.2683824324426496</c:v>
                </c:pt>
                <c:pt idx="8">
                  <c:v>1.1411603584292607</c:v>
                </c:pt>
                <c:pt idx="9">
                  <c:v>-0.65227442667037394</c:v>
                </c:pt>
                <c:pt idx="10">
                  <c:v>-0.52547884223486108</c:v>
                </c:pt>
                <c:pt idx="11">
                  <c:v>-0.20522723295357537</c:v>
                </c:pt>
                <c:pt idx="12">
                  <c:v>0.18125841842220325</c:v>
                </c:pt>
                <c:pt idx="13">
                  <c:v>-0.22352364607058917</c:v>
                </c:pt>
                <c:pt idx="14">
                  <c:v>-0.72503367377407812</c:v>
                </c:pt>
                <c:pt idx="15">
                  <c:v>-0.58604048297183908</c:v>
                </c:pt>
                <c:pt idx="16">
                  <c:v>-1.2927777436004817</c:v>
                </c:pt>
                <c:pt idx="17">
                  <c:v>-0.75510129502731616</c:v>
                </c:pt>
                <c:pt idx="18">
                  <c:v>-0.93111368900622438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4B-41EE-8244-CAEBF213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21528"/>
        <c:axId val="512421920"/>
      </c:scatterChart>
      <c:valAx>
        <c:axId val="512421528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2421920"/>
        <c:crossesAt val="0"/>
        <c:crossBetween val="midCat"/>
      </c:valAx>
      <c:valAx>
        <c:axId val="512421920"/>
        <c:scaling>
          <c:orientation val="minMax"/>
          <c:max val="5"/>
          <c:min val="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Déplacement en</a:t>
                </a:r>
                <a:r>
                  <a:rPr lang="fr-FR" sz="900" b="1" baseline="0"/>
                  <a:t> PM [mm]</a:t>
                </a:r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2421528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7"/>
          <c:order val="0"/>
          <c:tx>
            <c:strRef>
              <c:f>Déplacements!$D$9</c:f>
              <c:strCache>
                <c:ptCount val="1"/>
                <c:pt idx="0">
                  <c:v>DH bas gauche</c:v>
                </c:pt>
              </c:strCache>
            </c:strRef>
          </c:tx>
          <c:spPr>
            <a:ln w="19050">
              <a:solidFill>
                <a:srgbClr val="00008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002060"/>
              </a:solidFill>
              <a:ln>
                <a:solidFill>
                  <a:srgbClr val="000080"/>
                </a:solidFill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Déplacements!$D$10:$D$200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0.80389161500304951</c:v>
                </c:pt>
                <c:pt idx="2">
                  <c:v>-1.0871241195062886</c:v>
                </c:pt>
                <c:pt idx="3">
                  <c:v>-0.45271970770821568</c:v>
                </c:pt>
                <c:pt idx="5">
                  <c:v>-0.77907001111343632</c:v>
                </c:pt>
                <c:pt idx="8">
                  <c:v>-1.6430969812124552</c:v>
                </c:pt>
                <c:pt idx="9">
                  <c:v>1.2932040363349273</c:v>
                </c:pt>
                <c:pt idx="10">
                  <c:v>1.3415680706665434</c:v>
                </c:pt>
                <c:pt idx="11">
                  <c:v>1.8186828293278445</c:v>
                </c:pt>
                <c:pt idx="12">
                  <c:v>1.3777344423653304</c:v>
                </c:pt>
                <c:pt idx="13">
                  <c:v>1.5106288827420045</c:v>
                </c:pt>
                <c:pt idx="14">
                  <c:v>2.3746556910149152</c:v>
                </c:pt>
                <c:pt idx="15">
                  <c:v>2.2962241409323347</c:v>
                </c:pt>
                <c:pt idx="16">
                  <c:v>2.0243365660381762</c:v>
                </c:pt>
                <c:pt idx="17">
                  <c:v>2.4652849529993581</c:v>
                </c:pt>
                <c:pt idx="18">
                  <c:v>3.7096985638207514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A-4272-AB78-C8E5A3520320}"/>
            </c:ext>
          </c:extLst>
        </c:ser>
        <c:ser>
          <c:idx val="8"/>
          <c:order val="1"/>
          <c:tx>
            <c:strRef>
              <c:f>Déplacements!$P$9</c:f>
              <c:strCache>
                <c:ptCount val="1"/>
                <c:pt idx="0">
                  <c:v>DH centre haut</c:v>
                </c:pt>
              </c:strCache>
            </c:strRef>
          </c:tx>
          <c:spPr>
            <a:ln w="1905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66CC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Déplacements!$P$10:$P$200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0.12679558444439465</c:v>
                </c:pt>
                <c:pt idx="2">
                  <c:v>-0.6470285148041377</c:v>
                </c:pt>
                <c:pt idx="3">
                  <c:v>-1.3598644766920076</c:v>
                </c:pt>
                <c:pt idx="4">
                  <c:v>2.3132411132970043</c:v>
                </c:pt>
                <c:pt idx="5">
                  <c:v>-1.0034464957575651</c:v>
                </c:pt>
                <c:pt idx="6">
                  <c:v>-2.4821603889058075E-2</c:v>
                </c:pt>
                <c:pt idx="7">
                  <c:v>-0.3089069398842792</c:v>
                </c:pt>
                <c:pt idx="8">
                  <c:v>-1.5049566781685231</c:v>
                </c:pt>
                <c:pt idx="9">
                  <c:v>1.0387600359385019</c:v>
                </c:pt>
                <c:pt idx="10">
                  <c:v>1.4496407453568061</c:v>
                </c:pt>
                <c:pt idx="11">
                  <c:v>1.2439872196788881</c:v>
                </c:pt>
                <c:pt idx="12">
                  <c:v>1.1049938741659604</c:v>
                </c:pt>
                <c:pt idx="13">
                  <c:v>1.2078208480024166</c:v>
                </c:pt>
                <c:pt idx="14">
                  <c:v>0.89976673962943732</c:v>
                </c:pt>
                <c:pt idx="15">
                  <c:v>1.455739601301298</c:v>
                </c:pt>
                <c:pt idx="16">
                  <c:v>0.98429714565628768</c:v>
                </c:pt>
                <c:pt idx="17">
                  <c:v>1.2622835765130347</c:v>
                </c:pt>
                <c:pt idx="18">
                  <c:v>-0.10325336500249804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AA-4272-AB78-C8E5A3520320}"/>
            </c:ext>
          </c:extLst>
        </c:ser>
        <c:ser>
          <c:idx val="9"/>
          <c:order val="2"/>
          <c:tx>
            <c:strRef>
              <c:f>Déplacements!$AB$9</c:f>
              <c:strCache>
                <c:ptCount val="1"/>
                <c:pt idx="0">
                  <c:v>DH bas droit</c:v>
                </c:pt>
              </c:strCache>
            </c:strRef>
          </c:tx>
          <c:spPr>
            <a:ln w="19050">
              <a:solidFill>
                <a:srgbClr val="00FF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FF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Déplacements!$AB$10:$AB$200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-0.25359121808854468</c:v>
                </c:pt>
                <c:pt idx="3">
                  <c:v>-2.3258654765574427</c:v>
                </c:pt>
                <c:pt idx="4">
                  <c:v>0.56817036256973097</c:v>
                </c:pt>
                <c:pt idx="5">
                  <c:v>-1.129815738273976</c:v>
                </c:pt>
                <c:pt idx="6">
                  <c:v>-0.37471454876802923</c:v>
                </c:pt>
                <c:pt idx="7">
                  <c:v>-0.75552774245490895</c:v>
                </c:pt>
                <c:pt idx="8">
                  <c:v>-1.8247816852974275</c:v>
                </c:pt>
                <c:pt idx="9">
                  <c:v>3.006746653211323E-2</c:v>
                </c:pt>
                <c:pt idx="14">
                  <c:v>0.42917727723024157</c:v>
                </c:pt>
                <c:pt idx="15">
                  <c:v>4.8364034332948336E-2</c:v>
                </c:pt>
                <c:pt idx="16">
                  <c:v>0.47144245564911813</c:v>
                </c:pt>
                <c:pt idx="17">
                  <c:v>0.68886714028160156</c:v>
                </c:pt>
                <c:pt idx="18">
                  <c:v>-2.9058069488456795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AA-4272-AB78-C8E5A3520320}"/>
            </c:ext>
          </c:extLst>
        </c:ser>
        <c:ser>
          <c:idx val="10"/>
          <c:order val="3"/>
          <c:tx>
            <c:strRef>
              <c:f>Déplacements!$L$9</c:f>
              <c:strCache>
                <c:ptCount val="1"/>
                <c:pt idx="0">
                  <c:v>DH haut gauche</c:v>
                </c:pt>
              </c:strCache>
            </c:strRef>
          </c:tx>
          <c:spPr>
            <a:ln w="19050">
              <a:solidFill>
                <a:srgbClr val="66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66CCFF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Déplacements!$L$10:$L$200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3.6592713611671712E-2</c:v>
                </c:pt>
                <c:pt idx="2">
                  <c:v>-1.111519332269495</c:v>
                </c:pt>
                <c:pt idx="3">
                  <c:v>-0.42265203016222941</c:v>
                </c:pt>
                <c:pt idx="4">
                  <c:v>2.2478601065545334</c:v>
                </c:pt>
                <c:pt idx="5">
                  <c:v>-1.0208900702828316</c:v>
                </c:pt>
                <c:pt idx="6">
                  <c:v>-0.17515966802461591</c:v>
                </c:pt>
                <c:pt idx="7">
                  <c:v>-0.54987400575345902</c:v>
                </c:pt>
                <c:pt idx="8">
                  <c:v>-1.5345977535528021</c:v>
                </c:pt>
                <c:pt idx="9">
                  <c:v>0.84005793744612589</c:v>
                </c:pt>
                <c:pt idx="10">
                  <c:v>1.5528941103770677</c:v>
                </c:pt>
                <c:pt idx="11">
                  <c:v>1.528498897612085</c:v>
                </c:pt>
                <c:pt idx="12">
                  <c:v>1.3655369414893315</c:v>
                </c:pt>
                <c:pt idx="13">
                  <c:v>1.4862336699885681</c:v>
                </c:pt>
                <c:pt idx="14">
                  <c:v>1.7825165068385829</c:v>
                </c:pt>
                <c:pt idx="15">
                  <c:v>2.1751008102786074</c:v>
                </c:pt>
                <c:pt idx="16">
                  <c:v>1.8247816852792198</c:v>
                </c:pt>
                <c:pt idx="17">
                  <c:v>2.0483051766113647</c:v>
                </c:pt>
                <c:pt idx="18">
                  <c:v>2.5014512754721885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AA-4272-AB78-C8E5A3520320}"/>
            </c:ext>
          </c:extLst>
        </c:ser>
        <c:ser>
          <c:idx val="11"/>
          <c:order val="4"/>
          <c:tx>
            <c:strRef>
              <c:f>Déplacements!$T$9</c:f>
              <c:strCache>
                <c:ptCount val="1"/>
                <c:pt idx="0">
                  <c:v>DH haut droit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Déplacements!$T$10:$T$200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-0.51328129214445184</c:v>
                </c:pt>
                <c:pt idx="2">
                  <c:v>-0.16296195611920083</c:v>
                </c:pt>
                <c:pt idx="3">
                  <c:v>-1.3289440168762212</c:v>
                </c:pt>
                <c:pt idx="4">
                  <c:v>2.2836000379222732</c:v>
                </c:pt>
                <c:pt idx="5">
                  <c:v>-0.70063846100909544</c:v>
                </c:pt>
                <c:pt idx="6">
                  <c:v>4.2265178418876559E-2</c:v>
                </c:pt>
                <c:pt idx="7">
                  <c:v>-0.24182010839091106</c:v>
                </c:pt>
                <c:pt idx="8">
                  <c:v>-1.4439684915994455</c:v>
                </c:pt>
                <c:pt idx="9">
                  <c:v>1.196476129406765</c:v>
                </c:pt>
                <c:pt idx="10">
                  <c:v>1.3716355863979679</c:v>
                </c:pt>
                <c:pt idx="11">
                  <c:v>0.9123908426147409</c:v>
                </c:pt>
                <c:pt idx="12">
                  <c:v>0.76729885217874383</c:v>
                </c:pt>
                <c:pt idx="13">
                  <c:v>0.9123908426147409</c:v>
                </c:pt>
                <c:pt idx="14">
                  <c:v>0.66489848046957789</c:v>
                </c:pt>
                <c:pt idx="15">
                  <c:v>0.98515013894351355</c:v>
                </c:pt>
                <c:pt idx="16">
                  <c:v>0.6287319469784336</c:v>
                </c:pt>
                <c:pt idx="17">
                  <c:v>0.98515013894351355</c:v>
                </c:pt>
                <c:pt idx="18">
                  <c:v>-2.7424186015752028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AA-4272-AB78-C8E5A3520320}"/>
            </c:ext>
          </c:extLst>
        </c:ser>
        <c:ser>
          <c:idx val="12"/>
          <c:order val="5"/>
          <c:tx>
            <c:strRef>
              <c:f>Déplacements!$H$9</c:f>
              <c:strCache>
                <c:ptCount val="1"/>
                <c:pt idx="0">
                  <c:v>DH inter gauche</c:v>
                </c:pt>
              </c:strCache>
            </c:strRef>
          </c:tx>
          <c:spPr>
            <a:ln w="1905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Déplacements!$H$10:$H$200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0.84005814846310756</c:v>
                </c:pt>
                <c:pt idx="2">
                  <c:v>-1.2383149659322967</c:v>
                </c:pt>
                <c:pt idx="3">
                  <c:v>7.2759296285695996E-2</c:v>
                </c:pt>
                <c:pt idx="4">
                  <c:v>2.6888084935325907</c:v>
                </c:pt>
                <c:pt idx="5">
                  <c:v>-0.79126772298820924</c:v>
                </c:pt>
                <c:pt idx="6">
                  <c:v>-0.28975754060223124</c:v>
                </c:pt>
                <c:pt idx="7">
                  <c:v>0.24749236214205439</c:v>
                </c:pt>
                <c:pt idx="8">
                  <c:v>-1.6069304477204227</c:v>
                </c:pt>
                <c:pt idx="9">
                  <c:v>1.0997480114989244</c:v>
                </c:pt>
                <c:pt idx="10">
                  <c:v>1.7280537783728178</c:v>
                </c:pt>
                <c:pt idx="11">
                  <c:v>1.6374245163861545</c:v>
                </c:pt>
                <c:pt idx="12">
                  <c:v>1.4139008140281462</c:v>
                </c:pt>
                <c:pt idx="13">
                  <c:v>1.6674919829240409</c:v>
                </c:pt>
                <c:pt idx="14">
                  <c:v>1.8308805412061702</c:v>
                </c:pt>
                <c:pt idx="15">
                  <c:v>2.6282469091283289</c:v>
                </c:pt>
                <c:pt idx="16">
                  <c:v>2.0121388541296525</c:v>
                </c:pt>
                <c:pt idx="17">
                  <c:v>2.4047233685591252</c:v>
                </c:pt>
                <c:pt idx="18">
                  <c:v>2.3685568350924058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AA-4272-AB78-C8E5A3520320}"/>
            </c:ext>
          </c:extLst>
        </c:ser>
        <c:ser>
          <c:idx val="13"/>
          <c:order val="6"/>
          <c:tx>
            <c:strRef>
              <c:f>Déplacements!$X$9</c:f>
              <c:strCache>
                <c:ptCount val="1"/>
                <c:pt idx="0">
                  <c:v>DH inter droit</c:v>
                </c:pt>
              </c:strCache>
            </c:strRef>
          </c:tx>
          <c:spPr>
            <a:ln w="19050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969696"/>
              </a:solidFill>
              <a:ln>
                <a:noFill/>
              </a:ln>
            </c:spPr>
          </c:marker>
          <c:xVal>
            <c:numRef>
              <c:f>Convergences!$C$10:$C$200</c:f>
              <c:numCache>
                <c:formatCode>0.0</c:formatCode>
                <c:ptCount val="191"/>
                <c:pt idx="0">
                  <c:v>222.9</c:v>
                </c:pt>
                <c:pt idx="1">
                  <c:v>222.9</c:v>
                </c:pt>
                <c:pt idx="2">
                  <c:v>222.9</c:v>
                </c:pt>
                <c:pt idx="3">
                  <c:v>222.9</c:v>
                </c:pt>
                <c:pt idx="4">
                  <c:v>222.9</c:v>
                </c:pt>
                <c:pt idx="5">
                  <c:v>222.9</c:v>
                </c:pt>
                <c:pt idx="6">
                  <c:v>222.9</c:v>
                </c:pt>
                <c:pt idx="7">
                  <c:v>222.9</c:v>
                </c:pt>
                <c:pt idx="8">
                  <c:v>222.9</c:v>
                </c:pt>
                <c:pt idx="9">
                  <c:v>222.9</c:v>
                </c:pt>
                <c:pt idx="10">
                  <c:v>222.9</c:v>
                </c:pt>
                <c:pt idx="11">
                  <c:v>222.9</c:v>
                </c:pt>
                <c:pt idx="12">
                  <c:v>222.9</c:v>
                </c:pt>
                <c:pt idx="13">
                  <c:v>222.9</c:v>
                </c:pt>
                <c:pt idx="14">
                  <c:v>222.9</c:v>
                </c:pt>
                <c:pt idx="15">
                  <c:v>222.9</c:v>
                </c:pt>
                <c:pt idx="16">
                  <c:v>222.9</c:v>
                </c:pt>
                <c:pt idx="17">
                  <c:v>222.9</c:v>
                </c:pt>
                <c:pt idx="18">
                  <c:v>222.9</c:v>
                </c:pt>
              </c:numCache>
            </c:numRef>
          </c:xVal>
          <c:yVal>
            <c:numRef>
              <c:f>Déplacements!$X$10:$X$200</c:f>
              <c:numCache>
                <c:formatCode>\+\ 0.0;\-\ 0.0;\±\ 0.0</c:formatCode>
                <c:ptCount val="191"/>
                <c:pt idx="0">
                  <c:v>0</c:v>
                </c:pt>
                <c:pt idx="1">
                  <c:v>-0.33202271897447844</c:v>
                </c:pt>
                <c:pt idx="2">
                  <c:v>-0.99082239270931183</c:v>
                </c:pt>
                <c:pt idx="3">
                  <c:v>-1.7637934986947101</c:v>
                </c:pt>
                <c:pt idx="4">
                  <c:v>0.30848054876653208</c:v>
                </c:pt>
                <c:pt idx="5">
                  <c:v>-1.3049751460334491</c:v>
                </c:pt>
                <c:pt idx="6">
                  <c:v>-0.73113231866805961</c:v>
                </c:pt>
                <c:pt idx="7">
                  <c:v>-1.0635816890234295</c:v>
                </c:pt>
                <c:pt idx="8">
                  <c:v>-2.4469883851541141</c:v>
                </c:pt>
                <c:pt idx="9">
                  <c:v>0.68886735128970145</c:v>
                </c:pt>
                <c:pt idx="10">
                  <c:v>0.41697977640264838</c:v>
                </c:pt>
                <c:pt idx="11">
                  <c:v>0.67666985042880157</c:v>
                </c:pt>
                <c:pt idx="12">
                  <c:v>8.4530406064153851E-2</c:v>
                </c:pt>
                <c:pt idx="13">
                  <c:v>6.0988559527075381E-3</c:v>
                </c:pt>
                <c:pt idx="14">
                  <c:v>-0.33812162411095414</c:v>
                </c:pt>
                <c:pt idx="15">
                  <c:v>-0.16296195611076314</c:v>
                </c:pt>
                <c:pt idx="16">
                  <c:v>0.16948741421707325</c:v>
                </c:pt>
                <c:pt idx="17">
                  <c:v>0.19955488077894046</c:v>
                </c:pt>
                <c:pt idx="18">
                  <c:v>-2.9720407378164282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AA-4272-AB78-C8E5A3520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22704"/>
        <c:axId val="512423096"/>
      </c:scatterChart>
      <c:valAx>
        <c:axId val="512422704"/>
        <c:scaling>
          <c:orientation val="minMax"/>
          <c:min val="17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2423096"/>
        <c:crossesAt val="0"/>
        <c:crossBetween val="midCat"/>
      </c:valAx>
      <c:valAx>
        <c:axId val="512423096"/>
        <c:scaling>
          <c:orientation val="minMax"/>
          <c:max val="15"/>
          <c:min val="-1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fr-FR" sz="900" b="1"/>
                  <a:t>Déplacement en</a:t>
                </a:r>
                <a:r>
                  <a:rPr lang="fr-FR" sz="900" b="1" baseline="0"/>
                  <a:t> déport [mm]</a:t>
                </a:r>
                <a:endParaRPr lang="fr-FR" sz="900" b="1"/>
              </a:p>
            </c:rich>
          </c:tx>
          <c:overlay val="0"/>
        </c:title>
        <c:numFmt formatCode="\+\ 0.0;\-\ 0.0;\±\ 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51242270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478" footer="0.49212598450000478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95250</xdr:colOff>
      <xdr:row>1</xdr:row>
      <xdr:rowOff>38100</xdr:rowOff>
    </xdr:from>
    <xdr:to>
      <xdr:col>30</xdr:col>
      <xdr:colOff>314325</xdr:colOff>
      <xdr:row>2</xdr:row>
      <xdr:rowOff>76200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7345025" y="561975"/>
          <a:ext cx="219075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400050</xdr:colOff>
      <xdr:row>7</xdr:row>
      <xdr:rowOff>0</xdr:rowOff>
    </xdr:from>
    <xdr:to>
      <xdr:col>25</xdr:col>
      <xdr:colOff>0</xdr:colOff>
      <xdr:row>7</xdr:row>
      <xdr:rowOff>28575</xdr:rowOff>
    </xdr:to>
    <xdr:sp macro="" textlink="">
      <xdr:nvSpPr>
        <xdr:cNvPr id="1026" name="Freeform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/>
        </xdr:cNvSpPr>
      </xdr:nvSpPr>
      <xdr:spPr bwMode="auto">
        <a:xfrm>
          <a:off x="3771900" y="1724025"/>
          <a:ext cx="11134725" cy="28575"/>
        </a:xfrm>
        <a:custGeom>
          <a:avLst/>
          <a:gdLst>
            <a:gd name="T0" fmla="*/ 0 w 143"/>
            <a:gd name="T1" fmla="*/ 0 h 1"/>
            <a:gd name="T2" fmla="*/ 1142238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400050</xdr:colOff>
      <xdr:row>7</xdr:row>
      <xdr:rowOff>0</xdr:rowOff>
    </xdr:from>
    <xdr:to>
      <xdr:col>65</xdr:col>
      <xdr:colOff>0</xdr:colOff>
      <xdr:row>7</xdr:row>
      <xdr:rowOff>28575</xdr:rowOff>
    </xdr:to>
    <xdr:sp macro="" textlink="">
      <xdr:nvSpPr>
        <xdr:cNvPr id="1027" name="Freeform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/>
        </xdr:cNvSpPr>
      </xdr:nvSpPr>
      <xdr:spPr bwMode="auto">
        <a:xfrm>
          <a:off x="27098625" y="1724025"/>
          <a:ext cx="12801600" cy="28575"/>
        </a:xfrm>
        <a:custGeom>
          <a:avLst/>
          <a:gdLst>
            <a:gd name="T0" fmla="*/ 0 w 143"/>
            <a:gd name="T1" fmla="*/ 0 h 1"/>
            <a:gd name="T2" fmla="*/ 13144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67</xdr:col>
      <xdr:colOff>400050</xdr:colOff>
      <xdr:row>7</xdr:row>
      <xdr:rowOff>0</xdr:rowOff>
    </xdr:from>
    <xdr:to>
      <xdr:col>87</xdr:col>
      <xdr:colOff>0</xdr:colOff>
      <xdr:row>7</xdr:row>
      <xdr:rowOff>28575</xdr:rowOff>
    </xdr:to>
    <xdr:sp macro="" textlink="">
      <xdr:nvSpPr>
        <xdr:cNvPr id="1028" name="Freeform 5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/>
        </xdr:cNvSpPr>
      </xdr:nvSpPr>
      <xdr:spPr bwMode="auto">
        <a:xfrm>
          <a:off x="421767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89</xdr:col>
      <xdr:colOff>400050</xdr:colOff>
      <xdr:row>7</xdr:row>
      <xdr:rowOff>0</xdr:rowOff>
    </xdr:from>
    <xdr:to>
      <xdr:col>109</xdr:col>
      <xdr:colOff>0</xdr:colOff>
      <xdr:row>7</xdr:row>
      <xdr:rowOff>28575</xdr:rowOff>
    </xdr:to>
    <xdr:sp macro="" textlink="">
      <xdr:nvSpPr>
        <xdr:cNvPr id="1029" name="Freeform 6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/>
        </xdr:cNvSpPr>
      </xdr:nvSpPr>
      <xdr:spPr bwMode="auto">
        <a:xfrm>
          <a:off x="60007500" y="1724025"/>
          <a:ext cx="15201900" cy="28575"/>
        </a:xfrm>
        <a:custGeom>
          <a:avLst/>
          <a:gdLst>
            <a:gd name="T0" fmla="*/ 0 w 143"/>
            <a:gd name="T1" fmla="*/ 0 h 1"/>
            <a:gd name="T2" fmla="*/ 1559814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171450</xdr:colOff>
      <xdr:row>0</xdr:row>
      <xdr:rowOff>104775</xdr:rowOff>
    </xdr:from>
    <xdr:to>
      <xdr:col>3</xdr:col>
      <xdr:colOff>142875</xdr:colOff>
      <xdr:row>3</xdr:row>
      <xdr:rowOff>38100</xdr:rowOff>
    </xdr:to>
    <xdr:pic>
      <xdr:nvPicPr>
        <xdr:cNvPr id="1030" name="Image 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68037</xdr:colOff>
      <xdr:row>9</xdr:row>
      <xdr:rowOff>234044</xdr:rowOff>
    </xdr:from>
    <xdr:to>
      <xdr:col>16</xdr:col>
      <xdr:colOff>285751</xdr:colOff>
      <xdr:row>20</xdr:row>
      <xdr:rowOff>129687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17180" y="2315937"/>
          <a:ext cx="2544535" cy="2589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3</xdr:col>
      <xdr:colOff>28575</xdr:colOff>
      <xdr:row>3</xdr:row>
      <xdr:rowOff>161925</xdr:rowOff>
    </xdr:to>
    <xdr:pic>
      <xdr:nvPicPr>
        <xdr:cNvPr id="2049" name="Image 3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8100"/>
          <a:ext cx="17621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419100</xdr:colOff>
      <xdr:row>10</xdr:row>
      <xdr:rowOff>95250</xdr:rowOff>
    </xdr:from>
    <xdr:to>
      <xdr:col>17</xdr:col>
      <xdr:colOff>247650</xdr:colOff>
      <xdr:row>22</xdr:row>
      <xdr:rowOff>57150</xdr:rowOff>
    </xdr:to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5524500" y="2419350"/>
          <a:ext cx="2647950" cy="2933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29</xdr:col>
      <xdr:colOff>129266</xdr:colOff>
      <xdr:row>15</xdr:row>
      <xdr:rowOff>43542</xdr:rowOff>
    </xdr:from>
    <xdr:to>
      <xdr:col>35</xdr:col>
      <xdr:colOff>129266</xdr:colOff>
      <xdr:row>26</xdr:row>
      <xdr:rowOff>92527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0</xdr:colOff>
      <xdr:row>7</xdr:row>
      <xdr:rowOff>28575</xdr:rowOff>
    </xdr:to>
    <xdr:sp macro="" textlink="">
      <xdr:nvSpPr>
        <xdr:cNvPr id="3074" name="Freeform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/>
        </xdr:cNvSpPr>
      </xdr:nvSpPr>
      <xdr:spPr bwMode="auto">
        <a:xfrm>
          <a:off x="514350" y="1543050"/>
          <a:ext cx="0" cy="28575"/>
        </a:xfrm>
        <a:custGeom>
          <a:avLst/>
          <a:gdLst>
            <a:gd name="T0" fmla="*/ 0 w 143"/>
            <a:gd name="T1" fmla="*/ 0 h 1"/>
            <a:gd name="T2" fmla="*/ 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0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140278</xdr:colOff>
      <xdr:row>5</xdr:row>
      <xdr:rowOff>155863</xdr:rowOff>
    </xdr:from>
    <xdr:to>
      <xdr:col>27</xdr:col>
      <xdr:colOff>484909</xdr:colOff>
      <xdr:row>5</xdr:row>
      <xdr:rowOff>184438</xdr:rowOff>
    </xdr:to>
    <xdr:sp macro="" textlink="">
      <xdr:nvSpPr>
        <xdr:cNvPr id="3075" name="Freeform 4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/>
        </xdr:cNvSpPr>
      </xdr:nvSpPr>
      <xdr:spPr bwMode="auto">
        <a:xfrm>
          <a:off x="1404505" y="1316181"/>
          <a:ext cx="18961677" cy="28575"/>
        </a:xfrm>
        <a:custGeom>
          <a:avLst/>
          <a:gdLst>
            <a:gd name="T0" fmla="*/ 0 w 143"/>
            <a:gd name="T1" fmla="*/ 0 h 1"/>
            <a:gd name="T2" fmla="*/ 10477500 w 143"/>
            <a:gd name="T3" fmla="*/ 0 h 1"/>
            <a:gd name="T4" fmla="*/ 0 60000 65536"/>
            <a:gd name="T5" fmla="*/ 0 60000 65536"/>
            <a:gd name="T6" fmla="*/ 0 w 143"/>
            <a:gd name="T7" fmla="*/ 0 h 1"/>
            <a:gd name="T8" fmla="*/ 143 w 143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43" h="1">
              <a:moveTo>
                <a:pt x="0" y="0"/>
              </a:moveTo>
              <a:lnTo>
                <a:pt x="143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6" name="Text Box 5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2</xdr:row>
      <xdr:rowOff>76200</xdr:rowOff>
    </xdr:to>
    <xdr:sp macro="" textlink="">
      <xdr:nvSpPr>
        <xdr:cNvPr id="3077" name="Text Box 3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8" name="Text Box 32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 txBox="1">
          <a:spLocks noChangeArrowheads="1"/>
        </xdr:cNvSpPr>
      </xdr:nvSpPr>
      <xdr:spPr bwMode="auto">
        <a:xfrm>
          <a:off x="514350" y="3905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3</xdr:row>
      <xdr:rowOff>76200</xdr:rowOff>
    </xdr:to>
    <xdr:sp macro="" textlink="">
      <xdr:nvSpPr>
        <xdr:cNvPr id="3079" name="Text Box 33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228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38100</xdr:rowOff>
    </xdr:from>
    <xdr:to>
      <xdr:col>1</xdr:col>
      <xdr:colOff>0</xdr:colOff>
      <xdr:row>4</xdr:row>
      <xdr:rowOff>76200</xdr:rowOff>
    </xdr:to>
    <xdr:sp macro="" textlink="">
      <xdr:nvSpPr>
        <xdr:cNvPr id="3080" name="Text Box 34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 txBox="1">
          <a:spLocks noChangeArrowheads="1"/>
        </xdr:cNvSpPr>
      </xdr:nvSpPr>
      <xdr:spPr bwMode="auto">
        <a:xfrm>
          <a:off x="514350" y="590550"/>
          <a:ext cx="0" cy="4191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</xdr:row>
      <xdr:rowOff>38100</xdr:rowOff>
    </xdr:from>
    <xdr:to>
      <xdr:col>1</xdr:col>
      <xdr:colOff>0</xdr:colOff>
      <xdr:row>5</xdr:row>
      <xdr:rowOff>76200</xdr:rowOff>
    </xdr:to>
    <xdr:sp macro="" textlink="">
      <xdr:nvSpPr>
        <xdr:cNvPr id="3081" name="Text Box 35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 txBox="1">
          <a:spLocks noChangeArrowheads="1"/>
        </xdr:cNvSpPr>
      </xdr:nvSpPr>
      <xdr:spPr bwMode="auto">
        <a:xfrm>
          <a:off x="514350" y="971550"/>
          <a:ext cx="0" cy="266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569768</xdr:colOff>
      <xdr:row>3</xdr:row>
      <xdr:rowOff>95250</xdr:rowOff>
    </xdr:to>
    <xdr:pic>
      <xdr:nvPicPr>
        <xdr:cNvPr id="3082" name="Image 12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7625"/>
          <a:ext cx="200025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35</xdr:col>
      <xdr:colOff>13607</xdr:colOff>
      <xdr:row>8</xdr:row>
      <xdr:rowOff>340178</xdr:rowOff>
    </xdr:from>
    <xdr:to>
      <xdr:col>41</xdr:col>
      <xdr:colOff>689207</xdr:colOff>
      <xdr:row>17</xdr:row>
      <xdr:rowOff>116571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17</xdr:row>
      <xdr:rowOff>235323</xdr:rowOff>
    </xdr:from>
    <xdr:to>
      <xdr:col>41</xdr:col>
      <xdr:colOff>678321</xdr:colOff>
      <xdr:row>27</xdr:row>
      <xdr:rowOff>158993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0.4242</cdr:x>
      <cdr:y>0.45005</cdr:y>
    </cdr:from>
    <cdr:to>
      <cdr:x>0.90154</cdr:x>
      <cdr:y>0.72808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ZoneTexte 6"/>
            <cdr:cNvSpPr txBox="1"/>
          </cdr:nvSpPr>
          <cdr:spPr>
            <a:xfrm xmlns:a="http://schemas.openxmlformats.org/drawingml/2006/main">
              <a:off x="2290684" y="1620183"/>
              <a:ext cx="2577629" cy="100091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  <a:ln xmlns:a="http://schemas.openxmlformats.org/drawingml/2006/main">
              <a:solidFill>
                <a:srgbClr val="0070C0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000" baseline="0"/>
                <a:t> </a:t>
              </a:r>
              <a14:m>
                <m:oMath xmlns:m="http://schemas.openxmlformats.org/officeDocument/2006/math">
                  <m:r>
                    <a:rPr lang="fr-FR" sz="1000" b="0" i="1" baseline="0">
                      <a:latin typeface="Cambria Math" panose="02040503050406030204" pitchFamily="18" charset="0"/>
                    </a:rPr>
                    <m:t>𝐶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(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𝑡</m:t>
                  </m:r>
                  <m:r>
                    <a:rPr lang="fr-FR" sz="1000" b="0" i="1" baseline="0">
                      <a:latin typeface="Cambria Math" panose="02040503050406030204" pitchFamily="18" charset="0"/>
                    </a:rPr>
                    <m:t>) = </m:t>
                  </m:r>
                  <m:sSub>
                    <m:sSubPr>
                      <m:ctrlP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𝑇𝑜𝑡𝑎𝑙</m:t>
                      </m:r>
                    </m:sub>
                  </m:sSub>
                  <m:r>
                    <a:rPr lang="fr-FR" sz="10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× </m:t>
                  </m:r>
                  <m:d>
                    <m:dPr>
                      <m:begChr m:val="["/>
                      <m:endChr m:val="]"/>
                      <m:ctrlP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fr-FR" sz="10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1−</m:t>
                      </m:r>
                      <m:sSup>
                        <m:sSupPr>
                          <m:ctrlP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fr-FR" sz="1000" b="0" i="1" baseline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f>
                                <m:fPr>
                                  <m:ctrlP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fPr>
                                <m:num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num>
                                <m:den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𝑡</m:t>
                                  </m:r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+</m:t>
                                  </m:r>
                                  <m:r>
                                    <a:rPr lang="fr-FR" sz="1000" b="0" i="1" baseline="0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𝑇</m:t>
                                  </m:r>
                                </m:den>
                              </m:f>
                            </m:e>
                          </m:d>
                        </m:e>
                        <m:sup>
                          <m: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  <m:r>
                            <a:rPr lang="fr-FR" sz="1000" b="0" i="1" baseline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=0.3</m:t>
                          </m:r>
                        </m:sup>
                      </m:sSup>
                    </m:e>
                  </m:d>
                </m:oMath>
              </a14:m>
              <a:endParaRPr lang="fr-FR" sz="1000"/>
            </a:p>
            <a:p xmlns:a="http://schemas.openxmlformats.org/drawingml/2006/main">
              <a:r>
                <a:rPr lang="fr-FR" sz="1000" u="sng"/>
                <a:t>Résultats</a:t>
              </a:r>
              <a:r>
                <a:rPr lang="fr-FR" sz="1000" u="sng" baseline="0"/>
                <a:t> ajustement :</a:t>
              </a:r>
            </a:p>
            <a:p xmlns:a="http://schemas.openxmlformats.org/drawingml/2006/main">
              <a:r>
                <a:rPr lang="fr-FR" sz="10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Contrainte n = 0.3 (Cf littérature Argilites COx)</a:t>
              </a:r>
            </a:p>
            <a:p xmlns:a="http://schemas.openxmlformats.org/drawingml/2006/main">
              <a14:m>
                <m:oMath xmlns:m="http://schemas.openxmlformats.org/officeDocument/2006/math">
                  <m:sSub>
                    <m:sSubPr>
                      <m:ctrlP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𝐶</m:t>
                      </m:r>
                    </m:e>
                    <m:sub>
                      <m:r>
                        <a:rPr lang="fr-FR" sz="1000" b="0" i="1" baseline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𝑇𝑜𝑡𝑎𝑙</m:t>
                      </m:r>
                    </m:sub>
                  </m:sSub>
                </m:oMath>
              </a14:m>
              <a:r>
                <a:rPr lang="fr-FR" sz="1000"/>
                <a:t> = 63.3324 mm</a:t>
              </a:r>
            </a:p>
            <a:p xmlns:a="http://schemas.openxmlformats.org/drawingml/2006/main">
              <a:r>
                <a:rPr lang="fr-FR" sz="1000"/>
                <a:t>T =68.0053 j</a:t>
              </a:r>
            </a:p>
          </cdr:txBody>
        </cdr:sp>
      </mc:Choice>
      <mc:Fallback xmlns="">
        <cdr:sp macro="" textlink="">
          <cdr:nvSpPr>
            <cdr:cNvPr id="3" name="ZoneTexte 6"/>
            <cdr:cNvSpPr txBox="1"/>
          </cdr:nvSpPr>
          <cdr:spPr>
            <a:xfrm xmlns:a="http://schemas.openxmlformats.org/drawingml/2006/main">
              <a:off x="2290684" y="1620183"/>
              <a:ext cx="2577629" cy="1000915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  <a:ln xmlns:a="http://schemas.openxmlformats.org/drawingml/2006/main">
              <a:solidFill>
                <a:srgbClr val="0070C0"/>
              </a:solidFill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000" baseline="0"/>
                <a:t> </a:t>
              </a:r>
              <a:r>
                <a:rPr lang="fr-FR" sz="1000" b="0" i="0" baseline="0">
                  <a:latin typeface="Cambria Math" panose="02040503050406030204" pitchFamily="18" charset="0"/>
                </a:rPr>
                <a:t>𝐶(𝑡) </a:t>
              </a:r>
              <a:r>
                <a:rPr lang="fr-FR" sz="10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 𝐶_𝑇𝑜𝑡𝑎𝑙  × [1−</a:t>
              </a:r>
              <a:r>
                <a:rPr lang="fr-FR" sz="1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(𝑇/(𝑡+𝑇))</a:t>
              </a:r>
              <a:r>
                <a:rPr lang="fr-FR" sz="1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^(</a:t>
              </a:r>
              <a:r>
                <a:rPr lang="fr-FR" sz="10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𝑛=0.3) ]</a:t>
              </a:r>
              <a:endParaRPr lang="fr-FR" sz="1000"/>
            </a:p>
            <a:p xmlns:a="http://schemas.openxmlformats.org/drawingml/2006/main">
              <a:r>
                <a:rPr lang="fr-FR" sz="1000" u="sng"/>
                <a:t>Résultats</a:t>
              </a:r>
              <a:r>
                <a:rPr lang="fr-FR" sz="1000" u="sng" baseline="0"/>
                <a:t> ajustement :</a:t>
              </a:r>
            </a:p>
            <a:p xmlns:a="http://schemas.openxmlformats.org/drawingml/2006/main">
              <a:r>
                <a:rPr lang="fr-FR" sz="10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Contrainte n = 0.3 (Cf littérature Argilites COx)</a:t>
              </a:r>
            </a:p>
            <a:p xmlns:a="http://schemas.openxmlformats.org/drawingml/2006/main">
              <a:r>
                <a:rPr lang="fr-FR" sz="10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𝐶_𝑇𝑜𝑡𝑎𝑙</a:t>
              </a:r>
              <a:r>
                <a:rPr lang="fr-FR" sz="1000"/>
                <a:t> = 63.3324 mm</a:t>
              </a:r>
            </a:p>
            <a:p xmlns:a="http://schemas.openxmlformats.org/drawingml/2006/main">
              <a:r>
                <a:rPr lang="fr-FR" sz="1000"/>
                <a:t>T =68.0053 j</a:t>
              </a:r>
            </a:p>
          </cdr:txBody>
        </cdr:sp>
      </mc:Fallback>
    </mc:AlternateContent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171449</xdr:colOff>
      <xdr:row>42</xdr:row>
      <xdr:rowOff>0</xdr:rowOff>
    </xdr:from>
    <xdr:to>
      <xdr:col>11</xdr:col>
      <xdr:colOff>581025</xdr:colOff>
      <xdr:row>67</xdr:row>
      <xdr:rowOff>19050</xdr:rowOff>
    </xdr:to>
    <xdr:graphicFrame macro="">
      <xdr:nvGraphicFramePr>
        <xdr:cNvPr id="2" name="Graphique 2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188315</xdr:colOff>
      <xdr:row>42</xdr:row>
      <xdr:rowOff>6164</xdr:rowOff>
    </xdr:from>
    <xdr:to>
      <xdr:col>23</xdr:col>
      <xdr:colOff>606135</xdr:colOff>
      <xdr:row>67</xdr:row>
      <xdr:rowOff>16990</xdr:rowOff>
    </xdr:to>
    <xdr:graphicFrame macro="">
      <xdr:nvGraphicFramePr>
        <xdr:cNvPr id="3" name="Graphique 2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36</xdr:row>
      <xdr:rowOff>0</xdr:rowOff>
    </xdr:from>
    <xdr:to>
      <xdr:col>3</xdr:col>
      <xdr:colOff>559377</xdr:colOff>
      <xdr:row>40</xdr:row>
      <xdr:rowOff>84604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0"/>
          <a:ext cx="1994388" cy="775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244187</xdr:colOff>
      <xdr:row>34</xdr:row>
      <xdr:rowOff>138546</xdr:rowOff>
    </xdr:from>
    <xdr:to>
      <xdr:col>16</xdr:col>
      <xdr:colOff>74469</xdr:colOff>
      <xdr:row>39</xdr:row>
      <xdr:rowOff>11258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054687" y="5420591"/>
          <a:ext cx="1960418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171450</xdr:colOff>
      <xdr:row>74</xdr:row>
      <xdr:rowOff>138545</xdr:rowOff>
    </xdr:from>
    <xdr:to>
      <xdr:col>11</xdr:col>
      <xdr:colOff>542925</xdr:colOff>
      <xdr:row>102</xdr:row>
      <xdr:rowOff>57150</xdr:rowOff>
    </xdr:to>
    <xdr:graphicFrame macro="">
      <xdr:nvGraphicFramePr>
        <xdr:cNvPr id="6" name="Graphique 2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400050</xdr:colOff>
      <xdr:row>69</xdr:row>
      <xdr:rowOff>0</xdr:rowOff>
    </xdr:from>
    <xdr:to>
      <xdr:col>3</xdr:col>
      <xdr:colOff>471054</xdr:colOff>
      <xdr:row>72</xdr:row>
      <xdr:rowOff>85726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69</xdr:row>
      <xdr:rowOff>0</xdr:rowOff>
    </xdr:from>
    <xdr:to>
      <xdr:col>15</xdr:col>
      <xdr:colOff>471054</xdr:colOff>
      <xdr:row>72</xdr:row>
      <xdr:rowOff>85726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127551</xdr:colOff>
      <xdr:row>74</xdr:row>
      <xdr:rowOff>141218</xdr:rowOff>
    </xdr:from>
    <xdr:to>
      <xdr:col>23</xdr:col>
      <xdr:colOff>571499</xdr:colOff>
      <xdr:row>102</xdr:row>
      <xdr:rowOff>67235</xdr:rowOff>
    </xdr:to>
    <xdr:graphicFrame macro="">
      <xdr:nvGraphicFramePr>
        <xdr:cNvPr id="9" name="Graphique 2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9525</xdr:colOff>
      <xdr:row>1</xdr:row>
      <xdr:rowOff>0</xdr:rowOff>
    </xdr:from>
    <xdr:ext cx="1994388" cy="775921"/>
    <xdr:pic>
      <xdr:nvPicPr>
        <xdr:cNvPr id="11" name="Image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5964115"/>
          <a:ext cx="1994388" cy="7759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155487</xdr:colOff>
      <xdr:row>6</xdr:row>
      <xdr:rowOff>123825</xdr:rowOff>
    </xdr:from>
    <xdr:to>
      <xdr:col>11</xdr:col>
      <xdr:colOff>588818</xdr:colOff>
      <xdr:row>34</xdr:row>
      <xdr:rowOff>19050</xdr:rowOff>
    </xdr:to>
    <xdr:graphicFrame macro="">
      <xdr:nvGraphicFramePr>
        <xdr:cNvPr id="12" name="Graphique 2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581025</xdr:colOff>
          <xdr:row>1</xdr:row>
          <xdr:rowOff>47625</xdr:rowOff>
        </xdr:from>
        <xdr:to>
          <xdr:col>30</xdr:col>
          <xdr:colOff>142875</xdr:colOff>
          <xdr:row>2</xdr:row>
          <xdr:rowOff>38100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MAJ</a:t>
              </a:r>
            </a:p>
            <a:p>
              <a:pPr algn="ctr" rtl="0">
                <a:defRPr sz="1000"/>
              </a:pPr>
              <a:endParaRPr lang="fr-FR" sz="10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7</xdr:row>
      <xdr:rowOff>47625</xdr:rowOff>
    </xdr:from>
    <xdr:to>
      <xdr:col>10</xdr:col>
      <xdr:colOff>342900</xdr:colOff>
      <xdr:row>31</xdr:row>
      <xdr:rowOff>47625</xdr:rowOff>
    </xdr:to>
    <xdr:graphicFrame macro="">
      <xdr:nvGraphicFramePr>
        <xdr:cNvPr id="2" name="Graphique 2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7</xdr:row>
      <xdr:rowOff>28576</xdr:rowOff>
    </xdr:from>
    <xdr:to>
      <xdr:col>21</xdr:col>
      <xdr:colOff>352425</xdr:colOff>
      <xdr:row>31</xdr:row>
      <xdr:rowOff>9526</xdr:rowOff>
    </xdr:to>
    <xdr:graphicFrame macro="">
      <xdr:nvGraphicFramePr>
        <xdr:cNvPr id="3" name="Graphique 25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333375</xdr:colOff>
      <xdr:row>4</xdr:row>
      <xdr:rowOff>28575</xdr:rowOff>
    </xdr:to>
    <xdr:pic>
      <xdr:nvPicPr>
        <xdr:cNvPr id="4" name="Image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25" y="0"/>
          <a:ext cx="19907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400050</xdr:colOff>
      <xdr:row>0</xdr:row>
      <xdr:rowOff>0</xdr:rowOff>
    </xdr:from>
    <xdr:to>
      <xdr:col>14</xdr:col>
      <xdr:colOff>238125</xdr:colOff>
      <xdr:row>4</xdr:row>
      <xdr:rowOff>28575</xdr:rowOff>
    </xdr:to>
    <xdr:pic>
      <xdr:nvPicPr>
        <xdr:cNvPr id="5" name="Image 1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37</xdr:row>
      <xdr:rowOff>66675</xdr:rowOff>
    </xdr:from>
    <xdr:to>
      <xdr:col>10</xdr:col>
      <xdr:colOff>333375</xdr:colOff>
      <xdr:row>63</xdr:row>
      <xdr:rowOff>85725</xdr:rowOff>
    </xdr:to>
    <xdr:graphicFrame macro="">
      <xdr:nvGraphicFramePr>
        <xdr:cNvPr id="6" name="Graphique 2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400050</xdr:colOff>
      <xdr:row>32</xdr:row>
      <xdr:rowOff>0</xdr:rowOff>
    </xdr:from>
    <xdr:to>
      <xdr:col>3</xdr:col>
      <xdr:colOff>238125</xdr:colOff>
      <xdr:row>35</xdr:row>
      <xdr:rowOff>85725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400050</xdr:colOff>
      <xdr:row>32</xdr:row>
      <xdr:rowOff>0</xdr:rowOff>
    </xdr:from>
    <xdr:to>
      <xdr:col>14</xdr:col>
      <xdr:colOff>238125</xdr:colOff>
      <xdr:row>35</xdr:row>
      <xdr:rowOff>85725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572250" y="5581650"/>
          <a:ext cx="150495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152400</xdr:colOff>
      <xdr:row>37</xdr:row>
      <xdr:rowOff>66675</xdr:rowOff>
    </xdr:from>
    <xdr:to>
      <xdr:col>21</xdr:col>
      <xdr:colOff>371475</xdr:colOff>
      <xdr:row>63</xdr:row>
      <xdr:rowOff>85725</xdr:rowOff>
    </xdr:to>
    <xdr:graphicFrame macro="">
      <xdr:nvGraphicFramePr>
        <xdr:cNvPr id="9" name="Graphique 2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-%2044470.009%20-%20Bure%20chantier%204\2-%20G3%20suivi\4-%20Instrumentation\1%20-%20GVA3\z_Pr&#233;vision%20des%20d&#233;placements%20long-terme\Analyse%20carrefour%20GVA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169"/>
      <sheetName val="Feuil3"/>
      <sheetName val="PM170"/>
      <sheetName val="PM169-Graph"/>
      <sheetName val="PM170-Graph"/>
    </sheetNames>
    <sheetDataSet>
      <sheetData sheetId="0">
        <row r="1">
          <cell r="E1" t="str">
            <v>Mesures aux 15/06/2020</v>
          </cell>
        </row>
        <row r="2">
          <cell r="E2" t="str">
            <v>Norme CH</v>
          </cell>
        </row>
        <row r="39">
          <cell r="A39">
            <v>43738</v>
          </cell>
          <cell r="E39">
            <v>18.331487663901811</v>
          </cell>
        </row>
        <row r="40">
          <cell r="A40">
            <v>43741</v>
          </cell>
          <cell r="E40">
            <v>18.600584903277213</v>
          </cell>
        </row>
        <row r="41">
          <cell r="A41">
            <v>43746</v>
          </cell>
          <cell r="E41">
            <v>19.71236219668431</v>
          </cell>
        </row>
        <row r="42">
          <cell r="A42">
            <v>43753</v>
          </cell>
          <cell r="E42">
            <v>19.72705417497842</v>
          </cell>
        </row>
        <row r="43">
          <cell r="A43">
            <v>43756</v>
          </cell>
          <cell r="E43">
            <v>19.15228446255519</v>
          </cell>
        </row>
        <row r="44">
          <cell r="A44">
            <v>43760</v>
          </cell>
          <cell r="E44">
            <v>20.03324584437949</v>
          </cell>
        </row>
        <row r="45">
          <cell r="A45">
            <v>43762</v>
          </cell>
          <cell r="E45">
            <v>20.20618717150256</v>
          </cell>
        </row>
        <row r="46">
          <cell r="A46">
            <v>43766</v>
          </cell>
          <cell r="E46">
            <v>20.224206899693066</v>
          </cell>
        </row>
        <row r="47">
          <cell r="A47">
            <v>43769</v>
          </cell>
          <cell r="E47">
            <v>20.201485102072755</v>
          </cell>
        </row>
        <row r="48">
          <cell r="A48">
            <v>43774</v>
          </cell>
          <cell r="E48">
            <v>20.740781101614143</v>
          </cell>
        </row>
        <row r="49">
          <cell r="A49">
            <v>43776</v>
          </cell>
          <cell r="E49">
            <v>20.756004670876287</v>
          </cell>
        </row>
        <row r="50">
          <cell r="A50">
            <v>43781</v>
          </cell>
          <cell r="E50">
            <v>20.812839707626349</v>
          </cell>
        </row>
        <row r="51">
          <cell r="A51">
            <v>43783</v>
          </cell>
          <cell r="E51">
            <v>21.20966875435348</v>
          </cell>
        </row>
        <row r="52">
          <cell r="A52">
            <v>43787</v>
          </cell>
          <cell r="E52">
            <v>21.221853585851314</v>
          </cell>
        </row>
        <row r="53">
          <cell r="A53">
            <v>43790</v>
          </cell>
          <cell r="E53">
            <v>21.511789084586237</v>
          </cell>
        </row>
        <row r="54">
          <cell r="A54">
            <v>43795</v>
          </cell>
          <cell r="E54">
            <v>21.880381227786099</v>
          </cell>
        </row>
        <row r="55">
          <cell r="A55">
            <v>43797</v>
          </cell>
          <cell r="E55">
            <v>21.941326021688621</v>
          </cell>
        </row>
        <row r="56">
          <cell r="A56">
            <v>43801</v>
          </cell>
          <cell r="E56">
            <v>21.778728790260587</v>
          </cell>
        </row>
        <row r="57">
          <cell r="A57">
            <v>43803</v>
          </cell>
          <cell r="E57">
            <v>21.822963361967595</v>
          </cell>
        </row>
        <row r="58">
          <cell r="A58">
            <v>43808</v>
          </cell>
          <cell r="E58">
            <v>22.39336557094293</v>
          </cell>
        </row>
        <row r="59">
          <cell r="A59">
            <v>43811</v>
          </cell>
          <cell r="E59">
            <v>22.078126694028526</v>
          </cell>
        </row>
        <row r="60">
          <cell r="A60">
            <v>43815</v>
          </cell>
          <cell r="E60">
            <v>23.129199467700737</v>
          </cell>
        </row>
        <row r="61">
          <cell r="A61">
            <v>43818</v>
          </cell>
          <cell r="E61">
            <v>22.63249072500399</v>
          </cell>
        </row>
        <row r="62">
          <cell r="A62">
            <v>43837</v>
          </cell>
          <cell r="E62">
            <v>23.098565045542546</v>
          </cell>
        </row>
        <row r="63">
          <cell r="A63">
            <v>43843</v>
          </cell>
          <cell r="E63">
            <v>23.20753022485162</v>
          </cell>
        </row>
        <row r="64">
          <cell r="A64">
            <v>43850</v>
          </cell>
          <cell r="E64">
            <v>23.347605857293772</v>
          </cell>
        </row>
        <row r="65">
          <cell r="A65">
            <v>43857</v>
          </cell>
          <cell r="E65">
            <v>23.950020296257836</v>
          </cell>
        </row>
      </sheetData>
      <sheetData sheetId="1"/>
      <sheetData sheetId="2">
        <row r="1">
          <cell r="E1" t="str">
            <v>Mesures au 15/06/2020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DE95"/>
  <sheetViews>
    <sheetView tabSelected="1" zoomScale="85" zoomScaleNormal="85" workbookViewId="0">
      <pane xSplit="4" ySplit="9" topLeftCell="E26" activePane="bottomRight" state="frozenSplit"/>
      <selection activeCell="C7" sqref="C7"/>
      <selection pane="topRight" activeCell="C7" sqref="C7"/>
      <selection pane="bottomLeft" activeCell="C7" sqref="C7"/>
      <selection pane="bottomRight" activeCell="H33" sqref="H33"/>
    </sheetView>
  </sheetViews>
  <sheetFormatPr baseColWidth="10" defaultColWidth="11.42578125" defaultRowHeight="12.75" x14ac:dyDescent="0.2"/>
  <cols>
    <col min="1" max="1" width="14.7109375" style="2" customWidth="1"/>
    <col min="2" max="4" width="7.7109375" style="2" customWidth="1"/>
    <col min="5" max="5" width="12.7109375" style="2" customWidth="1"/>
    <col min="6" max="6" width="13.7109375" style="2" customWidth="1"/>
    <col min="7" max="7" width="10.7109375" style="2" customWidth="1"/>
    <col min="8" max="8" width="11.85546875" style="2" bestFit="1" customWidth="1"/>
    <col min="9" max="9" width="12.85546875" style="2" bestFit="1" customWidth="1"/>
    <col min="10" max="10" width="10.7109375" style="2" customWidth="1"/>
    <col min="11" max="11" width="12.7109375" style="2" customWidth="1"/>
    <col min="12" max="12" width="13.7109375" style="2" customWidth="1"/>
    <col min="13" max="13" width="10.7109375" style="2" customWidth="1"/>
    <col min="14" max="14" width="12.7109375" style="2" customWidth="1"/>
    <col min="15" max="15" width="13.7109375" style="2" customWidth="1"/>
    <col min="16" max="16" width="10.7109375" style="2" customWidth="1"/>
    <col min="17" max="17" width="12.7109375" style="2" customWidth="1"/>
    <col min="18" max="18" width="13.7109375" style="2" customWidth="1"/>
    <col min="19" max="19" width="10.7109375" style="2" customWidth="1"/>
    <col min="20" max="20" width="11.85546875" style="2" bestFit="1" customWidth="1"/>
    <col min="21" max="21" width="12.85546875" style="2" bestFit="1" customWidth="1"/>
    <col min="22" max="22" width="10.7109375" style="2" customWidth="1"/>
    <col min="23" max="23" width="12.7109375" style="2" customWidth="1"/>
    <col min="24" max="24" width="13.7109375" style="2" customWidth="1"/>
    <col min="25" max="25" width="10.7109375" style="2" customWidth="1"/>
    <col min="26" max="34" width="11.7109375" style="2" customWidth="1"/>
    <col min="35" max="39" width="14.7109375" style="2" customWidth="1"/>
    <col min="40" max="40" width="12.7109375" style="2" bestFit="1" customWidth="1"/>
    <col min="41" max="42" width="12.7109375" style="2" customWidth="1"/>
    <col min="43" max="44" width="11.42578125" style="2"/>
    <col min="45" max="65" width="14.140625" style="2" customWidth="1"/>
    <col min="66" max="66" width="11.42578125" style="2"/>
    <col min="67" max="109" width="16.7109375" style="2" customWidth="1"/>
    <col min="110" max="16384" width="11.42578125" style="2"/>
  </cols>
  <sheetData>
    <row r="1" spans="1:109" ht="41.25" customHeight="1" x14ac:dyDescent="0.2">
      <c r="F1" s="131" t="s">
        <v>88</v>
      </c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6"/>
      <c r="Y1" s="6"/>
      <c r="AE1" s="6"/>
      <c r="AF1" s="6"/>
      <c r="AG1" s="6"/>
      <c r="AH1" s="6"/>
      <c r="AI1" s="7"/>
      <c r="AJ1" s="7"/>
      <c r="AK1" s="7"/>
      <c r="AL1" s="7"/>
      <c r="AM1" s="7"/>
    </row>
    <row r="2" spans="1:109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 spans="1:109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109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BX4" s="12"/>
    </row>
    <row r="5" spans="1:109" ht="13.5" thickBo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109" ht="16.5" thickBot="1" x14ac:dyDescent="0.25">
      <c r="A6" s="33" t="s">
        <v>46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T6" s="11"/>
      <c r="U6" s="11"/>
      <c r="V6" s="13" t="s">
        <v>47</v>
      </c>
      <c r="W6" s="75">
        <v>158</v>
      </c>
      <c r="Y6" s="11"/>
      <c r="Z6" s="11"/>
      <c r="AA6" s="11"/>
      <c r="AB6" s="13"/>
      <c r="AC6" s="13"/>
      <c r="AD6" s="11"/>
      <c r="AE6" s="13"/>
      <c r="AF6" s="13"/>
      <c r="AG6" s="13"/>
      <c r="AH6" s="13"/>
      <c r="AI6" s="13"/>
      <c r="AJ6" s="13"/>
      <c r="AK6" s="13"/>
      <c r="AL6" s="13"/>
      <c r="AM6" s="13"/>
    </row>
    <row r="7" spans="1:109" ht="26.25" customHeight="1" thickBot="1" x14ac:dyDescent="0.25">
      <c r="A7" s="33">
        <v>44140</v>
      </c>
      <c r="B7" s="1"/>
      <c r="C7" s="1"/>
      <c r="D7" s="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109" ht="16.5" thickBot="1" x14ac:dyDescent="0.25">
      <c r="A8" s="121" t="s">
        <v>11</v>
      </c>
      <c r="B8" s="123" t="s">
        <v>43</v>
      </c>
      <c r="C8" s="123" t="s">
        <v>44</v>
      </c>
      <c r="D8" s="123" t="s">
        <v>45</v>
      </c>
      <c r="E8" s="125" t="s">
        <v>1</v>
      </c>
      <c r="F8" s="125"/>
      <c r="G8" s="126"/>
      <c r="H8" s="125" t="s">
        <v>58</v>
      </c>
      <c r="I8" s="125"/>
      <c r="J8" s="126"/>
      <c r="K8" s="130" t="s">
        <v>13</v>
      </c>
      <c r="L8" s="125"/>
      <c r="M8" s="126"/>
      <c r="N8" s="130" t="s">
        <v>2</v>
      </c>
      <c r="O8" s="125"/>
      <c r="P8" s="126"/>
      <c r="Q8" s="130" t="s">
        <v>14</v>
      </c>
      <c r="R8" s="125"/>
      <c r="S8" s="126"/>
      <c r="T8" s="125" t="s">
        <v>59</v>
      </c>
      <c r="U8" s="125"/>
      <c r="V8" s="126"/>
      <c r="W8" s="130" t="s">
        <v>3</v>
      </c>
      <c r="X8" s="125"/>
      <c r="Y8" s="126"/>
      <c r="AI8" s="127" t="s">
        <v>4</v>
      </c>
      <c r="AJ8" s="128"/>
      <c r="AK8" s="128"/>
      <c r="AL8" s="128"/>
      <c r="AM8" s="128"/>
      <c r="AN8" s="128"/>
      <c r="AO8" s="128"/>
      <c r="AP8" s="128"/>
      <c r="AQ8" s="129"/>
      <c r="AS8" s="130" t="s">
        <v>1</v>
      </c>
      <c r="AT8" s="125"/>
      <c r="AU8" s="126"/>
      <c r="AV8" s="132" t="s">
        <v>58</v>
      </c>
      <c r="AW8" s="133"/>
      <c r="AX8" s="134"/>
      <c r="AY8" s="130" t="s">
        <v>13</v>
      </c>
      <c r="AZ8" s="125"/>
      <c r="BA8" s="126"/>
      <c r="BB8" s="130" t="s">
        <v>2</v>
      </c>
      <c r="BC8" s="125"/>
      <c r="BD8" s="126"/>
      <c r="BE8" s="130" t="s">
        <v>14</v>
      </c>
      <c r="BF8" s="125"/>
      <c r="BG8" s="126"/>
      <c r="BH8" s="132" t="s">
        <v>59</v>
      </c>
      <c r="BI8" s="133"/>
      <c r="BJ8" s="134"/>
      <c r="BK8" s="130" t="s">
        <v>3</v>
      </c>
      <c r="BL8" s="125"/>
      <c r="BM8" s="126"/>
      <c r="BO8" s="130" t="s">
        <v>1</v>
      </c>
      <c r="BP8" s="125"/>
      <c r="BQ8" s="126"/>
      <c r="BR8" s="132" t="s">
        <v>58</v>
      </c>
      <c r="BS8" s="133"/>
      <c r="BT8" s="134"/>
      <c r="BU8" s="130" t="s">
        <v>13</v>
      </c>
      <c r="BV8" s="125"/>
      <c r="BW8" s="126"/>
      <c r="BX8" s="130" t="s">
        <v>2</v>
      </c>
      <c r="BY8" s="125"/>
      <c r="BZ8" s="126"/>
      <c r="CA8" s="130" t="s">
        <v>14</v>
      </c>
      <c r="CB8" s="125"/>
      <c r="CC8" s="126"/>
      <c r="CD8" s="132" t="s">
        <v>59</v>
      </c>
      <c r="CE8" s="133"/>
      <c r="CF8" s="134"/>
      <c r="CG8" s="130" t="s">
        <v>3</v>
      </c>
      <c r="CH8" s="125"/>
      <c r="CI8" s="126"/>
      <c r="CK8" s="130" t="s">
        <v>1</v>
      </c>
      <c r="CL8" s="125"/>
      <c r="CM8" s="126"/>
      <c r="CN8" s="132" t="s">
        <v>58</v>
      </c>
      <c r="CO8" s="133"/>
      <c r="CP8" s="134"/>
      <c r="CQ8" s="130" t="s">
        <v>13</v>
      </c>
      <c r="CR8" s="125"/>
      <c r="CS8" s="126"/>
      <c r="CT8" s="130" t="s">
        <v>2</v>
      </c>
      <c r="CU8" s="125"/>
      <c r="CV8" s="126"/>
      <c r="CW8" s="130" t="s">
        <v>14</v>
      </c>
      <c r="CX8" s="125"/>
      <c r="CY8" s="126"/>
      <c r="CZ8" s="132" t="s">
        <v>59</v>
      </c>
      <c r="DA8" s="133"/>
      <c r="DB8" s="134"/>
      <c r="DC8" s="130" t="s">
        <v>3</v>
      </c>
      <c r="DD8" s="125"/>
      <c r="DE8" s="126"/>
    </row>
    <row r="9" spans="1:109" s="15" customFormat="1" ht="25.5" customHeight="1" thickBot="1" x14ac:dyDescent="0.25">
      <c r="A9" s="122"/>
      <c r="B9" s="124"/>
      <c r="C9" s="124"/>
      <c r="D9" s="124"/>
      <c r="E9" s="5" t="s">
        <v>5</v>
      </c>
      <c r="F9" s="5" t="s">
        <v>6</v>
      </c>
      <c r="G9" s="5" t="s">
        <v>7</v>
      </c>
      <c r="H9" s="5"/>
      <c r="I9" s="5"/>
      <c r="J9" s="5"/>
      <c r="K9" s="5" t="s">
        <v>5</v>
      </c>
      <c r="L9" s="5" t="s">
        <v>6</v>
      </c>
      <c r="M9" s="5" t="s">
        <v>7</v>
      </c>
      <c r="N9" s="14" t="s">
        <v>5</v>
      </c>
      <c r="O9" s="14" t="s">
        <v>6</v>
      </c>
      <c r="P9" s="14" t="s">
        <v>7</v>
      </c>
      <c r="Q9" s="14" t="s">
        <v>5</v>
      </c>
      <c r="R9" s="14" t="s">
        <v>6</v>
      </c>
      <c r="S9" s="14" t="s">
        <v>7</v>
      </c>
      <c r="T9" s="5"/>
      <c r="U9" s="5"/>
      <c r="V9" s="5"/>
      <c r="W9" s="14" t="s">
        <v>5</v>
      </c>
      <c r="X9" s="14" t="s">
        <v>6</v>
      </c>
      <c r="Y9" s="14" t="s">
        <v>7</v>
      </c>
      <c r="Z9" s="14" t="s">
        <v>15</v>
      </c>
      <c r="AA9" s="14" t="s">
        <v>50</v>
      </c>
      <c r="AB9" s="14" t="s">
        <v>18</v>
      </c>
      <c r="AC9" s="14" t="s">
        <v>19</v>
      </c>
      <c r="AD9" s="14" t="s">
        <v>51</v>
      </c>
      <c r="AE9" s="14" t="s">
        <v>16</v>
      </c>
      <c r="AF9" s="14" t="s">
        <v>20</v>
      </c>
      <c r="AG9" s="14" t="s">
        <v>52</v>
      </c>
      <c r="AH9" s="14" t="s">
        <v>17</v>
      </c>
      <c r="AI9" s="57" t="s">
        <v>15</v>
      </c>
      <c r="AJ9" s="56" t="s">
        <v>50</v>
      </c>
      <c r="AK9" s="41" t="s">
        <v>18</v>
      </c>
      <c r="AL9" s="41" t="s">
        <v>19</v>
      </c>
      <c r="AM9" s="56" t="s">
        <v>51</v>
      </c>
      <c r="AN9" s="41" t="s">
        <v>16</v>
      </c>
      <c r="AO9" s="41" t="s">
        <v>20</v>
      </c>
      <c r="AP9" s="56" t="s">
        <v>52</v>
      </c>
      <c r="AQ9" s="58" t="s">
        <v>17</v>
      </c>
      <c r="AS9" s="4" t="s">
        <v>22</v>
      </c>
      <c r="AT9" s="4" t="s">
        <v>23</v>
      </c>
      <c r="AU9" s="4" t="s">
        <v>24</v>
      </c>
      <c r="AV9" s="4" t="s">
        <v>22</v>
      </c>
      <c r="AW9" s="4" t="s">
        <v>23</v>
      </c>
      <c r="AX9" s="4" t="s">
        <v>24</v>
      </c>
      <c r="AY9" s="4" t="s">
        <v>22</v>
      </c>
      <c r="AZ9" s="4" t="s">
        <v>23</v>
      </c>
      <c r="BA9" s="4" t="s">
        <v>24</v>
      </c>
      <c r="BB9" s="4" t="s">
        <v>22</v>
      </c>
      <c r="BC9" s="4" t="s">
        <v>23</v>
      </c>
      <c r="BD9" s="4" t="s">
        <v>24</v>
      </c>
      <c r="BE9" s="4" t="s">
        <v>22</v>
      </c>
      <c r="BF9" s="4" t="s">
        <v>23</v>
      </c>
      <c r="BG9" s="4" t="s">
        <v>24</v>
      </c>
      <c r="BH9" s="4" t="s">
        <v>22</v>
      </c>
      <c r="BI9" s="4" t="s">
        <v>23</v>
      </c>
      <c r="BJ9" s="4" t="s">
        <v>24</v>
      </c>
      <c r="BK9" s="4" t="s">
        <v>22</v>
      </c>
      <c r="BL9" s="4" t="s">
        <v>23</v>
      </c>
      <c r="BM9" s="4" t="s">
        <v>24</v>
      </c>
      <c r="BO9" s="5" t="s">
        <v>0</v>
      </c>
      <c r="BP9" s="5" t="s">
        <v>8</v>
      </c>
      <c r="BQ9" s="5" t="s">
        <v>21</v>
      </c>
      <c r="BR9" s="5" t="s">
        <v>0</v>
      </c>
      <c r="BS9" s="5" t="s">
        <v>8</v>
      </c>
      <c r="BT9" s="5" t="s">
        <v>21</v>
      </c>
      <c r="BU9" s="5" t="s">
        <v>0</v>
      </c>
      <c r="BV9" s="5" t="s">
        <v>8</v>
      </c>
      <c r="BW9" s="5" t="s">
        <v>21</v>
      </c>
      <c r="BX9" s="5" t="s">
        <v>0</v>
      </c>
      <c r="BY9" s="5" t="s">
        <v>8</v>
      </c>
      <c r="BZ9" s="5" t="s">
        <v>21</v>
      </c>
      <c r="CA9" s="5" t="s">
        <v>0</v>
      </c>
      <c r="CB9" s="5" t="s">
        <v>8</v>
      </c>
      <c r="CC9" s="5" t="s">
        <v>21</v>
      </c>
      <c r="CD9" s="5" t="s">
        <v>0</v>
      </c>
      <c r="CE9" s="5" t="s">
        <v>8</v>
      </c>
      <c r="CF9" s="5" t="s">
        <v>21</v>
      </c>
      <c r="CG9" s="5" t="s">
        <v>0</v>
      </c>
      <c r="CH9" s="5" t="s">
        <v>8</v>
      </c>
      <c r="CI9" s="5" t="s">
        <v>21</v>
      </c>
      <c r="CJ9" s="2"/>
      <c r="CK9" s="4" t="s">
        <v>26</v>
      </c>
      <c r="CL9" s="4" t="s">
        <v>25</v>
      </c>
      <c r="CM9" s="4" t="s">
        <v>24</v>
      </c>
      <c r="CN9" s="4" t="s">
        <v>26</v>
      </c>
      <c r="CO9" s="4" t="s">
        <v>25</v>
      </c>
      <c r="CP9" s="4" t="s">
        <v>24</v>
      </c>
      <c r="CQ9" s="4" t="s">
        <v>26</v>
      </c>
      <c r="CR9" s="4" t="s">
        <v>25</v>
      </c>
      <c r="CS9" s="4" t="s">
        <v>24</v>
      </c>
      <c r="CT9" s="4" t="s">
        <v>26</v>
      </c>
      <c r="CU9" s="4" t="s">
        <v>25</v>
      </c>
      <c r="CV9" s="4" t="s">
        <v>24</v>
      </c>
      <c r="CW9" s="4" t="s">
        <v>26</v>
      </c>
      <c r="CX9" s="4" t="s">
        <v>25</v>
      </c>
      <c r="CY9" s="4" t="s">
        <v>24</v>
      </c>
      <c r="CZ9" s="4" t="s">
        <v>26</v>
      </c>
      <c r="DA9" s="4" t="s">
        <v>25</v>
      </c>
      <c r="DB9" s="4" t="s">
        <v>24</v>
      </c>
      <c r="DC9" s="4" t="s">
        <v>26</v>
      </c>
      <c r="DD9" s="4" t="s">
        <v>25</v>
      </c>
      <c r="DE9" s="4" t="s">
        <v>24</v>
      </c>
    </row>
    <row r="10" spans="1:109" ht="29.25" customHeight="1" x14ac:dyDescent="0.2">
      <c r="A10" s="33">
        <v>44140</v>
      </c>
      <c r="B10" s="42">
        <v>0</v>
      </c>
      <c r="C10" s="43">
        <v>222.9</v>
      </c>
      <c r="D10" s="43">
        <f t="shared" ref="D10" si="0">C10-PM</f>
        <v>64.900000000000006</v>
      </c>
      <c r="E10" s="44">
        <v>823209.96660000004</v>
      </c>
      <c r="F10" s="44">
        <v>1091504.1623</v>
      </c>
      <c r="G10" s="44">
        <v>-125.00700000000001</v>
      </c>
      <c r="H10" s="55">
        <v>823209.73540000001</v>
      </c>
      <c r="I10" s="55">
        <v>1091504.3273</v>
      </c>
      <c r="J10" s="55">
        <v>-123.63549999999999</v>
      </c>
      <c r="K10" s="44">
        <v>823210.19400000002</v>
      </c>
      <c r="L10" s="44">
        <v>1091503.4356</v>
      </c>
      <c r="M10" s="44">
        <v>-121.1001</v>
      </c>
      <c r="N10" s="44">
        <v>823211.70600000001</v>
      </c>
      <c r="O10" s="44">
        <v>1091500.1725999999</v>
      </c>
      <c r="P10" s="44">
        <v>-119.6079</v>
      </c>
      <c r="Q10" s="44">
        <v>823212.7966</v>
      </c>
      <c r="R10" s="44">
        <v>1091497.7485</v>
      </c>
      <c r="S10" s="44">
        <v>-121.07210000000001</v>
      </c>
      <c r="T10" s="55">
        <v>823213.21409999998</v>
      </c>
      <c r="U10" s="55">
        <v>1091496.9983000001</v>
      </c>
      <c r="V10" s="55">
        <v>-123.6497</v>
      </c>
      <c r="W10" s="44">
        <v>823213.17660000001</v>
      </c>
      <c r="X10" s="44">
        <v>1091497.2243999999</v>
      </c>
      <c r="Y10" s="44">
        <v>-125.03660000000001</v>
      </c>
      <c r="Z10" s="44">
        <f t="shared" ref="Z10:Z15" si="1">IF(Xhaut="","",SQRT(((Xbasgauche-Xhaut)^2+(Ybasgauche-Yhaut)^2)+(Zbasgauche-Zhaut)^2))</f>
        <v>6.9349476753718156</v>
      </c>
      <c r="AA10" s="55">
        <f t="shared" ref="AA10:AA28" si="2">IF(Xhaut="","",SQRT(((Xintergauche-Xhaut)^2+(Yintergauche-Yhaut)^2)+(Zintergauche-Zhaut)^2))</f>
        <v>6.1128028113623598</v>
      </c>
      <c r="AB10" s="44">
        <f t="shared" ref="AB10:AB28" si="3">IF(Xhaut="","",SQRT(((Xhautgauche-Xhaut)^2+(Yhautgauche-Yhaut)^2)+(Zhautgauche-Zhaut)^2))</f>
        <v>3.8935811074375137</v>
      </c>
      <c r="AC10" s="44">
        <f t="shared" ref="AC10:AC28" si="4">IF(Xhaut="","",SQRT(((Xhautdroit-Xhaut)^2+(Yhautdroit-Yhaut)^2)+(Zhautdroit-Zhaut)^2))</f>
        <v>3.0347241735827306</v>
      </c>
      <c r="AD10" s="55">
        <f t="shared" ref="AD10:AD28" si="5">IF(Xhaut="","",SQRT(((Xinterdroit-Xhaut)^2+(Yinterdroit-Yhaut)^2)+(Zinterdroit-Zhaut)^2))</f>
        <v>5.3559960174469285</v>
      </c>
      <c r="AE10" s="44">
        <f t="shared" ref="AE10:AE19" si="6">IF(Xhaut="","",SQRT(((Xbasdroit-Xhaut)^2+(Ybasdroit-Yhaut)^2)+(Zbasdroit-Zhaut)^2))</f>
        <v>6.350222932300051</v>
      </c>
      <c r="AF10" s="44">
        <f t="shared" ref="AF10:AF28" si="7">IF(Xhautdroit="","",SQRT(((Xhautdroit-Xhautgauche)^2+(Yhautdroit-Yhautgauche)^2)+(Zhautdroit-Zhautgauche)^2))</f>
        <v>6.2543918305219375</v>
      </c>
      <c r="AG10" s="55">
        <f t="shared" ref="AG10:AG28" si="8">IF(Xinterdroit="","",SQRT(((Xinterdroit-Xintergauche)^2+(Yinterdroit-Yintergauche)^2)+(Zinterdroit-Zintergauche)^2))</f>
        <v>8.1126935310373494</v>
      </c>
      <c r="AH10" s="44">
        <f t="shared" ref="AH10:AH15" si="9">IF(Xbasdroit="","",SQRT(((Xbasdroit-Xbasgauche)^2+(Ybasdroit-Ybasgauche)^2)+(Zbasdroit-Zbasgauche)^2))</f>
        <v>7.6445688282613071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  <c r="AR10" s="37"/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37"/>
      <c r="BO10" s="44">
        <v>158.78102824309431</v>
      </c>
      <c r="BP10" s="44">
        <v>-3.8091465678289982</v>
      </c>
      <c r="BQ10" s="44">
        <v>-1.0519302824309449</v>
      </c>
      <c r="BR10" s="44">
        <v>158.64123110297524</v>
      </c>
      <c r="BS10" s="44">
        <v>-4.0564019007230954</v>
      </c>
      <c r="BT10" s="44">
        <v>0.3209676889702564</v>
      </c>
      <c r="BU10" s="44">
        <v>158.67997783931605</v>
      </c>
      <c r="BV10" s="44">
        <v>-3.0544330686231889</v>
      </c>
      <c r="BW10" s="44">
        <v>2.855980221606842</v>
      </c>
      <c r="BX10" s="44">
        <v>158.67117790868664</v>
      </c>
      <c r="BY10" s="44">
        <v>0.54184772706215345</v>
      </c>
      <c r="BZ10" s="44">
        <v>4.3482682209131269</v>
      </c>
      <c r="CA10" s="44">
        <v>158.63502927985351</v>
      </c>
      <c r="CB10" s="44">
        <v>3.1997345655789671</v>
      </c>
      <c r="CC10" s="44">
        <v>2.8844297072014626</v>
      </c>
      <c r="CD10" s="44">
        <v>158.69633267243418</v>
      </c>
      <c r="CE10" s="44">
        <v>4.0560920749651475</v>
      </c>
      <c r="CF10" s="44">
        <v>0.3062166732756566</v>
      </c>
      <c r="CG10" s="44">
        <v>158.75790834003203</v>
      </c>
      <c r="CH10" s="44">
        <v>3.835329992414144</v>
      </c>
      <c r="CI10" s="44">
        <v>-1.0812990834003244</v>
      </c>
      <c r="CJ10" s="37"/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</row>
    <row r="11" spans="1:109" ht="29.25" customHeight="1" x14ac:dyDescent="0.2">
      <c r="A11" s="34">
        <v>44172</v>
      </c>
      <c r="B11" s="42">
        <f t="shared" ref="B11:B28" si="10">A11-$A$10</f>
        <v>32</v>
      </c>
      <c r="C11" s="43">
        <v>222.9</v>
      </c>
      <c r="D11" s="43">
        <f t="shared" ref="D11:D12" si="11">C11-PM</f>
        <v>64.900000000000006</v>
      </c>
      <c r="E11" s="36">
        <v>823209.96550000005</v>
      </c>
      <c r="F11" s="36">
        <v>1091504.1609</v>
      </c>
      <c r="G11" s="36">
        <v>-125.0064</v>
      </c>
      <c r="H11" s="36">
        <v>823209.73459999997</v>
      </c>
      <c r="I11" s="36">
        <v>1091504.3259999999</v>
      </c>
      <c r="J11" s="36">
        <v>-123.6349</v>
      </c>
      <c r="K11" s="36">
        <v>823210.19279999996</v>
      </c>
      <c r="L11" s="36">
        <v>1091503.4350000001</v>
      </c>
      <c r="M11" s="36">
        <v>-121.0997</v>
      </c>
      <c r="N11" s="36">
        <v>823211.70629999996</v>
      </c>
      <c r="O11" s="36">
        <v>1091500.1725999999</v>
      </c>
      <c r="P11" s="36">
        <v>-119.60760000000001</v>
      </c>
      <c r="Q11" s="36">
        <v>823212.79559999995</v>
      </c>
      <c r="R11" s="36">
        <v>1091497.7486</v>
      </c>
      <c r="S11" s="36">
        <v>-121.0722</v>
      </c>
      <c r="T11" s="36">
        <v>823213.21310000005</v>
      </c>
      <c r="U11" s="36">
        <v>1091496.9982</v>
      </c>
      <c r="V11" s="36">
        <v>-123.6493</v>
      </c>
      <c r="W11" s="36">
        <v>823213.17599999998</v>
      </c>
      <c r="X11" s="36">
        <v>1091497.2243999999</v>
      </c>
      <c r="Y11" s="36">
        <v>-125.0359</v>
      </c>
      <c r="Z11" s="36">
        <f t="shared" si="1"/>
        <v>6.9342600881686742</v>
      </c>
      <c r="AA11" s="36">
        <f t="shared" si="2"/>
        <v>6.1120763852867119</v>
      </c>
      <c r="AB11" s="36">
        <f t="shared" si="3"/>
        <v>3.8936227887158452</v>
      </c>
      <c r="AC11" s="36">
        <f t="shared" si="4"/>
        <v>3.0343703876445995</v>
      </c>
      <c r="AD11" s="36">
        <f t="shared" si="5"/>
        <v>5.3556139227587369</v>
      </c>
      <c r="AE11" s="36">
        <f t="shared" si="6"/>
        <v>6.3496726073046279</v>
      </c>
      <c r="AF11" s="36">
        <f t="shared" si="7"/>
        <v>6.253836346598213</v>
      </c>
      <c r="AG11" s="36">
        <f t="shared" si="8"/>
        <v>8.1115240521398917</v>
      </c>
      <c r="AH11" s="36">
        <f t="shared" si="9"/>
        <v>7.6435078825429121</v>
      </c>
      <c r="AI11" s="40">
        <f>(Z11-Z$10)*1000</f>
        <v>-0.6875872031413266</v>
      </c>
      <c r="AJ11" s="40">
        <f t="shared" ref="AJ11:AQ13" si="12">(AA11-AA$10)*1000</f>
        <v>-0.72642607564787909</v>
      </c>
      <c r="AK11" s="40">
        <f t="shared" si="12"/>
        <v>4.1681278331484606E-2</v>
      </c>
      <c r="AL11" s="40">
        <f t="shared" si="12"/>
        <v>-0.35378593813106818</v>
      </c>
      <c r="AM11" s="40">
        <f t="shared" si="12"/>
        <v>-0.3820946881916143</v>
      </c>
      <c r="AN11" s="40">
        <f t="shared" si="12"/>
        <v>-0.55032499542306823</v>
      </c>
      <c r="AO11" s="40">
        <f t="shared" si="12"/>
        <v>-0.55548392372450905</v>
      </c>
      <c r="AP11" s="40">
        <f t="shared" si="12"/>
        <v>-1.1694788974576653</v>
      </c>
      <c r="AQ11" s="40">
        <f t="shared" si="12"/>
        <v>-1.06094571839499</v>
      </c>
      <c r="AR11" s="37"/>
      <c r="AS11" s="40">
        <f>(E11-E$10)*1000</f>
        <v>-1.0999999940395355</v>
      </c>
      <c r="AT11" s="40">
        <f t="shared" ref="AT11:BM11" si="13">(F11-F$10)*1000</f>
        <v>-1.39999995008111</v>
      </c>
      <c r="AU11" s="40">
        <f t="shared" si="13"/>
        <v>0.60000000000570708</v>
      </c>
      <c r="AV11" s="40">
        <f t="shared" si="13"/>
        <v>-0.80000003799796104</v>
      </c>
      <c r="AW11" s="40">
        <f t="shared" si="13"/>
        <v>-1.3000001199543476</v>
      </c>
      <c r="AX11" s="40">
        <f t="shared" si="13"/>
        <v>0.59999999999149622</v>
      </c>
      <c r="AY11" s="40">
        <f t="shared" si="13"/>
        <v>-1.2000000569969416</v>
      </c>
      <c r="AZ11" s="40">
        <f t="shared" si="13"/>
        <v>-0.59999991208314896</v>
      </c>
      <c r="BA11" s="40">
        <f t="shared" si="13"/>
        <v>0.39999999999906777</v>
      </c>
      <c r="BB11" s="40">
        <f t="shared" si="13"/>
        <v>0.29999995604157448</v>
      </c>
      <c r="BC11" s="40">
        <f t="shared" si="13"/>
        <v>0</v>
      </c>
      <c r="BD11" s="40">
        <f t="shared" si="13"/>
        <v>0.29999999999574811</v>
      </c>
      <c r="BE11" s="40">
        <f t="shared" si="13"/>
        <v>-1.0000000474974513</v>
      </c>
      <c r="BF11" s="40">
        <f t="shared" si="13"/>
        <v>0.10000006295740604</v>
      </c>
      <c r="BG11" s="40">
        <f t="shared" si="13"/>
        <v>-9.9999999989108801E-2</v>
      </c>
      <c r="BH11" s="40">
        <f t="shared" si="13"/>
        <v>-0.99999993108212948</v>
      </c>
      <c r="BI11" s="40">
        <f t="shared" si="13"/>
        <v>-0.10000006295740604</v>
      </c>
      <c r="BJ11" s="40">
        <f t="shared" si="13"/>
        <v>0.39999999999906777</v>
      </c>
      <c r="BK11" s="40">
        <f t="shared" si="13"/>
        <v>-0.60000002849847078</v>
      </c>
      <c r="BL11" s="40">
        <f t="shared" si="13"/>
        <v>0</v>
      </c>
      <c r="BM11" s="40">
        <f t="shared" si="13"/>
        <v>0.70000000000902673</v>
      </c>
      <c r="BN11" s="37"/>
      <c r="BO11" s="36">
        <v>158.77943960905259</v>
      </c>
      <c r="BP11" s="36">
        <v>-3.8083426762139951</v>
      </c>
      <c r="BQ11" s="36">
        <v>-1.0513143960905325</v>
      </c>
      <c r="BR11" s="36">
        <v>158.63995662163768</v>
      </c>
      <c r="BS11" s="36">
        <v>-4.0555618425746323</v>
      </c>
      <c r="BT11" s="36">
        <v>0.32158043378362322</v>
      </c>
      <c r="BU11" s="36">
        <v>158.67863669763651</v>
      </c>
      <c r="BV11" s="36">
        <v>-3.0543964759095772</v>
      </c>
      <c r="BW11" s="36">
        <v>2.8563936330236288</v>
      </c>
      <c r="BX11" s="36">
        <v>158.67144979626156</v>
      </c>
      <c r="BY11" s="36">
        <v>0.54197452264659784</v>
      </c>
      <c r="BZ11" s="36">
        <v>4.3485655020373741</v>
      </c>
      <c r="CA11" s="36">
        <v>158.63416525298894</v>
      </c>
      <c r="CB11" s="36">
        <v>3.1992212842868226</v>
      </c>
      <c r="CC11" s="36">
        <v>2.8843383474701056</v>
      </c>
      <c r="CD11" s="36">
        <v>158.69538411521984</v>
      </c>
      <c r="CE11" s="36">
        <v>4.055760052246173</v>
      </c>
      <c r="CF11" s="36">
        <v>0.30662615884780564</v>
      </c>
      <c r="CG11" s="36">
        <v>158.75736456477674</v>
      </c>
      <c r="CH11" s="36">
        <v>3.8350764011960554</v>
      </c>
      <c r="CI11" s="36">
        <v>-1.0805936456477667</v>
      </c>
      <c r="CJ11" s="37"/>
      <c r="CK11" s="40">
        <f>(BO11-BO$10)*1000</f>
        <v>-1.5886340417239353</v>
      </c>
      <c r="CL11" s="40">
        <f t="shared" ref="CL11:DE11" si="14">(BP11-BP$10)*1000</f>
        <v>0.80389161500304951</v>
      </c>
      <c r="CM11" s="40">
        <f t="shared" si="14"/>
        <v>0.6158863404124304</v>
      </c>
      <c r="CN11" s="40">
        <f t="shared" si="14"/>
        <v>-1.2744813375604735</v>
      </c>
      <c r="CO11" s="40">
        <f t="shared" si="14"/>
        <v>0.84005814846310756</v>
      </c>
      <c r="CP11" s="40">
        <f t="shared" si="14"/>
        <v>0.61274481336681674</v>
      </c>
      <c r="CQ11" s="40">
        <f t="shared" si="14"/>
        <v>-1.3411416795463538</v>
      </c>
      <c r="CR11" s="40">
        <f t="shared" si="14"/>
        <v>3.6592713611671712E-2</v>
      </c>
      <c r="CS11" s="40">
        <f t="shared" si="14"/>
        <v>0.41341141678685744</v>
      </c>
      <c r="CT11" s="40">
        <f t="shared" si="14"/>
        <v>0.27188757491103388</v>
      </c>
      <c r="CU11" s="40">
        <f t="shared" si="14"/>
        <v>0.12679558444439465</v>
      </c>
      <c r="CV11" s="40">
        <f t="shared" si="14"/>
        <v>0.29728112424720621</v>
      </c>
      <c r="CW11" s="40">
        <f t="shared" si="14"/>
        <v>-0.86402686457631717</v>
      </c>
      <c r="CX11" s="40">
        <f t="shared" si="14"/>
        <v>-0.51328129214445184</v>
      </c>
      <c r="CY11" s="40">
        <f t="shared" si="14"/>
        <v>-9.135973135698805E-2</v>
      </c>
      <c r="CZ11" s="40">
        <f t="shared" si="14"/>
        <v>-0.94855721434328188</v>
      </c>
      <c r="DA11" s="40">
        <f t="shared" si="14"/>
        <v>-0.33202271897447844</v>
      </c>
      <c r="DB11" s="40">
        <f t="shared" si="14"/>
        <v>0.40948557214903758</v>
      </c>
      <c r="DC11" s="40">
        <f t="shared" si="14"/>
        <v>-0.54377525529503146</v>
      </c>
      <c r="DD11" s="40">
        <f t="shared" si="14"/>
        <v>-0.25359121808854468</v>
      </c>
      <c r="DE11" s="40">
        <f t="shared" si="14"/>
        <v>0.70543775255771379</v>
      </c>
    </row>
    <row r="12" spans="1:109" ht="29.25" customHeight="1" x14ac:dyDescent="0.2">
      <c r="A12" s="34">
        <v>44229</v>
      </c>
      <c r="B12" s="42">
        <f t="shared" si="10"/>
        <v>89</v>
      </c>
      <c r="C12" s="43">
        <v>222.9</v>
      </c>
      <c r="D12" s="43">
        <f t="shared" si="11"/>
        <v>64.900000000000006</v>
      </c>
      <c r="E12" s="36">
        <v>823209.96499999997</v>
      </c>
      <c r="F12" s="36">
        <v>1091504.1629999999</v>
      </c>
      <c r="G12" s="36">
        <v>-125.008</v>
      </c>
      <c r="H12" s="36">
        <v>823209.73400000005</v>
      </c>
      <c r="I12" s="36">
        <v>1091504.328</v>
      </c>
      <c r="J12" s="36">
        <v>-123.636</v>
      </c>
      <c r="K12" s="36">
        <v>823210.19299999997</v>
      </c>
      <c r="L12" s="36">
        <v>1091503.4369999999</v>
      </c>
      <c r="M12" s="36">
        <v>-121.101</v>
      </c>
      <c r="N12" s="36">
        <v>823211.70799999998</v>
      </c>
      <c r="O12" s="36">
        <v>1091500.1740000001</v>
      </c>
      <c r="P12" s="36">
        <v>-119.60899999999999</v>
      </c>
      <c r="Q12" s="36">
        <v>823212.79599999997</v>
      </c>
      <c r="R12" s="36">
        <v>1091497.7479999999</v>
      </c>
      <c r="S12" s="36">
        <v>-121.07299999999999</v>
      </c>
      <c r="T12" s="36">
        <v>823213.21400000004</v>
      </c>
      <c r="U12" s="36">
        <v>1091496.9990000001</v>
      </c>
      <c r="V12" s="36">
        <v>-123.65</v>
      </c>
      <c r="W12" s="36"/>
      <c r="X12" s="36"/>
      <c r="Y12" s="36"/>
      <c r="Z12" s="36">
        <f t="shared" si="1"/>
        <v>6.9353710065631278</v>
      </c>
      <c r="AA12" s="36">
        <f t="shared" si="2"/>
        <v>6.1130287909178787</v>
      </c>
      <c r="AB12" s="36">
        <f t="shared" si="3"/>
        <v>3.8946704608674976</v>
      </c>
      <c r="AC12" s="36">
        <f t="shared" si="4"/>
        <v>3.0352126780502418</v>
      </c>
      <c r="AD12" s="36">
        <f t="shared" si="5"/>
        <v>5.3552163355417184</v>
      </c>
      <c r="AE12" s="36"/>
      <c r="AF12" s="36">
        <f t="shared" si="7"/>
        <v>6.2562859589506381</v>
      </c>
      <c r="AG12" s="36">
        <f t="shared" si="8"/>
        <v>8.1132507047767124</v>
      </c>
      <c r="AH12" s="36" t="str">
        <f t="shared" si="9"/>
        <v/>
      </c>
      <c r="AI12" s="40">
        <f>(Z12-Z$10)*1000</f>
        <v>0.42333119131221508</v>
      </c>
      <c r="AJ12" s="40">
        <f t="shared" ref="AJ12" si="15">(AA12-AA$10)*1000</f>
        <v>0.22597955551884041</v>
      </c>
      <c r="AK12" s="40">
        <f t="shared" ref="AK12" si="16">(AB12-AB$10)*1000</f>
        <v>1.0893534299838414</v>
      </c>
      <c r="AL12" s="40">
        <f t="shared" ref="AL12" si="17">(AC12-AC$10)*1000</f>
        <v>0.48850446751114163</v>
      </c>
      <c r="AM12" s="40">
        <f t="shared" ref="AM12" si="18">(AD12-AD$10)*1000</f>
        <v>-0.77968190521016112</v>
      </c>
      <c r="AN12" s="40"/>
      <c r="AO12" s="40">
        <f t="shared" ref="AO12" si="19">(AF12-AF$10)*1000</f>
        <v>1.8941284287006255</v>
      </c>
      <c r="AP12" s="40">
        <f t="shared" ref="AP12" si="20">(AG12-AG$10)*1000</f>
        <v>0.55717373936303716</v>
      </c>
      <c r="AQ12" s="40"/>
      <c r="AR12" s="37"/>
      <c r="AS12" s="40">
        <f>(E12-E$10)*1000</f>
        <v>-1.6000000759959221</v>
      </c>
      <c r="AT12" s="40">
        <f t="shared" ref="AT12" si="21">(F12-F$10)*1000</f>
        <v>0.699999975040555</v>
      </c>
      <c r="AU12" s="40">
        <f t="shared" ref="AU12" si="22">(G12-G$10)*1000</f>
        <v>-0.99999999999056399</v>
      </c>
      <c r="AV12" s="40">
        <f t="shared" ref="AV12" si="23">(H12-H$10)*1000</f>
        <v>-1.39999995008111</v>
      </c>
      <c r="AW12" s="40">
        <f t="shared" ref="AW12" si="24">(I12-I$10)*1000</f>
        <v>0.699999975040555</v>
      </c>
      <c r="AX12" s="40">
        <f t="shared" ref="AX12" si="25">(J12-J$10)*1000</f>
        <v>-0.50000000000238742</v>
      </c>
      <c r="AY12" s="40">
        <f t="shared" ref="AY12" si="26">(K12-K$10)*1000</f>
        <v>-1.0000000474974513</v>
      </c>
      <c r="AZ12" s="40">
        <f t="shared" ref="AZ12" si="27">(L12-L$10)*1000</f>
        <v>1.39999995008111</v>
      </c>
      <c r="BA12" s="40">
        <f t="shared" ref="BA12" si="28">(M12-M$10)*1000</f>
        <v>-0.90000000000145519</v>
      </c>
      <c r="BB12" s="40">
        <f t="shared" ref="BB12" si="29">(N12-N$10)*1000</f>
        <v>1.9999999785795808</v>
      </c>
      <c r="BC12" s="40">
        <f t="shared" ref="BC12" si="30">(O12-O$10)*1000</f>
        <v>1.4000001829117537</v>
      </c>
      <c r="BD12" s="40">
        <f t="shared" ref="BD12" si="31">(P12-P$10)*1000</f>
        <v>-1.0999999999938836</v>
      </c>
      <c r="BE12" s="40">
        <f t="shared" ref="BE12" si="32">(Q12-Q$10)*1000</f>
        <v>-0.60000002849847078</v>
      </c>
      <c r="BF12" s="40">
        <f t="shared" ref="BF12" si="33">(R12-R$10)*1000</f>
        <v>-0.50000008195638657</v>
      </c>
      <c r="BG12" s="40">
        <f t="shared" ref="BG12" si="34">(S12-S$10)*1000</f>
        <v>-0.89999999998724434</v>
      </c>
      <c r="BH12" s="40">
        <f t="shared" ref="BH12" si="35">(T12-T$10)*1000</f>
        <v>-9.9999946542084217E-2</v>
      </c>
      <c r="BI12" s="40">
        <f t="shared" ref="BI12" si="36">(U12-U$10)*1000</f>
        <v>0.699999975040555</v>
      </c>
      <c r="BJ12" s="40">
        <f t="shared" ref="BJ12" si="37">(V12-V$10)*1000</f>
        <v>-0.30000000000995897</v>
      </c>
      <c r="BK12" s="40"/>
      <c r="BL12" s="40"/>
      <c r="BM12" s="40"/>
      <c r="BN12" s="37"/>
      <c r="BO12" s="36">
        <v>158.77988013104843</v>
      </c>
      <c r="BP12" s="36">
        <v>-3.8102336919485045</v>
      </c>
      <c r="BQ12" s="36">
        <v>-1.0526188013104871</v>
      </c>
      <c r="BR12" s="36">
        <v>158.6407051977348</v>
      </c>
      <c r="BS12" s="36">
        <v>-4.0576402156890277</v>
      </c>
      <c r="BT12" s="36">
        <v>0.32077294802265044</v>
      </c>
      <c r="BU12" s="36">
        <v>158.679723821756</v>
      </c>
      <c r="BV12" s="36">
        <v>-3.0555445879554584</v>
      </c>
      <c r="BW12" s="36">
        <v>2.8552827617824335</v>
      </c>
      <c r="BX12" s="36">
        <v>158.67357610685735</v>
      </c>
      <c r="BY12" s="36">
        <v>0.54120069854734931</v>
      </c>
      <c r="BZ12" s="36">
        <v>4.3469442389314281</v>
      </c>
      <c r="CA12" s="36">
        <v>158.6344432393706</v>
      </c>
      <c r="CB12" s="36">
        <v>3.1995716036228479</v>
      </c>
      <c r="CC12" s="36">
        <v>2.8840355676062899</v>
      </c>
      <c r="CD12" s="36">
        <v>158.69657406599671</v>
      </c>
      <c r="CE12" s="36">
        <v>4.0551012525724381</v>
      </c>
      <c r="CF12" s="36">
        <v>0.30571425934003571</v>
      </c>
      <c r="CG12" s="36"/>
      <c r="CH12" s="36"/>
      <c r="CI12" s="36"/>
      <c r="CJ12" s="37"/>
      <c r="CK12" s="40">
        <f>(BO12-BO$10)*1000</f>
        <v>-1.1481120458824989</v>
      </c>
      <c r="CL12" s="40">
        <f t="shared" ref="CL12" si="38">(BP12-BP$10)*1000</f>
        <v>-1.0871241195062886</v>
      </c>
      <c r="CM12" s="40">
        <f t="shared" ref="CM12" si="39">(BQ12-BQ$10)*1000</f>
        <v>-0.68851887954224367</v>
      </c>
      <c r="CN12" s="40">
        <f t="shared" ref="CN12" si="40">(BR12-BR$10)*1000</f>
        <v>-0.52590524043694131</v>
      </c>
      <c r="CO12" s="40">
        <f t="shared" ref="CO12" si="41">(BS12-BS$10)*1000</f>
        <v>-1.2383149659322967</v>
      </c>
      <c r="CP12" s="40">
        <f t="shared" ref="CP12" si="42">(BT12-BT$10)*1000</f>
        <v>-0.19474094760596472</v>
      </c>
      <c r="CQ12" s="40">
        <f t="shared" ref="CQ12" si="43">(BU12-BU$10)*1000</f>
        <v>-0.25401756005294374</v>
      </c>
      <c r="CR12" s="40">
        <f t="shared" ref="CR12" si="44">(BV12-BV$10)*1000</f>
        <v>-1.111519332269495</v>
      </c>
      <c r="CS12" s="40">
        <f t="shared" ref="CS12" si="45">(BW12-BW$10)*1000</f>
        <v>-0.6974598244084973</v>
      </c>
      <c r="CT12" s="40">
        <f t="shared" ref="CT12" si="46">(BX12-BX$10)*1000</f>
        <v>2.3981981707095201</v>
      </c>
      <c r="CU12" s="40">
        <f t="shared" ref="CU12" si="47">(BY12-BY$10)*1000</f>
        <v>-0.6470285148041377</v>
      </c>
      <c r="CV12" s="40">
        <f t="shared" ref="CV12" si="48">(BZ12-BZ$10)*1000</f>
        <v>-1.3239819816988074</v>
      </c>
      <c r="CW12" s="40">
        <f t="shared" ref="CW12" si="49">(CA12-CA$10)*1000</f>
        <v>-0.58604048291499566</v>
      </c>
      <c r="CX12" s="40">
        <f t="shared" ref="CX12" si="50">(CB12-CB$10)*1000</f>
        <v>-0.16296195611920083</v>
      </c>
      <c r="CY12" s="40">
        <f t="shared" ref="CY12" si="51">(CC12-CC$10)*1000</f>
        <v>-0.39413959517275998</v>
      </c>
      <c r="CZ12" s="40">
        <f t="shared" ref="CZ12" si="52">(CD12-CD$10)*1000</f>
        <v>0.24139356253272126</v>
      </c>
      <c r="DA12" s="40">
        <f t="shared" ref="DA12" si="53">(CE12-CE$10)*1000</f>
        <v>-0.99082239270931183</v>
      </c>
      <c r="DB12" s="40">
        <f t="shared" ref="DB12" si="54">(CF12-CF$10)*1000</f>
        <v>-0.50241393562089343</v>
      </c>
      <c r="DC12" s="40"/>
      <c r="DD12" s="40"/>
      <c r="DE12" s="40"/>
    </row>
    <row r="13" spans="1:109" ht="29.25" customHeight="1" x14ac:dyDescent="0.2">
      <c r="A13" s="34">
        <v>44273</v>
      </c>
      <c r="B13" s="42">
        <f t="shared" si="10"/>
        <v>133</v>
      </c>
      <c r="C13" s="43">
        <v>222.9</v>
      </c>
      <c r="D13" s="43">
        <f t="shared" ref="D13" si="55">C13-PM</f>
        <v>64.900000000000006</v>
      </c>
      <c r="E13" s="36">
        <v>823209.96510000003</v>
      </c>
      <c r="F13" s="36">
        <v>1091504.1621000001</v>
      </c>
      <c r="G13" s="36">
        <v>-125.0073</v>
      </c>
      <c r="H13" s="36">
        <v>823209.73450000002</v>
      </c>
      <c r="I13" s="36">
        <v>1091504.3267999999</v>
      </c>
      <c r="J13" s="36">
        <v>-123.6356</v>
      </c>
      <c r="K13" s="36">
        <v>823210.19299999997</v>
      </c>
      <c r="L13" s="36">
        <v>1091503.4356</v>
      </c>
      <c r="M13" s="36">
        <v>-121.101</v>
      </c>
      <c r="N13" s="36">
        <v>823211.70750000002</v>
      </c>
      <c r="O13" s="36">
        <v>1091500.1747999999</v>
      </c>
      <c r="P13" s="36">
        <v>-119.61020000000001</v>
      </c>
      <c r="Q13" s="36">
        <v>823212.79559999995</v>
      </c>
      <c r="R13" s="36">
        <v>1091497.7494999999</v>
      </c>
      <c r="S13" s="36">
        <v>-121.0731</v>
      </c>
      <c r="T13" s="36">
        <v>823213.21250000002</v>
      </c>
      <c r="U13" s="36">
        <v>1091496.9994999999</v>
      </c>
      <c r="V13" s="36">
        <v>-123.6498</v>
      </c>
      <c r="W13" s="36">
        <v>823213.17559999996</v>
      </c>
      <c r="X13" s="36">
        <v>1091497.2265000001</v>
      </c>
      <c r="Y13" s="36">
        <v>-125.0365</v>
      </c>
      <c r="Z13" s="36">
        <f t="shared" si="1"/>
        <v>6.9327633351487643</v>
      </c>
      <c r="AA13" s="36">
        <f t="shared" si="2"/>
        <v>6.110292804768692</v>
      </c>
      <c r="AB13" s="36">
        <f t="shared" si="3"/>
        <v>3.8921731115734324</v>
      </c>
      <c r="AC13" s="36">
        <f t="shared" si="4"/>
        <v>3.0341585505493884</v>
      </c>
      <c r="AD13" s="36">
        <f t="shared" si="5"/>
        <v>5.3540567096390115</v>
      </c>
      <c r="AE13" s="36">
        <f t="shared" si="6"/>
        <v>6.3476391035352613</v>
      </c>
      <c r="AF13" s="36">
        <f t="shared" si="7"/>
        <v>6.2534821004367913</v>
      </c>
      <c r="AG13" s="36">
        <f t="shared" si="8"/>
        <v>8.11085759522906</v>
      </c>
      <c r="AH13" s="36">
        <f t="shared" si="9"/>
        <v>7.6426899877657695</v>
      </c>
      <c r="AI13" s="40">
        <f>(Z13-Z$10)*1000</f>
        <v>-2.184340223051251</v>
      </c>
      <c r="AJ13" s="40">
        <f t="shared" ref="AJ13" si="56">(AA13-AA$10)*1000</f>
        <v>-2.5100065936678462</v>
      </c>
      <c r="AK13" s="40">
        <f t="shared" ref="AK13" si="57">(AB13-AB$10)*1000</f>
        <v>-1.4079958640813572</v>
      </c>
      <c r="AL13" s="40">
        <f t="shared" ref="AL13" si="58">(AC13-AC$10)*1000</f>
        <v>-0.56562303334217745</v>
      </c>
      <c r="AM13" s="40">
        <f t="shared" ref="AM13" si="59">(AD13-AD$10)*1000</f>
        <v>-1.9393078079170678</v>
      </c>
      <c r="AN13" s="40">
        <f t="shared" si="12"/>
        <v>-2.5838287647896863</v>
      </c>
      <c r="AO13" s="40">
        <f t="shared" ref="AO13" si="60">(AF13-AF$10)*1000</f>
        <v>-0.90973008514616538</v>
      </c>
      <c r="AP13" s="40">
        <f t="shared" ref="AP13" si="61">(AG13-AG$10)*1000</f>
        <v>-1.8359358082893351</v>
      </c>
      <c r="AQ13" s="40">
        <f t="shared" si="12"/>
        <v>-1.8788404955376592</v>
      </c>
      <c r="AR13" s="37"/>
      <c r="AS13" s="40">
        <f>(E13-E$10)*1000</f>
        <v>-1.500000013038516</v>
      </c>
      <c r="AT13" s="40">
        <f t="shared" ref="AT13" si="62">(F13-F$10)*1000</f>
        <v>-0.19999989308416843</v>
      </c>
      <c r="AU13" s="40">
        <f t="shared" ref="AU13" si="63">(G13-G$10)*1000</f>
        <v>-0.29999999999574811</v>
      </c>
      <c r="AV13" s="40">
        <f t="shared" ref="AV13" si="64">(H13-H$10)*1000</f>
        <v>-0.89999998454004526</v>
      </c>
      <c r="AW13" s="40">
        <f t="shared" ref="AW13" si="65">(I13-I$10)*1000</f>
        <v>-0.50000008195638657</v>
      </c>
      <c r="AX13" s="40">
        <f t="shared" ref="AX13" si="66">(J13-J$10)*1000</f>
        <v>-0.10000000000331966</v>
      </c>
      <c r="AY13" s="40">
        <f t="shared" ref="AY13" si="67">(K13-K$10)*1000</f>
        <v>-1.0000000474974513</v>
      </c>
      <c r="AZ13" s="40">
        <f t="shared" ref="AZ13" si="68">(L13-L$10)*1000</f>
        <v>0</v>
      </c>
      <c r="BA13" s="40">
        <f t="shared" ref="BA13" si="69">(M13-M$10)*1000</f>
        <v>-0.90000000000145519</v>
      </c>
      <c r="BB13" s="40">
        <f t="shared" ref="BB13" si="70">(N13-N$10)*1000</f>
        <v>1.500000013038516</v>
      </c>
      <c r="BC13" s="40">
        <f t="shared" ref="BC13" si="71">(O13-O$10)*1000</f>
        <v>2.199999988079071</v>
      </c>
      <c r="BD13" s="40">
        <f t="shared" ref="BD13" si="72">(P13-P$10)*1000</f>
        <v>-2.3000000000052978</v>
      </c>
      <c r="BE13" s="40">
        <f t="shared" ref="BE13" si="73">(Q13-Q$10)*1000</f>
        <v>-1.0000000474974513</v>
      </c>
      <c r="BF13" s="40">
        <f t="shared" ref="BF13" si="74">(R13-R$10)*1000</f>
        <v>0.99999993108212948</v>
      </c>
      <c r="BG13" s="40">
        <f t="shared" ref="BG13" si="75">(S13-S$10)*1000</f>
        <v>-0.99999999999056399</v>
      </c>
      <c r="BH13" s="40">
        <f t="shared" ref="BH13" si="76">(T13-T$10)*1000</f>
        <v>-1.5999999595806003</v>
      </c>
      <c r="BI13" s="40">
        <f t="shared" ref="BI13" si="77">(U13-U$10)*1000</f>
        <v>1.1999998241662979</v>
      </c>
      <c r="BJ13" s="40">
        <f t="shared" ref="BJ13" si="78">(V13-V$10)*1000</f>
        <v>-0.10000000000331966</v>
      </c>
      <c r="BK13" s="40">
        <f t="shared" ref="BK13" si="79">(W13-W$10)*1000</f>
        <v>-1.0000000474974513</v>
      </c>
      <c r="BL13" s="40">
        <f t="shared" ref="BL13" si="80">(X13-X$10)*1000</f>
        <v>2.1000001579523087</v>
      </c>
      <c r="BM13" s="40">
        <f t="shared" ref="BM13" si="81">(Y13-Y$10)*1000</f>
        <v>0.10000000000331966</v>
      </c>
      <c r="BN13" s="37"/>
      <c r="BO13" s="36">
        <v>158.77958427465191</v>
      </c>
      <c r="BP13" s="36">
        <v>-3.8095992875367064</v>
      </c>
      <c r="BQ13" s="36">
        <v>-1.05221584274652</v>
      </c>
      <c r="BR13" s="36">
        <v>158.64020411410533</v>
      </c>
      <c r="BS13" s="36">
        <v>-4.0563291414268097</v>
      </c>
      <c r="BT13" s="36">
        <v>0.32087795885894366</v>
      </c>
      <c r="BU13" s="36">
        <v>158.67907154722386</v>
      </c>
      <c r="BV13" s="36">
        <v>-3.0548557206533511</v>
      </c>
      <c r="BW13" s="36">
        <v>2.8550892845277644</v>
      </c>
      <c r="BX13" s="36">
        <v>158.67346718118935</v>
      </c>
      <c r="BY13" s="36">
        <v>0.54048786258546144</v>
      </c>
      <c r="BZ13" s="36">
        <v>4.345945328188094</v>
      </c>
      <c r="CA13" s="36">
        <v>158.6345456397423</v>
      </c>
      <c r="CB13" s="36">
        <v>3.1984056215620909</v>
      </c>
      <c r="CC13" s="36">
        <v>2.8834345436025757</v>
      </c>
      <c r="CD13" s="36">
        <v>158.69538978752996</v>
      </c>
      <c r="CE13" s="36">
        <v>4.0543282814664527</v>
      </c>
      <c r="CF13" s="36">
        <v>0.30612610212469349</v>
      </c>
      <c r="CG13" s="36">
        <v>158.75788961722779</v>
      </c>
      <c r="CH13" s="36">
        <v>3.8330041269375865</v>
      </c>
      <c r="CI13" s="36">
        <v>-1.0811988961722818</v>
      </c>
      <c r="CJ13" s="37"/>
      <c r="CK13" s="40">
        <f>(BO13-BO$10)*1000</f>
        <v>-1.4439684424019106</v>
      </c>
      <c r="CL13" s="40">
        <f t="shared" ref="CL13" si="82">(BP13-BP$10)*1000</f>
        <v>-0.45271970770821568</v>
      </c>
      <c r="CM13" s="40">
        <f t="shared" ref="CM13" si="83">(BQ13-BQ$10)*1000</f>
        <v>-0.28556031557513961</v>
      </c>
      <c r="CN13" s="40">
        <f t="shared" ref="CN13" si="84">(BR13-BR$10)*1000</f>
        <v>-1.0269888699099283</v>
      </c>
      <c r="CO13" s="40">
        <f t="shared" ref="CO13" si="85">(BS13-BS$10)*1000</f>
        <v>7.2759296285695996E-2</v>
      </c>
      <c r="CP13" s="40">
        <f t="shared" ref="CP13" si="86">(BT13-BT$10)*1000</f>
        <v>-8.9730111312746885E-2</v>
      </c>
      <c r="CQ13" s="40">
        <f t="shared" ref="CQ13" si="87">(BU13-BU$10)*1000</f>
        <v>-0.90629209219628137</v>
      </c>
      <c r="CR13" s="40">
        <f t="shared" ref="CR13" si="88">(BV13-BV$10)*1000</f>
        <v>-0.42265203016222941</v>
      </c>
      <c r="CS13" s="40">
        <f t="shared" ref="CS13" si="89">(BW13-BW$10)*1000</f>
        <v>-0.89093707907750286</v>
      </c>
      <c r="CT13" s="40">
        <f t="shared" ref="CT13" si="90">(BX13-BX$10)*1000</f>
        <v>2.2892725027077176</v>
      </c>
      <c r="CU13" s="40">
        <f t="shared" ref="CU13" si="91">(BY13-BY$10)*1000</f>
        <v>-1.3598644766920076</v>
      </c>
      <c r="CV13" s="40">
        <f t="shared" ref="CV13" si="92">(BZ13-BZ$10)*1000</f>
        <v>-2.3228927250329434</v>
      </c>
      <c r="CW13" s="40">
        <f t="shared" ref="CW13" si="93">(CA13-CA$10)*1000</f>
        <v>-0.48364011121293515</v>
      </c>
      <c r="CX13" s="40">
        <f t="shared" ref="CX13" si="94">(CB13-CB$10)*1000</f>
        <v>-1.3289440168762212</v>
      </c>
      <c r="CY13" s="40">
        <f t="shared" ref="CY13" si="95">(CC13-CC$10)*1000</f>
        <v>-0.99516359888696115</v>
      </c>
      <c r="CZ13" s="40">
        <f t="shared" ref="CZ13" si="96">(CD13-CD$10)*1000</f>
        <v>-0.94288490421945426</v>
      </c>
      <c r="DA13" s="40">
        <f t="shared" ref="DA13" si="97">(CE13-CE$10)*1000</f>
        <v>-1.7637934986947101</v>
      </c>
      <c r="DB13" s="40">
        <f t="shared" ref="DB13" si="98">(CF13-CF$10)*1000</f>
        <v>-9.0571150963114633E-2</v>
      </c>
      <c r="DC13" s="40">
        <f t="shared" ref="DC13" si="99">(CG13-CG$10)*1000</f>
        <v>-1.8722804242088387E-2</v>
      </c>
      <c r="DD13" s="40">
        <f t="shared" ref="DD13" si="100">(CH13-CH$10)*1000</f>
        <v>-2.3258654765574427</v>
      </c>
      <c r="DE13" s="40">
        <f t="shared" ref="DE13" si="101">(CI13-CI$10)*1000</f>
        <v>0.10018722804261415</v>
      </c>
    </row>
    <row r="14" spans="1:109" ht="29.25" customHeight="1" x14ac:dyDescent="0.2">
      <c r="A14" s="34">
        <v>44287</v>
      </c>
      <c r="B14" s="42">
        <f t="shared" si="10"/>
        <v>147</v>
      </c>
      <c r="C14" s="43">
        <v>222.9</v>
      </c>
      <c r="D14" s="43">
        <f t="shared" ref="D14" si="102">C14-PM</f>
        <v>64.900000000000006</v>
      </c>
      <c r="E14" s="36"/>
      <c r="F14" s="36"/>
      <c r="G14" s="36"/>
      <c r="H14" s="36">
        <v>823209.73490000004</v>
      </c>
      <c r="I14" s="36">
        <v>1091504.3241000001</v>
      </c>
      <c r="J14" s="36">
        <v>-123.63460000000001</v>
      </c>
      <c r="K14" s="36">
        <v>823210.19310000003</v>
      </c>
      <c r="L14" s="36">
        <v>1091503.4327</v>
      </c>
      <c r="M14" s="36">
        <v>-121.0997</v>
      </c>
      <c r="N14" s="36">
        <v>823211.70889999997</v>
      </c>
      <c r="O14" s="36">
        <v>1091500.1714000001</v>
      </c>
      <c r="P14" s="36">
        <v>-119.6097</v>
      </c>
      <c r="Q14" s="36">
        <v>823212.79749999999</v>
      </c>
      <c r="R14" s="36">
        <v>1091497.7464000001</v>
      </c>
      <c r="S14" s="36">
        <v>-121.07210000000001</v>
      </c>
      <c r="T14" s="36">
        <v>823213.21290000004</v>
      </c>
      <c r="U14" s="36">
        <v>1091496.9974</v>
      </c>
      <c r="V14" s="36">
        <v>-123.6489</v>
      </c>
      <c r="W14" s="36">
        <v>823213.17579999997</v>
      </c>
      <c r="X14" s="36">
        <v>1091497.2234</v>
      </c>
      <c r="Y14" s="36">
        <v>-125.03570000000001</v>
      </c>
      <c r="Z14" s="36"/>
      <c r="AA14" s="36">
        <f t="shared" si="2"/>
        <v>6.1107620882774309</v>
      </c>
      <c r="AB14" s="36">
        <f t="shared" si="3"/>
        <v>3.892791714069622</v>
      </c>
      <c r="AC14" s="36">
        <f t="shared" si="4"/>
        <v>3.0338570698474849</v>
      </c>
      <c r="AD14" s="36">
        <f t="shared" si="5"/>
        <v>5.3527029285169894</v>
      </c>
      <c r="AE14" s="36">
        <f t="shared" si="6"/>
        <v>6.346965858623828</v>
      </c>
      <c r="AF14" s="36">
        <f t="shared" si="7"/>
        <v>6.2544119475060427</v>
      </c>
      <c r="AG14" s="36">
        <f t="shared" si="8"/>
        <v>8.1103157386980449</v>
      </c>
      <c r="AH14" s="36"/>
      <c r="AI14" s="40"/>
      <c r="AJ14" s="40">
        <f t="shared" ref="AJ14:AJ15" si="103">(AA14-AA$10)*1000</f>
        <v>-2.0407230849288638</v>
      </c>
      <c r="AK14" s="40">
        <f t="shared" ref="AK14:AK15" si="104">(AB14-AB$10)*1000</f>
        <v>-0.78939336789174419</v>
      </c>
      <c r="AL14" s="40">
        <f t="shared" ref="AL14:AL15" si="105">(AC14-AC$10)*1000</f>
        <v>-0.86710373524567785</v>
      </c>
      <c r="AM14" s="40">
        <f t="shared" ref="AM14:AM15" si="106">(AD14-AD$10)*1000</f>
        <v>-3.2930889299391808</v>
      </c>
      <c r="AN14" s="40">
        <f t="shared" ref="AN14:AN15" si="107">(AE14-AE$10)*1000</f>
        <v>-3.2570736762229657</v>
      </c>
      <c r="AO14" s="40">
        <f t="shared" ref="AO14:AO15" si="108">(AF14-AF$10)*1000</f>
        <v>2.0116984105200686E-2</v>
      </c>
      <c r="AP14" s="40">
        <f t="shared" ref="AP14:AP15" si="109">(AG14-AG$10)*1000</f>
        <v>-2.3777923393044631</v>
      </c>
      <c r="AQ14" s="40"/>
      <c r="AR14" s="37"/>
      <c r="AS14" s="40"/>
      <c r="AT14" s="40"/>
      <c r="AU14" s="40"/>
      <c r="AV14" s="40">
        <f t="shared" ref="AV14:AV15" si="110">(H14-H$10)*1000</f>
        <v>-0.49999996554106474</v>
      </c>
      <c r="AW14" s="40">
        <f t="shared" ref="AW14:AW15" si="111">(I14-I$10)*1000</f>
        <v>-3.1999999191612005</v>
      </c>
      <c r="AX14" s="40">
        <f t="shared" ref="AX14:AX15" si="112">(J14-J$10)*1000</f>
        <v>0.89999999998724434</v>
      </c>
      <c r="AY14" s="40">
        <f t="shared" ref="AY14:AY15" si="113">(K14-K$10)*1000</f>
        <v>-0.89999998454004526</v>
      </c>
      <c r="AZ14" s="40">
        <f t="shared" ref="AZ14:AZ15" si="114">(L14-L$10)*1000</f>
        <v>-2.899999963119626</v>
      </c>
      <c r="BA14" s="40">
        <f t="shared" ref="BA14:BA15" si="115">(M14-M$10)*1000</f>
        <v>0.39999999999906777</v>
      </c>
      <c r="BB14" s="40">
        <f t="shared" ref="BB14:BB15" si="116">(N14-N$10)*1000</f>
        <v>2.899999963119626</v>
      </c>
      <c r="BC14" s="40">
        <f t="shared" ref="BC14:BC15" si="117">(O14-O$10)*1000</f>
        <v>-1.1999998241662979</v>
      </c>
      <c r="BD14" s="40">
        <f t="shared" ref="BD14:BD15" si="118">(P14-P$10)*1000</f>
        <v>-1.8000000000029104</v>
      </c>
      <c r="BE14" s="40">
        <f t="shared" ref="BE14:BE15" si="119">(Q14-Q$10)*1000</f>
        <v>0.89999998454004526</v>
      </c>
      <c r="BF14" s="40">
        <f t="shared" ref="BF14:BF15" si="120">(R14-R$10)*1000</f>
        <v>-2.099999925121665</v>
      </c>
      <c r="BG14" s="40">
        <f t="shared" ref="BG14:BG15" si="121">(S14-S$10)*1000</f>
        <v>0</v>
      </c>
      <c r="BH14" s="40">
        <f t="shared" ref="BH14:BH15" si="122">(T14-T$10)*1000</f>
        <v>-1.1999999405816197</v>
      </c>
      <c r="BI14" s="40">
        <f t="shared" ref="BI14:BI15" si="123">(U14-U$10)*1000</f>
        <v>-0.90000010095536709</v>
      </c>
      <c r="BJ14" s="40">
        <f t="shared" ref="BJ14:BJ15" si="124">(V14-V$10)*1000</f>
        <v>0.79999999999813554</v>
      </c>
      <c r="BK14" s="40">
        <f t="shared" ref="BK14:BK15" si="125">(W14-W$10)*1000</f>
        <v>-0.80000003799796104</v>
      </c>
      <c r="BL14" s="40">
        <f t="shared" ref="BL14:BL15" si="126">(X14-X$10)*1000</f>
        <v>-0.99999993108212948</v>
      </c>
      <c r="BM14" s="40">
        <f t="shared" ref="BM14:BM15" si="127">(Y14-Y$10)*1000</f>
        <v>0.90000000000145519</v>
      </c>
      <c r="BN14" s="37"/>
      <c r="BO14" s="36"/>
      <c r="BP14" s="36"/>
      <c r="BQ14" s="36"/>
      <c r="BR14" s="36">
        <v>158.63942547058377</v>
      </c>
      <c r="BS14" s="36">
        <v>-4.0537130922295628</v>
      </c>
      <c r="BT14" s="36">
        <v>0.32188574529415348</v>
      </c>
      <c r="BU14" s="36">
        <v>158.67793648567215</v>
      </c>
      <c r="BV14" s="36">
        <v>-3.0521852085166343</v>
      </c>
      <c r="BW14" s="36">
        <v>2.8564006351432738</v>
      </c>
      <c r="BX14" s="36">
        <v>158.673298973258</v>
      </c>
      <c r="BY14" s="36">
        <v>0.54416096817545045</v>
      </c>
      <c r="BZ14" s="36">
        <v>4.3464470102674113</v>
      </c>
      <c r="CA14" s="36">
        <v>158.63495737349422</v>
      </c>
      <c r="CB14" s="36">
        <v>3.2020181656168893</v>
      </c>
      <c r="CC14" s="36">
        <v>2.8844304262650553</v>
      </c>
      <c r="CD14" s="36">
        <v>158.69486473517725</v>
      </c>
      <c r="CE14" s="36">
        <v>4.056400555513914</v>
      </c>
      <c r="CF14" s="36">
        <v>0.30703135264822379</v>
      </c>
      <c r="CG14" s="36">
        <v>158.7567606543773</v>
      </c>
      <c r="CH14" s="36">
        <v>3.8358981627767137</v>
      </c>
      <c r="CI14" s="36">
        <v>-1.0803876065437805</v>
      </c>
      <c r="CJ14" s="37"/>
      <c r="CK14" s="40"/>
      <c r="CL14" s="40"/>
      <c r="CM14" s="40"/>
      <c r="CN14" s="40">
        <f t="shared" ref="CN14:CN15" si="128">(BR14-BR$10)*1000</f>
        <v>-1.8056323914663608</v>
      </c>
      <c r="CO14" s="40">
        <f t="shared" ref="CO14:CO15" si="129">(BS14-BS$10)*1000</f>
        <v>2.6888084935325907</v>
      </c>
      <c r="CP14" s="40">
        <f t="shared" ref="CP14:CP15" si="130">(BT14-BT$10)*1000</f>
        <v>0.91805632389707625</v>
      </c>
      <c r="CQ14" s="40">
        <f t="shared" ref="CQ14:CQ15" si="131">(BU14-BU$10)*1000</f>
        <v>-2.0413536439036761</v>
      </c>
      <c r="CR14" s="40">
        <f t="shared" ref="CR14:CR15" si="132">(BV14-BV$10)*1000</f>
        <v>2.2478601065545334</v>
      </c>
      <c r="CS14" s="40">
        <f t="shared" ref="CS14:CS15" si="133">(BW14-BW$10)*1000</f>
        <v>0.42041353643185175</v>
      </c>
      <c r="CT14" s="40">
        <f t="shared" ref="CT14:CT15" si="134">(BX14-BX$10)*1000</f>
        <v>2.1210645713551912</v>
      </c>
      <c r="CU14" s="40">
        <f t="shared" ref="CU14:CU15" si="135">(BY14-BY$10)*1000</f>
        <v>2.3132411132970043</v>
      </c>
      <c r="CV14" s="40">
        <f t="shared" ref="CV14:CV15" si="136">(BZ14-BZ$10)*1000</f>
        <v>-1.8212106457156096</v>
      </c>
      <c r="CW14" s="40">
        <f t="shared" ref="CW14:CW15" si="137">(CA14-CA$10)*1000</f>
        <v>-7.1906359295326183E-2</v>
      </c>
      <c r="CX14" s="40">
        <f t="shared" ref="CX14:CX15" si="138">(CB14-CB$10)*1000</f>
        <v>2.2836000379222732</v>
      </c>
      <c r="CY14" s="40">
        <f t="shared" ref="CY14:CY15" si="139">(CC14-CC$10)*1000</f>
        <v>7.1906359266904474E-4</v>
      </c>
      <c r="CZ14" s="40">
        <f t="shared" ref="CZ14:CZ15" si="140">(CD14-CD$10)*1000</f>
        <v>-1.4679372569332827</v>
      </c>
      <c r="DA14" s="40">
        <f t="shared" ref="DA14:DA15" si="141">(CE14-CE$10)*1000</f>
        <v>0.30848054876653208</v>
      </c>
      <c r="DB14" s="40">
        <f t="shared" ref="DB14:DB15" si="142">(CF14-CF$10)*1000</f>
        <v>0.81467937256718415</v>
      </c>
      <c r="DC14" s="40">
        <f t="shared" ref="DC14:DC15" si="143">(CG14-CG$10)*1000</f>
        <v>-1.1476856547290026</v>
      </c>
      <c r="DD14" s="40">
        <f t="shared" ref="DD14:DD15" si="144">(CH14-CH$10)*1000</f>
        <v>0.56817036256973097</v>
      </c>
      <c r="DE14" s="40">
        <f t="shared" ref="DE14:DE15" si="145">(CI14-CI$10)*1000</f>
        <v>0.91147685654391353</v>
      </c>
    </row>
    <row r="15" spans="1:109" ht="29.25" customHeight="1" x14ac:dyDescent="0.2">
      <c r="A15" s="34">
        <v>44308</v>
      </c>
      <c r="B15" s="27">
        <f t="shared" si="10"/>
        <v>168</v>
      </c>
      <c r="C15" s="43">
        <v>222.9</v>
      </c>
      <c r="D15" s="43">
        <f t="shared" ref="D15:D16" si="146">C15-PM</f>
        <v>64.900000000000006</v>
      </c>
      <c r="E15" s="36">
        <v>823209.96539999999</v>
      </c>
      <c r="F15" s="36">
        <v>1091504.1625999999</v>
      </c>
      <c r="G15" s="36">
        <v>-125.00700000000001</v>
      </c>
      <c r="H15" s="36">
        <v>823209.73459999997</v>
      </c>
      <c r="I15" s="36">
        <v>1091504.3278000001</v>
      </c>
      <c r="J15" s="36">
        <v>-123.6354</v>
      </c>
      <c r="K15" s="36">
        <v>823210.19330000004</v>
      </c>
      <c r="L15" s="36">
        <v>1091503.4364</v>
      </c>
      <c r="M15" s="36">
        <v>-121.1005</v>
      </c>
      <c r="N15" s="36">
        <v>823211.70770000003</v>
      </c>
      <c r="O15" s="36">
        <v>1091500.1745</v>
      </c>
      <c r="P15" s="36">
        <v>-119.6101</v>
      </c>
      <c r="Q15" s="36">
        <v>823212.79579999996</v>
      </c>
      <c r="R15" s="36">
        <v>1091497.7489</v>
      </c>
      <c r="S15" s="36">
        <v>-121.0727</v>
      </c>
      <c r="T15" s="36">
        <v>823213.21380000003</v>
      </c>
      <c r="U15" s="36">
        <v>1091496.9996</v>
      </c>
      <c r="V15" s="36">
        <v>-123.64960000000001</v>
      </c>
      <c r="W15" s="36">
        <v>823213.17649999994</v>
      </c>
      <c r="X15" s="36">
        <v>1091497.2256</v>
      </c>
      <c r="Y15" s="36">
        <v>-125.0364</v>
      </c>
      <c r="Z15" s="36">
        <f t="shared" si="1"/>
        <v>6.9330426588775289</v>
      </c>
      <c r="AA15" s="36">
        <f t="shared" si="2"/>
        <v>6.1111426583948267</v>
      </c>
      <c r="AB15" s="36">
        <f t="shared" si="3"/>
        <v>3.8929026612831898</v>
      </c>
      <c r="AC15" s="36">
        <f t="shared" si="4"/>
        <v>3.0342537352137722</v>
      </c>
      <c r="AD15" s="36">
        <f t="shared" si="5"/>
        <v>5.3540533682334566</v>
      </c>
      <c r="AE15" s="36">
        <f t="shared" si="6"/>
        <v>6.3480797363857189</v>
      </c>
      <c r="AF15" s="36">
        <f t="shared" si="7"/>
        <v>6.2547130501397072</v>
      </c>
      <c r="AG15" s="36">
        <f t="shared" si="8"/>
        <v>8.112185249484952</v>
      </c>
      <c r="AH15" s="36">
        <f t="shared" si="9"/>
        <v>7.644213273358182</v>
      </c>
      <c r="AI15" s="40">
        <f t="shared" ref="AI15" si="147">(Z15-Z$10)*1000</f>
        <v>-1.9050164942866488</v>
      </c>
      <c r="AJ15" s="40">
        <f t="shared" si="103"/>
        <v>-1.6601529675330795</v>
      </c>
      <c r="AK15" s="40">
        <f t="shared" si="104"/>
        <v>-0.67844615432388622</v>
      </c>
      <c r="AL15" s="40">
        <f t="shared" si="105"/>
        <v>-0.47043836895843683</v>
      </c>
      <c r="AM15" s="40">
        <f t="shared" si="106"/>
        <v>-1.9426492134719808</v>
      </c>
      <c r="AN15" s="40">
        <f t="shared" si="107"/>
        <v>-2.1431959143320967</v>
      </c>
      <c r="AO15" s="40">
        <f t="shared" si="108"/>
        <v>0.32121961776976349</v>
      </c>
      <c r="AP15" s="40">
        <f t="shared" si="109"/>
        <v>-0.5082815523973494</v>
      </c>
      <c r="AQ15" s="40">
        <f t="shared" ref="AQ15" si="148">(AH15-AH$10)*1000</f>
        <v>-0.3555549031251104</v>
      </c>
      <c r="AR15" s="37"/>
      <c r="AS15" s="40">
        <f t="shared" ref="AS15" si="149">(E15-E$10)*1000</f>
        <v>-1.2000000569969416</v>
      </c>
      <c r="AT15" s="40">
        <f t="shared" ref="AT15" si="150">(F15-F$10)*1000</f>
        <v>0.29999995604157448</v>
      </c>
      <c r="AU15" s="40">
        <f t="shared" ref="AU15" si="151">(G15-G$10)*1000</f>
        <v>0</v>
      </c>
      <c r="AV15" s="40">
        <f t="shared" si="110"/>
        <v>-0.80000003799796104</v>
      </c>
      <c r="AW15" s="40">
        <f t="shared" si="111"/>
        <v>0.50000008195638657</v>
      </c>
      <c r="AX15" s="40">
        <f t="shared" si="112"/>
        <v>9.9999999989108801E-2</v>
      </c>
      <c r="AY15" s="40">
        <f t="shared" si="113"/>
        <v>-0.699999975040555</v>
      </c>
      <c r="AZ15" s="40">
        <f t="shared" si="114"/>
        <v>0.80000003799796104</v>
      </c>
      <c r="BA15" s="40">
        <f t="shared" si="115"/>
        <v>-0.39999999999906777</v>
      </c>
      <c r="BB15" s="40">
        <f t="shared" si="116"/>
        <v>1.7000000225380063</v>
      </c>
      <c r="BC15" s="40">
        <f t="shared" si="117"/>
        <v>1.9000000320374966</v>
      </c>
      <c r="BD15" s="40">
        <f t="shared" si="118"/>
        <v>-2.2000000000019782</v>
      </c>
      <c r="BE15" s="40">
        <f t="shared" si="119"/>
        <v>-0.80000003799796104</v>
      </c>
      <c r="BF15" s="40">
        <f t="shared" si="120"/>
        <v>0.40000001899898052</v>
      </c>
      <c r="BG15" s="40">
        <f t="shared" si="121"/>
        <v>-0.59999999999149622</v>
      </c>
      <c r="BH15" s="40">
        <f t="shared" si="122"/>
        <v>-0.29999995604157448</v>
      </c>
      <c r="BI15" s="40">
        <f t="shared" si="123"/>
        <v>1.299999887123704</v>
      </c>
      <c r="BJ15" s="40">
        <f t="shared" si="124"/>
        <v>9.9999999989108801E-2</v>
      </c>
      <c r="BK15" s="40">
        <f t="shared" si="125"/>
        <v>-0.10000006295740604</v>
      </c>
      <c r="BL15" s="40">
        <f t="shared" si="126"/>
        <v>1.2000000569969416</v>
      </c>
      <c r="BM15" s="40">
        <f t="shared" si="127"/>
        <v>0.20000000000663931</v>
      </c>
      <c r="BN15" s="37"/>
      <c r="BO15" s="36">
        <v>158.7800674881681</v>
      </c>
      <c r="BP15" s="36">
        <v>-3.8099256378401116</v>
      </c>
      <c r="BQ15" s="36">
        <v>-1.0519206748816856</v>
      </c>
      <c r="BR15" s="36">
        <v>158.64071739534117</v>
      </c>
      <c r="BS15" s="36">
        <v>-4.0571931684460836</v>
      </c>
      <c r="BT15" s="36">
        <v>0.32107282604657428</v>
      </c>
      <c r="BU15" s="36">
        <v>158.67968155652841</v>
      </c>
      <c r="BV15" s="36">
        <v>-3.0554539586934717</v>
      </c>
      <c r="BW15" s="36">
        <v>2.855583184434721</v>
      </c>
      <c r="BX15" s="36">
        <v>158.67352164402334</v>
      </c>
      <c r="BY15" s="36">
        <v>0.54084428056639589</v>
      </c>
      <c r="BZ15" s="36">
        <v>4.346044783559762</v>
      </c>
      <c r="CA15" s="36">
        <v>158.63447330699185</v>
      </c>
      <c r="CB15" s="36">
        <v>3.199033927117958</v>
      </c>
      <c r="CC15" s="36">
        <v>2.8838352669300775</v>
      </c>
      <c r="CD15" s="36">
        <v>158.69661023242466</v>
      </c>
      <c r="CE15" s="36">
        <v>4.054787099819114</v>
      </c>
      <c r="CF15" s="36">
        <v>0.30631389767575001</v>
      </c>
      <c r="CG15" s="36">
        <v>158.75832489320624</v>
      </c>
      <c r="CH15" s="36">
        <v>3.83420017667587</v>
      </c>
      <c r="CI15" s="36">
        <v>-1.0811032489320667</v>
      </c>
      <c r="CJ15" s="37"/>
      <c r="CK15" s="40">
        <f t="shared" ref="CK15" si="152">(BO15-BO$10)*1000</f>
        <v>-0.96075492621139347</v>
      </c>
      <c r="CL15" s="40">
        <f t="shared" ref="CL15" si="153">(BP15-BP$10)*1000</f>
        <v>-0.77907001111343632</v>
      </c>
      <c r="CM15" s="40">
        <f t="shared" ref="CM15" si="154">(BQ15-BQ$10)*1000</f>
        <v>9.6075492592717637E-3</v>
      </c>
      <c r="CN15" s="40">
        <f t="shared" si="128"/>
        <v>-0.51370763407021514</v>
      </c>
      <c r="CO15" s="40">
        <f t="shared" si="129"/>
        <v>-0.79126772298820924</v>
      </c>
      <c r="CP15" s="40">
        <f t="shared" si="130"/>
        <v>0.10513707631787383</v>
      </c>
      <c r="CQ15" s="40">
        <f t="shared" si="131"/>
        <v>-0.29628278764448623</v>
      </c>
      <c r="CR15" s="40">
        <f t="shared" si="132"/>
        <v>-1.0208900702828316</v>
      </c>
      <c r="CS15" s="40">
        <f t="shared" si="133"/>
        <v>-0.3970371721209176</v>
      </c>
      <c r="CT15" s="40">
        <f t="shared" si="134"/>
        <v>2.343735336694408</v>
      </c>
      <c r="CU15" s="40">
        <f t="shared" si="135"/>
        <v>-1.0034464957575651</v>
      </c>
      <c r="CV15" s="40">
        <f t="shared" si="136"/>
        <v>-2.2234373533649432</v>
      </c>
      <c r="CW15" s="40">
        <f t="shared" si="137"/>
        <v>-0.55597286166175763</v>
      </c>
      <c r="CX15" s="40">
        <f t="shared" si="138"/>
        <v>-0.70063846100909544</v>
      </c>
      <c r="CY15" s="40">
        <f t="shared" si="139"/>
        <v>-0.59444027138511046</v>
      </c>
      <c r="CZ15" s="40">
        <f t="shared" si="140"/>
        <v>0.2775599904794035</v>
      </c>
      <c r="DA15" s="40">
        <f t="shared" si="141"/>
        <v>-1.3049751460334491</v>
      </c>
      <c r="DB15" s="40">
        <f t="shared" si="142"/>
        <v>9.7224400093409713E-2</v>
      </c>
      <c r="DC15" s="40">
        <f t="shared" si="143"/>
        <v>0.41655317420463689</v>
      </c>
      <c r="DD15" s="40">
        <f t="shared" si="144"/>
        <v>-1.129815738273976</v>
      </c>
      <c r="DE15" s="40">
        <f t="shared" si="145"/>
        <v>0.19583446825777173</v>
      </c>
    </row>
    <row r="16" spans="1:109" ht="29.25" customHeight="1" x14ac:dyDescent="0.2">
      <c r="A16" s="34">
        <v>44322</v>
      </c>
      <c r="B16" s="27">
        <f t="shared" si="10"/>
        <v>182</v>
      </c>
      <c r="C16" s="43">
        <v>222.9</v>
      </c>
      <c r="D16" s="43">
        <f t="shared" si="146"/>
        <v>64.900000000000006</v>
      </c>
      <c r="E16" s="36"/>
      <c r="F16" s="36"/>
      <c r="G16" s="36"/>
      <c r="H16" s="36">
        <v>823209.73450000002</v>
      </c>
      <c r="I16" s="36">
        <v>1091504.3271999999</v>
      </c>
      <c r="J16" s="36">
        <v>-123.6356</v>
      </c>
      <c r="K16" s="36">
        <v>823210.19380000001</v>
      </c>
      <c r="L16" s="36">
        <v>1091503.4357</v>
      </c>
      <c r="M16" s="36">
        <v>-121.10080000000001</v>
      </c>
      <c r="N16" s="36">
        <v>823211.70830000006</v>
      </c>
      <c r="O16" s="36">
        <v>1091500.1736999999</v>
      </c>
      <c r="P16" s="36">
        <v>-119.6104</v>
      </c>
      <c r="Q16" s="36">
        <v>823212.79669999995</v>
      </c>
      <c r="R16" s="36">
        <v>1091497.7485</v>
      </c>
      <c r="S16" s="36">
        <v>-121.0733</v>
      </c>
      <c r="T16" s="36">
        <v>823213.21429999999</v>
      </c>
      <c r="U16" s="36">
        <v>1091496.9992</v>
      </c>
      <c r="V16" s="36">
        <v>-123.65009999999999</v>
      </c>
      <c r="W16" s="36">
        <v>823213.17700000003</v>
      </c>
      <c r="X16" s="36">
        <v>1091497.2250000001</v>
      </c>
      <c r="Y16" s="36">
        <v>-125.03660000000001</v>
      </c>
      <c r="Z16" s="36"/>
      <c r="AA16" s="36">
        <f t="shared" si="2"/>
        <v>6.1114387610665304</v>
      </c>
      <c r="AB16" s="36">
        <f t="shared" si="3"/>
        <v>3.8930253545060842</v>
      </c>
      <c r="AC16" s="36">
        <f t="shared" si="4"/>
        <v>3.0341862186541735</v>
      </c>
      <c r="AD16" s="36">
        <f t="shared" si="5"/>
        <v>5.3539389555337413</v>
      </c>
      <c r="AE16" s="36">
        <f t="shared" si="6"/>
        <v>6.3478782139330292</v>
      </c>
      <c r="AF16" s="36">
        <f t="shared" si="7"/>
        <v>6.2546053832505537</v>
      </c>
      <c r="AG16" s="36">
        <f t="shared" si="8"/>
        <v>8.1122624642884897</v>
      </c>
      <c r="AH16" s="36"/>
      <c r="AI16" s="40"/>
      <c r="AJ16" s="40">
        <f t="shared" ref="AJ16" si="155">(AA16-AA$10)*1000</f>
        <v>-1.3640502958294221</v>
      </c>
      <c r="AK16" s="40">
        <f t="shared" ref="AK16" si="156">(AB16-AB$10)*1000</f>
        <v>-0.55575293142950954</v>
      </c>
      <c r="AL16" s="40">
        <f t="shared" ref="AL16" si="157">(AC16-AC$10)*1000</f>
        <v>-0.53795492855712723</v>
      </c>
      <c r="AM16" s="40">
        <f t="shared" ref="AM16" si="158">(AD16-AD$10)*1000</f>
        <v>-2.0570619131872192</v>
      </c>
      <c r="AN16" s="40">
        <f t="shared" ref="AN16" si="159">(AE16-AE$10)*1000</f>
        <v>-2.3447183670217697</v>
      </c>
      <c r="AO16" s="40">
        <f t="shared" ref="AO16" si="160">(AF16-AF$10)*1000</f>
        <v>0.21355272861622865</v>
      </c>
      <c r="AP16" s="40">
        <f t="shared" ref="AP16" si="161">(AG16-AG$10)*1000</f>
        <v>-0.43106674885962093</v>
      </c>
      <c r="AQ16" s="40"/>
      <c r="AR16" s="37"/>
      <c r="AS16" s="40"/>
      <c r="AT16" s="40"/>
      <c r="AU16" s="40"/>
      <c r="AV16" s="40">
        <f t="shared" ref="AV16" si="162">(H16-H$10)*1000</f>
        <v>-0.89999998454004526</v>
      </c>
      <c r="AW16" s="40">
        <f t="shared" ref="AW16" si="163">(I16-I$10)*1000</f>
        <v>-0.10000006295740604</v>
      </c>
      <c r="AX16" s="40">
        <f t="shared" ref="AX16" si="164">(J16-J$10)*1000</f>
        <v>-0.10000000000331966</v>
      </c>
      <c r="AY16" s="40">
        <f t="shared" ref="AY16" si="165">(K16-K$10)*1000</f>
        <v>-0.20000000949949026</v>
      </c>
      <c r="AZ16" s="40">
        <f t="shared" ref="AZ16" si="166">(L16-L$10)*1000</f>
        <v>0.10000006295740604</v>
      </c>
      <c r="BA16" s="40">
        <f t="shared" ref="BA16" si="167">(M16-M$10)*1000</f>
        <v>-0.70000000000902673</v>
      </c>
      <c r="BB16" s="40">
        <f t="shared" ref="BB16" si="168">(N16-N$10)*1000</f>
        <v>2.3000000510364771</v>
      </c>
      <c r="BC16" s="40">
        <f t="shared" ref="BC16" si="169">(O16-O$10)*1000</f>
        <v>1.0999999940395355</v>
      </c>
      <c r="BD16" s="40">
        <f t="shared" ref="BD16" si="170">(P16-P$10)*1000</f>
        <v>-2.4999999999977263</v>
      </c>
      <c r="BE16" s="40">
        <f t="shared" ref="BE16" si="171">(Q16-Q$10)*1000</f>
        <v>9.9999946542084217E-2</v>
      </c>
      <c r="BF16" s="40">
        <f t="shared" ref="BF16" si="172">(R16-R$10)*1000</f>
        <v>0</v>
      </c>
      <c r="BG16" s="40">
        <f t="shared" ref="BG16" si="173">(S16-S$10)*1000</f>
        <v>-1.1999999999972033</v>
      </c>
      <c r="BH16" s="40">
        <f t="shared" ref="BH16" si="174">(T16-T$10)*1000</f>
        <v>0.20000000949949026</v>
      </c>
      <c r="BI16" s="40">
        <f t="shared" ref="BI16" si="175">(U16-U$10)*1000</f>
        <v>0.89999986812472343</v>
      </c>
      <c r="BJ16" s="40">
        <f t="shared" ref="BJ16" si="176">(V16-V$10)*1000</f>
        <v>-0.39999999999906777</v>
      </c>
      <c r="BK16" s="40">
        <f t="shared" ref="BK16" si="177">(W16-W$10)*1000</f>
        <v>0.40000001899898052</v>
      </c>
      <c r="BL16" s="40">
        <f t="shared" ref="BL16" si="178">(X16-X$10)*1000</f>
        <v>0.60000014491379261</v>
      </c>
      <c r="BM16" s="40">
        <f t="shared" ref="BM16" si="179">(Y16-Y$10)*1000</f>
        <v>0</v>
      </c>
      <c r="BN16" s="37"/>
      <c r="BO16" s="36"/>
      <c r="BP16" s="36"/>
      <c r="BQ16" s="36"/>
      <c r="BR16" s="36">
        <v>158.64037317491741</v>
      </c>
      <c r="BS16" s="36">
        <v>-4.0566916582636976</v>
      </c>
      <c r="BT16" s="36">
        <v>0.32087626825082793</v>
      </c>
      <c r="BU16" s="36">
        <v>158.67983884612522</v>
      </c>
      <c r="BV16" s="36">
        <v>-3.0546082282912135</v>
      </c>
      <c r="BW16" s="36">
        <v>2.8552816115387429</v>
      </c>
      <c r="BX16" s="36">
        <v>158.67372729765455</v>
      </c>
      <c r="BY16" s="36">
        <v>0.54182290545826439</v>
      </c>
      <c r="BZ16" s="36">
        <v>4.345742727023449</v>
      </c>
      <c r="CA16" s="36">
        <v>158.63511990900997</v>
      </c>
      <c r="CB16" s="36">
        <v>3.1997768307573859</v>
      </c>
      <c r="CC16" s="36">
        <v>2.8832288009098903</v>
      </c>
      <c r="CD16" s="36">
        <v>158.69689431760597</v>
      </c>
      <c r="CE16" s="36">
        <v>4.0553609426464794</v>
      </c>
      <c r="CF16" s="36">
        <v>0.30581105682394139</v>
      </c>
      <c r="CG16" s="36">
        <v>158.75852444813623</v>
      </c>
      <c r="CH16" s="36">
        <v>3.8349552778653759</v>
      </c>
      <c r="CI16" s="36">
        <v>-1.0813052444813707</v>
      </c>
      <c r="CJ16" s="37"/>
      <c r="CK16" s="40"/>
      <c r="CL16" s="40"/>
      <c r="CM16" s="40"/>
      <c r="CN16" s="40">
        <f t="shared" ref="CN16" si="180">(BR16-BR$10)*1000</f>
        <v>-0.85792805782602954</v>
      </c>
      <c r="CO16" s="40">
        <f t="shared" ref="CO16" si="181">(BS16-BS$10)*1000</f>
        <v>-0.28975754060223124</v>
      </c>
      <c r="CP16" s="40">
        <f t="shared" ref="CP16" si="182">(BT16-BT$10)*1000</f>
        <v>-9.1420719428469965E-2</v>
      </c>
      <c r="CQ16" s="40">
        <f t="shared" ref="CQ16" si="183">(BU16-BU$10)*1000</f>
        <v>-0.13899319083066075</v>
      </c>
      <c r="CR16" s="40">
        <f t="shared" ref="CR16" si="184">(BV16-BV$10)*1000</f>
        <v>-0.17515966802461591</v>
      </c>
      <c r="CS16" s="40">
        <f t="shared" ref="CS16" si="185">(BW16-BW$10)*1000</f>
        <v>-0.69861006809901482</v>
      </c>
      <c r="CT16" s="40">
        <f t="shared" ref="CT16" si="186">(BX16-BX$10)*1000</f>
        <v>2.5493889679069071</v>
      </c>
      <c r="CU16" s="40">
        <f t="shared" ref="CU16" si="187">(BY16-BY$10)*1000</f>
        <v>-2.4821603889058075E-2</v>
      </c>
      <c r="CV16" s="40">
        <f t="shared" ref="CV16" si="188">(BZ16-BZ$10)*1000</f>
        <v>-2.5254938896779322</v>
      </c>
      <c r="CW16" s="40">
        <f t="shared" ref="CW16" si="189">(CA16-CA$10)*1000</f>
        <v>9.0629156460408922E-2</v>
      </c>
      <c r="CX16" s="40">
        <f t="shared" ref="CX16" si="190">(CB16-CB$10)*1000</f>
        <v>4.2265178418876559E-2</v>
      </c>
      <c r="CY16" s="40">
        <f t="shared" ref="CY16" si="191">(CC16-CC$10)*1000</f>
        <v>-1.2009062915723234</v>
      </c>
      <c r="CZ16" s="40">
        <f t="shared" ref="CZ16" si="192">(CD16-CD$10)*1000</f>
        <v>0.56164517178558526</v>
      </c>
      <c r="DA16" s="40">
        <f t="shared" ref="DA16" si="193">(CE16-CE$10)*1000</f>
        <v>-0.73113231866805961</v>
      </c>
      <c r="DB16" s="40">
        <f t="shared" ref="DB16" si="194">(CF16-CF$10)*1000</f>
        <v>-0.40561645171521832</v>
      </c>
      <c r="DC16" s="40">
        <f t="shared" ref="DC16" si="195">(CG16-CG$10)*1000</f>
        <v>0.6161081041966554</v>
      </c>
      <c r="DD16" s="40">
        <f t="shared" ref="DD16" si="196">(CH16-CH$10)*1000</f>
        <v>-0.37471454876802923</v>
      </c>
      <c r="DE16" s="40">
        <f t="shared" ref="DE16" si="197">(CI16-CI$10)*1000</f>
        <v>-6.1610810462298105E-3</v>
      </c>
    </row>
    <row r="17" spans="1:109" ht="29.25" customHeight="1" x14ac:dyDescent="0.2">
      <c r="A17" s="34">
        <v>44337</v>
      </c>
      <c r="B17" s="27">
        <f t="shared" si="10"/>
        <v>197</v>
      </c>
      <c r="C17" s="43">
        <v>222.9</v>
      </c>
      <c r="D17" s="43">
        <f t="shared" ref="D17" si="198">C17-PM</f>
        <v>64.900000000000006</v>
      </c>
      <c r="E17" s="36"/>
      <c r="F17" s="36"/>
      <c r="G17" s="36"/>
      <c r="H17" s="36">
        <v>823209.73620000004</v>
      </c>
      <c r="I17" s="36">
        <v>1091504.3274000001</v>
      </c>
      <c r="J17" s="36">
        <v>-123.63590000000001</v>
      </c>
      <c r="K17" s="36">
        <v>823210.19420000003</v>
      </c>
      <c r="L17" s="36">
        <v>1091503.4362999999</v>
      </c>
      <c r="M17" s="36">
        <v>-121.10080000000001</v>
      </c>
      <c r="N17" s="36">
        <v>823211.70869999996</v>
      </c>
      <c r="O17" s="36">
        <v>1091500.1742</v>
      </c>
      <c r="P17" s="36">
        <v>-119.61060000000001</v>
      </c>
      <c r="Q17" s="36">
        <v>823212.79709999997</v>
      </c>
      <c r="R17" s="36">
        <v>1091497.7490000001</v>
      </c>
      <c r="S17" s="36">
        <v>-121.07299999999999</v>
      </c>
      <c r="T17" s="36">
        <v>823213.21479999996</v>
      </c>
      <c r="U17" s="36">
        <v>1091496.9998000001</v>
      </c>
      <c r="V17" s="36">
        <v>-123.65</v>
      </c>
      <c r="W17" s="36">
        <v>823213.17760000005</v>
      </c>
      <c r="X17" s="36">
        <v>1091497.2257000001</v>
      </c>
      <c r="Y17" s="36">
        <v>-125.03660000000001</v>
      </c>
      <c r="Z17" s="36"/>
      <c r="AA17" s="36">
        <f t="shared" si="2"/>
        <v>6.1108809986906358</v>
      </c>
      <c r="AB17" s="36">
        <f t="shared" si="3"/>
        <v>3.8930325839076034</v>
      </c>
      <c r="AC17" s="36">
        <f t="shared" si="4"/>
        <v>3.0339451807381548</v>
      </c>
      <c r="AD17" s="36">
        <f t="shared" si="5"/>
        <v>5.3536814370460712</v>
      </c>
      <c r="AE17" s="36">
        <f t="shared" si="6"/>
        <v>6.3476606289188124</v>
      </c>
      <c r="AF17" s="36">
        <f t="shared" si="7"/>
        <v>6.2546976376364167</v>
      </c>
      <c r="AG17" s="36">
        <f t="shared" si="8"/>
        <v>8.1113857341904954</v>
      </c>
      <c r="AH17" s="36"/>
      <c r="AI17" s="40"/>
      <c r="AJ17" s="40">
        <f t="shared" ref="AJ17" si="199">(AA17-AA$10)*1000</f>
        <v>-1.921812671723977</v>
      </c>
      <c r="AK17" s="40">
        <f t="shared" ref="AK17" si="200">(AB17-AB$10)*1000</f>
        <v>-0.54852352991030529</v>
      </c>
      <c r="AL17" s="40">
        <f t="shared" ref="AL17" si="201">(AC17-AC$10)*1000</f>
        <v>-0.77899284457583207</v>
      </c>
      <c r="AM17" s="40">
        <f t="shared" ref="AM17" si="202">(AD17-AD$10)*1000</f>
        <v>-2.3145804008573023</v>
      </c>
      <c r="AN17" s="40">
        <f t="shared" ref="AN17" si="203">(AE17-AE$10)*1000</f>
        <v>-2.5623033812385287</v>
      </c>
      <c r="AO17" s="40">
        <f t="shared" ref="AO17" si="204">(AF17-AF$10)*1000</f>
        <v>0.30580711447925069</v>
      </c>
      <c r="AP17" s="40">
        <f t="shared" ref="AP17" si="205">(AG17-AG$10)*1000</f>
        <v>-1.3077968468540035</v>
      </c>
      <c r="AQ17" s="40"/>
      <c r="AR17" s="37"/>
      <c r="AS17" s="40"/>
      <c r="AT17" s="40"/>
      <c r="AU17" s="40"/>
      <c r="AV17" s="40">
        <f t="shared" ref="AV17:AV18" si="206">(H17-H$10)*1000</f>
        <v>0.80000003799796104</v>
      </c>
      <c r="AW17" s="40">
        <f t="shared" ref="AW17:AW18" si="207">(I17-I$10)*1000</f>
        <v>0.10000006295740604</v>
      </c>
      <c r="AX17" s="40">
        <f t="shared" ref="AX17:AX18" si="208">(J17-J$10)*1000</f>
        <v>-0.40000000001327862</v>
      </c>
      <c r="AY17" s="40">
        <f t="shared" ref="AY17:AY18" si="209">(K17-K$10)*1000</f>
        <v>0.20000000949949026</v>
      </c>
      <c r="AZ17" s="40">
        <f t="shared" ref="AZ17:AZ18" si="210">(L17-L$10)*1000</f>
        <v>0.699999975040555</v>
      </c>
      <c r="BA17" s="40">
        <f t="shared" ref="BA17:BA18" si="211">(M17-M$10)*1000</f>
        <v>-0.70000000000902673</v>
      </c>
      <c r="BB17" s="40">
        <f t="shared" ref="BB17:BB18" si="212">(N17-N$10)*1000</f>
        <v>2.6999999536201358</v>
      </c>
      <c r="BC17" s="40">
        <f t="shared" ref="BC17:BC18" si="213">(O17-O$10)*1000</f>
        <v>1.6000000759959221</v>
      </c>
      <c r="BD17" s="40">
        <f t="shared" ref="BD17:BD18" si="214">(P17-P$10)*1000</f>
        <v>-2.7000000000043656</v>
      </c>
      <c r="BE17" s="40">
        <f t="shared" ref="BE17:BE18" si="215">(Q17-Q$10)*1000</f>
        <v>0.49999996554106474</v>
      </c>
      <c r="BF17" s="40">
        <f t="shared" ref="BF17:BF18" si="216">(R17-R$10)*1000</f>
        <v>0.50000008195638657</v>
      </c>
      <c r="BG17" s="40">
        <f t="shared" ref="BG17:BG18" si="217">(S17-S$10)*1000</f>
        <v>-0.89999999998724434</v>
      </c>
      <c r="BH17" s="40">
        <f t="shared" ref="BH17:BH18" si="218">(T17-T$10)*1000</f>
        <v>0.699999975040555</v>
      </c>
      <c r="BI17" s="40">
        <f t="shared" ref="BI17:BI18" si="219">(U17-U$10)*1000</f>
        <v>1.500000013038516</v>
      </c>
      <c r="BJ17" s="40">
        <f t="shared" ref="BJ17:BJ18" si="220">(V17-V$10)*1000</f>
        <v>-0.30000000000995897</v>
      </c>
      <c r="BK17" s="40">
        <f t="shared" ref="BK17:BK18" si="221">(W17-W$10)*1000</f>
        <v>1.0000000474974513</v>
      </c>
      <c r="BL17" s="40">
        <f t="shared" ref="BL17:BL18" si="222">(X17-X$10)*1000</f>
        <v>1.3000001199543476</v>
      </c>
      <c r="BM17" s="40">
        <f t="shared" ref="BM17:BM18" si="223">(Y17-Y$10)*1000</f>
        <v>0</v>
      </c>
      <c r="BN17" s="37"/>
      <c r="BO17" s="36"/>
      <c r="BP17" s="36"/>
      <c r="BQ17" s="36"/>
      <c r="BR17" s="36">
        <v>158.64199840187666</v>
      </c>
      <c r="BS17" s="36">
        <v>-4.0561544083609533</v>
      </c>
      <c r="BT17" s="36">
        <v>0.32056001598122918</v>
      </c>
      <c r="BU17" s="36">
        <v>158.68045495413102</v>
      </c>
      <c r="BV17" s="36">
        <v>-3.0549829426289423</v>
      </c>
      <c r="BW17" s="36">
        <v>2.8552754504586773</v>
      </c>
      <c r="BX17" s="36">
        <v>158.67430114042563</v>
      </c>
      <c r="BY17" s="36">
        <v>0.54153882012226917</v>
      </c>
      <c r="BZ17" s="36">
        <v>4.3455369885957396</v>
      </c>
      <c r="CA17" s="36">
        <v>158.63569375188655</v>
      </c>
      <c r="CB17" s="36">
        <v>3.1994927454705762</v>
      </c>
      <c r="CC17" s="36">
        <v>2.8835230624811317</v>
      </c>
      <c r="CD17" s="36">
        <v>158.69760105486662</v>
      </c>
      <c r="CE17" s="36">
        <v>4.055028493276124</v>
      </c>
      <c r="CF17" s="36">
        <v>0.30590398945132335</v>
      </c>
      <c r="CG17" s="36">
        <v>158.75936407978804</v>
      </c>
      <c r="CH17" s="36">
        <v>3.8345744646716891</v>
      </c>
      <c r="CI17" s="36">
        <v>-1.0813136407978874</v>
      </c>
      <c r="CJ17" s="37"/>
      <c r="CK17" s="40"/>
      <c r="CL17" s="40"/>
      <c r="CM17" s="40"/>
      <c r="CN17" s="40">
        <f t="shared" ref="CN17" si="224">(BR17-BR$10)*1000</f>
        <v>0.76729890142246404</v>
      </c>
      <c r="CO17" s="40">
        <f t="shared" ref="CO17" si="225">(BS17-BS$10)*1000</f>
        <v>0.24749236214205439</v>
      </c>
      <c r="CP17" s="40">
        <f t="shared" ref="CP17" si="226">(BT17-BT$10)*1000</f>
        <v>-0.40767298902721905</v>
      </c>
      <c r="CQ17" s="40">
        <f t="shared" ref="CQ17" si="227">(BU17-BU$10)*1000</f>
        <v>0.4771148149700366</v>
      </c>
      <c r="CR17" s="40">
        <f t="shared" ref="CR17" si="228">(BV17-BV$10)*1000</f>
        <v>-0.54987400575345902</v>
      </c>
      <c r="CS17" s="40">
        <f t="shared" ref="CS17" si="229">(BW17-BW$10)*1000</f>
        <v>-0.70477114816469566</v>
      </c>
      <c r="CT17" s="40">
        <f t="shared" ref="CT17" si="230">(BX17-BX$10)*1000</f>
        <v>3.1232317389822128</v>
      </c>
      <c r="CU17" s="40">
        <f t="shared" ref="CU17" si="231">(BY17-BY$10)*1000</f>
        <v>-0.3089069398842792</v>
      </c>
      <c r="CV17" s="40">
        <f t="shared" ref="CV17" si="232">(BZ17-BZ$10)*1000</f>
        <v>-2.7312323173873665</v>
      </c>
      <c r="CW17" s="40">
        <f t="shared" ref="CW17" si="233">(CA17-CA$10)*1000</f>
        <v>0.66447203303710012</v>
      </c>
      <c r="CX17" s="40">
        <f t="shared" ref="CX17" si="234">(CB17-CB$10)*1000</f>
        <v>-0.24182010839091106</v>
      </c>
      <c r="CY17" s="40">
        <f t="shared" ref="CY17" si="235">(CC17-CC$10)*1000</f>
        <v>-0.90664472033097354</v>
      </c>
      <c r="CZ17" s="40">
        <f t="shared" ref="CZ17" si="236">(CD17-CD$10)*1000</f>
        <v>1.2683824324426496</v>
      </c>
      <c r="DA17" s="40">
        <f t="shared" ref="DA17" si="237">(CE17-CE$10)*1000</f>
        <v>-1.0635816890234295</v>
      </c>
      <c r="DB17" s="40">
        <f t="shared" ref="DB17" si="238">(CF17-CF$10)*1000</f>
        <v>-0.31268382433324859</v>
      </c>
      <c r="DC17" s="40">
        <f t="shared" ref="DC17" si="239">(CG17-CG$10)*1000</f>
        <v>1.4557397560110985</v>
      </c>
      <c r="DD17" s="40">
        <f t="shared" ref="DD17" si="240">(CH17-CH$10)*1000</f>
        <v>-0.75552774245490895</v>
      </c>
      <c r="DE17" s="40">
        <f t="shared" ref="DE17" si="241">(CI17-CI$10)*1000</f>
        <v>-1.4557397562953156E-2</v>
      </c>
    </row>
    <row r="18" spans="1:109" ht="29.25" customHeight="1" x14ac:dyDescent="0.2">
      <c r="A18" s="34">
        <v>44351</v>
      </c>
      <c r="B18" s="27">
        <f t="shared" si="10"/>
        <v>211</v>
      </c>
      <c r="C18" s="43">
        <v>222.9</v>
      </c>
      <c r="D18" s="43">
        <f t="shared" ref="D18" si="242">C18-PM</f>
        <v>64.900000000000006</v>
      </c>
      <c r="E18" s="36">
        <v>823209.96550000005</v>
      </c>
      <c r="F18" s="36">
        <v>1091504.1636000001</v>
      </c>
      <c r="G18" s="36">
        <v>-125.0086</v>
      </c>
      <c r="H18" s="36">
        <v>823209.73459999997</v>
      </c>
      <c r="I18" s="36">
        <v>1091504.3287</v>
      </c>
      <c r="J18" s="36">
        <v>-123.6367</v>
      </c>
      <c r="K18" s="36">
        <v>823210.19380000001</v>
      </c>
      <c r="L18" s="36">
        <v>1091503.4372</v>
      </c>
      <c r="M18" s="36">
        <v>-121.1019</v>
      </c>
      <c r="N18" s="36">
        <v>823211.70779999997</v>
      </c>
      <c r="O18" s="36">
        <v>1091500.1751000001</v>
      </c>
      <c r="P18" s="36">
        <v>-119.6112</v>
      </c>
      <c r="Q18" s="36">
        <v>823212.79639999999</v>
      </c>
      <c r="R18" s="36">
        <v>1091497.75</v>
      </c>
      <c r="S18" s="36">
        <v>-121.07429999999999</v>
      </c>
      <c r="T18" s="36">
        <v>823213.21409999998</v>
      </c>
      <c r="U18" s="36">
        <v>1091497.0009999999</v>
      </c>
      <c r="V18" s="36">
        <v>-123.65089999999999</v>
      </c>
      <c r="W18" s="36">
        <v>823213.17700000003</v>
      </c>
      <c r="X18" s="36">
        <v>1091497.2265999999</v>
      </c>
      <c r="Y18" s="36">
        <v>-125.0377</v>
      </c>
      <c r="Z18" s="36">
        <f t="shared" ref="Z18:Z28" si="243">IF(Xhaut="","",SQRT(((Xbasgauche-Xhaut)^2+(Ybasgauche-Yhaut)^2)+(Zbasgauche-Zhaut)^2))</f>
        <v>6.9336619689426362</v>
      </c>
      <c r="AA18" s="36">
        <f t="shared" si="2"/>
        <v>6.1115105701244445</v>
      </c>
      <c r="AB18" s="36">
        <f t="shared" si="3"/>
        <v>3.8930295271768398</v>
      </c>
      <c r="AC18" s="36">
        <f t="shared" si="4"/>
        <v>3.0342744735058029</v>
      </c>
      <c r="AD18" s="36">
        <f t="shared" si="5"/>
        <v>5.3537861921407961</v>
      </c>
      <c r="AE18" s="36">
        <f t="shared" si="6"/>
        <v>6.3481574603320832</v>
      </c>
      <c r="AF18" s="36">
        <f t="shared" si="7"/>
        <v>6.2544809824969212</v>
      </c>
      <c r="AG18" s="36">
        <f t="shared" si="8"/>
        <v>8.1118622510773779</v>
      </c>
      <c r="AH18" s="36">
        <f t="shared" ref="AH18:AH28" si="244">IF(Xbasdroit="","",SQRT(((Xbasdroit-Xbasgauche)^2+(Ybasdroit-Ybasgauche)^2)+(Zbasdroit-Zbasgauche)^2))</f>
        <v>7.6443801620496155</v>
      </c>
      <c r="AI18" s="40">
        <f t="shared" ref="AI18" si="245">(Z18-Z$10)*1000</f>
        <v>-1.2857064291793563</v>
      </c>
      <c r="AJ18" s="40">
        <f t="shared" ref="AJ18" si="246">(AA18-AA$10)*1000</f>
        <v>-1.2922412379152703</v>
      </c>
      <c r="AK18" s="40">
        <f t="shared" ref="AK18" si="247">(AB18-AB$10)*1000</f>
        <v>-0.55158026067392285</v>
      </c>
      <c r="AL18" s="40">
        <f t="shared" ref="AL18" si="248">(AC18-AC$10)*1000</f>
        <v>-0.44970007692768377</v>
      </c>
      <c r="AM18" s="40">
        <f t="shared" ref="AM18" si="249">(AD18-AD$10)*1000</f>
        <v>-2.2098253061324513</v>
      </c>
      <c r="AN18" s="40">
        <f t="shared" ref="AN18" si="250">(AE18-AE$10)*1000</f>
        <v>-2.0654719679678024</v>
      </c>
      <c r="AO18" s="40">
        <f t="shared" ref="AO18" si="251">(AF18-AF$10)*1000</f>
        <v>8.915197498371441E-2</v>
      </c>
      <c r="AP18" s="40">
        <f t="shared" ref="AP18:AQ18" si="252">(AG18-AG$10)*1000</f>
        <v>-0.83127995997145376</v>
      </c>
      <c r="AQ18" s="40">
        <f t="shared" si="252"/>
        <v>-0.1886662116916682</v>
      </c>
      <c r="AR18" s="37"/>
      <c r="AS18" s="40">
        <f t="shared" ref="AS18" si="253">(E18-E$10)*1000</f>
        <v>-1.0999999940395355</v>
      </c>
      <c r="AT18" s="40">
        <f t="shared" ref="AT18" si="254">(F18-F$10)*1000</f>
        <v>1.3000001199543476</v>
      </c>
      <c r="AU18" s="40">
        <f t="shared" ref="AU18" si="255">(G18-G$10)*1000</f>
        <v>-1.5999999999962711</v>
      </c>
      <c r="AV18" s="40">
        <f t="shared" si="206"/>
        <v>-0.80000003799796104</v>
      </c>
      <c r="AW18" s="40">
        <f t="shared" si="207"/>
        <v>1.39999995008111</v>
      </c>
      <c r="AX18" s="40">
        <f t="shared" si="208"/>
        <v>-1.2000000000114142</v>
      </c>
      <c r="AY18" s="40">
        <f t="shared" si="209"/>
        <v>-0.20000000949949026</v>
      </c>
      <c r="AZ18" s="40">
        <f t="shared" si="210"/>
        <v>1.6000000759959221</v>
      </c>
      <c r="BA18" s="40">
        <f t="shared" si="211"/>
        <v>-1.8000000000029104</v>
      </c>
      <c r="BB18" s="40">
        <f t="shared" si="212"/>
        <v>1.7999999690800905</v>
      </c>
      <c r="BC18" s="40">
        <f t="shared" si="213"/>
        <v>2.5000001769512892</v>
      </c>
      <c r="BD18" s="40">
        <f t="shared" si="214"/>
        <v>-3.2999999999958618</v>
      </c>
      <c r="BE18" s="40">
        <f t="shared" si="215"/>
        <v>-0.20000000949949026</v>
      </c>
      <c r="BF18" s="40">
        <f t="shared" si="216"/>
        <v>1.500000013038516</v>
      </c>
      <c r="BG18" s="40">
        <f t="shared" si="217"/>
        <v>-2.1999999999877673</v>
      </c>
      <c r="BH18" s="40">
        <f t="shared" si="218"/>
        <v>0</v>
      </c>
      <c r="BI18" s="40">
        <f t="shared" si="219"/>
        <v>2.699999837204814</v>
      </c>
      <c r="BJ18" s="40">
        <f t="shared" si="220"/>
        <v>-1.1999999999972033</v>
      </c>
      <c r="BK18" s="40">
        <f t="shared" si="221"/>
        <v>0.40000001899898052</v>
      </c>
      <c r="BL18" s="40">
        <f t="shared" si="222"/>
        <v>2.199999988079071</v>
      </c>
      <c r="BM18" s="40">
        <f t="shared" si="223"/>
        <v>-1.0999999999938836</v>
      </c>
      <c r="BN18" s="37"/>
      <c r="BO18" s="36">
        <v>158.78058076950944</v>
      </c>
      <c r="BP18" s="36">
        <v>-3.8107896648102106</v>
      </c>
      <c r="BQ18" s="36">
        <v>-1.0535258076950953</v>
      </c>
      <c r="BR18" s="36">
        <v>158.64109778209453</v>
      </c>
      <c r="BS18" s="36">
        <v>-4.0580088311708158</v>
      </c>
      <c r="BT18" s="36">
        <v>0.31976902217904524</v>
      </c>
      <c r="BU18" s="36">
        <v>158.68047282414585</v>
      </c>
      <c r="BV18" s="36">
        <v>-3.0559676663767417</v>
      </c>
      <c r="BW18" s="36">
        <v>2.8541752717585354</v>
      </c>
      <c r="BX18" s="36">
        <v>158.67386586444709</v>
      </c>
      <c r="BY18" s="36">
        <v>0.54034277038398493</v>
      </c>
      <c r="BZ18" s="36">
        <v>4.3449413413555362</v>
      </c>
      <c r="CA18" s="36">
        <v>158.63548199945572</v>
      </c>
      <c r="CB18" s="36">
        <v>3.1982905970873676</v>
      </c>
      <c r="CC18" s="36">
        <v>2.8822251800054488</v>
      </c>
      <c r="CD18" s="36">
        <v>158.69747383279261</v>
      </c>
      <c r="CE18" s="36">
        <v>4.0536450865799933</v>
      </c>
      <c r="CF18" s="36">
        <v>0.30500526167207909</v>
      </c>
      <c r="CG18" s="36">
        <v>158.75920069128608</v>
      </c>
      <c r="CH18" s="36">
        <v>3.8335052107288465</v>
      </c>
      <c r="CI18" s="36">
        <v>-1.0824120069128611</v>
      </c>
      <c r="CJ18" s="37"/>
      <c r="CK18" s="40">
        <f t="shared" ref="CK18:CK22" si="256">(BO18-BO$10)*1000</f>
        <v>-0.44747358487029487</v>
      </c>
      <c r="CL18" s="40">
        <f t="shared" ref="CL18:CL22" si="257">(BP18-BP$10)*1000</f>
        <v>-1.6430969812124552</v>
      </c>
      <c r="CM18" s="40">
        <f t="shared" ref="CM18:CM22" si="258">(BQ18-BQ$10)*1000</f>
        <v>-1.5955252641504103</v>
      </c>
      <c r="CN18" s="40">
        <f t="shared" ref="CN18:CN20" si="259">(BR18-BR$10)*1000</f>
        <v>-0.13332088070683312</v>
      </c>
      <c r="CO18" s="40">
        <f t="shared" ref="CO18:CO20" si="260">(BS18-BS$10)*1000</f>
        <v>-1.6069304477204227</v>
      </c>
      <c r="CP18" s="40">
        <f t="shared" ref="CP18:CP20" si="261">(BT18-BT$10)*1000</f>
        <v>-1.198666791211167</v>
      </c>
      <c r="CQ18" s="40">
        <f t="shared" ref="CQ18:CQ20" si="262">(BU18-BU$10)*1000</f>
        <v>0.49498482979970504</v>
      </c>
      <c r="CR18" s="40">
        <f t="shared" ref="CR18:CR20" si="263">(BV18-BV$10)*1000</f>
        <v>-1.5345977535528021</v>
      </c>
      <c r="CS18" s="40">
        <f t="shared" ref="CS18:CS20" si="264">(BW18-BW$10)*1000</f>
        <v>-1.8049498483065918</v>
      </c>
      <c r="CT18" s="40">
        <f t="shared" ref="CT18:CT20" si="265">(BX18-BX$10)*1000</f>
        <v>2.6879557604502224</v>
      </c>
      <c r="CU18" s="40">
        <f t="shared" ref="CU18:CU20" si="266">(BY18-BY$10)*1000</f>
        <v>-1.5049566781685231</v>
      </c>
      <c r="CV18" s="40">
        <f t="shared" ref="CV18:CV20" si="267">(BZ18-BZ$10)*1000</f>
        <v>-3.3268795575907006</v>
      </c>
      <c r="CW18" s="40">
        <f t="shared" ref="CW18:CW20" si="268">(CA18-CA$10)*1000</f>
        <v>0.45271960220816254</v>
      </c>
      <c r="CX18" s="40">
        <f t="shared" ref="CX18:CX20" si="269">(CB18-CB$10)*1000</f>
        <v>-1.4439684915994455</v>
      </c>
      <c r="CY18" s="40">
        <f t="shared" ref="CY18:CY20" si="270">(CC18-CC$10)*1000</f>
        <v>-2.204527196013828</v>
      </c>
      <c r="CZ18" s="40">
        <f t="shared" ref="CZ18:CZ20" si="271">(CD18-CD$10)*1000</f>
        <v>1.1411603584292607</v>
      </c>
      <c r="DA18" s="40">
        <f t="shared" ref="DA18:DA20" si="272">(CE18-CE$10)*1000</f>
        <v>-2.4469883851541141</v>
      </c>
      <c r="DB18" s="40">
        <f t="shared" ref="DB18:DB20" si="273">(CF18-CF$10)*1000</f>
        <v>-1.2114116035775169</v>
      </c>
      <c r="DC18" s="40">
        <f t="shared" ref="DC18:DC19" si="274">(CG18-CG$10)*1000</f>
        <v>1.2923512540510274</v>
      </c>
      <c r="DD18" s="40">
        <f t="shared" ref="DD18:DD19" si="275">(CH18-CH$10)*1000</f>
        <v>-1.8247816852974275</v>
      </c>
      <c r="DE18" s="40">
        <f t="shared" ref="DE18:DE19" si="276">(CI18-CI$10)*1000</f>
        <v>-1.1129235125366677</v>
      </c>
    </row>
    <row r="19" spans="1:109" ht="29.25" customHeight="1" x14ac:dyDescent="0.2">
      <c r="A19" s="34">
        <v>44357</v>
      </c>
      <c r="B19" s="27">
        <f t="shared" si="10"/>
        <v>217</v>
      </c>
      <c r="C19" s="43">
        <v>222.9</v>
      </c>
      <c r="D19" s="43">
        <f t="shared" ref="D19" si="277">C19-PM</f>
        <v>64.900000000000006</v>
      </c>
      <c r="E19" s="36">
        <v>823209.96580000001</v>
      </c>
      <c r="F19" s="36">
        <v>1091504.1605</v>
      </c>
      <c r="G19" s="36">
        <v>-125.00709999999999</v>
      </c>
      <c r="H19" s="36">
        <v>823209.73499999999</v>
      </c>
      <c r="I19" s="36">
        <v>1091504.3259000001</v>
      </c>
      <c r="J19" s="36">
        <v>-123.6353</v>
      </c>
      <c r="K19" s="36">
        <v>823210.19319999998</v>
      </c>
      <c r="L19" s="36">
        <v>1091503.4343000001</v>
      </c>
      <c r="M19" s="36">
        <v>-121.1003</v>
      </c>
      <c r="N19" s="36">
        <v>823211.70759999997</v>
      </c>
      <c r="O19" s="36">
        <v>1091500.1721999999</v>
      </c>
      <c r="P19" s="36">
        <v>-119.6096</v>
      </c>
      <c r="Q19" s="36">
        <v>823212.79599999997</v>
      </c>
      <c r="R19" s="36">
        <v>1091497.7468999999</v>
      </c>
      <c r="S19" s="36">
        <v>-121.0729</v>
      </c>
      <c r="T19" s="36">
        <v>823213.21380000003</v>
      </c>
      <c r="U19" s="36">
        <v>1091496.9974</v>
      </c>
      <c r="V19" s="36">
        <v>-123.6495</v>
      </c>
      <c r="W19" s="36">
        <v>823213.17709999997</v>
      </c>
      <c r="X19" s="36">
        <v>1091497.2246000001</v>
      </c>
      <c r="Y19" s="36">
        <v>-125.03619999999999</v>
      </c>
      <c r="Z19" s="36">
        <f t="shared" si="243"/>
        <v>6.9334991440494393</v>
      </c>
      <c r="AA19" s="36">
        <f t="shared" si="2"/>
        <v>6.1115165827384876</v>
      </c>
      <c r="AB19" s="36">
        <f t="shared" si="3"/>
        <v>3.8931851049041168</v>
      </c>
      <c r="AC19" s="36">
        <f t="shared" si="4"/>
        <v>3.034459019336015</v>
      </c>
      <c r="AD19" s="36">
        <f t="shared" si="5"/>
        <v>5.3543239993188605</v>
      </c>
      <c r="AE19" s="36">
        <f t="shared" si="6"/>
        <v>6.3478944201264529</v>
      </c>
      <c r="AF19" s="36">
        <f t="shared" si="7"/>
        <v>6.2547451876073552</v>
      </c>
      <c r="AG19" s="36">
        <f t="shared" si="8"/>
        <v>8.1122847170932531</v>
      </c>
      <c r="AH19" s="36">
        <f t="shared" si="244"/>
        <v>7.6432979340549894</v>
      </c>
      <c r="AI19" s="40">
        <f t="shared" ref="AI19" si="278">(Z19-Z$10)*1000</f>
        <v>-1.448531322376212</v>
      </c>
      <c r="AJ19" s="40">
        <f t="shared" ref="AJ19" si="279">(AA19-AA$10)*1000</f>
        <v>-1.2862286238721765</v>
      </c>
      <c r="AK19" s="40">
        <f t="shared" ref="AK19" si="280">(AB19-AB$10)*1000</f>
        <v>-0.39600253339688862</v>
      </c>
      <c r="AL19" s="40">
        <f t="shared" ref="AL19" si="281">(AC19-AC$10)*1000</f>
        <v>-0.26515424671558208</v>
      </c>
      <c r="AM19" s="40">
        <f t="shared" ref="AM19" si="282">(AD19-AD$10)*1000</f>
        <v>-1.6720181280680535</v>
      </c>
      <c r="AN19" s="40">
        <f t="shared" ref="AN19" si="283">(AE19-AE$10)*1000</f>
        <v>-2.3285121735980852</v>
      </c>
      <c r="AO19" s="40">
        <f t="shared" ref="AO19" si="284">(AF19-AF$10)*1000</f>
        <v>0.35335708541772703</v>
      </c>
      <c r="AP19" s="40">
        <f t="shared" ref="AP19" si="285">(AG19-AG$10)*1000</f>
        <v>-0.408813944096309</v>
      </c>
      <c r="AQ19" s="40">
        <f t="shared" ref="AQ19" si="286">(AH19-AH$10)*1000</f>
        <v>-1.2708942063177631</v>
      </c>
      <c r="AR19" s="37"/>
      <c r="AS19" s="40">
        <f t="shared" ref="AS19" si="287">(E19-E$10)*1000</f>
        <v>-0.80000003799796104</v>
      </c>
      <c r="AT19" s="40">
        <f t="shared" ref="AT19" si="288">(F19-F$10)*1000</f>
        <v>-1.7999999690800905</v>
      </c>
      <c r="AU19" s="40">
        <f t="shared" ref="AU19" si="289">(G19-G$10)*1000</f>
        <v>-9.9999999989108801E-2</v>
      </c>
      <c r="AV19" s="40">
        <f t="shared" ref="AV19" si="290">(H19-H$10)*1000</f>
        <v>-0.40000001899898052</v>
      </c>
      <c r="AW19" s="40">
        <f t="shared" ref="AW19" si="291">(I19-I$10)*1000</f>
        <v>-1.39999995008111</v>
      </c>
      <c r="AX19" s="40">
        <f t="shared" ref="AX19" si="292">(J19-J$10)*1000</f>
        <v>0.19999999999242846</v>
      </c>
      <c r="AY19" s="40">
        <f t="shared" ref="AY19" si="293">(K19-K$10)*1000</f>
        <v>-0.80000003799796104</v>
      </c>
      <c r="AZ19" s="40">
        <f t="shared" ref="AZ19" si="294">(L19-L$10)*1000</f>
        <v>-1.299999887123704</v>
      </c>
      <c r="BA19" s="40">
        <f t="shared" ref="BA19" si="295">(M19-M$10)*1000</f>
        <v>-0.20000000000663931</v>
      </c>
      <c r="BB19" s="40">
        <f t="shared" ref="BB19" si="296">(N19-N$10)*1000</f>
        <v>1.5999999595806003</v>
      </c>
      <c r="BC19" s="40">
        <f t="shared" ref="BC19" si="297">(O19-O$10)*1000</f>
        <v>-0.40000001899898052</v>
      </c>
      <c r="BD19" s="40">
        <f t="shared" ref="BD19" si="298">(P19-P$10)*1000</f>
        <v>-1.6999999999995907</v>
      </c>
      <c r="BE19" s="40">
        <f t="shared" ref="BE19" si="299">(Q19-Q$10)*1000</f>
        <v>-0.60000002849847078</v>
      </c>
      <c r="BF19" s="40">
        <f t="shared" ref="BF19" si="300">(R19-R$10)*1000</f>
        <v>-1.6000000759959221</v>
      </c>
      <c r="BG19" s="40">
        <f t="shared" ref="BG19" si="301">(S19-S$10)*1000</f>
        <v>-0.79999999999813554</v>
      </c>
      <c r="BH19" s="40">
        <f t="shared" ref="BH19" si="302">(T19-T$10)*1000</f>
        <v>-0.29999995604157448</v>
      </c>
      <c r="BI19" s="40">
        <f t="shared" ref="BI19" si="303">(U19-U$10)*1000</f>
        <v>-0.90000010095536709</v>
      </c>
      <c r="BJ19" s="40">
        <f t="shared" ref="BJ19" si="304">(V19-V$10)*1000</f>
        <v>0.19999999999242846</v>
      </c>
      <c r="BK19" s="40">
        <f t="shared" ref="BK19" si="305">(W19-W$10)*1000</f>
        <v>0.49999996554106474</v>
      </c>
      <c r="BL19" s="40">
        <f t="shared" ref="BL19" si="306">(X19-X$10)*1000</f>
        <v>0.20000012591481209</v>
      </c>
      <c r="BM19" s="40">
        <f t="shared" ref="BM19" si="307">(Y19-Y$10)*1000</f>
        <v>0.40000000001327862</v>
      </c>
      <c r="BN19" s="37"/>
      <c r="BO19" s="36">
        <v>158.77954243581544</v>
      </c>
      <c r="BP19" s="36">
        <v>-3.8078533637926633</v>
      </c>
      <c r="BQ19" s="36">
        <v>-1.0520154243581459</v>
      </c>
      <c r="BR19" s="36">
        <v>158.64027687334536</v>
      </c>
      <c r="BS19" s="36">
        <v>-4.0553021527115964</v>
      </c>
      <c r="BT19" s="36">
        <v>0.32117723126654596</v>
      </c>
      <c r="BU19" s="36">
        <v>158.67870335807686</v>
      </c>
      <c r="BV19" s="36">
        <v>-3.0535930106857427</v>
      </c>
      <c r="BW19" s="36">
        <v>2.8557929664192301</v>
      </c>
      <c r="BX19" s="36">
        <v>158.67245891511658</v>
      </c>
      <c r="BY19" s="36">
        <v>0.54288648709809195</v>
      </c>
      <c r="BZ19" s="36">
        <v>4.3465554108488362</v>
      </c>
      <c r="CA19" s="36">
        <v>158.63380926134994</v>
      </c>
      <c r="CB19" s="36">
        <v>3.2009310417083738</v>
      </c>
      <c r="CC19" s="36">
        <v>2.8836419073864903</v>
      </c>
      <c r="CD19" s="36">
        <v>158.69568039800751</v>
      </c>
      <c r="CE19" s="36">
        <v>4.0567809423164372</v>
      </c>
      <c r="CF19" s="36">
        <v>0.30642319601992085</v>
      </c>
      <c r="CG19" s="36">
        <v>158.75844601648063</v>
      </c>
      <c r="CH19" s="36">
        <v>3.8353600598806761</v>
      </c>
      <c r="CI19" s="36">
        <v>-1.0809044601648026</v>
      </c>
      <c r="CJ19" s="37"/>
      <c r="CK19" s="40">
        <f t="shared" si="256"/>
        <v>-1.4858072788683785</v>
      </c>
      <c r="CL19" s="40">
        <f t="shared" si="257"/>
        <v>1.2932040363349273</v>
      </c>
      <c r="CM19" s="40">
        <f t="shared" si="258"/>
        <v>-8.514192720099345E-2</v>
      </c>
      <c r="CN19" s="40">
        <f t="shared" si="259"/>
        <v>-0.95422962988322979</v>
      </c>
      <c r="CO19" s="40">
        <f t="shared" si="260"/>
        <v>1.0997480114989244</v>
      </c>
      <c r="CP19" s="40">
        <f t="shared" si="261"/>
        <v>0.20954229628955545</v>
      </c>
      <c r="CQ19" s="40">
        <f t="shared" si="262"/>
        <v>-1.2744812391929372</v>
      </c>
      <c r="CR19" s="40">
        <f t="shared" si="263"/>
        <v>0.84005793744612589</v>
      </c>
      <c r="CS19" s="40">
        <f t="shared" si="264"/>
        <v>-0.18725518761186777</v>
      </c>
      <c r="CT19" s="40">
        <f t="shared" si="265"/>
        <v>1.2810064299344504</v>
      </c>
      <c r="CU19" s="40">
        <f t="shared" si="266"/>
        <v>1.0387600359385019</v>
      </c>
      <c r="CV19" s="40">
        <f t="shared" si="267"/>
        <v>-1.7128100642906929</v>
      </c>
      <c r="CW19" s="40">
        <f t="shared" si="268"/>
        <v>-1.2200185035737832</v>
      </c>
      <c r="CX19" s="40">
        <f t="shared" si="269"/>
        <v>1.196476129406765</v>
      </c>
      <c r="CY19" s="40">
        <f t="shared" si="270"/>
        <v>-0.7877998149723453</v>
      </c>
      <c r="CZ19" s="40">
        <f t="shared" si="271"/>
        <v>-0.65227442667037394</v>
      </c>
      <c r="DA19" s="40">
        <f t="shared" si="272"/>
        <v>0.68886735128970145</v>
      </c>
      <c r="DB19" s="40">
        <f t="shared" si="273"/>
        <v>0.2065227442642481</v>
      </c>
      <c r="DC19" s="40">
        <f t="shared" si="274"/>
        <v>0.53767644860158725</v>
      </c>
      <c r="DD19" s="40">
        <f t="shared" si="275"/>
        <v>3.006746653211323E-2</v>
      </c>
      <c r="DE19" s="40">
        <f t="shared" si="276"/>
        <v>0.39462323552186263</v>
      </c>
    </row>
    <row r="20" spans="1:109" ht="29.25" customHeight="1" x14ac:dyDescent="0.2">
      <c r="A20" s="34">
        <v>44364</v>
      </c>
      <c r="B20" s="27">
        <f t="shared" si="10"/>
        <v>224</v>
      </c>
      <c r="C20" s="43">
        <v>222.9</v>
      </c>
      <c r="D20" s="43">
        <f t="shared" ref="D20" si="308">C20-PM</f>
        <v>64.900000000000006</v>
      </c>
      <c r="E20" s="36">
        <v>823209.96569999994</v>
      </c>
      <c r="F20" s="36">
        <v>1091504.1603999999</v>
      </c>
      <c r="G20" s="36">
        <v>-125.0085</v>
      </c>
      <c r="H20" s="36">
        <v>823209.7352</v>
      </c>
      <c r="I20" s="36">
        <v>1091504.3252999999</v>
      </c>
      <c r="J20" s="36">
        <v>-123.6367</v>
      </c>
      <c r="K20" s="36">
        <v>823210.1936</v>
      </c>
      <c r="L20" s="36">
        <v>1091503.4336999999</v>
      </c>
      <c r="M20" s="36">
        <v>-121.1016</v>
      </c>
      <c r="N20" s="36">
        <v>823211.70750000002</v>
      </c>
      <c r="O20" s="36">
        <v>1091500.1717000001</v>
      </c>
      <c r="P20" s="36">
        <v>-119.61069999999999</v>
      </c>
      <c r="Q20" s="36">
        <v>823212.79619999998</v>
      </c>
      <c r="R20" s="36">
        <v>1091497.7468000001</v>
      </c>
      <c r="S20" s="36">
        <v>-121.07389999999999</v>
      </c>
      <c r="T20" s="36">
        <v>823213.21380000003</v>
      </c>
      <c r="U20" s="36">
        <v>1091496.9976999999</v>
      </c>
      <c r="V20" s="36">
        <v>-123.6508</v>
      </c>
      <c r="W20" s="36"/>
      <c r="X20" s="36"/>
      <c r="Y20" s="36"/>
      <c r="Z20" s="36">
        <f t="shared" si="243"/>
        <v>6.9339627752991442</v>
      </c>
      <c r="AA20" s="36">
        <f t="shared" si="2"/>
        <v>6.1115494147395886</v>
      </c>
      <c r="AB20" s="36">
        <f t="shared" si="3"/>
        <v>3.8929834342341985</v>
      </c>
      <c r="AC20" s="36">
        <f t="shared" si="4"/>
        <v>3.0341987311054339</v>
      </c>
      <c r="AD20" s="36">
        <f t="shared" si="5"/>
        <v>5.3540287355185034</v>
      </c>
      <c r="AE20" s="36"/>
      <c r="AF20" s="36">
        <f t="shared" si="7"/>
        <v>6.2542086356522697</v>
      </c>
      <c r="AG20" s="36">
        <f t="shared" si="8"/>
        <v>8.1113857342404199</v>
      </c>
      <c r="AH20" s="36" t="str">
        <f t="shared" si="244"/>
        <v/>
      </c>
      <c r="AI20" s="40">
        <f t="shared" ref="AI20" si="309">(Z20-Z$10)*1000</f>
        <v>-0.98490007267137969</v>
      </c>
      <c r="AJ20" s="40">
        <f t="shared" ref="AJ20" si="310">(AA20-AA$10)*1000</f>
        <v>-1.2533966227712412</v>
      </c>
      <c r="AK20" s="40">
        <f t="shared" ref="AK20" si="311">(AB20-AB$10)*1000</f>
        <v>-0.59767320331527429</v>
      </c>
      <c r="AL20" s="40">
        <f t="shared" ref="AL20" si="312">(AC20-AC$10)*1000</f>
        <v>-0.52544247729668925</v>
      </c>
      <c r="AM20" s="40">
        <f t="shared" ref="AM20" si="313">(AD20-AD$10)*1000</f>
        <v>-1.967281928425102</v>
      </c>
      <c r="AN20" s="40"/>
      <c r="AO20" s="40">
        <f t="shared" ref="AO20" si="314">(AF20-AF$10)*1000</f>
        <v>-0.18319486966777987</v>
      </c>
      <c r="AP20" s="40">
        <f t="shared" ref="AP20" si="315">(AG20-AG$10)*1000</f>
        <v>-1.3077967969294946</v>
      </c>
      <c r="AQ20" s="40"/>
      <c r="AR20" s="37"/>
      <c r="AS20" s="40">
        <f t="shared" ref="AS20:AS24" si="316">(E20-E$10)*1000</f>
        <v>-0.90000010095536709</v>
      </c>
      <c r="AT20" s="40">
        <f t="shared" ref="AT20:AT24" si="317">(F20-F$10)*1000</f>
        <v>-1.9000000320374966</v>
      </c>
      <c r="AU20" s="40">
        <f t="shared" ref="AU20:AU24" si="318">(G20-G$10)*1000</f>
        <v>-1.4999999999929514</v>
      </c>
      <c r="AV20" s="40">
        <f t="shared" ref="AV20:AV24" si="319">(H20-H$10)*1000</f>
        <v>-0.20000000949949026</v>
      </c>
      <c r="AW20" s="40">
        <f t="shared" ref="AW20:AW24" si="320">(I20-I$10)*1000</f>
        <v>-2.0000000949949026</v>
      </c>
      <c r="AX20" s="40">
        <f t="shared" ref="AX20:AX24" si="321">(J20-J$10)*1000</f>
        <v>-1.2000000000114142</v>
      </c>
      <c r="AY20" s="40">
        <f t="shared" ref="AY20:AY24" si="322">(K20-K$10)*1000</f>
        <v>-0.40000001899898052</v>
      </c>
      <c r="AZ20" s="40">
        <f t="shared" ref="AZ20:AZ24" si="323">(L20-L$10)*1000</f>
        <v>-1.9000000320374966</v>
      </c>
      <c r="BA20" s="40">
        <f t="shared" ref="BA20:BA24" si="324">(M20-M$10)*1000</f>
        <v>-1.5000000000071623</v>
      </c>
      <c r="BB20" s="40">
        <f t="shared" ref="BB20:BB24" si="325">(N20-N$10)*1000</f>
        <v>1.500000013038516</v>
      </c>
      <c r="BC20" s="40">
        <f t="shared" ref="BC20:BC24" si="326">(O20-O$10)*1000</f>
        <v>-0.89999986812472343</v>
      </c>
      <c r="BD20" s="40">
        <f t="shared" ref="BD20:BD24" si="327">(P20-P$10)*1000</f>
        <v>-2.7999999999934744</v>
      </c>
      <c r="BE20" s="40">
        <f t="shared" ref="BE20:BE24" si="328">(Q20-Q$10)*1000</f>
        <v>-0.40000001899898052</v>
      </c>
      <c r="BF20" s="40">
        <f t="shared" ref="BF20:BF24" si="329">(R20-R$10)*1000</f>
        <v>-1.6999999061226845</v>
      </c>
      <c r="BG20" s="40">
        <f t="shared" ref="BG20:BG24" si="330">(S20-S$10)*1000</f>
        <v>-1.7999999999886995</v>
      </c>
      <c r="BH20" s="40">
        <f t="shared" ref="BH20:BH24" si="331">(T20-T$10)*1000</f>
        <v>-0.29999995604157448</v>
      </c>
      <c r="BI20" s="40">
        <f t="shared" ref="BI20:BI24" si="332">(U20-U$10)*1000</f>
        <v>-0.60000014491379261</v>
      </c>
      <c r="BJ20" s="40">
        <f t="shared" ref="BJ20:BJ24" si="333">(V20-V$10)*1000</f>
        <v>-1.1000000000080945</v>
      </c>
      <c r="BK20" s="40"/>
      <c r="BL20" s="40"/>
      <c r="BM20" s="40"/>
      <c r="BN20" s="37"/>
      <c r="BO20" s="36">
        <v>158.77940954132586</v>
      </c>
      <c r="BP20" s="36">
        <v>-3.8078049997583316</v>
      </c>
      <c r="BQ20" s="36">
        <v>-1.0534140954132596</v>
      </c>
      <c r="BR20" s="36">
        <v>158.64020454049651</v>
      </c>
      <c r="BS20" s="36">
        <v>-4.0546738469447225</v>
      </c>
      <c r="BT20" s="36">
        <v>0.31977795459502545</v>
      </c>
      <c r="BU20" s="36">
        <v>158.67881228364647</v>
      </c>
      <c r="BV20" s="36">
        <v>-3.0528801745128118</v>
      </c>
      <c r="BW20" s="36">
        <v>2.8544918771635253</v>
      </c>
      <c r="BX20" s="36">
        <v>158.67215696001887</v>
      </c>
      <c r="BY20" s="36">
        <v>0.54329736780751026</v>
      </c>
      <c r="BZ20" s="36">
        <v>4.3454584303998161</v>
      </c>
      <c r="CA20" s="36">
        <v>158.63394825463917</v>
      </c>
      <c r="CB20" s="36">
        <v>3.201106201165365</v>
      </c>
      <c r="CC20" s="36">
        <v>2.8826405174536092</v>
      </c>
      <c r="CD20" s="36">
        <v>158.69580719359195</v>
      </c>
      <c r="CE20" s="36">
        <v>4.0565090547415501</v>
      </c>
      <c r="CF20" s="36">
        <v>0.30512192806406802</v>
      </c>
      <c r="CG20" s="36"/>
      <c r="CH20" s="36"/>
      <c r="CI20" s="36"/>
      <c r="CJ20" s="37"/>
      <c r="CK20" s="40">
        <f t="shared" si="256"/>
        <v>-1.618701768450137</v>
      </c>
      <c r="CL20" s="40">
        <f t="shared" si="257"/>
        <v>1.3415680706665434</v>
      </c>
      <c r="CM20" s="40">
        <f t="shared" si="258"/>
        <v>-1.4838129823147028</v>
      </c>
      <c r="CN20" s="40">
        <f t="shared" si="259"/>
        <v>-1.0265624787280103</v>
      </c>
      <c r="CO20" s="40">
        <f t="shared" si="260"/>
        <v>1.7280537783728178</v>
      </c>
      <c r="CP20" s="40">
        <f t="shared" si="261"/>
        <v>-1.1897343752309553</v>
      </c>
      <c r="CQ20" s="40">
        <f t="shared" si="262"/>
        <v>-1.1655556695870928</v>
      </c>
      <c r="CR20" s="40">
        <f t="shared" si="263"/>
        <v>1.5528941103770677</v>
      </c>
      <c r="CS20" s="40">
        <f t="shared" si="264"/>
        <v>-1.4883444433166915</v>
      </c>
      <c r="CT20" s="40">
        <f t="shared" si="265"/>
        <v>0.97905133222297991</v>
      </c>
      <c r="CU20" s="40">
        <f t="shared" si="266"/>
        <v>1.4496407453568061</v>
      </c>
      <c r="CV20" s="40">
        <f t="shared" si="267"/>
        <v>-2.8097905133108725</v>
      </c>
      <c r="CW20" s="40">
        <f t="shared" si="268"/>
        <v>-1.0810252143471644</v>
      </c>
      <c r="CX20" s="40">
        <f t="shared" si="269"/>
        <v>1.3716355863979679</v>
      </c>
      <c r="CY20" s="40">
        <f t="shared" si="270"/>
        <v>-1.7891897478534702</v>
      </c>
      <c r="CZ20" s="40">
        <f t="shared" si="271"/>
        <v>-0.52547884223486108</v>
      </c>
      <c r="DA20" s="40">
        <f t="shared" si="272"/>
        <v>0.41697977640264838</v>
      </c>
      <c r="DB20" s="40">
        <f t="shared" si="273"/>
        <v>-1.0947452115885881</v>
      </c>
      <c r="DC20" s="40"/>
      <c r="DD20" s="40"/>
      <c r="DE20" s="40"/>
    </row>
    <row r="21" spans="1:109" ht="29.25" customHeight="1" x14ac:dyDescent="0.2">
      <c r="A21" s="34">
        <v>44378</v>
      </c>
      <c r="B21" s="27">
        <f t="shared" si="10"/>
        <v>238</v>
      </c>
      <c r="C21" s="43">
        <v>222.9</v>
      </c>
      <c r="D21" s="43">
        <f t="shared" ref="D21" si="334">C21-PM</f>
        <v>64.900000000000006</v>
      </c>
      <c r="E21" s="36">
        <v>823209.96640000003</v>
      </c>
      <c r="F21" s="36">
        <v>1091504.1602</v>
      </c>
      <c r="G21" s="36">
        <v>-125.0074</v>
      </c>
      <c r="H21" s="36">
        <v>823209.7352</v>
      </c>
      <c r="I21" s="36">
        <v>1091504.3254</v>
      </c>
      <c r="J21" s="36">
        <v>-123.6357</v>
      </c>
      <c r="K21" s="36">
        <v>823210.19440000004</v>
      </c>
      <c r="L21" s="36">
        <v>1091503.4341</v>
      </c>
      <c r="M21" s="36">
        <v>-121.10120000000001</v>
      </c>
      <c r="N21" s="36">
        <v>823211.70830000006</v>
      </c>
      <c r="O21" s="36">
        <v>1091500.1723</v>
      </c>
      <c r="P21" s="36">
        <v>-119.6101</v>
      </c>
      <c r="Q21" s="36">
        <v>823212.79639999999</v>
      </c>
      <c r="R21" s="36">
        <v>1091497.7474</v>
      </c>
      <c r="S21" s="36">
        <v>-121.0732</v>
      </c>
      <c r="T21" s="36">
        <v>823213.21420000005</v>
      </c>
      <c r="U21" s="36">
        <v>1091496.9975999999</v>
      </c>
      <c r="V21" s="36">
        <v>-123.65</v>
      </c>
      <c r="W21" s="36"/>
      <c r="X21" s="36"/>
      <c r="Y21" s="36"/>
      <c r="Z21" s="36">
        <f t="shared" si="243"/>
        <v>6.9331384892126682</v>
      </c>
      <c r="AA21" s="36">
        <f t="shared" si="2"/>
        <v>6.1112043477703333</v>
      </c>
      <c r="AB21" s="36">
        <f t="shared" si="3"/>
        <v>3.8928924541938481</v>
      </c>
      <c r="AC21" s="36">
        <f t="shared" si="4"/>
        <v>3.0339352711915</v>
      </c>
      <c r="AD21" s="36">
        <f t="shared" si="5"/>
        <v>5.3541803210708414</v>
      </c>
      <c r="AE21" s="36"/>
      <c r="AF21" s="36">
        <f t="shared" si="7"/>
        <v>6.2537784490126604</v>
      </c>
      <c r="AG21" s="36">
        <f t="shared" si="8"/>
        <v>8.1117383051733469</v>
      </c>
      <c r="AH21" s="36" t="str">
        <f t="shared" si="244"/>
        <v/>
      </c>
      <c r="AI21" s="40">
        <f t="shared" ref="AI21" si="335">(Z21-Z$10)*1000</f>
        <v>-1.8091861591473801</v>
      </c>
      <c r="AJ21" s="40">
        <f t="shared" ref="AJ21" si="336">(AA21-AA$10)*1000</f>
        <v>-1.5984635920265333</v>
      </c>
      <c r="AK21" s="40">
        <f t="shared" ref="AK21" si="337">(AB21-AB$10)*1000</f>
        <v>-0.68865324366562675</v>
      </c>
      <c r="AL21" s="40">
        <f t="shared" ref="AL21" si="338">(AC21-AC$10)*1000</f>
        <v>-0.78890239123063921</v>
      </c>
      <c r="AM21" s="40">
        <f t="shared" ref="AM21" si="339">(AD21-AD$10)*1000</f>
        <v>-1.8156963760871392</v>
      </c>
      <c r="AN21" s="40"/>
      <c r="AO21" s="40">
        <f t="shared" ref="AO21:AO22" si="340">(AF21-AF$10)*1000</f>
        <v>-0.61338150927703339</v>
      </c>
      <c r="AP21" s="40">
        <f t="shared" ref="AP21:AP22" si="341">(AG21-AG$10)*1000</f>
        <v>-0.95522586400242915</v>
      </c>
      <c r="AQ21" s="40"/>
      <c r="AR21" s="37"/>
      <c r="AS21" s="40">
        <f t="shared" si="316"/>
        <v>-0.20000000949949026</v>
      </c>
      <c r="AT21" s="40">
        <f t="shared" si="317"/>
        <v>-2.099999925121665</v>
      </c>
      <c r="AU21" s="40">
        <f t="shared" si="318"/>
        <v>-0.39999999999906777</v>
      </c>
      <c r="AV21" s="40">
        <f t="shared" si="319"/>
        <v>-0.20000000949949026</v>
      </c>
      <c r="AW21" s="40">
        <f t="shared" si="320"/>
        <v>-1.9000000320374966</v>
      </c>
      <c r="AX21" s="40">
        <f t="shared" si="321"/>
        <v>-0.20000000000663931</v>
      </c>
      <c r="AY21" s="40">
        <f t="shared" si="322"/>
        <v>0.40000001899898052</v>
      </c>
      <c r="AZ21" s="40">
        <f t="shared" si="323"/>
        <v>-1.500000013038516</v>
      </c>
      <c r="BA21" s="40">
        <f t="shared" si="324"/>
        <v>-1.1000000000080945</v>
      </c>
      <c r="BB21" s="40">
        <f t="shared" si="325"/>
        <v>2.3000000510364771</v>
      </c>
      <c r="BC21" s="40">
        <f t="shared" si="326"/>
        <v>-0.29999995604157448</v>
      </c>
      <c r="BD21" s="40">
        <f t="shared" si="327"/>
        <v>-2.2000000000019782</v>
      </c>
      <c r="BE21" s="40">
        <f t="shared" si="328"/>
        <v>-0.20000000949949026</v>
      </c>
      <c r="BF21" s="40">
        <f t="shared" si="329"/>
        <v>-1.0999999940395355</v>
      </c>
      <c r="BG21" s="40">
        <f t="shared" si="330"/>
        <v>-1.0999999999938836</v>
      </c>
      <c r="BH21" s="40">
        <f t="shared" si="331"/>
        <v>0.10000006295740604</v>
      </c>
      <c r="BI21" s="40">
        <f t="shared" si="332"/>
        <v>-0.70000020787119865</v>
      </c>
      <c r="BJ21" s="40">
        <f t="shared" si="333"/>
        <v>-0.30000000000995897</v>
      </c>
      <c r="BK21" s="40"/>
      <c r="BL21" s="40"/>
      <c r="BM21" s="40"/>
      <c r="BN21" s="37"/>
      <c r="BO21" s="36">
        <v>158.77995941548633</v>
      </c>
      <c r="BP21" s="36">
        <v>-3.8073278849996703</v>
      </c>
      <c r="BQ21" s="36">
        <v>-1.0523195941548664</v>
      </c>
      <c r="BR21" s="36">
        <v>158.6402468057241</v>
      </c>
      <c r="BS21" s="36">
        <v>-4.0547644762067092</v>
      </c>
      <c r="BT21" s="36">
        <v>0.3207775319427526</v>
      </c>
      <c r="BU21" s="36">
        <v>158.67970637813227</v>
      </c>
      <c r="BV21" s="36">
        <v>-3.0529045697255768</v>
      </c>
      <c r="BW21" s="36">
        <v>2.8548829362186723</v>
      </c>
      <c r="BX21" s="36">
        <v>158.67313558486148</v>
      </c>
      <c r="BY21" s="36">
        <v>0.54309171428183234</v>
      </c>
      <c r="BZ21" s="36">
        <v>4.3460486441513808</v>
      </c>
      <c r="CA21" s="36">
        <v>158.63438310422652</v>
      </c>
      <c r="CB21" s="36">
        <v>3.2006469564215818</v>
      </c>
      <c r="CC21" s="36">
        <v>2.8833361689577259</v>
      </c>
      <c r="CD21" s="36">
        <v>158.69612744520123</v>
      </c>
      <c r="CE21" s="36">
        <v>4.0567687448155763</v>
      </c>
      <c r="CF21" s="36">
        <v>0.30591872554798272</v>
      </c>
      <c r="CG21" s="36"/>
      <c r="CH21" s="36"/>
      <c r="CI21" s="36"/>
      <c r="CJ21" s="37"/>
      <c r="CK21" s="40">
        <f t="shared" si="256"/>
        <v>-1.0688276079804382</v>
      </c>
      <c r="CL21" s="40">
        <f t="shared" si="257"/>
        <v>1.8186828293278445</v>
      </c>
      <c r="CM21" s="40">
        <f t="shared" si="258"/>
        <v>-0.38931172392153712</v>
      </c>
      <c r="CN21" s="40">
        <f t="shared" ref="CN21" si="342">(BR21-BR$10)*1000</f>
        <v>-0.98429725113646782</v>
      </c>
      <c r="CO21" s="40">
        <f t="shared" ref="CO21" si="343">(BS21-BS$10)*1000</f>
        <v>1.6374245163861545</v>
      </c>
      <c r="CP21" s="40">
        <f t="shared" ref="CP21" si="344">(BT21-BT$10)*1000</f>
        <v>-0.19015702750380115</v>
      </c>
      <c r="CQ21" s="40">
        <f t="shared" ref="CQ21" si="345">(BU21-BU$10)*1000</f>
        <v>-0.27146118378595929</v>
      </c>
      <c r="CR21" s="40">
        <f t="shared" ref="CR21" si="346">(BV21-BV$10)*1000</f>
        <v>1.528498897612085</v>
      </c>
      <c r="CS21" s="40">
        <f t="shared" ref="CS21" si="347">(BW21-BW$10)*1000</f>
        <v>-1.0972853881696665</v>
      </c>
      <c r="CT21" s="40">
        <f t="shared" ref="CT21" si="348">(BX21-BX$10)*1000</f>
        <v>1.9576761748396621</v>
      </c>
      <c r="CU21" s="40">
        <f t="shared" ref="CU21" si="349">(BY21-BY$10)*1000</f>
        <v>1.2439872196788881</v>
      </c>
      <c r="CV21" s="40">
        <f t="shared" ref="CV21" si="350">(BZ21-BZ$10)*1000</f>
        <v>-2.2195767617461115</v>
      </c>
      <c r="CW21" s="40">
        <f t="shared" ref="CW21" si="351">(CA21-CA$10)*1000</f>
        <v>-0.64617562699709197</v>
      </c>
      <c r="CX21" s="40">
        <f t="shared" ref="CX21" si="352">(CB21-CB$10)*1000</f>
        <v>0.9123908426147409</v>
      </c>
      <c r="CY21" s="40">
        <f t="shared" ref="CY21" si="353">(CC21-CC$10)*1000</f>
        <v>-1.0935382437367025</v>
      </c>
      <c r="CZ21" s="40">
        <f t="shared" ref="CZ21" si="354">(CD21-CD$10)*1000</f>
        <v>-0.20522723295357537</v>
      </c>
      <c r="DA21" s="40">
        <f t="shared" ref="DA21" si="355">(CE21-CE$10)*1000</f>
        <v>0.67666985042880157</v>
      </c>
      <c r="DB21" s="40">
        <f t="shared" ref="DB21" si="356">(CF21-CF$10)*1000</f>
        <v>-0.29794772767388622</v>
      </c>
      <c r="DC21" s="40"/>
      <c r="DD21" s="40"/>
      <c r="DE21" s="40"/>
    </row>
    <row r="22" spans="1:109" ht="29.25" customHeight="1" x14ac:dyDescent="0.2">
      <c r="A22" s="34">
        <v>44392</v>
      </c>
      <c r="B22" s="27">
        <f t="shared" si="10"/>
        <v>252</v>
      </c>
      <c r="C22" s="43">
        <v>222.9</v>
      </c>
      <c r="D22" s="43">
        <f t="shared" ref="D22" si="357">C22-PM</f>
        <v>64.900000000000006</v>
      </c>
      <c r="E22" s="36">
        <v>823209.96600000001</v>
      </c>
      <c r="F22" s="36">
        <v>1091504.1605</v>
      </c>
      <c r="G22" s="36">
        <v>-125.0076</v>
      </c>
      <c r="H22" s="36">
        <v>823209.73510000005</v>
      </c>
      <c r="I22" s="36">
        <v>1091504.3256000001</v>
      </c>
      <c r="J22" s="36">
        <v>-123.6358</v>
      </c>
      <c r="K22" s="36">
        <v>823210.19380000001</v>
      </c>
      <c r="L22" s="36">
        <v>1091503.4339999999</v>
      </c>
      <c r="M22" s="36">
        <v>-121.10080000000001</v>
      </c>
      <c r="N22" s="36">
        <v>823211.7084</v>
      </c>
      <c r="O22" s="36">
        <v>1091500.1725000001</v>
      </c>
      <c r="P22" s="36">
        <v>-119.6105</v>
      </c>
      <c r="Q22" s="36">
        <v>823212.79669999995</v>
      </c>
      <c r="R22" s="36">
        <v>1091497.7476999999</v>
      </c>
      <c r="S22" s="36">
        <v>-121.0735</v>
      </c>
      <c r="T22" s="36">
        <v>823213.21429999999</v>
      </c>
      <c r="U22" s="36">
        <v>1091496.9983000001</v>
      </c>
      <c r="V22" s="36">
        <v>-123.65009999999999</v>
      </c>
      <c r="W22" s="36"/>
      <c r="X22" s="36"/>
      <c r="Y22" s="36"/>
      <c r="Z22" s="36">
        <f t="shared" si="243"/>
        <v>6.9331659556891525</v>
      </c>
      <c r="AA22" s="36">
        <f t="shared" si="2"/>
        <v>6.1110713127720206</v>
      </c>
      <c r="AB22" s="36">
        <f t="shared" si="3"/>
        <v>3.8926070311054808</v>
      </c>
      <c r="AC22" s="36">
        <f t="shared" si="4"/>
        <v>3.0338788589237216</v>
      </c>
      <c r="AD22" s="36">
        <f t="shared" si="5"/>
        <v>5.3536574983857346</v>
      </c>
      <c r="AE22" s="36"/>
      <c r="AF22" s="36">
        <f t="shared" si="7"/>
        <v>6.2537861643198669</v>
      </c>
      <c r="AG22" s="36">
        <f t="shared" si="8"/>
        <v>8.1113724128331999</v>
      </c>
      <c r="AH22" s="36" t="str">
        <f t="shared" si="244"/>
        <v/>
      </c>
      <c r="AI22" s="40">
        <f t="shared" ref="AI22" si="358">(Z22-Z$10)*1000</f>
        <v>-1.7817196826630521</v>
      </c>
      <c r="AJ22" s="40">
        <f t="shared" ref="AJ22" si="359">(AA22-AA$10)*1000</f>
        <v>-1.7314985903391644</v>
      </c>
      <c r="AK22" s="40">
        <f t="shared" ref="AK22" si="360">(AB22-AB$10)*1000</f>
        <v>-0.97407633203294708</v>
      </c>
      <c r="AL22" s="40">
        <f t="shared" ref="AL22" si="361">(AC22-AC$10)*1000</f>
        <v>-0.84531465900905545</v>
      </c>
      <c r="AM22" s="40">
        <f t="shared" ref="AM22" si="362">(AD22-AD$10)*1000</f>
        <v>-2.3385190611939777</v>
      </c>
      <c r="AN22" s="40"/>
      <c r="AO22" s="40">
        <f t="shared" si="340"/>
        <v>-0.60566620207058719</v>
      </c>
      <c r="AP22" s="40">
        <f t="shared" si="341"/>
        <v>-1.3211182041494851</v>
      </c>
      <c r="AQ22" s="40"/>
      <c r="AR22" s="37"/>
      <c r="AS22" s="40">
        <f t="shared" si="316"/>
        <v>-0.60000002849847078</v>
      </c>
      <c r="AT22" s="40">
        <f t="shared" si="317"/>
        <v>-1.7999999690800905</v>
      </c>
      <c r="AU22" s="40">
        <f t="shared" si="318"/>
        <v>-0.59999999999149622</v>
      </c>
      <c r="AV22" s="40">
        <f t="shared" si="319"/>
        <v>-0.29999995604157448</v>
      </c>
      <c r="AW22" s="40">
        <f t="shared" si="320"/>
        <v>-1.6999999061226845</v>
      </c>
      <c r="AX22" s="40">
        <f t="shared" si="321"/>
        <v>-0.30000000000995897</v>
      </c>
      <c r="AY22" s="40">
        <f t="shared" si="322"/>
        <v>-0.20000000949949026</v>
      </c>
      <c r="AZ22" s="40">
        <f t="shared" si="323"/>
        <v>-1.6000000759959221</v>
      </c>
      <c r="BA22" s="40">
        <f t="shared" si="324"/>
        <v>-0.70000000000902673</v>
      </c>
      <c r="BB22" s="40">
        <f t="shared" si="325"/>
        <v>2.3999999975785613</v>
      </c>
      <c r="BC22" s="40">
        <f t="shared" si="326"/>
        <v>-9.999983012676239E-2</v>
      </c>
      <c r="BD22" s="40">
        <f t="shared" si="327"/>
        <v>-2.6000000000010459</v>
      </c>
      <c r="BE22" s="40">
        <f t="shared" si="328"/>
        <v>9.9999946542084217E-2</v>
      </c>
      <c r="BF22" s="40">
        <f t="shared" si="329"/>
        <v>-0.80000003799796104</v>
      </c>
      <c r="BG22" s="40">
        <f t="shared" si="330"/>
        <v>-1.3999999999896318</v>
      </c>
      <c r="BH22" s="40">
        <f t="shared" si="331"/>
        <v>0.20000000949949026</v>
      </c>
      <c r="BI22" s="40">
        <f t="shared" si="332"/>
        <v>0</v>
      </c>
      <c r="BJ22" s="40">
        <f t="shared" si="333"/>
        <v>-0.39999999999906777</v>
      </c>
      <c r="BK22" s="40"/>
      <c r="BL22" s="40"/>
      <c r="BM22" s="40"/>
      <c r="BN22" s="37"/>
      <c r="BO22" s="36">
        <v>158.77972369423387</v>
      </c>
      <c r="BP22" s="36">
        <v>-3.8077688333866329</v>
      </c>
      <c r="BQ22" s="36">
        <v>-1.0525172369423359</v>
      </c>
      <c r="BR22" s="36">
        <v>158.64024070702288</v>
      </c>
      <c r="BS22" s="36">
        <v>-4.0549879999090672</v>
      </c>
      <c r="BT22" s="36">
        <v>0.32067759292976916</v>
      </c>
      <c r="BU22" s="36">
        <v>158.67912033764935</v>
      </c>
      <c r="BV22" s="36">
        <v>-3.0530675316816995</v>
      </c>
      <c r="BW22" s="36">
        <v>2.8552887966234977</v>
      </c>
      <c r="BX22" s="36">
        <v>158.67331074447324</v>
      </c>
      <c r="BY22" s="36">
        <v>0.54295272093631941</v>
      </c>
      <c r="BZ22" s="36">
        <v>4.3456468925552656</v>
      </c>
      <c r="CA22" s="36">
        <v>158.63478178738586</v>
      </c>
      <c r="CB22" s="36">
        <v>3.2005018644311458</v>
      </c>
      <c r="CC22" s="36">
        <v>2.8830321821261435</v>
      </c>
      <c r="CD22" s="36">
        <v>158.6965139308526</v>
      </c>
      <c r="CE22" s="36">
        <v>4.0561766053712116</v>
      </c>
      <c r="CF22" s="36">
        <v>0.3058148606914699</v>
      </c>
      <c r="CG22" s="36"/>
      <c r="CH22" s="36"/>
      <c r="CI22" s="36"/>
      <c r="CJ22" s="37"/>
      <c r="CK22" s="40">
        <f t="shared" si="256"/>
        <v>-1.3045488604461752</v>
      </c>
      <c r="CL22" s="40">
        <f t="shared" si="257"/>
        <v>1.3777344423653304</v>
      </c>
      <c r="CM22" s="40">
        <f t="shared" si="258"/>
        <v>-0.58695451139101351</v>
      </c>
      <c r="CN22" s="40">
        <f t="shared" ref="CN22" si="363">(BR22-BR$10)*1000</f>
        <v>-0.99039595235694833</v>
      </c>
      <c r="CO22" s="40">
        <f t="shared" ref="CO22" si="364">(BS22-BS$10)*1000</f>
        <v>1.4139008140281462</v>
      </c>
      <c r="CP22" s="40">
        <f t="shared" ref="CP22" si="365">(BT22-BT$10)*1000</f>
        <v>-0.29009604048724213</v>
      </c>
      <c r="CQ22" s="40">
        <f t="shared" ref="CQ22" si="366">(BU22-BU$10)*1000</f>
        <v>-0.85750166670095496</v>
      </c>
      <c r="CR22" s="40">
        <f t="shared" ref="CR22" si="367">(BV22-BV$10)*1000</f>
        <v>1.3655369414893315</v>
      </c>
      <c r="CS22" s="40">
        <f t="shared" ref="CS22" si="368">(BW22-BW$10)*1000</f>
        <v>-0.69142498334429092</v>
      </c>
      <c r="CT22" s="40">
        <f t="shared" ref="CT22" si="369">(BX22-BX$10)*1000</f>
        <v>2.1328357865968428</v>
      </c>
      <c r="CU22" s="40">
        <f t="shared" ref="CU22" si="370">(BY22-BY$10)*1000</f>
        <v>1.1049938741659604</v>
      </c>
      <c r="CV22" s="40">
        <f t="shared" ref="CV22" si="371">(BZ22-BZ$10)*1000</f>
        <v>-2.62132835786133</v>
      </c>
      <c r="CW22" s="40">
        <f t="shared" ref="CW22" si="372">(CA22-CA$10)*1000</f>
        <v>-0.24749246765054522</v>
      </c>
      <c r="CX22" s="40">
        <f t="shared" ref="CX22" si="373">(CB22-CB$10)*1000</f>
        <v>0.76729885217874383</v>
      </c>
      <c r="CY22" s="40">
        <f t="shared" ref="CY22" si="374">(CC22-CC$10)*1000</f>
        <v>-1.3975250753190949</v>
      </c>
      <c r="CZ22" s="40">
        <f t="shared" ref="CZ22" si="375">(CD22-CD$10)*1000</f>
        <v>0.18125841842220325</v>
      </c>
      <c r="DA22" s="40">
        <f t="shared" ref="DA22" si="376">(CE22-CE$10)*1000</f>
        <v>8.4530406064153851E-2</v>
      </c>
      <c r="DB22" s="40">
        <f t="shared" ref="DB22" si="377">(CF22-CF$10)*1000</f>
        <v>-0.40181258418670041</v>
      </c>
      <c r="DC22" s="40"/>
      <c r="DD22" s="40"/>
      <c r="DE22" s="40"/>
    </row>
    <row r="23" spans="1:109" ht="29.25" customHeight="1" x14ac:dyDescent="0.2">
      <c r="A23" s="34">
        <v>44410</v>
      </c>
      <c r="B23" s="27">
        <f t="shared" si="10"/>
        <v>270</v>
      </c>
      <c r="C23" s="43">
        <v>222.9</v>
      </c>
      <c r="D23" s="43">
        <f t="shared" ref="D23" si="378">C23-PM</f>
        <v>64.900000000000006</v>
      </c>
      <c r="E23" s="36">
        <v>823209.96609999996</v>
      </c>
      <c r="F23" s="36">
        <v>1091504.1603999999</v>
      </c>
      <c r="G23" s="36">
        <v>-125.0077</v>
      </c>
      <c r="H23" s="36">
        <v>823209.73569999996</v>
      </c>
      <c r="I23" s="36">
        <v>1091504.3256000001</v>
      </c>
      <c r="J23" s="36">
        <v>-123.63590000000001</v>
      </c>
      <c r="K23" s="36">
        <v>823210.19429999997</v>
      </c>
      <c r="L23" s="36">
        <v>1091503.4341</v>
      </c>
      <c r="M23" s="36">
        <v>-121.1011</v>
      </c>
      <c r="N23" s="36">
        <v>823211.70799999998</v>
      </c>
      <c r="O23" s="36">
        <v>1091500.1721999999</v>
      </c>
      <c r="P23" s="36">
        <v>-119.61060000000001</v>
      </c>
      <c r="Q23" s="36">
        <v>823212.79639999999</v>
      </c>
      <c r="R23" s="36">
        <v>1091497.7474</v>
      </c>
      <c r="S23" s="36">
        <v>-121.0736</v>
      </c>
      <c r="T23" s="36">
        <v>823213.21389999997</v>
      </c>
      <c r="U23" s="36">
        <v>1091496.9982</v>
      </c>
      <c r="V23" s="36">
        <v>-123.6502</v>
      </c>
      <c r="W23" s="36"/>
      <c r="X23" s="36"/>
      <c r="Y23" s="36"/>
      <c r="Z23" s="36">
        <f t="shared" si="243"/>
        <v>6.9331553610352223</v>
      </c>
      <c r="AA23" s="36">
        <f t="shared" si="2"/>
        <v>6.110952375990669</v>
      </c>
      <c r="AB23" s="36">
        <f t="shared" si="3"/>
        <v>3.8926686925939809</v>
      </c>
      <c r="AC23" s="36">
        <f t="shared" si="4"/>
        <v>3.0339147317668966</v>
      </c>
      <c r="AD23" s="36">
        <f t="shared" si="5"/>
        <v>5.3535389201184005</v>
      </c>
      <c r="AE23" s="36" t="str">
        <f t="shared" ref="AE23" si="379">IF(Xbasdroit="","",SQRT(((Xbasdroit-Xbasgauche)^2+(Ybasdroit-Ybasgauche)^2)+(Zbasdroit-Zbasgauche)^2))</f>
        <v/>
      </c>
      <c r="AF23" s="36">
        <f t="shared" si="7"/>
        <v>6.253817837902127</v>
      </c>
      <c r="AG23" s="36">
        <f t="shared" si="8"/>
        <v>8.1110338731307046</v>
      </c>
      <c r="AH23" s="36" t="str">
        <f t="shared" si="244"/>
        <v/>
      </c>
      <c r="AI23" s="40">
        <f t="shared" ref="AI23:AI24" si="380">(Z23-Z$10)*1000</f>
        <v>-1.7923143365932148</v>
      </c>
      <c r="AJ23" s="40">
        <f t="shared" ref="AJ23:AJ24" si="381">(AA23-AA$10)*1000</f>
        <v>-1.8504353716908284</v>
      </c>
      <c r="AK23" s="40">
        <f t="shared" ref="AK23:AK24" si="382">(AB23-AB$10)*1000</f>
        <v>-0.91241484353288271</v>
      </c>
      <c r="AL23" s="40">
        <f t="shared" ref="AL23:AL24" si="383">(AC23-AC$10)*1000</f>
        <v>-0.80944181583397778</v>
      </c>
      <c r="AM23" s="40">
        <f t="shared" ref="AM23:AM24" si="384">(AD23-AD$10)*1000</f>
        <v>-2.4570973285280573</v>
      </c>
      <c r="AN23" s="40"/>
      <c r="AO23" s="40">
        <f t="shared" ref="AO23:AO24" si="385">(AF23-AF$10)*1000</f>
        <v>-0.57399261981050387</v>
      </c>
      <c r="AP23" s="40">
        <f t="shared" ref="AP23:AP24" si="386">(AG23-AG$10)*1000</f>
        <v>-1.6596579066447958</v>
      </c>
      <c r="AQ23" s="40"/>
      <c r="AR23" s="37"/>
      <c r="AS23" s="40">
        <f t="shared" si="316"/>
        <v>-0.50000008195638657</v>
      </c>
      <c r="AT23" s="40">
        <f t="shared" si="317"/>
        <v>-1.9000000320374966</v>
      </c>
      <c r="AU23" s="40">
        <f t="shared" si="318"/>
        <v>-0.69999999999481588</v>
      </c>
      <c r="AV23" s="40">
        <f t="shared" si="319"/>
        <v>0.29999995604157448</v>
      </c>
      <c r="AW23" s="40">
        <f t="shared" si="320"/>
        <v>-1.6999999061226845</v>
      </c>
      <c r="AX23" s="40">
        <f t="shared" si="321"/>
        <v>-0.40000000001327862</v>
      </c>
      <c r="AY23" s="40">
        <f t="shared" si="322"/>
        <v>0.29999995604157448</v>
      </c>
      <c r="AZ23" s="40">
        <f t="shared" si="323"/>
        <v>-1.500000013038516</v>
      </c>
      <c r="BA23" s="40">
        <f t="shared" si="324"/>
        <v>-1.0000000000047748</v>
      </c>
      <c r="BB23" s="40">
        <f t="shared" si="325"/>
        <v>1.9999999785795808</v>
      </c>
      <c r="BC23" s="40">
        <f t="shared" si="326"/>
        <v>-0.40000001899898052</v>
      </c>
      <c r="BD23" s="40">
        <f t="shared" si="327"/>
        <v>-2.7000000000043656</v>
      </c>
      <c r="BE23" s="40">
        <f t="shared" si="328"/>
        <v>-0.20000000949949026</v>
      </c>
      <c r="BF23" s="40">
        <f t="shared" si="329"/>
        <v>-1.0999999940395355</v>
      </c>
      <c r="BG23" s="40">
        <f t="shared" si="330"/>
        <v>-1.4999999999929514</v>
      </c>
      <c r="BH23" s="40">
        <f t="shared" si="331"/>
        <v>-0.20000000949949026</v>
      </c>
      <c r="BI23" s="40">
        <f t="shared" si="332"/>
        <v>-0.10000006295740604</v>
      </c>
      <c r="BJ23" s="40">
        <f t="shared" si="333"/>
        <v>-0.50000000000238742</v>
      </c>
      <c r="BK23" s="40"/>
      <c r="BL23" s="40"/>
      <c r="BM23" s="40"/>
      <c r="BN23" s="37"/>
      <c r="BO23" s="36">
        <v>158.77977205816273</v>
      </c>
      <c r="BP23" s="36">
        <v>-3.8076359389462562</v>
      </c>
      <c r="BQ23" s="36">
        <v>-1.0526177205816367</v>
      </c>
      <c r="BR23" s="36">
        <v>158.64078448217271</v>
      </c>
      <c r="BS23" s="36">
        <v>-4.0547344087401713</v>
      </c>
      <c r="BT23" s="36">
        <v>0.32057215517826876</v>
      </c>
      <c r="BU23" s="36">
        <v>158.6796157488703</v>
      </c>
      <c r="BV23" s="36">
        <v>-3.0529468349532003</v>
      </c>
      <c r="BW23" s="36">
        <v>2.8549838425112881</v>
      </c>
      <c r="BX23" s="36">
        <v>158.67282143195345</v>
      </c>
      <c r="BY23" s="36">
        <v>0.54305554791015587</v>
      </c>
      <c r="BZ23" s="36">
        <v>4.3455517856804562</v>
      </c>
      <c r="CA23" s="36">
        <v>158.63438310422652</v>
      </c>
      <c r="CB23" s="36">
        <v>3.2006469564215818</v>
      </c>
      <c r="CC23" s="36">
        <v>2.8829361689577269</v>
      </c>
      <c r="CD23" s="36">
        <v>158.69610914878811</v>
      </c>
      <c r="CE23" s="36">
        <v>4.0560981738211002</v>
      </c>
      <c r="CF23" s="36">
        <v>0.30571890851211947</v>
      </c>
      <c r="CG23" s="36"/>
      <c r="CH23" s="36"/>
      <c r="CI23" s="36"/>
      <c r="CJ23" s="37"/>
      <c r="CK23" s="40">
        <f t="shared" ref="CK23" si="387">(BO23-BO$10)*1000</f>
        <v>-1.2561849315773088</v>
      </c>
      <c r="CL23" s="40">
        <f t="shared" ref="CL23" si="388">(BP23-BP$10)*1000</f>
        <v>1.5106288827420045</v>
      </c>
      <c r="CM23" s="40">
        <f t="shared" ref="CM23" si="389">(BQ23-BQ$10)*1000</f>
        <v>-0.68743815069183256</v>
      </c>
      <c r="CN23" s="40">
        <f t="shared" ref="CN23" si="390">(BR23-BR$10)*1000</f>
        <v>-0.44662080253488057</v>
      </c>
      <c r="CO23" s="40">
        <f t="shared" ref="CO23" si="391">(BS23-BS$10)*1000</f>
        <v>1.6674919829240409</v>
      </c>
      <c r="CP23" s="40">
        <f t="shared" ref="CP23" si="392">(BT23-BT$10)*1000</f>
        <v>-0.3955337919876456</v>
      </c>
      <c r="CQ23" s="40">
        <f t="shared" ref="CQ23" si="393">(BU23-BU$10)*1000</f>
        <v>-0.36209044574775362</v>
      </c>
      <c r="CR23" s="40">
        <f t="shared" ref="CR23" si="394">(BV23-BV$10)*1000</f>
        <v>1.4862336699885681</v>
      </c>
      <c r="CS23" s="40">
        <f t="shared" ref="CS23" si="395">(BW23-BW$10)*1000</f>
        <v>-0.9963790955538343</v>
      </c>
      <c r="CT23" s="40">
        <f t="shared" ref="CT23" si="396">(BX23-BX$10)*1000</f>
        <v>1.6435232668072786</v>
      </c>
      <c r="CU23" s="40">
        <f t="shared" ref="CU23" si="397">(BY23-BY$10)*1000</f>
        <v>1.2078208480024166</v>
      </c>
      <c r="CV23" s="40">
        <f t="shared" ref="CV23" si="398">(BZ23-BZ$10)*1000</f>
        <v>-2.7164352326707331</v>
      </c>
      <c r="CW23" s="40">
        <f t="shared" ref="CW23" si="399">(CA23-CA$10)*1000</f>
        <v>-0.64617562699709197</v>
      </c>
      <c r="CX23" s="40">
        <f t="shared" ref="CX23" si="400">(CB23-CB$10)*1000</f>
        <v>0.9123908426147409</v>
      </c>
      <c r="CY23" s="40">
        <f t="shared" ref="CY23" si="401">(CC23-CC$10)*1000</f>
        <v>-1.4935382437357703</v>
      </c>
      <c r="CZ23" s="40">
        <f t="shared" ref="CZ23" si="402">(CD23-CD$10)*1000</f>
        <v>-0.22352364607058917</v>
      </c>
      <c r="DA23" s="40">
        <f t="shared" ref="DA23" si="403">(CE23-CE$10)*1000</f>
        <v>6.0988559527075381E-3</v>
      </c>
      <c r="DB23" s="40">
        <f t="shared" ref="DB23" si="404">(CF23-CF$10)*1000</f>
        <v>-0.49776476353713406</v>
      </c>
      <c r="DC23" s="40"/>
      <c r="DD23" s="40"/>
      <c r="DE23" s="40"/>
    </row>
    <row r="24" spans="1:109" ht="29.25" customHeight="1" x14ac:dyDescent="0.2">
      <c r="A24" s="34">
        <v>44453</v>
      </c>
      <c r="B24" s="27">
        <f t="shared" si="10"/>
        <v>313</v>
      </c>
      <c r="C24" s="43">
        <v>222.9</v>
      </c>
      <c r="D24" s="43">
        <f t="shared" ref="D24" si="405">C24-PM</f>
        <v>64.900000000000006</v>
      </c>
      <c r="E24" s="36">
        <v>823209.96600000001</v>
      </c>
      <c r="F24" s="36">
        <v>1091504.1594</v>
      </c>
      <c r="G24" s="36">
        <v>-125.0074</v>
      </c>
      <c r="H24" s="36">
        <v>823209.73479999998</v>
      </c>
      <c r="I24" s="36">
        <v>1091504.325</v>
      </c>
      <c r="J24" s="36">
        <v>-123.6358</v>
      </c>
      <c r="K24" s="36">
        <v>823210.19350000005</v>
      </c>
      <c r="L24" s="36">
        <v>1091503.4334</v>
      </c>
      <c r="M24" s="36">
        <v>-121.10120000000001</v>
      </c>
      <c r="N24" s="36">
        <v>823211.70770000003</v>
      </c>
      <c r="O24" s="36">
        <v>1091500.1724</v>
      </c>
      <c r="P24" s="36">
        <v>-119.6121</v>
      </c>
      <c r="Q24" s="36">
        <v>823212.79559999995</v>
      </c>
      <c r="R24" s="36">
        <v>1091497.7472999999</v>
      </c>
      <c r="S24" s="36">
        <v>-121.07380000000001</v>
      </c>
      <c r="T24" s="36">
        <v>823213.21329999994</v>
      </c>
      <c r="U24" s="36">
        <v>1091496.9983000001</v>
      </c>
      <c r="V24" s="36">
        <v>-123.6499</v>
      </c>
      <c r="W24" s="36">
        <v>823213.17590000003</v>
      </c>
      <c r="X24" s="36">
        <v>1091497.2235999999</v>
      </c>
      <c r="Y24" s="36">
        <v>-125.03660000000001</v>
      </c>
      <c r="Z24" s="36">
        <f t="shared" si="243"/>
        <v>6.9310136329229604</v>
      </c>
      <c r="AA24" s="36">
        <f t="shared" si="2"/>
        <v>6.1095484988245188</v>
      </c>
      <c r="AB24" s="36">
        <f t="shared" si="3"/>
        <v>3.8915731330065628</v>
      </c>
      <c r="AC24" s="36">
        <f t="shared" si="4"/>
        <v>3.0333485309752874</v>
      </c>
      <c r="AD24" s="36">
        <f t="shared" si="5"/>
        <v>5.3521557347861286</v>
      </c>
      <c r="AE24" s="36">
        <f t="shared" ref="AE24:AE28" si="406">IF(Xhaut="","",SQRT(((Xbasdroit-Xhaut)^2+(Ybasdroit-Yhaut)^2)+(Zbasdroit-Zhaut)^2))</f>
        <v>6.3463558780430223</v>
      </c>
      <c r="AF24" s="36">
        <f t="shared" si="7"/>
        <v>6.2532718140231873</v>
      </c>
      <c r="AG24" s="36">
        <f t="shared" si="8"/>
        <v>8.1105298191746851</v>
      </c>
      <c r="AH24" s="36">
        <f t="shared" si="244"/>
        <v>7.6426194653015571</v>
      </c>
      <c r="AI24" s="40">
        <f t="shared" si="380"/>
        <v>-3.9340424488552017</v>
      </c>
      <c r="AJ24" s="40">
        <f t="shared" si="381"/>
        <v>-3.2543125378410309</v>
      </c>
      <c r="AK24" s="40">
        <f t="shared" si="382"/>
        <v>-2.0079744309509096</v>
      </c>
      <c r="AL24" s="40">
        <f t="shared" si="383"/>
        <v>-1.3756426074431616</v>
      </c>
      <c r="AM24" s="40">
        <f t="shared" si="384"/>
        <v>-3.840282660799943</v>
      </c>
      <c r="AN24" s="40">
        <f t="shared" ref="AN24" si="407">(AE24-AE$10)*1000</f>
        <v>-3.8670542570287125</v>
      </c>
      <c r="AO24" s="40">
        <f t="shared" si="385"/>
        <v>-1.1200164987501537</v>
      </c>
      <c r="AP24" s="40">
        <f t="shared" si="386"/>
        <v>-2.1637118626642859</v>
      </c>
      <c r="AQ24" s="40">
        <f t="shared" ref="AQ24" si="408">(AH24-AH$10)*1000</f>
        <v>-1.9493629597500117</v>
      </c>
      <c r="AR24" s="37"/>
      <c r="AS24" s="40">
        <f t="shared" si="316"/>
        <v>-0.60000002849847078</v>
      </c>
      <c r="AT24" s="40">
        <f t="shared" si="317"/>
        <v>-2.899999963119626</v>
      </c>
      <c r="AU24" s="40">
        <f t="shared" si="318"/>
        <v>-0.39999999999906777</v>
      </c>
      <c r="AV24" s="40">
        <f t="shared" si="319"/>
        <v>-0.60000002849847078</v>
      </c>
      <c r="AW24" s="40">
        <f t="shared" si="320"/>
        <v>-2.3000000510364771</v>
      </c>
      <c r="AX24" s="40">
        <f t="shared" si="321"/>
        <v>-0.30000000000995897</v>
      </c>
      <c r="AY24" s="40">
        <f t="shared" si="322"/>
        <v>-0.49999996554106474</v>
      </c>
      <c r="AZ24" s="40">
        <f t="shared" si="323"/>
        <v>-2.199999988079071</v>
      </c>
      <c r="BA24" s="40">
        <f t="shared" si="324"/>
        <v>-1.1000000000080945</v>
      </c>
      <c r="BB24" s="40">
        <f t="shared" si="325"/>
        <v>1.7000000225380063</v>
      </c>
      <c r="BC24" s="40">
        <f t="shared" si="326"/>
        <v>-0.19999989308416843</v>
      </c>
      <c r="BD24" s="40">
        <f t="shared" si="327"/>
        <v>-4.199999999997317</v>
      </c>
      <c r="BE24" s="40">
        <f t="shared" si="328"/>
        <v>-1.0000000474974513</v>
      </c>
      <c r="BF24" s="40">
        <f t="shared" si="329"/>
        <v>-1.2000000569969416</v>
      </c>
      <c r="BG24" s="40">
        <f t="shared" si="330"/>
        <v>-1.6999999999995907</v>
      </c>
      <c r="BH24" s="40">
        <f t="shared" si="331"/>
        <v>-0.80000003799796104</v>
      </c>
      <c r="BI24" s="40">
        <f t="shared" si="332"/>
        <v>0</v>
      </c>
      <c r="BJ24" s="40">
        <f t="shared" si="333"/>
        <v>-0.20000000000663931</v>
      </c>
      <c r="BK24" s="40">
        <f t="shared" ref="BK24" si="409">(W24-W$10)*1000</f>
        <v>-0.699999975040555</v>
      </c>
      <c r="BL24" s="40">
        <f t="shared" ref="BL24" si="410">(X24-X$10)*1000</f>
        <v>-0.80000003799796104</v>
      </c>
      <c r="BM24" s="40">
        <f t="shared" ref="BM24" si="411">(Y24-Y$10)*1000</f>
        <v>0</v>
      </c>
      <c r="BN24" s="37"/>
      <c r="BO24" s="36">
        <v>158.77925877702532</v>
      </c>
      <c r="BP24" s="36">
        <v>-3.8067719121379833</v>
      </c>
      <c r="BQ24" s="36">
        <v>-1.0523125877702597</v>
      </c>
      <c r="BR24" s="36">
        <v>158.63971522807518</v>
      </c>
      <c r="BS24" s="36">
        <v>-4.0545710201818892</v>
      </c>
      <c r="BT24" s="36">
        <v>0.32068284771924027</v>
      </c>
      <c r="BU24" s="36">
        <v>158.67859485890554</v>
      </c>
      <c r="BV24" s="36">
        <v>-3.0526505521163503</v>
      </c>
      <c r="BW24" s="36">
        <v>2.8548940514109375</v>
      </c>
      <c r="BX24" s="36">
        <v>158.67263407483381</v>
      </c>
      <c r="BY24" s="36">
        <v>0.54274749380178289</v>
      </c>
      <c r="BZ24" s="36">
        <v>4.3440536592516565</v>
      </c>
      <c r="CA24" s="36">
        <v>158.63361580532509</v>
      </c>
      <c r="CB24" s="36">
        <v>3.2003994640594366</v>
      </c>
      <c r="CC24" s="36">
        <v>2.8827438419467342</v>
      </c>
      <c r="CD24" s="36">
        <v>158.69560763876041</v>
      </c>
      <c r="CE24" s="36">
        <v>4.0557539533410365</v>
      </c>
      <c r="CF24" s="36">
        <v>0.30602392361238628</v>
      </c>
      <c r="CG24" s="36">
        <v>158.75693581399614</v>
      </c>
      <c r="CH24" s="36">
        <v>3.8357591696913742</v>
      </c>
      <c r="CI24" s="36">
        <v>-1.0812893581399692</v>
      </c>
      <c r="CJ24" s="37"/>
      <c r="CK24" s="40">
        <f t="shared" ref="CK24" si="412">(BO24-BO$10)*1000</f>
        <v>-1.7694660689926422</v>
      </c>
      <c r="CL24" s="40">
        <f t="shared" ref="CL24" si="413">(BP24-BP$10)*1000</f>
        <v>2.3746556910149152</v>
      </c>
      <c r="CM24" s="40">
        <f t="shared" ref="CM24" si="414">(BQ24-BQ$10)*1000</f>
        <v>-0.38230533931482569</v>
      </c>
      <c r="CN24" s="40">
        <f t="shared" ref="CN24" si="415">(BR24-BR$10)*1000</f>
        <v>-1.5158749000647731</v>
      </c>
      <c r="CO24" s="40">
        <f t="shared" ref="CO24" si="416">(BS24-BS$10)*1000</f>
        <v>1.8308805412061702</v>
      </c>
      <c r="CP24" s="40">
        <f t="shared" ref="CP24" si="417">(BT24-BT$10)*1000</f>
        <v>-0.28484125101613245</v>
      </c>
      <c r="CQ24" s="40">
        <f t="shared" ref="CQ24" si="418">(BU24-BU$10)*1000</f>
        <v>-1.3829804105114363</v>
      </c>
      <c r="CR24" s="40">
        <f t="shared" ref="CR24" si="419">(BV24-BV$10)*1000</f>
        <v>1.7825165068385829</v>
      </c>
      <c r="CS24" s="40">
        <f t="shared" ref="CS24" si="420">(BW24-BW$10)*1000</f>
        <v>-1.0861701959044012</v>
      </c>
      <c r="CT24" s="40">
        <f t="shared" ref="CT24" si="421">(BX24-BX$10)*1000</f>
        <v>1.4561661471645948</v>
      </c>
      <c r="CU24" s="40">
        <f t="shared" ref="CU24" si="422">(BY24-BY$10)*1000</f>
        <v>0.89976673962943732</v>
      </c>
      <c r="CV24" s="40">
        <f t="shared" ref="CV24" si="423">(BZ24-BZ$10)*1000</f>
        <v>-4.214561661470384</v>
      </c>
      <c r="CW24" s="40">
        <f t="shared" ref="CW24" si="424">(CA24-CA$10)*1000</f>
        <v>-1.413474528419556</v>
      </c>
      <c r="CX24" s="40">
        <f t="shared" ref="CX24" si="425">(CB24-CB$10)*1000</f>
        <v>0.66489848046957789</v>
      </c>
      <c r="CY24" s="40">
        <f t="shared" ref="CY24" si="426">(CC24-CC$10)*1000</f>
        <v>-1.6858652547284692</v>
      </c>
      <c r="CZ24" s="40">
        <f t="shared" ref="CZ24" si="427">(CD24-CD$10)*1000</f>
        <v>-0.72503367377407812</v>
      </c>
      <c r="DA24" s="40">
        <f t="shared" ref="DA24" si="428">(CE24-CE$10)*1000</f>
        <v>-0.33812162411095414</v>
      </c>
      <c r="DB24" s="40">
        <f t="shared" ref="DB24" si="429">(CF24-CF$10)*1000</f>
        <v>-0.19274966327031962</v>
      </c>
      <c r="DC24" s="40">
        <f t="shared" ref="DC24" si="430">(CG24-CG$10)*1000</f>
        <v>-0.97252603589481623</v>
      </c>
      <c r="DD24" s="40">
        <f t="shared" ref="DD24" si="431">(CH24-CH$10)*1000</f>
        <v>0.42917727723024157</v>
      </c>
      <c r="DE24" s="40">
        <f t="shared" ref="DE24" si="432">(CI24-CI$10)*1000</f>
        <v>9.7252603552533401E-3</v>
      </c>
    </row>
    <row r="25" spans="1:109" ht="29.25" customHeight="1" x14ac:dyDescent="0.2">
      <c r="A25" s="34">
        <v>44470</v>
      </c>
      <c r="B25" s="27">
        <f t="shared" si="10"/>
        <v>330</v>
      </c>
      <c r="C25" s="43">
        <v>222.9</v>
      </c>
      <c r="D25" s="43">
        <f t="shared" ref="D25" si="433">C25-PM</f>
        <v>64.900000000000006</v>
      </c>
      <c r="E25" s="36">
        <v>823209.9656</v>
      </c>
      <c r="F25" s="36">
        <v>1091504.1592999999</v>
      </c>
      <c r="G25" s="36">
        <v>-125.0077</v>
      </c>
      <c r="H25" s="36">
        <v>823209.73540000001</v>
      </c>
      <c r="I25" s="36">
        <v>1091504.3244</v>
      </c>
      <c r="J25" s="36">
        <v>-123.636</v>
      </c>
      <c r="K25" s="36">
        <v>823210.19400000002</v>
      </c>
      <c r="L25" s="36">
        <v>1091503.4332000001</v>
      </c>
      <c r="M25" s="36">
        <v>-121.10169999999999</v>
      </c>
      <c r="N25" s="36">
        <v>823211.70730000001</v>
      </c>
      <c r="O25" s="36">
        <v>1091500.1716</v>
      </c>
      <c r="P25" s="36">
        <v>-119.6112</v>
      </c>
      <c r="Q25" s="36">
        <v>823212.79550000001</v>
      </c>
      <c r="R25" s="36">
        <v>1091497.7468999999</v>
      </c>
      <c r="S25" s="36">
        <v>-121.074</v>
      </c>
      <c r="T25" s="36">
        <v>823213.21349999995</v>
      </c>
      <c r="U25" s="36">
        <v>1091496.9982</v>
      </c>
      <c r="V25" s="36">
        <v>-123.65</v>
      </c>
      <c r="W25" s="36">
        <v>823213.17649999994</v>
      </c>
      <c r="X25" s="36">
        <v>1091497.2242999999</v>
      </c>
      <c r="Y25" s="36">
        <v>-125.0367</v>
      </c>
      <c r="Z25" s="36">
        <f t="shared" si="243"/>
        <v>6.932350426050661</v>
      </c>
      <c r="AA25" s="36">
        <f t="shared" si="2"/>
        <v>6.1100861278992804</v>
      </c>
      <c r="AB25" s="36">
        <f t="shared" si="3"/>
        <v>3.8922617718404489</v>
      </c>
      <c r="AC25" s="36">
        <f t="shared" si="4"/>
        <v>3.0336666215052945</v>
      </c>
      <c r="AD25" s="36">
        <f t="shared" si="5"/>
        <v>5.3526639572878398</v>
      </c>
      <c r="AE25" s="36">
        <f t="shared" si="406"/>
        <v>6.3467453218552397</v>
      </c>
      <c r="AF25" s="36">
        <f t="shared" si="7"/>
        <v>6.2532053566108301</v>
      </c>
      <c r="AG25" s="36">
        <f t="shared" si="8"/>
        <v>8.109906414367579</v>
      </c>
      <c r="AH25" s="36">
        <f t="shared" si="244"/>
        <v>7.64231279197839</v>
      </c>
      <c r="AI25" s="40">
        <f t="shared" ref="AI25" si="434">(Z25-Z$10)*1000</f>
        <v>-2.5972493211545711</v>
      </c>
      <c r="AJ25" s="40">
        <f t="shared" ref="AJ25" si="435">(AA25-AA$10)*1000</f>
        <v>-2.7166834630794057</v>
      </c>
      <c r="AK25" s="40">
        <f t="shared" ref="AK25" si="436">(AB25-AB$10)*1000</f>
        <v>-1.3193355970648746</v>
      </c>
      <c r="AL25" s="40">
        <f t="shared" ref="AL25" si="437">(AC25-AC$10)*1000</f>
        <v>-1.0575520774360747</v>
      </c>
      <c r="AM25" s="40">
        <f t="shared" ref="AM25" si="438">(AD25-AD$10)*1000</f>
        <v>-3.3320601590887122</v>
      </c>
      <c r="AN25" s="40">
        <f t="shared" ref="AN25" si="439">(AE25-AE$10)*1000</f>
        <v>-3.4776104448113188</v>
      </c>
      <c r="AO25" s="40">
        <f t="shared" ref="AO25" si="440">(AF25-AF$10)*1000</f>
        <v>-1.1864739111073774</v>
      </c>
      <c r="AP25" s="40">
        <f t="shared" ref="AP25" si="441">(AG25-AG$10)*1000</f>
        <v>-2.7871166697703842</v>
      </c>
      <c r="AQ25" s="40">
        <f t="shared" ref="AQ25" si="442">(AH25-AH$10)*1000</f>
        <v>-2.256036282917151</v>
      </c>
      <c r="AR25" s="37"/>
      <c r="AS25" s="40">
        <f t="shared" ref="AS25" si="443">(E25-E$10)*1000</f>
        <v>-1.0000000474974513</v>
      </c>
      <c r="AT25" s="40">
        <f t="shared" ref="AT25" si="444">(F25-F$10)*1000</f>
        <v>-3.0000000260770321</v>
      </c>
      <c r="AU25" s="40">
        <f t="shared" ref="AU25" si="445">(G25-G$10)*1000</f>
        <v>-0.69999999999481588</v>
      </c>
      <c r="AV25" s="40">
        <f t="shared" ref="AV25" si="446">(H25-H$10)*1000</f>
        <v>0</v>
      </c>
      <c r="AW25" s="40">
        <f t="shared" ref="AW25" si="447">(I25-I$10)*1000</f>
        <v>-2.899999963119626</v>
      </c>
      <c r="AX25" s="40">
        <f t="shared" ref="AX25" si="448">(J25-J$10)*1000</f>
        <v>-0.50000000000238742</v>
      </c>
      <c r="AY25" s="40">
        <f t="shared" ref="AY25" si="449">(K25-K$10)*1000</f>
        <v>0</v>
      </c>
      <c r="AZ25" s="40">
        <f t="shared" ref="AZ25" si="450">(L25-L$10)*1000</f>
        <v>-2.3999998811632395</v>
      </c>
      <c r="BA25" s="40">
        <f t="shared" ref="BA25" si="451">(M25-M$10)*1000</f>
        <v>-1.5999999999962711</v>
      </c>
      <c r="BB25" s="40">
        <f t="shared" ref="BB25" si="452">(N25-N$10)*1000</f>
        <v>1.3000000035390258</v>
      </c>
      <c r="BC25" s="40">
        <f t="shared" ref="BC25" si="453">(O25-O$10)*1000</f>
        <v>-0.99999993108212948</v>
      </c>
      <c r="BD25" s="40">
        <f t="shared" ref="BD25" si="454">(P25-P$10)*1000</f>
        <v>-3.2999999999958618</v>
      </c>
      <c r="BE25" s="40">
        <f t="shared" ref="BE25" si="455">(Q25-Q$10)*1000</f>
        <v>-1.0999999940395355</v>
      </c>
      <c r="BF25" s="40">
        <f t="shared" ref="BF25" si="456">(R25-R$10)*1000</f>
        <v>-1.6000000759959221</v>
      </c>
      <c r="BG25" s="40">
        <f t="shared" ref="BG25" si="457">(S25-S$10)*1000</f>
        <v>-1.8999999999920192</v>
      </c>
      <c r="BH25" s="40">
        <f t="shared" ref="BH25" si="458">(T25-T$10)*1000</f>
        <v>-0.60000002849847078</v>
      </c>
      <c r="BI25" s="40">
        <f t="shared" ref="BI25" si="459">(U25-U$10)*1000</f>
        <v>-0.10000006295740604</v>
      </c>
      <c r="BJ25" s="40">
        <f t="shared" ref="BJ25" si="460">(V25-V$10)*1000</f>
        <v>-0.30000000000995897</v>
      </c>
      <c r="BK25" s="40">
        <f t="shared" ref="BK25" si="461">(W25-W$10)*1000</f>
        <v>-0.10000006295740604</v>
      </c>
      <c r="BL25" s="40">
        <f t="shared" ref="BL25" si="462">(X25-X$10)*1000</f>
        <v>-0.10000006295740604</v>
      </c>
      <c r="BM25" s="40">
        <f t="shared" ref="BM25" si="463">(Y25-Y$10)*1000</f>
        <v>-9.9999999989108801E-2</v>
      </c>
      <c r="BN25" s="37"/>
      <c r="BO25" s="36">
        <v>158.7788539949608</v>
      </c>
      <c r="BP25" s="36">
        <v>-3.8068503436880659</v>
      </c>
      <c r="BQ25" s="36">
        <v>-1.0526085399496168</v>
      </c>
      <c r="BR25" s="36">
        <v>158.64000541216157</v>
      </c>
      <c r="BS25" s="36">
        <v>-4.053773653813967</v>
      </c>
      <c r="BT25" s="36">
        <v>0.32047994587838957</v>
      </c>
      <c r="BU25" s="36">
        <v>158.67896347454203</v>
      </c>
      <c r="BV25" s="36">
        <v>-3.0522579678129103</v>
      </c>
      <c r="BW25" s="36">
        <v>2.8543903652545879</v>
      </c>
      <c r="BX25" s="36">
        <v>158.6719334363728</v>
      </c>
      <c r="BY25" s="36">
        <v>0.54330346666345475</v>
      </c>
      <c r="BZ25" s="36">
        <v>4.3449606656362789</v>
      </c>
      <c r="CA25" s="36">
        <v>158.63335611535658</v>
      </c>
      <c r="CB25" s="36">
        <v>3.2007197157179106</v>
      </c>
      <c r="CC25" s="36">
        <v>2.8825464388464326</v>
      </c>
      <c r="CD25" s="36">
        <v>158.69574663195121</v>
      </c>
      <c r="CE25" s="36">
        <v>4.0559291130090367</v>
      </c>
      <c r="CF25" s="36">
        <v>0.30592253368047295</v>
      </c>
      <c r="CG25" s="36">
        <v>158.75777544554248</v>
      </c>
      <c r="CH25" s="36">
        <v>3.8353783564484769</v>
      </c>
      <c r="CI25" s="36">
        <v>-1.0813977544554234</v>
      </c>
      <c r="CJ25" s="37"/>
      <c r="CK25" s="40">
        <f t="shared" ref="CK25" si="464">(BO25-BO$10)*1000</f>
        <v>-2.1742481335138564</v>
      </c>
      <c r="CL25" s="40">
        <f t="shared" ref="CL25" si="465">(BP25-BP$10)*1000</f>
        <v>2.2962241409323347</v>
      </c>
      <c r="CM25" s="40">
        <f t="shared" ref="CM25" si="466">(BQ25-BQ$10)*1000</f>
        <v>-0.67825751867189865</v>
      </c>
      <c r="CN25" s="40">
        <f t="shared" ref="CN25" si="467">(BR25-BR$10)*1000</f>
        <v>-1.2256908136691891</v>
      </c>
      <c r="CO25" s="40">
        <f t="shared" ref="CO25" si="468">(BS25-BS$10)*1000</f>
        <v>2.6282469091283289</v>
      </c>
      <c r="CP25" s="40">
        <f t="shared" ref="CP25" si="469">(BT25-BT$10)*1000</f>
        <v>-0.4877430918668324</v>
      </c>
      <c r="CQ25" s="40">
        <f t="shared" ref="CQ25" si="470">(BU25-BU$10)*1000</f>
        <v>-1.0143647740221695</v>
      </c>
      <c r="CR25" s="40">
        <f t="shared" ref="CR25" si="471">(BV25-BV$10)*1000</f>
        <v>2.1751008102786074</v>
      </c>
      <c r="CS25" s="40">
        <f t="shared" ref="CS25" si="472">(BW25-BW$10)*1000</f>
        <v>-1.5898563522540599</v>
      </c>
      <c r="CT25" s="40">
        <f t="shared" ref="CT25" si="473">(BX25-BX$10)*1000</f>
        <v>0.75552768615239074</v>
      </c>
      <c r="CU25" s="40">
        <f t="shared" ref="CU25" si="474">(BY25-BY$10)*1000</f>
        <v>1.455739601301298</v>
      </c>
      <c r="CV25" s="40">
        <f t="shared" ref="CV25" si="475">(BZ25-BZ$10)*1000</f>
        <v>-3.3075552768480065</v>
      </c>
      <c r="CW25" s="40">
        <f t="shared" ref="CW25" si="476">(CA25-CA$10)*1000</f>
        <v>-1.673164496935442</v>
      </c>
      <c r="CX25" s="40">
        <f t="shared" ref="CX25" si="477">(CB25-CB$10)*1000</f>
        <v>0.98515013894351355</v>
      </c>
      <c r="CY25" s="40">
        <f t="shared" ref="CY25" si="478">(CC25-CC$10)*1000</f>
        <v>-1.8832683550300544</v>
      </c>
      <c r="CZ25" s="40">
        <f t="shared" ref="CZ25" si="479">(CD25-CD$10)*1000</f>
        <v>-0.58604048297183908</v>
      </c>
      <c r="DA25" s="40">
        <f t="shared" ref="DA25" si="480">(CE25-CE$10)*1000</f>
        <v>-0.16296195611076314</v>
      </c>
      <c r="DB25" s="40">
        <f t="shared" ref="DB25" si="481">(CF25-CF$10)*1000</f>
        <v>-0.29413959518365118</v>
      </c>
      <c r="DC25" s="40">
        <f t="shared" ref="DC25" si="482">(CG25-CG$10)*1000</f>
        <v>-0.13289448955333683</v>
      </c>
      <c r="DD25" s="40">
        <f t="shared" ref="DD25" si="483">(CH25-CH$10)*1000</f>
        <v>4.8364034332948336E-2</v>
      </c>
      <c r="DE25" s="40">
        <f t="shared" ref="DE25" si="484">(CI25-CI$10)*1000</f>
        <v>-9.8671055098975557E-2</v>
      </c>
    </row>
    <row r="26" spans="1:109" ht="29.25" customHeight="1" x14ac:dyDescent="0.2">
      <c r="A26" s="34">
        <v>44489</v>
      </c>
      <c r="B26" s="27">
        <f t="shared" si="10"/>
        <v>349</v>
      </c>
      <c r="C26" s="43">
        <v>222.9</v>
      </c>
      <c r="D26" s="43">
        <f t="shared" ref="D26" si="485">C26-PM</f>
        <v>64.900000000000006</v>
      </c>
      <c r="E26" s="36">
        <v>823209.9656</v>
      </c>
      <c r="F26" s="36">
        <v>1091504.1595999999</v>
      </c>
      <c r="G26" s="36">
        <v>-125.00790000000001</v>
      </c>
      <c r="H26" s="36">
        <v>823209.73479999998</v>
      </c>
      <c r="I26" s="36">
        <v>1091504.3248000001</v>
      </c>
      <c r="J26" s="36">
        <v>-123.63639999999999</v>
      </c>
      <c r="K26" s="36">
        <v>823210.1936</v>
      </c>
      <c r="L26" s="36">
        <v>1091503.4334</v>
      </c>
      <c r="M26" s="36">
        <v>-121.10169999999999</v>
      </c>
      <c r="N26" s="36">
        <v>823211.70790000004</v>
      </c>
      <c r="O26" s="36">
        <v>1091500.1724</v>
      </c>
      <c r="P26" s="36">
        <v>-119.61239999999999</v>
      </c>
      <c r="Q26" s="36">
        <v>823212.7953</v>
      </c>
      <c r="R26" s="36">
        <v>1091497.7472000001</v>
      </c>
      <c r="S26" s="36">
        <v>-121.0744</v>
      </c>
      <c r="T26" s="36">
        <v>823213.21299999999</v>
      </c>
      <c r="U26" s="36">
        <v>1091496.9975999999</v>
      </c>
      <c r="V26" s="36">
        <v>-123.6503</v>
      </c>
      <c r="W26" s="36">
        <v>823213.17599999998</v>
      </c>
      <c r="X26" s="36">
        <v>1091497.2235999999</v>
      </c>
      <c r="Y26" s="36">
        <v>-125.0372</v>
      </c>
      <c r="Z26" s="36">
        <f t="shared" si="243"/>
        <v>6.9314351601245408</v>
      </c>
      <c r="AA26" s="36">
        <f t="shared" si="2"/>
        <v>6.1096747352387224</v>
      </c>
      <c r="AB26" s="36">
        <f t="shared" si="3"/>
        <v>3.8916885769199414</v>
      </c>
      <c r="AC26" s="36">
        <f t="shared" si="4"/>
        <v>3.0333937758921121</v>
      </c>
      <c r="AD26" s="36">
        <f t="shared" si="5"/>
        <v>5.352505717963103</v>
      </c>
      <c r="AE26" s="36">
        <f t="shared" si="406"/>
        <v>6.3465891698286505</v>
      </c>
      <c r="AF26" s="36">
        <f t="shared" si="7"/>
        <v>6.2531958724025225</v>
      </c>
      <c r="AG26" s="36">
        <f t="shared" si="8"/>
        <v>8.1108525009791919</v>
      </c>
      <c r="AH26" s="36">
        <f t="shared" si="244"/>
        <v>7.6430113600400933</v>
      </c>
      <c r="AI26" s="40">
        <f t="shared" ref="AI26" si="486">(Z26-Z$10)*1000</f>
        <v>-3.5125152472748056</v>
      </c>
      <c r="AJ26" s="40">
        <f t="shared" ref="AJ26" si="487">(AA26-AA$10)*1000</f>
        <v>-3.1280761236374133</v>
      </c>
      <c r="AK26" s="40">
        <f t="shared" ref="AK26" si="488">(AB26-AB$10)*1000</f>
        <v>-1.8925305175723217</v>
      </c>
      <c r="AL26" s="40">
        <f t="shared" ref="AL26" si="489">(AC26-AC$10)*1000</f>
        <v>-1.33039769061849</v>
      </c>
      <c r="AM26" s="40">
        <f t="shared" ref="AM26" si="490">(AD26-AD$10)*1000</f>
        <v>-3.4902994838255097</v>
      </c>
      <c r="AN26" s="40">
        <f t="shared" ref="AN26" si="491">(AE26-AE$10)*1000</f>
        <v>-3.633762471400459</v>
      </c>
      <c r="AO26" s="40">
        <f t="shared" ref="AO26" si="492">(AF26-AF$10)*1000</f>
        <v>-1.1959581194149749</v>
      </c>
      <c r="AP26" s="40">
        <f t="shared" ref="AP26" si="493">(AG26-AG$10)*1000</f>
        <v>-1.8410300581575001</v>
      </c>
      <c r="AQ26" s="40">
        <f t="shared" ref="AQ26" si="494">(AH26-AH$10)*1000</f>
        <v>-1.5574682212138313</v>
      </c>
      <c r="AR26" s="37"/>
      <c r="AS26" s="40">
        <f t="shared" ref="AS26" si="495">(E26-E$10)*1000</f>
        <v>-1.0000000474974513</v>
      </c>
      <c r="AT26" s="40">
        <f t="shared" ref="AT26" si="496">(F26-F$10)*1000</f>
        <v>-2.7000000700354576</v>
      </c>
      <c r="AU26" s="40">
        <f t="shared" ref="AU26" si="497">(G26-G$10)*1000</f>
        <v>-0.90000000000145519</v>
      </c>
      <c r="AV26" s="40">
        <f t="shared" ref="AV26" si="498">(H26-H$10)*1000</f>
        <v>-0.60000002849847078</v>
      </c>
      <c r="AW26" s="40">
        <f t="shared" ref="AW26" si="499">(I26-I$10)*1000</f>
        <v>-2.4999999441206455</v>
      </c>
      <c r="AX26" s="40">
        <f t="shared" ref="AX26" si="500">(J26-J$10)*1000</f>
        <v>-0.90000000000145519</v>
      </c>
      <c r="AY26" s="40">
        <f t="shared" ref="AY26" si="501">(K26-K$10)*1000</f>
        <v>-0.40000001899898052</v>
      </c>
      <c r="AZ26" s="40">
        <f t="shared" ref="AZ26" si="502">(L26-L$10)*1000</f>
        <v>-2.199999988079071</v>
      </c>
      <c r="BA26" s="40">
        <f t="shared" ref="BA26" si="503">(M26-M$10)*1000</f>
        <v>-1.5999999999962711</v>
      </c>
      <c r="BB26" s="40">
        <f t="shared" ref="BB26" si="504">(N26-N$10)*1000</f>
        <v>1.9000000320374966</v>
      </c>
      <c r="BC26" s="40">
        <f t="shared" ref="BC26" si="505">(O26-O$10)*1000</f>
        <v>-0.19999989308416843</v>
      </c>
      <c r="BD26" s="40">
        <f t="shared" ref="BD26" si="506">(P26-P$10)*1000</f>
        <v>-4.4999999999930651</v>
      </c>
      <c r="BE26" s="40">
        <f t="shared" ref="BE26" si="507">(Q26-Q$10)*1000</f>
        <v>-1.3000000035390258</v>
      </c>
      <c r="BF26" s="40">
        <f t="shared" ref="BF26" si="508">(R26-R$10)*1000</f>
        <v>-1.299999887123704</v>
      </c>
      <c r="BG26" s="40">
        <f t="shared" ref="BG26" si="509">(S26-S$10)*1000</f>
        <v>-2.299999999991087</v>
      </c>
      <c r="BH26" s="40">
        <f t="shared" ref="BH26" si="510">(T26-T$10)*1000</f>
        <v>-1.0999999940395355</v>
      </c>
      <c r="BI26" s="40">
        <f t="shared" ref="BI26" si="511">(U26-U$10)*1000</f>
        <v>-0.70000020787119865</v>
      </c>
      <c r="BJ26" s="40">
        <f t="shared" ref="BJ26" si="512">(V26-V$10)*1000</f>
        <v>-0.60000000000570708</v>
      </c>
      <c r="BK26" s="40">
        <f t="shared" ref="BK26" si="513">(W26-W$10)*1000</f>
        <v>-0.60000002849847078</v>
      </c>
      <c r="BL26" s="40">
        <f t="shared" ref="BL26" si="514">(X26-X$10)*1000</f>
        <v>-0.80000003799796104</v>
      </c>
      <c r="BM26" s="40">
        <f t="shared" ref="BM26" si="515">(Y26-Y$10)*1000</f>
        <v>-0.59999999999149622</v>
      </c>
      <c r="BN26" s="37"/>
      <c r="BO26" s="36">
        <v>158.77898079054526</v>
      </c>
      <c r="BP26" s="36">
        <v>-3.80712223126296</v>
      </c>
      <c r="BQ26" s="36">
        <v>-1.0528098079054615</v>
      </c>
      <c r="BR26" s="36">
        <v>158.63963069771833</v>
      </c>
      <c r="BS26" s="36">
        <v>-4.0543897618689657</v>
      </c>
      <c r="BT26" s="36">
        <v>0.32008369302282347</v>
      </c>
      <c r="BU26" s="36">
        <v>158.678685488062</v>
      </c>
      <c r="BV26" s="36">
        <v>-3.0526082869379096</v>
      </c>
      <c r="BW26" s="36">
        <v>2.8543931451193885</v>
      </c>
      <c r="BX26" s="36">
        <v>158.67281533325226</v>
      </c>
      <c r="BY26" s="36">
        <v>0.54283202420780974</v>
      </c>
      <c r="BZ26" s="36">
        <v>4.3437518466674732</v>
      </c>
      <c r="CA26" s="36">
        <v>158.63330165262099</v>
      </c>
      <c r="CB26" s="36">
        <v>3.2003632975259455</v>
      </c>
      <c r="CC26" s="36">
        <v>2.8821469834737883</v>
      </c>
      <c r="CD26" s="36">
        <v>158.69503989469058</v>
      </c>
      <c r="CE26" s="36">
        <v>4.0562615623793645</v>
      </c>
      <c r="CF26" s="36">
        <v>0.30562960105308434</v>
      </c>
      <c r="CG26" s="36">
        <v>158.7570264431526</v>
      </c>
      <c r="CH26" s="36">
        <v>3.8358014348697931</v>
      </c>
      <c r="CI26" s="36">
        <v>-1.0818902644315216</v>
      </c>
      <c r="CJ26" s="37"/>
      <c r="CK26" s="40">
        <f t="shared" ref="CK26" si="516">(BO26-BO$10)*1000</f>
        <v>-2.0474525490499218</v>
      </c>
      <c r="CL26" s="40">
        <f t="shared" ref="CL26" si="517">(BP26-BP$10)*1000</f>
        <v>2.0243365660381762</v>
      </c>
      <c r="CM26" s="40">
        <f t="shared" ref="CM26" si="518">(BQ26-BQ$10)*1000</f>
        <v>-0.87952547451664032</v>
      </c>
      <c r="CN26" s="40">
        <f t="shared" ref="CN26" si="519">(BR26-BR$10)*1000</f>
        <v>-1.6004052569087435</v>
      </c>
      <c r="CO26" s="40">
        <f t="shared" ref="CO26" si="520">(BS26-BS$10)*1000</f>
        <v>2.0121388541296525</v>
      </c>
      <c r="CP26" s="40">
        <f t="shared" ref="CP26" si="521">(BT26-BT$10)*1000</f>
        <v>-0.88399594743293619</v>
      </c>
      <c r="CQ26" s="40">
        <f t="shared" ref="CQ26" si="522">(BU26-BU$10)*1000</f>
        <v>-1.2923512540510274</v>
      </c>
      <c r="CR26" s="40">
        <f t="shared" ref="CR26" si="523">(BV26-BV$10)*1000</f>
        <v>1.8247816852792198</v>
      </c>
      <c r="CS26" s="40">
        <f t="shared" ref="CS26" si="524">(BW26-BW$10)*1000</f>
        <v>-1.5870764874534871</v>
      </c>
      <c r="CT26" s="40">
        <f t="shared" ref="CT26" si="525">(BX26-BX$10)*1000</f>
        <v>1.6374245656152198</v>
      </c>
      <c r="CU26" s="40">
        <f t="shared" ref="CU26" si="526">(BY26-BY$10)*1000</f>
        <v>0.98429714565628768</v>
      </c>
      <c r="CV26" s="40">
        <f t="shared" ref="CV26" si="527">(BZ26-BZ$10)*1000</f>
        <v>-4.5163742456537648</v>
      </c>
      <c r="CW26" s="40">
        <f t="shared" ref="CW26" si="528">(CA26-CA$10)*1000</f>
        <v>-1.7276272325261743</v>
      </c>
      <c r="CX26" s="40">
        <f t="shared" ref="CX26" si="529">(CB26-CB$10)*1000</f>
        <v>0.6287319469784336</v>
      </c>
      <c r="CY26" s="40">
        <f t="shared" ref="CY26" si="530">(CC26-CC$10)*1000</f>
        <v>-2.2827237276743517</v>
      </c>
      <c r="CZ26" s="40">
        <f t="shared" ref="CZ26" si="531">(CD26-CD$10)*1000</f>
        <v>-1.2927777436004817</v>
      </c>
      <c r="DA26" s="40">
        <f t="shared" ref="DA26" si="532">(CE26-CE$10)*1000</f>
        <v>0.16948741421707325</v>
      </c>
      <c r="DB26" s="40">
        <f t="shared" ref="DB26" si="533">(CF26-CF$10)*1000</f>
        <v>-0.58707222257226022</v>
      </c>
      <c r="DC26" s="40">
        <f t="shared" ref="DC26" si="534">(CG26-CG$10)*1000</f>
        <v>-0.88189687943440731</v>
      </c>
      <c r="DD26" s="40">
        <f t="shared" ref="DD26" si="535">(CH26-CH$10)*1000</f>
        <v>0.47144245564911813</v>
      </c>
      <c r="DE26" s="40">
        <f t="shared" ref="DE26" si="536">(CI26-CI$10)*1000</f>
        <v>-0.59118103119715215</v>
      </c>
    </row>
    <row r="27" spans="1:109" ht="29.25" customHeight="1" x14ac:dyDescent="0.2">
      <c r="A27" s="34">
        <v>44502</v>
      </c>
      <c r="B27" s="27">
        <f t="shared" si="10"/>
        <v>362</v>
      </c>
      <c r="C27" s="43">
        <v>222.9</v>
      </c>
      <c r="D27" s="43">
        <f t="shared" ref="D27:D28" si="537">C27-PM</f>
        <v>64.900000000000006</v>
      </c>
      <c r="E27" s="36">
        <v>823209.96600000001</v>
      </c>
      <c r="F27" s="36">
        <v>1091504.1592999999</v>
      </c>
      <c r="G27" s="36">
        <v>-125.0068</v>
      </c>
      <c r="H27" s="36">
        <v>823209.73529999994</v>
      </c>
      <c r="I27" s="36">
        <v>1091504.3245999999</v>
      </c>
      <c r="J27" s="36">
        <v>-123.6354</v>
      </c>
      <c r="K27" s="36">
        <v>823210.19369999995</v>
      </c>
      <c r="L27" s="36">
        <v>1091503.4332000001</v>
      </c>
      <c r="M27" s="36">
        <v>-121.101</v>
      </c>
      <c r="N27" s="36">
        <v>823211.70770000003</v>
      </c>
      <c r="O27" s="36">
        <v>1091500.172</v>
      </c>
      <c r="P27" s="36">
        <v>-119.61199999999999</v>
      </c>
      <c r="Q27" s="36">
        <v>823212.79550000001</v>
      </c>
      <c r="R27" s="36">
        <v>1091497.7468999999</v>
      </c>
      <c r="S27" s="36">
        <v>-121.0736</v>
      </c>
      <c r="T27" s="36">
        <v>823213.21349999995</v>
      </c>
      <c r="U27" s="36">
        <v>1091496.9978</v>
      </c>
      <c r="V27" s="36">
        <v>-123.6494</v>
      </c>
      <c r="W27" s="36">
        <v>823213.17630000005</v>
      </c>
      <c r="X27" s="36">
        <v>1091497.2235000001</v>
      </c>
      <c r="Y27" s="36">
        <v>-125.036</v>
      </c>
      <c r="Z27" s="36">
        <f t="shared" si="243"/>
        <v>6.9307970118459918</v>
      </c>
      <c r="AA27" s="36">
        <f t="shared" si="2"/>
        <v>6.109189478124315</v>
      </c>
      <c r="AB27" s="36">
        <f t="shared" si="3"/>
        <v>3.8916246531087113</v>
      </c>
      <c r="AC27" s="36">
        <f t="shared" si="4"/>
        <v>3.0332644808005518</v>
      </c>
      <c r="AD27" s="36">
        <f t="shared" si="5"/>
        <v>5.3519695477302838</v>
      </c>
      <c r="AE27" s="36">
        <f t="shared" si="406"/>
        <v>6.3458816731572565</v>
      </c>
      <c r="AF27" s="36">
        <f t="shared" si="7"/>
        <v>6.2533288488870804</v>
      </c>
      <c r="AG27" s="36">
        <f t="shared" si="8"/>
        <v>8.1104913216740488</v>
      </c>
      <c r="AH27" s="36">
        <f t="shared" si="244"/>
        <v>7.6427874737100021</v>
      </c>
      <c r="AI27" s="40">
        <f t="shared" ref="AI27:AI28" si="538">(Z27-Z$10)*1000</f>
        <v>-4.1506635258237168</v>
      </c>
      <c r="AJ27" s="40">
        <f t="shared" ref="AJ27:AJ28" si="539">(AA27-AA$10)*1000</f>
        <v>-3.6133332380448024</v>
      </c>
      <c r="AK27" s="40">
        <f t="shared" ref="AK27:AK28" si="540">(AB27-AB$10)*1000</f>
        <v>-1.9564543288024261</v>
      </c>
      <c r="AL27" s="40">
        <f t="shared" ref="AL27:AL28" si="541">(AC27-AC$10)*1000</f>
        <v>-1.4596927821788341</v>
      </c>
      <c r="AM27" s="40">
        <f t="shared" ref="AM27:AM28" si="542">(AD27-AD$10)*1000</f>
        <v>-4.026469716644776</v>
      </c>
      <c r="AN27" s="40">
        <f t="shared" ref="AN27:AN28" si="543">(AE27-AE$10)*1000</f>
        <v>-4.3412591427944847</v>
      </c>
      <c r="AO27" s="40">
        <f t="shared" ref="AO27:AO28" si="544">(AF27-AF$10)*1000</f>
        <v>-1.0629816348570742</v>
      </c>
      <c r="AP27" s="40">
        <f t="shared" ref="AP27:AP28" si="545">(AG27-AG$10)*1000</f>
        <v>-2.2022093633005113</v>
      </c>
      <c r="AQ27" s="40">
        <f t="shared" ref="AQ27:AQ28" si="546">(AH27-AH$10)*1000</f>
        <v>-1.7813545513050144</v>
      </c>
      <c r="AR27" s="37"/>
      <c r="AS27" s="40">
        <f t="shared" ref="AS27:AS28" si="547">(E27-E$10)*1000</f>
        <v>-0.60000002849847078</v>
      </c>
      <c r="AT27" s="40">
        <f t="shared" ref="AT27:AT28" si="548">(F27-F$10)*1000</f>
        <v>-3.0000000260770321</v>
      </c>
      <c r="AU27" s="40">
        <f t="shared" ref="AU27:AU28" si="549">(G27-G$10)*1000</f>
        <v>0.20000000000663931</v>
      </c>
      <c r="AV27" s="40">
        <f t="shared" ref="AV27:AV28" si="550">(H27-H$10)*1000</f>
        <v>-0.10000006295740604</v>
      </c>
      <c r="AW27" s="40">
        <f t="shared" ref="AW27:AW28" si="551">(I27-I$10)*1000</f>
        <v>-2.7000000700354576</v>
      </c>
      <c r="AX27" s="40">
        <f t="shared" ref="AX27:AX28" si="552">(J27-J$10)*1000</f>
        <v>9.9999999989108801E-2</v>
      </c>
      <c r="AY27" s="40">
        <f t="shared" ref="AY27:AY28" si="553">(K27-K$10)*1000</f>
        <v>-0.30000007245689631</v>
      </c>
      <c r="AZ27" s="40">
        <f t="shared" ref="AZ27:AZ28" si="554">(L27-L$10)*1000</f>
        <v>-2.3999998811632395</v>
      </c>
      <c r="BA27" s="40">
        <f t="shared" ref="BA27:BA28" si="555">(M27-M$10)*1000</f>
        <v>-0.90000000000145519</v>
      </c>
      <c r="BB27" s="40">
        <f t="shared" ref="BB27:BB28" si="556">(N27-N$10)*1000</f>
        <v>1.7000000225380063</v>
      </c>
      <c r="BC27" s="40">
        <f t="shared" ref="BC27:BC28" si="557">(O27-O$10)*1000</f>
        <v>-0.59999991208314896</v>
      </c>
      <c r="BD27" s="40">
        <f t="shared" ref="BD27:BD28" si="558">(P27-P$10)*1000</f>
        <v>-4.0999999999939973</v>
      </c>
      <c r="BE27" s="40">
        <f t="shared" ref="BE27:BE28" si="559">(Q27-Q$10)*1000</f>
        <v>-1.0999999940395355</v>
      </c>
      <c r="BF27" s="40">
        <f t="shared" ref="BF27:BF28" si="560">(R27-R$10)*1000</f>
        <v>-1.6000000759959221</v>
      </c>
      <c r="BG27" s="40">
        <f t="shared" ref="BG27:BG28" si="561">(S27-S$10)*1000</f>
        <v>-1.4999999999929514</v>
      </c>
      <c r="BH27" s="40">
        <f t="shared" ref="BH27:BH28" si="562">(T27-T$10)*1000</f>
        <v>-0.60000002849847078</v>
      </c>
      <c r="BI27" s="40">
        <f t="shared" ref="BI27:BI28" si="563">(U27-U$10)*1000</f>
        <v>-0.50000008195638657</v>
      </c>
      <c r="BJ27" s="40">
        <f t="shared" ref="BJ27:BJ28" si="564">(V27-V$10)*1000</f>
        <v>0.29999999999574811</v>
      </c>
      <c r="BK27" s="40">
        <f t="shared" ref="BK27:BK28" si="565">(W27-W$10)*1000</f>
        <v>-0.29999995604157448</v>
      </c>
      <c r="BL27" s="40">
        <f t="shared" ref="BL27:BL28" si="566">(X27-X$10)*1000</f>
        <v>-0.89999986812472343</v>
      </c>
      <c r="BM27" s="40">
        <f t="shared" ref="BM27:BM28" si="567">(Y27-Y$10)*1000</f>
        <v>0.60000000000570708</v>
      </c>
      <c r="BN27" s="37"/>
      <c r="BO27" s="36">
        <v>158.77921651179767</v>
      </c>
      <c r="BP27" s="36">
        <v>-3.8066812828759988</v>
      </c>
      <c r="BQ27" s="36">
        <v>-1.0517121651179764</v>
      </c>
      <c r="BR27" s="36">
        <v>158.63999931325648</v>
      </c>
      <c r="BS27" s="36">
        <v>-4.0539971773545362</v>
      </c>
      <c r="BT27" s="36">
        <v>0.3210800068674331</v>
      </c>
      <c r="BU27" s="36">
        <v>158.67869158686162</v>
      </c>
      <c r="BV27" s="36">
        <v>-3.0523847634465775</v>
      </c>
      <c r="BW27" s="36">
        <v>2.8550930841313829</v>
      </c>
      <c r="BX27" s="36">
        <v>158.67246501402172</v>
      </c>
      <c r="BY27" s="36">
        <v>0.54311001063866648</v>
      </c>
      <c r="BZ27" s="36">
        <v>4.3441553498597898</v>
      </c>
      <c r="CA27" s="36">
        <v>158.63335611535658</v>
      </c>
      <c r="CB27" s="36">
        <v>3.2007197157179106</v>
      </c>
      <c r="CC27" s="36">
        <v>2.8829464388464316</v>
      </c>
      <c r="CD27" s="36">
        <v>158.69557757113915</v>
      </c>
      <c r="CE27" s="36">
        <v>4.0562916298459264</v>
      </c>
      <c r="CF27" s="36">
        <v>0.30652422428860859</v>
      </c>
      <c r="CG27" s="36">
        <v>158.75725606570376</v>
      </c>
      <c r="CH27" s="36">
        <v>3.8360188595544256</v>
      </c>
      <c r="CI27" s="36">
        <v>-1.0806925606570417</v>
      </c>
      <c r="CJ27" s="37"/>
      <c r="CK27" s="40">
        <f t="shared" ref="CK27:CK28" si="568">(BO27-BO$10)*1000</f>
        <v>-1.8117312966410282</v>
      </c>
      <c r="CL27" s="40">
        <f t="shared" ref="CL27:CL28" si="569">(BP27-BP$10)*1000</f>
        <v>2.4652849529993581</v>
      </c>
      <c r="CM27" s="40">
        <f t="shared" ref="CM27:CM28" si="570">(BQ27-BQ$10)*1000</f>
        <v>0.21811731296850212</v>
      </c>
      <c r="CN27" s="40">
        <f t="shared" ref="CN27:CN28" si="571">(BR27-BR$10)*1000</f>
        <v>-1.2317897187585913</v>
      </c>
      <c r="CO27" s="40">
        <f t="shared" ref="CO27:CO28" si="572">(BS27-BS$10)*1000</f>
        <v>2.4047233685591252</v>
      </c>
      <c r="CP27" s="40">
        <f t="shared" ref="CP27:CP28" si="573">(BT27-BT$10)*1000</f>
        <v>0.11231789717669471</v>
      </c>
      <c r="CQ27" s="40">
        <f t="shared" ref="CQ27:CQ28" si="574">(BU27-BU$10)*1000</f>
        <v>-1.2862524544345888</v>
      </c>
      <c r="CR27" s="40">
        <f t="shared" ref="CR27:CR28" si="575">(BV27-BV$10)*1000</f>
        <v>2.0483051766113647</v>
      </c>
      <c r="CS27" s="40">
        <f t="shared" ref="CS27:CS28" si="576">(BW27-BW$10)*1000</f>
        <v>-0.88713747545909882</v>
      </c>
      <c r="CT27" s="40">
        <f t="shared" ref="CT27:CT28" si="577">(BX27-BX$10)*1000</f>
        <v>1.287105335080696</v>
      </c>
      <c r="CU27" s="40">
        <f t="shared" ref="CU27:CU28" si="578">(BY27-BY$10)*1000</f>
        <v>1.2622835765130347</v>
      </c>
      <c r="CV27" s="40">
        <f t="shared" ref="CV27:CV28" si="579">(BZ27-BZ$10)*1000</f>
        <v>-4.1128710533371304</v>
      </c>
      <c r="CW27" s="40">
        <f t="shared" ref="CW27:CW28" si="580">(CA27-CA$10)*1000</f>
        <v>-1.673164496935442</v>
      </c>
      <c r="CX27" s="40">
        <f t="shared" ref="CX27:CX28" si="581">(CB27-CB$10)*1000</f>
        <v>0.98515013894351355</v>
      </c>
      <c r="CY27" s="40">
        <f t="shared" ref="CY27:CY28" si="582">(CC27-CC$10)*1000</f>
        <v>-1.4832683550309866</v>
      </c>
      <c r="CZ27" s="40">
        <f t="shared" ref="CZ27:CZ28" si="583">(CD27-CD$10)*1000</f>
        <v>-0.75510129502731616</v>
      </c>
      <c r="DA27" s="40">
        <f t="shared" ref="DA27:DA28" si="584">(CE27-CE$10)*1000</f>
        <v>0.19955488077894046</v>
      </c>
      <c r="DB27" s="40">
        <f t="shared" ref="DB27:DB28" si="585">(CF27-CF$10)*1000</f>
        <v>0.30755101295198983</v>
      </c>
      <c r="DC27" s="40">
        <f t="shared" ref="DC27:DC28" si="586">(CG27-CG$10)*1000</f>
        <v>-0.65227432827441589</v>
      </c>
      <c r="DD27" s="40">
        <f t="shared" ref="DD27:DD28" si="587">(CH27-CH$10)*1000</f>
        <v>0.68886714028160156</v>
      </c>
      <c r="DE27" s="40">
        <f t="shared" ref="DE27:DE28" si="588">(CI27-CI$10)*1000</f>
        <v>0.6065227432827669</v>
      </c>
    </row>
    <row r="28" spans="1:109" ht="29.25" customHeight="1" x14ac:dyDescent="0.2">
      <c r="A28" s="34">
        <v>44915</v>
      </c>
      <c r="B28" s="27">
        <f t="shared" si="10"/>
        <v>775</v>
      </c>
      <c r="C28" s="43">
        <v>222.9</v>
      </c>
      <c r="D28" s="43">
        <f t="shared" si="537"/>
        <v>64.900000000000006</v>
      </c>
      <c r="E28" s="36">
        <v>823209.96680000005</v>
      </c>
      <c r="F28" s="36">
        <v>1091504.1583</v>
      </c>
      <c r="G28" s="36">
        <v>-125.00660000000001</v>
      </c>
      <c r="H28" s="36">
        <v>823209.73499999999</v>
      </c>
      <c r="I28" s="36">
        <v>1091504.3245000001</v>
      </c>
      <c r="J28" s="36">
        <v>-123.6361</v>
      </c>
      <c r="K28" s="36">
        <v>823210.19369999995</v>
      </c>
      <c r="L28" s="36">
        <v>1091503.4327</v>
      </c>
      <c r="M28" s="36">
        <v>-121.10339999999999</v>
      </c>
      <c r="N28" s="36">
        <v>823211.70790000004</v>
      </c>
      <c r="O28" s="36">
        <v>1091500.1736000001</v>
      </c>
      <c r="P28" s="36">
        <v>-119.6173</v>
      </c>
      <c r="Q28" s="36">
        <v>823212.79440000001</v>
      </c>
      <c r="R28" s="36">
        <v>1091497.7505000001</v>
      </c>
      <c r="S28" s="36">
        <v>-121.0772</v>
      </c>
      <c r="T28" s="36">
        <v>823213.21200000006</v>
      </c>
      <c r="U28" s="36">
        <v>1091497.0005999999</v>
      </c>
      <c r="V28" s="36">
        <v>-123.65009999999999</v>
      </c>
      <c r="W28" s="36">
        <v>823213.1753</v>
      </c>
      <c r="X28" s="36">
        <v>1091497.227</v>
      </c>
      <c r="Y28" s="36">
        <v>-125.0359</v>
      </c>
      <c r="Z28" s="36">
        <f t="shared" si="243"/>
        <v>6.9248695142405472</v>
      </c>
      <c r="AA28" s="36">
        <f t="shared" si="2"/>
        <v>6.1051665546706024</v>
      </c>
      <c r="AB28" s="36">
        <f t="shared" si="3"/>
        <v>3.8888337145836442</v>
      </c>
      <c r="AC28" s="36">
        <f t="shared" si="4"/>
        <v>3.0303801527230547</v>
      </c>
      <c r="AD28" s="36">
        <f t="shared" si="5"/>
        <v>5.347309758301896</v>
      </c>
      <c r="AE28" s="36">
        <f t="shared" si="406"/>
        <v>6.3401056994918674</v>
      </c>
      <c r="AF28" s="36">
        <f t="shared" si="7"/>
        <v>6.24913784209296</v>
      </c>
      <c r="AG28" s="36">
        <f t="shared" si="8"/>
        <v>8.1073569190775334</v>
      </c>
      <c r="AH28" s="36">
        <f t="shared" si="244"/>
        <v>7.6379480510433178</v>
      </c>
      <c r="AI28" s="40">
        <f t="shared" si="538"/>
        <v>-10.078161131268359</v>
      </c>
      <c r="AJ28" s="40">
        <f t="shared" si="539"/>
        <v>-7.6362566917573815</v>
      </c>
      <c r="AK28" s="40">
        <f t="shared" si="540"/>
        <v>-4.7473928538694921</v>
      </c>
      <c r="AL28" s="40">
        <f t="shared" si="541"/>
        <v>-4.34402085967589</v>
      </c>
      <c r="AM28" s="40">
        <f t="shared" si="542"/>
        <v>-8.6862591450325155</v>
      </c>
      <c r="AN28" s="40">
        <f t="shared" si="543"/>
        <v>-10.117232808183552</v>
      </c>
      <c r="AO28" s="40">
        <f t="shared" si="544"/>
        <v>-5.2539884289775074</v>
      </c>
      <c r="AP28" s="40">
        <f t="shared" si="545"/>
        <v>-5.3366119598159401</v>
      </c>
      <c r="AQ28" s="40">
        <f t="shared" si="546"/>
        <v>-6.6207772179893709</v>
      </c>
      <c r="AR28" s="37"/>
      <c r="AS28" s="40">
        <f t="shared" si="547"/>
        <v>0.20000000949949026</v>
      </c>
      <c r="AT28" s="40">
        <f t="shared" si="548"/>
        <v>-3.9999999571591616</v>
      </c>
      <c r="AU28" s="40">
        <f t="shared" si="549"/>
        <v>0.39999999999906777</v>
      </c>
      <c r="AV28" s="40">
        <f t="shared" si="550"/>
        <v>-0.40000001899898052</v>
      </c>
      <c r="AW28" s="40">
        <f t="shared" si="551"/>
        <v>-2.79999990016222</v>
      </c>
      <c r="AX28" s="40">
        <f t="shared" si="552"/>
        <v>-0.60000000000570708</v>
      </c>
      <c r="AY28" s="40">
        <f t="shared" si="553"/>
        <v>-0.30000007245689631</v>
      </c>
      <c r="AZ28" s="40">
        <f t="shared" si="554"/>
        <v>-2.899999963119626</v>
      </c>
      <c r="BA28" s="40">
        <f t="shared" si="555"/>
        <v>-3.2999999999958618</v>
      </c>
      <c r="BB28" s="40">
        <f t="shared" si="556"/>
        <v>1.9000000320374966</v>
      </c>
      <c r="BC28" s="40">
        <f t="shared" si="557"/>
        <v>1.0000001639127731</v>
      </c>
      <c r="BD28" s="40">
        <f t="shared" si="558"/>
        <v>-9.3999999999994088</v>
      </c>
      <c r="BE28" s="40">
        <f t="shared" si="559"/>
        <v>-2.199999988079071</v>
      </c>
      <c r="BF28" s="40">
        <f t="shared" si="560"/>
        <v>2.0000000949949026</v>
      </c>
      <c r="BG28" s="40">
        <f t="shared" si="561"/>
        <v>-5.0999999999987722</v>
      </c>
      <c r="BH28" s="40">
        <f t="shared" si="562"/>
        <v>-2.099999925121665</v>
      </c>
      <c r="BI28" s="40">
        <f t="shared" si="563"/>
        <v>2.2999998182058334</v>
      </c>
      <c r="BJ28" s="40">
        <f t="shared" si="564"/>
        <v>-0.39999999999906777</v>
      </c>
      <c r="BK28" s="40">
        <f t="shared" si="565"/>
        <v>-1.3000000035390258</v>
      </c>
      <c r="BL28" s="40">
        <f t="shared" si="566"/>
        <v>2.6000000070780516</v>
      </c>
      <c r="BM28" s="40">
        <f t="shared" si="567"/>
        <v>0.70000000000902673</v>
      </c>
      <c r="BN28" s="37"/>
      <c r="BO28" s="36">
        <v>158.77951889349049</v>
      </c>
      <c r="BP28" s="36">
        <v>-3.8054368692651774</v>
      </c>
      <c r="BQ28" s="36">
        <v>-1.0515151889349141</v>
      </c>
      <c r="BR28" s="36">
        <v>158.63968516055232</v>
      </c>
      <c r="BS28" s="36">
        <v>-4.054033343888003</v>
      </c>
      <c r="BT28" s="36">
        <v>0.32038314839446969</v>
      </c>
      <c r="BU28" s="36">
        <v>158.67848026082197</v>
      </c>
      <c r="BV28" s="36">
        <v>-3.0519316173477167</v>
      </c>
      <c r="BW28" s="36">
        <v>2.8526951973917818</v>
      </c>
      <c r="BX28" s="36">
        <v>158.67332251568845</v>
      </c>
      <c r="BY28" s="36">
        <v>0.54174447369715095</v>
      </c>
      <c r="BZ28" s="36">
        <v>4.3388467748431054</v>
      </c>
      <c r="CA28" s="36">
        <v>158.63388074141653</v>
      </c>
      <c r="CB28" s="36">
        <v>3.1969921469773919</v>
      </c>
      <c r="CC28" s="36">
        <v>2.8793411925858265</v>
      </c>
      <c r="CD28" s="36">
        <v>158.69540155874517</v>
      </c>
      <c r="CE28" s="36">
        <v>4.053120034227331</v>
      </c>
      <c r="CF28" s="36">
        <v>0.30582598441255016</v>
      </c>
      <c r="CG28" s="36">
        <v>158.75782905559416</v>
      </c>
      <c r="CH28" s="36">
        <v>3.8324241854652983</v>
      </c>
      <c r="CI28" s="36">
        <v>-1.0805982905559404</v>
      </c>
      <c r="CJ28" s="37"/>
      <c r="CK28" s="40">
        <f t="shared" si="568"/>
        <v>-1.5093496038218746</v>
      </c>
      <c r="CL28" s="40">
        <f t="shared" si="569"/>
        <v>3.7096985638207514</v>
      </c>
      <c r="CM28" s="40">
        <f t="shared" si="570"/>
        <v>0.41509349603074952</v>
      </c>
      <c r="CN28" s="40">
        <f t="shared" si="571"/>
        <v>-1.5459424229220531</v>
      </c>
      <c r="CO28" s="40">
        <f t="shared" si="572"/>
        <v>2.3685568350924058</v>
      </c>
      <c r="CP28" s="40">
        <f t="shared" si="573"/>
        <v>-0.58454057578671836</v>
      </c>
      <c r="CQ28" s="40">
        <f t="shared" si="574"/>
        <v>-1.4975784940816084</v>
      </c>
      <c r="CR28" s="40">
        <f t="shared" si="575"/>
        <v>2.5014512754721885</v>
      </c>
      <c r="CS28" s="40">
        <f t="shared" si="576"/>
        <v>-3.2850242150601616</v>
      </c>
      <c r="CT28" s="40">
        <f t="shared" si="577"/>
        <v>2.1446070018100727</v>
      </c>
      <c r="CU28" s="40">
        <f t="shared" si="578"/>
        <v>-0.10325336500249804</v>
      </c>
      <c r="CV28" s="40">
        <f t="shared" si="579"/>
        <v>-9.4214460700214886</v>
      </c>
      <c r="CW28" s="40">
        <f t="shared" si="580"/>
        <v>-1.1485384369791518</v>
      </c>
      <c r="CX28" s="40">
        <f t="shared" si="581"/>
        <v>-2.7424186015752028</v>
      </c>
      <c r="CY28" s="40">
        <f t="shared" si="582"/>
        <v>-5.0885146156360861</v>
      </c>
      <c r="CZ28" s="40">
        <f t="shared" si="583"/>
        <v>-0.93111368900622438</v>
      </c>
      <c r="DA28" s="40">
        <f t="shared" si="584"/>
        <v>-2.9720407378164282</v>
      </c>
      <c r="DB28" s="40">
        <f t="shared" si="585"/>
        <v>-0.39068886310644757</v>
      </c>
      <c r="DC28" s="40">
        <f t="shared" si="586"/>
        <v>-7.9284437873639035E-2</v>
      </c>
      <c r="DD28" s="40">
        <f t="shared" si="587"/>
        <v>-2.9058069488456795</v>
      </c>
      <c r="DE28" s="40">
        <f t="shared" si="588"/>
        <v>0.7007928443840683</v>
      </c>
    </row>
    <row r="29" spans="1:109" ht="29.25" customHeight="1" x14ac:dyDescent="0.2">
      <c r="A29" s="34"/>
      <c r="B29" s="27"/>
      <c r="C29" s="35"/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40"/>
      <c r="AJ29" s="40"/>
      <c r="AK29" s="40"/>
      <c r="AL29" s="40"/>
      <c r="AM29" s="40"/>
      <c r="AN29" s="40"/>
      <c r="AO29" s="40"/>
      <c r="AP29" s="40"/>
      <c r="AQ29" s="40"/>
      <c r="AR29" s="37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37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7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</row>
    <row r="30" spans="1:109" ht="29.25" customHeight="1" x14ac:dyDescent="0.2">
      <c r="A30" s="34"/>
      <c r="B30" s="27"/>
      <c r="C30" s="35"/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40"/>
      <c r="AJ30" s="40"/>
      <c r="AK30" s="40"/>
      <c r="AL30" s="40"/>
      <c r="AM30" s="40"/>
      <c r="AN30" s="40"/>
      <c r="AO30" s="40"/>
      <c r="AP30" s="40"/>
      <c r="AQ30" s="40"/>
      <c r="AR30" s="37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37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7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</row>
    <row r="31" spans="1:109" ht="29.25" customHeight="1" x14ac:dyDescent="0.2">
      <c r="A31" s="34"/>
      <c r="B31" s="27"/>
      <c r="C31" s="35"/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40"/>
      <c r="AJ31" s="40"/>
      <c r="AK31" s="40"/>
      <c r="AL31" s="40"/>
      <c r="AM31" s="40"/>
      <c r="AN31" s="40"/>
      <c r="AO31" s="40"/>
      <c r="AP31" s="40"/>
      <c r="AQ31" s="40"/>
      <c r="AR31" s="37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37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7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</row>
    <row r="32" spans="1:109" ht="29.25" customHeight="1" x14ac:dyDescent="0.2">
      <c r="A32" s="34"/>
      <c r="B32" s="27"/>
      <c r="C32" s="35"/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40"/>
      <c r="AJ32" s="40"/>
      <c r="AK32" s="40"/>
      <c r="AL32" s="40"/>
      <c r="AM32" s="40"/>
      <c r="AN32" s="40"/>
      <c r="AO32" s="40"/>
      <c r="AP32" s="40"/>
      <c r="AQ32" s="40"/>
      <c r="AR32" s="37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37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7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</row>
    <row r="33" spans="1:109" ht="29.25" customHeight="1" x14ac:dyDescent="0.2">
      <c r="A33" s="34"/>
      <c r="B33" s="27"/>
      <c r="C33" s="35"/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40"/>
      <c r="AJ33" s="40"/>
      <c r="AK33" s="40"/>
      <c r="AL33" s="40"/>
      <c r="AM33" s="40"/>
      <c r="AN33" s="40"/>
      <c r="AO33" s="40"/>
      <c r="AP33" s="40"/>
      <c r="AQ33" s="40"/>
      <c r="AR33" s="37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37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7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</row>
    <row r="34" spans="1:109" ht="29.25" customHeight="1" x14ac:dyDescent="0.2">
      <c r="A34" s="34"/>
      <c r="B34" s="27"/>
      <c r="C34" s="35"/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40"/>
      <c r="AJ34" s="40"/>
      <c r="AK34" s="40"/>
      <c r="AL34" s="40"/>
      <c r="AM34" s="40"/>
      <c r="AN34" s="40"/>
      <c r="AO34" s="40"/>
      <c r="AP34" s="40"/>
      <c r="AQ34" s="40"/>
      <c r="AR34" s="37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37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7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</row>
    <row r="35" spans="1:109" ht="29.25" customHeight="1" x14ac:dyDescent="0.2">
      <c r="A35" s="34"/>
      <c r="B35" s="27"/>
      <c r="C35" s="35"/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40"/>
      <c r="AJ35" s="40"/>
      <c r="AK35" s="40"/>
      <c r="AL35" s="40"/>
      <c r="AM35" s="40"/>
      <c r="AN35" s="40"/>
      <c r="AO35" s="40"/>
      <c r="AP35" s="40"/>
      <c r="AQ35" s="40"/>
      <c r="AR35" s="37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37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7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</row>
    <row r="36" spans="1:109" ht="29.25" customHeight="1" x14ac:dyDescent="0.2">
      <c r="A36" s="34"/>
      <c r="B36" s="27"/>
      <c r="C36" s="35"/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40"/>
      <c r="AJ36" s="40"/>
      <c r="AK36" s="40"/>
      <c r="AL36" s="40"/>
      <c r="AM36" s="40"/>
      <c r="AN36" s="40"/>
      <c r="AO36" s="40"/>
      <c r="AP36" s="40"/>
      <c r="AQ36" s="40"/>
      <c r="AR36" s="37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37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7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</row>
    <row r="37" spans="1:109" ht="29.25" customHeight="1" x14ac:dyDescent="0.2">
      <c r="A37" s="34"/>
      <c r="B37" s="27"/>
      <c r="C37" s="35"/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40"/>
      <c r="AJ37" s="40"/>
      <c r="AK37" s="40"/>
      <c r="AL37" s="40"/>
      <c r="AM37" s="40"/>
      <c r="AN37" s="40"/>
      <c r="AO37" s="40"/>
      <c r="AP37" s="40"/>
      <c r="AQ37" s="40"/>
      <c r="AR37" s="37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37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7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</row>
    <row r="38" spans="1:109" ht="29.25" customHeight="1" x14ac:dyDescent="0.2">
      <c r="A38" s="34"/>
      <c r="B38" s="27"/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40"/>
      <c r="AJ38" s="40"/>
      <c r="AK38" s="40"/>
      <c r="AL38" s="40"/>
      <c r="AM38" s="40"/>
      <c r="AN38" s="40"/>
      <c r="AO38" s="40"/>
      <c r="AP38" s="40"/>
      <c r="AQ38" s="40"/>
      <c r="AR38" s="37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37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7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</row>
    <row r="39" spans="1:109" ht="29.25" customHeight="1" x14ac:dyDescent="0.2">
      <c r="A39" s="34"/>
      <c r="B39" s="27"/>
      <c r="C39" s="35"/>
      <c r="D39" s="35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40"/>
      <c r="AJ39" s="40"/>
      <c r="AK39" s="40"/>
      <c r="AL39" s="40"/>
      <c r="AM39" s="40"/>
      <c r="AN39" s="40"/>
      <c r="AO39" s="40"/>
      <c r="AP39" s="40"/>
      <c r="AQ39" s="40"/>
      <c r="AR39" s="37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37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7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</row>
    <row r="40" spans="1:109" ht="29.25" customHeight="1" x14ac:dyDescent="0.2">
      <c r="A40" s="34"/>
      <c r="B40" s="27"/>
      <c r="C40" s="35"/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40"/>
      <c r="AJ40" s="40"/>
      <c r="AK40" s="40"/>
      <c r="AL40" s="40"/>
      <c r="AM40" s="40"/>
      <c r="AN40" s="40"/>
      <c r="AO40" s="40"/>
      <c r="AP40" s="40"/>
      <c r="AQ40" s="40"/>
      <c r="AR40" s="37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37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7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</row>
    <row r="41" spans="1:109" ht="29.25" customHeight="1" x14ac:dyDescent="0.2">
      <c r="A41" s="34"/>
      <c r="B41" s="27"/>
      <c r="C41" s="35"/>
      <c r="D41" s="35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40"/>
      <c r="AJ41" s="40"/>
      <c r="AK41" s="40"/>
      <c r="AL41" s="40"/>
      <c r="AM41" s="40"/>
      <c r="AN41" s="40"/>
      <c r="AO41" s="40"/>
      <c r="AP41" s="40"/>
      <c r="AQ41" s="40"/>
      <c r="AR41" s="37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37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7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</row>
    <row r="42" spans="1:109" ht="29.25" customHeight="1" x14ac:dyDescent="0.2">
      <c r="A42" s="34"/>
      <c r="B42" s="27"/>
      <c r="C42" s="35"/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40"/>
      <c r="AJ42" s="40"/>
      <c r="AK42" s="40"/>
      <c r="AL42" s="40"/>
      <c r="AM42" s="40"/>
      <c r="AN42" s="40"/>
      <c r="AO42" s="40"/>
      <c r="AP42" s="40"/>
      <c r="AQ42" s="40"/>
      <c r="AR42" s="37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37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7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</row>
    <row r="43" spans="1:109" ht="29.25" customHeight="1" x14ac:dyDescent="0.2">
      <c r="A43" s="34"/>
      <c r="B43" s="27"/>
      <c r="C43" s="35"/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40"/>
      <c r="AJ43" s="40"/>
      <c r="AK43" s="40"/>
      <c r="AL43" s="40"/>
      <c r="AM43" s="40"/>
      <c r="AN43" s="40"/>
      <c r="AO43" s="40"/>
      <c r="AP43" s="40"/>
      <c r="AQ43" s="40"/>
      <c r="AR43" s="37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37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7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</row>
    <row r="44" spans="1:109" ht="29.25" customHeight="1" x14ac:dyDescent="0.2">
      <c r="A44" s="34"/>
      <c r="B44" s="27"/>
      <c r="C44" s="35"/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40"/>
      <c r="AJ44" s="40"/>
      <c r="AK44" s="40"/>
      <c r="AL44" s="40"/>
      <c r="AM44" s="40"/>
      <c r="AN44" s="40"/>
      <c r="AO44" s="40"/>
      <c r="AP44" s="40"/>
      <c r="AQ44" s="40"/>
      <c r="AR44" s="37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37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7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</row>
    <row r="45" spans="1:109" ht="29.25" customHeight="1" x14ac:dyDescent="0.2">
      <c r="A45" s="34"/>
      <c r="B45" s="27"/>
      <c r="C45" s="35"/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40"/>
      <c r="AJ45" s="40"/>
      <c r="AK45" s="40"/>
      <c r="AL45" s="40"/>
      <c r="AM45" s="40"/>
      <c r="AN45" s="40"/>
      <c r="AO45" s="40"/>
      <c r="AP45" s="40"/>
      <c r="AQ45" s="40"/>
      <c r="AR45" s="37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37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7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</row>
    <row r="46" spans="1:109" ht="29.25" customHeight="1" x14ac:dyDescent="0.2">
      <c r="A46" s="34"/>
      <c r="B46" s="27"/>
      <c r="C46" s="35"/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40"/>
      <c r="AJ46" s="40"/>
      <c r="AK46" s="40"/>
      <c r="AL46" s="40"/>
      <c r="AM46" s="40"/>
      <c r="AN46" s="40"/>
      <c r="AO46" s="40"/>
      <c r="AP46" s="40"/>
      <c r="AQ46" s="40"/>
      <c r="AR46" s="37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37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7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</row>
    <row r="47" spans="1:109" ht="29.25" customHeight="1" x14ac:dyDescent="0.2">
      <c r="A47" s="34"/>
      <c r="B47" s="27"/>
      <c r="C47" s="35"/>
      <c r="D47" s="35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40"/>
      <c r="AJ47" s="40"/>
      <c r="AK47" s="40"/>
      <c r="AL47" s="40"/>
      <c r="AM47" s="40"/>
      <c r="AN47" s="40"/>
      <c r="AO47" s="40"/>
      <c r="AP47" s="40"/>
      <c r="AQ47" s="40"/>
      <c r="AR47" s="37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37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7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</row>
    <row r="48" spans="1:109" ht="29.25" customHeight="1" x14ac:dyDescent="0.2">
      <c r="A48" s="34"/>
      <c r="B48" s="27"/>
      <c r="C48" s="35"/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40"/>
      <c r="AJ48" s="40"/>
      <c r="AK48" s="40"/>
      <c r="AL48" s="40"/>
      <c r="AM48" s="40"/>
      <c r="AN48" s="40"/>
      <c r="AO48" s="40"/>
      <c r="AP48" s="40"/>
      <c r="AQ48" s="40"/>
      <c r="AR48" s="37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37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7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</row>
    <row r="49" spans="1:109" ht="29.25" customHeight="1" x14ac:dyDescent="0.2">
      <c r="A49" s="34"/>
      <c r="B49" s="27"/>
      <c r="C49" s="35"/>
      <c r="D49" s="35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40"/>
      <c r="AJ49" s="40"/>
      <c r="AK49" s="40"/>
      <c r="AL49" s="40"/>
      <c r="AM49" s="40"/>
      <c r="AN49" s="40"/>
      <c r="AO49" s="40"/>
      <c r="AP49" s="40"/>
      <c r="AQ49" s="40"/>
      <c r="AR49" s="37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37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7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</row>
    <row r="50" spans="1:109" ht="29.25" customHeight="1" x14ac:dyDescent="0.2">
      <c r="A50" s="34"/>
      <c r="B50" s="27"/>
      <c r="C50" s="35"/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40"/>
      <c r="AJ50" s="40"/>
      <c r="AK50" s="40"/>
      <c r="AL50" s="40"/>
      <c r="AM50" s="40"/>
      <c r="AN50" s="40"/>
      <c r="AO50" s="40"/>
      <c r="AP50" s="40"/>
      <c r="AQ50" s="40"/>
      <c r="AR50" s="37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37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7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</row>
    <row r="51" spans="1:109" ht="29.25" customHeight="1" x14ac:dyDescent="0.2">
      <c r="A51" s="34"/>
      <c r="B51" s="27"/>
      <c r="C51" s="35"/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40"/>
      <c r="AJ51" s="40"/>
      <c r="AK51" s="40"/>
      <c r="AL51" s="40"/>
      <c r="AM51" s="40"/>
      <c r="AN51" s="40"/>
      <c r="AO51" s="40"/>
      <c r="AP51" s="40"/>
      <c r="AQ51" s="40"/>
      <c r="AR51" s="37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37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7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</row>
    <row r="52" spans="1:109" ht="29.25" customHeight="1" x14ac:dyDescent="0.2">
      <c r="A52" s="34"/>
      <c r="B52" s="27"/>
      <c r="C52" s="35"/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40"/>
      <c r="AJ52" s="40"/>
      <c r="AK52" s="40"/>
      <c r="AL52" s="40"/>
      <c r="AM52" s="40"/>
      <c r="AN52" s="40"/>
      <c r="AO52" s="40"/>
      <c r="AP52" s="40"/>
      <c r="AQ52" s="40"/>
      <c r="AR52" s="37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37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7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</row>
    <row r="53" spans="1:109" ht="29.25" customHeight="1" x14ac:dyDescent="0.2">
      <c r="A53" s="34"/>
      <c r="B53" s="27"/>
      <c r="C53" s="35"/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40"/>
      <c r="AJ53" s="40"/>
      <c r="AK53" s="40"/>
      <c r="AL53" s="40"/>
      <c r="AM53" s="40"/>
      <c r="AN53" s="40"/>
      <c r="AO53" s="40"/>
      <c r="AP53" s="40"/>
      <c r="AQ53" s="40"/>
      <c r="AR53" s="37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37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7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</row>
    <row r="54" spans="1:109" ht="29.25" customHeight="1" x14ac:dyDescent="0.2">
      <c r="A54" s="34"/>
      <c r="B54" s="27"/>
      <c r="C54" s="35"/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40"/>
      <c r="AJ54" s="40"/>
      <c r="AK54" s="40"/>
      <c r="AL54" s="40"/>
      <c r="AM54" s="40"/>
      <c r="AN54" s="40"/>
      <c r="AO54" s="40"/>
      <c r="AP54" s="40"/>
      <c r="AQ54" s="40"/>
      <c r="AR54" s="37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37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7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</row>
    <row r="55" spans="1:109" ht="29.25" customHeight="1" x14ac:dyDescent="0.2">
      <c r="A55" s="34"/>
      <c r="B55" s="27"/>
      <c r="C55" s="35"/>
      <c r="D55" s="35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40"/>
      <c r="AJ55" s="40"/>
      <c r="AK55" s="40"/>
      <c r="AL55" s="40"/>
      <c r="AM55" s="40"/>
      <c r="AN55" s="40"/>
      <c r="AO55" s="40"/>
      <c r="AP55" s="40"/>
      <c r="AQ55" s="40"/>
      <c r="AR55" s="37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37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7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</row>
    <row r="56" spans="1:109" ht="29.25" customHeight="1" x14ac:dyDescent="0.2">
      <c r="A56" s="34"/>
      <c r="B56" s="27"/>
      <c r="C56" s="35"/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40"/>
      <c r="AJ56" s="40"/>
      <c r="AK56" s="40"/>
      <c r="AL56" s="40"/>
      <c r="AM56" s="40"/>
      <c r="AN56" s="40"/>
      <c r="AO56" s="40"/>
      <c r="AP56" s="40"/>
      <c r="AQ56" s="40"/>
      <c r="AR56" s="37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37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7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</row>
    <row r="57" spans="1:109" ht="29.25" customHeight="1" x14ac:dyDescent="0.2">
      <c r="A57" s="34"/>
      <c r="B57" s="27"/>
      <c r="C57" s="35"/>
      <c r="D57" s="35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40"/>
      <c r="AJ57" s="40"/>
      <c r="AK57" s="40"/>
      <c r="AL57" s="40"/>
      <c r="AM57" s="40"/>
      <c r="AN57" s="40"/>
      <c r="AO57" s="40"/>
      <c r="AP57" s="40"/>
      <c r="AQ57" s="40"/>
      <c r="AR57" s="37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37"/>
      <c r="BO57" s="36"/>
      <c r="BP57" s="36"/>
      <c r="BQ57" s="36"/>
      <c r="BR57" s="36"/>
      <c r="BS57" s="36"/>
      <c r="BT57" s="36"/>
      <c r="BU57" s="38"/>
      <c r="BV57" s="39"/>
      <c r="BW57" s="39"/>
      <c r="BX57" s="38"/>
      <c r="BY57" s="39"/>
      <c r="BZ57" s="39"/>
      <c r="CA57" s="38"/>
      <c r="CB57" s="39"/>
      <c r="CC57" s="39"/>
      <c r="CD57" s="38"/>
      <c r="CE57" s="39"/>
      <c r="CF57" s="39"/>
      <c r="CG57" s="38"/>
      <c r="CH57" s="39"/>
      <c r="CI57" s="39"/>
      <c r="CJ57" s="37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</row>
    <row r="58" spans="1:109" ht="29.25" customHeight="1" x14ac:dyDescent="0.2">
      <c r="A58" s="34"/>
      <c r="B58" s="27"/>
      <c r="C58" s="35"/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40"/>
      <c r="AJ58" s="40"/>
      <c r="AK58" s="40"/>
      <c r="AL58" s="40"/>
      <c r="AM58" s="40"/>
      <c r="AN58" s="40"/>
      <c r="AO58" s="40"/>
      <c r="AP58" s="40"/>
      <c r="AQ58" s="40"/>
      <c r="AR58" s="37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37"/>
      <c r="BO58" s="36"/>
      <c r="BP58" s="36"/>
      <c r="BQ58" s="36"/>
      <c r="BR58" s="36"/>
      <c r="BS58" s="36"/>
      <c r="BT58" s="36"/>
      <c r="BU58" s="38"/>
      <c r="BV58" s="39"/>
      <c r="BW58" s="39"/>
      <c r="BX58" s="38"/>
      <c r="BY58" s="39"/>
      <c r="BZ58" s="39"/>
      <c r="CA58" s="38"/>
      <c r="CB58" s="39"/>
      <c r="CC58" s="39"/>
      <c r="CD58" s="38"/>
      <c r="CE58" s="39"/>
      <c r="CF58" s="39"/>
      <c r="CG58" s="38"/>
      <c r="CH58" s="39"/>
      <c r="CI58" s="39"/>
      <c r="CJ58" s="37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</row>
    <row r="59" spans="1:109" ht="29.25" customHeight="1" x14ac:dyDescent="0.2">
      <c r="A59" s="34"/>
      <c r="B59" s="27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40"/>
      <c r="AJ59" s="40"/>
      <c r="AK59" s="40"/>
      <c r="AL59" s="40"/>
      <c r="AM59" s="40"/>
      <c r="AN59" s="40"/>
      <c r="AO59" s="40"/>
      <c r="AP59" s="40"/>
      <c r="AQ59" s="40"/>
      <c r="AR59" s="37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37"/>
      <c r="BO59" s="36"/>
      <c r="BP59" s="36"/>
      <c r="BQ59" s="36"/>
      <c r="BR59" s="36"/>
      <c r="BS59" s="36"/>
      <c r="BT59" s="36"/>
      <c r="BU59" s="38"/>
      <c r="BV59" s="39"/>
      <c r="BW59" s="39"/>
      <c r="BX59" s="38"/>
      <c r="BY59" s="39"/>
      <c r="BZ59" s="39"/>
      <c r="CA59" s="38"/>
      <c r="CB59" s="39"/>
      <c r="CC59" s="39"/>
      <c r="CD59" s="38"/>
      <c r="CE59" s="39"/>
      <c r="CF59" s="39"/>
      <c r="CG59" s="38"/>
      <c r="CH59" s="39"/>
      <c r="CI59" s="39"/>
      <c r="CJ59" s="37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</row>
    <row r="60" spans="1:109" ht="29.25" customHeight="1" x14ac:dyDescent="0.2">
      <c r="A60" s="34"/>
      <c r="B60" s="27"/>
      <c r="C60" s="35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40"/>
      <c r="AJ60" s="40"/>
      <c r="AK60" s="40"/>
      <c r="AL60" s="40"/>
      <c r="AM60" s="40"/>
      <c r="AN60" s="40"/>
      <c r="AO60" s="40"/>
      <c r="AP60" s="40"/>
      <c r="AQ60" s="40"/>
      <c r="AR60" s="37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37"/>
      <c r="BO60" s="36"/>
      <c r="BP60" s="36"/>
      <c r="BQ60" s="36"/>
      <c r="BR60" s="36"/>
      <c r="BS60" s="36"/>
      <c r="BT60" s="36"/>
      <c r="BU60" s="38"/>
      <c r="BV60" s="39"/>
      <c r="BW60" s="39"/>
      <c r="BX60" s="38"/>
      <c r="BY60" s="39"/>
      <c r="BZ60" s="39"/>
      <c r="CA60" s="38"/>
      <c r="CB60" s="39"/>
      <c r="CC60" s="39"/>
      <c r="CD60" s="38"/>
      <c r="CE60" s="39"/>
      <c r="CF60" s="39"/>
      <c r="CG60" s="38"/>
      <c r="CH60" s="39"/>
      <c r="CI60" s="39"/>
      <c r="CJ60" s="37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</row>
    <row r="61" spans="1:109" ht="29.25" customHeight="1" x14ac:dyDescent="0.2">
      <c r="A61" s="34"/>
      <c r="B61" s="27"/>
      <c r="C61" s="35"/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40"/>
      <c r="AJ61" s="40"/>
      <c r="AK61" s="40"/>
      <c r="AL61" s="40"/>
      <c r="AM61" s="40"/>
      <c r="AN61" s="40"/>
      <c r="AO61" s="40"/>
      <c r="AP61" s="40"/>
      <c r="AQ61" s="40"/>
      <c r="AR61" s="37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37"/>
      <c r="BO61" s="36"/>
      <c r="BP61" s="36"/>
      <c r="BQ61" s="36"/>
      <c r="BR61" s="36"/>
      <c r="BS61" s="36"/>
      <c r="BT61" s="36"/>
      <c r="BU61" s="38"/>
      <c r="BV61" s="39"/>
      <c r="BW61" s="39"/>
      <c r="BX61" s="38"/>
      <c r="BY61" s="39"/>
      <c r="BZ61" s="39"/>
      <c r="CA61" s="38"/>
      <c r="CB61" s="39"/>
      <c r="CC61" s="39"/>
      <c r="CD61" s="38"/>
      <c r="CE61" s="39"/>
      <c r="CF61" s="39"/>
      <c r="CG61" s="38"/>
      <c r="CH61" s="39"/>
      <c r="CI61" s="39"/>
      <c r="CJ61" s="37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</row>
    <row r="62" spans="1:109" ht="29.25" customHeight="1" x14ac:dyDescent="0.2">
      <c r="A62" s="34"/>
      <c r="B62" s="27"/>
      <c r="C62" s="35"/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40"/>
      <c r="AJ62" s="40"/>
      <c r="AK62" s="40"/>
      <c r="AL62" s="40"/>
      <c r="AM62" s="40"/>
      <c r="AN62" s="40"/>
      <c r="AO62" s="40"/>
      <c r="AP62" s="40"/>
      <c r="AQ62" s="40"/>
      <c r="AR62" s="37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37"/>
      <c r="BO62" s="36"/>
      <c r="BP62" s="36"/>
      <c r="BQ62" s="36"/>
      <c r="BR62" s="36"/>
      <c r="BS62" s="36"/>
      <c r="BT62" s="36"/>
      <c r="BU62" s="38"/>
      <c r="BV62" s="39"/>
      <c r="BW62" s="39"/>
      <c r="BX62" s="38"/>
      <c r="BY62" s="39"/>
      <c r="BZ62" s="39"/>
      <c r="CA62" s="38"/>
      <c r="CB62" s="39"/>
      <c r="CC62" s="39"/>
      <c r="CD62" s="38"/>
      <c r="CE62" s="39"/>
      <c r="CF62" s="39"/>
      <c r="CG62" s="38"/>
      <c r="CH62" s="39"/>
      <c r="CI62" s="39"/>
      <c r="CJ62" s="37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</row>
    <row r="63" spans="1:109" ht="29.25" customHeight="1" x14ac:dyDescent="0.2">
      <c r="A63" s="34"/>
      <c r="B63" s="27"/>
      <c r="C63" s="35"/>
      <c r="D63" s="35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40"/>
      <c r="AJ63" s="40"/>
      <c r="AK63" s="40"/>
      <c r="AL63" s="40"/>
      <c r="AM63" s="40"/>
      <c r="AN63" s="40"/>
      <c r="AO63" s="40"/>
      <c r="AP63" s="40"/>
      <c r="AQ63" s="40"/>
      <c r="AR63" s="37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37"/>
      <c r="BO63" s="36"/>
      <c r="BP63" s="36"/>
      <c r="BQ63" s="36"/>
      <c r="BR63" s="36"/>
      <c r="BS63" s="36"/>
      <c r="BT63" s="36"/>
      <c r="BU63" s="38"/>
      <c r="BV63" s="39"/>
      <c r="BW63" s="39"/>
      <c r="BX63" s="38"/>
      <c r="BY63" s="39"/>
      <c r="BZ63" s="39"/>
      <c r="CA63" s="38"/>
      <c r="CB63" s="39"/>
      <c r="CC63" s="39"/>
      <c r="CD63" s="38"/>
      <c r="CE63" s="39"/>
      <c r="CF63" s="39"/>
      <c r="CG63" s="38"/>
      <c r="CH63" s="39"/>
      <c r="CI63" s="39"/>
      <c r="CJ63" s="37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</row>
    <row r="64" spans="1:109" ht="29.25" customHeight="1" x14ac:dyDescent="0.2">
      <c r="A64" s="34"/>
      <c r="B64" s="27"/>
      <c r="C64" s="35"/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40"/>
      <c r="AJ64" s="40"/>
      <c r="AK64" s="40"/>
      <c r="AL64" s="40"/>
      <c r="AM64" s="40"/>
      <c r="AN64" s="40"/>
      <c r="AO64" s="40"/>
      <c r="AP64" s="40"/>
      <c r="AQ64" s="40"/>
      <c r="AR64" s="37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37"/>
      <c r="BO64" s="36"/>
      <c r="BP64" s="36"/>
      <c r="BQ64" s="36"/>
      <c r="BR64" s="36"/>
      <c r="BS64" s="36"/>
      <c r="BT64" s="36"/>
      <c r="BU64" s="38"/>
      <c r="BV64" s="39"/>
      <c r="BW64" s="39"/>
      <c r="BX64" s="38"/>
      <c r="BY64" s="39"/>
      <c r="BZ64" s="39"/>
      <c r="CA64" s="38"/>
      <c r="CB64" s="39"/>
      <c r="CC64" s="39"/>
      <c r="CD64" s="38"/>
      <c r="CE64" s="39"/>
      <c r="CF64" s="39"/>
      <c r="CG64" s="38"/>
      <c r="CH64" s="39"/>
      <c r="CI64" s="39"/>
      <c r="CJ64" s="37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</row>
    <row r="65" spans="1:109" ht="29.25" customHeight="1" x14ac:dyDescent="0.2">
      <c r="A65" s="34"/>
      <c r="B65" s="27"/>
      <c r="C65" s="35"/>
      <c r="D65" s="35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40"/>
      <c r="AJ65" s="40"/>
      <c r="AK65" s="40"/>
      <c r="AL65" s="40"/>
      <c r="AM65" s="40"/>
      <c r="AN65" s="40"/>
      <c r="AO65" s="40"/>
      <c r="AP65" s="40"/>
      <c r="AQ65" s="40"/>
      <c r="AR65" s="37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37"/>
      <c r="BO65" s="36"/>
      <c r="BP65" s="36"/>
      <c r="BQ65" s="36"/>
      <c r="BR65" s="36"/>
      <c r="BS65" s="36"/>
      <c r="BT65" s="36"/>
      <c r="BU65" s="38"/>
      <c r="BV65" s="39"/>
      <c r="BW65" s="39"/>
      <c r="BX65" s="38"/>
      <c r="BY65" s="39"/>
      <c r="BZ65" s="39"/>
      <c r="CA65" s="38"/>
      <c r="CB65" s="39"/>
      <c r="CC65" s="39"/>
      <c r="CD65" s="38"/>
      <c r="CE65" s="39"/>
      <c r="CF65" s="39"/>
      <c r="CG65" s="38"/>
      <c r="CH65" s="39"/>
      <c r="CI65" s="39"/>
      <c r="CJ65" s="37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</row>
    <row r="66" spans="1:109" ht="29.25" customHeight="1" x14ac:dyDescent="0.2">
      <c r="A66" s="34"/>
      <c r="B66" s="27"/>
      <c r="C66" s="35"/>
      <c r="D66" s="35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40"/>
      <c r="AJ66" s="40"/>
      <c r="AK66" s="40"/>
      <c r="AL66" s="40"/>
      <c r="AM66" s="40"/>
      <c r="AN66" s="40"/>
      <c r="AO66" s="40"/>
      <c r="AP66" s="40"/>
      <c r="AQ66" s="40"/>
      <c r="AR66" s="37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37"/>
      <c r="BO66" s="36"/>
      <c r="BP66" s="36"/>
      <c r="BQ66" s="36"/>
      <c r="BR66" s="36"/>
      <c r="BS66" s="36"/>
      <c r="BT66" s="36"/>
      <c r="BU66" s="38"/>
      <c r="BV66" s="39"/>
      <c r="BW66" s="39"/>
      <c r="BX66" s="38"/>
      <c r="BY66" s="39"/>
      <c r="BZ66" s="39"/>
      <c r="CA66" s="38"/>
      <c r="CB66" s="39"/>
      <c r="CC66" s="39"/>
      <c r="CD66" s="38"/>
      <c r="CE66" s="39"/>
      <c r="CF66" s="39"/>
      <c r="CG66" s="38"/>
      <c r="CH66" s="39"/>
      <c r="CI66" s="39"/>
      <c r="CJ66" s="37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</row>
    <row r="67" spans="1:109" ht="29.25" customHeight="1" x14ac:dyDescent="0.2">
      <c r="A67" s="34"/>
      <c r="B67" s="27"/>
      <c r="C67" s="35"/>
      <c r="D67" s="35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40"/>
      <c r="AJ67" s="40"/>
      <c r="AK67" s="40"/>
      <c r="AL67" s="40"/>
      <c r="AM67" s="40"/>
      <c r="AN67" s="40"/>
      <c r="AO67" s="40"/>
      <c r="AP67" s="40"/>
      <c r="AQ67" s="40"/>
      <c r="AR67" s="37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37"/>
      <c r="BO67" s="36"/>
      <c r="BP67" s="36"/>
      <c r="BQ67" s="36"/>
      <c r="BR67" s="36"/>
      <c r="BS67" s="36"/>
      <c r="BT67" s="36"/>
      <c r="BU67" s="38"/>
      <c r="BV67" s="39"/>
      <c r="BW67" s="39"/>
      <c r="BX67" s="38"/>
      <c r="BY67" s="39"/>
      <c r="BZ67" s="39"/>
      <c r="CA67" s="38"/>
      <c r="CB67" s="39"/>
      <c r="CC67" s="39"/>
      <c r="CD67" s="38"/>
      <c r="CE67" s="39"/>
      <c r="CF67" s="39"/>
      <c r="CG67" s="38"/>
      <c r="CH67" s="39"/>
      <c r="CI67" s="39"/>
      <c r="CJ67" s="37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</row>
    <row r="68" spans="1:109" ht="29.25" customHeight="1" x14ac:dyDescent="0.2">
      <c r="A68" s="34"/>
      <c r="B68" s="27"/>
      <c r="C68" s="35"/>
      <c r="D68" s="35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40"/>
      <c r="AJ68" s="40"/>
      <c r="AK68" s="40"/>
      <c r="AL68" s="40"/>
      <c r="AM68" s="40"/>
      <c r="AN68" s="40"/>
      <c r="AO68" s="40"/>
      <c r="AP68" s="40"/>
      <c r="AQ68" s="40"/>
      <c r="AR68" s="37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37"/>
      <c r="BO68" s="36"/>
      <c r="BP68" s="36"/>
      <c r="BQ68" s="36"/>
      <c r="BR68" s="36"/>
      <c r="BS68" s="36"/>
      <c r="BT68" s="36"/>
      <c r="BU68" s="38"/>
      <c r="BV68" s="39"/>
      <c r="BW68" s="39"/>
      <c r="BX68" s="38"/>
      <c r="BY68" s="39"/>
      <c r="BZ68" s="39"/>
      <c r="CA68" s="38"/>
      <c r="CB68" s="39"/>
      <c r="CC68" s="39"/>
      <c r="CD68" s="38"/>
      <c r="CE68" s="39"/>
      <c r="CF68" s="39"/>
      <c r="CG68" s="38"/>
      <c r="CH68" s="39"/>
      <c r="CI68" s="39"/>
      <c r="CJ68" s="37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</row>
    <row r="69" spans="1:109" ht="29.25" customHeight="1" x14ac:dyDescent="0.2">
      <c r="A69" s="34"/>
      <c r="B69" s="27"/>
      <c r="C69" s="35"/>
      <c r="D69" s="35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40"/>
      <c r="AJ69" s="40"/>
      <c r="AK69" s="40"/>
      <c r="AL69" s="40"/>
      <c r="AM69" s="40"/>
      <c r="AN69" s="40"/>
      <c r="AO69" s="40"/>
      <c r="AP69" s="40"/>
      <c r="AQ69" s="40"/>
      <c r="AR69" s="37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37"/>
      <c r="BO69" s="36"/>
      <c r="BP69" s="36"/>
      <c r="BQ69" s="36"/>
      <c r="BR69" s="36"/>
      <c r="BS69" s="36"/>
      <c r="BT69" s="36"/>
      <c r="BU69" s="38"/>
      <c r="BV69" s="39"/>
      <c r="BW69" s="39"/>
      <c r="BX69" s="38"/>
      <c r="BY69" s="39"/>
      <c r="BZ69" s="39"/>
      <c r="CA69" s="38"/>
      <c r="CB69" s="39"/>
      <c r="CC69" s="39"/>
      <c r="CD69" s="38"/>
      <c r="CE69" s="39"/>
      <c r="CF69" s="39"/>
      <c r="CG69" s="38"/>
      <c r="CH69" s="39"/>
      <c r="CI69" s="39"/>
      <c r="CJ69" s="37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</row>
    <row r="70" spans="1:109" ht="29.25" customHeight="1" x14ac:dyDescent="0.2">
      <c r="A70" s="34"/>
      <c r="B70" s="27"/>
      <c r="C70" s="35"/>
      <c r="D70" s="35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40"/>
      <c r="AJ70" s="40"/>
      <c r="AK70" s="40"/>
      <c r="AL70" s="40"/>
      <c r="AM70" s="40"/>
      <c r="AN70" s="40"/>
      <c r="AO70" s="40"/>
      <c r="AP70" s="40"/>
      <c r="AQ70" s="40"/>
      <c r="AR70" s="37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37"/>
      <c r="BO70" s="36"/>
      <c r="BP70" s="36"/>
      <c r="BQ70" s="36"/>
      <c r="BR70" s="36"/>
      <c r="BS70" s="36"/>
      <c r="BT70" s="36"/>
      <c r="BU70" s="38"/>
      <c r="BV70" s="39"/>
      <c r="BW70" s="39"/>
      <c r="BX70" s="38"/>
      <c r="BY70" s="39"/>
      <c r="BZ70" s="39"/>
      <c r="CA70" s="38"/>
      <c r="CB70" s="39"/>
      <c r="CC70" s="39"/>
      <c r="CD70" s="38"/>
      <c r="CE70" s="39"/>
      <c r="CF70" s="39"/>
      <c r="CG70" s="38"/>
      <c r="CH70" s="39"/>
      <c r="CI70" s="39"/>
      <c r="CJ70" s="37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</row>
    <row r="71" spans="1:109" ht="29.25" customHeight="1" x14ac:dyDescent="0.2">
      <c r="A71" s="34"/>
      <c r="B71" s="27"/>
      <c r="C71" s="35"/>
      <c r="D71" s="35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40"/>
      <c r="AJ71" s="40"/>
      <c r="AK71" s="40"/>
      <c r="AL71" s="40"/>
      <c r="AM71" s="40"/>
      <c r="AN71" s="40"/>
      <c r="AO71" s="40"/>
      <c r="AP71" s="40"/>
      <c r="AQ71" s="40"/>
      <c r="AR71" s="37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37"/>
      <c r="BO71" s="36"/>
      <c r="BP71" s="36"/>
      <c r="BQ71" s="36"/>
      <c r="BR71" s="36"/>
      <c r="BS71" s="36"/>
      <c r="BT71" s="36"/>
      <c r="BU71" s="38"/>
      <c r="BV71" s="39"/>
      <c r="BW71" s="39"/>
      <c r="BX71" s="38"/>
      <c r="BY71" s="39"/>
      <c r="BZ71" s="39"/>
      <c r="CA71" s="38"/>
      <c r="CB71" s="39"/>
      <c r="CC71" s="39"/>
      <c r="CD71" s="38"/>
      <c r="CE71" s="39"/>
      <c r="CF71" s="39"/>
      <c r="CG71" s="38"/>
      <c r="CH71" s="39"/>
      <c r="CI71" s="39"/>
      <c r="CJ71" s="37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</row>
    <row r="72" spans="1:109" ht="29.25" customHeight="1" x14ac:dyDescent="0.2">
      <c r="A72" s="34"/>
      <c r="B72" s="27"/>
      <c r="C72" s="35"/>
      <c r="D72" s="35"/>
      <c r="E72" s="36"/>
      <c r="F72" s="36"/>
      <c r="G72" s="36"/>
      <c r="H72" s="36"/>
      <c r="I72" s="36"/>
      <c r="J72" s="36"/>
      <c r="K72" s="118"/>
      <c r="L72" s="119"/>
      <c r="M72" s="120"/>
      <c r="N72" s="36"/>
      <c r="O72" s="36"/>
      <c r="P72" s="36"/>
      <c r="Q72" s="36"/>
      <c r="R72" s="36"/>
      <c r="S72" s="36"/>
      <c r="T72" s="36"/>
      <c r="U72" s="36"/>
      <c r="V72" s="36"/>
      <c r="W72" s="118"/>
      <c r="X72" s="119"/>
      <c r="Y72" s="120"/>
      <c r="Z72" s="36"/>
      <c r="AA72" s="36"/>
      <c r="AB72" s="36"/>
      <c r="AC72" s="36"/>
      <c r="AD72" s="36"/>
      <c r="AE72" s="36"/>
      <c r="AF72" s="36"/>
      <c r="AG72" s="36"/>
      <c r="AH72" s="36"/>
      <c r="AI72" s="40"/>
      <c r="AJ72" s="40"/>
      <c r="AK72" s="40"/>
      <c r="AL72" s="40"/>
      <c r="AM72" s="40"/>
      <c r="AN72" s="40"/>
      <c r="AO72" s="40"/>
      <c r="AP72" s="40"/>
      <c r="AQ72" s="40"/>
      <c r="AR72" s="37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37"/>
      <c r="BO72" s="36"/>
      <c r="BP72" s="36"/>
      <c r="BQ72" s="36"/>
      <c r="BR72" s="36"/>
      <c r="BS72" s="36"/>
      <c r="BT72" s="36"/>
      <c r="BU72" s="38"/>
      <c r="BV72" s="39"/>
      <c r="BW72" s="39"/>
      <c r="BX72" s="38"/>
      <c r="BY72" s="39"/>
      <c r="BZ72" s="39"/>
      <c r="CA72" s="38"/>
      <c r="CB72" s="39"/>
      <c r="CC72" s="39"/>
      <c r="CD72" s="38"/>
      <c r="CE72" s="39"/>
      <c r="CF72" s="39"/>
      <c r="CG72" s="38"/>
      <c r="CH72" s="39"/>
      <c r="CI72" s="39"/>
      <c r="CJ72" s="37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</row>
    <row r="73" spans="1:109" ht="29.25" customHeight="1" x14ac:dyDescent="0.2">
      <c r="A73" s="34"/>
      <c r="B73" s="27"/>
      <c r="C73" s="35"/>
      <c r="D73" s="35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40"/>
      <c r="AJ73" s="40"/>
      <c r="AK73" s="40"/>
      <c r="AL73" s="40"/>
      <c r="AM73" s="40"/>
      <c r="AN73" s="40"/>
      <c r="AO73" s="40"/>
      <c r="AP73" s="40"/>
      <c r="AQ73" s="40"/>
      <c r="AR73" s="37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37"/>
      <c r="BO73" s="36"/>
      <c r="BP73" s="36"/>
      <c r="BQ73" s="36"/>
      <c r="BR73" s="36"/>
      <c r="BS73" s="36"/>
      <c r="BT73" s="36"/>
      <c r="BU73" s="38"/>
      <c r="BV73" s="39"/>
      <c r="BW73" s="39"/>
      <c r="BX73" s="38"/>
      <c r="BY73" s="39"/>
      <c r="BZ73" s="39"/>
      <c r="CA73" s="38"/>
      <c r="CB73" s="39"/>
      <c r="CC73" s="39"/>
      <c r="CD73" s="38"/>
      <c r="CE73" s="39"/>
      <c r="CF73" s="39"/>
      <c r="CG73" s="38"/>
      <c r="CH73" s="39"/>
      <c r="CI73" s="39"/>
      <c r="CJ73" s="37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</row>
    <row r="74" spans="1:109" ht="29.25" customHeight="1" x14ac:dyDescent="0.2">
      <c r="A74" s="34"/>
      <c r="B74" s="27"/>
      <c r="C74" s="35"/>
      <c r="D74" s="35"/>
      <c r="E74" s="36"/>
      <c r="F74" s="36"/>
      <c r="G74" s="36"/>
      <c r="H74" s="36"/>
      <c r="I74" s="36"/>
      <c r="J74" s="36"/>
      <c r="K74" s="118"/>
      <c r="L74" s="119"/>
      <c r="M74" s="120"/>
      <c r="N74" s="36"/>
      <c r="O74" s="36"/>
      <c r="P74" s="36"/>
      <c r="Q74" s="36"/>
      <c r="R74" s="36"/>
      <c r="S74" s="36"/>
      <c r="T74" s="36"/>
      <c r="U74" s="36"/>
      <c r="V74" s="36"/>
      <c r="W74" s="118"/>
      <c r="X74" s="119"/>
      <c r="Y74" s="120"/>
      <c r="Z74" s="36"/>
      <c r="AA74" s="36"/>
      <c r="AB74" s="36"/>
      <c r="AC74" s="36"/>
      <c r="AD74" s="36"/>
      <c r="AE74" s="36"/>
      <c r="AF74" s="36"/>
      <c r="AG74" s="36"/>
      <c r="AH74" s="36"/>
      <c r="AI74" s="40"/>
      <c r="AJ74" s="40"/>
      <c r="AK74" s="40"/>
      <c r="AL74" s="40"/>
      <c r="AM74" s="40"/>
      <c r="AN74" s="40"/>
      <c r="AO74" s="40"/>
      <c r="AP74" s="40"/>
      <c r="AQ74" s="40"/>
      <c r="AR74" s="37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37"/>
      <c r="BO74" s="36"/>
      <c r="BP74" s="36"/>
      <c r="BQ74" s="36"/>
      <c r="BR74" s="36"/>
      <c r="BS74" s="36"/>
      <c r="BT74" s="36"/>
      <c r="BU74" s="38"/>
      <c r="BV74" s="39"/>
      <c r="BW74" s="39"/>
      <c r="BX74" s="38"/>
      <c r="BY74" s="39"/>
      <c r="BZ74" s="39"/>
      <c r="CA74" s="38"/>
      <c r="CB74" s="39"/>
      <c r="CC74" s="39"/>
      <c r="CD74" s="38"/>
      <c r="CE74" s="39"/>
      <c r="CF74" s="39"/>
      <c r="CG74" s="38"/>
      <c r="CH74" s="39"/>
      <c r="CI74" s="39"/>
      <c r="CJ74" s="37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</row>
    <row r="75" spans="1:109" ht="29.25" customHeight="1" x14ac:dyDescent="0.2">
      <c r="A75" s="96"/>
      <c r="B75" s="95"/>
      <c r="C75" s="97"/>
      <c r="D75" s="97"/>
      <c r="E75" s="98"/>
      <c r="F75" s="98"/>
      <c r="G75" s="98"/>
      <c r="H75" s="98"/>
      <c r="I75" s="98"/>
      <c r="J75" s="98"/>
      <c r="K75" s="118"/>
      <c r="L75" s="119"/>
      <c r="M75" s="120"/>
      <c r="N75" s="98"/>
      <c r="O75" s="98"/>
      <c r="P75" s="98"/>
      <c r="Q75" s="98"/>
      <c r="R75" s="98"/>
      <c r="S75" s="98"/>
      <c r="T75" s="98"/>
      <c r="U75" s="98"/>
      <c r="V75" s="98"/>
      <c r="W75" s="118"/>
      <c r="X75" s="119"/>
      <c r="Y75" s="120"/>
      <c r="Z75" s="98"/>
      <c r="AA75" s="98"/>
      <c r="AB75" s="98"/>
      <c r="AC75" s="98"/>
      <c r="AD75" s="98"/>
      <c r="AE75" s="98"/>
      <c r="AF75" s="98"/>
      <c r="AG75" s="98"/>
      <c r="AH75" s="98"/>
      <c r="AI75" s="102"/>
      <c r="AJ75" s="102"/>
      <c r="AK75" s="102"/>
      <c r="AL75" s="102"/>
      <c r="AM75" s="102"/>
      <c r="AN75" s="102"/>
      <c r="AO75" s="102"/>
      <c r="AP75" s="102"/>
      <c r="AQ75" s="102"/>
      <c r="AR75" s="99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99"/>
      <c r="BO75" s="98"/>
      <c r="BP75" s="98"/>
      <c r="BQ75" s="98"/>
      <c r="BR75" s="98"/>
      <c r="BS75" s="98"/>
      <c r="BT75" s="98"/>
      <c r="BU75" s="100"/>
      <c r="BV75" s="101"/>
      <c r="BW75" s="101"/>
      <c r="BX75" s="100"/>
      <c r="BY75" s="101"/>
      <c r="BZ75" s="101"/>
      <c r="CA75" s="100"/>
      <c r="CB75" s="101"/>
      <c r="CC75" s="101"/>
      <c r="CD75" s="100"/>
      <c r="CE75" s="101"/>
      <c r="CF75" s="101"/>
      <c r="CG75" s="100"/>
      <c r="CH75" s="101"/>
      <c r="CI75" s="101"/>
      <c r="CJ75" s="99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</row>
    <row r="76" spans="1:109" ht="29.25" customHeight="1" x14ac:dyDescent="0.2">
      <c r="A76" s="34"/>
      <c r="B76" s="27"/>
      <c r="C76" s="97"/>
      <c r="D76" s="97"/>
      <c r="E76" s="36"/>
      <c r="F76" s="36"/>
      <c r="G76" s="36"/>
      <c r="H76" s="36"/>
      <c r="I76" s="36"/>
      <c r="J76" s="36"/>
      <c r="K76" s="118"/>
      <c r="L76" s="119"/>
      <c r="M76" s="120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40"/>
      <c r="AJ76" s="40"/>
      <c r="AK76" s="40"/>
      <c r="AL76" s="40"/>
      <c r="AM76" s="40"/>
      <c r="AN76" s="40"/>
      <c r="AO76" s="40"/>
      <c r="AP76" s="40"/>
      <c r="AQ76" s="40"/>
      <c r="AR76" s="37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37"/>
      <c r="BO76" s="36"/>
      <c r="BP76" s="36"/>
      <c r="BQ76" s="36"/>
      <c r="BR76" s="36"/>
      <c r="BS76" s="36"/>
      <c r="BT76" s="36"/>
      <c r="BU76" s="38"/>
      <c r="BV76" s="39"/>
      <c r="BW76" s="39"/>
      <c r="BX76" s="38"/>
      <c r="BY76" s="39"/>
      <c r="BZ76" s="39"/>
      <c r="CA76" s="38"/>
      <c r="CB76" s="39"/>
      <c r="CC76" s="39"/>
      <c r="CD76" s="38"/>
      <c r="CE76" s="39"/>
      <c r="CF76" s="39"/>
      <c r="CG76" s="38"/>
      <c r="CH76" s="39"/>
      <c r="CI76" s="39"/>
      <c r="CJ76" s="37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</row>
    <row r="77" spans="1:109" ht="29.25" customHeight="1" x14ac:dyDescent="0.2">
      <c r="A77" s="34"/>
      <c r="B77" s="27"/>
      <c r="C77" s="97"/>
      <c r="D77" s="97"/>
      <c r="E77" s="36"/>
      <c r="F77" s="36"/>
      <c r="G77" s="36"/>
      <c r="H77" s="36"/>
      <c r="I77" s="36"/>
      <c r="J77" s="36"/>
      <c r="K77" s="118"/>
      <c r="L77" s="119"/>
      <c r="M77" s="120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40"/>
      <c r="AJ77" s="40"/>
      <c r="AK77" s="40"/>
      <c r="AL77" s="40"/>
      <c r="AM77" s="40"/>
      <c r="AN77" s="40"/>
      <c r="AO77" s="40"/>
      <c r="AP77" s="40"/>
      <c r="AQ77" s="40"/>
      <c r="AR77" s="37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37"/>
      <c r="BO77" s="36"/>
      <c r="BP77" s="36"/>
      <c r="BQ77" s="36"/>
      <c r="BR77" s="36"/>
      <c r="BS77" s="36"/>
      <c r="BT77" s="36"/>
      <c r="BU77" s="38"/>
      <c r="BV77" s="39"/>
      <c r="BW77" s="39"/>
      <c r="BX77" s="38"/>
      <c r="BY77" s="39"/>
      <c r="BZ77" s="104"/>
      <c r="CA77" s="38"/>
      <c r="CB77" s="39"/>
      <c r="CC77" s="39"/>
      <c r="CD77" s="38"/>
      <c r="CE77" s="39"/>
      <c r="CF77" s="39"/>
      <c r="CG77" s="38"/>
      <c r="CH77" s="39"/>
      <c r="CI77" s="39"/>
      <c r="CJ77" s="37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</row>
    <row r="78" spans="1:109" ht="29.25" customHeight="1" x14ac:dyDescent="0.2">
      <c r="A78" s="34"/>
      <c r="B78" s="27"/>
      <c r="C78" s="97"/>
      <c r="D78" s="97"/>
      <c r="E78" s="36"/>
      <c r="F78" s="36"/>
      <c r="G78" s="36"/>
      <c r="H78" s="36"/>
      <c r="I78" s="36"/>
      <c r="J78" s="36"/>
      <c r="K78" s="118"/>
      <c r="L78" s="119"/>
      <c r="M78" s="120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40"/>
      <c r="AJ78" s="40"/>
      <c r="AK78" s="40"/>
      <c r="AL78" s="40"/>
      <c r="AM78" s="40"/>
      <c r="AN78" s="40"/>
      <c r="AO78" s="40"/>
      <c r="AP78" s="40"/>
      <c r="AQ78" s="40"/>
      <c r="AR78" s="37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37"/>
      <c r="BO78" s="36"/>
      <c r="BP78" s="36"/>
      <c r="BQ78" s="36"/>
      <c r="BR78" s="36"/>
      <c r="BS78" s="36"/>
      <c r="BT78" s="36"/>
      <c r="BU78" s="38"/>
      <c r="BV78" s="39"/>
      <c r="BW78" s="39"/>
      <c r="BX78" s="38"/>
      <c r="BY78" s="39"/>
      <c r="BZ78" s="39"/>
      <c r="CA78" s="38"/>
      <c r="CB78" s="39"/>
      <c r="CC78" s="39"/>
      <c r="CD78" s="38"/>
      <c r="CE78" s="39"/>
      <c r="CF78" s="39"/>
      <c r="CG78" s="38"/>
      <c r="CH78" s="39"/>
      <c r="CI78" s="39"/>
      <c r="CJ78" s="37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</row>
    <row r="79" spans="1:109" ht="29.25" customHeight="1" x14ac:dyDescent="0.2">
      <c r="A79" s="34"/>
      <c r="B79" s="27"/>
      <c r="C79" s="97"/>
      <c r="D79" s="97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40"/>
      <c r="AJ79" s="40"/>
      <c r="AK79" s="40"/>
      <c r="AL79" s="40"/>
      <c r="AM79" s="40"/>
      <c r="AN79" s="40"/>
      <c r="AO79" s="40"/>
      <c r="AP79" s="40"/>
      <c r="AQ79" s="40"/>
      <c r="AR79" s="37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37"/>
      <c r="BO79" s="36"/>
      <c r="BP79" s="36"/>
      <c r="BQ79" s="36"/>
      <c r="BR79" s="36"/>
      <c r="BS79" s="36"/>
      <c r="BT79" s="36"/>
      <c r="BU79" s="38"/>
      <c r="BV79" s="39"/>
      <c r="BW79" s="39"/>
      <c r="BX79" s="38"/>
      <c r="BY79" s="39"/>
      <c r="BZ79" s="39"/>
      <c r="CA79" s="38"/>
      <c r="CB79" s="39"/>
      <c r="CC79" s="39"/>
      <c r="CD79" s="38"/>
      <c r="CE79" s="39"/>
      <c r="CF79" s="39"/>
      <c r="CG79" s="38"/>
      <c r="CH79" s="39"/>
      <c r="CI79" s="39"/>
      <c r="CJ79" s="37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</row>
    <row r="80" spans="1:109" ht="29.25" customHeight="1" x14ac:dyDescent="0.2">
      <c r="A80" s="34"/>
      <c r="B80" s="27"/>
      <c r="C80" s="97"/>
      <c r="D80" s="97"/>
      <c r="E80" s="36"/>
      <c r="F80" s="36"/>
      <c r="G80" s="36"/>
      <c r="H80" s="36"/>
      <c r="I80" s="36"/>
      <c r="J80" s="36"/>
      <c r="K80" s="118"/>
      <c r="L80" s="119"/>
      <c r="M80" s="120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40"/>
      <c r="AJ80" s="40"/>
      <c r="AK80" s="40"/>
      <c r="AL80" s="40"/>
      <c r="AM80" s="40"/>
      <c r="AN80" s="40"/>
      <c r="AO80" s="40"/>
      <c r="AP80" s="40"/>
      <c r="AQ80" s="40"/>
      <c r="AR80" s="37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37"/>
      <c r="BO80" s="36"/>
      <c r="BP80" s="36"/>
      <c r="BQ80" s="36"/>
      <c r="BR80" s="36"/>
      <c r="BS80" s="36"/>
      <c r="BT80" s="36"/>
      <c r="BU80" s="38"/>
      <c r="BV80" s="39"/>
      <c r="BW80" s="39"/>
      <c r="BX80" s="38"/>
      <c r="BY80" s="39"/>
      <c r="BZ80" s="39"/>
      <c r="CA80" s="38"/>
      <c r="CB80" s="39"/>
      <c r="CC80" s="39"/>
      <c r="CD80" s="38"/>
      <c r="CE80" s="39"/>
      <c r="CF80" s="39"/>
      <c r="CG80" s="38"/>
      <c r="CH80" s="39"/>
      <c r="CI80" s="39"/>
      <c r="CJ80" s="37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</row>
    <row r="81" spans="1:109" ht="29.25" customHeight="1" x14ac:dyDescent="0.2">
      <c r="A81" s="34"/>
      <c r="B81" s="27"/>
      <c r="C81" s="97"/>
      <c r="D81" s="97"/>
      <c r="E81" s="36"/>
      <c r="F81" s="36"/>
      <c r="G81" s="36"/>
      <c r="H81" s="36"/>
      <c r="I81" s="36"/>
      <c r="J81" s="36"/>
      <c r="K81" s="118"/>
      <c r="L81" s="119"/>
      <c r="M81" s="120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40"/>
      <c r="AJ81" s="40"/>
      <c r="AK81" s="40"/>
      <c r="AL81" s="40"/>
      <c r="AM81" s="40"/>
      <c r="AN81" s="40"/>
      <c r="AO81" s="40"/>
      <c r="AP81" s="40"/>
      <c r="AQ81" s="40"/>
      <c r="AR81" s="37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37"/>
      <c r="BO81" s="36"/>
      <c r="BP81" s="36"/>
      <c r="BQ81" s="36"/>
      <c r="BR81" s="36"/>
      <c r="BS81" s="36"/>
      <c r="BT81" s="36"/>
      <c r="BU81" s="38"/>
      <c r="BV81" s="39"/>
      <c r="BW81" s="39"/>
      <c r="BX81" s="38"/>
      <c r="BY81" s="39"/>
      <c r="BZ81" s="39"/>
      <c r="CA81" s="38"/>
      <c r="CB81" s="39"/>
      <c r="CC81" s="39"/>
      <c r="CD81" s="38"/>
      <c r="CE81" s="39"/>
      <c r="CF81" s="39"/>
      <c r="CG81" s="38"/>
      <c r="CH81" s="39"/>
      <c r="CI81" s="39"/>
      <c r="CJ81" s="37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</row>
    <row r="82" spans="1:109" ht="29.25" customHeight="1" x14ac:dyDescent="0.2">
      <c r="A82" s="34"/>
      <c r="B82" s="27"/>
      <c r="C82" s="97"/>
      <c r="D82" s="97"/>
      <c r="E82" s="36"/>
      <c r="F82" s="36"/>
      <c r="G82" s="36"/>
      <c r="H82" s="36"/>
      <c r="I82" s="36"/>
      <c r="J82" s="36"/>
      <c r="K82" s="118"/>
      <c r="L82" s="119"/>
      <c r="M82" s="120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40"/>
      <c r="AJ82" s="40"/>
      <c r="AK82" s="40"/>
      <c r="AL82" s="40"/>
      <c r="AM82" s="40"/>
      <c r="AN82" s="40"/>
      <c r="AO82" s="40"/>
      <c r="AP82" s="40"/>
      <c r="AQ82" s="40"/>
      <c r="AR82" s="37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37"/>
      <c r="BO82" s="36"/>
      <c r="BP82" s="36"/>
      <c r="BQ82" s="36"/>
      <c r="BR82" s="36"/>
      <c r="BS82" s="36"/>
      <c r="BT82" s="36"/>
      <c r="BU82" s="38"/>
      <c r="BV82" s="39"/>
      <c r="BW82" s="39"/>
      <c r="BX82" s="38"/>
      <c r="BY82" s="39"/>
      <c r="BZ82" s="39"/>
      <c r="CA82" s="38"/>
      <c r="CB82" s="39"/>
      <c r="CC82" s="39"/>
      <c r="CD82" s="38"/>
      <c r="CE82" s="39"/>
      <c r="CF82" s="39"/>
      <c r="CG82" s="38"/>
      <c r="CH82" s="39"/>
      <c r="CI82" s="39"/>
      <c r="CJ82" s="37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</row>
    <row r="83" spans="1:109" ht="29.25" customHeight="1" x14ac:dyDescent="0.2">
      <c r="A83" s="34"/>
      <c r="B83" s="27"/>
      <c r="C83" s="97"/>
      <c r="D83" s="97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40"/>
      <c r="AJ83" s="40"/>
      <c r="AK83" s="40"/>
      <c r="AL83" s="40"/>
      <c r="AM83" s="40"/>
      <c r="AN83" s="40"/>
      <c r="AO83" s="40"/>
      <c r="AP83" s="40"/>
      <c r="AQ83" s="40"/>
      <c r="AR83" s="37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37"/>
      <c r="BO83" s="36"/>
      <c r="BP83" s="36"/>
      <c r="BQ83" s="36"/>
      <c r="BR83" s="36"/>
      <c r="BS83" s="36"/>
      <c r="BT83" s="36"/>
      <c r="BU83" s="38"/>
      <c r="BV83" s="39"/>
      <c r="BW83" s="39"/>
      <c r="BX83" s="38"/>
      <c r="BY83" s="39"/>
      <c r="BZ83" s="39"/>
      <c r="CA83" s="38"/>
      <c r="CB83" s="39"/>
      <c r="CC83" s="39"/>
      <c r="CD83" s="38"/>
      <c r="CE83" s="39"/>
      <c r="CF83" s="39"/>
      <c r="CG83" s="38"/>
      <c r="CH83" s="39"/>
      <c r="CI83" s="39"/>
      <c r="CJ83" s="37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</row>
    <row r="84" spans="1:109" ht="29.25" customHeight="1" x14ac:dyDescent="0.2">
      <c r="A84" s="34"/>
      <c r="B84" s="27"/>
      <c r="C84" s="35"/>
      <c r="D84" s="35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40"/>
      <c r="AJ84" s="40"/>
      <c r="AK84" s="40"/>
      <c r="AL84" s="40"/>
      <c r="AM84" s="40"/>
      <c r="AN84" s="40"/>
      <c r="AO84" s="40"/>
      <c r="AP84" s="40"/>
      <c r="AQ84" s="40"/>
      <c r="AR84" s="37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37"/>
      <c r="BO84" s="36"/>
      <c r="BP84" s="36"/>
      <c r="BQ84" s="36"/>
      <c r="BR84" s="36"/>
      <c r="BS84" s="36"/>
      <c r="BT84" s="36"/>
      <c r="BU84" s="38"/>
      <c r="BV84" s="39"/>
      <c r="BW84" s="39"/>
      <c r="BX84" s="38"/>
      <c r="BY84" s="39"/>
      <c r="BZ84" s="39"/>
      <c r="CA84" s="38"/>
      <c r="CB84" s="39"/>
      <c r="CC84" s="39"/>
      <c r="CD84" s="38"/>
      <c r="CE84" s="39"/>
      <c r="CF84" s="39"/>
      <c r="CG84" s="38"/>
      <c r="CH84" s="39"/>
      <c r="CI84" s="39"/>
      <c r="CJ84" s="37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</row>
    <row r="85" spans="1:109" ht="29.25" customHeight="1" x14ac:dyDescent="0.2">
      <c r="A85" s="34"/>
      <c r="B85" s="27"/>
      <c r="C85" s="35"/>
      <c r="D85" s="35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40"/>
      <c r="AJ85" s="40"/>
      <c r="AK85" s="40"/>
      <c r="AL85" s="40"/>
      <c r="AM85" s="40"/>
      <c r="AN85" s="40"/>
      <c r="AO85" s="40"/>
      <c r="AP85" s="40"/>
      <c r="AQ85" s="40"/>
      <c r="AR85" s="37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37"/>
      <c r="BO85" s="36"/>
      <c r="BP85" s="36"/>
      <c r="BQ85" s="36"/>
      <c r="BR85" s="36"/>
      <c r="BS85" s="36"/>
      <c r="BT85" s="36"/>
      <c r="BU85" s="38"/>
      <c r="BV85" s="39"/>
      <c r="BW85" s="39"/>
      <c r="BX85" s="38"/>
      <c r="BY85" s="39"/>
      <c r="BZ85" s="39"/>
      <c r="CA85" s="38"/>
      <c r="CB85" s="39"/>
      <c r="CC85" s="39"/>
      <c r="CD85" s="38"/>
      <c r="CE85" s="39"/>
      <c r="CF85" s="39"/>
      <c r="CG85" s="38"/>
      <c r="CH85" s="39"/>
      <c r="CI85" s="39"/>
      <c r="CJ85" s="37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</row>
    <row r="86" spans="1:109" ht="29.25" customHeight="1" x14ac:dyDescent="0.2">
      <c r="A86" s="34"/>
      <c r="B86" s="27"/>
      <c r="C86" s="35"/>
      <c r="D86" s="35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40"/>
      <c r="AJ86" s="40"/>
      <c r="AK86" s="40"/>
      <c r="AL86" s="40"/>
      <c r="AM86" s="40"/>
      <c r="AN86" s="40"/>
      <c r="AO86" s="40"/>
      <c r="AP86" s="40"/>
      <c r="AQ86" s="40"/>
      <c r="AR86" s="37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37"/>
      <c r="BO86" s="36"/>
      <c r="BP86" s="36"/>
      <c r="BQ86" s="36"/>
      <c r="BR86" s="36"/>
      <c r="BS86" s="36"/>
      <c r="BT86" s="36"/>
      <c r="BU86" s="38"/>
      <c r="BV86" s="39"/>
      <c r="BW86" s="39"/>
      <c r="BX86" s="38"/>
      <c r="BY86" s="39"/>
      <c r="BZ86" s="39"/>
      <c r="CA86" s="38"/>
      <c r="CB86" s="39"/>
      <c r="CC86" s="39"/>
      <c r="CD86" s="38"/>
      <c r="CE86" s="39"/>
      <c r="CF86" s="39"/>
      <c r="CG86" s="38"/>
      <c r="CH86" s="39"/>
      <c r="CI86" s="39"/>
      <c r="CJ86" s="37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</row>
    <row r="87" spans="1:109" ht="38.25" customHeight="1" x14ac:dyDescent="0.2">
      <c r="A87" s="34"/>
      <c r="B87" s="27"/>
      <c r="C87" s="35"/>
      <c r="D87" s="35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40"/>
      <c r="AJ87" s="40"/>
      <c r="AK87" s="40"/>
      <c r="AL87" s="40"/>
      <c r="AM87" s="40"/>
      <c r="AN87" s="40"/>
      <c r="AO87" s="40"/>
      <c r="AP87" s="40"/>
      <c r="AQ87" s="40"/>
      <c r="AR87" s="37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37"/>
      <c r="BO87" s="36"/>
      <c r="BP87" s="36"/>
      <c r="BQ87" s="36"/>
      <c r="BR87" s="36"/>
      <c r="BS87" s="36"/>
      <c r="BT87" s="36"/>
      <c r="BU87" s="38"/>
      <c r="BV87" s="39"/>
      <c r="BW87" s="39"/>
      <c r="BX87" s="38"/>
      <c r="BY87" s="39"/>
      <c r="BZ87" s="39"/>
      <c r="CA87" s="38"/>
      <c r="CB87" s="39"/>
      <c r="CC87" s="39"/>
      <c r="CD87" s="38"/>
      <c r="CE87" s="39"/>
      <c r="CF87" s="39"/>
      <c r="CG87" s="38"/>
      <c r="CH87" s="39"/>
      <c r="CI87" s="39"/>
      <c r="CJ87" s="37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</row>
    <row r="88" spans="1:109" ht="37.5" customHeight="1" x14ac:dyDescent="0.2">
      <c r="A88" s="34"/>
      <c r="B88" s="27"/>
      <c r="C88" s="35"/>
      <c r="D88" s="35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40"/>
      <c r="AJ88" s="40"/>
      <c r="AK88" s="40"/>
      <c r="AL88" s="40"/>
      <c r="AM88" s="40"/>
      <c r="AN88" s="40"/>
      <c r="AO88" s="40"/>
      <c r="AP88" s="40"/>
      <c r="AQ88" s="40"/>
      <c r="AR88" s="37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37"/>
      <c r="BO88" s="36"/>
      <c r="BP88" s="36"/>
      <c r="BQ88" s="36"/>
      <c r="BR88" s="36"/>
      <c r="BS88" s="36"/>
      <c r="BT88" s="36"/>
      <c r="BU88" s="38"/>
      <c r="BV88" s="39"/>
      <c r="BW88" s="39"/>
      <c r="BX88" s="38"/>
      <c r="BY88" s="39"/>
      <c r="BZ88" s="39"/>
      <c r="CA88" s="38"/>
      <c r="CB88" s="39"/>
      <c r="CC88" s="39"/>
      <c r="CD88" s="38"/>
      <c r="CE88" s="39"/>
      <c r="CF88" s="39"/>
      <c r="CG88" s="38"/>
      <c r="CH88" s="39"/>
      <c r="CI88" s="39"/>
      <c r="CJ88" s="37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</row>
    <row r="89" spans="1:109" ht="37.5" customHeight="1" x14ac:dyDescent="0.2">
      <c r="A89" s="34"/>
      <c r="B89" s="27"/>
      <c r="C89" s="35"/>
      <c r="D89" s="35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40"/>
      <c r="AJ89" s="40"/>
      <c r="AK89" s="40"/>
      <c r="AL89" s="40"/>
      <c r="AM89" s="40"/>
      <c r="AN89" s="40"/>
      <c r="AO89" s="40"/>
      <c r="AP89" s="40"/>
      <c r="AQ89" s="40"/>
      <c r="AR89" s="37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37"/>
      <c r="BO89" s="36"/>
      <c r="BP89" s="36"/>
      <c r="BQ89" s="36"/>
      <c r="BR89" s="36"/>
      <c r="BS89" s="36"/>
      <c r="BT89" s="36"/>
      <c r="BU89" s="38"/>
      <c r="BV89" s="39"/>
      <c r="BW89" s="39"/>
      <c r="BX89" s="38"/>
      <c r="BY89" s="39"/>
      <c r="BZ89" s="39"/>
      <c r="CA89" s="38"/>
      <c r="CB89" s="39"/>
      <c r="CC89" s="39"/>
      <c r="CD89" s="38"/>
      <c r="CE89" s="39"/>
      <c r="CF89" s="39"/>
      <c r="CG89" s="38"/>
      <c r="CH89" s="39"/>
      <c r="CI89" s="39"/>
      <c r="CJ89" s="37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</row>
    <row r="90" spans="1:109" ht="37.5" customHeight="1" x14ac:dyDescent="0.2">
      <c r="A90" s="34"/>
      <c r="B90" s="27"/>
      <c r="C90" s="35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40"/>
      <c r="AJ90" s="40"/>
      <c r="AK90" s="40"/>
      <c r="AL90" s="40"/>
      <c r="AM90" s="40"/>
      <c r="AN90" s="40"/>
      <c r="AO90" s="40"/>
      <c r="AP90" s="40"/>
      <c r="AQ90" s="40"/>
      <c r="AR90" s="37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37"/>
      <c r="BO90" s="36"/>
      <c r="BP90" s="36"/>
      <c r="BQ90" s="36"/>
      <c r="BR90" s="36"/>
      <c r="BS90" s="36"/>
      <c r="BT90" s="36"/>
      <c r="BU90" s="38"/>
      <c r="BV90" s="39"/>
      <c r="BW90" s="39"/>
      <c r="BX90" s="38"/>
      <c r="BY90" s="39"/>
      <c r="BZ90" s="39"/>
      <c r="CA90" s="38"/>
      <c r="CB90" s="39"/>
      <c r="CC90" s="39"/>
      <c r="CD90" s="38"/>
      <c r="CE90" s="39"/>
      <c r="CF90" s="39"/>
      <c r="CG90" s="38"/>
      <c r="CH90" s="39"/>
      <c r="CI90" s="39"/>
      <c r="CJ90" s="37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</row>
    <row r="91" spans="1:109" ht="37.5" customHeight="1" x14ac:dyDescent="0.2">
      <c r="A91" s="34"/>
      <c r="B91" s="27"/>
      <c r="C91" s="35"/>
      <c r="D91" s="35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40"/>
      <c r="AJ91" s="40"/>
      <c r="AK91" s="40"/>
      <c r="AL91" s="40"/>
      <c r="AM91" s="40"/>
      <c r="AN91" s="40"/>
      <c r="AO91" s="40"/>
      <c r="AP91" s="40"/>
      <c r="AQ91" s="40"/>
      <c r="AR91" s="37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37"/>
      <c r="BO91" s="36"/>
      <c r="BP91" s="36"/>
      <c r="BQ91" s="36"/>
      <c r="BR91" s="36"/>
      <c r="BS91" s="36"/>
      <c r="BT91" s="36"/>
      <c r="BU91" s="38"/>
      <c r="BV91" s="39"/>
      <c r="BW91" s="39"/>
      <c r="BX91" s="38"/>
      <c r="BY91" s="39"/>
      <c r="BZ91" s="39"/>
      <c r="CA91" s="38"/>
      <c r="CB91" s="39"/>
      <c r="CC91" s="39"/>
      <c r="CD91" s="38"/>
      <c r="CE91" s="39"/>
      <c r="CF91" s="39"/>
      <c r="CG91" s="38"/>
      <c r="CH91" s="39"/>
      <c r="CI91" s="39"/>
      <c r="CJ91" s="37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</row>
    <row r="92" spans="1:109" ht="37.5" customHeight="1" x14ac:dyDescent="0.2">
      <c r="A92" s="34"/>
      <c r="B92" s="27"/>
      <c r="C92" s="35"/>
      <c r="D92" s="35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40"/>
      <c r="AJ92" s="40"/>
      <c r="AK92" s="40"/>
      <c r="AL92" s="40"/>
      <c r="AM92" s="40"/>
      <c r="AN92" s="40"/>
      <c r="AO92" s="40"/>
      <c r="AP92" s="40"/>
      <c r="AQ92" s="40"/>
      <c r="AR92" s="37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37"/>
      <c r="BO92" s="36"/>
      <c r="BP92" s="36"/>
      <c r="BQ92" s="36"/>
      <c r="BR92" s="36"/>
      <c r="BS92" s="36"/>
      <c r="BT92" s="36"/>
      <c r="BU92" s="38"/>
      <c r="BV92" s="39"/>
      <c r="BW92" s="39"/>
      <c r="BX92" s="38"/>
      <c r="BY92" s="39"/>
      <c r="BZ92" s="39"/>
      <c r="CA92" s="38"/>
      <c r="CB92" s="39"/>
      <c r="CC92" s="39"/>
      <c r="CD92" s="38"/>
      <c r="CE92" s="39"/>
      <c r="CF92" s="39"/>
      <c r="CG92" s="38"/>
      <c r="CH92" s="39"/>
      <c r="CI92" s="39"/>
      <c r="CJ92" s="37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</row>
    <row r="93" spans="1:109" x14ac:dyDescent="0.2">
      <c r="BO93" s="16"/>
      <c r="BP93" s="16"/>
      <c r="BQ93" s="16"/>
      <c r="BR93" s="16"/>
      <c r="BS93" s="16"/>
      <c r="BT93" s="16"/>
    </row>
    <row r="94" spans="1:109" x14ac:dyDescent="0.2">
      <c r="BO94" s="16"/>
      <c r="BP94" s="16"/>
      <c r="BQ94" s="16"/>
      <c r="BR94" s="16"/>
      <c r="BS94" s="16"/>
      <c r="BT94" s="16"/>
    </row>
    <row r="95" spans="1:109" x14ac:dyDescent="0.2">
      <c r="BO95" s="16"/>
      <c r="BP95" s="16"/>
      <c r="BQ95" s="16"/>
      <c r="BR95" s="16"/>
      <c r="BS95" s="16"/>
      <c r="BT95" s="16"/>
    </row>
  </sheetData>
  <mergeCells count="46">
    <mergeCell ref="CA8:CC8"/>
    <mergeCell ref="CK8:CM8"/>
    <mergeCell ref="CT8:CV8"/>
    <mergeCell ref="AS8:AU8"/>
    <mergeCell ref="BB8:BD8"/>
    <mergeCell ref="BK8:BM8"/>
    <mergeCell ref="BX8:BZ8"/>
    <mergeCell ref="AY8:BA8"/>
    <mergeCell ref="BE8:BG8"/>
    <mergeCell ref="BU8:BW8"/>
    <mergeCell ref="BO8:BQ8"/>
    <mergeCell ref="BH8:BJ8"/>
    <mergeCell ref="BR8:BT8"/>
    <mergeCell ref="AV8:AX8"/>
    <mergeCell ref="DC8:DE8"/>
    <mergeCell ref="CD8:CF8"/>
    <mergeCell ref="CN8:CP8"/>
    <mergeCell ref="CZ8:DB8"/>
    <mergeCell ref="CG8:CI8"/>
    <mergeCell ref="CQ8:CS8"/>
    <mergeCell ref="CW8:CY8"/>
    <mergeCell ref="AI8:AQ8"/>
    <mergeCell ref="W8:Y8"/>
    <mergeCell ref="F1:W1"/>
    <mergeCell ref="K8:M8"/>
    <mergeCell ref="Q8:S8"/>
    <mergeCell ref="H8:J8"/>
    <mergeCell ref="N8:P8"/>
    <mergeCell ref="T8:V8"/>
    <mergeCell ref="A8:A9"/>
    <mergeCell ref="B8:B9"/>
    <mergeCell ref="C8:C9"/>
    <mergeCell ref="D8:D9"/>
    <mergeCell ref="E8:G8"/>
    <mergeCell ref="K82:M82"/>
    <mergeCell ref="K78:M78"/>
    <mergeCell ref="K76:M76"/>
    <mergeCell ref="K72:M72"/>
    <mergeCell ref="W72:Y72"/>
    <mergeCell ref="K74:M74"/>
    <mergeCell ref="W74:Y74"/>
    <mergeCell ref="K75:M75"/>
    <mergeCell ref="W75:Y75"/>
    <mergeCell ref="K77:M77"/>
    <mergeCell ref="K80:M80"/>
    <mergeCell ref="K81:M81"/>
  </mergeCells>
  <phoneticPr fontId="0" type="noConversion"/>
  <pageMargins left="0.55118110236220474" right="0.19685039370078741" top="0.47244094488188981" bottom="0.27559055118110237" header="0" footer="0"/>
  <pageSetup paperSize="9" scale="24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Z95"/>
  <sheetViews>
    <sheetView zoomScale="70" zoomScaleNormal="70" workbookViewId="0">
      <pane ySplit="9" topLeftCell="A19" activePane="bottomLeft" state="frozenSplit"/>
      <selection activeCell="C7" sqref="C7"/>
      <selection pane="bottomLeft" activeCell="A29" sqref="A29:XFD29"/>
    </sheetView>
  </sheetViews>
  <sheetFormatPr baseColWidth="10" defaultColWidth="11.42578125" defaultRowHeight="12.75" x14ac:dyDescent="0.2"/>
  <cols>
    <col min="1" max="1" width="7.140625" style="2" customWidth="1"/>
    <col min="2" max="2" width="10.42578125" style="17" bestFit="1" customWidth="1"/>
    <col min="3" max="13" width="8.42578125" style="2" customWidth="1"/>
    <col min="14" max="14" width="9.85546875" style="2" bestFit="1" customWidth="1"/>
    <col min="15" max="16" width="8.42578125" style="2" customWidth="1"/>
    <col min="17" max="17" width="7.140625" style="2" customWidth="1"/>
    <col min="18" max="26" width="8.42578125" style="11" customWidth="1"/>
    <col min="27" max="16384" width="11.42578125" style="2"/>
  </cols>
  <sheetData>
    <row r="1" spans="1:26" ht="15.75" x14ac:dyDescent="0.2">
      <c r="U1" s="138" t="s">
        <v>9</v>
      </c>
      <c r="V1" s="138"/>
      <c r="W1" s="138"/>
      <c r="X1" s="138"/>
      <c r="Y1" s="138"/>
      <c r="Z1" s="138"/>
    </row>
    <row r="2" spans="1:26" ht="15.75" x14ac:dyDescent="0.2">
      <c r="U2" s="138" t="s">
        <v>53</v>
      </c>
      <c r="V2" s="138"/>
      <c r="W2" s="138"/>
      <c r="X2" s="138"/>
      <c r="Y2" s="138"/>
      <c r="Z2" s="138"/>
    </row>
    <row r="3" spans="1:26" ht="15" customHeight="1" x14ac:dyDescent="0.2">
      <c r="U3" s="9"/>
      <c r="V3" s="9"/>
      <c r="W3" s="9"/>
      <c r="X3" s="9"/>
      <c r="Y3" s="9"/>
    </row>
    <row r="4" spans="1:26" ht="15" customHeight="1" x14ac:dyDescent="0.2">
      <c r="J4" s="25"/>
      <c r="K4" s="25"/>
      <c r="L4" s="25"/>
      <c r="M4" s="25"/>
      <c r="N4" s="25"/>
      <c r="O4" s="25"/>
      <c r="U4" s="26"/>
      <c r="V4" s="26"/>
      <c r="W4" s="26"/>
      <c r="X4" s="26"/>
      <c r="Y4" s="26"/>
      <c r="Z4" s="26"/>
    </row>
    <row r="5" spans="1:26" ht="20.25" x14ac:dyDescent="0.2">
      <c r="A5" s="139" t="s">
        <v>89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 spans="1:26" ht="15" customHeight="1" x14ac:dyDescent="0.2">
      <c r="J6" s="25"/>
      <c r="K6" s="25"/>
      <c r="L6" s="25"/>
      <c r="M6" s="25"/>
      <c r="N6" s="25"/>
      <c r="O6" s="25"/>
      <c r="U6" s="26"/>
      <c r="V6" s="26"/>
      <c r="W6" s="26"/>
      <c r="X6" s="26"/>
      <c r="Y6" s="26"/>
      <c r="Z6" s="26"/>
    </row>
    <row r="7" spans="1:26" ht="15" customHeight="1" thickBot="1" x14ac:dyDescent="0.25">
      <c r="J7" s="25"/>
      <c r="K7" s="25"/>
      <c r="L7" s="25"/>
      <c r="M7" s="25"/>
      <c r="N7" s="25"/>
      <c r="O7" s="25"/>
      <c r="U7" s="26"/>
      <c r="V7" s="26"/>
      <c r="W7" s="26"/>
      <c r="X7" s="26"/>
      <c r="Y7" s="26"/>
      <c r="Z7" s="26"/>
    </row>
    <row r="8" spans="1:26" ht="16.5" thickBot="1" x14ac:dyDescent="0.25">
      <c r="A8" s="8"/>
      <c r="B8" s="18"/>
      <c r="C8" s="19"/>
      <c r="D8" s="135" t="s">
        <v>48</v>
      </c>
      <c r="E8" s="136"/>
      <c r="F8" s="136"/>
      <c r="G8" s="136"/>
      <c r="H8" s="136"/>
      <c r="I8" s="136"/>
      <c r="J8" s="136"/>
      <c r="K8" s="136"/>
      <c r="L8" s="137"/>
      <c r="M8" s="6"/>
      <c r="R8" s="135" t="s">
        <v>49</v>
      </c>
      <c r="S8" s="136"/>
      <c r="T8" s="136"/>
      <c r="U8" s="136"/>
      <c r="V8" s="136"/>
      <c r="W8" s="136"/>
      <c r="X8" s="136"/>
      <c r="Y8" s="136"/>
      <c r="Z8" s="137"/>
    </row>
    <row r="9" spans="1:26" ht="35.25" customHeight="1" x14ac:dyDescent="0.2">
      <c r="A9" s="49" t="s">
        <v>10</v>
      </c>
      <c r="B9" s="54" t="s">
        <v>11</v>
      </c>
      <c r="C9" s="49" t="s">
        <v>42</v>
      </c>
      <c r="D9" s="53" t="s">
        <v>15</v>
      </c>
      <c r="E9" s="59" t="s">
        <v>50</v>
      </c>
      <c r="F9" s="53" t="s">
        <v>18</v>
      </c>
      <c r="G9" s="53" t="s">
        <v>19</v>
      </c>
      <c r="H9" s="59" t="s">
        <v>51</v>
      </c>
      <c r="I9" s="53" t="s">
        <v>16</v>
      </c>
      <c r="J9" s="53" t="s">
        <v>20</v>
      </c>
      <c r="K9" s="59" t="s">
        <v>52</v>
      </c>
      <c r="L9" s="53" t="s">
        <v>17</v>
      </c>
      <c r="R9" s="53" t="s">
        <v>15</v>
      </c>
      <c r="S9" s="59" t="s">
        <v>50</v>
      </c>
      <c r="T9" s="53" t="s">
        <v>18</v>
      </c>
      <c r="U9" s="53" t="s">
        <v>19</v>
      </c>
      <c r="V9" s="59" t="s">
        <v>51</v>
      </c>
      <c r="W9" s="53" t="s">
        <v>16</v>
      </c>
      <c r="X9" s="53" t="s">
        <v>20</v>
      </c>
      <c r="Y9" s="59" t="s">
        <v>52</v>
      </c>
      <c r="Z9" s="53" t="s">
        <v>17</v>
      </c>
    </row>
    <row r="10" spans="1:26" ht="20.100000000000001" customHeight="1" x14ac:dyDescent="0.2">
      <c r="A10" s="50">
        <f t="shared" ref="A10:A28" si="0">jours</f>
        <v>0</v>
      </c>
      <c r="B10" s="51">
        <f t="shared" ref="B10:B28" si="1">date</f>
        <v>44140</v>
      </c>
      <c r="C10" s="52">
        <f>'Résultats observations'!C10</f>
        <v>222.9</v>
      </c>
      <c r="D10" s="47">
        <f t="shared" ref="D10:D28" si="2">Ecart_BG</f>
        <v>0</v>
      </c>
      <c r="E10" s="47">
        <f t="shared" ref="E10:E28" si="3">Ecart_IG</f>
        <v>0</v>
      </c>
      <c r="F10" s="47">
        <f t="shared" ref="F10:F28" si="4">Ecart_HG</f>
        <v>0</v>
      </c>
      <c r="G10" s="47">
        <f t="shared" ref="G10:G28" si="5">Ecart_HD</f>
        <v>0</v>
      </c>
      <c r="H10" s="47">
        <f t="shared" ref="H10:H28" si="6">Ecart_ID</f>
        <v>0</v>
      </c>
      <c r="I10" s="47">
        <f t="shared" ref="I10:I11" si="7">Ecart_BD</f>
        <v>0</v>
      </c>
      <c r="J10" s="47">
        <f t="shared" ref="J10:J28" si="8">Ecart_LH</f>
        <v>0</v>
      </c>
      <c r="K10" s="47">
        <f t="shared" ref="K10:K28" si="9">Ecart_LI</f>
        <v>0</v>
      </c>
      <c r="L10" s="47">
        <f t="shared" ref="L10:L11" si="10">Ecart_LB</f>
        <v>0</v>
      </c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20.100000000000001" customHeight="1" x14ac:dyDescent="0.2">
      <c r="A11" s="50">
        <f t="shared" si="0"/>
        <v>32</v>
      </c>
      <c r="B11" s="51">
        <f t="shared" si="1"/>
        <v>44172</v>
      </c>
      <c r="C11" s="52">
        <f>'Résultats observations'!C11</f>
        <v>222.9</v>
      </c>
      <c r="D11" s="47">
        <f t="shared" si="2"/>
        <v>-0.6875872031413266</v>
      </c>
      <c r="E11" s="47">
        <f t="shared" si="3"/>
        <v>-0.72642607564787909</v>
      </c>
      <c r="F11" s="47">
        <f t="shared" si="4"/>
        <v>4.1681278331484606E-2</v>
      </c>
      <c r="G11" s="47">
        <f t="shared" si="5"/>
        <v>-0.35378593813106818</v>
      </c>
      <c r="H11" s="47">
        <f t="shared" si="6"/>
        <v>-0.3820946881916143</v>
      </c>
      <c r="I11" s="47">
        <f t="shared" si="7"/>
        <v>-0.55032499542306823</v>
      </c>
      <c r="J11" s="47">
        <f t="shared" si="8"/>
        <v>-0.55548392372450905</v>
      </c>
      <c r="K11" s="47">
        <f t="shared" si="9"/>
        <v>-1.1694788974576653</v>
      </c>
      <c r="L11" s="47">
        <f t="shared" si="10"/>
        <v>-1.06094571839499</v>
      </c>
      <c r="R11" s="47">
        <f t="shared" ref="R11:S12" si="11">IF(AND(D11&lt;&gt;"",D10&lt;&gt;""),(D11-D10)/($B11-$B10),"")</f>
        <v>-2.1487100098166456E-2</v>
      </c>
      <c r="S11" s="47">
        <f t="shared" si="11"/>
        <v>-2.2700814863996222E-2</v>
      </c>
      <c r="T11" s="47">
        <f t="shared" ref="T11:Z13" si="12">IF(AND(F11&lt;&gt;"",F10&lt;&gt;""),(F11-F10)/($B11-$B10),"")</f>
        <v>1.3025399478588939E-3</v>
      </c>
      <c r="U11" s="47">
        <f t="shared" si="12"/>
        <v>-1.1055810566595881E-2</v>
      </c>
      <c r="V11" s="47">
        <f t="shared" si="12"/>
        <v>-1.1940459005987947E-2</v>
      </c>
      <c r="W11" s="47">
        <f t="shared" si="12"/>
        <v>-1.7197656106970882E-2</v>
      </c>
      <c r="X11" s="47">
        <f t="shared" si="12"/>
        <v>-1.7358872616390908E-2</v>
      </c>
      <c r="Y11" s="47">
        <f t="shared" si="12"/>
        <v>-3.6546215545552041E-2</v>
      </c>
      <c r="Z11" s="47">
        <f t="shared" si="12"/>
        <v>-3.3154553699843436E-2</v>
      </c>
    </row>
    <row r="12" spans="1:26" ht="20.100000000000001" customHeight="1" x14ac:dyDescent="0.2">
      <c r="A12" s="50">
        <f t="shared" si="0"/>
        <v>89</v>
      </c>
      <c r="B12" s="51">
        <f t="shared" si="1"/>
        <v>44229</v>
      </c>
      <c r="C12" s="52">
        <f>'Résultats observations'!C12</f>
        <v>222.9</v>
      </c>
      <c r="D12" s="47">
        <f t="shared" si="2"/>
        <v>0.42333119131221508</v>
      </c>
      <c r="E12" s="47">
        <f t="shared" si="3"/>
        <v>0.22597955551884041</v>
      </c>
      <c r="F12" s="47">
        <f t="shared" si="4"/>
        <v>1.0893534299838414</v>
      </c>
      <c r="G12" s="47">
        <f t="shared" si="5"/>
        <v>0.48850446751114163</v>
      </c>
      <c r="H12" s="47">
        <f t="shared" si="6"/>
        <v>-0.77968190521016112</v>
      </c>
      <c r="I12" s="47"/>
      <c r="J12" s="47">
        <f t="shared" si="8"/>
        <v>1.8941284287006255</v>
      </c>
      <c r="K12" s="47">
        <f t="shared" si="9"/>
        <v>0.55717373936303716</v>
      </c>
      <c r="L12" s="47"/>
      <c r="R12" s="47">
        <f t="shared" si="11"/>
        <v>1.9489796393921784E-2</v>
      </c>
      <c r="S12" s="47">
        <f t="shared" si="11"/>
        <v>1.670887072222315E-2</v>
      </c>
      <c r="T12" s="47">
        <f t="shared" ref="T12" si="13">IF(AND(F12&lt;&gt;"",F11&lt;&gt;""),(F12-F11)/($B12-$B11),"")</f>
        <v>1.8380213186883453E-2</v>
      </c>
      <c r="U12" s="47">
        <f t="shared" ref="U12" si="14">IF(AND(G12&lt;&gt;"",G11&lt;&gt;""),(G12-G11)/($B12-$B11),"")</f>
        <v>1.4777024660389645E-2</v>
      </c>
      <c r="V12" s="47">
        <f t="shared" ref="V12" si="15">IF(AND(H12&lt;&gt;"",H11&lt;&gt;""),(H12-H11)/($B12-$B11),"")</f>
        <v>-6.9752143336587165E-3</v>
      </c>
      <c r="W12" s="47" t="str">
        <f t="shared" ref="W12" si="16">IF(AND(I12&lt;&gt;"",I11&lt;&gt;""),(I12-I11)/($B12-$B11),"")</f>
        <v/>
      </c>
      <c r="X12" s="47">
        <f t="shared" ref="X12" si="17">IF(AND(J12&lt;&gt;"",J11&lt;&gt;""),(J12-J11)/($B12-$B11),"")</f>
        <v>4.2975655305704116E-2</v>
      </c>
      <c r="Y12" s="47">
        <f t="shared" ref="Y12" si="18">IF(AND(K12&lt;&gt;"",K11&lt;&gt;""),(K12-K11)/($B12-$B11),"")</f>
        <v>3.0292151523170219E-2</v>
      </c>
      <c r="Z12" s="47" t="str">
        <f t="shared" ref="Z12" si="19">IF(AND(L12&lt;&gt;"",L11&lt;&gt;""),(L12-L11)/($B12-$B11),"")</f>
        <v/>
      </c>
    </row>
    <row r="13" spans="1:26" ht="20.100000000000001" customHeight="1" x14ac:dyDescent="0.2">
      <c r="A13" s="50">
        <f t="shared" si="0"/>
        <v>133</v>
      </c>
      <c r="B13" s="51">
        <f t="shared" si="1"/>
        <v>44273</v>
      </c>
      <c r="C13" s="52">
        <f>'Résultats observations'!C13</f>
        <v>222.9</v>
      </c>
      <c r="D13" s="47">
        <f t="shared" si="2"/>
        <v>-2.184340223051251</v>
      </c>
      <c r="E13" s="47">
        <f t="shared" si="3"/>
        <v>-2.5100065936678462</v>
      </c>
      <c r="F13" s="47">
        <f t="shared" si="4"/>
        <v>-1.4079958640813572</v>
      </c>
      <c r="G13" s="47">
        <f t="shared" si="5"/>
        <v>-0.56562303334217745</v>
      </c>
      <c r="H13" s="47">
        <f t="shared" si="6"/>
        <v>-1.9393078079170678</v>
      </c>
      <c r="I13" s="47"/>
      <c r="J13" s="47">
        <f t="shared" si="8"/>
        <v>-0.90973008514616538</v>
      </c>
      <c r="K13" s="47">
        <f t="shared" si="9"/>
        <v>-1.8359358082893351</v>
      </c>
      <c r="L13" s="47"/>
      <c r="R13" s="47">
        <f t="shared" ref="R13" si="20">IF(AND(D13&lt;&gt;"",D12&lt;&gt;""),(D13-D12)/($B13-$B12),"")</f>
        <v>-5.9265259417351501E-2</v>
      </c>
      <c r="S13" s="47">
        <f t="shared" ref="S13" si="21">IF(AND(E13&lt;&gt;"",E12&lt;&gt;""),(E13-E12)/($B13-$B12),"")</f>
        <v>-6.2181503390606511E-2</v>
      </c>
      <c r="T13" s="47">
        <f t="shared" ref="T13" si="22">IF(AND(F13&lt;&gt;"",F12&lt;&gt;""),(F13-F12)/($B13-$B12),"")</f>
        <v>-5.6757938501481787E-2</v>
      </c>
      <c r="U13" s="47">
        <f t="shared" ref="U13" si="23">IF(AND(G13&lt;&gt;"",G12&lt;&gt;""),(G13-G12)/($B13-$B12),"")</f>
        <v>-2.3957443201211796E-2</v>
      </c>
      <c r="V13" s="47">
        <f t="shared" ref="V13" si="24">IF(AND(H13&lt;&gt;"",H12&lt;&gt;""),(H13-H12)/($B13-$B12),"")</f>
        <v>-2.6355134152429696E-2</v>
      </c>
      <c r="W13" s="47" t="str">
        <f t="shared" si="12"/>
        <v/>
      </c>
      <c r="X13" s="47">
        <f t="shared" ref="X13" si="25">IF(AND(J13&lt;&gt;"",J12&lt;&gt;""),(J13-J12)/($B13-$B12),"")</f>
        <v>-6.3724057132881609E-2</v>
      </c>
      <c r="Y13" s="47">
        <f t="shared" ref="Y13" si="26">IF(AND(K13&lt;&gt;"",K12&lt;&gt;""),(K13-K12)/($B13-$B12),"")</f>
        <v>-5.4388853355735733E-2</v>
      </c>
      <c r="Z13" s="47" t="str">
        <f t="shared" si="12"/>
        <v/>
      </c>
    </row>
    <row r="14" spans="1:26" ht="20.100000000000001" customHeight="1" x14ac:dyDescent="0.2">
      <c r="A14" s="50">
        <f t="shared" si="0"/>
        <v>147</v>
      </c>
      <c r="B14" s="51">
        <f t="shared" si="1"/>
        <v>44287</v>
      </c>
      <c r="C14" s="52">
        <f>'Résultats observations'!C14</f>
        <v>222.9</v>
      </c>
      <c r="D14" s="47">
        <f t="shared" si="2"/>
        <v>0</v>
      </c>
      <c r="E14" s="47">
        <f t="shared" si="3"/>
        <v>-2.0407230849288638</v>
      </c>
      <c r="F14" s="47">
        <f t="shared" si="4"/>
        <v>-0.78939336789174419</v>
      </c>
      <c r="G14" s="47">
        <f t="shared" si="5"/>
        <v>-0.86710373524567785</v>
      </c>
      <c r="H14" s="47">
        <f t="shared" si="6"/>
        <v>-3.2930889299391808</v>
      </c>
      <c r="I14" s="47"/>
      <c r="J14" s="47">
        <f t="shared" si="8"/>
        <v>2.0116984105200686E-2</v>
      </c>
      <c r="K14" s="47">
        <f t="shared" si="9"/>
        <v>-2.3777923393044631</v>
      </c>
      <c r="L14" s="47"/>
      <c r="R14" s="47">
        <f t="shared" ref="R14:R19" si="27">IF(AND(D14&lt;&gt;"",D13&lt;&gt;""),(D14-D13)/($B14-$B13),"")</f>
        <v>0.15602430164651793</v>
      </c>
      <c r="S14" s="47">
        <f t="shared" ref="S14:S19" si="28">IF(AND(E14&lt;&gt;"",E13&lt;&gt;""),(E14-E13)/($B14-$B13),"")</f>
        <v>3.352025062421303E-2</v>
      </c>
      <c r="T14" s="47">
        <f t="shared" ref="T14:T19" si="29">IF(AND(F14&lt;&gt;"",F13&lt;&gt;""),(F14-F13)/($B14-$B13),"")</f>
        <v>4.418589258497236E-2</v>
      </c>
      <c r="U14" s="47">
        <f t="shared" ref="U14:U19" si="30">IF(AND(G14&lt;&gt;"",G13&lt;&gt;""),(G14-G13)/($B14-$B13),"")</f>
        <v>-2.1534335850250028E-2</v>
      </c>
      <c r="V14" s="47">
        <f t="shared" ref="V14:V19" si="31">IF(AND(H14&lt;&gt;"",H13&lt;&gt;""),(H14-H13)/($B14-$B13),"")</f>
        <v>-9.6698651573008068E-2</v>
      </c>
      <c r="W14" s="47" t="str">
        <f t="shared" ref="W14:W19" si="32">IF(AND(I14&lt;&gt;"",I13&lt;&gt;""),(I14-I13)/($B14-$B13),"")</f>
        <v/>
      </c>
      <c r="X14" s="47">
        <f t="shared" ref="X14:X19" si="33">IF(AND(J14&lt;&gt;"",J13&lt;&gt;""),(J14-J13)/($B14-$B13),"")</f>
        <v>6.6417647803669003E-2</v>
      </c>
      <c r="Y14" s="47">
        <f t="shared" ref="Y14:Y19" si="34">IF(AND(K14&lt;&gt;"",K13&lt;&gt;""),(K14-K13)/($B14-$B13),"")</f>
        <v>-3.8704037929651998E-2</v>
      </c>
      <c r="Z14" s="47" t="str">
        <f t="shared" ref="Z14:Z19" si="35">IF(AND(L14&lt;&gt;"",L13&lt;&gt;""),(L14-L13)/($B14-$B13),"")</f>
        <v/>
      </c>
    </row>
    <row r="15" spans="1:26" ht="20.100000000000001" customHeight="1" x14ac:dyDescent="0.2">
      <c r="A15" s="50">
        <f t="shared" si="0"/>
        <v>168</v>
      </c>
      <c r="B15" s="51">
        <f t="shared" si="1"/>
        <v>44308</v>
      </c>
      <c r="C15" s="52">
        <f>'Résultats observations'!C15</f>
        <v>222.9</v>
      </c>
      <c r="D15" s="47">
        <f t="shared" si="2"/>
        <v>-1.9050164942866488</v>
      </c>
      <c r="E15" s="47">
        <f t="shared" si="3"/>
        <v>-1.6601529675330795</v>
      </c>
      <c r="F15" s="47">
        <f t="shared" si="4"/>
        <v>-0.67844615432388622</v>
      </c>
      <c r="G15" s="47">
        <f t="shared" si="5"/>
        <v>-0.47043836895843683</v>
      </c>
      <c r="H15" s="47">
        <f t="shared" si="6"/>
        <v>-1.9426492134719808</v>
      </c>
      <c r="I15" s="47"/>
      <c r="J15" s="47">
        <f t="shared" si="8"/>
        <v>0.32121961776976349</v>
      </c>
      <c r="K15" s="47">
        <f t="shared" si="9"/>
        <v>-0.5082815523973494</v>
      </c>
      <c r="L15" s="47"/>
      <c r="R15" s="47">
        <f t="shared" si="27"/>
        <v>-9.0715071156507079E-2</v>
      </c>
      <c r="S15" s="47">
        <f t="shared" si="28"/>
        <v>1.8122386542656393E-2</v>
      </c>
      <c r="T15" s="47">
        <f t="shared" si="29"/>
        <v>5.2832006460884744E-3</v>
      </c>
      <c r="U15" s="47">
        <f t="shared" si="30"/>
        <v>1.8888826966059098E-2</v>
      </c>
      <c r="V15" s="47">
        <f t="shared" si="31"/>
        <v>6.4306653165104755E-2</v>
      </c>
      <c r="W15" s="47" t="str">
        <f t="shared" si="32"/>
        <v/>
      </c>
      <c r="X15" s="47">
        <f t="shared" si="33"/>
        <v>1.4338220650693467E-2</v>
      </c>
      <c r="Y15" s="47">
        <f t="shared" si="34"/>
        <v>8.9024323186053037E-2</v>
      </c>
      <c r="Z15" s="47" t="str">
        <f t="shared" si="35"/>
        <v/>
      </c>
    </row>
    <row r="16" spans="1:26" ht="20.100000000000001" customHeight="1" x14ac:dyDescent="0.2">
      <c r="A16" s="50">
        <f t="shared" si="0"/>
        <v>182</v>
      </c>
      <c r="B16" s="51">
        <f t="shared" si="1"/>
        <v>44322</v>
      </c>
      <c r="C16" s="52">
        <f>'Résultats observations'!C16</f>
        <v>222.9</v>
      </c>
      <c r="D16" s="47">
        <f t="shared" si="2"/>
        <v>0</v>
      </c>
      <c r="E16" s="47">
        <f t="shared" si="3"/>
        <v>-1.3640502958294221</v>
      </c>
      <c r="F16" s="47">
        <f t="shared" si="4"/>
        <v>-0.55575293142950954</v>
      </c>
      <c r="G16" s="47">
        <f t="shared" si="5"/>
        <v>-0.53795492855712723</v>
      </c>
      <c r="H16" s="47">
        <f t="shared" si="6"/>
        <v>-2.0570619131872192</v>
      </c>
      <c r="I16" s="47"/>
      <c r="J16" s="47">
        <f t="shared" si="8"/>
        <v>0.21355272861622865</v>
      </c>
      <c r="K16" s="47">
        <f t="shared" si="9"/>
        <v>-0.43106674885962093</v>
      </c>
      <c r="L16" s="47"/>
      <c r="R16" s="47">
        <f t="shared" si="27"/>
        <v>0.13607260673476063</v>
      </c>
      <c r="S16" s="47">
        <f t="shared" si="28"/>
        <v>2.1150190835975531E-2</v>
      </c>
      <c r="T16" s="47">
        <f t="shared" si="29"/>
        <v>8.7638016353126201E-3</v>
      </c>
      <c r="U16" s="47">
        <f t="shared" si="30"/>
        <v>-4.8226113999064579E-3</v>
      </c>
      <c r="V16" s="47">
        <f t="shared" si="31"/>
        <v>-8.1723356939455982E-3</v>
      </c>
      <c r="W16" s="47" t="str">
        <f t="shared" si="32"/>
        <v/>
      </c>
      <c r="X16" s="47">
        <f t="shared" si="33"/>
        <v>-7.6904920823953459E-3</v>
      </c>
      <c r="Y16" s="47">
        <f t="shared" si="34"/>
        <v>5.5153431098377481E-3</v>
      </c>
      <c r="Z16" s="47" t="str">
        <f t="shared" si="35"/>
        <v/>
      </c>
    </row>
    <row r="17" spans="1:26" ht="20.100000000000001" customHeight="1" x14ac:dyDescent="0.2">
      <c r="A17" s="50">
        <f t="shared" si="0"/>
        <v>197</v>
      </c>
      <c r="B17" s="51">
        <f t="shared" si="1"/>
        <v>44337</v>
      </c>
      <c r="C17" s="52">
        <f>'Résultats observations'!C17</f>
        <v>222.9</v>
      </c>
      <c r="D17" s="47">
        <f t="shared" si="2"/>
        <v>0</v>
      </c>
      <c r="E17" s="47">
        <f t="shared" si="3"/>
        <v>-1.921812671723977</v>
      </c>
      <c r="F17" s="47">
        <f t="shared" si="4"/>
        <v>-0.54852352991030529</v>
      </c>
      <c r="G17" s="47">
        <f t="shared" si="5"/>
        <v>-0.77899284457583207</v>
      </c>
      <c r="H17" s="47">
        <f t="shared" si="6"/>
        <v>-2.3145804008573023</v>
      </c>
      <c r="I17" s="47"/>
      <c r="J17" s="47">
        <f t="shared" si="8"/>
        <v>0.30580711447925069</v>
      </c>
      <c r="K17" s="47">
        <f t="shared" si="9"/>
        <v>-1.3077968468540035</v>
      </c>
      <c r="L17" s="47"/>
      <c r="R17" s="47">
        <f t="shared" si="27"/>
        <v>0</v>
      </c>
      <c r="S17" s="47">
        <f t="shared" si="28"/>
        <v>-3.7184158392970325E-2</v>
      </c>
      <c r="T17" s="47">
        <f t="shared" si="29"/>
        <v>4.8196010128028394E-4</v>
      </c>
      <c r="U17" s="47">
        <f t="shared" si="30"/>
        <v>-1.6069194401246989E-2</v>
      </c>
      <c r="V17" s="47">
        <f t="shared" si="31"/>
        <v>-1.7167899178005541E-2</v>
      </c>
      <c r="W17" s="47" t="str">
        <f t="shared" si="32"/>
        <v/>
      </c>
      <c r="X17" s="47">
        <f t="shared" si="33"/>
        <v>6.1502923908681355E-3</v>
      </c>
      <c r="Y17" s="47">
        <f t="shared" si="34"/>
        <v>-5.844867319962551E-2</v>
      </c>
      <c r="Z17" s="47" t="str">
        <f t="shared" si="35"/>
        <v/>
      </c>
    </row>
    <row r="18" spans="1:26" ht="20.100000000000001" customHeight="1" x14ac:dyDescent="0.2">
      <c r="A18" s="50">
        <f t="shared" si="0"/>
        <v>211</v>
      </c>
      <c r="B18" s="51">
        <f t="shared" si="1"/>
        <v>44351</v>
      </c>
      <c r="C18" s="52">
        <f>'Résultats observations'!C18</f>
        <v>222.9</v>
      </c>
      <c r="D18" s="47">
        <f t="shared" si="2"/>
        <v>-1.2857064291793563</v>
      </c>
      <c r="E18" s="47">
        <f t="shared" si="3"/>
        <v>-1.2922412379152703</v>
      </c>
      <c r="F18" s="47">
        <f t="shared" si="4"/>
        <v>-0.55158026067392285</v>
      </c>
      <c r="G18" s="47">
        <f t="shared" si="5"/>
        <v>-0.44970007692768377</v>
      </c>
      <c r="H18" s="47">
        <f t="shared" si="6"/>
        <v>-2.2098253061324513</v>
      </c>
      <c r="I18" s="47"/>
      <c r="J18" s="47">
        <f t="shared" si="8"/>
        <v>8.915197498371441E-2</v>
      </c>
      <c r="K18" s="47">
        <f t="shared" si="9"/>
        <v>-0.83127995997145376</v>
      </c>
      <c r="L18" s="47"/>
      <c r="R18" s="47">
        <f t="shared" si="27"/>
        <v>-9.1836173512811162E-2</v>
      </c>
      <c r="S18" s="47">
        <f t="shared" si="28"/>
        <v>4.4969388129193329E-2</v>
      </c>
      <c r="T18" s="47">
        <f t="shared" si="29"/>
        <v>-2.1833791168696898E-4</v>
      </c>
      <c r="U18" s="47">
        <f t="shared" si="30"/>
        <v>2.3520911974867737E-2</v>
      </c>
      <c r="V18" s="47">
        <f t="shared" si="31"/>
        <v>7.4825067660607859E-3</v>
      </c>
      <c r="W18" s="47" t="str">
        <f t="shared" si="32"/>
        <v/>
      </c>
      <c r="X18" s="47">
        <f t="shared" si="33"/>
        <v>-1.547536710682402E-2</v>
      </c>
      <c r="Y18" s="47">
        <f t="shared" si="34"/>
        <v>3.4036920491610702E-2</v>
      </c>
      <c r="Z18" s="47" t="str">
        <f t="shared" si="35"/>
        <v/>
      </c>
    </row>
    <row r="19" spans="1:26" ht="20.100000000000001" customHeight="1" x14ac:dyDescent="0.2">
      <c r="A19" s="50">
        <f t="shared" si="0"/>
        <v>217</v>
      </c>
      <c r="B19" s="51">
        <f t="shared" si="1"/>
        <v>44357</v>
      </c>
      <c r="C19" s="52">
        <f>'Résultats observations'!C19</f>
        <v>222.9</v>
      </c>
      <c r="D19" s="47">
        <f t="shared" si="2"/>
        <v>-1.448531322376212</v>
      </c>
      <c r="E19" s="47">
        <f t="shared" si="3"/>
        <v>-1.2862286238721765</v>
      </c>
      <c r="F19" s="47">
        <f t="shared" si="4"/>
        <v>-0.39600253339688862</v>
      </c>
      <c r="G19" s="47">
        <f t="shared" si="5"/>
        <v>-0.26515424671558208</v>
      </c>
      <c r="H19" s="47">
        <f t="shared" si="6"/>
        <v>-1.6720181280680535</v>
      </c>
      <c r="I19" s="47"/>
      <c r="J19" s="47">
        <f t="shared" si="8"/>
        <v>0.35335708541772703</v>
      </c>
      <c r="K19" s="47">
        <f t="shared" si="9"/>
        <v>-0.408813944096309</v>
      </c>
      <c r="L19" s="47"/>
      <c r="R19" s="47">
        <f t="shared" si="27"/>
        <v>-2.7137482199475944E-2</v>
      </c>
      <c r="S19" s="47">
        <f t="shared" si="28"/>
        <v>1.0021023405156388E-3</v>
      </c>
      <c r="T19" s="47">
        <f t="shared" si="29"/>
        <v>2.5929621212839038E-2</v>
      </c>
      <c r="U19" s="47">
        <f t="shared" si="30"/>
        <v>3.0757638368683615E-2</v>
      </c>
      <c r="V19" s="47">
        <f t="shared" si="31"/>
        <v>8.9634529677399641E-2</v>
      </c>
      <c r="W19" s="47" t="str">
        <f t="shared" si="32"/>
        <v/>
      </c>
      <c r="X19" s="47">
        <f t="shared" si="33"/>
        <v>4.403418507233544E-2</v>
      </c>
      <c r="Y19" s="47">
        <f t="shared" si="34"/>
        <v>7.0411002645857465E-2</v>
      </c>
      <c r="Z19" s="47" t="str">
        <f t="shared" si="35"/>
        <v/>
      </c>
    </row>
    <row r="20" spans="1:26" ht="20.100000000000001" customHeight="1" x14ac:dyDescent="0.2">
      <c r="A20" s="50">
        <f t="shared" si="0"/>
        <v>224</v>
      </c>
      <c r="B20" s="51">
        <f t="shared" si="1"/>
        <v>44364</v>
      </c>
      <c r="C20" s="52">
        <f>'Résultats observations'!C20</f>
        <v>222.9</v>
      </c>
      <c r="D20" s="47">
        <f t="shared" si="2"/>
        <v>-0.98490007267137969</v>
      </c>
      <c r="E20" s="47">
        <f t="shared" si="3"/>
        <v>-1.2533966227712412</v>
      </c>
      <c r="F20" s="47">
        <f t="shared" si="4"/>
        <v>-0.59767320331527429</v>
      </c>
      <c r="G20" s="47">
        <f t="shared" si="5"/>
        <v>-0.52544247729668925</v>
      </c>
      <c r="H20" s="47">
        <f t="shared" si="6"/>
        <v>-1.967281928425102</v>
      </c>
      <c r="I20" s="47"/>
      <c r="J20" s="47">
        <f t="shared" si="8"/>
        <v>-0.18319486966777987</v>
      </c>
      <c r="K20" s="47">
        <f t="shared" si="9"/>
        <v>-1.3077967969294946</v>
      </c>
      <c r="L20" s="47"/>
      <c r="R20" s="47">
        <f t="shared" ref="R20:R22" si="36">IF(AND(D20&lt;&gt;"",D19&lt;&gt;""),(D20-D19)/($B20-$B19),"")</f>
        <v>6.6233035672118898E-2</v>
      </c>
      <c r="S20" s="47">
        <f t="shared" ref="S20:S22" si="37">IF(AND(E20&lt;&gt;"",E19&lt;&gt;""),(E20-E19)/($B20-$B19),"")</f>
        <v>4.6902858715621876E-3</v>
      </c>
      <c r="T20" s="47">
        <f t="shared" ref="T20:T22" si="38">IF(AND(F20&lt;&gt;"",F19&lt;&gt;""),(F20-F19)/($B20-$B19),"")</f>
        <v>-2.8810095702626524E-2</v>
      </c>
      <c r="U20" s="47">
        <f t="shared" ref="U20:U22" si="39">IF(AND(G20&lt;&gt;"",G19&lt;&gt;""),(G20-G19)/($B20-$B19),"")</f>
        <v>-3.7184032940158165E-2</v>
      </c>
      <c r="V20" s="47">
        <f t="shared" ref="V20:V22" si="40">IF(AND(H20&lt;&gt;"",H19&lt;&gt;""),(H20-H19)/($B20-$B19),"")</f>
        <v>-4.2180542908149779E-2</v>
      </c>
      <c r="W20" s="47" t="str">
        <f t="shared" ref="W20:W22" si="41">IF(AND(I20&lt;&gt;"",I19&lt;&gt;""),(I20-I19)/($B20-$B19),"")</f>
        <v/>
      </c>
      <c r="X20" s="47">
        <f t="shared" ref="X20:X22" si="42">IF(AND(J20&lt;&gt;"",J19&lt;&gt;""),(J20-J19)/($B20-$B19),"")</f>
        <v>-7.6650279297929558E-2</v>
      </c>
      <c r="Y20" s="47">
        <f t="shared" ref="Y20:Y22" si="43">IF(AND(K20&lt;&gt;"",K19&lt;&gt;""),(K20-K19)/($B20-$B19),"")</f>
        <v>-0.12842612183331223</v>
      </c>
      <c r="Z20" s="47" t="str">
        <f t="shared" ref="Z20:Z22" si="44">IF(AND(L20&lt;&gt;"",L19&lt;&gt;""),(L20-L19)/($B20-$B19),"")</f>
        <v/>
      </c>
    </row>
    <row r="21" spans="1:26" ht="20.100000000000001" customHeight="1" x14ac:dyDescent="0.2">
      <c r="A21" s="50">
        <f t="shared" si="0"/>
        <v>238</v>
      </c>
      <c r="B21" s="51">
        <f t="shared" si="1"/>
        <v>44378</v>
      </c>
      <c r="C21" s="52">
        <f>'Résultats observations'!C21</f>
        <v>222.9</v>
      </c>
      <c r="D21" s="47">
        <f t="shared" si="2"/>
        <v>-1.8091861591473801</v>
      </c>
      <c r="E21" s="47">
        <f t="shared" si="3"/>
        <v>-1.5984635920265333</v>
      </c>
      <c r="F21" s="47">
        <f t="shared" si="4"/>
        <v>-0.68865324366562675</v>
      </c>
      <c r="G21" s="47">
        <f t="shared" si="5"/>
        <v>-0.78890239123063921</v>
      </c>
      <c r="H21" s="47">
        <f t="shared" si="6"/>
        <v>-1.8156963760871392</v>
      </c>
      <c r="I21" s="47"/>
      <c r="J21" s="47">
        <f t="shared" si="8"/>
        <v>-0.61338150927703339</v>
      </c>
      <c r="K21" s="47">
        <f t="shared" si="9"/>
        <v>-0.95522586400242915</v>
      </c>
      <c r="L21" s="47"/>
      <c r="R21" s="47">
        <f t="shared" si="36"/>
        <v>-5.8877577605428603E-2</v>
      </c>
      <c r="S21" s="47">
        <f t="shared" si="37"/>
        <v>-2.4647640661092294E-2</v>
      </c>
      <c r="T21" s="47">
        <f t="shared" si="38"/>
        <v>-6.4985743107394611E-3</v>
      </c>
      <c r="U21" s="47">
        <f t="shared" si="39"/>
        <v>-1.8818565280996426E-2</v>
      </c>
      <c r="V21" s="47">
        <f t="shared" si="40"/>
        <v>1.0827539452711627E-2</v>
      </c>
      <c r="W21" s="47" t="str">
        <f t="shared" si="41"/>
        <v/>
      </c>
      <c r="X21" s="47">
        <f t="shared" si="42"/>
        <v>-3.0727617114946679E-2</v>
      </c>
      <c r="Y21" s="47">
        <f t="shared" si="43"/>
        <v>2.5183638066218959E-2</v>
      </c>
      <c r="Z21" s="47" t="str">
        <f t="shared" si="44"/>
        <v/>
      </c>
    </row>
    <row r="22" spans="1:26" ht="20.100000000000001" customHeight="1" x14ac:dyDescent="0.2">
      <c r="A22" s="50">
        <f t="shared" si="0"/>
        <v>252</v>
      </c>
      <c r="B22" s="51">
        <f t="shared" si="1"/>
        <v>44392</v>
      </c>
      <c r="C22" s="52">
        <f>'Résultats observations'!C22</f>
        <v>222.9</v>
      </c>
      <c r="D22" s="47">
        <f t="shared" si="2"/>
        <v>-1.7817196826630521</v>
      </c>
      <c r="E22" s="47">
        <f t="shared" si="3"/>
        <v>-1.7314985903391644</v>
      </c>
      <c r="F22" s="47">
        <f t="shared" si="4"/>
        <v>-0.97407633203294708</v>
      </c>
      <c r="G22" s="47">
        <f t="shared" si="5"/>
        <v>-0.84531465900905545</v>
      </c>
      <c r="H22" s="47">
        <f t="shared" si="6"/>
        <v>-2.3385190611939777</v>
      </c>
      <c r="I22" s="47"/>
      <c r="J22" s="47">
        <f t="shared" si="8"/>
        <v>-0.60566620207058719</v>
      </c>
      <c r="K22" s="47">
        <f t="shared" si="9"/>
        <v>-1.3211182041494851</v>
      </c>
      <c r="L22" s="47"/>
      <c r="R22" s="47">
        <f t="shared" si="36"/>
        <v>1.9618911774519987E-3</v>
      </c>
      <c r="S22" s="47">
        <f t="shared" si="37"/>
        <v>-9.5024998794736495E-3</v>
      </c>
      <c r="T22" s="47">
        <f t="shared" si="38"/>
        <v>-2.0387363454808596E-2</v>
      </c>
      <c r="U22" s="47">
        <f t="shared" si="39"/>
        <v>-4.0294476984583027E-3</v>
      </c>
      <c r="V22" s="47">
        <f t="shared" si="40"/>
        <v>-3.734447750763132E-2</v>
      </c>
      <c r="W22" s="47" t="str">
        <f t="shared" si="41"/>
        <v/>
      </c>
      <c r="X22" s="47">
        <f t="shared" si="42"/>
        <v>5.5109337188901416E-4</v>
      </c>
      <c r="Y22" s="47">
        <f t="shared" si="43"/>
        <v>-2.6135167153361141E-2</v>
      </c>
      <c r="Z22" s="47" t="str">
        <f t="shared" si="44"/>
        <v/>
      </c>
    </row>
    <row r="23" spans="1:26" ht="20.100000000000001" customHeight="1" x14ac:dyDescent="0.2">
      <c r="A23" s="50">
        <f t="shared" si="0"/>
        <v>270</v>
      </c>
      <c r="B23" s="51">
        <f t="shared" si="1"/>
        <v>44410</v>
      </c>
      <c r="C23" s="52">
        <f>'Résultats observations'!C23</f>
        <v>222.9</v>
      </c>
      <c r="D23" s="47">
        <f t="shared" si="2"/>
        <v>-1.7923143365932148</v>
      </c>
      <c r="E23" s="47">
        <f t="shared" si="3"/>
        <v>-1.8504353716908284</v>
      </c>
      <c r="F23" s="47">
        <f t="shared" si="4"/>
        <v>-0.91241484353288271</v>
      </c>
      <c r="G23" s="47">
        <f t="shared" si="5"/>
        <v>-0.80944181583397778</v>
      </c>
      <c r="H23" s="47">
        <f t="shared" si="6"/>
        <v>-2.4570973285280573</v>
      </c>
      <c r="I23" s="47"/>
      <c r="J23" s="47">
        <f t="shared" si="8"/>
        <v>-0.57399261981050387</v>
      </c>
      <c r="K23" s="47">
        <f t="shared" si="9"/>
        <v>-1.6596579066447958</v>
      </c>
      <c r="L23" s="47"/>
      <c r="R23" s="47">
        <f t="shared" ref="R23:R24" si="45">IF(AND(D23&lt;&gt;"",D22&lt;&gt;""),(D23-D22)/($B23-$B22),"")</f>
        <v>-5.885918850090377E-4</v>
      </c>
      <c r="S23" s="47">
        <f t="shared" ref="S23:S24" si="46">IF(AND(E23&lt;&gt;"",E22&lt;&gt;""),(E23-E22)/($B23-$B22),"")</f>
        <v>-6.6075989639813315E-3</v>
      </c>
      <c r="T23" s="47">
        <f t="shared" ref="T23:T24" si="47">IF(AND(F23&lt;&gt;"",F22&lt;&gt;""),(F23-F22)/($B23-$B22),"")</f>
        <v>3.4256382500035759E-3</v>
      </c>
      <c r="U23" s="47">
        <f t="shared" ref="U23:U24" si="48">IF(AND(G23&lt;&gt;"",G22&lt;&gt;""),(G23-G22)/($B23-$B22),"")</f>
        <v>1.9929357319487589E-3</v>
      </c>
      <c r="V23" s="47">
        <f t="shared" ref="V23:V24" si="49">IF(AND(H23&lt;&gt;"",H22&lt;&gt;""),(H23-H22)/($B23-$B22),"")</f>
        <v>-6.5876815185599786E-3</v>
      </c>
      <c r="W23" s="47" t="str">
        <f t="shared" ref="W23:W24" si="50">IF(AND(I23&lt;&gt;"",I22&lt;&gt;""),(I23-I22)/($B23-$B22),"")</f>
        <v/>
      </c>
      <c r="X23" s="47">
        <f t="shared" ref="X23:X24" si="51">IF(AND(J23&lt;&gt;"",J22&lt;&gt;""),(J23-J22)/($B23-$B22),"")</f>
        <v>1.7596434588935178E-3</v>
      </c>
      <c r="Y23" s="47">
        <f t="shared" ref="Y23:Y24" si="52">IF(AND(K23&lt;&gt;"",K22&lt;&gt;""),(K23-K22)/($B23-$B22),"")</f>
        <v>-1.8807761249739485E-2</v>
      </c>
      <c r="Z23" s="47" t="str">
        <f t="shared" ref="Z23:Z24" si="53">IF(AND(L23&lt;&gt;"",L22&lt;&gt;""),(L23-L22)/($B23-$B22),"")</f>
        <v/>
      </c>
    </row>
    <row r="24" spans="1:26" ht="20.100000000000001" customHeight="1" x14ac:dyDescent="0.2">
      <c r="A24" s="50">
        <f t="shared" si="0"/>
        <v>313</v>
      </c>
      <c r="B24" s="51">
        <f t="shared" si="1"/>
        <v>44453</v>
      </c>
      <c r="C24" s="52">
        <f>'Résultats observations'!C24</f>
        <v>222.9</v>
      </c>
      <c r="D24" s="47">
        <f t="shared" si="2"/>
        <v>-3.9340424488552017</v>
      </c>
      <c r="E24" s="47">
        <f t="shared" si="3"/>
        <v>-3.2543125378410309</v>
      </c>
      <c r="F24" s="47">
        <f t="shared" si="4"/>
        <v>-2.0079744309509096</v>
      </c>
      <c r="G24" s="47">
        <f t="shared" si="5"/>
        <v>-1.3756426074431616</v>
      </c>
      <c r="H24" s="47">
        <f t="shared" si="6"/>
        <v>-3.840282660799943</v>
      </c>
      <c r="I24" s="47">
        <f t="shared" ref="I24:I28" si="54">Ecart_BD</f>
        <v>-3.8670542570287125</v>
      </c>
      <c r="J24" s="47">
        <f t="shared" si="8"/>
        <v>-1.1200164987501537</v>
      </c>
      <c r="K24" s="47">
        <f t="shared" si="9"/>
        <v>-2.1637118626642859</v>
      </c>
      <c r="L24" s="47">
        <f t="shared" ref="L24:L28" si="55">Ecart_LB</f>
        <v>-1.9493629597500117</v>
      </c>
      <c r="R24" s="47">
        <f t="shared" si="45"/>
        <v>-4.9807630517720629E-2</v>
      </c>
      <c r="S24" s="47">
        <f t="shared" si="46"/>
        <v>-3.2648306189539594E-2</v>
      </c>
      <c r="T24" s="47">
        <f t="shared" si="47"/>
        <v>-2.5478129939954113E-2</v>
      </c>
      <c r="U24" s="47">
        <f t="shared" si="48"/>
        <v>-1.3167460269981019E-2</v>
      </c>
      <c r="V24" s="47">
        <f t="shared" si="49"/>
        <v>-3.2167100750508971E-2</v>
      </c>
      <c r="W24" s="47" t="str">
        <f t="shared" si="50"/>
        <v/>
      </c>
      <c r="X24" s="47">
        <f t="shared" si="51"/>
        <v>-1.2698229742782556E-2</v>
      </c>
      <c r="Y24" s="47">
        <f t="shared" si="52"/>
        <v>-1.1722185023709072E-2</v>
      </c>
      <c r="Z24" s="47" t="str">
        <f t="shared" si="53"/>
        <v/>
      </c>
    </row>
    <row r="25" spans="1:26" ht="20.100000000000001" customHeight="1" x14ac:dyDescent="0.2">
      <c r="A25" s="50">
        <f t="shared" si="0"/>
        <v>330</v>
      </c>
      <c r="B25" s="51">
        <f t="shared" si="1"/>
        <v>44470</v>
      </c>
      <c r="C25" s="52">
        <f>'Résultats observations'!C25</f>
        <v>222.9</v>
      </c>
      <c r="D25" s="47">
        <f t="shared" si="2"/>
        <v>-2.5972493211545711</v>
      </c>
      <c r="E25" s="47">
        <f t="shared" si="3"/>
        <v>-2.7166834630794057</v>
      </c>
      <c r="F25" s="47">
        <f t="shared" si="4"/>
        <v>-1.3193355970648746</v>
      </c>
      <c r="G25" s="47">
        <f t="shared" si="5"/>
        <v>-1.0575520774360747</v>
      </c>
      <c r="H25" s="47">
        <f t="shared" si="6"/>
        <v>-3.3320601590887122</v>
      </c>
      <c r="I25" s="47">
        <f t="shared" si="54"/>
        <v>-3.4776104448113188</v>
      </c>
      <c r="J25" s="47">
        <f t="shared" si="8"/>
        <v>-1.1864739111073774</v>
      </c>
      <c r="K25" s="47">
        <f t="shared" si="9"/>
        <v>-2.7871166697703842</v>
      </c>
      <c r="L25" s="47">
        <f t="shared" si="55"/>
        <v>-2.256036282917151</v>
      </c>
      <c r="R25" s="47">
        <f t="shared" ref="R25" si="56">IF(AND(D25&lt;&gt;"",D24&lt;&gt;""),(D25-D24)/($B25-$B24),"")</f>
        <v>7.8634889864742985E-2</v>
      </c>
      <c r="S25" s="47">
        <f t="shared" ref="S25" si="57">IF(AND(E25&lt;&gt;"",E24&lt;&gt;""),(E25-E24)/($B25-$B24),"")</f>
        <v>3.1625239691860312E-2</v>
      </c>
      <c r="T25" s="47">
        <f t="shared" ref="T25" si="58">IF(AND(F25&lt;&gt;"",F24&lt;&gt;""),(F25-F24)/($B25-$B24),"")</f>
        <v>4.0508166699178526E-2</v>
      </c>
      <c r="U25" s="47">
        <f t="shared" ref="U25" si="59">IF(AND(G25&lt;&gt;"",G24&lt;&gt;""),(G25-G24)/($B25-$B24),"")</f>
        <v>1.8711207647475699E-2</v>
      </c>
      <c r="V25" s="47">
        <f t="shared" ref="V25" si="60">IF(AND(H25&lt;&gt;"",H24&lt;&gt;""),(H25-H24)/($B25-$B24),"")</f>
        <v>2.9895441277131219E-2</v>
      </c>
      <c r="W25" s="47">
        <f t="shared" ref="W25" si="61">IF(AND(I25&lt;&gt;"",I24&lt;&gt;""),(I25-I24)/($B25-$B24),"")</f>
        <v>2.2908459542199635E-2</v>
      </c>
      <c r="X25" s="47">
        <f t="shared" ref="X25" si="62">IF(AND(J25&lt;&gt;"",J24&lt;&gt;""),(J25-J24)/($B25-$B24),"")</f>
        <v>-3.9092595504249227E-3</v>
      </c>
      <c r="Y25" s="47">
        <f t="shared" ref="Y25" si="63">IF(AND(K25&lt;&gt;"",K24&lt;&gt;""),(K25-K24)/($B25-$B24),"")</f>
        <v>-3.6670871006241071E-2</v>
      </c>
      <c r="Z25" s="47">
        <f t="shared" ref="Z25" si="64">IF(AND(L25&lt;&gt;"",L24&lt;&gt;""),(L25-L24)/($B25-$B24),"")</f>
        <v>-1.8039607245125839E-2</v>
      </c>
    </row>
    <row r="26" spans="1:26" ht="20.100000000000001" customHeight="1" x14ac:dyDescent="0.2">
      <c r="A26" s="50">
        <f t="shared" si="0"/>
        <v>349</v>
      </c>
      <c r="B26" s="51">
        <f t="shared" si="1"/>
        <v>44489</v>
      </c>
      <c r="C26" s="52">
        <f>'Résultats observations'!C26</f>
        <v>222.9</v>
      </c>
      <c r="D26" s="47">
        <f t="shared" si="2"/>
        <v>-3.5125152472748056</v>
      </c>
      <c r="E26" s="47">
        <f t="shared" si="3"/>
        <v>-3.1280761236374133</v>
      </c>
      <c r="F26" s="47">
        <f t="shared" si="4"/>
        <v>-1.8925305175723217</v>
      </c>
      <c r="G26" s="47">
        <f t="shared" si="5"/>
        <v>-1.33039769061849</v>
      </c>
      <c r="H26" s="47">
        <f t="shared" si="6"/>
        <v>-3.4902994838255097</v>
      </c>
      <c r="I26" s="47">
        <f t="shared" si="54"/>
        <v>-3.633762471400459</v>
      </c>
      <c r="J26" s="47">
        <f t="shared" si="8"/>
        <v>-1.1959581194149749</v>
      </c>
      <c r="K26" s="47">
        <f t="shared" si="9"/>
        <v>-1.8410300581575001</v>
      </c>
      <c r="L26" s="47">
        <f t="shared" si="55"/>
        <v>-1.5574682212138313</v>
      </c>
      <c r="R26" s="47">
        <f t="shared" ref="R26:R27" si="65">IF(AND(D26&lt;&gt;"",D25&lt;&gt;""),(D26-D25)/($B26-$B25),"")</f>
        <v>-4.8171890848433395E-2</v>
      </c>
      <c r="S26" s="47">
        <f t="shared" ref="S26:S27" si="66">IF(AND(E26&lt;&gt;"",E25&lt;&gt;""),(E26-E25)/($B26-$B25),"")</f>
        <v>-2.1652245292526715E-2</v>
      </c>
      <c r="T26" s="47">
        <f t="shared" ref="T26:T27" si="67">IF(AND(F26&lt;&gt;"",F25&lt;&gt;""),(F26-F25)/($B26-$B25),"")</f>
        <v>-3.0168153710918272E-2</v>
      </c>
      <c r="U26" s="47">
        <f t="shared" ref="U26:U27" si="68">IF(AND(G26&lt;&gt;"",G25&lt;&gt;""),(G26-G25)/($B26-$B25),"")</f>
        <v>-1.4360295430653437E-2</v>
      </c>
      <c r="V26" s="47">
        <f t="shared" ref="V26:V27" si="69">IF(AND(H26&lt;&gt;"",H25&lt;&gt;""),(H26-H25)/($B26-$B25),"")</f>
        <v>-8.3283855124630241E-3</v>
      </c>
      <c r="W26" s="47">
        <f t="shared" ref="W26:W27" si="70">IF(AND(I26&lt;&gt;"",I25&lt;&gt;""),(I26-I25)/($B26-$B25),"")</f>
        <v>-8.2185277152179107E-3</v>
      </c>
      <c r="X26" s="47">
        <f t="shared" ref="X26:X27" si="71">IF(AND(J26&lt;&gt;"",J25&lt;&gt;""),(J26-J25)/($B26-$B25),"")</f>
        <v>-4.991688582946022E-4</v>
      </c>
      <c r="Y26" s="47">
        <f t="shared" ref="Y26:Y27" si="72">IF(AND(K26&lt;&gt;"",K25&lt;&gt;""),(K26-K25)/($B26-$B25),"")</f>
        <v>4.9794032190151792E-2</v>
      </c>
      <c r="Z26" s="47">
        <f t="shared" ref="Z26:Z27" si="73">IF(AND(L26&lt;&gt;"",L25&lt;&gt;""),(L26-L25)/($B26-$B25),"")</f>
        <v>3.6766740089648399E-2</v>
      </c>
    </row>
    <row r="27" spans="1:26" ht="22.5" customHeight="1" x14ac:dyDescent="0.2">
      <c r="A27" s="50">
        <f t="shared" si="0"/>
        <v>362</v>
      </c>
      <c r="B27" s="51">
        <f t="shared" si="1"/>
        <v>44502</v>
      </c>
      <c r="C27" s="52">
        <f>'Résultats observations'!C27</f>
        <v>222.9</v>
      </c>
      <c r="D27" s="47">
        <f t="shared" si="2"/>
        <v>-4.1506635258237168</v>
      </c>
      <c r="E27" s="47">
        <f t="shared" si="3"/>
        <v>-3.6133332380448024</v>
      </c>
      <c r="F27" s="47">
        <f t="shared" si="4"/>
        <v>-1.9564543288024261</v>
      </c>
      <c r="G27" s="47">
        <f t="shared" si="5"/>
        <v>-1.4596927821788341</v>
      </c>
      <c r="H27" s="47">
        <f t="shared" si="6"/>
        <v>-4.026469716644776</v>
      </c>
      <c r="I27" s="47">
        <f t="shared" si="54"/>
        <v>-4.3412591427944847</v>
      </c>
      <c r="J27" s="47">
        <f t="shared" si="8"/>
        <v>-1.0629816348570742</v>
      </c>
      <c r="K27" s="47">
        <f t="shared" si="9"/>
        <v>-2.2022093633005113</v>
      </c>
      <c r="L27" s="47">
        <f t="shared" si="55"/>
        <v>-1.7813545513050144</v>
      </c>
      <c r="R27" s="47">
        <f t="shared" si="65"/>
        <v>-4.9088329119147019E-2</v>
      </c>
      <c r="S27" s="47">
        <f t="shared" si="66"/>
        <v>-3.7327470339029938E-2</v>
      </c>
      <c r="T27" s="47">
        <f t="shared" si="67"/>
        <v>-4.9172162484695673E-3</v>
      </c>
      <c r="U27" s="47">
        <f t="shared" si="68"/>
        <v>-9.9457762738726259E-3</v>
      </c>
      <c r="V27" s="47">
        <f t="shared" si="69"/>
        <v>-4.124386406302049E-2</v>
      </c>
      <c r="W27" s="47">
        <f t="shared" si="70"/>
        <v>-5.442282087646351E-2</v>
      </c>
      <c r="X27" s="47">
        <f t="shared" si="71"/>
        <v>1.0228960350607745E-2</v>
      </c>
      <c r="Y27" s="47">
        <f t="shared" si="72"/>
        <v>-2.7783023472539324E-2</v>
      </c>
      <c r="Z27" s="47">
        <f t="shared" si="73"/>
        <v>-1.7222025391629467E-2</v>
      </c>
    </row>
    <row r="28" spans="1:26" ht="22.5" customHeight="1" x14ac:dyDescent="0.2">
      <c r="A28" s="50">
        <f t="shared" si="0"/>
        <v>775</v>
      </c>
      <c r="B28" s="51">
        <f t="shared" si="1"/>
        <v>44915</v>
      </c>
      <c r="C28" s="52">
        <f>'Résultats observations'!C28</f>
        <v>222.9</v>
      </c>
      <c r="D28" s="47">
        <f t="shared" si="2"/>
        <v>-10.078161131268359</v>
      </c>
      <c r="E28" s="47">
        <f t="shared" si="3"/>
        <v>-7.6362566917573815</v>
      </c>
      <c r="F28" s="47">
        <f t="shared" si="4"/>
        <v>-4.7473928538694921</v>
      </c>
      <c r="G28" s="47">
        <f t="shared" si="5"/>
        <v>-4.34402085967589</v>
      </c>
      <c r="H28" s="47">
        <f t="shared" si="6"/>
        <v>-8.6862591450325155</v>
      </c>
      <c r="I28" s="47">
        <f t="shared" si="54"/>
        <v>-10.117232808183552</v>
      </c>
      <c r="J28" s="47">
        <f t="shared" si="8"/>
        <v>-5.2539884289775074</v>
      </c>
      <c r="K28" s="47">
        <f t="shared" si="9"/>
        <v>-5.3366119598159401</v>
      </c>
      <c r="L28" s="47">
        <f t="shared" si="55"/>
        <v>-6.6207772179893709</v>
      </c>
      <c r="R28" s="47">
        <f t="shared" ref="R28" si="74">IF(AND(D28&lt;&gt;"",D27&lt;&gt;""),(D28-D27)/($B28-$B27),"")</f>
        <v>-1.435229444417589E-2</v>
      </c>
      <c r="S28" s="47">
        <f t="shared" ref="S28" si="75">IF(AND(E28&lt;&gt;"",E27&lt;&gt;""),(E28-E27)/($B28-$B27),"")</f>
        <v>-9.7407347547520083E-3</v>
      </c>
      <c r="T28" s="47">
        <f t="shared" ref="T28" si="76">IF(AND(F28&lt;&gt;"",F27&lt;&gt;""),(F28-F27)/($B28-$B27),"")</f>
        <v>-6.7577203996781257E-3</v>
      </c>
      <c r="U28" s="47">
        <f t="shared" ref="U28" si="77">IF(AND(G28&lt;&gt;"",G27&lt;&gt;""),(G28-G27)/($B28-$B27),"")</f>
        <v>-6.9838452239638161E-3</v>
      </c>
      <c r="V28" s="47">
        <f t="shared" ref="V28" si="78">IF(AND(H28&lt;&gt;"",H27&lt;&gt;""),(H28-H27)/($B28-$B27),"")</f>
        <v>-1.1282783119582904E-2</v>
      </c>
      <c r="W28" s="47">
        <f t="shared" ref="W28" si="79">IF(AND(I28&lt;&gt;"",I27&lt;&gt;""),(I28-I27)/($B28-$B27),"")</f>
        <v>-1.398540839077256E-2</v>
      </c>
      <c r="X28" s="47">
        <f t="shared" ref="X28" si="80">IF(AND(J28&lt;&gt;"",J27&lt;&gt;""),(J28-J27)/($B28-$B27),"")</f>
        <v>-1.0147716208524052E-2</v>
      </c>
      <c r="Y28" s="47">
        <f t="shared" ref="Y28" si="81">IF(AND(K28&lt;&gt;"",K27&lt;&gt;""),(K28-K27)/($B28-$B27),"")</f>
        <v>-7.5893525339356628E-3</v>
      </c>
      <c r="Z28" s="47">
        <f t="shared" ref="Z28" si="82">IF(AND(L28&lt;&gt;"",L27&lt;&gt;""),(L28-L27)/($B28-$B27),"")</f>
        <v>-1.1717730427807159E-2</v>
      </c>
    </row>
    <row r="29" spans="1:26" ht="22.5" customHeight="1" x14ac:dyDescent="0.2">
      <c r="A29" s="50"/>
      <c r="B29" s="51"/>
      <c r="C29" s="52"/>
      <c r="D29" s="47"/>
      <c r="E29" s="47"/>
      <c r="F29" s="47"/>
      <c r="G29" s="47"/>
      <c r="H29" s="47"/>
      <c r="I29" s="47"/>
      <c r="J29" s="47"/>
      <c r="K29" s="47"/>
      <c r="L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20.100000000000001" customHeight="1" x14ac:dyDescent="0.2">
      <c r="A30" s="50"/>
      <c r="B30" s="51"/>
      <c r="C30" s="52"/>
      <c r="D30" s="48"/>
      <c r="E30" s="47"/>
      <c r="F30" s="47"/>
      <c r="G30" s="48"/>
      <c r="H30" s="47"/>
      <c r="I30" s="48"/>
      <c r="J30" s="48"/>
      <c r="K30" s="47"/>
      <c r="L30" s="48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20.100000000000001" customHeight="1" x14ac:dyDescent="0.2">
      <c r="A31" s="50"/>
      <c r="B31" s="51"/>
      <c r="C31" s="52"/>
      <c r="D31" s="48"/>
      <c r="E31" s="47"/>
      <c r="F31" s="47"/>
      <c r="G31" s="48"/>
      <c r="H31" s="47"/>
      <c r="I31" s="48"/>
      <c r="J31" s="48"/>
      <c r="K31" s="47"/>
      <c r="L31" s="48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20.100000000000001" customHeight="1" x14ac:dyDescent="0.2">
      <c r="A32" s="50"/>
      <c r="B32" s="51"/>
      <c r="C32" s="52"/>
      <c r="D32" s="48"/>
      <c r="E32" s="47"/>
      <c r="F32" s="47"/>
      <c r="G32" s="48"/>
      <c r="H32" s="47"/>
      <c r="I32" s="48"/>
      <c r="J32" s="48"/>
      <c r="K32" s="47"/>
      <c r="L32" s="48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20.100000000000001" customHeight="1" x14ac:dyDescent="0.2">
      <c r="A33" s="50"/>
      <c r="B33" s="51"/>
      <c r="C33" s="52"/>
      <c r="D33" s="48"/>
      <c r="E33" s="47"/>
      <c r="F33" s="47"/>
      <c r="G33" s="48"/>
      <c r="H33" s="47"/>
      <c r="I33" s="48"/>
      <c r="J33" s="48"/>
      <c r="K33" s="47"/>
      <c r="L33" s="48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20.100000000000001" customHeight="1" x14ac:dyDescent="0.2">
      <c r="A34" s="50"/>
      <c r="B34" s="51"/>
      <c r="C34" s="52"/>
      <c r="D34" s="48"/>
      <c r="E34" s="47"/>
      <c r="F34" s="47"/>
      <c r="G34" s="48"/>
      <c r="H34" s="47"/>
      <c r="I34" s="48"/>
      <c r="J34" s="48"/>
      <c r="K34" s="47"/>
      <c r="L34" s="48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20.100000000000001" customHeight="1" x14ac:dyDescent="0.2">
      <c r="A35" s="50"/>
      <c r="B35" s="51"/>
      <c r="C35" s="52"/>
      <c r="D35" s="48"/>
      <c r="E35" s="47"/>
      <c r="F35" s="47"/>
      <c r="G35" s="48"/>
      <c r="H35" s="47"/>
      <c r="I35" s="48"/>
      <c r="J35" s="48"/>
      <c r="K35" s="47"/>
      <c r="L35" s="48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20.100000000000001" customHeight="1" x14ac:dyDescent="0.2">
      <c r="A36" s="50"/>
      <c r="B36" s="51"/>
      <c r="C36" s="52"/>
      <c r="D36" s="48"/>
      <c r="E36" s="47"/>
      <c r="F36" s="47"/>
      <c r="G36" s="48"/>
      <c r="H36" s="47"/>
      <c r="I36" s="48"/>
      <c r="J36" s="48"/>
      <c r="K36" s="47"/>
      <c r="L36" s="48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20.100000000000001" customHeight="1" x14ac:dyDescent="0.2">
      <c r="A37" s="50"/>
      <c r="B37" s="51"/>
      <c r="C37" s="52"/>
      <c r="D37" s="48"/>
      <c r="E37" s="47"/>
      <c r="F37" s="47"/>
      <c r="G37" s="48"/>
      <c r="H37" s="47"/>
      <c r="I37" s="48"/>
      <c r="J37" s="48"/>
      <c r="K37" s="47"/>
      <c r="L37" s="48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20.100000000000001" customHeight="1" x14ac:dyDescent="0.2">
      <c r="A38" s="50"/>
      <c r="B38" s="51"/>
      <c r="C38" s="52"/>
      <c r="D38" s="48"/>
      <c r="E38" s="47"/>
      <c r="F38" s="47"/>
      <c r="G38" s="48"/>
      <c r="H38" s="47"/>
      <c r="I38" s="48"/>
      <c r="J38" s="48"/>
      <c r="K38" s="47"/>
      <c r="L38" s="48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20.100000000000001" customHeight="1" x14ac:dyDescent="0.2">
      <c r="A39" s="50"/>
      <c r="B39" s="51"/>
      <c r="C39" s="52"/>
      <c r="D39" s="48"/>
      <c r="E39" s="47"/>
      <c r="F39" s="47"/>
      <c r="G39" s="48"/>
      <c r="H39" s="47"/>
      <c r="I39" s="48"/>
      <c r="J39" s="48"/>
      <c r="K39" s="47"/>
      <c r="L39" s="48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20.100000000000001" customHeight="1" x14ac:dyDescent="0.2">
      <c r="A40" s="50"/>
      <c r="B40" s="51"/>
      <c r="C40" s="52"/>
      <c r="D40" s="48"/>
      <c r="E40" s="47"/>
      <c r="F40" s="47"/>
      <c r="G40" s="48"/>
      <c r="H40" s="47"/>
      <c r="I40" s="48"/>
      <c r="J40" s="48"/>
      <c r="K40" s="47"/>
      <c r="L40" s="48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20.100000000000001" customHeight="1" x14ac:dyDescent="0.2">
      <c r="A41" s="50"/>
      <c r="B41" s="51"/>
      <c r="C41" s="52"/>
      <c r="D41" s="48"/>
      <c r="E41" s="47"/>
      <c r="F41" s="47"/>
      <c r="G41" s="48"/>
      <c r="H41" s="47"/>
      <c r="I41" s="48"/>
      <c r="J41" s="48"/>
      <c r="K41" s="47"/>
      <c r="L41" s="48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20.100000000000001" customHeight="1" x14ac:dyDescent="0.2">
      <c r="A42" s="50"/>
      <c r="B42" s="51"/>
      <c r="C42" s="52"/>
      <c r="D42" s="48"/>
      <c r="E42" s="47"/>
      <c r="F42" s="47"/>
      <c r="G42" s="48"/>
      <c r="H42" s="47"/>
      <c r="I42" s="48"/>
      <c r="J42" s="48"/>
      <c r="K42" s="47"/>
      <c r="L42" s="48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20.100000000000001" customHeight="1" x14ac:dyDescent="0.2">
      <c r="A43" s="50"/>
      <c r="B43" s="51"/>
      <c r="C43" s="52"/>
      <c r="D43" s="48"/>
      <c r="E43" s="47"/>
      <c r="F43" s="47"/>
      <c r="G43" s="48"/>
      <c r="H43" s="47"/>
      <c r="I43" s="48"/>
      <c r="J43" s="48"/>
      <c r="K43" s="47"/>
      <c r="L43" s="48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20.100000000000001" customHeight="1" x14ac:dyDescent="0.2">
      <c r="A44" s="50"/>
      <c r="B44" s="51"/>
      <c r="C44" s="52"/>
      <c r="D44" s="48"/>
      <c r="E44" s="47"/>
      <c r="F44" s="47"/>
      <c r="G44" s="48"/>
      <c r="H44" s="47"/>
      <c r="I44" s="48"/>
      <c r="J44" s="48"/>
      <c r="K44" s="47"/>
      <c r="L44" s="48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20.100000000000001" customHeight="1" x14ac:dyDescent="0.2">
      <c r="A45" s="50"/>
      <c r="B45" s="51"/>
      <c r="C45" s="52"/>
      <c r="D45" s="48"/>
      <c r="E45" s="47"/>
      <c r="F45" s="47"/>
      <c r="G45" s="48"/>
      <c r="H45" s="47"/>
      <c r="I45" s="48"/>
      <c r="J45" s="48"/>
      <c r="K45" s="47"/>
      <c r="L45" s="48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20.100000000000001" customHeight="1" x14ac:dyDescent="0.2">
      <c r="A46" s="50"/>
      <c r="B46" s="51"/>
      <c r="C46" s="52"/>
      <c r="D46" s="48"/>
      <c r="E46" s="47"/>
      <c r="F46" s="47"/>
      <c r="G46" s="48"/>
      <c r="H46" s="47"/>
      <c r="I46" s="48"/>
      <c r="J46" s="48"/>
      <c r="K46" s="47"/>
      <c r="L46" s="48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20.100000000000001" customHeight="1" x14ac:dyDescent="0.2">
      <c r="A47" s="50"/>
      <c r="B47" s="51"/>
      <c r="C47" s="52"/>
      <c r="D47" s="48"/>
      <c r="E47" s="47"/>
      <c r="F47" s="47"/>
      <c r="G47" s="48"/>
      <c r="H47" s="47"/>
      <c r="I47" s="48"/>
      <c r="J47" s="48"/>
      <c r="K47" s="47"/>
      <c r="L47" s="48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20.100000000000001" customHeight="1" x14ac:dyDescent="0.2">
      <c r="A48" s="50"/>
      <c r="B48" s="51"/>
      <c r="C48" s="52"/>
      <c r="D48" s="48"/>
      <c r="E48" s="47"/>
      <c r="F48" s="47"/>
      <c r="G48" s="48"/>
      <c r="H48" s="47"/>
      <c r="I48" s="48"/>
      <c r="J48" s="48"/>
      <c r="K48" s="47"/>
      <c r="L48" s="48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20.100000000000001" customHeight="1" x14ac:dyDescent="0.2">
      <c r="A49" s="50"/>
      <c r="B49" s="51"/>
      <c r="C49" s="52"/>
      <c r="D49" s="48"/>
      <c r="E49" s="47"/>
      <c r="F49" s="47"/>
      <c r="G49" s="48"/>
      <c r="H49" s="47"/>
      <c r="I49" s="48"/>
      <c r="J49" s="48"/>
      <c r="K49" s="47"/>
      <c r="L49" s="48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20.100000000000001" customHeight="1" x14ac:dyDescent="0.2">
      <c r="A50" s="50"/>
      <c r="B50" s="51"/>
      <c r="C50" s="52"/>
      <c r="D50" s="48"/>
      <c r="E50" s="47"/>
      <c r="F50" s="47"/>
      <c r="G50" s="48"/>
      <c r="H50" s="47"/>
      <c r="I50" s="48"/>
      <c r="J50" s="48"/>
      <c r="K50" s="47"/>
      <c r="L50" s="48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20.100000000000001" customHeight="1" x14ac:dyDescent="0.2">
      <c r="A51" s="50"/>
      <c r="B51" s="51"/>
      <c r="C51" s="52"/>
      <c r="D51" s="48"/>
      <c r="E51" s="47"/>
      <c r="F51" s="47"/>
      <c r="G51" s="48"/>
      <c r="H51" s="47"/>
      <c r="I51" s="48"/>
      <c r="J51" s="48"/>
      <c r="K51" s="47"/>
      <c r="L51" s="48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20.100000000000001" customHeight="1" x14ac:dyDescent="0.2">
      <c r="A52" s="50"/>
      <c r="B52" s="51"/>
      <c r="C52" s="52"/>
      <c r="D52" s="48"/>
      <c r="E52" s="47"/>
      <c r="F52" s="47"/>
      <c r="G52" s="48"/>
      <c r="H52" s="47"/>
      <c r="I52" s="48"/>
      <c r="J52" s="48"/>
      <c r="K52" s="47"/>
      <c r="L52" s="48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20.100000000000001" customHeight="1" x14ac:dyDescent="0.2">
      <c r="A53" s="50"/>
      <c r="B53" s="51"/>
      <c r="C53" s="52"/>
      <c r="D53" s="48"/>
      <c r="E53" s="47"/>
      <c r="F53" s="47"/>
      <c r="G53" s="48"/>
      <c r="H53" s="47"/>
      <c r="I53" s="48"/>
      <c r="J53" s="48"/>
      <c r="K53" s="47"/>
      <c r="L53" s="48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20.100000000000001" customHeight="1" x14ac:dyDescent="0.2">
      <c r="A54" s="50"/>
      <c r="B54" s="51"/>
      <c r="C54" s="52"/>
      <c r="D54" s="48"/>
      <c r="E54" s="47"/>
      <c r="F54" s="47"/>
      <c r="G54" s="48"/>
      <c r="H54" s="47"/>
      <c r="I54" s="48"/>
      <c r="J54" s="48"/>
      <c r="K54" s="47"/>
      <c r="L54" s="48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20.100000000000001" customHeight="1" x14ac:dyDescent="0.2">
      <c r="A55" s="50"/>
      <c r="B55" s="51"/>
      <c r="C55" s="52"/>
      <c r="D55" s="48"/>
      <c r="E55" s="47"/>
      <c r="F55" s="47"/>
      <c r="G55" s="48"/>
      <c r="H55" s="47"/>
      <c r="I55" s="48"/>
      <c r="J55" s="48"/>
      <c r="K55" s="47"/>
      <c r="L55" s="48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20.100000000000001" customHeight="1" x14ac:dyDescent="0.2">
      <c r="A56" s="50"/>
      <c r="B56" s="51"/>
      <c r="C56" s="52"/>
      <c r="D56" s="48"/>
      <c r="E56" s="47"/>
      <c r="F56" s="47"/>
      <c r="G56" s="48"/>
      <c r="H56" s="47"/>
      <c r="I56" s="48"/>
      <c r="J56" s="48"/>
      <c r="K56" s="47"/>
      <c r="L56" s="48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20.100000000000001" customHeight="1" x14ac:dyDescent="0.2">
      <c r="A57" s="50"/>
      <c r="B57" s="51"/>
      <c r="C57" s="52"/>
      <c r="D57" s="48"/>
      <c r="E57" s="47"/>
      <c r="F57" s="47"/>
      <c r="G57" s="48"/>
      <c r="H57" s="47"/>
      <c r="I57" s="48"/>
      <c r="J57" s="48"/>
      <c r="K57" s="47"/>
      <c r="L57" s="48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20.100000000000001" customHeight="1" x14ac:dyDescent="0.2">
      <c r="A58" s="50"/>
      <c r="B58" s="51"/>
      <c r="C58" s="52"/>
      <c r="D58" s="48"/>
      <c r="E58" s="47"/>
      <c r="F58" s="47"/>
      <c r="G58" s="48"/>
      <c r="H58" s="47"/>
      <c r="I58" s="48"/>
      <c r="J58" s="48"/>
      <c r="K58" s="47"/>
      <c r="L58" s="48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20.100000000000001" customHeight="1" x14ac:dyDescent="0.2">
      <c r="A59" s="50"/>
      <c r="B59" s="51"/>
      <c r="C59" s="52"/>
      <c r="D59" s="48"/>
      <c r="E59" s="47"/>
      <c r="F59" s="47"/>
      <c r="G59" s="48"/>
      <c r="H59" s="47"/>
      <c r="I59" s="48"/>
      <c r="J59" s="48"/>
      <c r="K59" s="47"/>
      <c r="L59" s="48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20.100000000000001" customHeight="1" x14ac:dyDescent="0.2">
      <c r="A60" s="50"/>
      <c r="B60" s="51"/>
      <c r="C60" s="52"/>
      <c r="D60" s="48"/>
      <c r="E60" s="47"/>
      <c r="F60" s="47"/>
      <c r="G60" s="48"/>
      <c r="H60" s="47"/>
      <c r="I60" s="48"/>
      <c r="J60" s="48"/>
      <c r="K60" s="47"/>
      <c r="L60" s="48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20.100000000000001" customHeight="1" x14ac:dyDescent="0.2">
      <c r="A61" s="50"/>
      <c r="B61" s="51"/>
      <c r="C61" s="52"/>
      <c r="D61" s="48"/>
      <c r="E61" s="47"/>
      <c r="F61" s="47"/>
      <c r="G61" s="48"/>
      <c r="H61" s="47"/>
      <c r="I61" s="48"/>
      <c r="J61" s="48"/>
      <c r="K61" s="47"/>
      <c r="L61" s="48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20.100000000000001" customHeight="1" x14ac:dyDescent="0.2">
      <c r="A62" s="50"/>
      <c r="B62" s="51"/>
      <c r="C62" s="52"/>
      <c r="D62" s="48"/>
      <c r="E62" s="47"/>
      <c r="F62" s="47"/>
      <c r="G62" s="48"/>
      <c r="H62" s="47"/>
      <c r="I62" s="48"/>
      <c r="J62" s="48"/>
      <c r="K62" s="47"/>
      <c r="L62" s="48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20.100000000000001" customHeight="1" x14ac:dyDescent="0.2">
      <c r="A63" s="50"/>
      <c r="B63" s="51"/>
      <c r="C63" s="52"/>
      <c r="D63" s="48"/>
      <c r="E63" s="47"/>
      <c r="F63" s="47"/>
      <c r="G63" s="48"/>
      <c r="H63" s="47"/>
      <c r="I63" s="48"/>
      <c r="J63" s="48"/>
      <c r="K63" s="47"/>
      <c r="L63" s="48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20.100000000000001" customHeight="1" x14ac:dyDescent="0.2">
      <c r="A64" s="50"/>
      <c r="B64" s="51"/>
      <c r="C64" s="52"/>
      <c r="D64" s="48"/>
      <c r="E64" s="47"/>
      <c r="F64" s="47"/>
      <c r="G64" s="48"/>
      <c r="H64" s="47"/>
      <c r="I64" s="48"/>
      <c r="J64" s="48"/>
      <c r="K64" s="47"/>
      <c r="L64" s="48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20.100000000000001" customHeight="1" x14ac:dyDescent="0.2">
      <c r="A65" s="50"/>
      <c r="B65" s="51"/>
      <c r="C65" s="52"/>
      <c r="D65" s="48"/>
      <c r="E65" s="47"/>
      <c r="F65" s="47"/>
      <c r="G65" s="48"/>
      <c r="H65" s="47"/>
      <c r="I65" s="48"/>
      <c r="J65" s="48"/>
      <c r="K65" s="47"/>
      <c r="L65" s="48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20.100000000000001" customHeight="1" x14ac:dyDescent="0.2">
      <c r="A66" s="50"/>
      <c r="B66" s="51"/>
      <c r="C66" s="52"/>
      <c r="D66" s="48"/>
      <c r="E66" s="47"/>
      <c r="F66" s="47"/>
      <c r="G66" s="48"/>
      <c r="H66" s="47"/>
      <c r="I66" s="48"/>
      <c r="J66" s="48"/>
      <c r="K66" s="47"/>
      <c r="L66" s="48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20.100000000000001" customHeight="1" x14ac:dyDescent="0.2">
      <c r="A67" s="50"/>
      <c r="B67" s="51"/>
      <c r="C67" s="52"/>
      <c r="D67" s="48"/>
      <c r="E67" s="47"/>
      <c r="F67" s="47"/>
      <c r="G67" s="48"/>
      <c r="H67" s="47"/>
      <c r="I67" s="48"/>
      <c r="J67" s="48"/>
      <c r="K67" s="47"/>
      <c r="L67" s="48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20.100000000000001" customHeight="1" x14ac:dyDescent="0.2">
      <c r="A68" s="50"/>
      <c r="B68" s="51"/>
      <c r="C68" s="52"/>
      <c r="D68" s="48"/>
      <c r="E68" s="47"/>
      <c r="F68" s="47"/>
      <c r="G68" s="48"/>
      <c r="H68" s="47"/>
      <c r="I68" s="48"/>
      <c r="J68" s="48"/>
      <c r="K68" s="47"/>
      <c r="L68" s="48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20.100000000000001" customHeight="1" x14ac:dyDescent="0.2">
      <c r="A69" s="50"/>
      <c r="B69" s="51"/>
      <c r="C69" s="52"/>
      <c r="D69" s="48"/>
      <c r="E69" s="47"/>
      <c r="F69" s="47"/>
      <c r="G69" s="48"/>
      <c r="H69" s="47"/>
      <c r="I69" s="48"/>
      <c r="J69" s="48"/>
      <c r="K69" s="47"/>
      <c r="L69" s="48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20.100000000000001" customHeight="1" x14ac:dyDescent="0.2">
      <c r="A70" s="50"/>
      <c r="B70" s="51"/>
      <c r="C70" s="52"/>
      <c r="D70" s="48"/>
      <c r="E70" s="47"/>
      <c r="F70" s="47"/>
      <c r="G70" s="48"/>
      <c r="H70" s="47"/>
      <c r="I70" s="48"/>
      <c r="J70" s="48"/>
      <c r="K70" s="47"/>
      <c r="L70" s="48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20.100000000000001" customHeight="1" x14ac:dyDescent="0.2">
      <c r="A71" s="50"/>
      <c r="B71" s="51"/>
      <c r="C71" s="52"/>
      <c r="D71" s="48"/>
      <c r="E71" s="47"/>
      <c r="F71" s="47"/>
      <c r="G71" s="48"/>
      <c r="H71" s="47"/>
      <c r="I71" s="48"/>
      <c r="J71" s="48"/>
      <c r="K71" s="47"/>
      <c r="L71" s="48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20.100000000000001" customHeight="1" x14ac:dyDescent="0.2">
      <c r="A72" s="50"/>
      <c r="B72" s="51"/>
      <c r="C72" s="52"/>
      <c r="D72" s="48"/>
      <c r="E72" s="47"/>
      <c r="F72" s="47"/>
      <c r="G72" s="48"/>
      <c r="H72" s="47"/>
      <c r="I72" s="48"/>
      <c r="J72" s="48"/>
      <c r="K72" s="47"/>
      <c r="L72" s="48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20.100000000000001" customHeight="1" x14ac:dyDescent="0.2">
      <c r="A73" s="50"/>
      <c r="B73" s="51"/>
      <c r="C73" s="52"/>
      <c r="D73" s="48"/>
      <c r="E73" s="47"/>
      <c r="F73" s="47"/>
      <c r="G73" s="48"/>
      <c r="H73" s="47"/>
      <c r="I73" s="48"/>
      <c r="J73" s="48"/>
      <c r="K73" s="47"/>
      <c r="L73" s="48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20.100000000000001" customHeight="1" x14ac:dyDescent="0.2">
      <c r="A74" s="50"/>
      <c r="B74" s="51"/>
      <c r="C74" s="52"/>
      <c r="D74" s="48"/>
      <c r="E74" s="47"/>
      <c r="F74" s="47"/>
      <c r="G74" s="48"/>
      <c r="H74" s="47"/>
      <c r="I74" s="48"/>
      <c r="J74" s="48"/>
      <c r="K74" s="47"/>
      <c r="L74" s="48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20.100000000000001" customHeight="1" x14ac:dyDescent="0.2">
      <c r="A75" s="50"/>
      <c r="B75" s="51"/>
      <c r="C75" s="52"/>
      <c r="D75" s="48"/>
      <c r="E75" s="47"/>
      <c r="F75" s="47"/>
      <c r="G75" s="48"/>
      <c r="H75" s="47"/>
      <c r="I75" s="48"/>
      <c r="J75" s="48"/>
      <c r="K75" s="47"/>
      <c r="L75" s="48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20.100000000000001" customHeight="1" x14ac:dyDescent="0.2">
      <c r="A76" s="50"/>
      <c r="B76" s="51"/>
      <c r="C76" s="52"/>
      <c r="D76" s="48"/>
      <c r="E76" s="47"/>
      <c r="F76" s="47"/>
      <c r="G76" s="48"/>
      <c r="H76" s="47"/>
      <c r="I76" s="48"/>
      <c r="J76" s="48"/>
      <c r="K76" s="47"/>
      <c r="L76" s="48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20.100000000000001" customHeight="1" x14ac:dyDescent="0.2">
      <c r="A77" s="50"/>
      <c r="B77" s="51"/>
      <c r="C77" s="52"/>
      <c r="D77" s="48"/>
      <c r="E77" s="47"/>
      <c r="F77" s="47"/>
      <c r="G77" s="48"/>
      <c r="H77" s="47"/>
      <c r="I77" s="48"/>
      <c r="J77" s="48"/>
      <c r="K77" s="47"/>
      <c r="L77" s="48"/>
      <c r="R77" s="47"/>
      <c r="S77" s="47"/>
      <c r="T77" s="47"/>
      <c r="U77" s="47"/>
      <c r="V77" s="47"/>
      <c r="W77" s="47"/>
      <c r="X77" s="47"/>
      <c r="Y77" s="47"/>
      <c r="Z77" s="47"/>
    </row>
    <row r="78" spans="1:26" x14ac:dyDescent="0.2">
      <c r="A78" s="50"/>
      <c r="B78" s="51"/>
      <c r="C78" s="52"/>
      <c r="D78" s="48"/>
      <c r="E78" s="47"/>
      <c r="F78" s="47"/>
      <c r="G78" s="48"/>
      <c r="H78" s="47"/>
      <c r="I78" s="48"/>
      <c r="J78" s="48"/>
      <c r="K78" s="47"/>
      <c r="L78" s="48"/>
      <c r="R78" s="47"/>
      <c r="S78" s="47"/>
      <c r="T78" s="47"/>
      <c r="U78" s="47"/>
      <c r="V78" s="47"/>
      <c r="W78" s="47"/>
      <c r="X78" s="47"/>
      <c r="Y78" s="47"/>
      <c r="Z78" s="47"/>
    </row>
    <row r="79" spans="1:26" x14ac:dyDescent="0.2">
      <c r="A79" s="50"/>
      <c r="B79" s="51"/>
      <c r="C79" s="52"/>
      <c r="D79" s="48"/>
      <c r="E79" s="47"/>
      <c r="F79" s="47"/>
      <c r="G79" s="48"/>
      <c r="H79" s="47"/>
      <c r="I79" s="48"/>
      <c r="J79" s="48"/>
      <c r="K79" s="47"/>
      <c r="L79" s="48"/>
      <c r="R79" s="47"/>
      <c r="S79" s="47"/>
      <c r="T79" s="47"/>
      <c r="U79" s="47"/>
      <c r="V79" s="47"/>
      <c r="W79" s="47"/>
      <c r="X79" s="47"/>
      <c r="Y79" s="47"/>
      <c r="Z79" s="47"/>
    </row>
    <row r="80" spans="1:26" x14ac:dyDescent="0.2">
      <c r="A80" s="50"/>
      <c r="B80" s="51"/>
      <c r="C80" s="52"/>
      <c r="D80" s="48"/>
      <c r="E80" s="47"/>
      <c r="F80" s="47"/>
      <c r="G80" s="48"/>
      <c r="H80" s="47"/>
      <c r="I80" s="48"/>
      <c r="J80" s="48"/>
      <c r="K80" s="47"/>
      <c r="L80" s="48"/>
      <c r="R80" s="47"/>
      <c r="S80" s="47"/>
      <c r="T80" s="47"/>
      <c r="U80" s="47"/>
      <c r="V80" s="47"/>
      <c r="W80" s="47"/>
      <c r="X80" s="47"/>
      <c r="Y80" s="47"/>
      <c r="Z80" s="47"/>
    </row>
    <row r="81" spans="1:26" x14ac:dyDescent="0.2">
      <c r="A81" s="50"/>
      <c r="B81" s="51"/>
      <c r="C81" s="52"/>
      <c r="D81" s="48"/>
      <c r="E81" s="47"/>
      <c r="F81" s="47"/>
      <c r="G81" s="48"/>
      <c r="H81" s="47"/>
      <c r="I81" s="48"/>
      <c r="J81" s="48"/>
      <c r="K81" s="47"/>
      <c r="L81" s="48"/>
      <c r="R81" s="47"/>
      <c r="S81" s="47"/>
      <c r="T81" s="47"/>
      <c r="U81" s="47"/>
      <c r="V81" s="47"/>
      <c r="W81" s="47"/>
      <c r="X81" s="47"/>
      <c r="Y81" s="47"/>
      <c r="Z81" s="47"/>
    </row>
    <row r="82" spans="1:26" x14ac:dyDescent="0.2">
      <c r="A82" s="50"/>
      <c r="B82" s="51"/>
      <c r="C82" s="52"/>
      <c r="D82" s="48"/>
      <c r="E82" s="47"/>
      <c r="F82" s="47"/>
      <c r="G82" s="48"/>
      <c r="H82" s="47"/>
      <c r="I82" s="48"/>
      <c r="J82" s="48"/>
      <c r="K82" s="47"/>
      <c r="L82" s="48"/>
      <c r="R82" s="47"/>
      <c r="S82" s="47"/>
      <c r="T82" s="47"/>
      <c r="U82" s="47"/>
      <c r="V82" s="47"/>
      <c r="W82" s="47"/>
      <c r="X82" s="47"/>
      <c r="Y82" s="47"/>
      <c r="Z82" s="47"/>
    </row>
    <row r="83" spans="1:26" x14ac:dyDescent="0.2">
      <c r="A83" s="50"/>
      <c r="B83" s="51"/>
      <c r="C83" s="52"/>
      <c r="D83" s="48"/>
      <c r="E83" s="47"/>
      <c r="F83" s="47"/>
      <c r="G83" s="48"/>
      <c r="H83" s="47"/>
      <c r="I83" s="48"/>
      <c r="J83" s="48"/>
      <c r="K83" s="47"/>
      <c r="L83" s="48"/>
      <c r="R83" s="47"/>
      <c r="S83" s="47"/>
      <c r="T83" s="47"/>
      <c r="U83" s="47"/>
      <c r="V83" s="47"/>
      <c r="W83" s="47"/>
      <c r="X83" s="47"/>
      <c r="Y83" s="47"/>
      <c r="Z83" s="47"/>
    </row>
    <row r="84" spans="1:26" x14ac:dyDescent="0.2">
      <c r="A84" s="50"/>
      <c r="B84" s="51"/>
      <c r="C84" s="52"/>
      <c r="D84" s="48"/>
      <c r="E84" s="47"/>
      <c r="F84" s="47"/>
      <c r="G84" s="48"/>
      <c r="H84" s="47"/>
      <c r="I84" s="48"/>
      <c r="J84" s="48"/>
      <c r="K84" s="47"/>
      <c r="L84" s="48"/>
      <c r="R84" s="47"/>
      <c r="S84" s="47"/>
      <c r="T84" s="47"/>
      <c r="U84" s="47"/>
      <c r="V84" s="47"/>
      <c r="W84" s="47"/>
      <c r="X84" s="47"/>
      <c r="Y84" s="47"/>
      <c r="Z84" s="47"/>
    </row>
    <row r="85" spans="1:26" x14ac:dyDescent="0.2">
      <c r="A85" s="50"/>
      <c r="B85" s="51"/>
      <c r="C85" s="52"/>
      <c r="D85" s="48"/>
      <c r="E85" s="47"/>
      <c r="F85" s="47"/>
      <c r="G85" s="48"/>
      <c r="H85" s="47"/>
      <c r="I85" s="48"/>
      <c r="J85" s="48"/>
      <c r="K85" s="47"/>
      <c r="L85" s="48"/>
      <c r="R85" s="47"/>
      <c r="S85" s="47"/>
      <c r="T85" s="47"/>
      <c r="U85" s="47"/>
      <c r="V85" s="47"/>
      <c r="W85" s="47"/>
      <c r="X85" s="47"/>
      <c r="Y85" s="47"/>
      <c r="Z85" s="47"/>
    </row>
    <row r="86" spans="1:26" x14ac:dyDescent="0.2">
      <c r="A86" s="50"/>
      <c r="B86" s="51"/>
      <c r="C86" s="52"/>
      <c r="D86" s="48"/>
      <c r="E86" s="47"/>
      <c r="F86" s="47"/>
      <c r="G86" s="48"/>
      <c r="H86" s="47"/>
      <c r="I86" s="48"/>
      <c r="J86" s="48"/>
      <c r="K86" s="47"/>
      <c r="L86" s="48"/>
      <c r="R86" s="47"/>
      <c r="S86" s="47"/>
      <c r="T86" s="47"/>
      <c r="U86" s="47"/>
      <c r="V86" s="47"/>
      <c r="W86" s="47"/>
      <c r="X86" s="47"/>
      <c r="Y86" s="47"/>
      <c r="Z86" s="47"/>
    </row>
    <row r="87" spans="1:26" x14ac:dyDescent="0.2">
      <c r="A87" s="50"/>
      <c r="B87" s="51"/>
      <c r="C87" s="52"/>
      <c r="D87" s="48"/>
      <c r="E87" s="47"/>
      <c r="F87" s="47"/>
      <c r="G87" s="48"/>
      <c r="H87" s="47"/>
      <c r="I87" s="48"/>
      <c r="J87" s="48"/>
      <c r="K87" s="47"/>
      <c r="L87" s="48"/>
      <c r="R87" s="47"/>
      <c r="S87" s="47"/>
      <c r="T87" s="47"/>
      <c r="U87" s="47"/>
      <c r="V87" s="47"/>
      <c r="W87" s="47"/>
      <c r="X87" s="47"/>
      <c r="Y87" s="47"/>
      <c r="Z87" s="47"/>
    </row>
    <row r="88" spans="1:26" x14ac:dyDescent="0.2">
      <c r="A88" s="50"/>
      <c r="B88" s="51"/>
      <c r="C88" s="52"/>
      <c r="D88" s="48"/>
      <c r="E88" s="47"/>
      <c r="F88" s="47"/>
      <c r="G88" s="48"/>
      <c r="H88" s="47"/>
      <c r="I88" s="48"/>
      <c r="J88" s="48"/>
      <c r="K88" s="47"/>
      <c r="L88" s="48"/>
      <c r="R88" s="47"/>
      <c r="S88" s="47"/>
      <c r="T88" s="47"/>
      <c r="U88" s="47"/>
      <c r="V88" s="47"/>
      <c r="W88" s="47"/>
      <c r="X88" s="47"/>
      <c r="Y88" s="47"/>
      <c r="Z88" s="47"/>
    </row>
    <row r="89" spans="1:26" x14ac:dyDescent="0.2">
      <c r="A89" s="50"/>
      <c r="B89" s="51"/>
      <c r="C89" s="52"/>
      <c r="D89" s="48"/>
      <c r="E89" s="47"/>
      <c r="F89" s="47"/>
      <c r="G89" s="48"/>
      <c r="H89" s="47"/>
      <c r="I89" s="48"/>
      <c r="J89" s="48"/>
      <c r="K89" s="47"/>
      <c r="L89" s="48"/>
      <c r="R89" s="47"/>
      <c r="S89" s="47"/>
      <c r="T89" s="47"/>
      <c r="U89" s="47"/>
      <c r="V89" s="47"/>
      <c r="W89" s="47"/>
      <c r="X89" s="47"/>
      <c r="Y89" s="47"/>
      <c r="Z89" s="47"/>
    </row>
    <row r="90" spans="1:26" x14ac:dyDescent="0.2">
      <c r="A90" s="50"/>
      <c r="B90" s="51"/>
      <c r="C90" s="52"/>
      <c r="D90" s="48"/>
      <c r="E90" s="47"/>
      <c r="F90" s="47"/>
      <c r="G90" s="48"/>
      <c r="H90" s="47"/>
      <c r="I90" s="48"/>
      <c r="J90" s="48"/>
      <c r="K90" s="47"/>
      <c r="L90" s="48"/>
      <c r="R90" s="47"/>
      <c r="S90" s="47"/>
      <c r="T90" s="47"/>
      <c r="U90" s="47"/>
      <c r="V90" s="47"/>
      <c r="W90" s="47"/>
      <c r="X90" s="47"/>
      <c r="Y90" s="47"/>
      <c r="Z90" s="47"/>
    </row>
    <row r="91" spans="1:26" x14ac:dyDescent="0.2">
      <c r="A91" s="50"/>
      <c r="B91" s="51"/>
      <c r="C91" s="52"/>
      <c r="D91" s="48"/>
      <c r="E91" s="47"/>
      <c r="F91" s="47"/>
      <c r="G91" s="48"/>
      <c r="H91" s="47"/>
      <c r="I91" s="48"/>
      <c r="J91" s="48"/>
      <c r="K91" s="47"/>
      <c r="L91" s="48"/>
      <c r="R91" s="47"/>
      <c r="S91" s="47"/>
      <c r="T91" s="47"/>
      <c r="U91" s="47"/>
      <c r="V91" s="47"/>
      <c r="W91" s="47"/>
      <c r="X91" s="47"/>
      <c r="Y91" s="47"/>
      <c r="Z91" s="47"/>
    </row>
    <row r="92" spans="1:26" x14ac:dyDescent="0.2">
      <c r="A92" s="50"/>
      <c r="B92" s="51"/>
      <c r="C92" s="52"/>
      <c r="D92" s="48"/>
      <c r="E92" s="47"/>
      <c r="F92" s="47"/>
      <c r="G92" s="48"/>
      <c r="H92" s="47"/>
      <c r="I92" s="48"/>
      <c r="J92" s="48"/>
      <c r="K92" s="47"/>
      <c r="L92" s="48"/>
      <c r="R92" s="47"/>
      <c r="S92" s="47"/>
      <c r="T92" s="47"/>
      <c r="U92" s="47"/>
      <c r="V92" s="47"/>
      <c r="W92" s="47"/>
      <c r="X92" s="47"/>
      <c r="Y92" s="47"/>
      <c r="Z92" s="47"/>
    </row>
    <row r="93" spans="1:26" x14ac:dyDescent="0.2">
      <c r="A93" s="50"/>
      <c r="B93" s="51"/>
      <c r="C93" s="52"/>
      <c r="D93" s="48"/>
      <c r="E93" s="47"/>
      <c r="F93" s="47"/>
      <c r="G93" s="48"/>
      <c r="H93" s="47"/>
      <c r="I93" s="48"/>
      <c r="J93" s="48"/>
      <c r="K93" s="47"/>
      <c r="L93" s="48"/>
      <c r="R93" s="47"/>
      <c r="S93" s="47"/>
      <c r="T93" s="47"/>
      <c r="U93" s="47"/>
      <c r="V93" s="47"/>
      <c r="W93" s="47"/>
      <c r="X93" s="47"/>
      <c r="Y93" s="47"/>
      <c r="Z93" s="47"/>
    </row>
    <row r="94" spans="1:26" x14ac:dyDescent="0.2">
      <c r="A94" s="50"/>
      <c r="B94" s="51"/>
      <c r="C94" s="52"/>
      <c r="D94" s="48"/>
      <c r="E94" s="47"/>
      <c r="F94" s="47"/>
      <c r="G94" s="48"/>
      <c r="H94" s="47"/>
      <c r="I94" s="48"/>
      <c r="J94" s="48"/>
      <c r="K94" s="47"/>
      <c r="L94" s="48"/>
      <c r="R94" s="47"/>
      <c r="S94" s="47"/>
      <c r="T94" s="47"/>
      <c r="U94" s="47"/>
      <c r="V94" s="47"/>
      <c r="W94" s="47"/>
      <c r="X94" s="47"/>
      <c r="Y94" s="47"/>
      <c r="Z94" s="47"/>
    </row>
    <row r="95" spans="1:26" x14ac:dyDescent="0.2">
      <c r="A95" s="50"/>
      <c r="B95" s="51"/>
      <c r="C95" s="52"/>
      <c r="D95" s="48"/>
      <c r="E95" s="47"/>
      <c r="F95" s="47"/>
      <c r="G95" s="48"/>
      <c r="H95" s="47"/>
      <c r="I95" s="48"/>
      <c r="J95" s="48"/>
      <c r="K95" s="47"/>
      <c r="L95" s="48"/>
      <c r="R95" s="47"/>
      <c r="S95" s="47"/>
      <c r="T95" s="47"/>
      <c r="U95" s="47"/>
      <c r="V95" s="47"/>
      <c r="W95" s="47"/>
      <c r="X95" s="47"/>
      <c r="Y95" s="47"/>
      <c r="Z95" s="47"/>
    </row>
  </sheetData>
  <mergeCells count="5">
    <mergeCell ref="R8:Z8"/>
    <mergeCell ref="D8:L8"/>
    <mergeCell ref="U1:Z1"/>
    <mergeCell ref="U2:Z2"/>
    <mergeCell ref="A5:Z5"/>
  </mergeCells>
  <phoneticPr fontId="34" type="noConversion"/>
  <printOptions horizontalCentered="1"/>
  <pageMargins left="0.39370078740157483" right="0.39370078740157483" top="0.19685039370078741" bottom="0.19685039370078741" header="0.51181102362204722" footer="0.51181102362204722"/>
  <pageSetup paperSize="9" scale="64" fitToHeight="0" orientation="landscape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pageSetUpPr fitToPage="1"/>
  </sheetPr>
  <dimension ref="A1:BH196"/>
  <sheetViews>
    <sheetView topLeftCell="A7" zoomScale="55" zoomScaleNormal="55" workbookViewId="0">
      <selection activeCell="A29" sqref="A29:XFD29"/>
    </sheetView>
  </sheetViews>
  <sheetFormatPr baseColWidth="10" defaultRowHeight="12.75" x14ac:dyDescent="0.2"/>
  <cols>
    <col min="1" max="1" width="10.28515625" customWidth="1"/>
    <col min="2" max="2" width="11.140625" style="21" bestFit="1" customWidth="1"/>
    <col min="3" max="30" width="11.28515625" customWidth="1"/>
    <col min="31" max="31" width="22.85546875" style="23" customWidth="1"/>
    <col min="41" max="41" width="13.5703125" bestFit="1" customWidth="1"/>
    <col min="43" max="49" width="11.42578125" style="11"/>
    <col min="51" max="54" width="11.42578125" customWidth="1"/>
  </cols>
  <sheetData>
    <row r="1" spans="1:60" s="2" customFormat="1" ht="27.75" customHeight="1" x14ac:dyDescent="0.2">
      <c r="B1" s="17"/>
      <c r="Y1" s="138" t="s">
        <v>9</v>
      </c>
      <c r="Z1" s="138"/>
      <c r="AA1" s="138"/>
      <c r="AB1" s="138"/>
      <c r="AC1" s="138"/>
      <c r="AD1" s="15"/>
      <c r="AE1" s="22"/>
    </row>
    <row r="2" spans="1:60" s="2" customFormat="1" ht="15.75" x14ac:dyDescent="0.2">
      <c r="B2" s="17"/>
      <c r="Y2" s="138" t="s">
        <v>53</v>
      </c>
      <c r="Z2" s="138"/>
      <c r="AA2" s="138"/>
      <c r="AB2" s="138"/>
      <c r="AC2" s="138"/>
      <c r="AD2" s="15"/>
      <c r="AE2" s="22"/>
    </row>
    <row r="3" spans="1:60" s="2" customFormat="1" ht="15" customHeight="1" x14ac:dyDescent="0.2">
      <c r="B3" s="17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29"/>
      <c r="AC3" s="29"/>
      <c r="AD3" s="29"/>
      <c r="AE3" s="22"/>
    </row>
    <row r="4" spans="1:60" ht="15" customHeight="1" x14ac:dyDescent="0.2">
      <c r="A4" s="2"/>
      <c r="B4" s="1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29"/>
      <c r="AC4" s="29"/>
      <c r="AD4" s="29"/>
      <c r="AE4" s="10"/>
      <c r="AF4" s="7"/>
      <c r="AQ4"/>
      <c r="AR4"/>
      <c r="AS4"/>
      <c r="AT4"/>
      <c r="AU4"/>
      <c r="AV4"/>
      <c r="AW4"/>
    </row>
    <row r="5" spans="1:60" s="31" customFormat="1" ht="18" customHeight="1" x14ac:dyDescent="0.2">
      <c r="A5" s="144" t="s">
        <v>90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80"/>
      <c r="AE5" s="32"/>
    </row>
    <row r="6" spans="1:60" ht="15" customHeight="1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Q6"/>
      <c r="AR6"/>
      <c r="AS6"/>
      <c r="AT6"/>
      <c r="AU6"/>
      <c r="AV6"/>
      <c r="AW6"/>
    </row>
    <row r="7" spans="1:60" s="2" customFormat="1" ht="15" customHeight="1" thickBot="1" x14ac:dyDescent="0.25">
      <c r="B7" s="17"/>
      <c r="C7" s="145" t="s">
        <v>12</v>
      </c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38"/>
      <c r="AB7" s="138"/>
      <c r="AC7" s="138"/>
      <c r="AD7" s="13"/>
      <c r="AE7" s="22"/>
      <c r="AW7"/>
      <c r="AX7" s="76"/>
      <c r="BF7" s="92"/>
      <c r="BG7" s="92"/>
      <c r="BH7" s="92"/>
    </row>
    <row r="8" spans="1:60" ht="16.5" thickBot="1" x14ac:dyDescent="0.3">
      <c r="A8" s="8"/>
      <c r="B8" s="20"/>
      <c r="C8" s="141" t="s">
        <v>1</v>
      </c>
      <c r="D8" s="142"/>
      <c r="E8" s="142"/>
      <c r="F8" s="143"/>
      <c r="G8" s="141" t="s">
        <v>58</v>
      </c>
      <c r="H8" s="142"/>
      <c r="I8" s="142"/>
      <c r="J8" s="143"/>
      <c r="K8" s="130" t="s">
        <v>13</v>
      </c>
      <c r="L8" s="125"/>
      <c r="M8" s="125"/>
      <c r="N8" s="126"/>
      <c r="O8" s="130" t="s">
        <v>2</v>
      </c>
      <c r="P8" s="125"/>
      <c r="Q8" s="125"/>
      <c r="R8" s="126"/>
      <c r="S8" s="130" t="s">
        <v>14</v>
      </c>
      <c r="T8" s="125"/>
      <c r="U8" s="125"/>
      <c r="V8" s="126"/>
      <c r="W8" s="130" t="s">
        <v>59</v>
      </c>
      <c r="X8" s="125"/>
      <c r="Y8" s="125"/>
      <c r="Z8" s="126"/>
      <c r="AA8" s="141" t="s">
        <v>3</v>
      </c>
      <c r="AB8" s="142"/>
      <c r="AC8" s="142"/>
      <c r="AD8" s="143"/>
      <c r="AE8" s="22"/>
      <c r="AQ8"/>
      <c r="AR8"/>
      <c r="AS8"/>
      <c r="AT8"/>
      <c r="AU8"/>
      <c r="AV8"/>
      <c r="AW8"/>
      <c r="AX8" s="76"/>
    </row>
    <row r="9" spans="1:60" s="3" customFormat="1" ht="60" customHeight="1" x14ac:dyDescent="0.25">
      <c r="A9" s="103" t="s">
        <v>81</v>
      </c>
      <c r="B9" s="85" t="s">
        <v>11</v>
      </c>
      <c r="C9" s="83" t="s">
        <v>27</v>
      </c>
      <c r="D9" s="83" t="s">
        <v>28</v>
      </c>
      <c r="E9" s="83" t="s">
        <v>29</v>
      </c>
      <c r="F9" s="81" t="s">
        <v>70</v>
      </c>
      <c r="G9" s="83" t="s">
        <v>54</v>
      </c>
      <c r="H9" s="83" t="s">
        <v>55</v>
      </c>
      <c r="I9" s="83" t="s">
        <v>56</v>
      </c>
      <c r="J9" s="81" t="s">
        <v>71</v>
      </c>
      <c r="K9" s="83" t="s">
        <v>30</v>
      </c>
      <c r="L9" s="83" t="s">
        <v>31</v>
      </c>
      <c r="M9" s="83" t="s">
        <v>32</v>
      </c>
      <c r="N9" s="81" t="s">
        <v>72</v>
      </c>
      <c r="O9" s="83" t="s">
        <v>33</v>
      </c>
      <c r="P9" s="83" t="s">
        <v>34</v>
      </c>
      <c r="Q9" s="83" t="s">
        <v>35</v>
      </c>
      <c r="R9" s="81" t="s">
        <v>73</v>
      </c>
      <c r="S9" s="83" t="s">
        <v>36</v>
      </c>
      <c r="T9" s="83" t="s">
        <v>37</v>
      </c>
      <c r="U9" s="83" t="s">
        <v>38</v>
      </c>
      <c r="V9" s="81" t="s">
        <v>74</v>
      </c>
      <c r="W9" s="83" t="s">
        <v>68</v>
      </c>
      <c r="X9" s="83" t="s">
        <v>69</v>
      </c>
      <c r="Y9" s="83" t="s">
        <v>57</v>
      </c>
      <c r="Z9" s="81" t="s">
        <v>75</v>
      </c>
      <c r="AA9" s="84" t="s">
        <v>39</v>
      </c>
      <c r="AB9" s="84" t="s">
        <v>40</v>
      </c>
      <c r="AC9" s="84" t="s">
        <v>41</v>
      </c>
      <c r="AD9" s="82" t="s">
        <v>76</v>
      </c>
      <c r="AE9" s="24"/>
      <c r="AF9" s="88"/>
      <c r="AG9" s="88"/>
      <c r="AH9" s="88"/>
      <c r="AI9" s="88"/>
      <c r="AJ9" s="88"/>
      <c r="AN9" s="73"/>
      <c r="AO9" s="73"/>
      <c r="AP9" s="73"/>
      <c r="AQ9" s="73"/>
      <c r="AR9" s="73"/>
      <c r="AS9" s="73"/>
      <c r="AT9" s="11" t="s">
        <v>45</v>
      </c>
      <c r="AU9" s="11" t="s">
        <v>83</v>
      </c>
      <c r="AV9" s="11" t="s">
        <v>84</v>
      </c>
      <c r="AW9" s="11" t="s">
        <v>82</v>
      </c>
    </row>
    <row r="10" spans="1:60" ht="29.25" customHeight="1" x14ac:dyDescent="0.2">
      <c r="A10" s="27">
        <f t="shared" ref="A10:A28" si="0">jours</f>
        <v>0</v>
      </c>
      <c r="B10" s="28">
        <f t="shared" ref="B10:B28" si="1">date</f>
        <v>44140</v>
      </c>
      <c r="C10" s="47">
        <f t="shared" ref="C10:C28" si="2">DPM_BG</f>
        <v>0</v>
      </c>
      <c r="D10" s="47">
        <f t="shared" ref="D10:D28" si="3">DH_BG</f>
        <v>0</v>
      </c>
      <c r="E10" s="47">
        <f t="shared" ref="E10:E28" si="4">DZ_BG</f>
        <v>0</v>
      </c>
      <c r="F10" s="47">
        <f xml:space="preserve"> SQRT(C10*C10+D10*D10+E10*E10)</f>
        <v>0</v>
      </c>
      <c r="G10" s="47">
        <f t="shared" ref="G10:G28" si="5">DPM_IG</f>
        <v>0</v>
      </c>
      <c r="H10" s="47">
        <f t="shared" ref="H10:H28" si="6">DH_IG</f>
        <v>0</v>
      </c>
      <c r="I10" s="47">
        <f t="shared" ref="I10:I28" si="7">DZ_IG</f>
        <v>0</v>
      </c>
      <c r="J10" s="47">
        <f t="shared" ref="J10:J15" si="8" xml:space="preserve"> SQRT(G10*G10+H10*H10+I10*I10)</f>
        <v>0</v>
      </c>
      <c r="K10" s="47">
        <f t="shared" ref="K10:K28" si="9">DPM_HG</f>
        <v>0</v>
      </c>
      <c r="L10" s="47">
        <f t="shared" ref="L10:L28" si="10">DH_HG</f>
        <v>0</v>
      </c>
      <c r="M10" s="47">
        <f t="shared" ref="M10:M28" si="11">DZ_HG</f>
        <v>0</v>
      </c>
      <c r="N10" s="47">
        <f t="shared" ref="N10:N15" si="12" xml:space="preserve"> SQRT(K10*K10+L10*L10+M10*M10)</f>
        <v>0</v>
      </c>
      <c r="O10" s="47">
        <f t="shared" ref="O10:O28" si="13">DPMhaut</f>
        <v>0</v>
      </c>
      <c r="P10" s="47">
        <f t="shared" ref="P10:P28" si="14">DHhaut</f>
        <v>0</v>
      </c>
      <c r="Q10" s="47">
        <f t="shared" ref="Q10:Q28" si="15">DZhaut</f>
        <v>0</v>
      </c>
      <c r="R10" s="47">
        <f t="shared" ref="R10:R15" si="16" xml:space="preserve"> SQRT(O10*O10+P10*P10+Q10*Q10)</f>
        <v>0</v>
      </c>
      <c r="S10" s="47">
        <f t="shared" ref="S10:S28" si="17">DPM_HD</f>
        <v>0</v>
      </c>
      <c r="T10" s="47">
        <f t="shared" ref="T10:T28" si="18">DH_HD</f>
        <v>0</v>
      </c>
      <c r="U10" s="47">
        <f t="shared" ref="U10:U28" si="19">DZ_HD</f>
        <v>0</v>
      </c>
      <c r="V10" s="47">
        <f t="shared" ref="V10:V15" si="20" xml:space="preserve"> SQRT(S10*S10+T10*T10+U10*U10)</f>
        <v>0</v>
      </c>
      <c r="W10" s="48">
        <f t="shared" ref="W10:W28" si="21">DPM_ID</f>
        <v>0</v>
      </c>
      <c r="X10" s="48">
        <f t="shared" ref="X10:X28" si="22">DH_ID</f>
        <v>0</v>
      </c>
      <c r="Y10" s="48">
        <f t="shared" ref="Y10:Y28" si="23">DZ_ID</f>
        <v>0</v>
      </c>
      <c r="Z10" s="47">
        <f t="shared" ref="Z10:Z15" si="24" xml:space="preserve"> SQRT(W10*W10+X10*X10+Y10*Y10)</f>
        <v>0</v>
      </c>
      <c r="AA10" s="47">
        <f t="shared" ref="AA10:AA19" si="25">DPM_BD</f>
        <v>0</v>
      </c>
      <c r="AB10" s="47">
        <f t="shared" ref="AB10:AB19" si="26">DH_BD</f>
        <v>0</v>
      </c>
      <c r="AC10" s="47">
        <f t="shared" ref="AC10:AC19" si="27">DZ_BD</f>
        <v>0</v>
      </c>
      <c r="AD10" s="47">
        <f xml:space="preserve"> SQRT(AA10*AA10+AB10*AB10+AC10*AC10)</f>
        <v>0</v>
      </c>
      <c r="AE10" s="22" t="str">
        <f>IF(Convergences!M10="","",Convergences!M10)</f>
        <v/>
      </c>
      <c r="AF10" s="88"/>
      <c r="AG10" s="88"/>
      <c r="AH10" s="88"/>
      <c r="AI10" s="88"/>
      <c r="AJ10" s="88"/>
      <c r="AK10" s="93"/>
      <c r="AQ10" s="140" t="s">
        <v>85</v>
      </c>
      <c r="AR10" s="140"/>
      <c r="AS10"/>
      <c r="AU10" s="29">
        <v>43599</v>
      </c>
      <c r="AV10" s="11">
        <v>0</v>
      </c>
      <c r="AW10" s="11" t="e">
        <f t="shared" ref="AW10" si="28">$AR$12*(1-($AR$13/(AV10+$AR$13))^$AR$14)</f>
        <v>#DIV/0!</v>
      </c>
      <c r="AY10" s="93"/>
      <c r="BC10" s="74"/>
    </row>
    <row r="11" spans="1:60" ht="29.25" customHeight="1" x14ac:dyDescent="0.2">
      <c r="A11" s="27">
        <f t="shared" si="0"/>
        <v>32</v>
      </c>
      <c r="B11" s="28">
        <f t="shared" si="1"/>
        <v>44172</v>
      </c>
      <c r="C11" s="47">
        <f t="shared" si="2"/>
        <v>-1.5886340417239353</v>
      </c>
      <c r="D11" s="47">
        <f t="shared" si="3"/>
        <v>0.80389161500304951</v>
      </c>
      <c r="E11" s="47">
        <f t="shared" si="4"/>
        <v>0.60000000000570708</v>
      </c>
      <c r="F11" s="47">
        <f xml:space="preserve"> SQRT(C11*C11+D11*D11+E11*E11)</f>
        <v>1.8788293821428241</v>
      </c>
      <c r="G11" s="47">
        <f t="shared" si="5"/>
        <v>-1.2744813375604735</v>
      </c>
      <c r="H11" s="47">
        <f t="shared" si="6"/>
        <v>0.84005814846310756</v>
      </c>
      <c r="I11" s="47">
        <f t="shared" si="7"/>
        <v>0.59999999999149622</v>
      </c>
      <c r="J11" s="47">
        <f t="shared" si="8"/>
        <v>1.6401220602683795</v>
      </c>
      <c r="K11" s="47">
        <f t="shared" si="9"/>
        <v>-1.3411416795463538</v>
      </c>
      <c r="L11" s="47">
        <f t="shared" si="10"/>
        <v>3.6592713611671712E-2</v>
      </c>
      <c r="M11" s="47">
        <f t="shared" si="11"/>
        <v>0.39999999999906777</v>
      </c>
      <c r="N11" s="47">
        <f t="shared" si="12"/>
        <v>1.4000000111804052</v>
      </c>
      <c r="O11" s="47">
        <f t="shared" si="13"/>
        <v>0.27188757491103388</v>
      </c>
      <c r="P11" s="47">
        <f t="shared" si="14"/>
        <v>0.12679558444439465</v>
      </c>
      <c r="Q11" s="47">
        <f t="shared" si="15"/>
        <v>0.29999999999574811</v>
      </c>
      <c r="R11" s="47">
        <f t="shared" si="16"/>
        <v>0.42426403762639081</v>
      </c>
      <c r="S11" s="47">
        <f t="shared" si="17"/>
        <v>-0.86402686457631717</v>
      </c>
      <c r="T11" s="47">
        <f t="shared" si="18"/>
        <v>-0.51328129214445184</v>
      </c>
      <c r="U11" s="47">
        <f t="shared" si="19"/>
        <v>-9.9999999989108801E-2</v>
      </c>
      <c r="V11" s="47">
        <f t="shared" si="20"/>
        <v>1.0099505470927184</v>
      </c>
      <c r="W11" s="48">
        <f t="shared" si="21"/>
        <v>-0.94855721434328188</v>
      </c>
      <c r="X11" s="48">
        <f t="shared" si="22"/>
        <v>-0.33202271897447844</v>
      </c>
      <c r="Y11" s="48">
        <f t="shared" si="23"/>
        <v>0.39999999999906777</v>
      </c>
      <c r="Z11" s="47">
        <f t="shared" si="24"/>
        <v>1.0816653247641559</v>
      </c>
      <c r="AA11" s="47">
        <f t="shared" si="25"/>
        <v>-0.54377525529503146</v>
      </c>
      <c r="AB11" s="47">
        <f t="shared" si="26"/>
        <v>-0.25359121808854468</v>
      </c>
      <c r="AC11" s="47">
        <f t="shared" si="27"/>
        <v>0.70000000000902673</v>
      </c>
      <c r="AD11" s="47">
        <f xml:space="preserve"> SQRT(AA11*AA11+AB11*AB11+AC11*AC11)</f>
        <v>0.92195446426352634</v>
      </c>
      <c r="AE11" s="22"/>
      <c r="AF11" s="88"/>
      <c r="AG11" s="88"/>
      <c r="AH11" s="88"/>
      <c r="AI11" s="88"/>
      <c r="AJ11" s="88"/>
      <c r="AK11" s="93"/>
      <c r="AM11" s="88"/>
      <c r="AN11" s="88"/>
      <c r="AO11" s="88"/>
      <c r="AP11" s="88"/>
      <c r="AQ11" s="107"/>
      <c r="AR11" s="89"/>
      <c r="AS11" s="89"/>
      <c r="AU11" s="29"/>
      <c r="AY11" s="93"/>
      <c r="BC11" s="76"/>
    </row>
    <row r="12" spans="1:60" ht="29.25" customHeight="1" x14ac:dyDescent="0.2">
      <c r="A12" s="27">
        <f t="shared" si="0"/>
        <v>89</v>
      </c>
      <c r="B12" s="28">
        <f t="shared" si="1"/>
        <v>44229</v>
      </c>
      <c r="C12" s="47">
        <f t="shared" si="2"/>
        <v>-1.1481120458824989</v>
      </c>
      <c r="D12" s="47">
        <f t="shared" si="3"/>
        <v>-1.0871241195062886</v>
      </c>
      <c r="E12" s="47">
        <f t="shared" si="4"/>
        <v>-0.99999999999056399</v>
      </c>
      <c r="F12" s="47">
        <f xml:space="preserve"> SQRT(C12*C12+D12*D12+E12*E12)</f>
        <v>1.8708287257506895</v>
      </c>
      <c r="G12" s="47">
        <f t="shared" si="5"/>
        <v>-0.52590524043694131</v>
      </c>
      <c r="H12" s="47">
        <f t="shared" si="6"/>
        <v>-1.2383149659322967</v>
      </c>
      <c r="I12" s="47">
        <f t="shared" si="7"/>
        <v>-0.50000000000238742</v>
      </c>
      <c r="J12" s="47">
        <f t="shared" si="8"/>
        <v>1.4352701058592872</v>
      </c>
      <c r="K12" s="47">
        <f t="shared" si="9"/>
        <v>-0.25401756005294374</v>
      </c>
      <c r="L12" s="47">
        <f t="shared" si="10"/>
        <v>-1.111519332269495</v>
      </c>
      <c r="M12" s="47">
        <f t="shared" si="11"/>
        <v>-0.90000000000145519</v>
      </c>
      <c r="N12" s="47">
        <f t="shared" si="12"/>
        <v>1.4525839551732265</v>
      </c>
      <c r="O12" s="47">
        <f t="shared" si="13"/>
        <v>2.3981981707095201</v>
      </c>
      <c r="P12" s="47">
        <f t="shared" si="14"/>
        <v>-0.6470285148041377</v>
      </c>
      <c r="Q12" s="47">
        <f t="shared" si="15"/>
        <v>-1.0999999999938836</v>
      </c>
      <c r="R12" s="47">
        <f t="shared" si="16"/>
        <v>2.7166156086113253</v>
      </c>
      <c r="S12" s="47">
        <f t="shared" si="17"/>
        <v>-0.58604048291499566</v>
      </c>
      <c r="T12" s="47">
        <f t="shared" si="18"/>
        <v>-0.16296195611920083</v>
      </c>
      <c r="U12" s="47">
        <f t="shared" si="19"/>
        <v>-0.89999999998724434</v>
      </c>
      <c r="V12" s="47">
        <f t="shared" si="20"/>
        <v>1.0862780706313082</v>
      </c>
      <c r="W12" s="48">
        <f t="shared" si="21"/>
        <v>0.24139356253272126</v>
      </c>
      <c r="X12" s="48">
        <f t="shared" si="22"/>
        <v>-0.99082239270931183</v>
      </c>
      <c r="Y12" s="48">
        <f t="shared" si="23"/>
        <v>-0.30000000000995897</v>
      </c>
      <c r="Z12" s="47">
        <f t="shared" si="24"/>
        <v>1.0630145182133779</v>
      </c>
      <c r="AA12" s="47"/>
      <c r="AB12" s="47"/>
      <c r="AC12" s="47"/>
      <c r="AD12" s="47"/>
      <c r="AE12" s="22"/>
      <c r="AF12" s="88"/>
      <c r="AG12" s="88"/>
      <c r="AH12" s="88"/>
      <c r="AI12" s="88"/>
      <c r="AJ12" s="88"/>
      <c r="AK12" s="93"/>
      <c r="AL12" s="88"/>
      <c r="AM12" s="88"/>
      <c r="AN12" s="88"/>
      <c r="AO12" s="88"/>
      <c r="AP12" s="88"/>
      <c r="AQ12" s="89"/>
      <c r="AR12" s="89"/>
      <c r="AS12" s="89"/>
      <c r="AU12" s="29"/>
      <c r="AY12" s="93"/>
      <c r="BC12" s="74"/>
    </row>
    <row r="13" spans="1:60" ht="29.25" customHeight="1" x14ac:dyDescent="0.2">
      <c r="A13" s="27">
        <f t="shared" si="0"/>
        <v>133</v>
      </c>
      <c r="B13" s="28">
        <f t="shared" si="1"/>
        <v>44273</v>
      </c>
      <c r="C13" s="47">
        <f t="shared" si="2"/>
        <v>-1.4439684424019106</v>
      </c>
      <c r="D13" s="47">
        <f t="shared" si="3"/>
        <v>-0.45271970770821568</v>
      </c>
      <c r="E13" s="47">
        <f t="shared" si="4"/>
        <v>-0.29999999999574811</v>
      </c>
      <c r="F13" s="47">
        <f xml:space="preserve"> SQRT(C13*C13+D13*D13+E13*E13)</f>
        <v>1.5427248608865618</v>
      </c>
      <c r="G13" s="47">
        <f t="shared" si="5"/>
        <v>-1.0269888699099283</v>
      </c>
      <c r="H13" s="47">
        <f t="shared" si="6"/>
        <v>7.2759296285695996E-2</v>
      </c>
      <c r="I13" s="47">
        <f t="shared" si="7"/>
        <v>-0.10000000000331966</v>
      </c>
      <c r="J13" s="47">
        <f t="shared" si="8"/>
        <v>1.0344080694365863</v>
      </c>
      <c r="K13" s="47">
        <f t="shared" si="9"/>
        <v>-0.90629209219628137</v>
      </c>
      <c r="L13" s="47">
        <f t="shared" si="10"/>
        <v>-0.42265203016222941</v>
      </c>
      <c r="M13" s="47">
        <f t="shared" si="11"/>
        <v>-0.90000000000145519</v>
      </c>
      <c r="N13" s="47">
        <f t="shared" si="12"/>
        <v>1.3453624400065531</v>
      </c>
      <c r="O13" s="47">
        <f t="shared" si="13"/>
        <v>2.2892725027077176</v>
      </c>
      <c r="P13" s="47">
        <f t="shared" si="14"/>
        <v>-1.3598644766920076</v>
      </c>
      <c r="Q13" s="47">
        <f t="shared" si="15"/>
        <v>-2.3000000000052978</v>
      </c>
      <c r="R13" s="47">
        <f t="shared" si="16"/>
        <v>3.518522415254286</v>
      </c>
      <c r="S13" s="47">
        <f t="shared" si="17"/>
        <v>-0.48364011121293515</v>
      </c>
      <c r="T13" s="47">
        <f t="shared" si="18"/>
        <v>-1.3289440168762212</v>
      </c>
      <c r="U13" s="47">
        <f t="shared" si="19"/>
        <v>-0.99999999999056399</v>
      </c>
      <c r="V13" s="47">
        <f t="shared" si="20"/>
        <v>1.7320507951980781</v>
      </c>
      <c r="W13" s="48">
        <f t="shared" si="21"/>
        <v>-0.94288490421945426</v>
      </c>
      <c r="X13" s="48">
        <f t="shared" si="22"/>
        <v>-1.7637934986947101</v>
      </c>
      <c r="Y13" s="48">
        <f t="shared" si="23"/>
        <v>-0.10000000000331966</v>
      </c>
      <c r="Z13" s="47">
        <f t="shared" si="24"/>
        <v>2.0024983017828801</v>
      </c>
      <c r="AA13" s="47">
        <f t="shared" si="25"/>
        <v>-1.8722804242088387E-2</v>
      </c>
      <c r="AB13" s="47">
        <f t="shared" si="26"/>
        <v>-2.3258654765574427</v>
      </c>
      <c r="AC13" s="47">
        <f t="shared" si="27"/>
        <v>0.10000000000331966</v>
      </c>
      <c r="AD13" s="47">
        <f xml:space="preserve"> SQRT(AA13*AA13+AB13*AB13+AC13*AC13)</f>
        <v>2.3280895082537381</v>
      </c>
      <c r="AE13" s="22"/>
      <c r="AF13" s="88"/>
      <c r="AG13" s="88"/>
      <c r="AH13" s="88"/>
      <c r="AI13" s="88"/>
      <c r="AJ13" s="88"/>
      <c r="AK13" s="93"/>
      <c r="AL13" s="88"/>
      <c r="AM13" s="88"/>
      <c r="AN13" s="88"/>
      <c r="AO13" s="88"/>
      <c r="AP13" s="88"/>
      <c r="AQ13" s="89"/>
      <c r="AR13" s="89"/>
      <c r="AS13" s="89"/>
      <c r="AU13" s="29"/>
      <c r="AY13" s="93"/>
      <c r="BC13" s="76"/>
    </row>
    <row r="14" spans="1:60" ht="29.25" customHeight="1" x14ac:dyDescent="0.2">
      <c r="A14" s="27">
        <f t="shared" si="0"/>
        <v>147</v>
      </c>
      <c r="B14" s="28">
        <f t="shared" si="1"/>
        <v>44287</v>
      </c>
      <c r="C14" s="47"/>
      <c r="D14" s="47"/>
      <c r="E14" s="47"/>
      <c r="F14" s="47"/>
      <c r="G14" s="47">
        <f t="shared" si="5"/>
        <v>-1.8056323914663608</v>
      </c>
      <c r="H14" s="47">
        <f t="shared" si="6"/>
        <v>2.6888084935325907</v>
      </c>
      <c r="I14" s="47">
        <f t="shared" si="7"/>
        <v>0.89999999998724434</v>
      </c>
      <c r="J14" s="47">
        <f t="shared" si="8"/>
        <v>3.3615471806866801</v>
      </c>
      <c r="K14" s="47">
        <f t="shared" si="9"/>
        <v>-2.0413536439036761</v>
      </c>
      <c r="L14" s="47">
        <f t="shared" si="10"/>
        <v>2.2478601065545334</v>
      </c>
      <c r="M14" s="47">
        <f t="shared" si="11"/>
        <v>0.39999999999906777</v>
      </c>
      <c r="N14" s="47">
        <f t="shared" si="12"/>
        <v>3.0626785267339809</v>
      </c>
      <c r="O14" s="47">
        <f t="shared" si="13"/>
        <v>2.1210645713551912</v>
      </c>
      <c r="P14" s="47">
        <f t="shared" si="14"/>
        <v>2.3132411132970043</v>
      </c>
      <c r="Q14" s="47">
        <f t="shared" si="15"/>
        <v>-1.8000000000029104</v>
      </c>
      <c r="R14" s="47">
        <f t="shared" si="16"/>
        <v>3.6180104151475603</v>
      </c>
      <c r="S14" s="47">
        <f t="shared" si="17"/>
        <v>-7.1906359295326183E-2</v>
      </c>
      <c r="T14" s="47">
        <f t="shared" si="18"/>
        <v>2.2836000379222732</v>
      </c>
      <c r="U14" s="47">
        <f t="shared" si="19"/>
        <v>0</v>
      </c>
      <c r="V14" s="47">
        <f t="shared" si="20"/>
        <v>2.2847318568501023</v>
      </c>
      <c r="W14" s="48">
        <f t="shared" si="21"/>
        <v>-1.4679372569332827</v>
      </c>
      <c r="X14" s="48">
        <f t="shared" si="22"/>
        <v>0.30848054876653208</v>
      </c>
      <c r="Y14" s="48">
        <f t="shared" si="23"/>
        <v>0.79999999999813554</v>
      </c>
      <c r="Z14" s="47">
        <f t="shared" si="24"/>
        <v>1.7000000115462139</v>
      </c>
      <c r="AA14" s="47">
        <f t="shared" si="25"/>
        <v>-1.1476856547290026</v>
      </c>
      <c r="AB14" s="47">
        <f t="shared" si="26"/>
        <v>0.56817036256973097</v>
      </c>
      <c r="AC14" s="47">
        <f t="shared" si="27"/>
        <v>0.90000000000145519</v>
      </c>
      <c r="AD14" s="47">
        <f t="shared" ref="AD14:AD15" si="29" xml:space="preserve"> SQRT(AA14*AA14+AB14*AB14+AC14*AC14)</f>
        <v>1.5652475596454314</v>
      </c>
      <c r="AE14" s="22"/>
      <c r="AF14" s="88"/>
      <c r="AG14" s="88"/>
      <c r="AH14" s="88"/>
      <c r="AI14" s="88"/>
      <c r="AJ14" s="88"/>
      <c r="AK14" s="93"/>
      <c r="AL14" s="88"/>
      <c r="AM14" s="88"/>
      <c r="AN14" s="88"/>
      <c r="AO14" s="88"/>
      <c r="AP14" s="88"/>
      <c r="AQ14" s="89"/>
      <c r="AR14" s="89"/>
      <c r="AS14" s="89"/>
      <c r="AU14" s="29"/>
      <c r="AY14" s="93"/>
      <c r="BC14" s="74"/>
    </row>
    <row r="15" spans="1:60" ht="29.25" customHeight="1" x14ac:dyDescent="0.2">
      <c r="A15" s="27">
        <f t="shared" si="0"/>
        <v>168</v>
      </c>
      <c r="B15" s="28">
        <f t="shared" si="1"/>
        <v>44308</v>
      </c>
      <c r="C15" s="47">
        <f t="shared" si="2"/>
        <v>-0.96075492621139347</v>
      </c>
      <c r="D15" s="47">
        <f t="shared" si="3"/>
        <v>-0.77907001111343632</v>
      </c>
      <c r="E15" s="47">
        <f t="shared" si="4"/>
        <v>0</v>
      </c>
      <c r="F15" s="47">
        <f xml:space="preserve"> SQRT(C15*C15+D15*D15+E15*E15)</f>
        <v>1.236931732334388</v>
      </c>
      <c r="G15" s="47">
        <f t="shared" si="5"/>
        <v>-0.51370763407021514</v>
      </c>
      <c r="H15" s="47">
        <f t="shared" si="6"/>
        <v>-0.79126772298820924</v>
      </c>
      <c r="I15" s="47">
        <f t="shared" si="7"/>
        <v>9.9999999989108801E-2</v>
      </c>
      <c r="J15" s="47">
        <f t="shared" si="8"/>
        <v>0.94868337328256436</v>
      </c>
      <c r="K15" s="47">
        <f t="shared" si="9"/>
        <v>-0.29628278764448623</v>
      </c>
      <c r="L15" s="47">
        <f t="shared" si="10"/>
        <v>-1.0208900702828316</v>
      </c>
      <c r="M15" s="47">
        <f t="shared" si="11"/>
        <v>-0.39999999999906777</v>
      </c>
      <c r="N15" s="47">
        <f t="shared" si="12"/>
        <v>1.1357816805424037</v>
      </c>
      <c r="O15" s="47">
        <f t="shared" si="13"/>
        <v>2.343735336694408</v>
      </c>
      <c r="P15" s="47">
        <f t="shared" si="14"/>
        <v>-1.0034464957575651</v>
      </c>
      <c r="Q15" s="47">
        <f t="shared" si="15"/>
        <v>-2.2000000000019782</v>
      </c>
      <c r="R15" s="47">
        <f t="shared" si="16"/>
        <v>3.36749167754382</v>
      </c>
      <c r="S15" s="47">
        <f t="shared" si="17"/>
        <v>-0.55597286166175763</v>
      </c>
      <c r="T15" s="47">
        <f t="shared" si="18"/>
        <v>-0.70063846100909544</v>
      </c>
      <c r="U15" s="47">
        <f t="shared" si="19"/>
        <v>-0.59999999999149622</v>
      </c>
      <c r="V15" s="47">
        <f t="shared" si="20"/>
        <v>1.0770329966808598</v>
      </c>
      <c r="W15" s="48">
        <f t="shared" si="21"/>
        <v>0.2775599904794035</v>
      </c>
      <c r="X15" s="48">
        <f t="shared" si="22"/>
        <v>-1.3049751460334491</v>
      </c>
      <c r="Y15" s="48">
        <f t="shared" si="23"/>
        <v>9.9999999989108801E-2</v>
      </c>
      <c r="Z15" s="47">
        <f t="shared" si="24"/>
        <v>1.3379086964654092</v>
      </c>
      <c r="AA15" s="47">
        <f t="shared" si="25"/>
        <v>0.41655317420463689</v>
      </c>
      <c r="AB15" s="47">
        <f t="shared" si="26"/>
        <v>-1.129815738273976</v>
      </c>
      <c r="AC15" s="47">
        <f t="shared" si="27"/>
        <v>0.20000000000663931</v>
      </c>
      <c r="AD15" s="47">
        <f t="shared" si="29"/>
        <v>1.2206556227676109</v>
      </c>
      <c r="AE15" s="22"/>
      <c r="AF15" s="88"/>
      <c r="AG15" s="88"/>
      <c r="AH15" s="88"/>
      <c r="AI15" s="88"/>
      <c r="AJ15" s="88"/>
      <c r="AK15" s="93"/>
      <c r="AL15" s="88"/>
      <c r="AM15" s="88"/>
      <c r="AN15" s="88"/>
      <c r="AO15" s="88"/>
      <c r="AP15" s="88"/>
      <c r="AS15" s="89"/>
      <c r="AU15" s="29"/>
      <c r="AY15" s="93"/>
      <c r="BC15" s="76"/>
    </row>
    <row r="16" spans="1:60" ht="29.25" customHeight="1" x14ac:dyDescent="0.2">
      <c r="A16" s="27">
        <f t="shared" si="0"/>
        <v>182</v>
      </c>
      <c r="B16" s="28">
        <f t="shared" si="1"/>
        <v>44322</v>
      </c>
      <c r="C16" s="47"/>
      <c r="D16" s="47"/>
      <c r="E16" s="47"/>
      <c r="F16" s="47"/>
      <c r="G16" s="47">
        <f t="shared" si="5"/>
        <v>-0.85792805782602954</v>
      </c>
      <c r="H16" s="47">
        <f t="shared" si="6"/>
        <v>-0.28975754060223124</v>
      </c>
      <c r="I16" s="47">
        <f t="shared" si="7"/>
        <v>-0.10000000000331966</v>
      </c>
      <c r="J16" s="47">
        <f t="shared" ref="J16" si="30" xml:space="preserve"> SQRT(G16*G16+H16*H16+I16*I16)</f>
        <v>0.91104334954032828</v>
      </c>
      <c r="K16" s="47">
        <f t="shared" si="9"/>
        <v>-0.13899319083066075</v>
      </c>
      <c r="L16" s="47">
        <f t="shared" si="10"/>
        <v>-0.17515966802461591</v>
      </c>
      <c r="M16" s="47">
        <f t="shared" si="11"/>
        <v>-0.70000000000902673</v>
      </c>
      <c r="N16" s="47">
        <f t="shared" ref="N16" si="31" xml:space="preserve"> SQRT(K16*K16+L16*L16+M16*M16)</f>
        <v>0.73484693400219037</v>
      </c>
      <c r="O16" s="47">
        <f t="shared" si="13"/>
        <v>2.5493889679069071</v>
      </c>
      <c r="P16" s="47">
        <f t="shared" si="14"/>
        <v>-2.4821603889058075E-2</v>
      </c>
      <c r="Q16" s="47">
        <f t="shared" si="15"/>
        <v>-2.4999999999977263</v>
      </c>
      <c r="R16" s="47">
        <f t="shared" ref="R16" si="32" xml:space="preserve"> SQRT(O16*O16+P16*P16+Q16*Q16)</f>
        <v>3.5707142453147522</v>
      </c>
      <c r="S16" s="47">
        <f t="shared" si="17"/>
        <v>9.0629156460408922E-2</v>
      </c>
      <c r="T16" s="47">
        <f t="shared" si="18"/>
        <v>4.2265178418876559E-2</v>
      </c>
      <c r="U16" s="47">
        <f t="shared" si="19"/>
        <v>-1.1999999999972033</v>
      </c>
      <c r="V16" s="47">
        <f t="shared" ref="V16" si="33" xml:space="preserve"> SQRT(S16*S16+T16*T16+U16*U16)</f>
        <v>1.2041594534366256</v>
      </c>
      <c r="W16" s="48">
        <f t="shared" si="21"/>
        <v>0.56164517178558526</v>
      </c>
      <c r="X16" s="48">
        <f t="shared" si="22"/>
        <v>-0.73113231866805961</v>
      </c>
      <c r="Y16" s="48">
        <f t="shared" si="23"/>
        <v>-0.39999999999906777</v>
      </c>
      <c r="Z16" s="47">
        <f t="shared" ref="Z16" si="34" xml:space="preserve"> SQRT(W16*W16+X16*X16+Y16*Y16)</f>
        <v>1.0049874458868862</v>
      </c>
      <c r="AA16" s="47">
        <f t="shared" si="25"/>
        <v>0.6161081041966554</v>
      </c>
      <c r="AB16" s="47">
        <f t="shared" si="26"/>
        <v>-0.37471454876802923</v>
      </c>
      <c r="AC16" s="47">
        <f t="shared" si="27"/>
        <v>0</v>
      </c>
      <c r="AD16" s="47">
        <f t="shared" ref="AD16" si="35" xml:space="preserve"> SQRT(AA16*AA16+AB16*AB16+AC16*AC16)</f>
        <v>0.7211103862206012</v>
      </c>
      <c r="AE16" s="22"/>
      <c r="AF16" s="88"/>
      <c r="AG16" s="88"/>
      <c r="AH16" s="88"/>
      <c r="AI16" s="88"/>
      <c r="AJ16" s="88"/>
      <c r="AK16" s="93"/>
      <c r="AL16" s="88"/>
      <c r="AM16" s="88"/>
      <c r="AN16" s="88"/>
      <c r="AO16" s="88"/>
      <c r="AP16" s="88"/>
      <c r="AQ16" s="89"/>
      <c r="AR16" s="89"/>
      <c r="AS16" s="89"/>
      <c r="AU16" s="29"/>
      <c r="AY16" s="93"/>
      <c r="BC16" s="74"/>
    </row>
    <row r="17" spans="1:55" ht="29.25" customHeight="1" x14ac:dyDescent="0.2">
      <c r="A17" s="27">
        <f t="shared" si="0"/>
        <v>197</v>
      </c>
      <c r="B17" s="28">
        <f t="shared" si="1"/>
        <v>44337</v>
      </c>
      <c r="C17" s="47"/>
      <c r="D17" s="47"/>
      <c r="E17" s="47"/>
      <c r="F17" s="47"/>
      <c r="G17" s="47">
        <f t="shared" si="5"/>
        <v>0.76729890142246404</v>
      </c>
      <c r="H17" s="47">
        <f t="shared" si="6"/>
        <v>0.24749236214205439</v>
      </c>
      <c r="I17" s="47">
        <f t="shared" si="7"/>
        <v>-0.40000000001327862</v>
      </c>
      <c r="J17" s="47">
        <f t="shared" ref="J17:J20" si="36" xml:space="preserve"> SQRT(G17*G17+H17*H17+I17*I17)</f>
        <v>0.90000004080744178</v>
      </c>
      <c r="K17" s="47">
        <f t="shared" si="9"/>
        <v>0.4771148149700366</v>
      </c>
      <c r="L17" s="47">
        <f t="shared" si="10"/>
        <v>-0.54987400575345902</v>
      </c>
      <c r="M17" s="47">
        <f t="shared" si="11"/>
        <v>-0.70000000000902673</v>
      </c>
      <c r="N17" s="47">
        <f t="shared" ref="N17:N20" si="37" xml:space="preserve"> SQRT(K17*K17+L17*L17+M17*M17)</f>
        <v>1.0099504784294548</v>
      </c>
      <c r="O17" s="47">
        <f t="shared" si="13"/>
        <v>3.1232317389822128</v>
      </c>
      <c r="P17" s="47">
        <f t="shared" si="14"/>
        <v>-0.3089069398842792</v>
      </c>
      <c r="Q17" s="47">
        <f t="shared" si="15"/>
        <v>-2.7000000000043656</v>
      </c>
      <c r="R17" s="47">
        <f t="shared" ref="R17:R20" si="38" xml:space="preserve"> SQRT(O17*O17+P17*P17+Q17*Q17)</f>
        <v>4.1400483080415977</v>
      </c>
      <c r="S17" s="47">
        <f t="shared" si="17"/>
        <v>0.66447203303710012</v>
      </c>
      <c r="T17" s="47">
        <f t="shared" si="18"/>
        <v>-0.24182010839091106</v>
      </c>
      <c r="U17" s="47">
        <f t="shared" si="19"/>
        <v>-0.89999999998724434</v>
      </c>
      <c r="V17" s="47">
        <f t="shared" ref="V17:V20" si="39" xml:space="preserve"> SQRT(S17*S17+T17*T17+U17*U17)</f>
        <v>1.1445523349710527</v>
      </c>
      <c r="W17" s="48">
        <f t="shared" si="21"/>
        <v>1.2683824324426496</v>
      </c>
      <c r="X17" s="48">
        <f t="shared" si="22"/>
        <v>-1.0635816890234295</v>
      </c>
      <c r="Y17" s="48">
        <f t="shared" si="23"/>
        <v>-0.30000000000995897</v>
      </c>
      <c r="Z17" s="47">
        <f t="shared" ref="Z17:Z20" si="40" xml:space="preserve"> SQRT(W17*W17+X17*X17+Y17*Y17)</f>
        <v>1.6822603853628126</v>
      </c>
      <c r="AA17" s="47">
        <f t="shared" si="25"/>
        <v>1.4557397560110985</v>
      </c>
      <c r="AB17" s="47">
        <f t="shared" si="26"/>
        <v>-0.75552774245490895</v>
      </c>
      <c r="AC17" s="47">
        <f t="shared" si="27"/>
        <v>0</v>
      </c>
      <c r="AD17" s="47">
        <f t="shared" ref="AD17:AD19" si="41" xml:space="preserve"> SQRT(AA17*AA17+AB17*AB17+AC17*AC17)</f>
        <v>1.6401220707161599</v>
      </c>
      <c r="AE17" s="22"/>
      <c r="AF17" s="88"/>
      <c r="AG17" s="88"/>
      <c r="AH17" s="88"/>
      <c r="AI17" s="88"/>
      <c r="AJ17" s="88"/>
      <c r="AK17" s="93"/>
      <c r="AL17" s="88"/>
      <c r="AM17" s="88"/>
      <c r="AN17" s="88"/>
      <c r="AO17" s="88"/>
      <c r="AP17" s="88"/>
      <c r="AQ17" s="89"/>
      <c r="AR17" s="89"/>
      <c r="AS17" s="89"/>
      <c r="AU17" s="29"/>
      <c r="AY17" s="93"/>
      <c r="BC17" s="76"/>
    </row>
    <row r="18" spans="1:55" ht="29.25" customHeight="1" x14ac:dyDescent="0.2">
      <c r="A18" s="27">
        <f t="shared" si="0"/>
        <v>211</v>
      </c>
      <c r="B18" s="28">
        <f t="shared" si="1"/>
        <v>44351</v>
      </c>
      <c r="C18" s="47">
        <f t="shared" si="2"/>
        <v>-0.44747358487029487</v>
      </c>
      <c r="D18" s="47">
        <f t="shared" si="3"/>
        <v>-1.6430969812124552</v>
      </c>
      <c r="E18" s="47">
        <f t="shared" si="4"/>
        <v>-1.5999999999962711</v>
      </c>
      <c r="F18" s="47">
        <f t="shared" ref="F18:F22" si="42" xml:space="preserve"> SQRT(C18*C18+D18*D18+E18*E18)</f>
        <v>2.3366643530499247</v>
      </c>
      <c r="G18" s="47">
        <f t="shared" si="5"/>
        <v>-0.13332088070683312</v>
      </c>
      <c r="H18" s="47">
        <f t="shared" si="6"/>
        <v>-1.6069304477204227</v>
      </c>
      <c r="I18" s="47">
        <f t="shared" si="7"/>
        <v>-1.2000000000114142</v>
      </c>
      <c r="J18" s="47">
        <f t="shared" si="36"/>
        <v>2.0099751045898051</v>
      </c>
      <c r="K18" s="47">
        <f t="shared" si="9"/>
        <v>0.49498482979970504</v>
      </c>
      <c r="L18" s="47">
        <f t="shared" si="10"/>
        <v>-1.5345977535528021</v>
      </c>
      <c r="M18" s="47">
        <f t="shared" si="11"/>
        <v>-1.8000000000029104</v>
      </c>
      <c r="N18" s="47">
        <f t="shared" si="37"/>
        <v>2.4166092458135688</v>
      </c>
      <c r="O18" s="47">
        <f t="shared" si="13"/>
        <v>2.6879557604502224</v>
      </c>
      <c r="P18" s="47">
        <f t="shared" si="14"/>
        <v>-1.5049566781685231</v>
      </c>
      <c r="Q18" s="47">
        <f t="shared" si="15"/>
        <v>-3.2999999999958618</v>
      </c>
      <c r="R18" s="47">
        <f t="shared" si="38"/>
        <v>4.514421421763176</v>
      </c>
      <c r="S18" s="47">
        <f t="shared" si="17"/>
        <v>0.45271960220816254</v>
      </c>
      <c r="T18" s="47">
        <f t="shared" si="18"/>
        <v>-1.4439684915994455</v>
      </c>
      <c r="U18" s="47">
        <f t="shared" si="19"/>
        <v>-2.1999999999877673</v>
      </c>
      <c r="V18" s="47">
        <f t="shared" si="39"/>
        <v>2.6702059925971389</v>
      </c>
      <c r="W18" s="48">
        <f t="shared" si="21"/>
        <v>1.1411603584292607</v>
      </c>
      <c r="X18" s="48">
        <f t="shared" si="22"/>
        <v>-2.4469883851541141</v>
      </c>
      <c r="Y18" s="48">
        <f t="shared" si="23"/>
        <v>-1.1999999999972033</v>
      </c>
      <c r="Z18" s="47">
        <f t="shared" si="40"/>
        <v>2.9546571917437099</v>
      </c>
      <c r="AA18" s="47">
        <f t="shared" si="25"/>
        <v>1.2923512540510274</v>
      </c>
      <c r="AB18" s="47">
        <f t="shared" si="26"/>
        <v>-1.8247816852974275</v>
      </c>
      <c r="AC18" s="47">
        <f t="shared" si="27"/>
        <v>-1.0999999999938836</v>
      </c>
      <c r="AD18" s="47">
        <f t="shared" si="41"/>
        <v>2.4919871514176646</v>
      </c>
      <c r="AE18" s="22"/>
      <c r="AF18" s="88"/>
      <c r="AG18" s="88"/>
      <c r="AH18" s="88"/>
      <c r="AI18" s="88"/>
      <c r="AJ18" s="88"/>
      <c r="AK18" s="93"/>
      <c r="AL18" s="88"/>
      <c r="AM18" s="88"/>
      <c r="AN18" s="88"/>
      <c r="AO18" s="88"/>
      <c r="AP18" s="88"/>
      <c r="AQ18" s="89"/>
      <c r="AR18" s="89"/>
      <c r="AS18" s="89"/>
      <c r="AU18" s="29"/>
      <c r="BC18" s="74"/>
    </row>
    <row r="19" spans="1:55" ht="29.25" customHeight="1" x14ac:dyDescent="0.2">
      <c r="A19" s="27">
        <f t="shared" si="0"/>
        <v>217</v>
      </c>
      <c r="B19" s="28">
        <f t="shared" si="1"/>
        <v>44357</v>
      </c>
      <c r="C19" s="47">
        <f t="shared" si="2"/>
        <v>-1.4858072788683785</v>
      </c>
      <c r="D19" s="47">
        <f t="shared" si="3"/>
        <v>1.2932040363349273</v>
      </c>
      <c r="E19" s="47">
        <f t="shared" si="4"/>
        <v>-9.9999999989108801E-2</v>
      </c>
      <c r="F19" s="47">
        <f t="shared" si="42"/>
        <v>1.972308279536702</v>
      </c>
      <c r="G19" s="47">
        <f t="shared" si="5"/>
        <v>-0.95422962988322979</v>
      </c>
      <c r="H19" s="47">
        <f t="shared" si="6"/>
        <v>1.0997480114989244</v>
      </c>
      <c r="I19" s="47">
        <f t="shared" si="7"/>
        <v>0.19999999999242846</v>
      </c>
      <c r="J19" s="47">
        <f t="shared" si="36"/>
        <v>1.4696938032596776</v>
      </c>
      <c r="K19" s="47">
        <f t="shared" si="9"/>
        <v>-1.2744812391929372</v>
      </c>
      <c r="L19" s="47">
        <f t="shared" si="10"/>
        <v>0.84005793744612589</v>
      </c>
      <c r="M19" s="47">
        <f t="shared" si="11"/>
        <v>-0.20000000000663931</v>
      </c>
      <c r="N19" s="47">
        <f t="shared" si="37"/>
        <v>1.5394803562643011</v>
      </c>
      <c r="O19" s="47">
        <f t="shared" si="13"/>
        <v>1.2810064299344504</v>
      </c>
      <c r="P19" s="47">
        <f t="shared" si="14"/>
        <v>1.0387600359385019</v>
      </c>
      <c r="Q19" s="47">
        <f t="shared" si="15"/>
        <v>-1.6999999999995907</v>
      </c>
      <c r="R19" s="47">
        <f t="shared" si="38"/>
        <v>2.3685438323567016</v>
      </c>
      <c r="S19" s="47">
        <f t="shared" si="17"/>
        <v>-1.2200185035737832</v>
      </c>
      <c r="T19" s="47">
        <f t="shared" si="18"/>
        <v>1.196476129406765</v>
      </c>
      <c r="U19" s="47">
        <f t="shared" si="19"/>
        <v>-0.79999999999813554</v>
      </c>
      <c r="V19" s="47">
        <f t="shared" si="39"/>
        <v>1.8867962998955725</v>
      </c>
      <c r="W19" s="48">
        <f t="shared" si="21"/>
        <v>-0.65227442667037394</v>
      </c>
      <c r="X19" s="48">
        <f t="shared" si="22"/>
        <v>0.68886735128970145</v>
      </c>
      <c r="Y19" s="48">
        <f t="shared" si="23"/>
        <v>0.19999999999242846</v>
      </c>
      <c r="Z19" s="47">
        <f t="shared" si="40"/>
        <v>0.96953605160304657</v>
      </c>
      <c r="AA19" s="47">
        <f t="shared" si="25"/>
        <v>0.53767644860158725</v>
      </c>
      <c r="AB19" s="47">
        <f t="shared" si="26"/>
        <v>3.006746653211323E-2</v>
      </c>
      <c r="AC19" s="47">
        <f t="shared" si="27"/>
        <v>0.40000000001327862</v>
      </c>
      <c r="AD19" s="47">
        <f t="shared" si="41"/>
        <v>0.6708204051272576</v>
      </c>
      <c r="AE19" s="22"/>
      <c r="AF19" s="88"/>
      <c r="AG19" s="88"/>
      <c r="AH19" s="88"/>
      <c r="AI19" s="88"/>
      <c r="AJ19" s="88"/>
      <c r="AK19" s="93"/>
      <c r="AL19" s="88"/>
      <c r="AM19" s="88"/>
      <c r="AN19" s="88"/>
      <c r="AO19" s="88"/>
      <c r="AP19" s="88"/>
      <c r="AQ19" s="89"/>
      <c r="AR19" s="89"/>
      <c r="AS19" s="89"/>
      <c r="AU19" s="29"/>
      <c r="AY19" s="93"/>
      <c r="BC19" s="76"/>
    </row>
    <row r="20" spans="1:55" ht="29.25" customHeight="1" x14ac:dyDescent="0.2">
      <c r="A20" s="27">
        <f t="shared" si="0"/>
        <v>224</v>
      </c>
      <c r="B20" s="28">
        <f t="shared" si="1"/>
        <v>44364</v>
      </c>
      <c r="C20" s="47">
        <f t="shared" si="2"/>
        <v>-1.618701768450137</v>
      </c>
      <c r="D20" s="47">
        <f t="shared" si="3"/>
        <v>1.3415680706665434</v>
      </c>
      <c r="E20" s="47">
        <f t="shared" si="4"/>
        <v>-1.4999999999929514</v>
      </c>
      <c r="F20" s="47">
        <f t="shared" si="42"/>
        <v>2.5826343727663827</v>
      </c>
      <c r="G20" s="47">
        <f t="shared" si="5"/>
        <v>-1.0265624787280103</v>
      </c>
      <c r="H20" s="47">
        <f t="shared" si="6"/>
        <v>1.7280537783728178</v>
      </c>
      <c r="I20" s="47">
        <f t="shared" si="7"/>
        <v>-1.2000000000114142</v>
      </c>
      <c r="J20" s="47">
        <f t="shared" si="36"/>
        <v>2.3409400640999252</v>
      </c>
      <c r="K20" s="47">
        <f t="shared" si="9"/>
        <v>-1.1655556695870928</v>
      </c>
      <c r="L20" s="47">
        <f t="shared" si="10"/>
        <v>1.5528941103770677</v>
      </c>
      <c r="M20" s="47">
        <f t="shared" si="11"/>
        <v>-1.5000000000071623</v>
      </c>
      <c r="N20" s="47">
        <f t="shared" si="37"/>
        <v>2.453568857189846</v>
      </c>
      <c r="O20" s="47">
        <f t="shared" si="13"/>
        <v>0.97905133222297991</v>
      </c>
      <c r="P20" s="47">
        <f t="shared" si="14"/>
        <v>1.4496407453568061</v>
      </c>
      <c r="Q20" s="47">
        <f t="shared" si="15"/>
        <v>-2.7999999999934744</v>
      </c>
      <c r="R20" s="47">
        <f t="shared" si="38"/>
        <v>3.3015147738106041</v>
      </c>
      <c r="S20" s="47">
        <f t="shared" si="17"/>
        <v>-1.0810252143471644</v>
      </c>
      <c r="T20" s="47">
        <f t="shared" si="18"/>
        <v>1.3716355863979679</v>
      </c>
      <c r="U20" s="47">
        <f t="shared" si="19"/>
        <v>-1.7999999999886995</v>
      </c>
      <c r="V20" s="47">
        <f t="shared" si="39"/>
        <v>2.5079871801679823</v>
      </c>
      <c r="W20" s="48">
        <f t="shared" si="21"/>
        <v>-0.52547884223486108</v>
      </c>
      <c r="X20" s="48">
        <f t="shared" si="22"/>
        <v>0.41697977640264838</v>
      </c>
      <c r="Y20" s="48">
        <f t="shared" si="23"/>
        <v>-1.1000000000080945</v>
      </c>
      <c r="Z20" s="47">
        <f t="shared" si="40"/>
        <v>1.2884099299458618</v>
      </c>
      <c r="AA20" s="47"/>
      <c r="AB20" s="47"/>
      <c r="AC20" s="47"/>
      <c r="AD20" s="47"/>
      <c r="AE20" s="22"/>
      <c r="AF20" s="88"/>
      <c r="AG20" s="88"/>
      <c r="AH20" s="88"/>
      <c r="AI20" s="88"/>
      <c r="AJ20" s="88"/>
      <c r="AK20" s="93"/>
      <c r="AL20" s="88"/>
      <c r="AM20" s="88"/>
      <c r="AN20" s="88"/>
      <c r="AO20" s="88"/>
      <c r="AP20" s="88"/>
      <c r="AQ20" s="89"/>
      <c r="AR20" s="89"/>
      <c r="AS20" s="89"/>
      <c r="AU20" s="29"/>
      <c r="AY20" s="93"/>
      <c r="BC20" s="74"/>
    </row>
    <row r="21" spans="1:55" ht="29.25" customHeight="1" x14ac:dyDescent="0.2">
      <c r="A21" s="27">
        <f t="shared" si="0"/>
        <v>238</v>
      </c>
      <c r="B21" s="28">
        <f t="shared" si="1"/>
        <v>44378</v>
      </c>
      <c r="C21" s="47">
        <f t="shared" si="2"/>
        <v>-1.0688276079804382</v>
      </c>
      <c r="D21" s="47">
        <f t="shared" si="3"/>
        <v>1.8186828293278445</v>
      </c>
      <c r="E21" s="47">
        <f t="shared" si="4"/>
        <v>-0.39999999999906777</v>
      </c>
      <c r="F21" s="47">
        <f t="shared" si="42"/>
        <v>2.1470909829982454</v>
      </c>
      <c r="G21" s="47">
        <f t="shared" si="5"/>
        <v>-0.98429725113646782</v>
      </c>
      <c r="H21" s="47">
        <f t="shared" si="6"/>
        <v>1.6374245163861545</v>
      </c>
      <c r="I21" s="47">
        <f t="shared" si="7"/>
        <v>-0.20000000000663931</v>
      </c>
      <c r="J21" s="47">
        <f t="shared" ref="J21" si="43" xml:space="preserve"> SQRT(G21*G21+H21*H21+I21*I21)</f>
        <v>1.9209373038857604</v>
      </c>
      <c r="K21" s="47">
        <f t="shared" si="9"/>
        <v>-0.27146118378595929</v>
      </c>
      <c r="L21" s="47">
        <f t="shared" si="10"/>
        <v>1.528498897612085</v>
      </c>
      <c r="M21" s="47">
        <f t="shared" si="11"/>
        <v>-1.1000000000080945</v>
      </c>
      <c r="N21" s="47">
        <f t="shared" ref="N21" si="44" xml:space="preserve"> SQRT(K21*K21+L21*L21+M21*M21)</f>
        <v>1.9026297733194553</v>
      </c>
      <c r="O21" s="47">
        <f t="shared" si="13"/>
        <v>1.9576761748396621</v>
      </c>
      <c r="P21" s="47">
        <f t="shared" si="14"/>
        <v>1.2439872196788881</v>
      </c>
      <c r="Q21" s="47">
        <f t="shared" si="15"/>
        <v>-2.2000000000019782</v>
      </c>
      <c r="R21" s="47">
        <f t="shared" ref="R21" si="45" xml:space="preserve"> SQRT(O21*O21+P21*P21+Q21*Q21)</f>
        <v>3.1968735052028512</v>
      </c>
      <c r="S21" s="47">
        <f t="shared" si="17"/>
        <v>-0.64617562699709197</v>
      </c>
      <c r="T21" s="47">
        <f t="shared" si="18"/>
        <v>0.9123908426147409</v>
      </c>
      <c r="U21" s="47">
        <f t="shared" si="19"/>
        <v>-1.0999999999938836</v>
      </c>
      <c r="V21" s="47">
        <f t="shared" ref="V21" si="46" xml:space="preserve"> SQRT(S21*S21+T21*T21+U21*U21)</f>
        <v>1.56843871113884</v>
      </c>
      <c r="W21" s="48">
        <f t="shared" si="21"/>
        <v>-0.20522723295357537</v>
      </c>
      <c r="X21" s="48">
        <f t="shared" si="22"/>
        <v>0.67666985042880157</v>
      </c>
      <c r="Y21" s="48">
        <f t="shared" si="23"/>
        <v>-0.30000000000995897</v>
      </c>
      <c r="Z21" s="47">
        <f t="shared" ref="Z21" si="47" xml:space="preserve"> SQRT(W21*W21+X21*X21+Y21*Y21)</f>
        <v>0.76811477243384219</v>
      </c>
      <c r="AA21" s="47"/>
      <c r="AB21" s="47"/>
      <c r="AC21" s="47"/>
      <c r="AD21" s="47"/>
      <c r="AE21" s="22"/>
      <c r="AF21" s="88"/>
      <c r="AG21" s="88"/>
      <c r="AH21" s="88"/>
      <c r="AI21" s="88"/>
      <c r="AJ21" s="88"/>
      <c r="AK21" s="93"/>
      <c r="AL21" s="88"/>
      <c r="AM21" s="88"/>
      <c r="AN21" s="88"/>
      <c r="AO21" s="88"/>
      <c r="AP21" s="88"/>
      <c r="AQ21" s="89"/>
      <c r="AR21" s="89"/>
      <c r="AS21" s="89"/>
      <c r="AU21" s="29"/>
      <c r="AY21" s="93"/>
      <c r="BC21" s="76"/>
    </row>
    <row r="22" spans="1:55" ht="29.25" customHeight="1" x14ac:dyDescent="0.2">
      <c r="A22" s="27">
        <f t="shared" si="0"/>
        <v>252</v>
      </c>
      <c r="B22" s="28">
        <f t="shared" si="1"/>
        <v>44392</v>
      </c>
      <c r="C22" s="47">
        <f t="shared" si="2"/>
        <v>-1.3045488604461752</v>
      </c>
      <c r="D22" s="47">
        <f t="shared" si="3"/>
        <v>1.3777344423653304</v>
      </c>
      <c r="E22" s="47">
        <f t="shared" si="4"/>
        <v>-0.59999999999149622</v>
      </c>
      <c r="F22" s="47">
        <f t="shared" si="42"/>
        <v>1.989974854856442</v>
      </c>
      <c r="G22" s="47">
        <f t="shared" si="5"/>
        <v>-0.99039595235694833</v>
      </c>
      <c r="H22" s="47">
        <f t="shared" si="6"/>
        <v>1.4139008140281462</v>
      </c>
      <c r="I22" s="47">
        <f t="shared" si="7"/>
        <v>-0.30000000000995897</v>
      </c>
      <c r="J22" s="47">
        <f t="shared" ref="J22" si="48" xml:space="preserve"> SQRT(G22*G22+H22*H22+I22*I22)</f>
        <v>1.752141448160067</v>
      </c>
      <c r="K22" s="47">
        <f t="shared" si="9"/>
        <v>-0.85750166670095496</v>
      </c>
      <c r="L22" s="47">
        <f t="shared" si="10"/>
        <v>1.3655369414893315</v>
      </c>
      <c r="M22" s="47">
        <f t="shared" si="11"/>
        <v>-0.70000000000902673</v>
      </c>
      <c r="N22" s="47">
        <f t="shared" ref="N22" si="49" xml:space="preserve"> SQRT(K22*K22+L22*L22+M22*M22)</f>
        <v>1.7578396533755833</v>
      </c>
      <c r="O22" s="47">
        <f t="shared" si="13"/>
        <v>2.1328357865968428</v>
      </c>
      <c r="P22" s="47">
        <f t="shared" si="14"/>
        <v>1.1049938741659604</v>
      </c>
      <c r="Q22" s="47">
        <f t="shared" si="15"/>
        <v>-2.6000000000010459</v>
      </c>
      <c r="R22" s="47">
        <f t="shared" ref="R22" si="50" xml:space="preserve"> SQRT(O22*O22+P22*P22+Q22*Q22)</f>
        <v>3.5397739976639624</v>
      </c>
      <c r="S22" s="47">
        <f t="shared" si="17"/>
        <v>-0.24749246765054522</v>
      </c>
      <c r="T22" s="47">
        <f t="shared" si="18"/>
        <v>0.76729885217874383</v>
      </c>
      <c r="U22" s="47">
        <f t="shared" si="19"/>
        <v>-1.3999999999896318</v>
      </c>
      <c r="V22" s="47">
        <f t="shared" ref="V22" si="51" xml:space="preserve"> SQRT(S22*S22+T22*T22+U22*U22)</f>
        <v>1.6155494576364857</v>
      </c>
      <c r="W22" s="48">
        <f t="shared" si="21"/>
        <v>0.18125841842220325</v>
      </c>
      <c r="X22" s="48">
        <f t="shared" si="22"/>
        <v>8.4530406064153851E-2</v>
      </c>
      <c r="Y22" s="48">
        <f t="shared" si="23"/>
        <v>-0.39999999999906777</v>
      </c>
      <c r="Z22" s="47">
        <f t="shared" ref="Z22" si="52" xml:space="preserve"> SQRT(W22*W22+X22*X22+Y22*Y22)</f>
        <v>0.4472135997457406</v>
      </c>
      <c r="AA22" s="47"/>
      <c r="AB22" s="47"/>
      <c r="AC22" s="47"/>
      <c r="AD22" s="47"/>
      <c r="AE22" s="22"/>
      <c r="AF22" s="88"/>
      <c r="AG22" s="88"/>
      <c r="AH22" s="88"/>
      <c r="AI22" s="88"/>
      <c r="AJ22" s="88"/>
      <c r="AK22" s="93"/>
      <c r="AL22" s="88"/>
      <c r="AM22" s="88"/>
      <c r="AN22" s="88"/>
      <c r="AO22" s="88"/>
      <c r="AP22" s="88"/>
      <c r="AQ22" s="89"/>
      <c r="AR22" s="89"/>
      <c r="AS22" s="89"/>
      <c r="AU22" s="29"/>
      <c r="AY22" s="93"/>
      <c r="BC22" s="74"/>
    </row>
    <row r="23" spans="1:55" ht="29.25" customHeight="1" x14ac:dyDescent="0.2">
      <c r="A23" s="27">
        <f t="shared" si="0"/>
        <v>270</v>
      </c>
      <c r="B23" s="28">
        <f t="shared" si="1"/>
        <v>44410</v>
      </c>
      <c r="C23" s="47">
        <f t="shared" si="2"/>
        <v>-1.2561849315773088</v>
      </c>
      <c r="D23" s="47">
        <f t="shared" si="3"/>
        <v>1.5106288827420045</v>
      </c>
      <c r="E23" s="47">
        <f t="shared" si="4"/>
        <v>-0.69999999999481588</v>
      </c>
      <c r="F23" s="47">
        <f t="shared" ref="F23:F24" si="53" xml:space="preserve"> SQRT(C23*C23+D23*D23+E23*E23)</f>
        <v>2.0856654102921177</v>
      </c>
      <c r="G23" s="47">
        <f t="shared" si="5"/>
        <v>-0.44662080253488057</v>
      </c>
      <c r="H23" s="47">
        <f t="shared" si="6"/>
        <v>1.6674919829240409</v>
      </c>
      <c r="I23" s="47">
        <f t="shared" si="7"/>
        <v>-0.40000000001327862</v>
      </c>
      <c r="J23" s="47">
        <f t="shared" ref="J23:J24" si="54" xml:space="preserve"> SQRT(G23*G23+H23*H23+I23*I23)</f>
        <v>1.7720044171455875</v>
      </c>
      <c r="K23" s="47">
        <f t="shared" si="9"/>
        <v>-0.36209044574775362</v>
      </c>
      <c r="L23" s="47">
        <f t="shared" si="10"/>
        <v>1.4862336699885681</v>
      </c>
      <c r="M23" s="47">
        <f t="shared" si="11"/>
        <v>-1.0000000000047748</v>
      </c>
      <c r="N23" s="47">
        <f t="shared" ref="N23:N24" si="55" xml:space="preserve"> SQRT(K23*K23+L23*L23+M23*M23)</f>
        <v>1.8275666917294822</v>
      </c>
      <c r="O23" s="47">
        <f t="shared" si="13"/>
        <v>1.6435232668072786</v>
      </c>
      <c r="P23" s="47">
        <f t="shared" si="14"/>
        <v>1.2078208480024166</v>
      </c>
      <c r="Q23" s="47">
        <f t="shared" si="15"/>
        <v>-2.7000000000043656</v>
      </c>
      <c r="R23" s="47">
        <f t="shared" ref="R23:R24" si="56" xml:space="preserve"> SQRT(O23*O23+P23*P23+Q23*Q23)</f>
        <v>3.3837848527100123</v>
      </c>
      <c r="S23" s="47">
        <f t="shared" si="17"/>
        <v>-0.64617562699709197</v>
      </c>
      <c r="T23" s="47">
        <f t="shared" si="18"/>
        <v>0.9123908426147409</v>
      </c>
      <c r="U23" s="47">
        <f t="shared" si="19"/>
        <v>-1.4999999999929514</v>
      </c>
      <c r="V23" s="47">
        <f t="shared" ref="V23:V24" si="57" xml:space="preserve"> SQRT(S23*S23+T23*T23+U23*U23)</f>
        <v>1.8708286908723568</v>
      </c>
      <c r="W23" s="48">
        <f t="shared" si="21"/>
        <v>-0.22352364607058917</v>
      </c>
      <c r="X23" s="48">
        <f t="shared" si="22"/>
        <v>6.0988559527075381E-3</v>
      </c>
      <c r="Y23" s="48">
        <f t="shared" si="23"/>
        <v>-0.50000000000238742</v>
      </c>
      <c r="Z23" s="47">
        <f t="shared" ref="Z23:Z24" si="58" xml:space="preserve"> SQRT(W23*W23+X23*X23+Y23*Y23)</f>
        <v>0.54772257247534473</v>
      </c>
      <c r="AA23" s="48"/>
      <c r="AB23" s="48"/>
      <c r="AC23" s="48"/>
      <c r="AD23" s="47"/>
      <c r="AE23" s="22"/>
      <c r="AF23" s="88"/>
      <c r="AG23" s="88"/>
      <c r="AH23" s="88"/>
      <c r="AI23" s="88"/>
      <c r="AJ23" s="88"/>
      <c r="AK23" s="93"/>
      <c r="AL23" s="88"/>
      <c r="AM23" s="88"/>
      <c r="AN23" s="88"/>
      <c r="AO23" s="88"/>
      <c r="AP23" s="88"/>
      <c r="AQ23" s="89"/>
      <c r="AR23" s="89"/>
      <c r="AS23" s="89"/>
      <c r="AU23" s="29"/>
      <c r="AY23" s="93"/>
      <c r="BC23" s="76"/>
    </row>
    <row r="24" spans="1:55" ht="29.25" customHeight="1" x14ac:dyDescent="0.2">
      <c r="A24" s="27">
        <f t="shared" si="0"/>
        <v>313</v>
      </c>
      <c r="B24" s="28">
        <f t="shared" si="1"/>
        <v>44453</v>
      </c>
      <c r="C24" s="47">
        <f t="shared" si="2"/>
        <v>-1.7694660689926422</v>
      </c>
      <c r="D24" s="47">
        <f t="shared" si="3"/>
        <v>2.3746556910149152</v>
      </c>
      <c r="E24" s="47">
        <f t="shared" si="4"/>
        <v>-0.39999999999906777</v>
      </c>
      <c r="F24" s="47">
        <f t="shared" si="53"/>
        <v>2.988310529410398</v>
      </c>
      <c r="G24" s="47">
        <f t="shared" si="5"/>
        <v>-1.5158749000647731</v>
      </c>
      <c r="H24" s="47">
        <f t="shared" si="6"/>
        <v>1.8308805412061702</v>
      </c>
      <c r="I24" s="47">
        <f t="shared" si="7"/>
        <v>-0.30000000000995897</v>
      </c>
      <c r="J24" s="47">
        <f t="shared" si="54"/>
        <v>2.3958297662437871</v>
      </c>
      <c r="K24" s="47">
        <f t="shared" si="9"/>
        <v>-1.3829804105114363</v>
      </c>
      <c r="L24" s="47">
        <f t="shared" si="10"/>
        <v>1.7825165068385829</v>
      </c>
      <c r="M24" s="47">
        <f t="shared" si="11"/>
        <v>-1.1000000000080945</v>
      </c>
      <c r="N24" s="47">
        <f t="shared" si="55"/>
        <v>2.5099800622770321</v>
      </c>
      <c r="O24" s="47">
        <f t="shared" si="13"/>
        <v>1.4561661471645948</v>
      </c>
      <c r="P24" s="47">
        <f t="shared" si="14"/>
        <v>0.89976673962943732</v>
      </c>
      <c r="Q24" s="47">
        <f t="shared" si="15"/>
        <v>-4.199999999997317</v>
      </c>
      <c r="R24" s="47">
        <f t="shared" si="56"/>
        <v>4.5354161919132654</v>
      </c>
      <c r="S24" s="47">
        <f t="shared" si="17"/>
        <v>-1.413474528419556</v>
      </c>
      <c r="T24" s="47">
        <f t="shared" si="18"/>
        <v>0.66489848046957789</v>
      </c>
      <c r="U24" s="47">
        <f t="shared" si="19"/>
        <v>-1.6999999999995907</v>
      </c>
      <c r="V24" s="47">
        <f t="shared" si="57"/>
        <v>2.3086793263292864</v>
      </c>
      <c r="W24" s="48">
        <f t="shared" si="21"/>
        <v>-0.72503367377407812</v>
      </c>
      <c r="X24" s="48">
        <f t="shared" si="22"/>
        <v>-0.33812162411095414</v>
      </c>
      <c r="Y24" s="48">
        <f t="shared" si="23"/>
        <v>-0.20000000000663931</v>
      </c>
      <c r="Z24" s="47">
        <f t="shared" si="58"/>
        <v>0.82462116198920177</v>
      </c>
      <c r="AA24" s="47">
        <f t="shared" ref="AA24:AA28" si="59">DPM_BD</f>
        <v>-0.97252603589481623</v>
      </c>
      <c r="AB24" s="47">
        <f t="shared" ref="AB24:AB28" si="60">DH_BD</f>
        <v>0.42917727723024157</v>
      </c>
      <c r="AC24" s="47">
        <f t="shared" ref="AC24:AC28" si="61">DZ_BD</f>
        <v>0</v>
      </c>
      <c r="AD24" s="47">
        <f t="shared" ref="AD24" si="62" xml:space="preserve"> SQRT(AA24*AA24+AB24*AB24+AC24*AC24)</f>
        <v>1.0630145934012614</v>
      </c>
      <c r="AE24" s="22"/>
      <c r="AF24" s="88"/>
      <c r="AG24" s="88"/>
      <c r="AH24" s="88"/>
      <c r="AI24" s="88"/>
      <c r="AJ24" s="88"/>
      <c r="AK24" s="93"/>
      <c r="AL24" s="88"/>
      <c r="AM24" s="88"/>
      <c r="AN24" s="88"/>
      <c r="AO24" s="88"/>
      <c r="AP24" s="88"/>
      <c r="AQ24" s="89"/>
      <c r="AR24" s="89"/>
      <c r="AS24" s="89"/>
      <c r="AU24" s="29"/>
      <c r="AY24" s="93"/>
      <c r="BC24" s="74"/>
    </row>
    <row r="25" spans="1:55" ht="29.25" customHeight="1" x14ac:dyDescent="0.2">
      <c r="A25" s="27">
        <f t="shared" si="0"/>
        <v>330</v>
      </c>
      <c r="B25" s="28">
        <f t="shared" si="1"/>
        <v>44470</v>
      </c>
      <c r="C25" s="47">
        <f t="shared" si="2"/>
        <v>-2.1742481335138564</v>
      </c>
      <c r="D25" s="47">
        <f t="shared" si="3"/>
        <v>2.2962241409323347</v>
      </c>
      <c r="E25" s="47">
        <f t="shared" si="4"/>
        <v>-0.69999999999481588</v>
      </c>
      <c r="F25" s="47">
        <f t="shared" ref="F25:F28" si="63" xml:space="preserve"> SQRT(C25*C25+D25*D25+E25*E25)</f>
        <v>3.2388269869632849</v>
      </c>
      <c r="G25" s="47">
        <f t="shared" si="5"/>
        <v>-1.2256908136691891</v>
      </c>
      <c r="H25" s="47">
        <f t="shared" si="6"/>
        <v>2.6282469091283289</v>
      </c>
      <c r="I25" s="47">
        <f t="shared" si="7"/>
        <v>-0.50000000000238742</v>
      </c>
      <c r="J25" s="47">
        <f t="shared" ref="J25:J28" si="64" xml:space="preserve"> SQRT(G25*G25+H25*H25+I25*I25)</f>
        <v>2.9427877575622134</v>
      </c>
      <c r="K25" s="47">
        <f t="shared" si="9"/>
        <v>-1.0143647740221695</v>
      </c>
      <c r="L25" s="47">
        <f t="shared" si="10"/>
        <v>2.1751008102786074</v>
      </c>
      <c r="M25" s="47">
        <f t="shared" si="11"/>
        <v>-1.5999999999962711</v>
      </c>
      <c r="N25" s="47">
        <f t="shared" ref="N25:N28" si="65" xml:space="preserve"> SQRT(K25*K25+L25*L25+M25*M25)</f>
        <v>2.8844409215027733</v>
      </c>
      <c r="O25" s="47">
        <f t="shared" si="13"/>
        <v>0.75552768615239074</v>
      </c>
      <c r="P25" s="47">
        <f t="shared" si="14"/>
        <v>1.455739601301298</v>
      </c>
      <c r="Q25" s="47">
        <f t="shared" si="15"/>
        <v>-3.2999999999958618</v>
      </c>
      <c r="R25" s="47">
        <f t="shared" ref="R25:R28" si="66" xml:space="preserve"> SQRT(O25*O25+P25*P25+Q25*Q25)</f>
        <v>3.6851051370771413</v>
      </c>
      <c r="S25" s="47">
        <f t="shared" si="17"/>
        <v>-1.673164496935442</v>
      </c>
      <c r="T25" s="47">
        <f t="shared" si="18"/>
        <v>0.98515013894351355</v>
      </c>
      <c r="U25" s="47">
        <f t="shared" si="19"/>
        <v>-1.8999999999920192</v>
      </c>
      <c r="V25" s="47">
        <f t="shared" ref="V25:V28" si="67" xml:space="preserve"> SQRT(S25*S25+T25*T25+U25*U25)</f>
        <v>2.716615583779812</v>
      </c>
      <c r="W25" s="48">
        <f t="shared" si="21"/>
        <v>-0.58604048297183908</v>
      </c>
      <c r="X25" s="48">
        <f t="shared" si="22"/>
        <v>-0.16296195611076314</v>
      </c>
      <c r="Y25" s="48">
        <f t="shared" si="23"/>
        <v>-0.30000000000995897</v>
      </c>
      <c r="Z25" s="47">
        <f t="shared" ref="Z25:Z28" si="68" xml:space="preserve"> SQRT(W25*W25+X25*X25+Y25*Y25)</f>
        <v>0.67823303283406078</v>
      </c>
      <c r="AA25" s="47">
        <f t="shared" si="59"/>
        <v>-0.13289448955333683</v>
      </c>
      <c r="AB25" s="47">
        <f t="shared" si="60"/>
        <v>4.8364034332948336E-2</v>
      </c>
      <c r="AC25" s="47">
        <f t="shared" si="61"/>
        <v>-9.9999999989108801E-2</v>
      </c>
      <c r="AD25" s="47">
        <f t="shared" ref="AD25:AD28" si="69" xml:space="preserve"> SQRT(AA25*AA25+AB25*AB25+AC25*AC25)</f>
        <v>0.1732051534118495</v>
      </c>
      <c r="AE25" s="22"/>
      <c r="AF25" s="88"/>
      <c r="AG25" s="88"/>
      <c r="AH25" s="88"/>
      <c r="AI25" s="88"/>
      <c r="AJ25" s="88"/>
      <c r="AK25" s="93"/>
      <c r="AL25" s="88"/>
      <c r="AM25" s="88"/>
      <c r="AN25" s="88"/>
      <c r="AO25" s="88"/>
      <c r="AP25" s="88"/>
      <c r="AQ25" s="89"/>
      <c r="AR25" s="89"/>
      <c r="AS25" s="89"/>
      <c r="AU25" s="29"/>
      <c r="AY25" s="93"/>
      <c r="BC25" s="76"/>
    </row>
    <row r="26" spans="1:55" ht="29.25" customHeight="1" x14ac:dyDescent="0.2">
      <c r="A26" s="27">
        <f t="shared" si="0"/>
        <v>349</v>
      </c>
      <c r="B26" s="28">
        <f t="shared" si="1"/>
        <v>44489</v>
      </c>
      <c r="C26" s="47">
        <f t="shared" si="2"/>
        <v>-2.0474525490499218</v>
      </c>
      <c r="D26" s="47">
        <f t="shared" si="3"/>
        <v>2.0243365660381762</v>
      </c>
      <c r="E26" s="47">
        <f t="shared" si="4"/>
        <v>-0.90000000000145519</v>
      </c>
      <c r="F26" s="47">
        <f t="shared" si="63"/>
        <v>3.016620704233941</v>
      </c>
      <c r="G26" s="47">
        <f t="shared" si="5"/>
        <v>-1.6004052569087435</v>
      </c>
      <c r="H26" s="47">
        <f t="shared" si="6"/>
        <v>2.0121388541296525</v>
      </c>
      <c r="I26" s="47">
        <f t="shared" si="7"/>
        <v>-0.90000000000145519</v>
      </c>
      <c r="J26" s="47">
        <f t="shared" si="64"/>
        <v>2.72396764933836</v>
      </c>
      <c r="K26" s="47">
        <f t="shared" si="9"/>
        <v>-1.2923512540510274</v>
      </c>
      <c r="L26" s="47">
        <f t="shared" si="10"/>
        <v>1.8247816852792198</v>
      </c>
      <c r="M26" s="47">
        <f t="shared" si="11"/>
        <v>-1.5999999999962711</v>
      </c>
      <c r="N26" s="47">
        <f t="shared" si="65"/>
        <v>2.7495454102025301</v>
      </c>
      <c r="O26" s="47">
        <f t="shared" si="13"/>
        <v>1.6374245656152198</v>
      </c>
      <c r="P26" s="47">
        <f t="shared" si="14"/>
        <v>0.98429714565628768</v>
      </c>
      <c r="Q26" s="47">
        <f t="shared" si="15"/>
        <v>-4.4999999999930651</v>
      </c>
      <c r="R26" s="47">
        <f t="shared" si="66"/>
        <v>4.88876263270829</v>
      </c>
      <c r="S26" s="47">
        <f t="shared" si="17"/>
        <v>-1.7276272325261743</v>
      </c>
      <c r="T26" s="47">
        <f t="shared" si="18"/>
        <v>0.6287319469784336</v>
      </c>
      <c r="U26" s="47">
        <f t="shared" si="19"/>
        <v>-2.299999999991087</v>
      </c>
      <c r="V26" s="47">
        <f t="shared" si="67"/>
        <v>2.9444863245864021</v>
      </c>
      <c r="W26" s="48">
        <f t="shared" si="21"/>
        <v>-1.2927777436004817</v>
      </c>
      <c r="X26" s="48">
        <f t="shared" si="22"/>
        <v>0.16948741421707325</v>
      </c>
      <c r="Y26" s="48">
        <f t="shared" si="23"/>
        <v>-0.60000000000570708</v>
      </c>
      <c r="Z26" s="47">
        <f t="shared" si="68"/>
        <v>1.4352701062634836</v>
      </c>
      <c r="AA26" s="47">
        <f t="shared" si="59"/>
        <v>-0.88189687943440731</v>
      </c>
      <c r="AB26" s="47">
        <f t="shared" si="60"/>
        <v>0.47144245564911813</v>
      </c>
      <c r="AC26" s="47">
        <f t="shared" si="61"/>
        <v>-0.59999999999149622</v>
      </c>
      <c r="AD26" s="47">
        <f t="shared" si="69"/>
        <v>1.1661904196718527</v>
      </c>
      <c r="AE26" s="22"/>
      <c r="AF26" s="88"/>
      <c r="AG26" s="88"/>
      <c r="AH26" s="88"/>
      <c r="AI26" s="88"/>
      <c r="AJ26" s="88"/>
      <c r="AK26" s="93"/>
      <c r="AL26" s="88"/>
      <c r="AM26" s="88"/>
      <c r="AN26" s="88"/>
      <c r="AO26" s="88"/>
      <c r="AP26" s="88"/>
      <c r="AQ26" s="89"/>
      <c r="AR26" s="89"/>
      <c r="AS26" s="89"/>
      <c r="AU26" s="29"/>
      <c r="AY26" s="93"/>
      <c r="BC26" s="74"/>
    </row>
    <row r="27" spans="1:55" ht="29.25" customHeight="1" x14ac:dyDescent="0.2">
      <c r="A27" s="27">
        <f t="shared" si="0"/>
        <v>362</v>
      </c>
      <c r="B27" s="28">
        <f t="shared" si="1"/>
        <v>44502</v>
      </c>
      <c r="C27" s="47">
        <f t="shared" si="2"/>
        <v>-1.8117312966410282</v>
      </c>
      <c r="D27" s="47">
        <f t="shared" si="3"/>
        <v>2.4652849529993581</v>
      </c>
      <c r="E27" s="47">
        <f t="shared" si="4"/>
        <v>0.20000000000663931</v>
      </c>
      <c r="F27" s="47">
        <f t="shared" si="63"/>
        <v>3.0659419744535747</v>
      </c>
      <c r="G27" s="47">
        <f t="shared" si="5"/>
        <v>-1.2317897187585913</v>
      </c>
      <c r="H27" s="47">
        <f t="shared" si="6"/>
        <v>2.4047233685591252</v>
      </c>
      <c r="I27" s="47">
        <f t="shared" si="7"/>
        <v>9.9999999989108801E-2</v>
      </c>
      <c r="J27" s="47">
        <f t="shared" si="64"/>
        <v>2.7037012391408073</v>
      </c>
      <c r="K27" s="47">
        <f t="shared" si="9"/>
        <v>-1.2862524544345888</v>
      </c>
      <c r="L27" s="47">
        <f t="shared" si="10"/>
        <v>2.0483051766113647</v>
      </c>
      <c r="M27" s="47">
        <f t="shared" si="11"/>
        <v>-0.90000000000145519</v>
      </c>
      <c r="N27" s="47">
        <f t="shared" si="65"/>
        <v>2.5806974780230512</v>
      </c>
      <c r="O27" s="47">
        <f t="shared" si="13"/>
        <v>1.287105335080696</v>
      </c>
      <c r="P27" s="47">
        <f t="shared" si="14"/>
        <v>1.2622835765130347</v>
      </c>
      <c r="Q27" s="47">
        <f t="shared" si="15"/>
        <v>-4.0999999999939973</v>
      </c>
      <c r="R27" s="47">
        <f t="shared" si="66"/>
        <v>4.4788391320830563</v>
      </c>
      <c r="S27" s="47">
        <f t="shared" si="17"/>
        <v>-1.673164496935442</v>
      </c>
      <c r="T27" s="47">
        <f t="shared" si="18"/>
        <v>0.98515013894351355</v>
      </c>
      <c r="U27" s="47">
        <f t="shared" si="19"/>
        <v>-1.4999999999929514</v>
      </c>
      <c r="V27" s="47">
        <f t="shared" si="67"/>
        <v>2.4535688761566301</v>
      </c>
      <c r="W27" s="48">
        <f t="shared" si="21"/>
        <v>-0.75510129502731616</v>
      </c>
      <c r="X27" s="48">
        <f t="shared" si="22"/>
        <v>0.19955488077894046</v>
      </c>
      <c r="Y27" s="48">
        <f t="shared" si="23"/>
        <v>0.29999999999574811</v>
      </c>
      <c r="Z27" s="47">
        <f t="shared" si="68"/>
        <v>0.83666009597211932</v>
      </c>
      <c r="AA27" s="47">
        <f t="shared" si="59"/>
        <v>-0.65227432827441589</v>
      </c>
      <c r="AB27" s="47">
        <f t="shared" si="60"/>
        <v>0.68886714028160156</v>
      </c>
      <c r="AC27" s="47">
        <f t="shared" si="61"/>
        <v>0.60000000000570708</v>
      </c>
      <c r="AD27" s="47">
        <f t="shared" si="69"/>
        <v>1.1224970985674934</v>
      </c>
      <c r="AE27" s="22"/>
      <c r="AF27" s="88"/>
      <c r="AG27" s="88"/>
      <c r="AH27" s="88"/>
      <c r="AI27" s="88"/>
      <c r="AJ27" s="88"/>
      <c r="AK27" s="93"/>
      <c r="AL27" s="88"/>
      <c r="AM27" s="88"/>
      <c r="AN27" s="88"/>
      <c r="AO27" s="88"/>
      <c r="AP27" s="88"/>
      <c r="AQ27" s="89"/>
      <c r="AR27" s="89"/>
      <c r="AS27" s="89"/>
      <c r="AU27" s="29"/>
      <c r="AY27" s="93"/>
      <c r="BC27" s="76"/>
    </row>
    <row r="28" spans="1:55" ht="29.25" customHeight="1" x14ac:dyDescent="0.2">
      <c r="A28" s="27">
        <f t="shared" si="0"/>
        <v>775</v>
      </c>
      <c r="B28" s="28">
        <f t="shared" si="1"/>
        <v>44915</v>
      </c>
      <c r="C28" s="47">
        <f t="shared" si="2"/>
        <v>-1.5093496038218746</v>
      </c>
      <c r="D28" s="47">
        <f t="shared" si="3"/>
        <v>3.7096985638207514</v>
      </c>
      <c r="E28" s="47">
        <f t="shared" si="4"/>
        <v>0.39999999999906777</v>
      </c>
      <c r="F28" s="47">
        <f t="shared" si="63"/>
        <v>4.0249223173833117</v>
      </c>
      <c r="G28" s="47">
        <f t="shared" si="5"/>
        <v>-1.5459424229220531</v>
      </c>
      <c r="H28" s="47">
        <f t="shared" si="6"/>
        <v>2.3685568350924058</v>
      </c>
      <c r="I28" s="47">
        <f t="shared" si="7"/>
        <v>-0.60000000000570708</v>
      </c>
      <c r="J28" s="47">
        <f t="shared" si="64"/>
        <v>2.8913663648973835</v>
      </c>
      <c r="K28" s="47">
        <f t="shared" si="9"/>
        <v>-1.4975784940816084</v>
      </c>
      <c r="L28" s="47">
        <f t="shared" si="10"/>
        <v>2.5014512754721885</v>
      </c>
      <c r="M28" s="47">
        <f t="shared" si="11"/>
        <v>-3.2999999999958618</v>
      </c>
      <c r="N28" s="47">
        <f t="shared" si="65"/>
        <v>4.4034077518973715</v>
      </c>
      <c r="O28" s="47">
        <f t="shared" si="13"/>
        <v>2.1446070018100727</v>
      </c>
      <c r="P28" s="47">
        <f t="shared" si="14"/>
        <v>-0.10325336500249804</v>
      </c>
      <c r="Q28" s="47">
        <f t="shared" si="15"/>
        <v>-9.3999999999994088</v>
      </c>
      <c r="R28" s="47">
        <f t="shared" si="66"/>
        <v>9.6420952313066284</v>
      </c>
      <c r="S28" s="47">
        <f t="shared" si="17"/>
        <v>-1.1485384369791518</v>
      </c>
      <c r="T28" s="47">
        <f t="shared" si="18"/>
        <v>-2.7424186015752028</v>
      </c>
      <c r="U28" s="47">
        <f t="shared" si="19"/>
        <v>-5.0999999999987722</v>
      </c>
      <c r="V28" s="47">
        <f t="shared" si="67"/>
        <v>5.9033888849940821</v>
      </c>
      <c r="W28" s="48">
        <f t="shared" si="21"/>
        <v>-0.93111368900622438</v>
      </c>
      <c r="X28" s="48">
        <f t="shared" si="22"/>
        <v>-2.9720407378164282</v>
      </c>
      <c r="Y28" s="48">
        <f t="shared" si="23"/>
        <v>-0.39999999999906777</v>
      </c>
      <c r="Z28" s="47">
        <f t="shared" si="68"/>
        <v>3.1400635103600139</v>
      </c>
      <c r="AA28" s="47">
        <f t="shared" si="59"/>
        <v>-7.9284437873639035E-2</v>
      </c>
      <c r="AB28" s="47">
        <f t="shared" si="60"/>
        <v>-2.9058069488456795</v>
      </c>
      <c r="AC28" s="47">
        <f t="shared" si="61"/>
        <v>0.70000000000902673</v>
      </c>
      <c r="AD28" s="47">
        <f t="shared" si="69"/>
        <v>2.9899832852478312</v>
      </c>
      <c r="AE28" s="22"/>
      <c r="AF28" s="88"/>
      <c r="AG28" s="88"/>
      <c r="AH28" s="88"/>
      <c r="AI28" s="88"/>
      <c r="AJ28" s="88"/>
      <c r="AK28" s="93"/>
      <c r="AL28" s="88"/>
      <c r="AM28" s="88"/>
      <c r="AN28" s="88"/>
      <c r="AO28" s="88"/>
      <c r="AP28" s="88"/>
      <c r="AQ28" s="89"/>
      <c r="AR28" s="89"/>
      <c r="AS28" s="89"/>
      <c r="AU28" s="29"/>
      <c r="AY28" s="93"/>
      <c r="BC28" s="74"/>
    </row>
    <row r="29" spans="1:55" ht="29.25" customHeight="1" x14ac:dyDescent="0.2">
      <c r="A29" s="27"/>
      <c r="B29" s="28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8"/>
      <c r="X29" s="48"/>
      <c r="Y29" s="48"/>
      <c r="Z29" s="47"/>
      <c r="AA29" s="47"/>
      <c r="AB29" s="47"/>
      <c r="AC29" s="47"/>
      <c r="AD29" s="47"/>
      <c r="AE29" s="22"/>
      <c r="AF29" s="88"/>
      <c r="AG29" s="88"/>
      <c r="AH29" s="88"/>
      <c r="AI29" s="88"/>
      <c r="AJ29" s="88"/>
      <c r="AK29" s="12"/>
      <c r="AL29" s="88"/>
      <c r="AM29" s="88"/>
      <c r="AN29" s="88"/>
      <c r="AO29" s="88"/>
      <c r="AP29" s="88"/>
      <c r="AQ29" s="89"/>
      <c r="AR29" s="89"/>
      <c r="AS29" s="89"/>
      <c r="AU29" s="29"/>
      <c r="AY29" s="93"/>
      <c r="BC29" s="76"/>
    </row>
    <row r="30" spans="1:55" ht="29.25" customHeight="1" x14ac:dyDescent="0.2">
      <c r="A30" s="27"/>
      <c r="B30" s="28"/>
      <c r="C30" s="48"/>
      <c r="D30" s="48"/>
      <c r="E30" s="48"/>
      <c r="F30" s="47"/>
      <c r="G30" s="47"/>
      <c r="H30" s="47"/>
      <c r="I30" s="47"/>
      <c r="J30" s="47"/>
      <c r="K30" s="48"/>
      <c r="L30" s="48"/>
      <c r="M30" s="48"/>
      <c r="N30" s="47"/>
      <c r="O30" s="47"/>
      <c r="P30" s="47"/>
      <c r="Q30" s="48"/>
      <c r="R30" s="47"/>
      <c r="S30" s="48"/>
      <c r="T30" s="48"/>
      <c r="U30" s="48"/>
      <c r="V30" s="47"/>
      <c r="W30" s="48"/>
      <c r="X30" s="48"/>
      <c r="Y30" s="48"/>
      <c r="Z30" s="47"/>
      <c r="AA30" s="48"/>
      <c r="AB30" s="48"/>
      <c r="AC30" s="48"/>
      <c r="AD30" s="47"/>
      <c r="AE30" s="22"/>
      <c r="AF30" s="88"/>
      <c r="AG30" s="88"/>
      <c r="AH30" s="88"/>
      <c r="AI30" s="88"/>
      <c r="AJ30" s="88"/>
      <c r="AK30" s="29"/>
      <c r="AL30" s="89"/>
      <c r="AM30" s="11"/>
      <c r="AN30" s="88"/>
      <c r="AO30" s="88"/>
      <c r="AQ30" s="89"/>
      <c r="AR30" s="89"/>
      <c r="AS30" s="89"/>
      <c r="AU30" s="29"/>
      <c r="AY30" s="93"/>
      <c r="BC30" s="74"/>
    </row>
    <row r="31" spans="1:55" ht="29.25" customHeight="1" x14ac:dyDescent="0.2">
      <c r="A31" s="27"/>
      <c r="B31" s="28"/>
      <c r="C31" s="48"/>
      <c r="D31" s="48"/>
      <c r="E31" s="48"/>
      <c r="F31" s="47"/>
      <c r="G31" s="47"/>
      <c r="H31" s="47"/>
      <c r="I31" s="47"/>
      <c r="J31" s="47"/>
      <c r="K31" s="48"/>
      <c r="L31" s="48"/>
      <c r="M31" s="48"/>
      <c r="N31" s="47"/>
      <c r="O31" s="47"/>
      <c r="P31" s="47"/>
      <c r="Q31" s="48"/>
      <c r="R31" s="47"/>
      <c r="S31" s="48"/>
      <c r="T31" s="48"/>
      <c r="U31" s="48"/>
      <c r="V31" s="47"/>
      <c r="W31" s="48"/>
      <c r="X31" s="48"/>
      <c r="Y31" s="48"/>
      <c r="Z31" s="47"/>
      <c r="AA31" s="48"/>
      <c r="AB31" s="48"/>
      <c r="AC31" s="48"/>
      <c r="AD31" s="47"/>
      <c r="AE31" s="22"/>
      <c r="AF31" s="88"/>
      <c r="AG31" s="88"/>
      <c r="AH31" s="88"/>
      <c r="AI31" s="88"/>
      <c r="AJ31" s="88"/>
      <c r="AK31" s="29"/>
      <c r="AL31" s="89"/>
      <c r="AM31" s="11"/>
      <c r="AN31" s="88"/>
      <c r="AO31" s="88"/>
      <c r="AQ31" s="89"/>
      <c r="AR31" s="89"/>
      <c r="AS31" s="89"/>
      <c r="AU31" s="29"/>
      <c r="AY31" s="93"/>
      <c r="BC31" s="76"/>
    </row>
    <row r="32" spans="1:55" ht="29.25" customHeight="1" x14ac:dyDescent="0.2">
      <c r="A32" s="27"/>
      <c r="B32" s="28"/>
      <c r="C32" s="48"/>
      <c r="D32" s="48"/>
      <c r="E32" s="48"/>
      <c r="F32" s="47"/>
      <c r="G32" s="47"/>
      <c r="H32" s="47"/>
      <c r="I32" s="47"/>
      <c r="J32" s="47"/>
      <c r="K32" s="48"/>
      <c r="L32" s="48"/>
      <c r="M32" s="48"/>
      <c r="N32" s="47"/>
      <c r="O32" s="47"/>
      <c r="P32" s="47"/>
      <c r="Q32" s="48"/>
      <c r="R32" s="47"/>
      <c r="S32" s="48"/>
      <c r="T32" s="48"/>
      <c r="U32" s="48"/>
      <c r="V32" s="47"/>
      <c r="W32" s="48"/>
      <c r="X32" s="48"/>
      <c r="Y32" s="48"/>
      <c r="Z32" s="47"/>
      <c r="AA32" s="48"/>
      <c r="AB32" s="48"/>
      <c r="AC32" s="48"/>
      <c r="AD32" s="47"/>
      <c r="AE32" s="22"/>
      <c r="AF32" s="88"/>
      <c r="AG32" s="88"/>
      <c r="AH32" s="88"/>
      <c r="AI32" s="88"/>
      <c r="AJ32" s="88"/>
      <c r="AK32" s="29"/>
      <c r="AL32" s="89"/>
      <c r="AM32" s="11"/>
      <c r="AN32" s="88"/>
      <c r="AO32" s="88"/>
      <c r="AQ32" s="89"/>
      <c r="AR32" s="89"/>
      <c r="AS32" s="89"/>
      <c r="AU32" s="29"/>
      <c r="AY32" s="93"/>
      <c r="BC32" s="74"/>
    </row>
    <row r="33" spans="1:55" ht="29.25" customHeight="1" x14ac:dyDescent="0.2">
      <c r="A33" s="27"/>
      <c r="B33" s="28"/>
      <c r="C33" s="48"/>
      <c r="D33" s="48"/>
      <c r="E33" s="48"/>
      <c r="F33" s="47"/>
      <c r="G33" s="47"/>
      <c r="H33" s="47"/>
      <c r="I33" s="47"/>
      <c r="J33" s="47"/>
      <c r="K33" s="48"/>
      <c r="L33" s="48"/>
      <c r="M33" s="48"/>
      <c r="N33" s="47"/>
      <c r="O33" s="47"/>
      <c r="P33" s="47"/>
      <c r="Q33" s="48"/>
      <c r="R33" s="47"/>
      <c r="S33" s="48"/>
      <c r="T33" s="48"/>
      <c r="U33" s="48"/>
      <c r="V33" s="47"/>
      <c r="W33" s="48"/>
      <c r="X33" s="48"/>
      <c r="Y33" s="48"/>
      <c r="Z33" s="47"/>
      <c r="AA33" s="48"/>
      <c r="AB33" s="48"/>
      <c r="AC33" s="48"/>
      <c r="AD33" s="47"/>
      <c r="AE33" s="22"/>
      <c r="AF33" s="88"/>
      <c r="AG33" s="88"/>
      <c r="AH33" s="88"/>
      <c r="AI33" s="88"/>
      <c r="AJ33" s="88"/>
      <c r="AK33" s="93"/>
      <c r="AL33" s="88"/>
      <c r="AM33" s="88"/>
      <c r="AN33" s="88"/>
      <c r="AO33" s="88"/>
      <c r="AP33" s="88"/>
      <c r="AQ33" s="89"/>
      <c r="AR33" s="89"/>
      <c r="AS33" s="89"/>
      <c r="AU33" s="29"/>
      <c r="AY33" s="93"/>
      <c r="BC33" s="76"/>
    </row>
    <row r="34" spans="1:55" ht="29.25" customHeight="1" x14ac:dyDescent="0.2">
      <c r="A34" s="27"/>
      <c r="B34" s="28"/>
      <c r="C34" s="48"/>
      <c r="D34" s="48"/>
      <c r="E34" s="48"/>
      <c r="F34" s="47"/>
      <c r="G34" s="47"/>
      <c r="H34" s="47"/>
      <c r="I34" s="47"/>
      <c r="J34" s="47"/>
      <c r="K34" s="48"/>
      <c r="L34" s="48"/>
      <c r="M34" s="48"/>
      <c r="N34" s="47"/>
      <c r="O34" s="47"/>
      <c r="P34" s="47"/>
      <c r="Q34" s="48"/>
      <c r="R34" s="47"/>
      <c r="S34" s="48"/>
      <c r="T34" s="48"/>
      <c r="U34" s="48"/>
      <c r="V34" s="47"/>
      <c r="W34" s="48"/>
      <c r="X34" s="48"/>
      <c r="Y34" s="48"/>
      <c r="Z34" s="47"/>
      <c r="AA34" s="48"/>
      <c r="AB34" s="48"/>
      <c r="AC34" s="48"/>
      <c r="AD34" s="47"/>
      <c r="AE34" s="22"/>
      <c r="AF34" s="88"/>
      <c r="AG34" s="88"/>
      <c r="AH34" s="88"/>
      <c r="AI34" s="88"/>
      <c r="AJ34" s="88"/>
      <c r="AK34" s="93"/>
      <c r="AL34" s="88"/>
      <c r="AM34" s="88"/>
      <c r="AN34" s="88"/>
      <c r="AO34" s="88"/>
      <c r="AP34" s="88"/>
      <c r="AQ34" s="89"/>
      <c r="AR34" s="89"/>
      <c r="AS34" s="89"/>
      <c r="AU34" s="29"/>
      <c r="AY34" s="93"/>
      <c r="BC34" s="74"/>
    </row>
    <row r="35" spans="1:55" ht="29.25" customHeight="1" x14ac:dyDescent="0.2">
      <c r="A35" s="27"/>
      <c r="B35" s="28"/>
      <c r="C35" s="48"/>
      <c r="D35" s="48"/>
      <c r="E35" s="48"/>
      <c r="F35" s="47"/>
      <c r="G35" s="47"/>
      <c r="H35" s="47"/>
      <c r="I35" s="47"/>
      <c r="J35" s="47"/>
      <c r="K35" s="48"/>
      <c r="L35" s="48"/>
      <c r="M35" s="48"/>
      <c r="N35" s="47"/>
      <c r="O35" s="47"/>
      <c r="P35" s="47"/>
      <c r="Q35" s="48"/>
      <c r="R35" s="47"/>
      <c r="S35" s="48"/>
      <c r="T35" s="48"/>
      <c r="U35" s="48"/>
      <c r="V35" s="47"/>
      <c r="W35" s="48"/>
      <c r="X35" s="48"/>
      <c r="Y35" s="48"/>
      <c r="Z35" s="47"/>
      <c r="AA35" s="48"/>
      <c r="AB35" s="48"/>
      <c r="AC35" s="48"/>
      <c r="AD35" s="47"/>
      <c r="AE35" s="22"/>
      <c r="AF35" s="88"/>
      <c r="AG35" s="88"/>
      <c r="AH35" s="88"/>
      <c r="AI35" s="88"/>
      <c r="AJ35" s="88"/>
      <c r="AK35" s="93"/>
      <c r="AL35" s="88"/>
      <c r="AM35" s="88"/>
      <c r="AN35" s="88"/>
      <c r="AO35" s="88"/>
      <c r="AP35" s="88"/>
      <c r="AQ35" s="89"/>
      <c r="AR35" s="89"/>
      <c r="AS35" s="89"/>
      <c r="AU35" s="29"/>
      <c r="AY35" s="93"/>
      <c r="BC35" s="76"/>
    </row>
    <row r="36" spans="1:55" ht="29.25" customHeight="1" x14ac:dyDescent="0.2">
      <c r="A36" s="27"/>
      <c r="B36" s="28"/>
      <c r="C36" s="48"/>
      <c r="D36" s="48"/>
      <c r="E36" s="48"/>
      <c r="F36" s="47"/>
      <c r="G36" s="47"/>
      <c r="H36" s="47"/>
      <c r="I36" s="47"/>
      <c r="J36" s="47"/>
      <c r="K36" s="48"/>
      <c r="L36" s="48"/>
      <c r="M36" s="48"/>
      <c r="N36" s="47"/>
      <c r="O36" s="47"/>
      <c r="P36" s="47"/>
      <c r="Q36" s="48"/>
      <c r="R36" s="47"/>
      <c r="S36" s="48"/>
      <c r="T36" s="48"/>
      <c r="U36" s="48"/>
      <c r="V36" s="47"/>
      <c r="W36" s="48"/>
      <c r="X36" s="48"/>
      <c r="Y36" s="48"/>
      <c r="Z36" s="47"/>
      <c r="AA36" s="48"/>
      <c r="AB36" s="48"/>
      <c r="AC36" s="48"/>
      <c r="AD36" s="47"/>
      <c r="AE36" s="22"/>
      <c r="AF36" s="88"/>
      <c r="AG36" s="88"/>
      <c r="AH36" s="88"/>
      <c r="AI36" s="88"/>
      <c r="AJ36" s="88"/>
      <c r="AK36" s="93"/>
      <c r="AL36" s="91"/>
      <c r="AM36" s="91"/>
      <c r="AN36" s="88"/>
      <c r="AO36" s="88"/>
      <c r="AP36" s="88"/>
      <c r="AQ36" s="105"/>
      <c r="AR36" s="105"/>
      <c r="AS36" s="105"/>
      <c r="AU36" s="29"/>
      <c r="AY36" s="93"/>
      <c r="BC36" s="74"/>
    </row>
    <row r="37" spans="1:55" ht="29.25" customHeight="1" x14ac:dyDescent="0.2">
      <c r="A37" s="27"/>
      <c r="B37" s="28"/>
      <c r="C37" s="48"/>
      <c r="D37" s="48"/>
      <c r="E37" s="48"/>
      <c r="F37" s="47"/>
      <c r="G37" s="47"/>
      <c r="H37" s="47"/>
      <c r="I37" s="47"/>
      <c r="J37" s="47"/>
      <c r="K37" s="48"/>
      <c r="L37" s="48"/>
      <c r="M37" s="48"/>
      <c r="N37" s="47"/>
      <c r="O37" s="47"/>
      <c r="P37" s="47"/>
      <c r="Q37" s="48"/>
      <c r="R37" s="47"/>
      <c r="S37" s="48"/>
      <c r="T37" s="48"/>
      <c r="U37" s="48"/>
      <c r="V37" s="47"/>
      <c r="W37" s="48"/>
      <c r="X37" s="48"/>
      <c r="Y37" s="48"/>
      <c r="Z37" s="47"/>
      <c r="AA37" s="48"/>
      <c r="AB37" s="48"/>
      <c r="AC37" s="48"/>
      <c r="AD37" s="47"/>
      <c r="AE37" s="22"/>
      <c r="AF37" s="88"/>
      <c r="AG37" s="88"/>
      <c r="AH37" s="88"/>
      <c r="AI37" s="88"/>
      <c r="AJ37" s="88"/>
      <c r="AK37" s="93"/>
      <c r="AL37" s="91"/>
      <c r="AM37" s="91"/>
      <c r="AN37" s="91"/>
      <c r="AO37" s="91"/>
      <c r="AP37" s="73"/>
      <c r="AQ37" s="89"/>
      <c r="AR37" s="89"/>
      <c r="AS37" s="89"/>
      <c r="AU37" s="29"/>
      <c r="AY37" s="93"/>
      <c r="BC37" s="76"/>
    </row>
    <row r="38" spans="1:55" ht="29.25" customHeight="1" x14ac:dyDescent="0.2">
      <c r="A38" s="27"/>
      <c r="B38" s="28"/>
      <c r="C38" s="48"/>
      <c r="D38" s="48"/>
      <c r="E38" s="48"/>
      <c r="F38" s="47"/>
      <c r="G38" s="47"/>
      <c r="H38" s="47"/>
      <c r="I38" s="47"/>
      <c r="J38" s="47"/>
      <c r="K38" s="48"/>
      <c r="L38" s="48"/>
      <c r="M38" s="48"/>
      <c r="N38" s="47"/>
      <c r="O38" s="47"/>
      <c r="P38" s="47"/>
      <c r="Q38" s="48"/>
      <c r="R38" s="47"/>
      <c r="S38" s="48"/>
      <c r="T38" s="48"/>
      <c r="U38" s="48"/>
      <c r="V38" s="47"/>
      <c r="W38" s="48"/>
      <c r="X38" s="48"/>
      <c r="Y38" s="48"/>
      <c r="Z38" s="47"/>
      <c r="AA38" s="48"/>
      <c r="AB38" s="48"/>
      <c r="AC38" s="48"/>
      <c r="AD38" s="47"/>
      <c r="AE38" s="22"/>
      <c r="AF38" s="88"/>
      <c r="AG38" s="88"/>
      <c r="AH38" s="88"/>
      <c r="AI38" s="88"/>
      <c r="AJ38" s="88"/>
      <c r="AK38" s="93"/>
      <c r="AL38" s="89"/>
      <c r="AM38" s="90"/>
      <c r="AN38" s="90"/>
      <c r="AO38" s="89"/>
      <c r="AP38" s="89"/>
      <c r="AQ38" s="89"/>
      <c r="AR38" s="89"/>
      <c r="AU38" s="29"/>
      <c r="BC38" s="74"/>
    </row>
    <row r="39" spans="1:55" ht="29.25" customHeight="1" x14ac:dyDescent="0.2">
      <c r="A39" s="27"/>
      <c r="B39" s="28"/>
      <c r="C39" s="48"/>
      <c r="D39" s="48"/>
      <c r="E39" s="48"/>
      <c r="F39" s="47"/>
      <c r="G39" s="47"/>
      <c r="H39" s="47"/>
      <c r="I39" s="47"/>
      <c r="J39" s="47"/>
      <c r="K39" s="48"/>
      <c r="L39" s="48"/>
      <c r="M39" s="48"/>
      <c r="N39" s="47"/>
      <c r="O39" s="47"/>
      <c r="P39" s="47"/>
      <c r="Q39" s="48"/>
      <c r="R39" s="47"/>
      <c r="S39" s="48"/>
      <c r="T39" s="48"/>
      <c r="U39" s="48"/>
      <c r="V39" s="47"/>
      <c r="W39" s="48"/>
      <c r="X39" s="48"/>
      <c r="Y39" s="48"/>
      <c r="Z39" s="47"/>
      <c r="AA39" s="48"/>
      <c r="AB39" s="48"/>
      <c r="AC39" s="48"/>
      <c r="AD39" s="47"/>
      <c r="AE39" s="22"/>
      <c r="AF39" s="88"/>
      <c r="AG39" s="88"/>
      <c r="AH39" s="88"/>
      <c r="AI39" s="88"/>
      <c r="AJ39" s="88"/>
      <c r="AK39" s="93"/>
      <c r="AL39" s="89"/>
      <c r="AM39" s="90"/>
      <c r="AN39" s="90"/>
      <c r="AO39" s="89"/>
      <c r="AP39" s="89"/>
      <c r="AU39" s="29"/>
      <c r="BC39" s="76"/>
    </row>
    <row r="40" spans="1:55" ht="29.25" customHeight="1" x14ac:dyDescent="0.2">
      <c r="A40" s="27"/>
      <c r="B40" s="28"/>
      <c r="C40" s="48"/>
      <c r="D40" s="48"/>
      <c r="E40" s="48"/>
      <c r="F40" s="47"/>
      <c r="G40" s="47"/>
      <c r="H40" s="47"/>
      <c r="I40" s="47"/>
      <c r="J40" s="47"/>
      <c r="K40" s="48"/>
      <c r="L40" s="48"/>
      <c r="M40" s="48"/>
      <c r="N40" s="47"/>
      <c r="O40" s="47"/>
      <c r="P40" s="47"/>
      <c r="Q40" s="48"/>
      <c r="R40" s="47"/>
      <c r="S40" s="48"/>
      <c r="T40" s="48"/>
      <c r="U40" s="48"/>
      <c r="V40" s="47"/>
      <c r="W40" s="48"/>
      <c r="X40" s="48"/>
      <c r="Y40" s="48"/>
      <c r="Z40" s="47"/>
      <c r="AA40" s="48"/>
      <c r="AB40" s="48"/>
      <c r="AC40" s="48"/>
      <c r="AD40" s="47"/>
      <c r="AE40" s="22"/>
      <c r="AF40" s="88"/>
      <c r="AG40" s="88"/>
      <c r="AH40" s="88"/>
      <c r="AI40" s="88"/>
      <c r="AJ40" s="88"/>
      <c r="AK40" s="93"/>
      <c r="AL40" s="89"/>
      <c r="AM40" s="90"/>
      <c r="AN40" s="90"/>
      <c r="AO40" s="89"/>
      <c r="AP40" s="89"/>
      <c r="AU40" s="29"/>
      <c r="AY40" s="93"/>
      <c r="BC40" s="74"/>
    </row>
    <row r="41" spans="1:55" ht="29.25" customHeight="1" x14ac:dyDescent="0.2">
      <c r="A41" s="27"/>
      <c r="B41" s="28"/>
      <c r="C41" s="48"/>
      <c r="D41" s="48"/>
      <c r="E41" s="48"/>
      <c r="F41" s="47"/>
      <c r="G41" s="47"/>
      <c r="H41" s="47"/>
      <c r="I41" s="47"/>
      <c r="J41" s="47"/>
      <c r="K41" s="48"/>
      <c r="L41" s="48"/>
      <c r="M41" s="48"/>
      <c r="N41" s="47"/>
      <c r="O41" s="47"/>
      <c r="P41" s="47"/>
      <c r="Q41" s="48"/>
      <c r="R41" s="47"/>
      <c r="S41" s="48"/>
      <c r="T41" s="48"/>
      <c r="U41" s="48"/>
      <c r="V41" s="47"/>
      <c r="W41" s="48"/>
      <c r="X41" s="48"/>
      <c r="Y41" s="48"/>
      <c r="Z41" s="47"/>
      <c r="AA41" s="48"/>
      <c r="AB41" s="48"/>
      <c r="AC41" s="48"/>
      <c r="AD41" s="47"/>
      <c r="AE41" s="22"/>
      <c r="AF41" s="88"/>
      <c r="AG41" s="88"/>
      <c r="AH41" s="88"/>
      <c r="AI41" s="88"/>
      <c r="AJ41" s="88"/>
      <c r="AL41" s="89"/>
      <c r="AM41" s="90"/>
      <c r="AN41" s="90"/>
      <c r="AO41" s="89"/>
      <c r="AP41" s="89"/>
      <c r="AU41" s="29"/>
      <c r="AY41" s="93"/>
      <c r="BC41" s="76"/>
    </row>
    <row r="42" spans="1:55" ht="29.25" customHeight="1" x14ac:dyDescent="0.2">
      <c r="A42" s="27"/>
      <c r="B42" s="28"/>
      <c r="C42" s="48"/>
      <c r="D42" s="48"/>
      <c r="E42" s="48"/>
      <c r="F42" s="47"/>
      <c r="G42" s="47"/>
      <c r="H42" s="47"/>
      <c r="I42" s="47"/>
      <c r="J42" s="47"/>
      <c r="K42" s="48"/>
      <c r="L42" s="48"/>
      <c r="M42" s="48"/>
      <c r="N42" s="47"/>
      <c r="O42" s="47"/>
      <c r="P42" s="47"/>
      <c r="Q42" s="48"/>
      <c r="R42" s="47"/>
      <c r="S42" s="48"/>
      <c r="T42" s="48"/>
      <c r="U42" s="48"/>
      <c r="V42" s="47"/>
      <c r="W42" s="48"/>
      <c r="X42" s="48"/>
      <c r="Y42" s="48"/>
      <c r="Z42" s="47"/>
      <c r="AA42" s="48"/>
      <c r="AB42" s="48"/>
      <c r="AC42" s="48"/>
      <c r="AD42" s="47"/>
      <c r="AE42" s="22"/>
      <c r="AF42" s="88"/>
      <c r="AG42" s="88"/>
      <c r="AH42" s="88"/>
      <c r="AI42" s="88"/>
      <c r="AJ42" s="88"/>
      <c r="AL42" s="89"/>
      <c r="AM42" s="90"/>
      <c r="AN42" s="90"/>
      <c r="AO42" s="89"/>
      <c r="AP42" s="89"/>
      <c r="AU42" s="29"/>
      <c r="AY42" s="93"/>
      <c r="BC42" s="74"/>
    </row>
    <row r="43" spans="1:55" ht="29.25" customHeight="1" x14ac:dyDescent="0.2">
      <c r="A43" s="27"/>
      <c r="B43" s="28"/>
      <c r="C43" s="48"/>
      <c r="D43" s="48"/>
      <c r="E43" s="48"/>
      <c r="F43" s="47"/>
      <c r="G43" s="47"/>
      <c r="H43" s="47"/>
      <c r="I43" s="47"/>
      <c r="J43" s="47"/>
      <c r="K43" s="48"/>
      <c r="L43" s="48"/>
      <c r="M43" s="48"/>
      <c r="N43" s="47"/>
      <c r="O43" s="47"/>
      <c r="P43" s="47"/>
      <c r="Q43" s="48"/>
      <c r="R43" s="47"/>
      <c r="S43" s="48"/>
      <c r="T43" s="48"/>
      <c r="U43" s="48"/>
      <c r="V43" s="47"/>
      <c r="W43" s="48"/>
      <c r="X43" s="48"/>
      <c r="Y43" s="48"/>
      <c r="Z43" s="47"/>
      <c r="AA43" s="48"/>
      <c r="AB43" s="48"/>
      <c r="AC43" s="48"/>
      <c r="AD43" s="47"/>
      <c r="AE43" s="22"/>
      <c r="AF43" s="88"/>
      <c r="AG43" s="88"/>
      <c r="AH43" s="88"/>
      <c r="AI43" s="88"/>
      <c r="AJ43" s="88"/>
      <c r="AL43" s="89"/>
      <c r="AM43" s="90"/>
      <c r="AN43" s="90"/>
      <c r="AO43" s="89"/>
      <c r="AP43" s="89"/>
      <c r="AU43" s="29"/>
      <c r="AY43" s="93"/>
      <c r="BC43" s="76"/>
    </row>
    <row r="44" spans="1:55" ht="29.25" customHeight="1" x14ac:dyDescent="0.2">
      <c r="A44" s="27"/>
      <c r="B44" s="28"/>
      <c r="C44" s="48"/>
      <c r="D44" s="48"/>
      <c r="E44" s="48"/>
      <c r="F44" s="47"/>
      <c r="G44" s="47"/>
      <c r="H44" s="47"/>
      <c r="I44" s="47"/>
      <c r="J44" s="47"/>
      <c r="K44" s="48"/>
      <c r="L44" s="48"/>
      <c r="M44" s="48"/>
      <c r="N44" s="47"/>
      <c r="O44" s="47"/>
      <c r="P44" s="47"/>
      <c r="Q44" s="48"/>
      <c r="R44" s="47"/>
      <c r="S44" s="48"/>
      <c r="T44" s="48"/>
      <c r="U44" s="48"/>
      <c r="V44" s="47"/>
      <c r="W44" s="48"/>
      <c r="X44" s="48"/>
      <c r="Y44" s="48"/>
      <c r="Z44" s="47"/>
      <c r="AA44" s="48"/>
      <c r="AB44" s="48"/>
      <c r="AC44" s="48"/>
      <c r="AD44" s="47"/>
      <c r="AE44" s="22"/>
      <c r="AF44" s="88"/>
      <c r="AG44" s="88"/>
      <c r="AH44" s="88"/>
      <c r="AI44" s="88"/>
      <c r="AJ44" s="88"/>
      <c r="AL44" s="89"/>
      <c r="AM44" s="90"/>
      <c r="AN44" s="90"/>
      <c r="AO44" s="89"/>
      <c r="AP44" s="89"/>
      <c r="AU44" s="29"/>
      <c r="AY44" s="93"/>
      <c r="BC44" s="74"/>
    </row>
    <row r="45" spans="1:55" ht="29.25" customHeight="1" x14ac:dyDescent="0.2">
      <c r="A45" s="27"/>
      <c r="B45" s="28"/>
      <c r="C45" s="48"/>
      <c r="D45" s="48"/>
      <c r="E45" s="48"/>
      <c r="F45" s="47"/>
      <c r="G45" s="47"/>
      <c r="H45" s="47"/>
      <c r="I45" s="47"/>
      <c r="J45" s="47"/>
      <c r="K45" s="48"/>
      <c r="L45" s="48"/>
      <c r="M45" s="48"/>
      <c r="N45" s="47"/>
      <c r="O45" s="47"/>
      <c r="P45" s="47"/>
      <c r="Q45" s="48"/>
      <c r="R45" s="47"/>
      <c r="S45" s="48"/>
      <c r="T45" s="48"/>
      <c r="U45" s="48"/>
      <c r="V45" s="47"/>
      <c r="W45" s="48"/>
      <c r="X45" s="48"/>
      <c r="Y45" s="48"/>
      <c r="Z45" s="47"/>
      <c r="AA45" s="48"/>
      <c r="AB45" s="48"/>
      <c r="AC45" s="48"/>
      <c r="AD45" s="47"/>
      <c r="AE45" s="22"/>
      <c r="AF45" s="88"/>
      <c r="AG45" s="88"/>
      <c r="AH45" s="88"/>
      <c r="AI45" s="88"/>
      <c r="AJ45" s="88"/>
      <c r="AL45" s="89"/>
      <c r="AM45" s="90"/>
      <c r="AN45" s="90"/>
      <c r="AO45" s="89"/>
      <c r="AP45" s="89"/>
      <c r="AR45" s="89"/>
      <c r="AU45" s="29"/>
      <c r="AY45" s="93"/>
      <c r="BC45" s="76"/>
    </row>
    <row r="46" spans="1:55" ht="29.25" customHeight="1" x14ac:dyDescent="0.2">
      <c r="A46" s="27"/>
      <c r="B46" s="28"/>
      <c r="C46" s="48"/>
      <c r="D46" s="48"/>
      <c r="E46" s="48"/>
      <c r="F46" s="47"/>
      <c r="G46" s="47"/>
      <c r="H46" s="47"/>
      <c r="I46" s="47"/>
      <c r="J46" s="47"/>
      <c r="K46" s="48"/>
      <c r="L46" s="48"/>
      <c r="M46" s="48"/>
      <c r="N46" s="47"/>
      <c r="O46" s="47"/>
      <c r="P46" s="47"/>
      <c r="Q46" s="48"/>
      <c r="R46" s="47"/>
      <c r="S46" s="48"/>
      <c r="T46" s="48"/>
      <c r="U46" s="48"/>
      <c r="V46" s="47"/>
      <c r="W46" s="48"/>
      <c r="X46" s="48"/>
      <c r="Y46" s="48"/>
      <c r="Z46" s="47"/>
      <c r="AA46" s="48"/>
      <c r="AB46" s="48"/>
      <c r="AC46" s="48"/>
      <c r="AD46" s="47"/>
      <c r="AE46" s="22"/>
      <c r="AF46" s="88"/>
      <c r="AG46" s="88"/>
      <c r="AH46" s="88"/>
      <c r="AI46" s="88"/>
      <c r="AJ46" s="88"/>
      <c r="AL46" s="89"/>
      <c r="AM46" s="90"/>
      <c r="AN46" s="90"/>
      <c r="AO46" s="89"/>
      <c r="AP46" s="89"/>
      <c r="AR46" s="89"/>
      <c r="AU46" s="29"/>
      <c r="AY46" s="93"/>
      <c r="BC46" s="74"/>
    </row>
    <row r="47" spans="1:55" ht="29.25" customHeight="1" x14ac:dyDescent="0.2">
      <c r="A47" s="27"/>
      <c r="B47" s="28"/>
      <c r="C47" s="48"/>
      <c r="D47" s="48"/>
      <c r="E47" s="48"/>
      <c r="F47" s="47"/>
      <c r="G47" s="47"/>
      <c r="H47" s="47"/>
      <c r="I47" s="47"/>
      <c r="J47" s="47"/>
      <c r="K47" s="48"/>
      <c r="L47" s="48"/>
      <c r="M47" s="48"/>
      <c r="N47" s="47"/>
      <c r="O47" s="47"/>
      <c r="P47" s="47"/>
      <c r="Q47" s="48"/>
      <c r="R47" s="47"/>
      <c r="S47" s="48"/>
      <c r="T47" s="48"/>
      <c r="U47" s="48"/>
      <c r="V47" s="47"/>
      <c r="W47" s="48"/>
      <c r="X47" s="48"/>
      <c r="Y47" s="48"/>
      <c r="Z47" s="47"/>
      <c r="AA47" s="48"/>
      <c r="AB47" s="48"/>
      <c r="AC47" s="48"/>
      <c r="AD47" s="47"/>
      <c r="AE47" s="22"/>
      <c r="AF47" s="88"/>
      <c r="AG47" s="88"/>
      <c r="AH47" s="88"/>
      <c r="AI47" s="88"/>
      <c r="AJ47" s="88"/>
      <c r="AL47" s="89"/>
      <c r="AM47" s="90"/>
      <c r="AN47" s="90"/>
      <c r="AO47" s="89"/>
      <c r="AP47" s="89"/>
      <c r="AR47" s="89"/>
      <c r="AU47" s="29"/>
      <c r="AY47" s="93"/>
      <c r="BC47" s="76"/>
    </row>
    <row r="48" spans="1:55" ht="29.25" customHeight="1" x14ac:dyDescent="0.2">
      <c r="A48" s="27"/>
      <c r="B48" s="28"/>
      <c r="C48" s="48"/>
      <c r="D48" s="48"/>
      <c r="E48" s="48"/>
      <c r="F48" s="47"/>
      <c r="G48" s="47"/>
      <c r="H48" s="47"/>
      <c r="I48" s="47"/>
      <c r="J48" s="47"/>
      <c r="K48" s="48"/>
      <c r="L48" s="48"/>
      <c r="M48" s="48"/>
      <c r="N48" s="47"/>
      <c r="O48" s="47"/>
      <c r="P48" s="47"/>
      <c r="Q48" s="48"/>
      <c r="R48" s="47"/>
      <c r="S48" s="48"/>
      <c r="T48" s="48"/>
      <c r="U48" s="48"/>
      <c r="V48" s="47"/>
      <c r="W48" s="48"/>
      <c r="X48" s="48"/>
      <c r="Y48" s="48"/>
      <c r="Z48" s="47"/>
      <c r="AA48" s="48"/>
      <c r="AB48" s="48"/>
      <c r="AC48" s="48"/>
      <c r="AD48" s="47"/>
      <c r="AE48" s="22"/>
      <c r="AF48" s="88"/>
      <c r="AG48" s="88"/>
      <c r="AH48" s="88"/>
      <c r="AI48" s="88"/>
      <c r="AJ48" s="88"/>
      <c r="AL48" s="89"/>
      <c r="AM48" s="90"/>
      <c r="AN48" s="90"/>
      <c r="AO48" s="89"/>
      <c r="AP48" s="89"/>
      <c r="AR48" s="89"/>
      <c r="AU48" s="29"/>
      <c r="AY48" s="93"/>
      <c r="BC48" s="74"/>
    </row>
    <row r="49" spans="1:55" ht="29.25" customHeight="1" x14ac:dyDescent="0.2">
      <c r="A49" s="27"/>
      <c r="B49" s="28"/>
      <c r="C49" s="48"/>
      <c r="D49" s="48"/>
      <c r="E49" s="48"/>
      <c r="F49" s="47"/>
      <c r="G49" s="47"/>
      <c r="H49" s="47"/>
      <c r="I49" s="47"/>
      <c r="J49" s="47"/>
      <c r="K49" s="48"/>
      <c r="L49" s="48"/>
      <c r="M49" s="48"/>
      <c r="N49" s="47"/>
      <c r="O49" s="47"/>
      <c r="P49" s="47"/>
      <c r="Q49" s="48"/>
      <c r="R49" s="47"/>
      <c r="S49" s="48"/>
      <c r="T49" s="48"/>
      <c r="U49" s="48"/>
      <c r="V49" s="47"/>
      <c r="W49" s="48"/>
      <c r="X49" s="48"/>
      <c r="Y49" s="48"/>
      <c r="Z49" s="47"/>
      <c r="AA49" s="48"/>
      <c r="AB49" s="48"/>
      <c r="AC49" s="48"/>
      <c r="AD49" s="47"/>
      <c r="AE49" s="22"/>
      <c r="AF49" s="88"/>
      <c r="AG49" s="88"/>
      <c r="AH49" s="88"/>
      <c r="AI49" s="88"/>
      <c r="AJ49" s="88"/>
      <c r="AL49" s="89"/>
      <c r="AM49" s="90"/>
      <c r="AN49" s="90"/>
      <c r="AO49" s="89"/>
      <c r="AP49" s="89"/>
      <c r="AR49" s="89"/>
      <c r="AU49" s="29"/>
      <c r="AY49" s="93"/>
      <c r="BC49" s="76"/>
    </row>
    <row r="50" spans="1:55" ht="29.25" customHeight="1" x14ac:dyDescent="0.2">
      <c r="A50" s="27"/>
      <c r="B50" s="28"/>
      <c r="C50" s="48"/>
      <c r="D50" s="48"/>
      <c r="E50" s="48"/>
      <c r="F50" s="47"/>
      <c r="G50" s="47"/>
      <c r="H50" s="47"/>
      <c r="I50" s="47"/>
      <c r="J50" s="47"/>
      <c r="K50" s="48"/>
      <c r="L50" s="48"/>
      <c r="M50" s="48"/>
      <c r="N50" s="47"/>
      <c r="O50" s="47"/>
      <c r="P50" s="47"/>
      <c r="Q50" s="48"/>
      <c r="R50" s="47"/>
      <c r="S50" s="48"/>
      <c r="T50" s="48"/>
      <c r="U50" s="48"/>
      <c r="V50" s="47"/>
      <c r="W50" s="48"/>
      <c r="X50" s="48"/>
      <c r="Y50" s="48"/>
      <c r="Z50" s="47"/>
      <c r="AA50" s="48"/>
      <c r="AB50" s="48"/>
      <c r="AC50" s="48"/>
      <c r="AD50" s="47"/>
      <c r="AE50" s="22"/>
      <c r="AF50" s="88"/>
      <c r="AG50" s="88"/>
      <c r="AH50" s="88"/>
      <c r="AI50" s="88"/>
      <c r="AJ50" s="88"/>
      <c r="AL50" s="89"/>
      <c r="AM50" s="90"/>
      <c r="AN50" s="90"/>
      <c r="AO50" s="89"/>
      <c r="AP50" s="89"/>
      <c r="AR50" s="89"/>
      <c r="AU50" s="29"/>
      <c r="AY50" s="93"/>
      <c r="BC50" s="74"/>
    </row>
    <row r="51" spans="1:55" ht="29.25" customHeight="1" x14ac:dyDescent="0.2">
      <c r="A51" s="27"/>
      <c r="B51" s="28"/>
      <c r="C51" s="48"/>
      <c r="D51" s="48"/>
      <c r="E51" s="48"/>
      <c r="F51" s="47"/>
      <c r="G51" s="47"/>
      <c r="H51" s="47"/>
      <c r="I51" s="47"/>
      <c r="J51" s="47"/>
      <c r="K51" s="48"/>
      <c r="L51" s="48"/>
      <c r="M51" s="48"/>
      <c r="N51" s="47"/>
      <c r="O51" s="47"/>
      <c r="P51" s="47"/>
      <c r="Q51" s="48"/>
      <c r="R51" s="47"/>
      <c r="S51" s="48"/>
      <c r="T51" s="48"/>
      <c r="U51" s="48"/>
      <c r="V51" s="47"/>
      <c r="W51" s="48"/>
      <c r="X51" s="48"/>
      <c r="Y51" s="48"/>
      <c r="Z51" s="47"/>
      <c r="AA51" s="48"/>
      <c r="AB51" s="48"/>
      <c r="AC51" s="48"/>
      <c r="AD51" s="47"/>
      <c r="AE51" s="22"/>
      <c r="AF51" s="88"/>
      <c r="AG51" s="88"/>
      <c r="AH51" s="88"/>
      <c r="AI51" s="88"/>
      <c r="AJ51" s="88"/>
      <c r="AL51" s="89"/>
      <c r="AM51" s="90"/>
      <c r="AN51" s="90"/>
      <c r="AO51" s="89"/>
      <c r="AP51" s="89"/>
      <c r="AR51" s="89"/>
      <c r="AU51" s="29"/>
      <c r="AY51" s="93"/>
      <c r="BC51" s="74"/>
    </row>
    <row r="52" spans="1:55" ht="29.25" customHeight="1" x14ac:dyDescent="0.2">
      <c r="A52" s="27"/>
      <c r="B52" s="28"/>
      <c r="C52" s="48"/>
      <c r="D52" s="48"/>
      <c r="E52" s="48"/>
      <c r="F52" s="47"/>
      <c r="G52" s="47"/>
      <c r="H52" s="47"/>
      <c r="I52" s="47"/>
      <c r="J52" s="47"/>
      <c r="K52" s="48"/>
      <c r="L52" s="48"/>
      <c r="M52" s="48"/>
      <c r="N52" s="47"/>
      <c r="O52" s="47"/>
      <c r="P52" s="47"/>
      <c r="Q52" s="48"/>
      <c r="R52" s="47"/>
      <c r="S52" s="48"/>
      <c r="T52" s="48"/>
      <c r="U52" s="48"/>
      <c r="V52" s="47"/>
      <c r="W52" s="48"/>
      <c r="X52" s="48"/>
      <c r="Y52" s="48"/>
      <c r="Z52" s="47"/>
      <c r="AA52" s="48"/>
      <c r="AB52" s="48"/>
      <c r="AC52" s="48"/>
      <c r="AD52" s="47"/>
      <c r="AE52" s="22"/>
      <c r="AF52" s="88"/>
      <c r="AG52" s="88"/>
      <c r="AH52" s="88"/>
      <c r="AI52" s="88"/>
      <c r="AJ52" s="88"/>
      <c r="AL52" s="89"/>
      <c r="AM52" s="90"/>
      <c r="AN52" s="90"/>
      <c r="AO52" s="89"/>
      <c r="AP52" s="89"/>
      <c r="AR52" s="89"/>
      <c r="AU52" s="29"/>
      <c r="AY52" s="93"/>
      <c r="BC52" s="74"/>
    </row>
    <row r="53" spans="1:55" ht="29.25" customHeight="1" x14ac:dyDescent="0.2">
      <c r="A53" s="27"/>
      <c r="B53" s="28"/>
      <c r="C53" s="48"/>
      <c r="D53" s="48"/>
      <c r="E53" s="48"/>
      <c r="F53" s="47"/>
      <c r="G53" s="47"/>
      <c r="H53" s="47"/>
      <c r="I53" s="47"/>
      <c r="J53" s="47"/>
      <c r="K53" s="48"/>
      <c r="L53" s="48"/>
      <c r="M53" s="48"/>
      <c r="N53" s="47"/>
      <c r="O53" s="47"/>
      <c r="P53" s="47"/>
      <c r="Q53" s="48"/>
      <c r="R53" s="47"/>
      <c r="S53" s="48"/>
      <c r="T53" s="48"/>
      <c r="U53" s="48"/>
      <c r="V53" s="47"/>
      <c r="W53" s="48"/>
      <c r="X53" s="48"/>
      <c r="Y53" s="48"/>
      <c r="Z53" s="47"/>
      <c r="AA53" s="48"/>
      <c r="AB53" s="48"/>
      <c r="AC53" s="48"/>
      <c r="AD53" s="47"/>
      <c r="AE53" s="22"/>
      <c r="AF53" s="88"/>
      <c r="AG53" s="88"/>
      <c r="AH53" s="88"/>
      <c r="AI53" s="88"/>
      <c r="AJ53" s="88"/>
      <c r="AL53" s="89"/>
      <c r="AM53" s="90"/>
      <c r="AN53" s="90"/>
      <c r="AO53" s="89"/>
      <c r="AP53" s="89"/>
      <c r="AR53" s="89"/>
      <c r="AU53" s="29"/>
      <c r="AY53" s="93"/>
      <c r="BC53" s="74"/>
    </row>
    <row r="54" spans="1:55" ht="29.25" customHeight="1" x14ac:dyDescent="0.2">
      <c r="A54" s="27"/>
      <c r="B54" s="28"/>
      <c r="C54" s="48"/>
      <c r="D54" s="48"/>
      <c r="E54" s="48"/>
      <c r="F54" s="47"/>
      <c r="G54" s="47"/>
      <c r="H54" s="47"/>
      <c r="I54" s="47"/>
      <c r="J54" s="47"/>
      <c r="K54" s="48"/>
      <c r="L54" s="48"/>
      <c r="M54" s="48"/>
      <c r="N54" s="47"/>
      <c r="O54" s="47"/>
      <c r="P54" s="47"/>
      <c r="Q54" s="48"/>
      <c r="R54" s="47"/>
      <c r="S54" s="48"/>
      <c r="T54" s="48"/>
      <c r="U54" s="48"/>
      <c r="V54" s="47"/>
      <c r="W54" s="48"/>
      <c r="X54" s="48"/>
      <c r="Y54" s="48"/>
      <c r="Z54" s="47"/>
      <c r="AA54" s="48"/>
      <c r="AB54" s="48"/>
      <c r="AC54" s="48"/>
      <c r="AD54" s="47"/>
      <c r="AE54" s="22"/>
      <c r="AF54" s="88"/>
      <c r="AG54" s="88"/>
      <c r="AH54" s="88"/>
      <c r="AI54" s="88"/>
      <c r="AJ54" s="88"/>
      <c r="AL54" s="89"/>
      <c r="AM54" s="90"/>
      <c r="AN54" s="90"/>
      <c r="AO54" s="89"/>
      <c r="AP54" s="89"/>
      <c r="AR54" s="89"/>
      <c r="AU54" s="29"/>
      <c r="AY54" s="93"/>
      <c r="BC54" s="74"/>
    </row>
    <row r="55" spans="1:55" ht="29.25" customHeight="1" x14ac:dyDescent="0.2">
      <c r="A55" s="27"/>
      <c r="B55" s="28"/>
      <c r="C55" s="48"/>
      <c r="D55" s="48"/>
      <c r="E55" s="48"/>
      <c r="F55" s="47"/>
      <c r="G55" s="47"/>
      <c r="H55" s="47"/>
      <c r="I55" s="47"/>
      <c r="J55" s="47"/>
      <c r="K55" s="48"/>
      <c r="L55" s="48"/>
      <c r="M55" s="48"/>
      <c r="N55" s="47"/>
      <c r="O55" s="47"/>
      <c r="P55" s="47"/>
      <c r="Q55" s="48"/>
      <c r="R55" s="47"/>
      <c r="S55" s="48"/>
      <c r="T55" s="48"/>
      <c r="U55" s="48"/>
      <c r="V55" s="47"/>
      <c r="W55" s="48"/>
      <c r="X55" s="48"/>
      <c r="Y55" s="48"/>
      <c r="Z55" s="47"/>
      <c r="AA55" s="48"/>
      <c r="AB55" s="48"/>
      <c r="AC55" s="48"/>
      <c r="AD55" s="47"/>
      <c r="AE55" s="22"/>
      <c r="AF55" s="88"/>
      <c r="AG55" s="88"/>
      <c r="AH55" s="88"/>
      <c r="AI55" s="88"/>
      <c r="AJ55" s="88"/>
      <c r="AL55" s="89"/>
      <c r="AM55" s="90"/>
      <c r="AN55" s="90"/>
      <c r="AO55" s="89"/>
      <c r="AP55" s="89"/>
      <c r="AR55" s="89"/>
      <c r="AU55" s="29"/>
      <c r="AY55" s="93"/>
      <c r="BC55" s="74"/>
    </row>
    <row r="56" spans="1:55" ht="29.25" customHeight="1" x14ac:dyDescent="0.2">
      <c r="A56" s="27"/>
      <c r="B56" s="28"/>
      <c r="C56" s="48"/>
      <c r="D56" s="48"/>
      <c r="E56" s="48"/>
      <c r="F56" s="47"/>
      <c r="G56" s="47"/>
      <c r="H56" s="47"/>
      <c r="I56" s="47"/>
      <c r="J56" s="47"/>
      <c r="K56" s="48"/>
      <c r="L56" s="48"/>
      <c r="M56" s="48"/>
      <c r="N56" s="47"/>
      <c r="O56" s="47"/>
      <c r="P56" s="47"/>
      <c r="Q56" s="48"/>
      <c r="R56" s="47"/>
      <c r="S56" s="48"/>
      <c r="T56" s="48"/>
      <c r="U56" s="48"/>
      <c r="V56" s="47"/>
      <c r="W56" s="48"/>
      <c r="X56" s="48"/>
      <c r="Y56" s="48"/>
      <c r="Z56" s="47"/>
      <c r="AA56" s="48"/>
      <c r="AB56" s="48"/>
      <c r="AC56" s="48"/>
      <c r="AD56" s="47"/>
      <c r="AE56" s="22"/>
      <c r="AF56" s="88"/>
      <c r="AG56" s="88"/>
      <c r="AH56" s="88"/>
      <c r="AI56" s="88"/>
      <c r="AJ56" s="88"/>
      <c r="AL56" s="89"/>
      <c r="AM56" s="90"/>
      <c r="AN56" s="90"/>
      <c r="AO56" s="89"/>
      <c r="AP56" s="89"/>
      <c r="AR56" s="89"/>
      <c r="AU56" s="29"/>
      <c r="AY56" s="93"/>
      <c r="BC56" s="74"/>
    </row>
    <row r="57" spans="1:55" ht="29.25" customHeight="1" x14ac:dyDescent="0.2">
      <c r="A57" s="27"/>
      <c r="B57" s="28"/>
      <c r="C57" s="48"/>
      <c r="D57" s="48"/>
      <c r="E57" s="48"/>
      <c r="F57" s="47"/>
      <c r="G57" s="47"/>
      <c r="H57" s="47"/>
      <c r="I57" s="47"/>
      <c r="J57" s="47"/>
      <c r="K57" s="48"/>
      <c r="L57" s="48"/>
      <c r="M57" s="48"/>
      <c r="N57" s="47"/>
      <c r="O57" s="47"/>
      <c r="P57" s="47"/>
      <c r="Q57" s="48"/>
      <c r="R57" s="47"/>
      <c r="S57" s="48"/>
      <c r="T57" s="48"/>
      <c r="U57" s="48"/>
      <c r="V57" s="47"/>
      <c r="W57" s="48"/>
      <c r="X57" s="48"/>
      <c r="Y57" s="48"/>
      <c r="Z57" s="47"/>
      <c r="AA57" s="48"/>
      <c r="AB57" s="48"/>
      <c r="AC57" s="48"/>
      <c r="AD57" s="47"/>
      <c r="AE57" s="22"/>
      <c r="AF57" s="88"/>
      <c r="AG57" s="88"/>
      <c r="AH57" s="88"/>
      <c r="AI57" s="88"/>
      <c r="AJ57" s="88"/>
      <c r="AL57" s="89"/>
      <c r="AM57" s="90"/>
      <c r="AN57" s="90"/>
      <c r="AO57" s="89"/>
      <c r="AP57" s="89"/>
      <c r="AR57" s="89"/>
      <c r="AU57" s="29"/>
      <c r="AY57" s="93"/>
      <c r="BC57" s="74"/>
    </row>
    <row r="58" spans="1:55" ht="29.25" customHeight="1" x14ac:dyDescent="0.2">
      <c r="A58" s="27"/>
      <c r="B58" s="28"/>
      <c r="C58" s="48"/>
      <c r="D58" s="48"/>
      <c r="E58" s="48"/>
      <c r="F58" s="47"/>
      <c r="G58" s="47"/>
      <c r="H58" s="47"/>
      <c r="I58" s="47"/>
      <c r="J58" s="47"/>
      <c r="K58" s="48"/>
      <c r="L58" s="48"/>
      <c r="M58" s="48"/>
      <c r="N58" s="47"/>
      <c r="O58" s="47"/>
      <c r="P58" s="47"/>
      <c r="Q58" s="48"/>
      <c r="R58" s="47"/>
      <c r="S58" s="48"/>
      <c r="T58" s="48"/>
      <c r="U58" s="48"/>
      <c r="V58" s="47"/>
      <c r="W58" s="48"/>
      <c r="X58" s="48"/>
      <c r="Y58" s="48"/>
      <c r="Z58" s="47"/>
      <c r="AA58" s="48"/>
      <c r="AB58" s="48"/>
      <c r="AC58" s="48"/>
      <c r="AD58" s="47"/>
      <c r="AE58" s="22"/>
      <c r="AF58" s="88"/>
      <c r="AG58" s="88"/>
      <c r="AH58" s="88"/>
      <c r="AI58" s="88"/>
      <c r="AJ58" s="88"/>
      <c r="AL58" s="89"/>
      <c r="AM58" s="90"/>
      <c r="AN58" s="90"/>
      <c r="AO58" s="89"/>
      <c r="AP58" s="89"/>
      <c r="AR58" s="89"/>
      <c r="AU58" s="29"/>
      <c r="AY58" s="93"/>
      <c r="BC58" s="74"/>
    </row>
    <row r="59" spans="1:55" ht="29.25" customHeight="1" x14ac:dyDescent="0.2">
      <c r="A59" s="27"/>
      <c r="B59" s="28"/>
      <c r="C59" s="48"/>
      <c r="D59" s="48"/>
      <c r="E59" s="48"/>
      <c r="F59" s="47"/>
      <c r="G59" s="47"/>
      <c r="H59" s="47"/>
      <c r="I59" s="47"/>
      <c r="J59" s="47"/>
      <c r="K59" s="48"/>
      <c r="L59" s="48"/>
      <c r="M59" s="48"/>
      <c r="N59" s="47"/>
      <c r="O59" s="47"/>
      <c r="P59" s="47"/>
      <c r="Q59" s="48"/>
      <c r="R59" s="47"/>
      <c r="S59" s="48"/>
      <c r="T59" s="48"/>
      <c r="U59" s="48"/>
      <c r="V59" s="47"/>
      <c r="W59" s="48"/>
      <c r="X59" s="48"/>
      <c r="Y59" s="48"/>
      <c r="Z59" s="47"/>
      <c r="AA59" s="48"/>
      <c r="AB59" s="48"/>
      <c r="AC59" s="48"/>
      <c r="AD59" s="47"/>
      <c r="AE59" s="22"/>
      <c r="AF59" s="88"/>
      <c r="AG59" s="88"/>
      <c r="AH59" s="88"/>
      <c r="AI59" s="88"/>
      <c r="AJ59" s="88"/>
      <c r="AL59" s="89"/>
      <c r="AM59" s="90"/>
      <c r="AN59" s="90"/>
      <c r="AO59" s="89"/>
      <c r="AP59" s="89"/>
      <c r="AR59" s="89"/>
      <c r="AU59" s="29"/>
      <c r="AY59" s="93"/>
      <c r="BC59" s="74"/>
    </row>
    <row r="60" spans="1:55" ht="29.25" customHeight="1" x14ac:dyDescent="0.2">
      <c r="A60" s="27"/>
      <c r="B60" s="28"/>
      <c r="C60" s="48"/>
      <c r="D60" s="48"/>
      <c r="E60" s="48"/>
      <c r="F60" s="47"/>
      <c r="G60" s="47"/>
      <c r="H60" s="47"/>
      <c r="I60" s="47"/>
      <c r="J60" s="47"/>
      <c r="K60" s="48"/>
      <c r="L60" s="48"/>
      <c r="M60" s="48"/>
      <c r="N60" s="47"/>
      <c r="O60" s="47"/>
      <c r="P60" s="47"/>
      <c r="Q60" s="48"/>
      <c r="R60" s="47"/>
      <c r="S60" s="48"/>
      <c r="T60" s="48"/>
      <c r="U60" s="48"/>
      <c r="V60" s="47"/>
      <c r="W60" s="48"/>
      <c r="X60" s="48"/>
      <c r="Y60" s="48"/>
      <c r="Z60" s="47"/>
      <c r="AA60" s="48"/>
      <c r="AB60" s="48"/>
      <c r="AC60" s="48"/>
      <c r="AD60" s="47"/>
      <c r="AE60" s="22"/>
      <c r="AF60" s="88"/>
      <c r="AG60" s="88"/>
      <c r="AH60" s="88"/>
      <c r="AI60" s="88"/>
      <c r="AJ60" s="88"/>
      <c r="AL60" s="89"/>
      <c r="AM60" s="90"/>
      <c r="AN60" s="90"/>
      <c r="AO60" s="89"/>
      <c r="AP60" s="89"/>
      <c r="AR60" s="89"/>
      <c r="AU60" s="29"/>
      <c r="AY60" s="93"/>
      <c r="BC60" s="74"/>
    </row>
    <row r="61" spans="1:55" ht="29.25" customHeight="1" x14ac:dyDescent="0.2">
      <c r="A61" s="27"/>
      <c r="B61" s="28"/>
      <c r="C61" s="48"/>
      <c r="D61" s="48"/>
      <c r="E61" s="48"/>
      <c r="F61" s="47"/>
      <c r="G61" s="47"/>
      <c r="H61" s="47"/>
      <c r="I61" s="47"/>
      <c r="J61" s="47"/>
      <c r="K61" s="48"/>
      <c r="L61" s="48"/>
      <c r="M61" s="48"/>
      <c r="N61" s="47"/>
      <c r="O61" s="47"/>
      <c r="P61" s="47"/>
      <c r="Q61" s="48"/>
      <c r="R61" s="47"/>
      <c r="S61" s="48"/>
      <c r="T61" s="48"/>
      <c r="U61" s="48"/>
      <c r="V61" s="47"/>
      <c r="W61" s="48"/>
      <c r="X61" s="48"/>
      <c r="Y61" s="48"/>
      <c r="Z61" s="47"/>
      <c r="AA61" s="48"/>
      <c r="AB61" s="48"/>
      <c r="AC61" s="48"/>
      <c r="AD61" s="47"/>
      <c r="AE61" s="22"/>
      <c r="AF61" s="88"/>
      <c r="AG61" s="88"/>
      <c r="AH61" s="88"/>
      <c r="AI61" s="88"/>
      <c r="AJ61" s="88"/>
      <c r="AL61" s="89"/>
      <c r="AM61" s="90"/>
      <c r="AN61" s="90"/>
      <c r="AO61" s="89"/>
      <c r="AP61" s="89"/>
      <c r="AR61" s="89"/>
      <c r="AU61" s="29"/>
      <c r="AY61" s="93"/>
      <c r="BC61" s="74"/>
    </row>
    <row r="62" spans="1:55" ht="29.25" customHeight="1" x14ac:dyDescent="0.2">
      <c r="A62" s="27"/>
      <c r="B62" s="28"/>
      <c r="C62" s="48"/>
      <c r="D62" s="48"/>
      <c r="E62" s="48"/>
      <c r="F62" s="47"/>
      <c r="G62" s="47"/>
      <c r="H62" s="47"/>
      <c r="I62" s="47"/>
      <c r="J62" s="47"/>
      <c r="K62" s="48"/>
      <c r="L62" s="48"/>
      <c r="M62" s="48"/>
      <c r="N62" s="47"/>
      <c r="O62" s="47"/>
      <c r="P62" s="47"/>
      <c r="Q62" s="48"/>
      <c r="R62" s="47"/>
      <c r="S62" s="48"/>
      <c r="T62" s="48"/>
      <c r="U62" s="48"/>
      <c r="V62" s="47"/>
      <c r="W62" s="48"/>
      <c r="X62" s="48"/>
      <c r="Y62" s="48"/>
      <c r="Z62" s="47"/>
      <c r="AA62" s="48"/>
      <c r="AB62" s="48"/>
      <c r="AC62" s="48"/>
      <c r="AD62" s="47"/>
      <c r="AE62" s="22"/>
      <c r="AF62" s="88"/>
      <c r="AG62" s="88"/>
      <c r="AH62" s="88"/>
      <c r="AI62" s="88"/>
      <c r="AJ62" s="88"/>
      <c r="AL62" s="89"/>
      <c r="AM62" s="90"/>
      <c r="AN62" s="90"/>
      <c r="AO62" s="89"/>
      <c r="AP62" s="89"/>
      <c r="AR62" s="89"/>
      <c r="AU62" s="29"/>
      <c r="AY62" s="93"/>
      <c r="BC62" s="74"/>
    </row>
    <row r="63" spans="1:55" ht="29.25" customHeight="1" x14ac:dyDescent="0.2">
      <c r="A63" s="27"/>
      <c r="B63" s="28"/>
      <c r="C63" s="48"/>
      <c r="D63" s="48"/>
      <c r="E63" s="48"/>
      <c r="F63" s="47"/>
      <c r="G63" s="47"/>
      <c r="H63" s="47"/>
      <c r="I63" s="47"/>
      <c r="J63" s="47"/>
      <c r="K63" s="48"/>
      <c r="L63" s="48"/>
      <c r="M63" s="48"/>
      <c r="N63" s="47"/>
      <c r="O63" s="47"/>
      <c r="P63" s="47"/>
      <c r="Q63" s="48"/>
      <c r="R63" s="47"/>
      <c r="S63" s="48"/>
      <c r="T63" s="48"/>
      <c r="U63" s="48"/>
      <c r="V63" s="47"/>
      <c r="W63" s="48"/>
      <c r="X63" s="48"/>
      <c r="Y63" s="48"/>
      <c r="Z63" s="47"/>
      <c r="AA63" s="48"/>
      <c r="AB63" s="48"/>
      <c r="AC63" s="48"/>
      <c r="AD63" s="47"/>
      <c r="AE63" s="22"/>
      <c r="AF63" s="88"/>
      <c r="AG63" s="88"/>
      <c r="AH63" s="88"/>
      <c r="AI63" s="88"/>
      <c r="AJ63" s="88"/>
      <c r="AL63" s="89"/>
      <c r="AM63" s="90"/>
      <c r="AN63" s="90"/>
      <c r="AO63" s="89"/>
      <c r="AP63" s="89"/>
      <c r="AR63" s="89"/>
      <c r="AU63" s="29"/>
      <c r="AY63" s="93"/>
      <c r="BC63" s="74"/>
    </row>
    <row r="64" spans="1:55" ht="29.25" customHeight="1" x14ac:dyDescent="0.2">
      <c r="A64" s="27"/>
      <c r="B64" s="28"/>
      <c r="C64" s="48"/>
      <c r="D64" s="48"/>
      <c r="E64" s="48"/>
      <c r="F64" s="47"/>
      <c r="G64" s="47"/>
      <c r="H64" s="47"/>
      <c r="I64" s="47"/>
      <c r="J64" s="47"/>
      <c r="K64" s="48"/>
      <c r="L64" s="48"/>
      <c r="M64" s="48"/>
      <c r="N64" s="47"/>
      <c r="O64" s="47"/>
      <c r="P64" s="47"/>
      <c r="Q64" s="48"/>
      <c r="R64" s="47"/>
      <c r="S64" s="48"/>
      <c r="T64" s="48"/>
      <c r="U64" s="48"/>
      <c r="V64" s="47"/>
      <c r="W64" s="48"/>
      <c r="X64" s="48"/>
      <c r="Y64" s="48"/>
      <c r="Z64" s="47"/>
      <c r="AA64" s="48"/>
      <c r="AB64" s="48"/>
      <c r="AC64" s="48"/>
      <c r="AD64" s="47"/>
      <c r="AE64" s="22"/>
      <c r="AF64" s="88"/>
      <c r="AG64" s="88"/>
      <c r="AH64" s="88"/>
      <c r="AI64" s="88"/>
      <c r="AJ64" s="88"/>
      <c r="AL64" s="89"/>
      <c r="AM64" s="90"/>
      <c r="AN64" s="90"/>
      <c r="AO64" s="89"/>
      <c r="AP64" s="89"/>
      <c r="AR64" s="89"/>
      <c r="AU64" s="29"/>
      <c r="AY64" s="93"/>
      <c r="BC64" s="74"/>
    </row>
    <row r="65" spans="1:55" ht="29.25" customHeight="1" x14ac:dyDescent="0.2">
      <c r="A65" s="27"/>
      <c r="B65" s="28"/>
      <c r="C65" s="48"/>
      <c r="D65" s="48"/>
      <c r="E65" s="48"/>
      <c r="F65" s="47"/>
      <c r="G65" s="47"/>
      <c r="H65" s="47"/>
      <c r="I65" s="47"/>
      <c r="J65" s="47"/>
      <c r="K65" s="48"/>
      <c r="L65" s="48"/>
      <c r="M65" s="48"/>
      <c r="N65" s="47"/>
      <c r="O65" s="47"/>
      <c r="P65" s="47"/>
      <c r="Q65" s="48"/>
      <c r="R65" s="47"/>
      <c r="S65" s="48"/>
      <c r="T65" s="48"/>
      <c r="U65" s="48"/>
      <c r="V65" s="47"/>
      <c r="W65" s="48"/>
      <c r="X65" s="48"/>
      <c r="Y65" s="48"/>
      <c r="Z65" s="47"/>
      <c r="AA65" s="48"/>
      <c r="AB65" s="48"/>
      <c r="AC65" s="48"/>
      <c r="AD65" s="47"/>
      <c r="AE65" s="22"/>
      <c r="AF65" s="88"/>
      <c r="AG65" s="88"/>
      <c r="AH65" s="88"/>
      <c r="AI65" s="88"/>
      <c r="AJ65" s="88"/>
      <c r="AL65" s="89"/>
      <c r="AM65" s="90"/>
      <c r="AN65" s="90"/>
      <c r="AO65" s="89"/>
      <c r="AP65" s="89"/>
      <c r="AR65" s="89"/>
      <c r="AU65" s="29"/>
      <c r="AY65" s="93"/>
      <c r="BC65" s="74"/>
    </row>
    <row r="66" spans="1:55" ht="29.25" customHeight="1" x14ac:dyDescent="0.2">
      <c r="A66" s="27"/>
      <c r="B66" s="28"/>
      <c r="C66" s="48"/>
      <c r="D66" s="48"/>
      <c r="E66" s="48"/>
      <c r="F66" s="47"/>
      <c r="G66" s="47"/>
      <c r="H66" s="47"/>
      <c r="I66" s="47"/>
      <c r="J66" s="47"/>
      <c r="K66" s="48"/>
      <c r="L66" s="48"/>
      <c r="M66" s="48"/>
      <c r="N66" s="47"/>
      <c r="O66" s="47"/>
      <c r="P66" s="47"/>
      <c r="Q66" s="48"/>
      <c r="R66" s="47"/>
      <c r="S66" s="48"/>
      <c r="T66" s="48"/>
      <c r="U66" s="48"/>
      <c r="V66" s="47"/>
      <c r="W66" s="48"/>
      <c r="X66" s="48"/>
      <c r="Y66" s="48"/>
      <c r="Z66" s="47"/>
      <c r="AA66" s="48"/>
      <c r="AB66" s="48"/>
      <c r="AC66" s="48"/>
      <c r="AD66" s="47"/>
      <c r="AE66" s="22"/>
      <c r="AF66" s="88"/>
      <c r="AG66" s="88"/>
      <c r="AH66" s="88"/>
      <c r="AI66" s="88"/>
      <c r="AJ66" s="88"/>
      <c r="AL66" s="89"/>
      <c r="AM66" s="90"/>
      <c r="AN66" s="90"/>
      <c r="AO66" s="89"/>
      <c r="AP66" s="89"/>
      <c r="AR66" s="89"/>
      <c r="AU66" s="29"/>
      <c r="AY66" s="93"/>
      <c r="BC66" s="74"/>
    </row>
    <row r="67" spans="1:55" ht="29.25" customHeight="1" x14ac:dyDescent="0.2">
      <c r="A67" s="27"/>
      <c r="B67" s="28"/>
      <c r="C67" s="48"/>
      <c r="D67" s="48"/>
      <c r="E67" s="48"/>
      <c r="F67" s="47"/>
      <c r="G67" s="47"/>
      <c r="H67" s="47"/>
      <c r="I67" s="47"/>
      <c r="J67" s="47"/>
      <c r="K67" s="48"/>
      <c r="L67" s="48"/>
      <c r="M67" s="48"/>
      <c r="N67" s="47"/>
      <c r="O67" s="47"/>
      <c r="P67" s="47"/>
      <c r="Q67" s="48"/>
      <c r="R67" s="47"/>
      <c r="S67" s="48"/>
      <c r="T67" s="48"/>
      <c r="U67" s="48"/>
      <c r="V67" s="47"/>
      <c r="W67" s="48"/>
      <c r="X67" s="48"/>
      <c r="Y67" s="48"/>
      <c r="Z67" s="47"/>
      <c r="AA67" s="48"/>
      <c r="AB67" s="48"/>
      <c r="AC67" s="48"/>
      <c r="AD67" s="47"/>
      <c r="AE67" s="22"/>
      <c r="AF67" s="88"/>
      <c r="AG67" s="88"/>
      <c r="AH67" s="88"/>
      <c r="AI67" s="88"/>
      <c r="AJ67" s="88"/>
      <c r="AL67" s="89"/>
      <c r="AM67" s="90"/>
      <c r="AN67" s="90"/>
      <c r="AO67" s="89"/>
      <c r="AP67" s="89"/>
      <c r="AR67" s="89"/>
      <c r="AU67" s="29"/>
      <c r="AY67" s="93"/>
      <c r="BC67" s="74"/>
    </row>
    <row r="68" spans="1:55" ht="29.25" customHeight="1" x14ac:dyDescent="0.2">
      <c r="A68" s="27"/>
      <c r="B68" s="28"/>
      <c r="C68" s="48"/>
      <c r="D68" s="48"/>
      <c r="E68" s="48"/>
      <c r="F68" s="47"/>
      <c r="G68" s="47"/>
      <c r="H68" s="47"/>
      <c r="I68" s="47"/>
      <c r="J68" s="47"/>
      <c r="K68" s="48"/>
      <c r="L68" s="48"/>
      <c r="M68" s="48"/>
      <c r="N68" s="47"/>
      <c r="O68" s="47"/>
      <c r="P68" s="47"/>
      <c r="Q68" s="48"/>
      <c r="R68" s="47"/>
      <c r="S68" s="48"/>
      <c r="T68" s="48"/>
      <c r="U68" s="48"/>
      <c r="V68" s="47"/>
      <c r="W68" s="48"/>
      <c r="X68" s="48"/>
      <c r="Y68" s="48"/>
      <c r="Z68" s="47"/>
      <c r="AA68" s="48"/>
      <c r="AB68" s="48"/>
      <c r="AC68" s="48"/>
      <c r="AD68" s="47"/>
      <c r="AE68" s="22"/>
      <c r="AF68" s="88"/>
      <c r="AG68" s="88"/>
      <c r="AH68" s="88"/>
      <c r="AI68" s="88"/>
      <c r="AJ68" s="88"/>
      <c r="AL68" s="89"/>
      <c r="AM68" s="90"/>
      <c r="AN68" s="90"/>
      <c r="AO68" s="89"/>
      <c r="AP68" s="89"/>
      <c r="AR68" s="89"/>
      <c r="AU68" s="29"/>
      <c r="AY68" s="93"/>
      <c r="BC68" s="74"/>
    </row>
    <row r="69" spans="1:55" ht="29.25" customHeight="1" x14ac:dyDescent="0.2">
      <c r="A69" s="27"/>
      <c r="B69" s="28"/>
      <c r="C69" s="48"/>
      <c r="D69" s="48"/>
      <c r="E69" s="48"/>
      <c r="F69" s="47"/>
      <c r="G69" s="47"/>
      <c r="H69" s="47"/>
      <c r="I69" s="47"/>
      <c r="J69" s="47"/>
      <c r="K69" s="48"/>
      <c r="L69" s="48"/>
      <c r="M69" s="48"/>
      <c r="N69" s="47"/>
      <c r="O69" s="47"/>
      <c r="P69" s="47"/>
      <c r="Q69" s="48"/>
      <c r="R69" s="47"/>
      <c r="S69" s="48"/>
      <c r="T69" s="48"/>
      <c r="U69" s="48"/>
      <c r="V69" s="47"/>
      <c r="W69" s="48"/>
      <c r="X69" s="48"/>
      <c r="Y69" s="48"/>
      <c r="Z69" s="47"/>
      <c r="AA69" s="48"/>
      <c r="AB69" s="48"/>
      <c r="AC69" s="48"/>
      <c r="AD69" s="47"/>
      <c r="AE69" s="22"/>
      <c r="AF69" s="88"/>
      <c r="AG69" s="88"/>
      <c r="AH69" s="88"/>
      <c r="AI69" s="88"/>
      <c r="AJ69" s="88"/>
      <c r="AL69" s="89"/>
      <c r="AM69" s="90"/>
      <c r="AN69" s="90"/>
      <c r="AO69" s="89"/>
      <c r="AP69" s="89"/>
      <c r="AR69" s="89"/>
      <c r="AU69" s="29"/>
      <c r="AY69" s="93"/>
      <c r="BC69" s="74"/>
    </row>
    <row r="70" spans="1:55" ht="29.25" customHeight="1" x14ac:dyDescent="0.2">
      <c r="A70" s="27"/>
      <c r="B70" s="28"/>
      <c r="C70" s="48"/>
      <c r="D70" s="48"/>
      <c r="E70" s="48"/>
      <c r="F70" s="47"/>
      <c r="G70" s="47"/>
      <c r="H70" s="47"/>
      <c r="I70" s="47"/>
      <c r="J70" s="47"/>
      <c r="K70" s="48"/>
      <c r="L70" s="48"/>
      <c r="M70" s="48"/>
      <c r="N70" s="47"/>
      <c r="O70" s="47"/>
      <c r="P70" s="47"/>
      <c r="Q70" s="48"/>
      <c r="R70" s="47"/>
      <c r="S70" s="48"/>
      <c r="T70" s="48"/>
      <c r="U70" s="48"/>
      <c r="V70" s="47"/>
      <c r="W70" s="48"/>
      <c r="X70" s="48"/>
      <c r="Y70" s="48"/>
      <c r="Z70" s="47"/>
      <c r="AA70" s="48"/>
      <c r="AB70" s="48"/>
      <c r="AC70" s="48"/>
      <c r="AD70" s="47"/>
      <c r="AE70" s="22"/>
      <c r="AF70" s="88"/>
      <c r="AG70" s="88"/>
      <c r="AH70" s="88"/>
      <c r="AI70" s="88"/>
      <c r="AJ70" s="88"/>
      <c r="AL70" s="89"/>
      <c r="AM70" s="90"/>
      <c r="AN70" s="90"/>
      <c r="AO70" s="89"/>
      <c r="AP70" s="89"/>
      <c r="AR70" s="89"/>
      <c r="AU70" s="29"/>
      <c r="AY70" s="93"/>
      <c r="BC70" s="74"/>
    </row>
    <row r="71" spans="1:55" ht="29.25" customHeight="1" x14ac:dyDescent="0.2">
      <c r="A71" s="27"/>
      <c r="B71" s="28"/>
      <c r="C71" s="48"/>
      <c r="D71" s="48"/>
      <c r="E71" s="48"/>
      <c r="F71" s="47"/>
      <c r="G71" s="47"/>
      <c r="H71" s="47"/>
      <c r="I71" s="47"/>
      <c r="J71" s="47"/>
      <c r="K71" s="48"/>
      <c r="L71" s="48"/>
      <c r="M71" s="48"/>
      <c r="N71" s="47"/>
      <c r="O71" s="47"/>
      <c r="P71" s="47"/>
      <c r="Q71" s="48"/>
      <c r="R71" s="47"/>
      <c r="S71" s="48"/>
      <c r="T71" s="48"/>
      <c r="U71" s="48"/>
      <c r="V71" s="47"/>
      <c r="W71" s="48"/>
      <c r="X71" s="48"/>
      <c r="Y71" s="48"/>
      <c r="Z71" s="47"/>
      <c r="AA71" s="48"/>
      <c r="AB71" s="48"/>
      <c r="AC71" s="48"/>
      <c r="AD71" s="47"/>
      <c r="AE71" s="22"/>
      <c r="AF71" s="88"/>
      <c r="AG71" s="88"/>
      <c r="AH71" s="88"/>
      <c r="AI71" s="88"/>
      <c r="AJ71" s="88"/>
      <c r="AL71" s="89"/>
      <c r="AM71" s="90"/>
      <c r="AN71" s="90"/>
      <c r="AO71" s="89"/>
      <c r="AP71" s="89"/>
      <c r="AR71" s="89"/>
      <c r="AU71" s="29"/>
      <c r="AY71" s="93"/>
      <c r="BC71" s="74"/>
    </row>
    <row r="72" spans="1:55" ht="29.25" customHeight="1" x14ac:dyDescent="0.2">
      <c r="A72" s="27"/>
      <c r="B72" s="28"/>
      <c r="C72" s="48"/>
      <c r="D72" s="48"/>
      <c r="E72" s="48"/>
      <c r="F72" s="47"/>
      <c r="G72" s="47"/>
      <c r="H72" s="47"/>
      <c r="I72" s="47"/>
      <c r="J72" s="47"/>
      <c r="K72" s="48"/>
      <c r="L72" s="48"/>
      <c r="M72" s="48"/>
      <c r="N72" s="47"/>
      <c r="O72" s="47"/>
      <c r="P72" s="47"/>
      <c r="Q72" s="48"/>
      <c r="R72" s="47"/>
      <c r="S72" s="48"/>
      <c r="T72" s="48"/>
      <c r="U72" s="48"/>
      <c r="V72" s="47"/>
      <c r="W72" s="48"/>
      <c r="X72" s="48"/>
      <c r="Y72" s="48"/>
      <c r="Z72" s="47"/>
      <c r="AA72" s="48"/>
      <c r="AB72" s="48"/>
      <c r="AC72" s="48"/>
      <c r="AD72" s="47"/>
      <c r="AE72" s="22"/>
      <c r="AF72" s="88"/>
      <c r="AG72" s="88"/>
      <c r="AH72" s="88"/>
      <c r="AI72" s="88"/>
      <c r="AJ72" s="88"/>
      <c r="AL72" s="89"/>
      <c r="AM72" s="90"/>
      <c r="AN72" s="90"/>
      <c r="AO72" s="89"/>
      <c r="AP72" s="89"/>
      <c r="AR72" s="89"/>
      <c r="AU72" s="29"/>
      <c r="AY72" s="93"/>
      <c r="BC72" s="74"/>
    </row>
    <row r="73" spans="1:55" ht="29.25" customHeight="1" x14ac:dyDescent="0.2">
      <c r="A73" s="27"/>
      <c r="B73" s="28"/>
      <c r="C73" s="48"/>
      <c r="D73" s="48"/>
      <c r="E73" s="48"/>
      <c r="F73" s="47"/>
      <c r="G73" s="47"/>
      <c r="H73" s="47"/>
      <c r="I73" s="47"/>
      <c r="J73" s="47"/>
      <c r="K73" s="48"/>
      <c r="L73" s="48"/>
      <c r="M73" s="48"/>
      <c r="N73" s="47"/>
      <c r="O73" s="47"/>
      <c r="P73" s="47"/>
      <c r="Q73" s="48"/>
      <c r="R73" s="47"/>
      <c r="S73" s="48"/>
      <c r="T73" s="48"/>
      <c r="U73" s="48"/>
      <c r="V73" s="47"/>
      <c r="W73" s="48"/>
      <c r="X73" s="48"/>
      <c r="Y73" s="48"/>
      <c r="Z73" s="47"/>
      <c r="AA73" s="48"/>
      <c r="AB73" s="48"/>
      <c r="AC73" s="48"/>
      <c r="AD73" s="47"/>
      <c r="AE73" s="22"/>
      <c r="AF73" s="88"/>
      <c r="AG73" s="88"/>
      <c r="AH73" s="88"/>
      <c r="AI73" s="88"/>
      <c r="AJ73" s="88"/>
      <c r="AL73" s="89"/>
      <c r="AM73" s="90"/>
      <c r="AN73" s="90"/>
      <c r="AO73" s="89"/>
      <c r="AP73" s="89"/>
      <c r="AR73" s="89"/>
      <c r="AU73" s="29"/>
      <c r="AY73" s="93"/>
      <c r="BC73" s="74"/>
    </row>
    <row r="74" spans="1:55" ht="29.25" customHeight="1" x14ac:dyDescent="0.2">
      <c r="A74" s="27"/>
      <c r="B74" s="28"/>
      <c r="C74" s="48"/>
      <c r="D74" s="48"/>
      <c r="E74" s="48"/>
      <c r="F74" s="47"/>
      <c r="G74" s="47"/>
      <c r="H74" s="47"/>
      <c r="I74" s="47"/>
      <c r="J74" s="47"/>
      <c r="K74" s="48"/>
      <c r="L74" s="48"/>
      <c r="M74" s="48"/>
      <c r="N74" s="47"/>
      <c r="O74" s="47"/>
      <c r="P74" s="47"/>
      <c r="Q74" s="48"/>
      <c r="R74" s="47"/>
      <c r="S74" s="48"/>
      <c r="T74" s="48"/>
      <c r="U74" s="48"/>
      <c r="V74" s="47"/>
      <c r="W74" s="48"/>
      <c r="X74" s="48"/>
      <c r="Y74" s="48"/>
      <c r="Z74" s="47"/>
      <c r="AA74" s="48"/>
      <c r="AB74" s="48"/>
      <c r="AC74" s="48"/>
      <c r="AD74" s="47"/>
      <c r="AE74" s="22"/>
      <c r="AF74" s="88"/>
      <c r="AG74" s="88"/>
      <c r="AH74" s="88"/>
      <c r="AI74" s="88"/>
      <c r="AJ74" s="88"/>
      <c r="AL74" s="89"/>
      <c r="AM74" s="90"/>
      <c r="AN74" s="90"/>
      <c r="AO74" s="89"/>
      <c r="AP74" s="89"/>
      <c r="AR74" s="89"/>
      <c r="AU74" s="29"/>
      <c r="AY74" s="93"/>
      <c r="BC74" s="74"/>
    </row>
    <row r="75" spans="1:55" ht="29.25" customHeight="1" x14ac:dyDescent="0.2">
      <c r="A75" s="27"/>
      <c r="B75" s="28"/>
      <c r="C75" s="48"/>
      <c r="D75" s="48"/>
      <c r="E75" s="48"/>
      <c r="F75" s="47"/>
      <c r="G75" s="47"/>
      <c r="H75" s="47"/>
      <c r="I75" s="47"/>
      <c r="J75" s="47"/>
      <c r="K75" s="48"/>
      <c r="L75" s="48"/>
      <c r="M75" s="48"/>
      <c r="N75" s="47"/>
      <c r="O75" s="47"/>
      <c r="P75" s="47"/>
      <c r="Q75" s="48"/>
      <c r="R75" s="47"/>
      <c r="S75" s="48"/>
      <c r="T75" s="48"/>
      <c r="U75" s="48"/>
      <c r="V75" s="47"/>
      <c r="W75" s="48"/>
      <c r="X75" s="48"/>
      <c r="Y75" s="48"/>
      <c r="Z75" s="47"/>
      <c r="AA75" s="48"/>
      <c r="AB75" s="48"/>
      <c r="AC75" s="48"/>
      <c r="AD75" s="47"/>
      <c r="AE75" s="22"/>
      <c r="AF75" s="88"/>
      <c r="AG75" s="88"/>
      <c r="AH75" s="88"/>
      <c r="AI75" s="88"/>
      <c r="AJ75" s="88"/>
      <c r="AL75" s="89"/>
      <c r="AM75" s="90"/>
      <c r="AN75" s="90"/>
      <c r="AO75" s="89"/>
      <c r="AP75" s="89"/>
      <c r="AR75" s="89"/>
      <c r="AU75" s="29"/>
      <c r="AY75" s="93"/>
      <c r="BC75" s="74"/>
    </row>
    <row r="76" spans="1:55" ht="29.25" customHeight="1" x14ac:dyDescent="0.2">
      <c r="A76" s="27"/>
      <c r="B76" s="28"/>
      <c r="C76" s="48"/>
      <c r="D76" s="48"/>
      <c r="E76" s="48"/>
      <c r="F76" s="47"/>
      <c r="G76" s="47"/>
      <c r="H76" s="47"/>
      <c r="I76" s="47"/>
      <c r="J76" s="47"/>
      <c r="K76" s="48"/>
      <c r="L76" s="48"/>
      <c r="M76" s="48"/>
      <c r="N76" s="47"/>
      <c r="O76" s="47"/>
      <c r="P76" s="47"/>
      <c r="Q76" s="48"/>
      <c r="R76" s="47"/>
      <c r="S76" s="48"/>
      <c r="T76" s="48"/>
      <c r="U76" s="48"/>
      <c r="V76" s="47"/>
      <c r="W76" s="48"/>
      <c r="X76" s="48"/>
      <c r="Y76" s="48"/>
      <c r="Z76" s="47"/>
      <c r="AA76" s="48"/>
      <c r="AB76" s="48"/>
      <c r="AC76" s="48"/>
      <c r="AD76" s="47"/>
      <c r="AE76" s="22"/>
      <c r="AF76" s="88"/>
      <c r="AG76" s="88"/>
      <c r="AH76" s="88"/>
      <c r="AI76" s="88"/>
      <c r="AJ76" s="88"/>
      <c r="AL76" s="89"/>
      <c r="AM76" s="90"/>
      <c r="AN76" s="90"/>
      <c r="AO76" s="89"/>
      <c r="AP76" s="89"/>
      <c r="AR76" s="89"/>
      <c r="AU76" s="29"/>
      <c r="AY76" s="93"/>
      <c r="BC76" s="74"/>
    </row>
    <row r="77" spans="1:55" ht="29.25" customHeight="1" x14ac:dyDescent="0.2">
      <c r="A77" s="27"/>
      <c r="B77" s="28"/>
      <c r="C77" s="48"/>
      <c r="D77" s="48"/>
      <c r="E77" s="48"/>
      <c r="F77" s="47"/>
      <c r="G77" s="47"/>
      <c r="H77" s="47"/>
      <c r="I77" s="47"/>
      <c r="J77" s="47"/>
      <c r="K77" s="48"/>
      <c r="L77" s="48"/>
      <c r="M77" s="48"/>
      <c r="N77" s="47"/>
      <c r="O77" s="47"/>
      <c r="P77" s="47"/>
      <c r="Q77" s="48"/>
      <c r="R77" s="47"/>
      <c r="S77" s="48"/>
      <c r="T77" s="48"/>
      <c r="U77" s="48"/>
      <c r="V77" s="47"/>
      <c r="W77" s="48"/>
      <c r="X77" s="48"/>
      <c r="Y77" s="48"/>
      <c r="Z77" s="47"/>
      <c r="AA77" s="48"/>
      <c r="AB77" s="48"/>
      <c r="AC77" s="48"/>
      <c r="AD77" s="47"/>
      <c r="AE77" s="22"/>
      <c r="AF77" s="88"/>
      <c r="AG77" s="88"/>
      <c r="AH77" s="88"/>
      <c r="AI77" s="88"/>
      <c r="AJ77" s="88"/>
      <c r="AL77" s="89"/>
      <c r="AM77" s="90"/>
      <c r="AN77" s="90"/>
      <c r="AO77" s="89"/>
      <c r="AP77" s="89"/>
      <c r="AR77" s="89"/>
      <c r="AU77" s="29"/>
      <c r="AY77" s="93"/>
      <c r="BC77" s="74"/>
    </row>
    <row r="78" spans="1:55" ht="29.25" customHeight="1" x14ac:dyDescent="0.2">
      <c r="A78" s="27"/>
      <c r="B78" s="28"/>
      <c r="C78" s="48"/>
      <c r="D78" s="48"/>
      <c r="E78" s="48"/>
      <c r="F78" s="47"/>
      <c r="G78" s="47"/>
      <c r="H78" s="47"/>
      <c r="I78" s="47"/>
      <c r="J78" s="47"/>
      <c r="K78" s="48"/>
      <c r="L78" s="48"/>
      <c r="M78" s="48"/>
      <c r="N78" s="47"/>
      <c r="O78" s="47"/>
      <c r="P78" s="47"/>
      <c r="Q78" s="48"/>
      <c r="R78" s="47"/>
      <c r="S78" s="48"/>
      <c r="T78" s="48"/>
      <c r="U78" s="48"/>
      <c r="V78" s="47"/>
      <c r="W78" s="48"/>
      <c r="X78" s="48"/>
      <c r="Y78" s="48"/>
      <c r="Z78" s="47"/>
      <c r="AA78" s="48"/>
      <c r="AB78" s="48"/>
      <c r="AC78" s="48"/>
      <c r="AD78" s="47"/>
      <c r="AE78" s="22"/>
      <c r="AF78" s="88"/>
      <c r="AG78" s="88"/>
      <c r="AH78" s="88"/>
      <c r="AI78" s="88"/>
      <c r="AJ78" s="88"/>
      <c r="AL78" s="89"/>
      <c r="AM78" s="90"/>
      <c r="AN78" s="90"/>
      <c r="AO78" s="89"/>
      <c r="AP78" s="89"/>
      <c r="AR78" s="89"/>
      <c r="AU78" s="29"/>
      <c r="AY78" s="93"/>
      <c r="BC78" s="74"/>
    </row>
    <row r="79" spans="1:55" ht="29.25" customHeight="1" x14ac:dyDescent="0.2">
      <c r="A79" s="27"/>
      <c r="B79" s="28"/>
      <c r="C79" s="48"/>
      <c r="D79" s="48"/>
      <c r="E79" s="48"/>
      <c r="F79" s="47"/>
      <c r="G79" s="47"/>
      <c r="H79" s="47"/>
      <c r="I79" s="47"/>
      <c r="J79" s="47"/>
      <c r="K79" s="48"/>
      <c r="L79" s="48"/>
      <c r="M79" s="48"/>
      <c r="N79" s="47"/>
      <c r="O79" s="47"/>
      <c r="P79" s="47"/>
      <c r="Q79" s="48"/>
      <c r="R79" s="47"/>
      <c r="S79" s="48"/>
      <c r="T79" s="48"/>
      <c r="U79" s="48"/>
      <c r="V79" s="47"/>
      <c r="W79" s="48"/>
      <c r="X79" s="48"/>
      <c r="Y79" s="48"/>
      <c r="Z79" s="47"/>
      <c r="AA79" s="48"/>
      <c r="AB79" s="48"/>
      <c r="AC79" s="48"/>
      <c r="AD79" s="47"/>
      <c r="AE79" s="22"/>
      <c r="AF79" s="88"/>
      <c r="AG79" s="88"/>
      <c r="AH79" s="88"/>
      <c r="AI79" s="88"/>
      <c r="AJ79" s="88"/>
      <c r="AL79" s="89"/>
      <c r="AM79" s="90"/>
      <c r="AN79" s="90"/>
      <c r="AO79" s="89"/>
      <c r="AP79" s="89"/>
      <c r="AR79" s="89"/>
      <c r="AU79" s="29"/>
      <c r="AY79" s="93"/>
      <c r="BC79" s="74"/>
    </row>
    <row r="80" spans="1:55" ht="29.25" customHeight="1" x14ac:dyDescent="0.2">
      <c r="A80" s="27"/>
      <c r="B80" s="28"/>
      <c r="C80" s="48"/>
      <c r="D80" s="48"/>
      <c r="E80" s="48"/>
      <c r="F80" s="47"/>
      <c r="G80" s="47"/>
      <c r="H80" s="47"/>
      <c r="I80" s="47"/>
      <c r="J80" s="47"/>
      <c r="K80" s="48"/>
      <c r="L80" s="48"/>
      <c r="M80" s="48"/>
      <c r="N80" s="47"/>
      <c r="O80" s="47"/>
      <c r="P80" s="47"/>
      <c r="Q80" s="48"/>
      <c r="R80" s="47"/>
      <c r="S80" s="48"/>
      <c r="T80" s="48"/>
      <c r="U80" s="48"/>
      <c r="V80" s="47"/>
      <c r="W80" s="48"/>
      <c r="X80" s="48"/>
      <c r="Y80" s="48"/>
      <c r="Z80" s="47"/>
      <c r="AA80" s="48"/>
      <c r="AB80" s="48"/>
      <c r="AC80" s="48"/>
      <c r="AD80" s="47"/>
      <c r="AE80" s="22"/>
      <c r="AF80" s="88"/>
      <c r="AG80" s="88"/>
      <c r="AH80" s="88"/>
      <c r="AI80" s="88"/>
      <c r="AJ80" s="88"/>
      <c r="AL80" s="89"/>
      <c r="AM80" s="90"/>
      <c r="AN80" s="90"/>
      <c r="AO80" s="89"/>
      <c r="AP80" s="89"/>
      <c r="AR80" s="89"/>
      <c r="AU80" s="29"/>
      <c r="AY80" s="93"/>
      <c r="BC80" s="74"/>
    </row>
    <row r="81" spans="1:55" ht="29.25" customHeight="1" x14ac:dyDescent="0.2">
      <c r="A81" s="27"/>
      <c r="B81" s="28"/>
      <c r="C81" s="48"/>
      <c r="D81" s="48"/>
      <c r="E81" s="48"/>
      <c r="F81" s="47"/>
      <c r="G81" s="47"/>
      <c r="H81" s="47"/>
      <c r="I81" s="47"/>
      <c r="J81" s="47"/>
      <c r="K81" s="48"/>
      <c r="L81" s="48"/>
      <c r="M81" s="48"/>
      <c r="N81" s="47"/>
      <c r="O81" s="47"/>
      <c r="P81" s="47"/>
      <c r="Q81" s="48"/>
      <c r="R81" s="47"/>
      <c r="S81" s="48"/>
      <c r="T81" s="48"/>
      <c r="U81" s="48"/>
      <c r="V81" s="47"/>
      <c r="W81" s="48"/>
      <c r="X81" s="48"/>
      <c r="Y81" s="48"/>
      <c r="Z81" s="47"/>
      <c r="AA81" s="48"/>
      <c r="AB81" s="48"/>
      <c r="AC81" s="48"/>
      <c r="AD81" s="47"/>
      <c r="AE81" s="22"/>
      <c r="AF81" s="88"/>
      <c r="AG81" s="88"/>
      <c r="AH81" s="88"/>
      <c r="AI81" s="88"/>
      <c r="AJ81" s="88"/>
      <c r="AL81" s="89"/>
      <c r="AM81" s="90"/>
      <c r="AN81" s="90"/>
      <c r="AO81" s="89"/>
      <c r="AP81" s="89"/>
      <c r="AR81" s="89"/>
      <c r="AU81" s="29"/>
      <c r="AY81" s="93"/>
      <c r="BC81" s="74"/>
    </row>
    <row r="82" spans="1:55" ht="29.25" customHeight="1" x14ac:dyDescent="0.2">
      <c r="A82" s="27"/>
      <c r="B82" s="28"/>
      <c r="C82" s="48"/>
      <c r="D82" s="48"/>
      <c r="E82" s="48"/>
      <c r="F82" s="47"/>
      <c r="G82" s="47"/>
      <c r="H82" s="47"/>
      <c r="I82" s="47"/>
      <c r="J82" s="47"/>
      <c r="K82" s="48"/>
      <c r="L82" s="48"/>
      <c r="M82" s="48"/>
      <c r="N82" s="47"/>
      <c r="O82" s="47"/>
      <c r="P82" s="47"/>
      <c r="Q82" s="48"/>
      <c r="R82" s="47"/>
      <c r="S82" s="48"/>
      <c r="T82" s="48"/>
      <c r="U82" s="48"/>
      <c r="V82" s="47"/>
      <c r="W82" s="48"/>
      <c r="X82" s="48"/>
      <c r="Y82" s="48"/>
      <c r="Z82" s="47"/>
      <c r="AA82" s="48"/>
      <c r="AB82" s="48"/>
      <c r="AC82" s="48"/>
      <c r="AD82" s="47"/>
      <c r="AE82" s="22"/>
      <c r="AF82" s="88"/>
      <c r="AG82" s="88"/>
      <c r="AH82" s="88"/>
      <c r="AI82" s="88"/>
      <c r="AJ82" s="88"/>
      <c r="AL82" s="89"/>
      <c r="AM82" s="90"/>
      <c r="AN82" s="90"/>
      <c r="AO82" s="89"/>
      <c r="AP82" s="89"/>
      <c r="AR82" s="89"/>
      <c r="AU82" s="29"/>
      <c r="AV82" s="106"/>
      <c r="AY82" s="93"/>
      <c r="BC82" s="74"/>
    </row>
    <row r="83" spans="1:55" ht="29.25" customHeight="1" x14ac:dyDescent="0.2">
      <c r="A83" s="27"/>
      <c r="B83" s="28"/>
      <c r="C83" s="48"/>
      <c r="D83" s="48"/>
      <c r="E83" s="48"/>
      <c r="F83" s="47"/>
      <c r="G83" s="47"/>
      <c r="H83" s="47"/>
      <c r="I83" s="47"/>
      <c r="J83" s="47"/>
      <c r="K83" s="48"/>
      <c r="L83" s="48"/>
      <c r="M83" s="48"/>
      <c r="N83" s="47"/>
      <c r="O83" s="47"/>
      <c r="P83" s="47"/>
      <c r="Q83" s="48"/>
      <c r="R83" s="47"/>
      <c r="S83" s="48"/>
      <c r="T83" s="48"/>
      <c r="U83" s="48"/>
      <c r="V83" s="47"/>
      <c r="W83" s="48"/>
      <c r="X83" s="48"/>
      <c r="Y83" s="48"/>
      <c r="Z83" s="47"/>
      <c r="AA83" s="48"/>
      <c r="AB83" s="48"/>
      <c r="AC83" s="48"/>
      <c r="AD83" s="47"/>
      <c r="AE83" s="22"/>
      <c r="AF83" s="88"/>
      <c r="AG83" s="88"/>
      <c r="AH83" s="88"/>
      <c r="AI83" s="88"/>
      <c r="AJ83" s="88"/>
      <c r="AL83" s="89"/>
      <c r="AM83" s="90"/>
      <c r="AN83" s="90"/>
      <c r="AO83" s="89"/>
      <c r="AP83" s="89"/>
      <c r="AR83" s="89"/>
      <c r="AU83" s="29"/>
      <c r="AY83" s="93"/>
      <c r="BC83" s="74"/>
    </row>
    <row r="84" spans="1:55" ht="29.25" customHeight="1" x14ac:dyDescent="0.2">
      <c r="A84" s="27"/>
      <c r="B84" s="28"/>
      <c r="C84" s="48"/>
      <c r="D84" s="48"/>
      <c r="E84" s="48"/>
      <c r="F84" s="47"/>
      <c r="G84" s="47"/>
      <c r="H84" s="47"/>
      <c r="I84" s="47"/>
      <c r="J84" s="47"/>
      <c r="K84" s="48"/>
      <c r="L84" s="48"/>
      <c r="M84" s="48"/>
      <c r="N84" s="47"/>
      <c r="O84" s="47"/>
      <c r="P84" s="47"/>
      <c r="Q84" s="48"/>
      <c r="R84" s="47"/>
      <c r="S84" s="48"/>
      <c r="T84" s="48"/>
      <c r="U84" s="48"/>
      <c r="V84" s="47"/>
      <c r="W84" s="48"/>
      <c r="X84" s="48"/>
      <c r="Y84" s="48"/>
      <c r="Z84" s="47"/>
      <c r="AA84" s="48"/>
      <c r="AB84" s="48"/>
      <c r="AC84" s="48"/>
      <c r="AD84" s="47"/>
      <c r="AE84" s="22"/>
      <c r="AF84" s="88"/>
      <c r="AG84" s="88"/>
      <c r="AH84" s="88"/>
      <c r="AI84" s="88"/>
      <c r="AJ84" s="88"/>
      <c r="AL84" s="89"/>
      <c r="AM84" s="90"/>
      <c r="AN84" s="90"/>
      <c r="AO84" s="89"/>
      <c r="AP84" s="89"/>
      <c r="AR84" s="89"/>
      <c r="AU84" s="29"/>
      <c r="AY84" s="93"/>
      <c r="BC84" s="74"/>
    </row>
    <row r="85" spans="1:55" ht="29.25" customHeight="1" x14ac:dyDescent="0.2">
      <c r="A85" s="27"/>
      <c r="B85" s="28"/>
      <c r="C85" s="48"/>
      <c r="D85" s="48"/>
      <c r="E85" s="48"/>
      <c r="F85" s="47"/>
      <c r="G85" s="47"/>
      <c r="H85" s="47"/>
      <c r="I85" s="47"/>
      <c r="J85" s="47"/>
      <c r="K85" s="48"/>
      <c r="L85" s="48"/>
      <c r="M85" s="48"/>
      <c r="N85" s="47"/>
      <c r="O85" s="47"/>
      <c r="P85" s="47"/>
      <c r="Q85" s="48"/>
      <c r="R85" s="47"/>
      <c r="S85" s="48"/>
      <c r="T85" s="48"/>
      <c r="U85" s="48"/>
      <c r="V85" s="47"/>
      <c r="W85" s="48"/>
      <c r="X85" s="48"/>
      <c r="Y85" s="48"/>
      <c r="Z85" s="47"/>
      <c r="AA85" s="48"/>
      <c r="AB85" s="48"/>
      <c r="AC85" s="48"/>
      <c r="AD85" s="47"/>
      <c r="AE85" s="22"/>
      <c r="AF85" s="88"/>
      <c r="AG85" s="88"/>
      <c r="AH85" s="88"/>
      <c r="AI85" s="88"/>
      <c r="AJ85" s="88"/>
      <c r="AL85" s="89"/>
      <c r="AM85" s="90"/>
      <c r="AN85" s="90"/>
      <c r="AO85" s="89"/>
      <c r="AP85" s="89"/>
      <c r="AR85" s="89"/>
      <c r="AU85" s="29"/>
      <c r="AY85" s="93"/>
      <c r="BC85" s="74"/>
    </row>
    <row r="86" spans="1:55" ht="29.25" customHeight="1" x14ac:dyDescent="0.2">
      <c r="A86" s="27"/>
      <c r="B86" s="28"/>
      <c r="C86" s="48"/>
      <c r="D86" s="48"/>
      <c r="E86" s="48"/>
      <c r="F86" s="47"/>
      <c r="G86" s="47"/>
      <c r="H86" s="47"/>
      <c r="I86" s="47"/>
      <c r="J86" s="47"/>
      <c r="K86" s="48"/>
      <c r="L86" s="48"/>
      <c r="M86" s="48"/>
      <c r="N86" s="47"/>
      <c r="O86" s="47"/>
      <c r="P86" s="47"/>
      <c r="Q86" s="48"/>
      <c r="R86" s="47"/>
      <c r="S86" s="48"/>
      <c r="T86" s="48"/>
      <c r="U86" s="48"/>
      <c r="V86" s="47"/>
      <c r="W86" s="48"/>
      <c r="X86" s="48"/>
      <c r="Y86" s="48"/>
      <c r="Z86" s="47"/>
      <c r="AA86" s="48"/>
      <c r="AB86" s="48"/>
      <c r="AC86" s="48"/>
      <c r="AD86" s="47"/>
      <c r="AE86" s="22"/>
      <c r="AF86" s="88"/>
      <c r="AG86" s="88"/>
      <c r="AH86" s="88"/>
      <c r="AI86" s="88"/>
      <c r="AJ86" s="88"/>
      <c r="AL86" s="89"/>
      <c r="AM86" s="90"/>
      <c r="AN86" s="90"/>
      <c r="AO86" s="89"/>
      <c r="AP86" s="89"/>
      <c r="AR86" s="89"/>
      <c r="AU86" s="29"/>
      <c r="AY86" s="93"/>
      <c r="BC86" s="74"/>
    </row>
    <row r="87" spans="1:55" ht="29.25" customHeight="1" x14ac:dyDescent="0.2">
      <c r="A87" s="27"/>
      <c r="B87" s="28"/>
      <c r="C87" s="48"/>
      <c r="D87" s="48"/>
      <c r="E87" s="48"/>
      <c r="F87" s="47"/>
      <c r="G87" s="47"/>
      <c r="H87" s="47"/>
      <c r="I87" s="47"/>
      <c r="J87" s="47"/>
      <c r="K87" s="48"/>
      <c r="L87" s="48"/>
      <c r="M87" s="48"/>
      <c r="N87" s="47"/>
      <c r="O87" s="47"/>
      <c r="P87" s="47"/>
      <c r="Q87" s="48"/>
      <c r="R87" s="47"/>
      <c r="S87" s="48"/>
      <c r="T87" s="48"/>
      <c r="U87" s="48"/>
      <c r="V87" s="47"/>
      <c r="W87" s="48"/>
      <c r="X87" s="48"/>
      <c r="Y87" s="48"/>
      <c r="Z87" s="47"/>
      <c r="AA87" s="48"/>
      <c r="AB87" s="48"/>
      <c r="AC87" s="48"/>
      <c r="AD87" s="47"/>
      <c r="AE87" s="22"/>
      <c r="AF87" s="88"/>
      <c r="AG87" s="88"/>
      <c r="AH87" s="88"/>
      <c r="AI87" s="88"/>
      <c r="AJ87" s="88"/>
      <c r="AL87" s="89"/>
      <c r="AM87" s="90"/>
      <c r="AN87" s="90"/>
      <c r="AO87" s="89"/>
      <c r="AP87" s="89"/>
      <c r="AR87" s="89"/>
      <c r="AU87" s="29"/>
      <c r="AY87" s="93"/>
      <c r="BC87" s="74"/>
    </row>
    <row r="88" spans="1:55" ht="29.25" customHeight="1" x14ac:dyDescent="0.2">
      <c r="A88" s="27"/>
      <c r="B88" s="28"/>
      <c r="C88" s="48"/>
      <c r="D88" s="48"/>
      <c r="E88" s="48"/>
      <c r="F88" s="47"/>
      <c r="G88" s="47"/>
      <c r="H88" s="47"/>
      <c r="I88" s="47"/>
      <c r="J88" s="47"/>
      <c r="K88" s="48"/>
      <c r="L88" s="48"/>
      <c r="M88" s="48"/>
      <c r="N88" s="47"/>
      <c r="O88" s="47"/>
      <c r="P88" s="47"/>
      <c r="Q88" s="48"/>
      <c r="R88" s="47"/>
      <c r="S88" s="48"/>
      <c r="T88" s="48"/>
      <c r="U88" s="48"/>
      <c r="V88" s="47"/>
      <c r="W88" s="48"/>
      <c r="X88" s="48"/>
      <c r="Y88" s="48"/>
      <c r="Z88" s="47"/>
      <c r="AA88" s="48"/>
      <c r="AB88" s="48"/>
      <c r="AC88" s="48"/>
      <c r="AD88" s="47"/>
      <c r="AE88" s="22"/>
      <c r="AF88" s="88"/>
      <c r="AG88" s="88"/>
      <c r="AH88" s="88"/>
      <c r="AI88" s="88"/>
      <c r="AJ88" s="88"/>
      <c r="AL88" s="89"/>
      <c r="AM88" s="90"/>
      <c r="AN88" s="90"/>
      <c r="AO88" s="89"/>
      <c r="AP88" s="89"/>
      <c r="AR88" s="89"/>
      <c r="AU88" s="29"/>
      <c r="AY88" s="93"/>
      <c r="BC88" s="74"/>
    </row>
    <row r="89" spans="1:55" ht="29.25" customHeight="1" x14ac:dyDescent="0.2">
      <c r="A89" s="27"/>
      <c r="B89" s="28"/>
      <c r="C89" s="48"/>
      <c r="D89" s="48"/>
      <c r="E89" s="48"/>
      <c r="F89" s="47"/>
      <c r="G89" s="47"/>
      <c r="H89" s="47"/>
      <c r="I89" s="47"/>
      <c r="J89" s="47"/>
      <c r="K89" s="48"/>
      <c r="L89" s="48"/>
      <c r="M89" s="48"/>
      <c r="N89" s="47"/>
      <c r="O89" s="47"/>
      <c r="P89" s="47"/>
      <c r="Q89" s="48"/>
      <c r="R89" s="47"/>
      <c r="S89" s="48"/>
      <c r="T89" s="48"/>
      <c r="U89" s="48"/>
      <c r="V89" s="47"/>
      <c r="W89" s="48"/>
      <c r="X89" s="48"/>
      <c r="Y89" s="48"/>
      <c r="Z89" s="47"/>
      <c r="AA89" s="48"/>
      <c r="AB89" s="48"/>
      <c r="AC89" s="48"/>
      <c r="AD89" s="47"/>
      <c r="AE89" s="22"/>
      <c r="AF89" s="88"/>
      <c r="AG89" s="88"/>
      <c r="AH89" s="88"/>
      <c r="AI89" s="88"/>
      <c r="AJ89" s="88"/>
      <c r="AL89" s="89"/>
      <c r="AM89" s="90"/>
      <c r="AN89" s="90"/>
      <c r="AO89" s="89"/>
      <c r="AP89" s="89"/>
      <c r="AR89" s="89"/>
      <c r="AU89" s="29"/>
      <c r="AY89" s="93"/>
      <c r="BC89" s="74"/>
    </row>
    <row r="90" spans="1:55" ht="29.25" customHeight="1" x14ac:dyDescent="0.2">
      <c r="A90" s="27"/>
      <c r="B90" s="28"/>
      <c r="C90" s="48"/>
      <c r="D90" s="48"/>
      <c r="E90" s="48"/>
      <c r="F90" s="47"/>
      <c r="G90" s="47"/>
      <c r="H90" s="47"/>
      <c r="I90" s="47"/>
      <c r="J90" s="47"/>
      <c r="K90" s="48"/>
      <c r="L90" s="48"/>
      <c r="M90" s="48"/>
      <c r="N90" s="47"/>
      <c r="O90" s="47"/>
      <c r="P90" s="47"/>
      <c r="Q90" s="48"/>
      <c r="R90" s="47"/>
      <c r="S90" s="48"/>
      <c r="T90" s="48"/>
      <c r="U90" s="48"/>
      <c r="V90" s="47"/>
      <c r="W90" s="48"/>
      <c r="X90" s="48"/>
      <c r="Y90" s="48"/>
      <c r="Z90" s="47"/>
      <c r="AA90" s="48"/>
      <c r="AB90" s="48"/>
      <c r="AC90" s="48"/>
      <c r="AD90" s="47"/>
      <c r="AE90" s="22"/>
      <c r="AF90" s="88"/>
      <c r="AG90" s="88"/>
      <c r="AH90" s="88"/>
      <c r="AI90" s="88"/>
      <c r="AJ90" s="88"/>
      <c r="AL90" s="89"/>
      <c r="AM90" s="90"/>
      <c r="AN90" s="90"/>
      <c r="AO90" s="89"/>
      <c r="AP90" s="89"/>
      <c r="AR90" s="89"/>
      <c r="AU90" s="29"/>
      <c r="AY90" s="93"/>
      <c r="BC90" s="74"/>
    </row>
    <row r="91" spans="1:55" ht="29.25" customHeight="1" x14ac:dyDescent="0.2">
      <c r="A91" s="27"/>
      <c r="B91" s="28"/>
      <c r="C91" s="48"/>
      <c r="D91" s="48"/>
      <c r="E91" s="48"/>
      <c r="F91" s="47"/>
      <c r="G91" s="47"/>
      <c r="H91" s="47"/>
      <c r="I91" s="47"/>
      <c r="J91" s="47"/>
      <c r="K91" s="48"/>
      <c r="L91" s="48"/>
      <c r="M91" s="48"/>
      <c r="N91" s="47"/>
      <c r="O91" s="47"/>
      <c r="P91" s="47"/>
      <c r="Q91" s="48"/>
      <c r="R91" s="47"/>
      <c r="S91" s="48"/>
      <c r="T91" s="48"/>
      <c r="U91" s="48"/>
      <c r="V91" s="47"/>
      <c r="W91" s="48"/>
      <c r="X91" s="48"/>
      <c r="Y91" s="48"/>
      <c r="Z91" s="47"/>
      <c r="AA91" s="48"/>
      <c r="AB91" s="48"/>
      <c r="AC91" s="48"/>
      <c r="AD91" s="47"/>
      <c r="AE91" s="22"/>
      <c r="AF91" s="88"/>
      <c r="AG91" s="88"/>
      <c r="AH91" s="88"/>
      <c r="AI91" s="88"/>
      <c r="AJ91" s="88"/>
      <c r="AL91" s="89"/>
      <c r="AM91" s="90"/>
      <c r="AN91" s="90"/>
      <c r="AO91" s="89"/>
      <c r="AP91" s="89"/>
      <c r="AR91" s="89"/>
      <c r="AU91" s="29"/>
      <c r="AY91" s="93"/>
      <c r="BC91" s="74"/>
    </row>
    <row r="92" spans="1:55" x14ac:dyDescent="0.2">
      <c r="A92" s="27"/>
      <c r="B92" s="28"/>
      <c r="C92" s="48"/>
      <c r="D92" s="48"/>
      <c r="E92" s="48"/>
      <c r="F92" s="47"/>
      <c r="G92" s="47"/>
      <c r="H92" s="47"/>
      <c r="I92" s="47"/>
      <c r="J92" s="47"/>
      <c r="K92" s="48"/>
      <c r="L92" s="48"/>
      <c r="M92" s="48"/>
      <c r="N92" s="47"/>
      <c r="O92" s="47"/>
      <c r="P92" s="47"/>
      <c r="Q92" s="48"/>
      <c r="R92" s="47"/>
      <c r="S92" s="48"/>
      <c r="T92" s="48"/>
      <c r="U92" s="48"/>
      <c r="V92" s="47"/>
      <c r="W92" s="48"/>
      <c r="X92" s="48"/>
      <c r="Y92" s="48"/>
      <c r="Z92" s="47"/>
      <c r="AA92" s="48"/>
      <c r="AB92" s="48"/>
      <c r="AC92" s="48"/>
      <c r="AD92" s="47"/>
      <c r="AF92" s="88"/>
      <c r="AG92" s="88"/>
      <c r="AH92" s="88"/>
      <c r="AI92" s="88"/>
      <c r="AJ92" s="88"/>
      <c r="AU92" s="29"/>
    </row>
    <row r="93" spans="1:55" x14ac:dyDescent="0.2">
      <c r="A93" s="27"/>
      <c r="B93" s="28"/>
      <c r="C93" s="48"/>
      <c r="D93" s="48"/>
      <c r="E93" s="48"/>
      <c r="F93" s="47"/>
      <c r="G93" s="47"/>
      <c r="H93" s="47"/>
      <c r="I93" s="47"/>
      <c r="J93" s="47"/>
      <c r="K93" s="48"/>
      <c r="L93" s="48"/>
      <c r="M93" s="48"/>
      <c r="N93" s="47"/>
      <c r="O93" s="47"/>
      <c r="P93" s="47"/>
      <c r="Q93" s="48"/>
      <c r="R93" s="47"/>
      <c r="S93" s="48"/>
      <c r="T93" s="48"/>
      <c r="U93" s="48"/>
      <c r="V93" s="47"/>
      <c r="W93" s="48"/>
      <c r="X93" s="48"/>
      <c r="Y93" s="48"/>
      <c r="Z93" s="47"/>
      <c r="AA93" s="48"/>
      <c r="AB93" s="48"/>
      <c r="AC93" s="48"/>
      <c r="AD93" s="47"/>
      <c r="AU93" s="29"/>
    </row>
    <row r="94" spans="1:55" x14ac:dyDescent="0.2">
      <c r="A94" s="27"/>
      <c r="B94" s="28"/>
      <c r="C94" s="48"/>
      <c r="D94" s="48"/>
      <c r="E94" s="48"/>
      <c r="F94" s="47"/>
      <c r="G94" s="47"/>
      <c r="H94" s="47"/>
      <c r="I94" s="47"/>
      <c r="J94" s="47"/>
      <c r="K94" s="48"/>
      <c r="L94" s="48"/>
      <c r="M94" s="48"/>
      <c r="N94" s="47"/>
      <c r="O94" s="47"/>
      <c r="P94" s="47"/>
      <c r="Q94" s="48"/>
      <c r="R94" s="47"/>
      <c r="S94" s="48"/>
      <c r="T94" s="48"/>
      <c r="U94" s="48"/>
      <c r="V94" s="47"/>
      <c r="W94" s="48"/>
      <c r="X94" s="48"/>
      <c r="Y94" s="48"/>
      <c r="Z94" s="47"/>
      <c r="AA94" s="48"/>
      <c r="AB94" s="48"/>
      <c r="AC94" s="48"/>
      <c r="AD94" s="47"/>
      <c r="AU94" s="29"/>
    </row>
    <row r="95" spans="1:55" x14ac:dyDescent="0.2">
      <c r="A95" s="27"/>
      <c r="B95" s="28"/>
      <c r="C95" s="48"/>
      <c r="D95" s="48"/>
      <c r="E95" s="48"/>
      <c r="F95" s="47"/>
      <c r="G95" s="47"/>
      <c r="H95" s="47"/>
      <c r="I95" s="47"/>
      <c r="J95" s="47"/>
      <c r="K95" s="48"/>
      <c r="L95" s="48"/>
      <c r="M95" s="48"/>
      <c r="N95" s="47"/>
      <c r="O95" s="47"/>
      <c r="P95" s="47"/>
      <c r="Q95" s="48"/>
      <c r="R95" s="47"/>
      <c r="S95" s="48"/>
      <c r="T95" s="48"/>
      <c r="U95" s="48"/>
      <c r="V95" s="47"/>
      <c r="W95" s="48"/>
      <c r="X95" s="48"/>
      <c r="Y95" s="48"/>
      <c r="Z95" s="47"/>
      <c r="AA95" s="48"/>
      <c r="AB95" s="48"/>
      <c r="AC95" s="48"/>
      <c r="AD95" s="47"/>
      <c r="AU95" s="29"/>
    </row>
    <row r="96" spans="1:55" x14ac:dyDescent="0.2">
      <c r="AU96" s="29"/>
    </row>
    <row r="97" spans="46:49" x14ac:dyDescent="0.2">
      <c r="AT97" s="11">
        <v>53.700000000000017</v>
      </c>
      <c r="AU97" s="29">
        <f t="shared" ref="AU97:AU106" si="70">$AU$10+AV97</f>
        <v>44139</v>
      </c>
      <c r="AV97" s="11">
        <v>540</v>
      </c>
      <c r="AW97" s="11" t="e">
        <f t="shared" ref="AW97:AW105" si="71">$AR$12*(1-($AR$13/(AV97+$AR$13))^$AR$14)</f>
        <v>#NUM!</v>
      </c>
    </row>
    <row r="98" spans="46:49" x14ac:dyDescent="0.2">
      <c r="AT98" s="11">
        <v>53.700000000000017</v>
      </c>
      <c r="AU98" s="29">
        <f t="shared" si="70"/>
        <v>44149</v>
      </c>
      <c r="AV98" s="11">
        <v>550</v>
      </c>
      <c r="AW98" s="11" t="e">
        <f t="shared" si="71"/>
        <v>#NUM!</v>
      </c>
    </row>
    <row r="99" spans="46:49" x14ac:dyDescent="0.2">
      <c r="AT99" s="11">
        <v>53.700000000000017</v>
      </c>
      <c r="AU99" s="29">
        <f t="shared" si="70"/>
        <v>44159</v>
      </c>
      <c r="AV99" s="11">
        <v>560</v>
      </c>
      <c r="AW99" s="11" t="e">
        <f t="shared" si="71"/>
        <v>#NUM!</v>
      </c>
    </row>
    <row r="100" spans="46:49" x14ac:dyDescent="0.2">
      <c r="AT100" s="11">
        <v>53.700000000000017</v>
      </c>
      <c r="AU100" s="29">
        <f t="shared" si="70"/>
        <v>44169</v>
      </c>
      <c r="AV100" s="11">
        <v>570</v>
      </c>
      <c r="AW100" s="11" t="e">
        <f t="shared" si="71"/>
        <v>#NUM!</v>
      </c>
    </row>
    <row r="101" spans="46:49" x14ac:dyDescent="0.2">
      <c r="AT101" s="11">
        <v>53.700000000000017</v>
      </c>
      <c r="AU101" s="29">
        <f t="shared" si="70"/>
        <v>44179</v>
      </c>
      <c r="AV101" s="11">
        <v>580</v>
      </c>
      <c r="AW101" s="11" t="e">
        <f t="shared" si="71"/>
        <v>#NUM!</v>
      </c>
    </row>
    <row r="102" spans="46:49" x14ac:dyDescent="0.2">
      <c r="AT102" s="11">
        <v>53.700000000000017</v>
      </c>
      <c r="AU102" s="29">
        <f t="shared" si="70"/>
        <v>44189</v>
      </c>
      <c r="AV102" s="11">
        <v>590</v>
      </c>
      <c r="AW102" s="11" t="e">
        <f t="shared" si="71"/>
        <v>#NUM!</v>
      </c>
    </row>
    <row r="103" spans="46:49" x14ac:dyDescent="0.2">
      <c r="AT103" s="11">
        <v>53.700000000000017</v>
      </c>
      <c r="AU103" s="29">
        <f t="shared" si="70"/>
        <v>44199</v>
      </c>
      <c r="AV103" s="11">
        <v>600</v>
      </c>
      <c r="AW103" s="11" t="e">
        <f t="shared" si="71"/>
        <v>#NUM!</v>
      </c>
    </row>
    <row r="104" spans="46:49" x14ac:dyDescent="0.2">
      <c r="AT104" s="11">
        <v>53.700000000000017</v>
      </c>
      <c r="AU104" s="29">
        <f t="shared" si="70"/>
        <v>44209</v>
      </c>
      <c r="AV104" s="11">
        <v>610</v>
      </c>
      <c r="AW104" s="11" t="e">
        <f t="shared" si="71"/>
        <v>#NUM!</v>
      </c>
    </row>
    <row r="105" spans="46:49" x14ac:dyDescent="0.2">
      <c r="AT105" s="11">
        <v>53.700000000000017</v>
      </c>
      <c r="AU105" s="29">
        <f t="shared" si="70"/>
        <v>44219</v>
      </c>
      <c r="AV105" s="11">
        <v>620</v>
      </c>
      <c r="AW105" s="11" t="e">
        <f t="shared" si="71"/>
        <v>#NUM!</v>
      </c>
    </row>
    <row r="106" spans="46:49" x14ac:dyDescent="0.2">
      <c r="AT106" s="11">
        <v>53.700000000000017</v>
      </c>
      <c r="AU106" s="29">
        <f t="shared" si="70"/>
        <v>44229</v>
      </c>
      <c r="AV106" s="11">
        <v>630</v>
      </c>
      <c r="AW106" s="11" t="e">
        <f t="shared" ref="AW106:AW137" si="72">$AR$12*(1-($AR$13/(AV106+$AR$13))^$AR$14)</f>
        <v>#NUM!</v>
      </c>
    </row>
    <row r="107" spans="46:49" x14ac:dyDescent="0.2">
      <c r="AT107" s="11">
        <v>53.700000000000017</v>
      </c>
      <c r="AU107" s="29">
        <f t="shared" ref="AU107:AU138" si="73">$AU$10+AV107</f>
        <v>44239</v>
      </c>
      <c r="AV107" s="11">
        <v>640</v>
      </c>
      <c r="AW107" s="11" t="e">
        <f t="shared" si="72"/>
        <v>#NUM!</v>
      </c>
    </row>
    <row r="108" spans="46:49" x14ac:dyDescent="0.2">
      <c r="AT108" s="11">
        <v>53.700000000000017</v>
      </c>
      <c r="AU108" s="29">
        <f t="shared" si="73"/>
        <v>44249</v>
      </c>
      <c r="AV108" s="11">
        <v>650</v>
      </c>
      <c r="AW108" s="11" t="e">
        <f t="shared" si="72"/>
        <v>#NUM!</v>
      </c>
    </row>
    <row r="109" spans="46:49" x14ac:dyDescent="0.2">
      <c r="AT109" s="11">
        <v>53.700000000000017</v>
      </c>
      <c r="AU109" s="29">
        <f t="shared" si="73"/>
        <v>44259</v>
      </c>
      <c r="AV109" s="11">
        <v>660</v>
      </c>
      <c r="AW109" s="11" t="e">
        <f t="shared" si="72"/>
        <v>#NUM!</v>
      </c>
    </row>
    <row r="110" spans="46:49" x14ac:dyDescent="0.2">
      <c r="AT110" s="11">
        <v>53.700000000000017</v>
      </c>
      <c r="AU110" s="29">
        <f t="shared" si="73"/>
        <v>44269</v>
      </c>
      <c r="AV110" s="11">
        <v>670</v>
      </c>
      <c r="AW110" s="11" t="e">
        <f t="shared" si="72"/>
        <v>#NUM!</v>
      </c>
    </row>
    <row r="111" spans="46:49" x14ac:dyDescent="0.2">
      <c r="AT111" s="11">
        <v>53.700000000000017</v>
      </c>
      <c r="AU111" s="29">
        <f t="shared" si="73"/>
        <v>44279</v>
      </c>
      <c r="AV111" s="11">
        <v>680</v>
      </c>
      <c r="AW111" s="11" t="e">
        <f t="shared" si="72"/>
        <v>#NUM!</v>
      </c>
    </row>
    <row r="112" spans="46:49" x14ac:dyDescent="0.2">
      <c r="AT112" s="11">
        <v>53.700000000000017</v>
      </c>
      <c r="AU112" s="29">
        <f t="shared" si="73"/>
        <v>44289</v>
      </c>
      <c r="AV112" s="11">
        <v>690</v>
      </c>
      <c r="AW112" s="11" t="e">
        <f t="shared" si="72"/>
        <v>#NUM!</v>
      </c>
    </row>
    <row r="113" spans="46:49" x14ac:dyDescent="0.2">
      <c r="AT113" s="11">
        <v>53.700000000000017</v>
      </c>
      <c r="AU113" s="29">
        <f t="shared" si="73"/>
        <v>44299</v>
      </c>
      <c r="AV113" s="11">
        <v>700</v>
      </c>
      <c r="AW113" s="11" t="e">
        <f t="shared" si="72"/>
        <v>#NUM!</v>
      </c>
    </row>
    <row r="114" spans="46:49" x14ac:dyDescent="0.2">
      <c r="AT114" s="11">
        <v>53.700000000000017</v>
      </c>
      <c r="AU114" s="29">
        <f t="shared" si="73"/>
        <v>44309</v>
      </c>
      <c r="AV114" s="11">
        <v>710</v>
      </c>
      <c r="AW114" s="11" t="e">
        <f t="shared" si="72"/>
        <v>#NUM!</v>
      </c>
    </row>
    <row r="115" spans="46:49" x14ac:dyDescent="0.2">
      <c r="AT115" s="11">
        <v>53.700000000000017</v>
      </c>
      <c r="AU115" s="29">
        <f t="shared" si="73"/>
        <v>44319</v>
      </c>
      <c r="AV115" s="11">
        <v>720</v>
      </c>
      <c r="AW115" s="11" t="e">
        <f t="shared" si="72"/>
        <v>#NUM!</v>
      </c>
    </row>
    <row r="116" spans="46:49" x14ac:dyDescent="0.2">
      <c r="AT116" s="11">
        <v>53.700000000000017</v>
      </c>
      <c r="AU116" s="29">
        <f t="shared" si="73"/>
        <v>44329</v>
      </c>
      <c r="AV116" s="11">
        <v>730</v>
      </c>
      <c r="AW116" s="11" t="e">
        <f t="shared" si="72"/>
        <v>#NUM!</v>
      </c>
    </row>
    <row r="117" spans="46:49" x14ac:dyDescent="0.2">
      <c r="AT117" s="11">
        <v>53.700000000000017</v>
      </c>
      <c r="AU117" s="29">
        <f t="shared" si="73"/>
        <v>44339</v>
      </c>
      <c r="AV117" s="11">
        <v>740</v>
      </c>
      <c r="AW117" s="11" t="e">
        <f t="shared" si="72"/>
        <v>#NUM!</v>
      </c>
    </row>
    <row r="118" spans="46:49" x14ac:dyDescent="0.2">
      <c r="AT118" s="11">
        <v>53.700000000000017</v>
      </c>
      <c r="AU118" s="29">
        <f t="shared" si="73"/>
        <v>44349</v>
      </c>
      <c r="AV118" s="11">
        <v>750</v>
      </c>
      <c r="AW118" s="11" t="e">
        <f t="shared" si="72"/>
        <v>#NUM!</v>
      </c>
    </row>
    <row r="119" spans="46:49" x14ac:dyDescent="0.2">
      <c r="AT119" s="11">
        <v>53.700000000000017</v>
      </c>
      <c r="AU119" s="29">
        <f t="shared" si="73"/>
        <v>44359</v>
      </c>
      <c r="AV119" s="11">
        <v>760</v>
      </c>
      <c r="AW119" s="11" t="e">
        <f t="shared" si="72"/>
        <v>#NUM!</v>
      </c>
    </row>
    <row r="120" spans="46:49" x14ac:dyDescent="0.2">
      <c r="AT120" s="11">
        <v>53.700000000000017</v>
      </c>
      <c r="AU120" s="29">
        <f t="shared" si="73"/>
        <v>44369</v>
      </c>
      <c r="AV120" s="11">
        <v>770</v>
      </c>
      <c r="AW120" s="11" t="e">
        <f t="shared" si="72"/>
        <v>#NUM!</v>
      </c>
    </row>
    <row r="121" spans="46:49" x14ac:dyDescent="0.2">
      <c r="AT121" s="11">
        <v>53.700000000000017</v>
      </c>
      <c r="AU121" s="29">
        <f t="shared" si="73"/>
        <v>44379</v>
      </c>
      <c r="AV121" s="11">
        <v>780</v>
      </c>
      <c r="AW121" s="11" t="e">
        <f t="shared" si="72"/>
        <v>#NUM!</v>
      </c>
    </row>
    <row r="122" spans="46:49" x14ac:dyDescent="0.2">
      <c r="AT122" s="11">
        <v>53.700000000000017</v>
      </c>
      <c r="AU122" s="29">
        <f t="shared" si="73"/>
        <v>44389</v>
      </c>
      <c r="AV122" s="11">
        <v>790</v>
      </c>
      <c r="AW122" s="11" t="e">
        <f t="shared" si="72"/>
        <v>#NUM!</v>
      </c>
    </row>
    <row r="123" spans="46:49" x14ac:dyDescent="0.2">
      <c r="AT123" s="11">
        <v>53.700000000000017</v>
      </c>
      <c r="AU123" s="29">
        <f t="shared" si="73"/>
        <v>44399</v>
      </c>
      <c r="AV123" s="11">
        <v>800</v>
      </c>
      <c r="AW123" s="11" t="e">
        <f t="shared" si="72"/>
        <v>#NUM!</v>
      </c>
    </row>
    <row r="124" spans="46:49" x14ac:dyDescent="0.2">
      <c r="AT124" s="11">
        <v>53.700000000000017</v>
      </c>
      <c r="AU124" s="29">
        <f t="shared" si="73"/>
        <v>44409</v>
      </c>
      <c r="AV124" s="11">
        <v>810</v>
      </c>
      <c r="AW124" s="11" t="e">
        <f t="shared" si="72"/>
        <v>#NUM!</v>
      </c>
    </row>
    <row r="125" spans="46:49" x14ac:dyDescent="0.2">
      <c r="AT125" s="11">
        <v>53.700000000000017</v>
      </c>
      <c r="AU125" s="29">
        <f t="shared" si="73"/>
        <v>44419</v>
      </c>
      <c r="AV125" s="11">
        <v>820</v>
      </c>
      <c r="AW125" s="11" t="e">
        <f t="shared" si="72"/>
        <v>#NUM!</v>
      </c>
    </row>
    <row r="126" spans="46:49" x14ac:dyDescent="0.2">
      <c r="AT126" s="11">
        <v>53.700000000000017</v>
      </c>
      <c r="AU126" s="29">
        <f t="shared" si="73"/>
        <v>44429</v>
      </c>
      <c r="AV126" s="11">
        <v>830</v>
      </c>
      <c r="AW126" s="11" t="e">
        <f t="shared" si="72"/>
        <v>#NUM!</v>
      </c>
    </row>
    <row r="127" spans="46:49" x14ac:dyDescent="0.2">
      <c r="AT127" s="11">
        <v>53.700000000000017</v>
      </c>
      <c r="AU127" s="29">
        <f t="shared" si="73"/>
        <v>44439</v>
      </c>
      <c r="AV127" s="11">
        <v>840</v>
      </c>
      <c r="AW127" s="11" t="e">
        <f t="shared" si="72"/>
        <v>#NUM!</v>
      </c>
    </row>
    <row r="128" spans="46:49" x14ac:dyDescent="0.2">
      <c r="AT128" s="11">
        <v>53.700000000000017</v>
      </c>
      <c r="AU128" s="29">
        <f t="shared" si="73"/>
        <v>44449</v>
      </c>
      <c r="AV128" s="11">
        <v>850</v>
      </c>
      <c r="AW128" s="11" t="e">
        <f t="shared" si="72"/>
        <v>#NUM!</v>
      </c>
    </row>
    <row r="129" spans="46:49" x14ac:dyDescent="0.2">
      <c r="AT129" s="11">
        <v>53.700000000000017</v>
      </c>
      <c r="AU129" s="29">
        <f t="shared" si="73"/>
        <v>44459</v>
      </c>
      <c r="AV129" s="11">
        <v>860</v>
      </c>
      <c r="AW129" s="11" t="e">
        <f t="shared" si="72"/>
        <v>#NUM!</v>
      </c>
    </row>
    <row r="130" spans="46:49" x14ac:dyDescent="0.2">
      <c r="AT130" s="11">
        <v>53.700000000000017</v>
      </c>
      <c r="AU130" s="29">
        <f t="shared" si="73"/>
        <v>44469</v>
      </c>
      <c r="AV130" s="11">
        <v>870</v>
      </c>
      <c r="AW130" s="11" t="e">
        <f t="shared" si="72"/>
        <v>#NUM!</v>
      </c>
    </row>
    <row r="131" spans="46:49" x14ac:dyDescent="0.2">
      <c r="AT131" s="11">
        <v>53.700000000000017</v>
      </c>
      <c r="AU131" s="29">
        <f t="shared" si="73"/>
        <v>44479</v>
      </c>
      <c r="AV131" s="11">
        <v>880</v>
      </c>
      <c r="AW131" s="11" t="e">
        <f t="shared" si="72"/>
        <v>#NUM!</v>
      </c>
    </row>
    <row r="132" spans="46:49" x14ac:dyDescent="0.2">
      <c r="AT132" s="11">
        <v>53.700000000000017</v>
      </c>
      <c r="AU132" s="29">
        <f t="shared" si="73"/>
        <v>44489</v>
      </c>
      <c r="AV132" s="11">
        <v>890</v>
      </c>
      <c r="AW132" s="11" t="e">
        <f t="shared" si="72"/>
        <v>#NUM!</v>
      </c>
    </row>
    <row r="133" spans="46:49" x14ac:dyDescent="0.2">
      <c r="AT133" s="11">
        <v>53.700000000000017</v>
      </c>
      <c r="AU133" s="29">
        <f t="shared" si="73"/>
        <v>44499</v>
      </c>
      <c r="AV133" s="11">
        <v>900</v>
      </c>
      <c r="AW133" s="11" t="e">
        <f t="shared" si="72"/>
        <v>#NUM!</v>
      </c>
    </row>
    <row r="134" spans="46:49" x14ac:dyDescent="0.2">
      <c r="AT134" s="11">
        <v>53.700000000000017</v>
      </c>
      <c r="AU134" s="29">
        <f t="shared" si="73"/>
        <v>44509</v>
      </c>
      <c r="AV134" s="11">
        <v>910</v>
      </c>
      <c r="AW134" s="11" t="e">
        <f t="shared" si="72"/>
        <v>#NUM!</v>
      </c>
    </row>
    <row r="135" spans="46:49" x14ac:dyDescent="0.2">
      <c r="AT135" s="11">
        <v>53.700000000000017</v>
      </c>
      <c r="AU135" s="29">
        <f t="shared" si="73"/>
        <v>44519</v>
      </c>
      <c r="AV135" s="11">
        <v>920</v>
      </c>
      <c r="AW135" s="11" t="e">
        <f t="shared" si="72"/>
        <v>#NUM!</v>
      </c>
    </row>
    <row r="136" spans="46:49" x14ac:dyDescent="0.2">
      <c r="AT136" s="11">
        <v>53.700000000000017</v>
      </c>
      <c r="AU136" s="29">
        <f t="shared" si="73"/>
        <v>44529</v>
      </c>
      <c r="AV136" s="11">
        <v>930</v>
      </c>
      <c r="AW136" s="11" t="e">
        <f t="shared" si="72"/>
        <v>#NUM!</v>
      </c>
    </row>
    <row r="137" spans="46:49" x14ac:dyDescent="0.2">
      <c r="AT137" s="11">
        <v>53.700000000000017</v>
      </c>
      <c r="AU137" s="29">
        <f t="shared" si="73"/>
        <v>44539</v>
      </c>
      <c r="AV137" s="11">
        <v>940</v>
      </c>
      <c r="AW137" s="11" t="e">
        <f t="shared" si="72"/>
        <v>#NUM!</v>
      </c>
    </row>
    <row r="138" spans="46:49" x14ac:dyDescent="0.2">
      <c r="AT138" s="11">
        <v>53.700000000000017</v>
      </c>
      <c r="AU138" s="29">
        <f t="shared" si="73"/>
        <v>44549</v>
      </c>
      <c r="AV138" s="11">
        <v>950</v>
      </c>
      <c r="AW138" s="11" t="e">
        <f t="shared" ref="AW138:AW169" si="74">$AR$12*(1-($AR$13/(AV138+$AR$13))^$AR$14)</f>
        <v>#NUM!</v>
      </c>
    </row>
    <row r="139" spans="46:49" x14ac:dyDescent="0.2">
      <c r="AT139" s="11">
        <v>53.700000000000017</v>
      </c>
      <c r="AU139" s="29">
        <f t="shared" ref="AU139:AU170" si="75">$AU$10+AV139</f>
        <v>44559</v>
      </c>
      <c r="AV139" s="11">
        <v>960</v>
      </c>
      <c r="AW139" s="11" t="e">
        <f t="shared" si="74"/>
        <v>#NUM!</v>
      </c>
    </row>
    <row r="140" spans="46:49" x14ac:dyDescent="0.2">
      <c r="AT140" s="11">
        <v>53.700000000000017</v>
      </c>
      <c r="AU140" s="29">
        <f t="shared" si="75"/>
        <v>44569</v>
      </c>
      <c r="AV140" s="11">
        <v>970</v>
      </c>
      <c r="AW140" s="11" t="e">
        <f t="shared" si="74"/>
        <v>#NUM!</v>
      </c>
    </row>
    <row r="141" spans="46:49" x14ac:dyDescent="0.2">
      <c r="AT141" s="11">
        <v>53.700000000000017</v>
      </c>
      <c r="AU141" s="29">
        <f t="shared" si="75"/>
        <v>44579</v>
      </c>
      <c r="AV141" s="11">
        <v>980</v>
      </c>
      <c r="AW141" s="11" t="e">
        <f t="shared" si="74"/>
        <v>#NUM!</v>
      </c>
    </row>
    <row r="142" spans="46:49" x14ac:dyDescent="0.2">
      <c r="AT142" s="11">
        <v>53.700000000000017</v>
      </c>
      <c r="AU142" s="29">
        <f t="shared" si="75"/>
        <v>44599</v>
      </c>
      <c r="AV142" s="11">
        <v>1000</v>
      </c>
      <c r="AW142" s="11" t="e">
        <f t="shared" si="74"/>
        <v>#NUM!</v>
      </c>
    </row>
    <row r="143" spans="46:49" x14ac:dyDescent="0.2">
      <c r="AT143" s="11">
        <v>53.700000000000017</v>
      </c>
      <c r="AU143" s="29">
        <f t="shared" si="75"/>
        <v>44659</v>
      </c>
      <c r="AV143" s="11">
        <v>1060</v>
      </c>
      <c r="AW143" s="11" t="e">
        <f t="shared" si="74"/>
        <v>#NUM!</v>
      </c>
    </row>
    <row r="144" spans="46:49" x14ac:dyDescent="0.2">
      <c r="AT144" s="11">
        <v>53.7</v>
      </c>
      <c r="AU144" s="29">
        <f t="shared" si="75"/>
        <v>44719</v>
      </c>
      <c r="AV144" s="11">
        <v>1120</v>
      </c>
      <c r="AW144" s="11" t="e">
        <f t="shared" si="74"/>
        <v>#NUM!</v>
      </c>
    </row>
    <row r="145" spans="46:49" x14ac:dyDescent="0.2">
      <c r="AT145" s="11">
        <v>53.7</v>
      </c>
      <c r="AU145" s="29">
        <f t="shared" si="75"/>
        <v>44779</v>
      </c>
      <c r="AV145" s="11">
        <v>1180</v>
      </c>
      <c r="AW145" s="11" t="e">
        <f t="shared" si="74"/>
        <v>#NUM!</v>
      </c>
    </row>
    <row r="146" spans="46:49" x14ac:dyDescent="0.2">
      <c r="AT146" s="11">
        <v>53.7</v>
      </c>
      <c r="AU146" s="29">
        <f t="shared" si="75"/>
        <v>44839</v>
      </c>
      <c r="AV146" s="11">
        <v>1240</v>
      </c>
      <c r="AW146" s="11" t="e">
        <f t="shared" si="74"/>
        <v>#NUM!</v>
      </c>
    </row>
    <row r="147" spans="46:49" x14ac:dyDescent="0.2">
      <c r="AT147" s="11">
        <v>53.7</v>
      </c>
      <c r="AU147" s="29">
        <f t="shared" si="75"/>
        <v>44899</v>
      </c>
      <c r="AV147" s="11">
        <v>1300</v>
      </c>
      <c r="AW147" s="11" t="e">
        <f t="shared" si="74"/>
        <v>#NUM!</v>
      </c>
    </row>
    <row r="148" spans="46:49" x14ac:dyDescent="0.2">
      <c r="AT148" s="11">
        <v>53.7</v>
      </c>
      <c r="AU148" s="29">
        <f t="shared" si="75"/>
        <v>44959</v>
      </c>
      <c r="AV148" s="11">
        <v>1360</v>
      </c>
      <c r="AW148" s="11" t="e">
        <f t="shared" si="74"/>
        <v>#NUM!</v>
      </c>
    </row>
    <row r="149" spans="46:49" x14ac:dyDescent="0.2">
      <c r="AT149" s="11">
        <v>53.7</v>
      </c>
      <c r="AU149" s="29">
        <f t="shared" si="75"/>
        <v>45019</v>
      </c>
      <c r="AV149" s="11">
        <v>1420</v>
      </c>
      <c r="AW149" s="11" t="e">
        <f t="shared" si="74"/>
        <v>#NUM!</v>
      </c>
    </row>
    <row r="150" spans="46:49" x14ac:dyDescent="0.2">
      <c r="AT150" s="11">
        <v>53.7</v>
      </c>
      <c r="AU150" s="29">
        <f t="shared" si="75"/>
        <v>45079</v>
      </c>
      <c r="AV150" s="11">
        <v>1480</v>
      </c>
      <c r="AW150" s="11" t="e">
        <f t="shared" si="74"/>
        <v>#NUM!</v>
      </c>
    </row>
    <row r="151" spans="46:49" x14ac:dyDescent="0.2">
      <c r="AT151" s="11">
        <v>53.7</v>
      </c>
      <c r="AU151" s="29">
        <f t="shared" si="75"/>
        <v>45139</v>
      </c>
      <c r="AV151" s="11">
        <v>1540</v>
      </c>
      <c r="AW151" s="11" t="e">
        <f t="shared" si="74"/>
        <v>#NUM!</v>
      </c>
    </row>
    <row r="152" spans="46:49" x14ac:dyDescent="0.2">
      <c r="AT152" s="11">
        <v>53.7</v>
      </c>
      <c r="AU152" s="29">
        <f t="shared" si="75"/>
        <v>45199</v>
      </c>
      <c r="AV152" s="11">
        <v>1600</v>
      </c>
      <c r="AW152" s="11" t="e">
        <f t="shared" si="74"/>
        <v>#NUM!</v>
      </c>
    </row>
    <row r="153" spans="46:49" x14ac:dyDescent="0.2">
      <c r="AT153" s="11">
        <v>53.7</v>
      </c>
      <c r="AU153" s="29">
        <f t="shared" si="75"/>
        <v>45259</v>
      </c>
      <c r="AV153" s="11">
        <v>1660</v>
      </c>
      <c r="AW153" s="11" t="e">
        <f t="shared" si="74"/>
        <v>#NUM!</v>
      </c>
    </row>
    <row r="154" spans="46:49" x14ac:dyDescent="0.2">
      <c r="AT154" s="11">
        <v>53.7</v>
      </c>
      <c r="AU154" s="29">
        <f t="shared" si="75"/>
        <v>45319</v>
      </c>
      <c r="AV154" s="11">
        <v>1720</v>
      </c>
      <c r="AW154" s="11" t="e">
        <f t="shared" si="74"/>
        <v>#NUM!</v>
      </c>
    </row>
    <row r="155" spans="46:49" x14ac:dyDescent="0.2">
      <c r="AT155" s="11">
        <v>53.7</v>
      </c>
      <c r="AU155" s="29">
        <f t="shared" si="75"/>
        <v>45379</v>
      </c>
      <c r="AV155" s="11">
        <v>1780</v>
      </c>
      <c r="AW155" s="11" t="e">
        <f t="shared" si="74"/>
        <v>#NUM!</v>
      </c>
    </row>
    <row r="156" spans="46:49" x14ac:dyDescent="0.2">
      <c r="AT156" s="11">
        <v>53.7</v>
      </c>
      <c r="AU156" s="29">
        <f t="shared" si="75"/>
        <v>45439</v>
      </c>
      <c r="AV156" s="11">
        <v>1840</v>
      </c>
      <c r="AW156" s="11" t="e">
        <f t="shared" si="74"/>
        <v>#NUM!</v>
      </c>
    </row>
    <row r="157" spans="46:49" x14ac:dyDescent="0.2">
      <c r="AT157" s="11">
        <v>53.7</v>
      </c>
      <c r="AU157" s="29">
        <f t="shared" si="75"/>
        <v>45499</v>
      </c>
      <c r="AV157" s="11">
        <v>1900</v>
      </c>
      <c r="AW157" s="11" t="e">
        <f t="shared" si="74"/>
        <v>#NUM!</v>
      </c>
    </row>
    <row r="158" spans="46:49" x14ac:dyDescent="0.2">
      <c r="AT158" s="11">
        <v>53.7</v>
      </c>
      <c r="AU158" s="29">
        <f t="shared" si="75"/>
        <v>45559</v>
      </c>
      <c r="AV158" s="11">
        <v>1960</v>
      </c>
      <c r="AW158" s="11" t="e">
        <f t="shared" si="74"/>
        <v>#NUM!</v>
      </c>
    </row>
    <row r="159" spans="46:49" x14ac:dyDescent="0.2">
      <c r="AT159" s="11">
        <v>53.7</v>
      </c>
      <c r="AU159" s="29">
        <f t="shared" si="75"/>
        <v>45619</v>
      </c>
      <c r="AV159" s="11">
        <v>2020</v>
      </c>
      <c r="AW159" s="11" t="e">
        <f t="shared" si="74"/>
        <v>#NUM!</v>
      </c>
    </row>
    <row r="160" spans="46:49" x14ac:dyDescent="0.2">
      <c r="AT160" s="11">
        <v>53.7</v>
      </c>
      <c r="AU160" s="29">
        <f t="shared" si="75"/>
        <v>45719</v>
      </c>
      <c r="AV160" s="11">
        <v>2120</v>
      </c>
      <c r="AW160" s="11" t="e">
        <f t="shared" si="74"/>
        <v>#NUM!</v>
      </c>
    </row>
    <row r="161" spans="46:49" x14ac:dyDescent="0.2">
      <c r="AT161" s="11">
        <v>53.7</v>
      </c>
      <c r="AU161" s="29">
        <f t="shared" si="75"/>
        <v>45839</v>
      </c>
      <c r="AV161" s="11">
        <v>2240</v>
      </c>
      <c r="AW161" s="11" t="e">
        <f t="shared" si="74"/>
        <v>#NUM!</v>
      </c>
    </row>
    <row r="162" spans="46:49" x14ac:dyDescent="0.2">
      <c r="AT162" s="11">
        <v>53.7</v>
      </c>
      <c r="AU162" s="29">
        <f t="shared" si="75"/>
        <v>45959</v>
      </c>
      <c r="AV162" s="11">
        <v>2360</v>
      </c>
      <c r="AW162" s="11" t="e">
        <f t="shared" si="74"/>
        <v>#NUM!</v>
      </c>
    </row>
    <row r="163" spans="46:49" x14ac:dyDescent="0.2">
      <c r="AT163" s="11">
        <v>53.7</v>
      </c>
      <c r="AU163" s="29">
        <f t="shared" si="75"/>
        <v>46079</v>
      </c>
      <c r="AV163" s="11">
        <v>2480</v>
      </c>
      <c r="AW163" s="11" t="e">
        <f t="shared" si="74"/>
        <v>#NUM!</v>
      </c>
    </row>
    <row r="164" spans="46:49" x14ac:dyDescent="0.2">
      <c r="AT164" s="11">
        <v>53.7</v>
      </c>
      <c r="AU164" s="29">
        <f t="shared" si="75"/>
        <v>46199</v>
      </c>
      <c r="AV164" s="11">
        <v>2600</v>
      </c>
      <c r="AW164" s="11" t="e">
        <f t="shared" si="74"/>
        <v>#NUM!</v>
      </c>
    </row>
    <row r="165" spans="46:49" x14ac:dyDescent="0.2">
      <c r="AT165" s="11">
        <v>53.7</v>
      </c>
      <c r="AU165" s="29">
        <f t="shared" si="75"/>
        <v>46319</v>
      </c>
      <c r="AV165" s="11">
        <v>2720</v>
      </c>
      <c r="AW165" s="11" t="e">
        <f t="shared" si="74"/>
        <v>#NUM!</v>
      </c>
    </row>
    <row r="166" spans="46:49" x14ac:dyDescent="0.2">
      <c r="AT166" s="11">
        <v>53.7</v>
      </c>
      <c r="AU166" s="29">
        <f t="shared" si="75"/>
        <v>46439</v>
      </c>
      <c r="AV166" s="11">
        <v>2840</v>
      </c>
      <c r="AW166" s="11" t="e">
        <f t="shared" si="74"/>
        <v>#NUM!</v>
      </c>
    </row>
    <row r="167" spans="46:49" x14ac:dyDescent="0.2">
      <c r="AT167" s="11">
        <v>53.7</v>
      </c>
      <c r="AU167" s="29">
        <f t="shared" si="75"/>
        <v>46559</v>
      </c>
      <c r="AV167" s="11">
        <v>2960</v>
      </c>
      <c r="AW167" s="11" t="e">
        <f t="shared" si="74"/>
        <v>#NUM!</v>
      </c>
    </row>
    <row r="168" spans="46:49" x14ac:dyDescent="0.2">
      <c r="AT168" s="11">
        <v>53.7</v>
      </c>
      <c r="AU168" s="29">
        <f t="shared" si="75"/>
        <v>46679</v>
      </c>
      <c r="AV168" s="11">
        <v>3080</v>
      </c>
      <c r="AW168" s="11" t="e">
        <f t="shared" si="74"/>
        <v>#NUM!</v>
      </c>
    </row>
    <row r="169" spans="46:49" x14ac:dyDescent="0.2">
      <c r="AT169" s="11">
        <v>53.7</v>
      </c>
      <c r="AU169" s="29">
        <f t="shared" si="75"/>
        <v>46799</v>
      </c>
      <c r="AV169" s="11">
        <v>3200</v>
      </c>
      <c r="AW169" s="11" t="e">
        <f t="shared" si="74"/>
        <v>#NUM!</v>
      </c>
    </row>
    <row r="170" spans="46:49" x14ac:dyDescent="0.2">
      <c r="AT170" s="11">
        <v>53.7</v>
      </c>
      <c r="AU170" s="29">
        <f t="shared" si="75"/>
        <v>46919</v>
      </c>
      <c r="AV170" s="11">
        <v>3320</v>
      </c>
      <c r="AW170" s="11" t="e">
        <f t="shared" ref="AW170:AW196" si="76">$AR$12*(1-($AR$13/(AV170+$AR$13))^$AR$14)</f>
        <v>#NUM!</v>
      </c>
    </row>
    <row r="171" spans="46:49" x14ac:dyDescent="0.2">
      <c r="AT171" s="11">
        <v>53.7</v>
      </c>
      <c r="AU171" s="29">
        <f t="shared" ref="AU171:AU196" si="77">$AU$10+AV171</f>
        <v>47039</v>
      </c>
      <c r="AV171" s="11">
        <v>3440</v>
      </c>
      <c r="AW171" s="11" t="e">
        <f t="shared" si="76"/>
        <v>#NUM!</v>
      </c>
    </row>
    <row r="172" spans="46:49" x14ac:dyDescent="0.2">
      <c r="AT172" s="11">
        <v>53.7</v>
      </c>
      <c r="AU172" s="29">
        <f t="shared" si="77"/>
        <v>47159</v>
      </c>
      <c r="AV172" s="11">
        <v>3560</v>
      </c>
      <c r="AW172" s="11" t="e">
        <f t="shared" si="76"/>
        <v>#NUM!</v>
      </c>
    </row>
    <row r="173" spans="46:49" x14ac:dyDescent="0.2">
      <c r="AT173" s="11">
        <v>53.7</v>
      </c>
      <c r="AU173" s="29">
        <f t="shared" si="77"/>
        <v>47279</v>
      </c>
      <c r="AV173" s="11">
        <v>3680</v>
      </c>
      <c r="AW173" s="11" t="e">
        <f t="shared" si="76"/>
        <v>#NUM!</v>
      </c>
    </row>
    <row r="174" spans="46:49" x14ac:dyDescent="0.2">
      <c r="AT174" s="11">
        <v>53.7</v>
      </c>
      <c r="AU174" s="29">
        <f t="shared" si="77"/>
        <v>47399</v>
      </c>
      <c r="AV174" s="11">
        <v>3800</v>
      </c>
      <c r="AW174" s="11" t="e">
        <f t="shared" si="76"/>
        <v>#NUM!</v>
      </c>
    </row>
    <row r="175" spans="46:49" x14ac:dyDescent="0.2">
      <c r="AT175" s="11">
        <v>53.7</v>
      </c>
      <c r="AU175" s="29">
        <f t="shared" si="77"/>
        <v>47519</v>
      </c>
      <c r="AV175" s="11">
        <v>3920</v>
      </c>
      <c r="AW175" s="11" t="e">
        <f t="shared" si="76"/>
        <v>#NUM!</v>
      </c>
    </row>
    <row r="176" spans="46:49" x14ac:dyDescent="0.2">
      <c r="AT176" s="11">
        <v>53.7</v>
      </c>
      <c r="AU176" s="29">
        <f t="shared" si="77"/>
        <v>47639</v>
      </c>
      <c r="AV176" s="11">
        <v>4040</v>
      </c>
      <c r="AW176" s="11" t="e">
        <f t="shared" si="76"/>
        <v>#NUM!</v>
      </c>
    </row>
    <row r="177" spans="46:49" x14ac:dyDescent="0.2">
      <c r="AT177" s="11">
        <v>53.7</v>
      </c>
      <c r="AU177" s="29">
        <f t="shared" si="77"/>
        <v>47759</v>
      </c>
      <c r="AV177" s="11">
        <v>4160</v>
      </c>
      <c r="AW177" s="11" t="e">
        <f t="shared" si="76"/>
        <v>#NUM!</v>
      </c>
    </row>
    <row r="178" spans="46:49" x14ac:dyDescent="0.2">
      <c r="AT178" s="11">
        <v>53.7</v>
      </c>
      <c r="AU178" s="29">
        <f t="shared" si="77"/>
        <v>47879</v>
      </c>
      <c r="AV178" s="11">
        <v>4280</v>
      </c>
      <c r="AW178" s="11" t="e">
        <f t="shared" si="76"/>
        <v>#NUM!</v>
      </c>
    </row>
    <row r="179" spans="46:49" x14ac:dyDescent="0.2">
      <c r="AT179" s="11">
        <v>53.7</v>
      </c>
      <c r="AU179" s="29">
        <f t="shared" si="77"/>
        <v>47999</v>
      </c>
      <c r="AV179" s="11">
        <v>4400</v>
      </c>
      <c r="AW179" s="11" t="e">
        <f t="shared" si="76"/>
        <v>#NUM!</v>
      </c>
    </row>
    <row r="180" spans="46:49" x14ac:dyDescent="0.2">
      <c r="AT180" s="11">
        <v>53.7</v>
      </c>
      <c r="AU180" s="29">
        <f t="shared" si="77"/>
        <v>48119</v>
      </c>
      <c r="AV180" s="11">
        <v>4520</v>
      </c>
      <c r="AW180" s="11" t="e">
        <f t="shared" si="76"/>
        <v>#NUM!</v>
      </c>
    </row>
    <row r="181" spans="46:49" x14ac:dyDescent="0.2">
      <c r="AT181" s="11">
        <v>53.7</v>
      </c>
      <c r="AU181" s="29">
        <f t="shared" si="77"/>
        <v>48239</v>
      </c>
      <c r="AV181" s="11">
        <v>4640</v>
      </c>
      <c r="AW181" s="11" t="e">
        <f t="shared" si="76"/>
        <v>#NUM!</v>
      </c>
    </row>
    <row r="182" spans="46:49" x14ac:dyDescent="0.2">
      <c r="AT182" s="11">
        <v>53.7</v>
      </c>
      <c r="AU182" s="29">
        <f t="shared" si="77"/>
        <v>48359</v>
      </c>
      <c r="AV182" s="11">
        <v>4760</v>
      </c>
      <c r="AW182" s="11" t="e">
        <f t="shared" si="76"/>
        <v>#NUM!</v>
      </c>
    </row>
    <row r="183" spans="46:49" x14ac:dyDescent="0.2">
      <c r="AT183" s="11">
        <v>53.7</v>
      </c>
      <c r="AU183" s="29">
        <f t="shared" si="77"/>
        <v>48479</v>
      </c>
      <c r="AV183" s="11">
        <v>4880</v>
      </c>
      <c r="AW183" s="11" t="e">
        <f t="shared" si="76"/>
        <v>#NUM!</v>
      </c>
    </row>
    <row r="184" spans="46:49" x14ac:dyDescent="0.2">
      <c r="AT184" s="11">
        <v>53.7</v>
      </c>
      <c r="AU184" s="29">
        <f t="shared" si="77"/>
        <v>48599</v>
      </c>
      <c r="AV184" s="11">
        <v>5000</v>
      </c>
      <c r="AW184" s="11" t="e">
        <f t="shared" si="76"/>
        <v>#NUM!</v>
      </c>
    </row>
    <row r="185" spans="46:49" x14ac:dyDescent="0.2">
      <c r="AT185" s="11">
        <v>53.7</v>
      </c>
      <c r="AU185" s="29">
        <f t="shared" si="77"/>
        <v>48719</v>
      </c>
      <c r="AV185" s="11">
        <v>5120</v>
      </c>
      <c r="AW185" s="11" t="e">
        <f t="shared" si="76"/>
        <v>#NUM!</v>
      </c>
    </row>
    <row r="186" spans="46:49" x14ac:dyDescent="0.2">
      <c r="AT186" s="11">
        <v>53.7</v>
      </c>
      <c r="AU186" s="29">
        <f t="shared" si="77"/>
        <v>48839</v>
      </c>
      <c r="AV186" s="11">
        <v>5240</v>
      </c>
      <c r="AW186" s="11" t="e">
        <f t="shared" si="76"/>
        <v>#NUM!</v>
      </c>
    </row>
    <row r="187" spans="46:49" x14ac:dyDescent="0.2">
      <c r="AT187" s="11">
        <v>53.7</v>
      </c>
      <c r="AU187" s="29">
        <f t="shared" si="77"/>
        <v>48959</v>
      </c>
      <c r="AV187" s="11">
        <v>5360</v>
      </c>
      <c r="AW187" s="11" t="e">
        <f t="shared" si="76"/>
        <v>#NUM!</v>
      </c>
    </row>
    <row r="188" spans="46:49" x14ac:dyDescent="0.2">
      <c r="AT188" s="11">
        <v>53.7</v>
      </c>
      <c r="AU188" s="29">
        <f t="shared" si="77"/>
        <v>49079</v>
      </c>
      <c r="AV188" s="11">
        <v>5480</v>
      </c>
      <c r="AW188" s="11" t="e">
        <f t="shared" si="76"/>
        <v>#NUM!</v>
      </c>
    </row>
    <row r="189" spans="46:49" x14ac:dyDescent="0.2">
      <c r="AT189" s="11">
        <v>53.7</v>
      </c>
      <c r="AU189" s="29">
        <f t="shared" si="77"/>
        <v>49199</v>
      </c>
      <c r="AV189" s="11">
        <v>5600</v>
      </c>
      <c r="AW189" s="11" t="e">
        <f t="shared" si="76"/>
        <v>#NUM!</v>
      </c>
    </row>
    <row r="190" spans="46:49" x14ac:dyDescent="0.2">
      <c r="AT190" s="11">
        <v>53.7</v>
      </c>
      <c r="AU190" s="29">
        <f t="shared" si="77"/>
        <v>49319</v>
      </c>
      <c r="AV190" s="11">
        <v>5720</v>
      </c>
      <c r="AW190" s="11" t="e">
        <f t="shared" si="76"/>
        <v>#NUM!</v>
      </c>
    </row>
    <row r="191" spans="46:49" x14ac:dyDescent="0.2">
      <c r="AT191" s="11">
        <v>53.7</v>
      </c>
      <c r="AU191" s="29">
        <f t="shared" si="77"/>
        <v>49439</v>
      </c>
      <c r="AV191" s="11">
        <v>5840</v>
      </c>
      <c r="AW191" s="11" t="e">
        <f t="shared" si="76"/>
        <v>#NUM!</v>
      </c>
    </row>
    <row r="192" spans="46:49" x14ac:dyDescent="0.2">
      <c r="AT192" s="11">
        <v>53.7</v>
      </c>
      <c r="AU192" s="29">
        <f t="shared" si="77"/>
        <v>49559</v>
      </c>
      <c r="AV192" s="11">
        <v>5960</v>
      </c>
      <c r="AW192" s="11" t="e">
        <f t="shared" si="76"/>
        <v>#NUM!</v>
      </c>
    </row>
    <row r="193" spans="46:49" x14ac:dyDescent="0.2">
      <c r="AT193" s="11">
        <v>53.7</v>
      </c>
      <c r="AU193" s="29">
        <f t="shared" si="77"/>
        <v>49679</v>
      </c>
      <c r="AV193" s="11">
        <v>6080</v>
      </c>
      <c r="AW193" s="11" t="e">
        <f t="shared" si="76"/>
        <v>#NUM!</v>
      </c>
    </row>
    <row r="194" spans="46:49" x14ac:dyDescent="0.2">
      <c r="AT194" s="11">
        <v>53.7</v>
      </c>
      <c r="AU194" s="29">
        <f t="shared" si="77"/>
        <v>49799</v>
      </c>
      <c r="AV194" s="11">
        <v>6200</v>
      </c>
      <c r="AW194" s="11" t="e">
        <f t="shared" si="76"/>
        <v>#NUM!</v>
      </c>
    </row>
    <row r="195" spans="46:49" x14ac:dyDescent="0.2">
      <c r="AT195" s="11">
        <v>53.7</v>
      </c>
      <c r="AU195" s="29">
        <f t="shared" si="77"/>
        <v>49919</v>
      </c>
      <c r="AV195" s="11">
        <v>6320</v>
      </c>
      <c r="AW195" s="11" t="e">
        <f t="shared" si="76"/>
        <v>#NUM!</v>
      </c>
    </row>
    <row r="196" spans="46:49" x14ac:dyDescent="0.2">
      <c r="AT196" s="11">
        <v>53.7</v>
      </c>
      <c r="AU196" s="29">
        <f t="shared" si="77"/>
        <v>50039</v>
      </c>
      <c r="AV196" s="11">
        <v>6440</v>
      </c>
      <c r="AW196" s="11" t="e">
        <f t="shared" si="76"/>
        <v>#NUM!</v>
      </c>
    </row>
  </sheetData>
  <mergeCells count="12">
    <mergeCell ref="AQ10:AR10"/>
    <mergeCell ref="W8:Z8"/>
    <mergeCell ref="AA8:AD8"/>
    <mergeCell ref="A5:AC5"/>
    <mergeCell ref="Y1:AC1"/>
    <mergeCell ref="Y2:AC2"/>
    <mergeCell ref="C7:AC7"/>
    <mergeCell ref="C8:F8"/>
    <mergeCell ref="G8:J8"/>
    <mergeCell ref="K8:N8"/>
    <mergeCell ref="O8:R8"/>
    <mergeCell ref="S8:V8"/>
  </mergeCells>
  <phoneticPr fontId="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2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>
    <pageSetUpPr fitToPage="1"/>
  </sheetPr>
  <dimension ref="A1:AF109"/>
  <sheetViews>
    <sheetView topLeftCell="A64" zoomScale="70" zoomScaleNormal="70" workbookViewId="0">
      <selection activeCell="Z94" sqref="Z93:Z94"/>
    </sheetView>
  </sheetViews>
  <sheetFormatPr baseColWidth="10" defaultColWidth="11.42578125" defaultRowHeight="12.75" x14ac:dyDescent="0.2"/>
  <cols>
    <col min="1" max="1" width="6" style="2" customWidth="1"/>
    <col min="2" max="12" width="10.7109375" style="2" customWidth="1"/>
    <col min="13" max="13" width="6.85546875" style="108" customWidth="1"/>
    <col min="14" max="24" width="10.7109375" style="2" customWidth="1"/>
    <col min="25" max="25" width="6" style="2" customWidth="1"/>
    <col min="26" max="29" width="9.7109375" style="2" customWidth="1"/>
    <col min="30" max="16384" width="11.42578125" style="2"/>
  </cols>
  <sheetData>
    <row r="1" spans="1:32" x14ac:dyDescent="0.2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AC1" s="2">
        <f>excav</f>
        <v>44140</v>
      </c>
      <c r="AF1" s="2">
        <f>MIN('Résultats observations'!A10:A42)</f>
        <v>44140</v>
      </c>
    </row>
    <row r="2" spans="1:32" ht="15.75" x14ac:dyDescent="0.2">
      <c r="A2" s="108"/>
      <c r="B2" s="60"/>
      <c r="C2" s="61"/>
      <c r="D2" s="61"/>
      <c r="E2" s="61"/>
      <c r="F2" s="61"/>
      <c r="G2" s="61"/>
      <c r="H2" s="61"/>
      <c r="I2" s="146" t="s">
        <v>9</v>
      </c>
      <c r="J2" s="146"/>
      <c r="K2" s="146"/>
      <c r="L2" s="147"/>
      <c r="M2" s="112"/>
      <c r="AC2" s="77">
        <f ca="1">TODAY()</f>
        <v>45967</v>
      </c>
      <c r="AF2" s="2">
        <f>MAX('Résultats observations'!A10:A42)</f>
        <v>44915</v>
      </c>
    </row>
    <row r="3" spans="1:32" ht="15.75" x14ac:dyDescent="0.2">
      <c r="A3" s="108"/>
      <c r="B3" s="62"/>
      <c r="I3" s="138" t="s">
        <v>53</v>
      </c>
      <c r="J3" s="138"/>
      <c r="K3" s="138"/>
      <c r="L3" s="148"/>
      <c r="M3" s="112"/>
      <c r="S3" s="92"/>
    </row>
    <row r="4" spans="1:32" ht="15" x14ac:dyDescent="0.2">
      <c r="A4" s="108"/>
      <c r="B4" s="62"/>
      <c r="I4" s="63"/>
      <c r="J4" s="63"/>
      <c r="K4" s="63"/>
      <c r="L4" s="64"/>
    </row>
    <row r="5" spans="1:32" x14ac:dyDescent="0.2">
      <c r="A5" s="108"/>
      <c r="B5" s="62"/>
      <c r="J5" s="149"/>
      <c r="K5" s="149"/>
      <c r="L5" s="150"/>
      <c r="M5" s="113"/>
      <c r="Q5" s="77"/>
      <c r="S5" s="86"/>
    </row>
    <row r="6" spans="1:32" x14ac:dyDescent="0.2">
      <c r="A6" s="108"/>
      <c r="B6" s="151" t="str">
        <f>"Carrefour GCR2 - GVA2 - GVA3 Norme des déplacements T12T13 ( PM158 ) - Mesures au "&amp;TEXT(MAX('Résultats observations'!A10:A182),"jj/mm/aa")</f>
        <v>Carrefour GCR2 - GVA2 - GVA3 Norme des déplacements T12T13 ( PM158 ) - Mesures au 20/12/22</v>
      </c>
      <c r="C6" s="152"/>
      <c r="D6" s="152"/>
      <c r="E6" s="152"/>
      <c r="F6" s="152"/>
      <c r="G6" s="152"/>
      <c r="H6" s="152"/>
      <c r="I6" s="152"/>
      <c r="J6" s="152"/>
      <c r="K6" s="152"/>
      <c r="L6" s="153"/>
      <c r="M6" s="114"/>
    </row>
    <row r="7" spans="1:32" x14ac:dyDescent="0.2">
      <c r="A7" s="108"/>
      <c r="B7" s="62"/>
      <c r="L7" s="64"/>
      <c r="Q7"/>
    </row>
    <row r="8" spans="1:32" x14ac:dyDescent="0.2">
      <c r="A8" s="108"/>
      <c r="B8" s="65"/>
      <c r="C8"/>
      <c r="D8"/>
      <c r="E8"/>
      <c r="F8"/>
      <c r="G8"/>
      <c r="H8"/>
      <c r="I8"/>
      <c r="J8"/>
      <c r="K8"/>
      <c r="L8" s="66"/>
      <c r="M8" s="110"/>
      <c r="T8" s="86"/>
      <c r="U8" s="86"/>
    </row>
    <row r="9" spans="1:32" x14ac:dyDescent="0.2">
      <c r="A9" s="108"/>
      <c r="B9" s="65"/>
      <c r="C9"/>
      <c r="D9"/>
      <c r="E9"/>
      <c r="F9"/>
      <c r="G9"/>
      <c r="H9"/>
      <c r="I9"/>
      <c r="J9"/>
      <c r="K9"/>
      <c r="L9" s="66"/>
      <c r="M9" s="110"/>
      <c r="Q9"/>
    </row>
    <row r="10" spans="1:32" x14ac:dyDescent="0.2">
      <c r="A10" s="108"/>
      <c r="B10" s="65"/>
      <c r="C10"/>
      <c r="D10"/>
      <c r="E10"/>
      <c r="F10"/>
      <c r="G10"/>
      <c r="H10"/>
      <c r="I10"/>
      <c r="J10"/>
      <c r="K10"/>
      <c r="L10" s="66"/>
      <c r="M10" s="110"/>
      <c r="S10" s="87"/>
    </row>
    <row r="11" spans="1:32" x14ac:dyDescent="0.2">
      <c r="A11" s="108"/>
      <c r="B11" s="65"/>
      <c r="C11"/>
      <c r="D11"/>
      <c r="E11"/>
      <c r="F11"/>
      <c r="G11"/>
      <c r="H11"/>
      <c r="I11"/>
      <c r="J11"/>
      <c r="K11"/>
      <c r="L11" s="66"/>
      <c r="M11" s="110"/>
      <c r="S11" s="77"/>
      <c r="AA11" s="92"/>
      <c r="AB11" s="92"/>
    </row>
    <row r="12" spans="1:32" x14ac:dyDescent="0.2">
      <c r="A12" s="108"/>
      <c r="B12" s="65"/>
      <c r="C12"/>
      <c r="D12"/>
      <c r="E12"/>
      <c r="F12"/>
      <c r="G12"/>
      <c r="H12"/>
      <c r="I12"/>
      <c r="J12"/>
      <c r="K12"/>
      <c r="L12" s="66"/>
      <c r="M12" s="110"/>
      <c r="AA12" s="92"/>
      <c r="AB12" s="92"/>
    </row>
    <row r="13" spans="1:32" x14ac:dyDescent="0.2">
      <c r="A13" s="108"/>
      <c r="B13" s="65"/>
      <c r="C13"/>
      <c r="D13"/>
      <c r="E13"/>
      <c r="F13"/>
      <c r="G13"/>
      <c r="H13"/>
      <c r="I13"/>
      <c r="J13"/>
      <c r="K13"/>
      <c r="L13" s="66"/>
      <c r="M13" s="110"/>
      <c r="AA13" s="92"/>
      <c r="AB13" s="92"/>
    </row>
    <row r="14" spans="1:32" x14ac:dyDescent="0.2">
      <c r="A14" s="108"/>
      <c r="B14" s="65"/>
      <c r="C14"/>
      <c r="D14"/>
      <c r="E14"/>
      <c r="F14"/>
      <c r="G14"/>
      <c r="H14"/>
      <c r="I14"/>
      <c r="J14"/>
      <c r="K14"/>
      <c r="L14" s="66"/>
      <c r="M14" s="110"/>
      <c r="AA14" s="92"/>
      <c r="AB14" s="92"/>
    </row>
    <row r="15" spans="1:32" x14ac:dyDescent="0.2">
      <c r="A15" s="108"/>
      <c r="B15" s="65"/>
      <c r="C15"/>
      <c r="D15"/>
      <c r="E15"/>
      <c r="F15"/>
      <c r="G15"/>
      <c r="H15"/>
      <c r="I15"/>
      <c r="J15"/>
      <c r="K15"/>
      <c r="L15" s="66"/>
      <c r="M15" s="110"/>
      <c r="AA15" s="92"/>
      <c r="AB15" s="92"/>
    </row>
    <row r="16" spans="1:32" x14ac:dyDescent="0.2">
      <c r="A16" s="108"/>
      <c r="B16" s="65"/>
      <c r="C16"/>
      <c r="D16"/>
      <c r="E16"/>
      <c r="F16"/>
      <c r="G16"/>
      <c r="H16"/>
      <c r="I16"/>
      <c r="J16"/>
      <c r="K16"/>
      <c r="L16" s="66"/>
      <c r="M16" s="110"/>
    </row>
    <row r="17" spans="1:13" x14ac:dyDescent="0.2">
      <c r="A17" s="108"/>
      <c r="B17" s="65"/>
      <c r="C17"/>
      <c r="D17"/>
      <c r="E17"/>
      <c r="F17"/>
      <c r="G17"/>
      <c r="H17"/>
      <c r="I17"/>
      <c r="J17"/>
      <c r="K17"/>
      <c r="L17" s="66"/>
      <c r="M17" s="110"/>
    </row>
    <row r="18" spans="1:13" x14ac:dyDescent="0.2">
      <c r="A18" s="108"/>
      <c r="B18" s="65"/>
      <c r="C18"/>
      <c r="D18"/>
      <c r="E18"/>
      <c r="F18"/>
      <c r="G18"/>
      <c r="H18"/>
      <c r="I18"/>
      <c r="J18"/>
      <c r="K18"/>
      <c r="L18" s="66"/>
      <c r="M18" s="110"/>
    </row>
    <row r="19" spans="1:13" x14ac:dyDescent="0.2">
      <c r="A19" s="108"/>
      <c r="B19" s="65"/>
      <c r="C19"/>
      <c r="D19"/>
      <c r="E19"/>
      <c r="F19"/>
      <c r="G19"/>
      <c r="H19"/>
      <c r="I19"/>
      <c r="J19"/>
      <c r="K19"/>
      <c r="L19" s="66"/>
      <c r="M19" s="110"/>
    </row>
    <row r="20" spans="1:13" x14ac:dyDescent="0.2">
      <c r="A20" s="108"/>
      <c r="B20" s="65"/>
      <c r="C20"/>
      <c r="D20"/>
      <c r="E20"/>
      <c r="F20"/>
      <c r="G20"/>
      <c r="H20"/>
      <c r="I20"/>
      <c r="J20"/>
      <c r="K20"/>
      <c r="L20" s="66"/>
      <c r="M20" s="110"/>
    </row>
    <row r="21" spans="1:13" x14ac:dyDescent="0.2">
      <c r="A21" s="108"/>
      <c r="B21" s="65"/>
      <c r="C21"/>
      <c r="D21"/>
      <c r="E21"/>
      <c r="F21"/>
      <c r="G21"/>
      <c r="H21"/>
      <c r="I21"/>
      <c r="J21"/>
      <c r="K21"/>
      <c r="L21" s="66"/>
      <c r="M21" s="110"/>
    </row>
    <row r="22" spans="1:13" x14ac:dyDescent="0.2">
      <c r="A22" s="108"/>
      <c r="B22" s="65"/>
      <c r="C22"/>
      <c r="D22"/>
      <c r="E22"/>
      <c r="F22"/>
      <c r="G22"/>
      <c r="H22"/>
      <c r="I22"/>
      <c r="J22"/>
      <c r="K22"/>
      <c r="L22" s="66"/>
      <c r="M22" s="110"/>
    </row>
    <row r="23" spans="1:13" x14ac:dyDescent="0.2">
      <c r="A23" s="108"/>
      <c r="B23" s="65"/>
      <c r="C23"/>
      <c r="D23"/>
      <c r="E23"/>
      <c r="F23"/>
      <c r="G23"/>
      <c r="H23"/>
      <c r="I23"/>
      <c r="J23"/>
      <c r="K23"/>
      <c r="L23" s="66"/>
      <c r="M23" s="110"/>
    </row>
    <row r="24" spans="1:13" x14ac:dyDescent="0.2">
      <c r="A24" s="108"/>
      <c r="B24" s="65"/>
      <c r="C24"/>
      <c r="D24"/>
      <c r="E24"/>
      <c r="F24"/>
      <c r="G24"/>
      <c r="H24"/>
      <c r="I24"/>
      <c r="J24"/>
      <c r="K24"/>
      <c r="L24" s="66"/>
      <c r="M24" s="110"/>
    </row>
    <row r="25" spans="1:13" x14ac:dyDescent="0.2">
      <c r="A25" s="108"/>
      <c r="B25" s="65"/>
      <c r="C25"/>
      <c r="D25"/>
      <c r="E25"/>
      <c r="F25"/>
      <c r="G25"/>
      <c r="H25"/>
      <c r="I25"/>
      <c r="J25"/>
      <c r="K25"/>
      <c r="L25" s="66"/>
      <c r="M25" s="110"/>
    </row>
    <row r="26" spans="1:13" x14ac:dyDescent="0.2">
      <c r="A26" s="108"/>
      <c r="B26" s="65"/>
      <c r="C26"/>
      <c r="D26"/>
      <c r="E26"/>
      <c r="F26"/>
      <c r="G26"/>
      <c r="H26"/>
      <c r="I26"/>
      <c r="J26"/>
      <c r="K26"/>
      <c r="L26" s="66"/>
      <c r="M26" s="110"/>
    </row>
    <row r="27" spans="1:13" x14ac:dyDescent="0.2">
      <c r="A27" s="108"/>
      <c r="B27" s="65"/>
      <c r="C27"/>
      <c r="D27"/>
      <c r="E27"/>
      <c r="F27"/>
      <c r="G27"/>
      <c r="H27"/>
      <c r="I27"/>
      <c r="J27"/>
      <c r="K27"/>
      <c r="L27" s="66"/>
      <c r="M27" s="110"/>
    </row>
    <row r="28" spans="1:13" x14ac:dyDescent="0.2">
      <c r="A28" s="108"/>
      <c r="B28" s="65"/>
      <c r="C28"/>
      <c r="D28"/>
      <c r="E28"/>
      <c r="F28"/>
      <c r="G28"/>
      <c r="H28"/>
      <c r="I28"/>
      <c r="J28"/>
      <c r="K28"/>
      <c r="L28" s="66"/>
      <c r="M28" s="110"/>
    </row>
    <row r="29" spans="1:13" x14ac:dyDescent="0.2">
      <c r="A29" s="108"/>
      <c r="B29" s="65"/>
      <c r="C29"/>
      <c r="D29"/>
      <c r="E29"/>
      <c r="F29"/>
      <c r="G29"/>
      <c r="H29"/>
      <c r="I29"/>
      <c r="J29"/>
      <c r="K29"/>
      <c r="L29" s="66"/>
      <c r="M29" s="110"/>
    </row>
    <row r="30" spans="1:13" x14ac:dyDescent="0.2">
      <c r="A30" s="108"/>
      <c r="B30" s="65"/>
      <c r="C30"/>
      <c r="D30"/>
      <c r="E30"/>
      <c r="F30"/>
      <c r="G30"/>
      <c r="H30"/>
      <c r="I30"/>
      <c r="J30"/>
      <c r="K30"/>
      <c r="L30" s="66"/>
      <c r="M30" s="110"/>
    </row>
    <row r="31" spans="1:13" x14ac:dyDescent="0.2">
      <c r="A31" s="108"/>
      <c r="B31" s="65"/>
      <c r="C31"/>
      <c r="D31"/>
      <c r="E31"/>
      <c r="F31"/>
      <c r="G31"/>
      <c r="H31"/>
      <c r="I31"/>
      <c r="J31"/>
      <c r="K31"/>
      <c r="L31" s="66"/>
      <c r="M31" s="110"/>
    </row>
    <row r="32" spans="1:13" x14ac:dyDescent="0.2">
      <c r="A32" s="108"/>
      <c r="B32" s="65"/>
      <c r="C32"/>
      <c r="D32"/>
      <c r="E32"/>
      <c r="F32"/>
      <c r="G32"/>
      <c r="H32"/>
      <c r="I32"/>
      <c r="J32"/>
      <c r="K32"/>
      <c r="L32" s="66"/>
      <c r="M32" s="110"/>
    </row>
    <row r="33" spans="1:28" x14ac:dyDescent="0.2">
      <c r="A33" s="108"/>
      <c r="B33" s="65"/>
      <c r="C33"/>
      <c r="D33"/>
      <c r="E33"/>
      <c r="F33"/>
      <c r="G33"/>
      <c r="H33"/>
      <c r="I33"/>
      <c r="J33"/>
      <c r="K33"/>
      <c r="L33" s="66"/>
      <c r="M33" s="110"/>
    </row>
    <row r="34" spans="1:28" x14ac:dyDescent="0.2">
      <c r="A34" s="108"/>
      <c r="B34" s="65"/>
      <c r="C34"/>
      <c r="D34"/>
      <c r="E34"/>
      <c r="F34"/>
      <c r="G34"/>
      <c r="H34"/>
      <c r="I34"/>
      <c r="J34"/>
      <c r="K34"/>
      <c r="L34" s="66"/>
      <c r="M34" s="110"/>
    </row>
    <row r="35" spans="1:28" x14ac:dyDescent="0.2">
      <c r="A35" s="108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110"/>
    </row>
    <row r="36" spans="1:28" x14ac:dyDescent="0.2">
      <c r="A36" s="108"/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1"/>
      <c r="M36" s="110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  <row r="37" spans="1:28" ht="15.75" x14ac:dyDescent="0.2">
      <c r="A37" s="108"/>
      <c r="B37" s="60"/>
      <c r="C37" s="61"/>
      <c r="D37" s="61"/>
      <c r="E37" s="61"/>
      <c r="F37" s="61"/>
      <c r="G37" s="61"/>
      <c r="H37" s="61"/>
      <c r="I37" s="146" t="s">
        <v>9</v>
      </c>
      <c r="J37" s="146"/>
      <c r="K37" s="146"/>
      <c r="L37" s="147"/>
      <c r="M37" s="115"/>
      <c r="N37" s="60"/>
      <c r="O37" s="61"/>
      <c r="P37" s="61"/>
      <c r="Q37" s="61"/>
      <c r="R37" s="61"/>
      <c r="S37" s="61"/>
      <c r="T37" s="61"/>
      <c r="U37" s="146" t="s">
        <v>9</v>
      </c>
      <c r="V37" s="146"/>
      <c r="W37" s="146"/>
      <c r="X37" s="147"/>
      <c r="Y37" s="112"/>
    </row>
    <row r="38" spans="1:28" ht="15.75" x14ac:dyDescent="0.2">
      <c r="A38" s="108"/>
      <c r="B38" s="62"/>
      <c r="I38" s="138" t="s">
        <v>53</v>
      </c>
      <c r="J38" s="138"/>
      <c r="K38" s="138"/>
      <c r="L38" s="148"/>
      <c r="M38" s="112"/>
      <c r="N38" s="62"/>
      <c r="U38" s="138" t="s">
        <v>53</v>
      </c>
      <c r="V38" s="138"/>
      <c r="W38" s="138"/>
      <c r="X38" s="148"/>
      <c r="Y38" s="112"/>
    </row>
    <row r="39" spans="1:28" ht="15" x14ac:dyDescent="0.2">
      <c r="A39" s="108"/>
      <c r="B39" s="62"/>
      <c r="I39" s="63"/>
      <c r="J39" s="63"/>
      <c r="K39" s="63"/>
      <c r="L39" s="64"/>
      <c r="N39" s="62"/>
      <c r="U39" s="63"/>
      <c r="V39" s="63"/>
      <c r="W39" s="63"/>
      <c r="X39" s="64"/>
      <c r="Y39" s="108"/>
    </row>
    <row r="40" spans="1:28" ht="7.5" customHeight="1" x14ac:dyDescent="0.2">
      <c r="A40" s="108"/>
      <c r="B40" s="62"/>
      <c r="J40" s="149"/>
      <c r="K40" s="149"/>
      <c r="L40" s="150"/>
      <c r="M40" s="113"/>
      <c r="N40" s="62"/>
      <c r="V40" s="149"/>
      <c r="W40" s="149"/>
      <c r="X40" s="150"/>
      <c r="Y40" s="113"/>
    </row>
    <row r="41" spans="1:28" s="30" customFormat="1" x14ac:dyDescent="0.2">
      <c r="A41" s="108"/>
      <c r="B41" s="151" t="str">
        <f>"Carrefour GCR2 - GVA2 - GVA3 Convergence T12T13 ( PM158 ) - Mesures au "&amp;TEXT(MAX('Résultats observations'!A10:A182),"jj/mm/aa")</f>
        <v>Carrefour GCR2 - GVA2 - GVA3 Convergence T12T13 ( PM158 ) - Mesures au 20/12/22</v>
      </c>
      <c r="C41" s="152"/>
      <c r="D41" s="152"/>
      <c r="E41" s="152"/>
      <c r="F41" s="152"/>
      <c r="G41" s="152"/>
      <c r="H41" s="152"/>
      <c r="I41" s="152"/>
      <c r="J41" s="152"/>
      <c r="K41" s="152"/>
      <c r="L41" s="153"/>
      <c r="M41" s="114"/>
      <c r="N41" s="151" t="str">
        <f>"Carrefour GCR2 - GVA2 - GVA3 -Déplacements en alti ( PM158 ) - Mesures au "&amp;TEXT(MAX('Résultats observations'!A10:A182),"jj/mm/aa")</f>
        <v>Carrefour GCR2 - GVA2 - GVA3 -Déplacements en alti ( PM158 ) - Mesures au 20/12/22</v>
      </c>
      <c r="O41" s="152"/>
      <c r="P41" s="152"/>
      <c r="Q41" s="152"/>
      <c r="R41" s="152"/>
      <c r="S41" s="152"/>
      <c r="T41" s="152"/>
      <c r="U41" s="152"/>
      <c r="V41" s="152"/>
      <c r="W41" s="152"/>
      <c r="X41" s="153"/>
      <c r="Y41" s="114"/>
      <c r="Z41" s="2"/>
    </row>
    <row r="42" spans="1:28" x14ac:dyDescent="0.2">
      <c r="A42" s="108"/>
      <c r="B42" s="62"/>
      <c r="L42" s="64"/>
      <c r="N42" s="62"/>
      <c r="X42" s="64"/>
      <c r="Y42" s="108"/>
    </row>
    <row r="43" spans="1:28" customFormat="1" ht="35.25" customHeight="1" x14ac:dyDescent="0.2">
      <c r="A43" s="108"/>
      <c r="B43" s="65"/>
      <c r="L43" s="66"/>
      <c r="M43" s="110"/>
      <c r="N43" s="65"/>
      <c r="X43" s="66"/>
      <c r="Y43" s="110"/>
      <c r="Z43" s="30"/>
      <c r="AA43" s="73" t="s">
        <v>66</v>
      </c>
      <c r="AB43" s="73"/>
    </row>
    <row r="44" spans="1:28" customFormat="1" ht="13.5" customHeight="1" x14ac:dyDescent="0.2">
      <c r="A44" s="108"/>
      <c r="B44" s="65"/>
      <c r="L44" s="66"/>
      <c r="M44" s="110"/>
      <c r="N44" s="65"/>
      <c r="X44" s="66"/>
      <c r="Y44" s="110"/>
      <c r="Z44" s="2"/>
      <c r="AA44" s="77">
        <v>43605</v>
      </c>
      <c r="AB44" s="2">
        <v>0</v>
      </c>
    </row>
    <row r="45" spans="1:28" customFormat="1" ht="13.5" customHeight="1" x14ac:dyDescent="0.2">
      <c r="A45" s="110"/>
      <c r="B45" s="65"/>
      <c r="L45" s="66"/>
      <c r="M45" s="110"/>
      <c r="N45" s="65"/>
      <c r="X45" s="66"/>
      <c r="Y45" s="110"/>
      <c r="AA45" s="74">
        <v>43605</v>
      </c>
      <c r="AB45" s="73">
        <v>167</v>
      </c>
    </row>
    <row r="46" spans="1:28" customFormat="1" ht="13.5" customHeight="1" x14ac:dyDescent="0.2">
      <c r="A46" s="110"/>
      <c r="B46" s="65"/>
      <c r="L46" s="66"/>
      <c r="M46" s="110"/>
      <c r="N46" s="65"/>
      <c r="X46" s="66"/>
      <c r="Y46" s="110"/>
      <c r="AA46" s="74">
        <v>43605</v>
      </c>
      <c r="AB46" s="73">
        <v>230</v>
      </c>
    </row>
    <row r="47" spans="1:28" customFormat="1" ht="13.5" customHeight="1" x14ac:dyDescent="0.2">
      <c r="A47" s="110"/>
      <c r="B47" s="65"/>
      <c r="L47" s="66"/>
      <c r="M47" s="110"/>
      <c r="N47" s="65"/>
      <c r="X47" s="66"/>
      <c r="Y47" s="110"/>
      <c r="AA47" s="73" t="s">
        <v>61</v>
      </c>
      <c r="AB47" s="73"/>
    </row>
    <row r="48" spans="1:28" customFormat="1" ht="13.5" customHeight="1" x14ac:dyDescent="0.2">
      <c r="A48" s="110"/>
      <c r="B48" s="65"/>
      <c r="L48" s="66"/>
      <c r="M48" s="110"/>
      <c r="N48" s="65"/>
      <c r="X48" s="66"/>
      <c r="Y48" s="110"/>
      <c r="AA48" s="2"/>
      <c r="AB48" s="2"/>
    </row>
    <row r="49" spans="1:31" customFormat="1" ht="13.5" customHeight="1" x14ac:dyDescent="0.2">
      <c r="A49" s="110"/>
      <c r="B49" s="65"/>
      <c r="L49" s="66"/>
      <c r="M49" s="110"/>
      <c r="N49" s="65"/>
      <c r="X49" s="66"/>
      <c r="Y49" s="110"/>
      <c r="AA49" s="73" t="s">
        <v>60</v>
      </c>
      <c r="AB49" s="73"/>
    </row>
    <row r="50" spans="1:31" customFormat="1" ht="13.5" customHeight="1" x14ac:dyDescent="0.2">
      <c r="A50" s="110"/>
      <c r="B50" s="65"/>
      <c r="L50" s="66"/>
      <c r="M50" s="110"/>
      <c r="N50" s="65"/>
      <c r="X50" s="66"/>
      <c r="Y50" s="110"/>
      <c r="AA50" s="77">
        <v>43655</v>
      </c>
      <c r="AB50" s="2">
        <v>0</v>
      </c>
    </row>
    <row r="51" spans="1:31" customFormat="1" ht="13.5" customHeight="1" x14ac:dyDescent="0.2">
      <c r="A51" s="110"/>
      <c r="B51" s="65"/>
      <c r="L51" s="66"/>
      <c r="M51" s="110"/>
      <c r="N51" s="65"/>
      <c r="X51" s="66"/>
      <c r="Y51" s="110"/>
      <c r="AA51" s="74">
        <v>43655</v>
      </c>
      <c r="AB51" s="73">
        <v>168</v>
      </c>
    </row>
    <row r="52" spans="1:31" customFormat="1" x14ac:dyDescent="0.2">
      <c r="A52" s="110"/>
      <c r="B52" s="65"/>
      <c r="L52" s="66"/>
      <c r="M52" s="110"/>
      <c r="N52" s="65"/>
      <c r="X52" s="66"/>
      <c r="Y52" s="110"/>
      <c r="AA52" s="74">
        <v>43655</v>
      </c>
      <c r="AB52" s="73">
        <v>230</v>
      </c>
    </row>
    <row r="53" spans="1:31" customFormat="1" x14ac:dyDescent="0.2">
      <c r="A53" s="110"/>
      <c r="B53" s="65"/>
      <c r="L53" s="66"/>
      <c r="M53" s="110"/>
      <c r="N53" s="65"/>
      <c r="X53" s="66"/>
      <c r="Y53" s="110"/>
      <c r="AA53" s="2"/>
    </row>
    <row r="54" spans="1:31" customFormat="1" x14ac:dyDescent="0.2">
      <c r="A54" s="110"/>
      <c r="B54" s="65"/>
      <c r="L54" s="66"/>
      <c r="M54" s="110"/>
      <c r="N54" s="65"/>
      <c r="X54" s="66"/>
      <c r="Y54" s="110"/>
      <c r="AA54" t="s">
        <v>62</v>
      </c>
    </row>
    <row r="55" spans="1:31" customFormat="1" x14ac:dyDescent="0.2">
      <c r="A55" s="110"/>
      <c r="B55" s="65"/>
      <c r="L55" s="66"/>
      <c r="M55" s="110"/>
      <c r="N55" s="65"/>
      <c r="X55" s="66"/>
      <c r="Y55" s="110"/>
      <c r="AA55" s="2"/>
      <c r="AB55" s="73" t="s">
        <v>63</v>
      </c>
    </row>
    <row r="56" spans="1:31" customFormat="1" x14ac:dyDescent="0.2">
      <c r="A56" s="110"/>
      <c r="B56" s="65"/>
      <c r="L56" s="66"/>
      <c r="M56" s="110"/>
      <c r="N56" s="65"/>
      <c r="X56" s="66"/>
      <c r="Y56" s="110"/>
      <c r="AA56" s="2"/>
      <c r="AC56" s="73" t="s">
        <v>64</v>
      </c>
      <c r="AD56" s="73" t="s">
        <v>80</v>
      </c>
      <c r="AE56" s="76">
        <v>43598</v>
      </c>
    </row>
    <row r="57" spans="1:31" customFormat="1" x14ac:dyDescent="0.2">
      <c r="A57" s="110"/>
      <c r="B57" s="65"/>
      <c r="L57" s="66"/>
      <c r="M57" s="110"/>
      <c r="N57" s="65"/>
      <c r="X57" s="66"/>
      <c r="Y57" s="110"/>
      <c r="AD57" s="73" t="s">
        <v>80</v>
      </c>
      <c r="AE57" s="76">
        <v>44197</v>
      </c>
    </row>
    <row r="58" spans="1:31" customFormat="1" x14ac:dyDescent="0.2">
      <c r="A58" s="110"/>
      <c r="B58" s="65"/>
      <c r="L58" s="66"/>
      <c r="M58" s="110"/>
      <c r="N58" s="65"/>
      <c r="X58" s="66"/>
      <c r="Y58" s="110"/>
      <c r="AC58" s="73" t="s">
        <v>65</v>
      </c>
      <c r="AD58">
        <v>-40</v>
      </c>
      <c r="AE58" s="76">
        <f>+AE56</f>
        <v>43598</v>
      </c>
    </row>
    <row r="59" spans="1:31" customFormat="1" x14ac:dyDescent="0.2">
      <c r="A59" s="110"/>
      <c r="B59" s="65"/>
      <c r="L59" s="66"/>
      <c r="M59" s="110"/>
      <c r="N59" s="65"/>
      <c r="X59" s="66"/>
      <c r="Y59" s="110"/>
      <c r="AD59">
        <f>AD58</f>
        <v>-40</v>
      </c>
      <c r="AE59" s="76">
        <f>+AE57</f>
        <v>44197</v>
      </c>
    </row>
    <row r="60" spans="1:31" customFormat="1" x14ac:dyDescent="0.2">
      <c r="A60" s="110"/>
      <c r="B60" s="65"/>
      <c r="L60" s="66"/>
      <c r="M60" s="110"/>
      <c r="N60" s="65"/>
      <c r="X60" s="66"/>
      <c r="Y60" s="110"/>
      <c r="AC60" s="73" t="s">
        <v>64</v>
      </c>
      <c r="AD60" s="73" t="s">
        <v>80</v>
      </c>
      <c r="AE60" s="76">
        <f>+AE56</f>
        <v>43598</v>
      </c>
    </row>
    <row r="61" spans="1:31" customFormat="1" x14ac:dyDescent="0.2">
      <c r="A61" s="110"/>
      <c r="B61" s="65"/>
      <c r="L61" s="66"/>
      <c r="M61" s="110"/>
      <c r="N61" s="65"/>
      <c r="X61" s="66"/>
      <c r="Y61" s="110"/>
      <c r="AD61" s="73" t="s">
        <v>80</v>
      </c>
      <c r="AE61" s="76">
        <f>+AE57</f>
        <v>44197</v>
      </c>
    </row>
    <row r="62" spans="1:31" customFormat="1" x14ac:dyDescent="0.2">
      <c r="A62" s="110"/>
      <c r="B62" s="65"/>
      <c r="L62" s="66"/>
      <c r="M62" s="110"/>
      <c r="N62" s="65"/>
      <c r="X62" s="66"/>
      <c r="Y62" s="110"/>
      <c r="AC62" s="73" t="s">
        <v>65</v>
      </c>
      <c r="AD62">
        <f>-AD58</f>
        <v>40</v>
      </c>
      <c r="AE62" s="76">
        <f>+AE60</f>
        <v>43598</v>
      </c>
    </row>
    <row r="63" spans="1:31" customFormat="1" x14ac:dyDescent="0.2">
      <c r="A63" s="110"/>
      <c r="B63" s="65"/>
      <c r="L63" s="66"/>
      <c r="M63" s="110"/>
      <c r="N63" s="65"/>
      <c r="X63" s="66"/>
      <c r="Y63" s="110"/>
      <c r="AD63">
        <f>AD62</f>
        <v>40</v>
      </c>
      <c r="AE63" s="76">
        <f>+AE61</f>
        <v>44197</v>
      </c>
    </row>
    <row r="64" spans="1:31" customFormat="1" x14ac:dyDescent="0.2">
      <c r="A64" s="110"/>
      <c r="B64" s="65"/>
      <c r="L64" s="66"/>
      <c r="M64" s="110"/>
      <c r="N64" s="65"/>
      <c r="X64" s="66"/>
      <c r="Y64" s="110"/>
    </row>
    <row r="65" spans="1:30" customFormat="1" x14ac:dyDescent="0.2">
      <c r="A65" s="110"/>
      <c r="B65" s="65"/>
      <c r="L65" s="66"/>
      <c r="M65" s="110"/>
      <c r="N65" s="65"/>
      <c r="X65" s="66"/>
      <c r="Y65" s="110"/>
    </row>
    <row r="66" spans="1:30" customFormat="1" x14ac:dyDescent="0.2">
      <c r="A66" s="110"/>
      <c r="B66" s="65"/>
      <c r="L66" s="66"/>
      <c r="M66" s="110"/>
      <c r="N66" s="65"/>
      <c r="X66" s="66"/>
      <c r="Y66" s="110"/>
    </row>
    <row r="67" spans="1:30" x14ac:dyDescent="0.2">
      <c r="A67" s="110"/>
      <c r="B67" s="65"/>
      <c r="C67"/>
      <c r="D67"/>
      <c r="E67"/>
      <c r="F67"/>
      <c r="G67"/>
      <c r="H67"/>
      <c r="I67"/>
      <c r="J67"/>
      <c r="K67"/>
      <c r="L67" s="66"/>
      <c r="M67" s="110"/>
      <c r="N67" s="65"/>
      <c r="O67"/>
      <c r="P67"/>
      <c r="Q67"/>
      <c r="R67"/>
      <c r="S67"/>
      <c r="T67"/>
      <c r="U67"/>
      <c r="V67"/>
      <c r="W67"/>
      <c r="X67" s="66"/>
      <c r="Y67" s="110"/>
      <c r="Z67"/>
    </row>
    <row r="68" spans="1:30" x14ac:dyDescent="0.2">
      <c r="A68" s="110"/>
      <c r="B68" s="67"/>
      <c r="C68" s="68"/>
      <c r="D68" s="68"/>
      <c r="E68" s="68"/>
      <c r="F68" s="68"/>
      <c r="G68" s="68"/>
      <c r="H68" s="68"/>
      <c r="I68" s="68"/>
      <c r="J68" s="68"/>
      <c r="K68" s="68"/>
      <c r="L68" s="69"/>
      <c r="M68" s="116"/>
      <c r="N68" s="67"/>
      <c r="O68" s="68"/>
      <c r="P68" s="68"/>
      <c r="Q68" s="68"/>
      <c r="R68" s="68"/>
      <c r="S68" s="68"/>
      <c r="T68" s="68"/>
      <c r="U68" s="68"/>
      <c r="V68" s="68"/>
      <c r="W68" s="68"/>
      <c r="X68" s="69"/>
      <c r="Y68" s="110"/>
      <c r="Z68"/>
    </row>
    <row r="69" spans="1:30" x14ac:dyDescent="0.2">
      <c r="A69" s="110"/>
      <c r="B69" s="109"/>
      <c r="C69" s="110"/>
      <c r="D69" s="110"/>
      <c r="E69" s="110"/>
      <c r="F69" s="110"/>
      <c r="G69" s="110"/>
      <c r="H69" s="110"/>
      <c r="I69" s="110"/>
      <c r="J69" s="110"/>
      <c r="K69" s="110"/>
      <c r="L69" s="111"/>
      <c r="M69" s="110"/>
      <c r="N69" s="109"/>
      <c r="O69" s="110"/>
      <c r="P69" s="110"/>
      <c r="Q69" s="110"/>
      <c r="R69" s="110"/>
      <c r="S69" s="110"/>
      <c r="T69" s="110"/>
      <c r="U69" s="110"/>
      <c r="V69" s="110"/>
      <c r="W69" s="110"/>
      <c r="X69" s="111"/>
      <c r="Y69" s="110"/>
      <c r="Z69"/>
    </row>
    <row r="70" spans="1:30" ht="15.75" x14ac:dyDescent="0.2">
      <c r="A70" s="108"/>
      <c r="B70" s="60"/>
      <c r="C70" s="61"/>
      <c r="D70" s="61"/>
      <c r="E70" s="61"/>
      <c r="F70" s="61"/>
      <c r="G70" s="61"/>
      <c r="H70" s="61"/>
      <c r="I70" s="146" t="s">
        <v>9</v>
      </c>
      <c r="J70" s="146"/>
      <c r="K70" s="146"/>
      <c r="L70" s="147"/>
      <c r="M70" s="115"/>
      <c r="N70" s="60"/>
      <c r="O70" s="61"/>
      <c r="P70" s="61"/>
      <c r="Q70" s="61"/>
      <c r="R70" s="61"/>
      <c r="S70" s="61"/>
      <c r="T70" s="61"/>
      <c r="U70" s="146" t="s">
        <v>9</v>
      </c>
      <c r="V70" s="146"/>
      <c r="W70" s="146"/>
      <c r="X70" s="147"/>
      <c r="Y70" s="112"/>
    </row>
    <row r="71" spans="1:30" ht="15.75" x14ac:dyDescent="0.2">
      <c r="A71" s="108"/>
      <c r="B71" s="62"/>
      <c r="I71" s="138" t="s">
        <v>53</v>
      </c>
      <c r="J71" s="138"/>
      <c r="K71" s="138"/>
      <c r="L71" s="148"/>
      <c r="M71" s="112"/>
      <c r="N71" s="62"/>
      <c r="U71" s="138" t="s">
        <v>53</v>
      </c>
      <c r="V71" s="138"/>
      <c r="W71" s="138"/>
      <c r="X71" s="148"/>
      <c r="Y71" s="112"/>
    </row>
    <row r="72" spans="1:30" ht="15" x14ac:dyDescent="0.2">
      <c r="A72" s="108"/>
      <c r="B72" s="62"/>
      <c r="I72" s="63"/>
      <c r="J72" s="63"/>
      <c r="K72" s="63"/>
      <c r="L72" s="64"/>
      <c r="N72" s="62"/>
      <c r="U72" s="63"/>
      <c r="V72" s="63"/>
      <c r="W72" s="63"/>
      <c r="X72" s="64"/>
      <c r="Y72" s="108"/>
      <c r="AA72" s="78"/>
      <c r="AB72" s="78"/>
      <c r="AC72" s="78"/>
      <c r="AD72" s="78"/>
    </row>
    <row r="73" spans="1:30" x14ac:dyDescent="0.2">
      <c r="A73" s="108"/>
      <c r="B73" s="62"/>
      <c r="J73" s="149"/>
      <c r="K73" s="149"/>
      <c r="L73" s="150"/>
      <c r="M73" s="113"/>
      <c r="N73" s="62"/>
      <c r="X73" s="64"/>
      <c r="Y73" s="108"/>
      <c r="AA73" s="78"/>
      <c r="AB73" s="79"/>
      <c r="AC73" s="79"/>
      <c r="AD73" s="78"/>
    </row>
    <row r="74" spans="1:30" x14ac:dyDescent="0.2">
      <c r="A74" s="108"/>
      <c r="B74" s="151" t="str">
        <f>"Carrefour GCR2 - GVA2 - GVA3 - déplacements en PM ( PM158 ) - Mesures au "&amp;TEXT(MAX('Résultats observations'!A10:A182),"jj/mm/aa")</f>
        <v>Carrefour GCR2 - GVA2 - GVA3 - déplacements en PM ( PM158 ) - Mesures au 20/12/22</v>
      </c>
      <c r="C74" s="152"/>
      <c r="D74" s="152"/>
      <c r="E74" s="152"/>
      <c r="F74" s="152"/>
      <c r="G74" s="152"/>
      <c r="H74" s="152"/>
      <c r="I74" s="152"/>
      <c r="J74" s="152"/>
      <c r="K74" s="152"/>
      <c r="L74" s="153"/>
      <c r="M74" s="114"/>
      <c r="N74" s="151" t="str">
        <f>" Carrefour GCR2 - GVA2 - GVA3 - déplacements en deport ( PM158 ) - Mesures au "&amp;TEXT(MAX('Résultats observations'!A10:A182),"jj/mm/aa")</f>
        <v xml:space="preserve"> Carrefour GCR2 - GVA2 - GVA3 - déplacements en deport ( PM158 ) - Mesures au 20/12/22</v>
      </c>
      <c r="O74" s="152"/>
      <c r="P74" s="152"/>
      <c r="Q74" s="152"/>
      <c r="R74" s="152"/>
      <c r="S74" s="152"/>
      <c r="T74" s="152"/>
      <c r="U74" s="152"/>
      <c r="V74" s="152"/>
      <c r="W74" s="152"/>
      <c r="X74" s="153"/>
      <c r="Y74" s="114"/>
      <c r="AA74" s="78"/>
      <c r="AB74" s="79"/>
      <c r="AC74" s="79"/>
      <c r="AD74" s="78"/>
    </row>
    <row r="75" spans="1:30" x14ac:dyDescent="0.2">
      <c r="A75" s="108"/>
      <c r="B75" s="62"/>
      <c r="L75" s="64"/>
      <c r="N75" s="62"/>
      <c r="X75" s="64"/>
      <c r="Y75" s="108"/>
      <c r="AA75" s="78"/>
      <c r="AB75" s="79"/>
      <c r="AC75" s="79"/>
      <c r="AD75" s="78"/>
    </row>
    <row r="76" spans="1:30" x14ac:dyDescent="0.2">
      <c r="A76" s="108"/>
      <c r="B76" s="62"/>
      <c r="L76" s="64"/>
      <c r="N76" s="62"/>
      <c r="X76" s="64"/>
      <c r="Y76" s="108"/>
      <c r="AA76" s="78"/>
      <c r="AB76" s="79"/>
      <c r="AC76" s="79"/>
      <c r="AD76" s="78"/>
    </row>
    <row r="77" spans="1:30" x14ac:dyDescent="0.2">
      <c r="A77" s="108"/>
      <c r="B77" s="62"/>
      <c r="L77" s="64"/>
      <c r="N77" s="62"/>
      <c r="X77" s="64"/>
      <c r="Y77" s="108"/>
      <c r="AA77" s="78"/>
      <c r="AB77" s="79"/>
      <c r="AC77" s="79"/>
      <c r="AD77" s="78"/>
    </row>
    <row r="78" spans="1:30" x14ac:dyDescent="0.2">
      <c r="A78" s="108"/>
      <c r="B78" s="62"/>
      <c r="L78" s="64"/>
      <c r="N78" s="62"/>
      <c r="X78" s="64"/>
      <c r="Y78" s="108"/>
      <c r="AA78" s="78"/>
      <c r="AB78" s="79"/>
      <c r="AC78" s="79"/>
      <c r="AD78" s="78"/>
    </row>
    <row r="79" spans="1:30" x14ac:dyDescent="0.2">
      <c r="A79" s="108"/>
      <c r="B79" s="62"/>
      <c r="L79" s="64"/>
      <c r="N79" s="62"/>
      <c r="X79" s="64"/>
      <c r="Y79" s="108"/>
      <c r="AA79" s="78"/>
      <c r="AB79" s="79"/>
      <c r="AC79" s="79"/>
      <c r="AD79" s="78"/>
    </row>
    <row r="80" spans="1:30" x14ac:dyDescent="0.2">
      <c r="A80" s="108"/>
      <c r="B80" s="62"/>
      <c r="L80" s="64"/>
      <c r="N80" s="62"/>
      <c r="X80" s="64"/>
      <c r="Y80" s="108"/>
      <c r="AA80" s="78"/>
      <c r="AB80" s="79"/>
      <c r="AC80" s="79"/>
      <c r="AD80" s="78"/>
    </row>
    <row r="81" spans="1:30" x14ac:dyDescent="0.2">
      <c r="A81" s="108"/>
      <c r="B81" s="62"/>
      <c r="L81" s="64"/>
      <c r="N81" s="62"/>
      <c r="X81" s="64"/>
      <c r="Y81" s="108"/>
      <c r="AA81" s="78"/>
      <c r="AB81" s="79"/>
      <c r="AC81" s="79"/>
      <c r="AD81" s="78"/>
    </row>
    <row r="82" spans="1:30" x14ac:dyDescent="0.2">
      <c r="A82" s="108"/>
      <c r="B82" s="62"/>
      <c r="L82" s="64"/>
      <c r="N82" s="62"/>
      <c r="X82" s="64"/>
      <c r="Y82" s="108"/>
      <c r="AA82" s="78"/>
      <c r="AB82" s="79"/>
      <c r="AC82" s="79"/>
      <c r="AD82" s="78"/>
    </row>
    <row r="83" spans="1:30" x14ac:dyDescent="0.2">
      <c r="A83" s="108"/>
      <c r="B83" s="62"/>
      <c r="L83" s="64"/>
      <c r="N83" s="62"/>
      <c r="X83" s="64"/>
      <c r="Y83" s="108"/>
      <c r="AA83" s="78"/>
      <c r="AB83" s="79"/>
      <c r="AC83" s="79"/>
      <c r="AD83" s="78"/>
    </row>
    <row r="84" spans="1:30" x14ac:dyDescent="0.2">
      <c r="A84" s="108"/>
      <c r="B84" s="62"/>
      <c r="L84" s="64"/>
      <c r="N84" s="62"/>
      <c r="X84" s="64"/>
      <c r="Y84" s="108"/>
      <c r="AA84" s="78"/>
      <c r="AB84" s="79"/>
      <c r="AC84" s="79"/>
      <c r="AD84" s="78"/>
    </row>
    <row r="85" spans="1:30" x14ac:dyDescent="0.2">
      <c r="A85" s="108"/>
      <c r="B85" s="62"/>
      <c r="L85" s="64"/>
      <c r="N85" s="62"/>
      <c r="X85" s="64"/>
      <c r="Y85" s="108"/>
      <c r="AA85" s="78"/>
      <c r="AB85" s="79"/>
      <c r="AC85" s="79"/>
      <c r="AD85" s="78"/>
    </row>
    <row r="86" spans="1:30" x14ac:dyDescent="0.2">
      <c r="A86" s="108"/>
      <c r="B86" s="62"/>
      <c r="L86" s="64"/>
      <c r="N86" s="62"/>
      <c r="X86" s="64"/>
      <c r="Y86" s="108"/>
      <c r="AA86" s="78"/>
      <c r="AB86" s="79"/>
      <c r="AC86" s="79"/>
      <c r="AD86" s="78"/>
    </row>
    <row r="87" spans="1:30" x14ac:dyDescent="0.2">
      <c r="A87" s="108"/>
      <c r="B87" s="62"/>
      <c r="L87" s="64"/>
      <c r="N87" s="62"/>
      <c r="X87" s="64"/>
      <c r="Y87" s="108"/>
      <c r="AA87" s="78"/>
      <c r="AB87" s="79"/>
      <c r="AC87" s="79"/>
      <c r="AD87" s="78"/>
    </row>
    <row r="88" spans="1:30" x14ac:dyDescent="0.2">
      <c r="A88" s="108"/>
      <c r="B88" s="62"/>
      <c r="L88" s="64"/>
      <c r="N88" s="62"/>
      <c r="X88" s="64"/>
      <c r="Y88" s="108"/>
      <c r="AA88" s="78"/>
      <c r="AB88" s="79"/>
      <c r="AC88" s="79"/>
      <c r="AD88" s="78"/>
    </row>
    <row r="89" spans="1:30" x14ac:dyDescent="0.2">
      <c r="A89" s="108"/>
      <c r="B89" s="62"/>
      <c r="L89" s="64"/>
      <c r="N89" s="62"/>
      <c r="X89" s="64"/>
      <c r="Y89" s="108"/>
      <c r="AA89" s="78"/>
      <c r="AB89" s="79"/>
      <c r="AC89" s="79"/>
      <c r="AD89" s="78"/>
    </row>
    <row r="90" spans="1:30" x14ac:dyDescent="0.2">
      <c r="A90" s="108"/>
      <c r="B90" s="62"/>
      <c r="L90" s="64"/>
      <c r="N90" s="62"/>
      <c r="X90" s="64"/>
      <c r="Y90" s="108"/>
      <c r="AA90" s="78"/>
      <c r="AB90" s="79"/>
      <c r="AC90" s="79"/>
      <c r="AD90" s="78"/>
    </row>
    <row r="91" spans="1:30" x14ac:dyDescent="0.2">
      <c r="A91" s="108"/>
      <c r="B91" s="62"/>
      <c r="L91" s="64"/>
      <c r="N91" s="62"/>
      <c r="X91" s="64"/>
      <c r="Y91" s="108"/>
      <c r="AA91" s="78"/>
      <c r="AB91" s="79"/>
      <c r="AC91" s="79"/>
      <c r="AD91" s="78"/>
    </row>
    <row r="92" spans="1:30" x14ac:dyDescent="0.2">
      <c r="A92" s="108"/>
      <c r="B92" s="62"/>
      <c r="L92" s="64"/>
      <c r="N92" s="62"/>
      <c r="X92" s="64"/>
      <c r="Y92" s="108"/>
      <c r="AA92" s="78"/>
      <c r="AB92" s="79"/>
      <c r="AC92" s="79"/>
      <c r="AD92" s="78"/>
    </row>
    <row r="93" spans="1:30" x14ac:dyDescent="0.2">
      <c r="A93" s="108"/>
      <c r="B93" s="62"/>
      <c r="L93" s="64"/>
      <c r="N93" s="62"/>
      <c r="X93" s="64"/>
      <c r="Y93" s="108"/>
      <c r="AA93" s="78"/>
      <c r="AB93" s="79"/>
      <c r="AC93" s="79"/>
      <c r="AD93" s="78"/>
    </row>
    <row r="94" spans="1:30" x14ac:dyDescent="0.2">
      <c r="A94" s="108"/>
      <c r="B94" s="62"/>
      <c r="L94" s="64"/>
      <c r="N94" s="62"/>
      <c r="X94" s="64"/>
      <c r="Y94" s="108"/>
      <c r="AA94" s="78"/>
      <c r="AB94" s="79"/>
      <c r="AC94" s="79"/>
      <c r="AD94" s="78"/>
    </row>
    <row r="95" spans="1:30" x14ac:dyDescent="0.2">
      <c r="A95" s="108"/>
      <c r="B95" s="62"/>
      <c r="L95" s="64"/>
      <c r="N95" s="62"/>
      <c r="X95" s="64"/>
      <c r="Y95" s="108"/>
      <c r="AA95" s="78"/>
      <c r="AB95" s="79"/>
      <c r="AC95" s="79"/>
      <c r="AD95" s="78"/>
    </row>
    <row r="96" spans="1:30" x14ac:dyDescent="0.2">
      <c r="A96" s="108"/>
      <c r="B96" s="62"/>
      <c r="L96" s="64"/>
      <c r="N96" s="62"/>
      <c r="X96" s="64"/>
      <c r="Y96" s="108"/>
      <c r="AA96" s="78"/>
      <c r="AB96" s="79"/>
      <c r="AC96" s="79"/>
      <c r="AD96" s="78"/>
    </row>
    <row r="97" spans="1:30" x14ac:dyDescent="0.2">
      <c r="A97" s="108"/>
      <c r="B97" s="62"/>
      <c r="L97" s="64"/>
      <c r="N97" s="62"/>
      <c r="X97" s="64"/>
      <c r="Y97" s="108"/>
      <c r="AA97" s="78"/>
      <c r="AB97" s="79"/>
      <c r="AC97" s="79"/>
      <c r="AD97" s="78"/>
    </row>
    <row r="98" spans="1:30" x14ac:dyDescent="0.2">
      <c r="A98" s="108"/>
      <c r="B98" s="62"/>
      <c r="L98" s="64"/>
      <c r="N98" s="62"/>
      <c r="X98" s="64"/>
      <c r="Y98" s="108"/>
      <c r="AA98" s="78"/>
      <c r="AB98" s="79"/>
      <c r="AC98" s="79"/>
      <c r="AD98" s="78"/>
    </row>
    <row r="99" spans="1:30" x14ac:dyDescent="0.2">
      <c r="A99" s="108"/>
      <c r="B99" s="62"/>
      <c r="L99" s="64"/>
      <c r="N99" s="62"/>
      <c r="X99" s="64"/>
      <c r="Y99" s="108"/>
      <c r="AA99" s="78"/>
      <c r="AB99" s="79"/>
      <c r="AC99" s="79"/>
      <c r="AD99" s="78"/>
    </row>
    <row r="100" spans="1:30" x14ac:dyDescent="0.2">
      <c r="A100" s="108"/>
      <c r="B100" s="62"/>
      <c r="L100" s="64"/>
      <c r="N100" s="62"/>
      <c r="X100" s="64"/>
      <c r="Y100" s="108"/>
      <c r="AA100" s="78"/>
      <c r="AB100" s="79"/>
      <c r="AC100" s="79"/>
      <c r="AD100" s="78"/>
    </row>
    <row r="101" spans="1:30" x14ac:dyDescent="0.2">
      <c r="A101" s="108"/>
      <c r="B101" s="62"/>
      <c r="L101" s="64"/>
      <c r="N101" s="62"/>
      <c r="X101" s="64"/>
      <c r="Y101" s="108"/>
      <c r="AA101" s="78"/>
      <c r="AB101" s="79"/>
      <c r="AC101" s="79"/>
      <c r="AD101" s="78"/>
    </row>
    <row r="102" spans="1:30" x14ac:dyDescent="0.2">
      <c r="A102" s="108"/>
      <c r="B102" s="62"/>
      <c r="L102" s="64"/>
      <c r="N102" s="62"/>
      <c r="X102" s="64"/>
      <c r="Y102" s="108"/>
      <c r="AA102" s="78"/>
      <c r="AB102" s="79"/>
      <c r="AC102" s="79"/>
      <c r="AD102" s="78"/>
    </row>
    <row r="103" spans="1:30" x14ac:dyDescent="0.2">
      <c r="A103" s="108"/>
      <c r="B103" s="70"/>
      <c r="C103" s="71"/>
      <c r="D103" s="71"/>
      <c r="E103" s="71"/>
      <c r="F103" s="71"/>
      <c r="G103" s="71"/>
      <c r="H103" s="71"/>
      <c r="I103" s="71"/>
      <c r="J103" s="71"/>
      <c r="K103" s="71"/>
      <c r="L103" s="72"/>
      <c r="M103" s="117"/>
      <c r="N103" s="70"/>
      <c r="O103" s="71"/>
      <c r="P103" s="71"/>
      <c r="Q103" s="71"/>
      <c r="R103" s="71"/>
      <c r="S103" s="71"/>
      <c r="T103" s="71"/>
      <c r="U103" s="71"/>
      <c r="V103" s="71"/>
      <c r="W103" s="71"/>
      <c r="X103" s="72"/>
      <c r="Y103" s="108"/>
      <c r="AA103" s="78"/>
      <c r="AB103" s="79"/>
      <c r="AC103" s="79"/>
      <c r="AD103" s="78"/>
    </row>
    <row r="104" spans="1:30" x14ac:dyDescent="0.2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AA104" s="78"/>
      <c r="AB104" s="79"/>
      <c r="AC104" s="79"/>
      <c r="AD104" s="78"/>
    </row>
    <row r="105" spans="1:30" x14ac:dyDescent="0.2">
      <c r="AA105" s="78"/>
      <c r="AB105" s="79"/>
      <c r="AC105" s="79"/>
      <c r="AD105" s="78"/>
    </row>
    <row r="106" spans="1:30" x14ac:dyDescent="0.2">
      <c r="AA106" s="78"/>
      <c r="AB106" s="79"/>
      <c r="AC106" s="79"/>
      <c r="AD106" s="78"/>
    </row>
    <row r="107" spans="1:30" x14ac:dyDescent="0.2">
      <c r="AA107" s="78"/>
      <c r="AB107" s="79"/>
      <c r="AC107" s="79"/>
      <c r="AD107" s="78"/>
    </row>
    <row r="108" spans="1:30" x14ac:dyDescent="0.2">
      <c r="AA108" s="78"/>
      <c r="AB108" s="78"/>
      <c r="AC108" s="78"/>
      <c r="AD108" s="78"/>
    </row>
    <row r="109" spans="1:30" x14ac:dyDescent="0.2">
      <c r="AA109" s="78"/>
      <c r="AB109" s="78"/>
      <c r="AC109" s="78"/>
      <c r="AD109" s="78"/>
    </row>
  </sheetData>
  <mergeCells count="19">
    <mergeCell ref="I2:L2"/>
    <mergeCell ref="I3:L3"/>
    <mergeCell ref="J5:L5"/>
    <mergeCell ref="B6:L6"/>
    <mergeCell ref="B41:L41"/>
    <mergeCell ref="I37:L37"/>
    <mergeCell ref="N41:X41"/>
    <mergeCell ref="B74:L74"/>
    <mergeCell ref="N74:X74"/>
    <mergeCell ref="J73:L73"/>
    <mergeCell ref="I70:L70"/>
    <mergeCell ref="U70:X70"/>
    <mergeCell ref="I71:L71"/>
    <mergeCell ref="U71:X71"/>
    <mergeCell ref="U37:X37"/>
    <mergeCell ref="I38:L38"/>
    <mergeCell ref="U38:X38"/>
    <mergeCell ref="J40:L40"/>
    <mergeCell ref="V40:X40"/>
  </mergeCells>
  <printOptions horizontalCentered="1" verticalCentered="1"/>
  <pageMargins left="0.39370078740157483" right="0.39370078740157483" top="0.19685039370078741" bottom="0.19685039370078741" header="0.51181102362204722" footer="0.51181102362204722"/>
  <pageSetup paperSize="9" orientation="landscape" r:id="rId1"/>
  <headerFooter alignWithMargins="0"/>
  <colBreaks count="1" manualBreakCount="1">
    <brk id="1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Button 2">
              <controlPr defaultSize="0" print="0" autoFill="0" autoPict="0" macro="[0]!changerDateDerniereMesure">
                <anchor moveWithCells="1" sizeWithCells="1">
                  <from>
                    <xdr:col>28</xdr:col>
                    <xdr:colOff>581025</xdr:colOff>
                    <xdr:row>1</xdr:row>
                    <xdr:rowOff>47625</xdr:rowOff>
                  </from>
                  <to>
                    <xdr:col>30</xdr:col>
                    <xdr:colOff>142875</xdr:colOff>
                    <xdr:row>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V64"/>
  <sheetViews>
    <sheetView topLeftCell="A10" zoomScaleNormal="100" workbookViewId="0">
      <selection activeCell="X43" sqref="X43"/>
    </sheetView>
  </sheetViews>
  <sheetFormatPr baseColWidth="10" defaultColWidth="11.42578125" defaultRowHeight="12.75" x14ac:dyDescent="0.2"/>
  <cols>
    <col min="1" max="1" width="7.140625" style="2" customWidth="1"/>
    <col min="2" max="2" width="9.42578125" style="2" customWidth="1"/>
    <col min="3" max="7" width="8.42578125" style="2" customWidth="1"/>
    <col min="8" max="8" width="9.85546875" style="2" bestFit="1" customWidth="1"/>
    <col min="9" max="10" width="8.42578125" style="2" customWidth="1"/>
    <col min="11" max="12" width="7.140625" style="2" customWidth="1"/>
    <col min="13" max="13" width="9.42578125" style="2" customWidth="1"/>
    <col min="14" max="18" width="8.42578125" style="2" customWidth="1"/>
    <col min="19" max="19" width="9.85546875" style="2" bestFit="1" customWidth="1"/>
    <col min="20" max="21" width="8.42578125" style="2" customWidth="1"/>
    <col min="22" max="22" width="7.140625" style="2" customWidth="1"/>
    <col min="23" max="16384" width="11.42578125" style="2"/>
  </cols>
  <sheetData>
    <row r="1" spans="1:22" ht="15.75" x14ac:dyDescent="0.2">
      <c r="A1" s="60"/>
      <c r="B1" s="61"/>
      <c r="C1" s="61"/>
      <c r="D1" s="61"/>
      <c r="E1" s="61"/>
      <c r="F1" s="61"/>
      <c r="G1" s="61"/>
      <c r="H1" s="146" t="s">
        <v>9</v>
      </c>
      <c r="I1" s="146"/>
      <c r="J1" s="146"/>
      <c r="K1" s="147"/>
      <c r="L1" s="60"/>
      <c r="M1" s="61"/>
      <c r="N1" s="61"/>
      <c r="O1" s="61"/>
      <c r="P1" s="61"/>
      <c r="Q1" s="61"/>
      <c r="R1" s="61"/>
      <c r="S1" s="146" t="s">
        <v>9</v>
      </c>
      <c r="T1" s="146"/>
      <c r="U1" s="146"/>
      <c r="V1" s="147"/>
    </row>
    <row r="2" spans="1:22" ht="15.75" x14ac:dyDescent="0.2">
      <c r="A2" s="62"/>
      <c r="H2" s="138" t="s">
        <v>53</v>
      </c>
      <c r="I2" s="138"/>
      <c r="J2" s="138"/>
      <c r="K2" s="148"/>
      <c r="L2" s="62"/>
      <c r="S2" s="138" t="s">
        <v>53</v>
      </c>
      <c r="T2" s="138"/>
      <c r="U2" s="138"/>
      <c r="V2" s="148"/>
    </row>
    <row r="3" spans="1:22" ht="15" x14ac:dyDescent="0.2">
      <c r="A3" s="62"/>
      <c r="H3" s="63"/>
      <c r="I3" s="63"/>
      <c r="J3" s="63"/>
      <c r="K3" s="64"/>
      <c r="L3" s="62"/>
      <c r="S3" s="63"/>
      <c r="T3" s="63"/>
      <c r="U3" s="63"/>
      <c r="V3" s="64"/>
    </row>
    <row r="4" spans="1:22" x14ac:dyDescent="0.2">
      <c r="A4" s="62"/>
      <c r="I4" s="149"/>
      <c r="J4" s="149"/>
      <c r="K4" s="150"/>
      <c r="L4" s="62"/>
      <c r="T4" s="149"/>
      <c r="U4" s="149"/>
      <c r="V4" s="150"/>
    </row>
    <row r="5" spans="1:22" x14ac:dyDescent="0.2">
      <c r="A5" s="151" t="str">
        <f>'Graphiques F(date)'!B41</f>
        <v>Carrefour GCR2 - GVA2 - GVA3 Convergence T12T13 ( PM158 ) - Mesures au 20/12/22</v>
      </c>
      <c r="B5" s="152"/>
      <c r="C5" s="152"/>
      <c r="D5" s="152"/>
      <c r="E5" s="152"/>
      <c r="F5" s="152"/>
      <c r="G5" s="152"/>
      <c r="H5" s="152"/>
      <c r="I5" s="152"/>
      <c r="J5" s="152"/>
      <c r="K5" s="153"/>
      <c r="L5" s="151" t="str">
        <f>'Graphiques F(date)'!N41</f>
        <v>Carrefour GCR2 - GVA2 - GVA3 -Déplacements en alti ( PM158 ) - Mesures au 20/12/22</v>
      </c>
      <c r="M5" s="152"/>
      <c r="N5" s="152"/>
      <c r="O5" s="152"/>
      <c r="P5" s="152"/>
      <c r="Q5" s="152"/>
      <c r="R5" s="152"/>
      <c r="S5" s="152"/>
      <c r="T5" s="152"/>
      <c r="U5" s="152"/>
      <c r="V5" s="153"/>
    </row>
    <row r="6" spans="1:22" ht="7.5" customHeight="1" x14ac:dyDescent="0.2">
      <c r="A6" s="62"/>
      <c r="K6" s="64"/>
      <c r="L6" s="62"/>
      <c r="V6" s="64"/>
    </row>
    <row r="7" spans="1:22" s="30" customFormat="1" x14ac:dyDescent="0.2">
      <c r="A7" s="65"/>
      <c r="B7"/>
      <c r="C7"/>
      <c r="D7"/>
      <c r="E7"/>
      <c r="F7"/>
      <c r="G7"/>
      <c r="H7"/>
      <c r="I7"/>
      <c r="J7"/>
      <c r="K7" s="66"/>
      <c r="L7" s="65"/>
      <c r="M7"/>
      <c r="N7"/>
      <c r="O7"/>
      <c r="P7"/>
      <c r="Q7"/>
      <c r="R7"/>
      <c r="S7"/>
      <c r="T7"/>
      <c r="U7"/>
      <c r="V7" s="66"/>
    </row>
    <row r="8" spans="1:22" x14ac:dyDescent="0.2">
      <c r="A8" s="65"/>
      <c r="B8"/>
      <c r="C8"/>
      <c r="D8"/>
      <c r="E8"/>
      <c r="F8"/>
      <c r="G8"/>
      <c r="H8"/>
      <c r="I8"/>
      <c r="J8"/>
      <c r="K8" s="66"/>
      <c r="L8" s="65"/>
      <c r="M8"/>
      <c r="N8"/>
      <c r="O8"/>
      <c r="P8"/>
      <c r="Q8"/>
      <c r="R8"/>
      <c r="S8"/>
      <c r="T8"/>
      <c r="U8"/>
      <c r="V8" s="66"/>
    </row>
    <row r="9" spans="1:22" customFormat="1" ht="35.25" customHeight="1" x14ac:dyDescent="0.2">
      <c r="A9" s="65"/>
      <c r="K9" s="66"/>
      <c r="L9" s="65"/>
      <c r="V9" s="66"/>
    </row>
    <row r="10" spans="1:22" customFormat="1" ht="13.5" customHeight="1" x14ac:dyDescent="0.2">
      <c r="A10" s="65"/>
      <c r="K10" s="66"/>
      <c r="L10" s="65"/>
      <c r="V10" s="66"/>
    </row>
    <row r="11" spans="1:22" customFormat="1" ht="13.5" customHeight="1" x14ac:dyDescent="0.2">
      <c r="A11" s="65"/>
      <c r="K11" s="66"/>
      <c r="L11" s="65"/>
      <c r="V11" s="66"/>
    </row>
    <row r="12" spans="1:22" customFormat="1" ht="13.5" customHeight="1" x14ac:dyDescent="0.2">
      <c r="A12" s="65"/>
      <c r="K12" s="66"/>
      <c r="L12" s="65"/>
      <c r="V12" s="66"/>
    </row>
    <row r="13" spans="1:22" customFormat="1" ht="13.5" customHeight="1" x14ac:dyDescent="0.2">
      <c r="A13" s="65"/>
      <c r="K13" s="66"/>
      <c r="L13" s="65"/>
      <c r="V13" s="66"/>
    </row>
    <row r="14" spans="1:22" customFormat="1" ht="13.5" customHeight="1" x14ac:dyDescent="0.2">
      <c r="A14" s="65"/>
      <c r="K14" s="66"/>
      <c r="L14" s="65"/>
      <c r="V14" s="66"/>
    </row>
    <row r="15" spans="1:22" customFormat="1" ht="13.5" customHeight="1" x14ac:dyDescent="0.2">
      <c r="A15" s="65"/>
      <c r="K15" s="66"/>
      <c r="L15" s="65"/>
      <c r="V15" s="66"/>
    </row>
    <row r="16" spans="1:22" customFormat="1" ht="13.5" customHeight="1" x14ac:dyDescent="0.2">
      <c r="A16" s="65"/>
      <c r="K16" s="66"/>
      <c r="L16" s="65"/>
      <c r="V16" s="66"/>
    </row>
    <row r="17" spans="1:22" customFormat="1" ht="13.5" customHeight="1" x14ac:dyDescent="0.2">
      <c r="A17" s="65"/>
      <c r="K17" s="66"/>
      <c r="L17" s="65"/>
      <c r="V17" s="66"/>
    </row>
    <row r="18" spans="1:22" customFormat="1" x14ac:dyDescent="0.2">
      <c r="A18" s="65"/>
      <c r="K18" s="66"/>
      <c r="L18" s="65"/>
      <c r="V18" s="66"/>
    </row>
    <row r="19" spans="1:22" customFormat="1" x14ac:dyDescent="0.2">
      <c r="A19" s="65"/>
      <c r="K19" s="66"/>
      <c r="L19" s="65"/>
      <c r="V19" s="66"/>
    </row>
    <row r="20" spans="1:22" customFormat="1" x14ac:dyDescent="0.2">
      <c r="A20" s="65"/>
      <c r="K20" s="66"/>
      <c r="L20" s="65"/>
      <c r="V20" s="66"/>
    </row>
    <row r="21" spans="1:22" customFormat="1" x14ac:dyDescent="0.2">
      <c r="A21" s="65"/>
      <c r="K21" s="66"/>
      <c r="L21" s="65"/>
      <c r="V21" s="66"/>
    </row>
    <row r="22" spans="1:22" customFormat="1" x14ac:dyDescent="0.2">
      <c r="A22" s="65"/>
      <c r="K22" s="66"/>
      <c r="L22" s="65"/>
      <c r="V22" s="66"/>
    </row>
    <row r="23" spans="1:22" customFormat="1" x14ac:dyDescent="0.2">
      <c r="A23" s="65"/>
      <c r="K23" s="66"/>
      <c r="L23" s="65"/>
      <c r="V23" s="66"/>
    </row>
    <row r="24" spans="1:22" customFormat="1" x14ac:dyDescent="0.2">
      <c r="A24" s="65"/>
      <c r="K24" s="66"/>
      <c r="L24" s="65"/>
      <c r="V24" s="66"/>
    </row>
    <row r="25" spans="1:22" customFormat="1" x14ac:dyDescent="0.2">
      <c r="A25" s="65"/>
      <c r="K25" s="66"/>
      <c r="L25" s="65"/>
      <c r="V25" s="66"/>
    </row>
    <row r="26" spans="1:22" customFormat="1" x14ac:dyDescent="0.2">
      <c r="A26" s="65"/>
      <c r="K26" s="66"/>
      <c r="L26" s="65"/>
      <c r="V26" s="66"/>
    </row>
    <row r="27" spans="1:22" customFormat="1" x14ac:dyDescent="0.2">
      <c r="A27" s="65"/>
      <c r="K27" s="66"/>
      <c r="L27" s="65"/>
      <c r="V27" s="66"/>
    </row>
    <row r="28" spans="1:22" customFormat="1" x14ac:dyDescent="0.2">
      <c r="A28" s="65"/>
      <c r="K28" s="66"/>
      <c r="L28" s="65"/>
      <c r="V28" s="66"/>
    </row>
    <row r="29" spans="1:22" customFormat="1" x14ac:dyDescent="0.2">
      <c r="A29" s="65"/>
      <c r="K29" s="66"/>
      <c r="L29" s="65"/>
      <c r="V29" s="66"/>
    </row>
    <row r="30" spans="1:22" customFormat="1" x14ac:dyDescent="0.2">
      <c r="A30" s="65"/>
      <c r="K30" s="66"/>
      <c r="L30" s="65"/>
      <c r="V30" s="66"/>
    </row>
    <row r="31" spans="1:22" customFormat="1" x14ac:dyDescent="0.2">
      <c r="A31" s="65"/>
      <c r="K31" s="66"/>
      <c r="L31" s="65"/>
      <c r="V31" s="66"/>
    </row>
    <row r="32" spans="1:22" customFormat="1" x14ac:dyDescent="0.2">
      <c r="A32" s="67"/>
      <c r="B32" s="68"/>
      <c r="C32" s="68"/>
      <c r="D32" s="68"/>
      <c r="E32" s="68"/>
      <c r="F32" s="68"/>
      <c r="G32" s="68"/>
      <c r="H32" s="68"/>
      <c r="I32" s="68"/>
      <c r="J32" s="68"/>
      <c r="K32" s="69"/>
      <c r="L32" s="67"/>
      <c r="M32" s="68"/>
      <c r="N32" s="68"/>
      <c r="O32" s="68"/>
      <c r="P32" s="68"/>
      <c r="Q32" s="68"/>
      <c r="R32" s="68"/>
      <c r="S32" s="68"/>
      <c r="T32" s="68"/>
      <c r="U32" s="68"/>
      <c r="V32" s="69"/>
    </row>
    <row r="33" spans="1:22" ht="15.75" x14ac:dyDescent="0.2">
      <c r="A33" s="60"/>
      <c r="B33" s="61"/>
      <c r="C33" s="61"/>
      <c r="D33" s="61"/>
      <c r="E33" s="61"/>
      <c r="F33" s="61"/>
      <c r="G33" s="61"/>
      <c r="H33" s="146" t="s">
        <v>9</v>
      </c>
      <c r="I33" s="146"/>
      <c r="J33" s="146"/>
      <c r="K33" s="147"/>
      <c r="L33" s="60"/>
      <c r="M33" s="61"/>
      <c r="N33" s="61"/>
      <c r="O33" s="61"/>
      <c r="P33" s="61"/>
      <c r="Q33" s="61"/>
      <c r="R33" s="61"/>
      <c r="S33" s="146" t="s">
        <v>9</v>
      </c>
      <c r="T33" s="146"/>
      <c r="U33" s="146"/>
      <c r="V33" s="147"/>
    </row>
    <row r="34" spans="1:22" ht="15.75" x14ac:dyDescent="0.2">
      <c r="A34" s="62"/>
      <c r="H34" s="138" t="s">
        <v>53</v>
      </c>
      <c r="I34" s="138"/>
      <c r="J34" s="138"/>
      <c r="K34" s="148"/>
      <c r="L34" s="62"/>
      <c r="S34" s="138" t="s">
        <v>53</v>
      </c>
      <c r="T34" s="138"/>
      <c r="U34" s="138"/>
      <c r="V34" s="148"/>
    </row>
    <row r="35" spans="1:22" ht="15" x14ac:dyDescent="0.2">
      <c r="A35" s="62"/>
      <c r="H35" s="63"/>
      <c r="I35" s="63"/>
      <c r="J35" s="63"/>
      <c r="K35" s="64"/>
      <c r="L35" s="62"/>
      <c r="S35" s="63"/>
      <c r="T35" s="63"/>
      <c r="U35" s="63"/>
      <c r="V35" s="64"/>
    </row>
    <row r="36" spans="1:22" x14ac:dyDescent="0.2">
      <c r="A36" s="62"/>
      <c r="I36" s="149"/>
      <c r="J36" s="149"/>
      <c r="K36" s="150"/>
      <c r="L36" s="62"/>
      <c r="V36" s="64"/>
    </row>
    <row r="37" spans="1:22" x14ac:dyDescent="0.2">
      <c r="A37" s="151" t="str">
        <f>'Graphiques F(date)'!B74</f>
        <v>Carrefour GCR2 - GVA2 - GVA3 - déplacements en PM ( PM158 ) - Mesures au 20/12/22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3"/>
      <c r="L37" s="151" t="str">
        <f>'Graphiques F(date)'!N74</f>
        <v xml:space="preserve"> Carrefour GCR2 - GVA2 - GVA3 - déplacements en deport ( PM158 ) - Mesures au 20/12/22</v>
      </c>
      <c r="M37" s="152"/>
      <c r="N37" s="152"/>
      <c r="O37" s="152"/>
      <c r="P37" s="152"/>
      <c r="Q37" s="152"/>
      <c r="R37" s="152"/>
      <c r="S37" s="152"/>
      <c r="T37" s="152"/>
      <c r="U37" s="152"/>
      <c r="V37" s="153"/>
    </row>
    <row r="38" spans="1:22" x14ac:dyDescent="0.2">
      <c r="A38" s="62"/>
      <c r="K38" s="64"/>
      <c r="L38" s="62"/>
      <c r="V38" s="64"/>
    </row>
    <row r="39" spans="1:22" x14ac:dyDescent="0.2">
      <c r="A39" s="62"/>
      <c r="K39" s="64"/>
      <c r="L39" s="62"/>
      <c r="V39" s="64"/>
    </row>
    <row r="40" spans="1:22" x14ac:dyDescent="0.2">
      <c r="A40" s="62"/>
      <c r="K40" s="64"/>
      <c r="L40" s="62"/>
      <c r="V40" s="64"/>
    </row>
    <row r="41" spans="1:22" x14ac:dyDescent="0.2">
      <c r="A41" s="62"/>
      <c r="K41" s="64"/>
      <c r="L41" s="62"/>
      <c r="V41" s="64"/>
    </row>
    <row r="42" spans="1:22" x14ac:dyDescent="0.2">
      <c r="A42" s="62"/>
      <c r="K42" s="64"/>
      <c r="L42" s="62"/>
      <c r="V42" s="64"/>
    </row>
    <row r="43" spans="1:22" x14ac:dyDescent="0.2">
      <c r="A43" s="62"/>
      <c r="K43" s="64"/>
      <c r="L43" s="62"/>
      <c r="V43" s="64"/>
    </row>
    <row r="44" spans="1:22" x14ac:dyDescent="0.2">
      <c r="A44" s="62"/>
      <c r="K44" s="64"/>
      <c r="L44" s="62"/>
      <c r="V44" s="64"/>
    </row>
    <row r="45" spans="1:22" x14ac:dyDescent="0.2">
      <c r="A45" s="62"/>
      <c r="K45" s="64"/>
      <c r="L45" s="62"/>
      <c r="V45" s="64"/>
    </row>
    <row r="46" spans="1:22" x14ac:dyDescent="0.2">
      <c r="A46" s="62"/>
      <c r="K46" s="64"/>
      <c r="L46" s="62"/>
      <c r="V46" s="64"/>
    </row>
    <row r="47" spans="1:22" x14ac:dyDescent="0.2">
      <c r="A47" s="62"/>
      <c r="K47" s="64"/>
      <c r="L47" s="62"/>
      <c r="V47" s="64"/>
    </row>
    <row r="48" spans="1:22" x14ac:dyDescent="0.2">
      <c r="A48" s="62"/>
      <c r="K48" s="64"/>
      <c r="L48" s="62"/>
      <c r="V48" s="64"/>
    </row>
    <row r="49" spans="1:22" x14ac:dyDescent="0.2">
      <c r="A49" s="62"/>
      <c r="K49" s="64"/>
      <c r="L49" s="62"/>
      <c r="V49" s="64"/>
    </row>
    <row r="50" spans="1:22" x14ac:dyDescent="0.2">
      <c r="A50" s="62"/>
      <c r="K50" s="64"/>
      <c r="L50" s="62"/>
      <c r="V50" s="64"/>
    </row>
    <row r="51" spans="1:22" x14ac:dyDescent="0.2">
      <c r="A51" s="62"/>
      <c r="K51" s="64"/>
      <c r="L51" s="62"/>
      <c r="V51" s="64"/>
    </row>
    <row r="52" spans="1:22" x14ac:dyDescent="0.2">
      <c r="A52" s="62"/>
      <c r="K52" s="64"/>
      <c r="L52" s="62"/>
      <c r="V52" s="64"/>
    </row>
    <row r="53" spans="1:22" x14ac:dyDescent="0.2">
      <c r="A53" s="62"/>
      <c r="K53" s="64"/>
      <c r="L53" s="62"/>
      <c r="V53" s="64"/>
    </row>
    <row r="54" spans="1:22" x14ac:dyDescent="0.2">
      <c r="A54" s="62"/>
      <c r="K54" s="64"/>
      <c r="L54" s="62"/>
      <c r="V54" s="64"/>
    </row>
    <row r="55" spans="1:22" x14ac:dyDescent="0.2">
      <c r="A55" s="62"/>
      <c r="K55" s="64"/>
      <c r="L55" s="62"/>
      <c r="V55" s="64"/>
    </row>
    <row r="56" spans="1:22" x14ac:dyDescent="0.2">
      <c r="A56" s="62"/>
      <c r="K56" s="64"/>
      <c r="L56" s="62"/>
      <c r="V56" s="64"/>
    </row>
    <row r="57" spans="1:22" x14ac:dyDescent="0.2">
      <c r="A57" s="62"/>
      <c r="K57" s="64"/>
      <c r="L57" s="62"/>
      <c r="V57" s="64"/>
    </row>
    <row r="58" spans="1:22" x14ac:dyDescent="0.2">
      <c r="A58" s="62"/>
      <c r="K58" s="64"/>
      <c r="L58" s="62"/>
      <c r="V58" s="64"/>
    </row>
    <row r="59" spans="1:22" x14ac:dyDescent="0.2">
      <c r="A59" s="62"/>
      <c r="K59" s="64"/>
      <c r="L59" s="62"/>
      <c r="V59" s="64"/>
    </row>
    <row r="60" spans="1:22" x14ac:dyDescent="0.2">
      <c r="A60" s="62"/>
      <c r="K60" s="64"/>
      <c r="L60" s="62"/>
      <c r="V60" s="64"/>
    </row>
    <row r="61" spans="1:22" x14ac:dyDescent="0.2">
      <c r="A61" s="62"/>
      <c r="K61" s="64"/>
      <c r="L61" s="62"/>
      <c r="V61" s="64"/>
    </row>
    <row r="62" spans="1:22" x14ac:dyDescent="0.2">
      <c r="A62" s="62"/>
      <c r="K62" s="64"/>
      <c r="L62" s="62"/>
      <c r="V62" s="64"/>
    </row>
    <row r="63" spans="1:22" x14ac:dyDescent="0.2">
      <c r="A63" s="62"/>
      <c r="K63" s="64"/>
      <c r="L63" s="62"/>
      <c r="V63" s="64"/>
    </row>
    <row r="64" spans="1:22" x14ac:dyDescent="0.2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2"/>
      <c r="L64" s="70"/>
      <c r="M64" s="71"/>
      <c r="N64" s="71"/>
      <c r="O64" s="71"/>
      <c r="P64" s="71"/>
      <c r="Q64" s="71"/>
      <c r="R64" s="71"/>
      <c r="S64" s="71"/>
      <c r="T64" s="71"/>
      <c r="U64" s="71"/>
      <c r="V64" s="72"/>
    </row>
  </sheetData>
  <mergeCells count="15">
    <mergeCell ref="I36:K36"/>
    <mergeCell ref="A37:K37"/>
    <mergeCell ref="L37:V37"/>
    <mergeCell ref="A5:K5"/>
    <mergeCell ref="L5:V5"/>
    <mergeCell ref="H33:K33"/>
    <mergeCell ref="S33:V33"/>
    <mergeCell ref="H34:K34"/>
    <mergeCell ref="S34:V34"/>
    <mergeCell ref="H1:K1"/>
    <mergeCell ref="S1:V1"/>
    <mergeCell ref="H2:K2"/>
    <mergeCell ref="S2:V2"/>
    <mergeCell ref="I4:K4"/>
    <mergeCell ref="T4:V4"/>
  </mergeCells>
  <printOptions horizontalCentered="1"/>
  <pageMargins left="0.39370078740157483" right="0.39370078740157483" top="0.19685039370078741" bottom="0.19685039370078741" header="0.51181102362204722" footer="0.51181102362204722"/>
  <pageSetup paperSize="9" scale="130" orientation="landscape" r:id="rId1"/>
  <headerFooter alignWithMargins="0"/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3:B15"/>
  <sheetViews>
    <sheetView workbookViewId="0">
      <selection activeCell="B15" sqref="B15"/>
    </sheetView>
  </sheetViews>
  <sheetFormatPr baseColWidth="10" defaultRowHeight="12.75" x14ac:dyDescent="0.2"/>
  <cols>
    <col min="2" max="2" width="100.85546875" customWidth="1"/>
  </cols>
  <sheetData>
    <row r="3" spans="1:2" x14ac:dyDescent="0.2">
      <c r="A3" s="76">
        <v>43690</v>
      </c>
      <c r="B3" t="s">
        <v>67</v>
      </c>
    </row>
    <row r="4" spans="1:2" x14ac:dyDescent="0.2">
      <c r="A4" s="94">
        <v>43753</v>
      </c>
      <c r="B4" s="73" t="s">
        <v>77</v>
      </c>
    </row>
    <row r="6" spans="1:2" x14ac:dyDescent="0.2">
      <c r="A6" s="94">
        <v>43774</v>
      </c>
      <c r="B6" s="73" t="s">
        <v>78</v>
      </c>
    </row>
    <row r="9" spans="1:2" x14ac:dyDescent="0.2">
      <c r="A9" s="76">
        <v>43857</v>
      </c>
      <c r="B9" t="s">
        <v>79</v>
      </c>
    </row>
    <row r="14" spans="1:2" x14ac:dyDescent="0.2">
      <c r="A14" s="76">
        <v>44112</v>
      </c>
      <c r="B14" s="73" t="s">
        <v>87</v>
      </c>
    </row>
    <row r="15" spans="1:2" x14ac:dyDescent="0.2">
      <c r="B15" s="73" t="s">
        <v>86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/>
  <dimension ref="A2:B7"/>
  <sheetViews>
    <sheetView workbookViewId="0">
      <selection activeCell="F8" sqref="F7:F8"/>
    </sheetView>
  </sheetViews>
  <sheetFormatPr baseColWidth="10" defaultRowHeight="12.75" x14ac:dyDescent="0.2"/>
  <cols>
    <col min="1" max="1" width="17" bestFit="1" customWidth="1"/>
  </cols>
  <sheetData>
    <row r="2" spans="1:2" x14ac:dyDescent="0.2">
      <c r="A2" t="s">
        <v>91</v>
      </c>
      <c r="B2">
        <v>3</v>
      </c>
    </row>
    <row r="3" spans="1:2" x14ac:dyDescent="0.2">
      <c r="A3" t="s">
        <v>92</v>
      </c>
      <c r="B3">
        <v>2</v>
      </c>
    </row>
    <row r="4" spans="1:2" x14ac:dyDescent="0.2">
      <c r="A4" t="s">
        <v>93</v>
      </c>
      <c r="B4">
        <v>3</v>
      </c>
    </row>
    <row r="5" spans="1:2" x14ac:dyDescent="0.2">
      <c r="A5" t="s">
        <v>94</v>
      </c>
      <c r="B5">
        <v>2</v>
      </c>
    </row>
    <row r="6" spans="1:2" x14ac:dyDescent="0.2">
      <c r="A6" t="s">
        <v>95</v>
      </c>
      <c r="B6">
        <v>3</v>
      </c>
    </row>
    <row r="7" spans="1:2" x14ac:dyDescent="0.2">
      <c r="A7" t="s">
        <v>96</v>
      </c>
      <c r="B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66</vt:i4>
      </vt:variant>
    </vt:vector>
  </HeadingPairs>
  <TitlesOfParts>
    <vt:vector size="73" baseType="lpstr">
      <vt:lpstr>Résultats observations</vt:lpstr>
      <vt:lpstr>Convergences</vt:lpstr>
      <vt:lpstr>Déplacements</vt:lpstr>
      <vt:lpstr>Graphiques F(date)</vt:lpstr>
      <vt:lpstr>Graphiques F(avancement)</vt:lpstr>
      <vt:lpstr>commentaires</vt:lpstr>
      <vt:lpstr>PARAM</vt:lpstr>
      <vt:lpstr>cintre</vt:lpstr>
      <vt:lpstr>date</vt:lpstr>
      <vt:lpstr>DH_BD</vt:lpstr>
      <vt:lpstr>DH_BG</vt:lpstr>
      <vt:lpstr>DH_HD</vt:lpstr>
      <vt:lpstr>DH_HG</vt:lpstr>
      <vt:lpstr>DH_ID</vt:lpstr>
      <vt:lpstr>DH_IG</vt:lpstr>
      <vt:lpstr>DHhaut</vt:lpstr>
      <vt:lpstr>dist</vt:lpstr>
      <vt:lpstr>DPM_BD</vt:lpstr>
      <vt:lpstr>DPM_BG</vt:lpstr>
      <vt:lpstr>DPM_HD</vt:lpstr>
      <vt:lpstr>DPM_HG</vt:lpstr>
      <vt:lpstr>DPM_ID</vt:lpstr>
      <vt:lpstr>DPM_IG</vt:lpstr>
      <vt:lpstr>DPMhaut</vt:lpstr>
      <vt:lpstr>DZ_BD</vt:lpstr>
      <vt:lpstr>DZ_BG</vt:lpstr>
      <vt:lpstr>DZ_HD</vt:lpstr>
      <vt:lpstr>DZ_HG</vt:lpstr>
      <vt:lpstr>DZ_ID</vt:lpstr>
      <vt:lpstr>DZ_IG</vt:lpstr>
      <vt:lpstr>DZhaut</vt:lpstr>
      <vt:lpstr>Ecart_BD</vt:lpstr>
      <vt:lpstr>Ecart_BG</vt:lpstr>
      <vt:lpstr>Ecart_HD</vt:lpstr>
      <vt:lpstr>Ecart_HG</vt:lpstr>
      <vt:lpstr>Ecart_ID</vt:lpstr>
      <vt:lpstr>Ecart_IG</vt:lpstr>
      <vt:lpstr>Ecart_LB</vt:lpstr>
      <vt:lpstr>Ecart_LH</vt:lpstr>
      <vt:lpstr>Ecart_LI</vt:lpstr>
      <vt:lpstr>excav</vt:lpstr>
      <vt:lpstr>front</vt:lpstr>
      <vt:lpstr>galerie</vt:lpstr>
      <vt:lpstr>Convergences!Impression_des_titres</vt:lpstr>
      <vt:lpstr>Déplacements!Impression_des_titres</vt:lpstr>
      <vt:lpstr>'Résultats observations'!Impression_des_titres</vt:lpstr>
      <vt:lpstr>jours</vt:lpstr>
      <vt:lpstr>PM</vt:lpstr>
      <vt:lpstr>Xbasdroit</vt:lpstr>
      <vt:lpstr>Xbasgauche</vt:lpstr>
      <vt:lpstr>Xhaut</vt:lpstr>
      <vt:lpstr>Xhautdroit</vt:lpstr>
      <vt:lpstr>Xhautgauche</vt:lpstr>
      <vt:lpstr>Xinterdroit</vt:lpstr>
      <vt:lpstr>Xintergauche</vt:lpstr>
      <vt:lpstr>Ybasdroit</vt:lpstr>
      <vt:lpstr>Ybasgauche</vt:lpstr>
      <vt:lpstr>Yhaut</vt:lpstr>
      <vt:lpstr>Yhautdroit</vt:lpstr>
      <vt:lpstr>Yhautgauche</vt:lpstr>
      <vt:lpstr>Yinterdroit</vt:lpstr>
      <vt:lpstr>Yintergauche</vt:lpstr>
      <vt:lpstr>Zbasdroit</vt:lpstr>
      <vt:lpstr>Zbasgauche</vt:lpstr>
      <vt:lpstr>Zhaut</vt:lpstr>
      <vt:lpstr>Zhautdroit</vt:lpstr>
      <vt:lpstr>Zhautgauche</vt:lpstr>
      <vt:lpstr>Zinterdroit</vt:lpstr>
      <vt:lpstr>Zintergauche</vt:lpstr>
      <vt:lpstr>Convergences!Zone_d_impression</vt:lpstr>
      <vt:lpstr>Déplacements!Zone_d_impression</vt:lpstr>
      <vt:lpstr>'Graphiques F(date)'!Zone_d_impression</vt:lpstr>
      <vt:lpstr>'Résultats observations'!Zone_d_impression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olivier boissard</cp:lastModifiedBy>
  <cp:lastPrinted>2020-03-19T08:18:39Z</cp:lastPrinted>
  <dcterms:created xsi:type="dcterms:W3CDTF">2008-07-29T13:58:19Z</dcterms:created>
  <dcterms:modified xsi:type="dcterms:W3CDTF">2025-11-06T18:31:35Z</dcterms:modified>
</cp:coreProperties>
</file>