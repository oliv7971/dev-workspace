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trlProps/ctrlProp2.xml" ContentType="application/vnd.ms-excel.controlproperti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11-CHANTIERS\BURE\10-ACTIVITES\2025\11\2025-11-06-b-etude referentiel carrefour GCR\identification cibles GMP104\"/>
    </mc:Choice>
  </mc:AlternateContent>
  <xr:revisionPtr revIDLastSave="0" documentId="8_{6F8731D7-7FEF-4129-8A2F-A08C6D7A331D}" xr6:coauthVersionLast="47" xr6:coauthVersionMax="47" xr10:uidLastSave="{00000000-0000-0000-0000-000000000000}"/>
  <bookViews>
    <workbookView xWindow="57480" yWindow="-120" windowWidth="25440" windowHeight="15390" tabRatio="828" xr2:uid="{00000000-000D-0000-FFFF-FFFF00000000}"/>
  </bookViews>
  <sheets>
    <sheet name="Résultats observations" sheetId="1" r:id="rId1"/>
    <sheet name="PARAM" sheetId="11" r:id="rId2"/>
    <sheet name="Convergences" sheetId="2" r:id="rId3"/>
    <sheet name="Déplacements" sheetId="3" r:id="rId4"/>
    <sheet name="Graphiques F(date)" sheetId="7" r:id="rId5"/>
    <sheet name="Graphiques F(date) (100j)" sheetId="15" r:id="rId6"/>
    <sheet name="Graphiques F(avancement)" sheetId="9" r:id="rId7"/>
    <sheet name="commentaires" sheetId="10" r:id="rId8"/>
  </sheets>
  <externalReferences>
    <externalReference r:id="rId9"/>
  </externalReferences>
  <definedNames>
    <definedName name="cintre">'Résultats observations'!$W$4</definedName>
    <definedName name="date">'Résultats observations'!$A:$A</definedName>
    <definedName name="DH_BD">'Résultats observations'!$DD:$DD</definedName>
    <definedName name="DH_BG">'Résultats observations'!$CL:$CL</definedName>
    <definedName name="DH_HD">'Résultats observations'!$CX:$CX</definedName>
    <definedName name="DH_HG">'Résultats observations'!$CR:$CR</definedName>
    <definedName name="DH_ID">'Résultats observations'!$DA:$DA</definedName>
    <definedName name="DH_IG">'Résultats observations'!$CO:$CO</definedName>
    <definedName name="DHhaut">'Résultats observations'!$CU:$CU</definedName>
    <definedName name="dist">'Résultats observations'!$D:$D</definedName>
    <definedName name="DPM_BD">'Résultats observations'!$DC:$DC</definedName>
    <definedName name="DPM_BG">'Résultats observations'!$CK:$CK</definedName>
    <definedName name="DPM_HD">'Résultats observations'!$CW:$CW</definedName>
    <definedName name="DPM_HG">'Résultats observations'!$CQ:$CQ</definedName>
    <definedName name="DPM_ID">'Résultats observations'!$CZ:$CZ</definedName>
    <definedName name="DPM_IG">'Résultats observations'!$CN:$CN</definedName>
    <definedName name="DPMhaut">'Résultats observations'!$CT:$CT</definedName>
    <definedName name="DZ_BD">'Résultats observations'!$BM:$BM</definedName>
    <definedName name="DZ_BG">'Résultats observations'!$AU:$AU</definedName>
    <definedName name="DZ_HD">'Résultats observations'!$BG:$BG</definedName>
    <definedName name="DZ_HG">'Résultats observations'!$BA:$BA</definedName>
    <definedName name="DZ_ID">'Résultats observations'!$BJ:$BJ</definedName>
    <definedName name="DZ_IG">'Résultats observations'!$AX:$AX</definedName>
    <definedName name="DZhaut">'Résultats observations'!$BD:$BD</definedName>
    <definedName name="Ecart_BD">'Résultats observations'!$AN:$AN</definedName>
    <definedName name="Ecart_BG">'Résultats observations'!$AI:$AI</definedName>
    <definedName name="Ecart_HD">'Résultats observations'!$AL:$AL</definedName>
    <definedName name="Ecart_HG">'Résultats observations'!$AK:$AK</definedName>
    <definedName name="Ecart_ID">'Résultats observations'!$AM:$AM</definedName>
    <definedName name="Ecart_IG">'Résultats observations'!$AJ:$AJ</definedName>
    <definedName name="Ecart_LB">'Résultats observations'!$AQ:$AQ</definedName>
    <definedName name="Ecart_LH">'Résultats observations'!$AO:$AO</definedName>
    <definedName name="Ecart_LI">'Résultats observations'!$AP:$AP</definedName>
    <definedName name="excav">'Résultats observations'!$A$7</definedName>
    <definedName name="front">'Résultats observations'!$C:$C</definedName>
    <definedName name="galerie">'Résultats observations'!$G$4</definedName>
    <definedName name="_xlnm.Print_Titles" localSheetId="2">Convergences!$1:$9</definedName>
    <definedName name="_xlnm.Print_Titles" localSheetId="3">Déplacements!$1:$9</definedName>
    <definedName name="_xlnm.Print_Titles" localSheetId="0">'Résultats observations'!$1:$9</definedName>
    <definedName name="jours">'Résultats observations'!$B:$B</definedName>
    <definedName name="N_DEST">#REF!</definedName>
    <definedName name="N_SOURCE">#REF!</definedName>
    <definedName name="PM">'Résultats observations'!$W$6</definedName>
    <definedName name="Xbasdroit">'Résultats observations'!$W:$W</definedName>
    <definedName name="Xbasgauche">'Résultats observations'!$E:$E</definedName>
    <definedName name="Xhaut">'Résultats observations'!$N:$N</definedName>
    <definedName name="Xhautdroit">'Résultats observations'!$Q:$Q</definedName>
    <definedName name="Xhautgauche">'Résultats observations'!$K:$K</definedName>
    <definedName name="Xinterdroit">'Résultats observations'!$T:$T</definedName>
    <definedName name="Xintergauche">'Résultats observations'!$H:$H</definedName>
    <definedName name="Ybasdroit">'Résultats observations'!$X:$X</definedName>
    <definedName name="Ybasgauche">'Résultats observations'!$F:$F</definedName>
    <definedName name="Yhaut">'Résultats observations'!$O:$O</definedName>
    <definedName name="Yhautdroit">'Résultats observations'!$R:$R</definedName>
    <definedName name="Yhautgauche">'Résultats observations'!$L:$L</definedName>
    <definedName name="Yinterdroit">'Résultats observations'!$U:$U</definedName>
    <definedName name="Yintergauche">'Résultats observations'!$I:$I</definedName>
    <definedName name="Zbasdroit">'Résultats observations'!$Y:$Y</definedName>
    <definedName name="Zbasgauche">'Résultats observations'!$G:$G</definedName>
    <definedName name="Zhaut">'Résultats observations'!$P:$P</definedName>
    <definedName name="Zhautdroit">'Résultats observations'!$S:$S</definedName>
    <definedName name="Zhautgauche">'Résultats observations'!$M:$M</definedName>
    <definedName name="Zinterdroit">'Résultats observations'!$V:$V</definedName>
    <definedName name="Zintergauche">'Résultats observations'!$J:$J</definedName>
    <definedName name="_xlnm.Print_Area" localSheetId="2">Convergences!$A$1:$Z$78</definedName>
    <definedName name="_xlnm.Print_Area" localSheetId="3">Déplacements!$A$1:$AD$78</definedName>
    <definedName name="_xlnm.Print_Area" localSheetId="4">'Graphiques F(date)'!$N$70:$X$103</definedName>
    <definedName name="_xlnm.Print_Area" localSheetId="5">'Graphiques F(date) (100j)'!$N$70:$X$103</definedName>
    <definedName name="_xlnm.Print_Area" localSheetId="0">'Résultats observations'!$A$1:$AH$10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0" i="3" l="1"/>
  <c r="B120" i="2"/>
  <c r="C120" i="2"/>
  <c r="S120" i="2"/>
  <c r="Y120" i="2"/>
  <c r="AH120" i="1"/>
  <c r="AF120" i="1"/>
  <c r="AE120" i="1"/>
  <c r="AD120" i="1"/>
  <c r="AC120" i="1"/>
  <c r="AB120" i="1"/>
  <c r="Z120" i="1"/>
  <c r="D120" i="1"/>
  <c r="B120" i="1"/>
  <c r="A120" i="3" s="1"/>
  <c r="B119" i="3"/>
  <c r="B119" i="2"/>
  <c r="C119" i="2"/>
  <c r="S119" i="2"/>
  <c r="Y119" i="2"/>
  <c r="Z119" i="1"/>
  <c r="AB119" i="1"/>
  <c r="AC119" i="1"/>
  <c r="AD119" i="1"/>
  <c r="AE119" i="1"/>
  <c r="AF119" i="1"/>
  <c r="AH119" i="1"/>
  <c r="D119" i="1"/>
  <c r="B119" i="1"/>
  <c r="A118" i="3"/>
  <c r="B118" i="3"/>
  <c r="A118" i="2"/>
  <c r="B118" i="2"/>
  <c r="C118" i="2"/>
  <c r="S118" i="2"/>
  <c r="Y118" i="2"/>
  <c r="Z118" i="1"/>
  <c r="AB118" i="1"/>
  <c r="AC118" i="1"/>
  <c r="AD118" i="1"/>
  <c r="AE118" i="1"/>
  <c r="AF118" i="1"/>
  <c r="AH118" i="1"/>
  <c r="D118" i="1"/>
  <c r="B118" i="1"/>
  <c r="B117" i="3"/>
  <c r="B117" i="2"/>
  <c r="C117" i="2"/>
  <c r="S117" i="2"/>
  <c r="Y117" i="2"/>
  <c r="Z117" i="1"/>
  <c r="AB117" i="1"/>
  <c r="AC117" i="1"/>
  <c r="AD117" i="1"/>
  <c r="AE117" i="1"/>
  <c r="AF117" i="1"/>
  <c r="AH117" i="1"/>
  <c r="D117" i="1"/>
  <c r="B117" i="1"/>
  <c r="B116" i="3"/>
  <c r="B116" i="2"/>
  <c r="C116" i="2"/>
  <c r="S116" i="2"/>
  <c r="Y116" i="2"/>
  <c r="AH116" i="1"/>
  <c r="AF116" i="1"/>
  <c r="AE116" i="1"/>
  <c r="AD116" i="1"/>
  <c r="AC116" i="1"/>
  <c r="AB116" i="1"/>
  <c r="Z116" i="1"/>
  <c r="D116" i="1"/>
  <c r="B116" i="1"/>
  <c r="A116" i="2" s="1"/>
  <c r="B115" i="3"/>
  <c r="B115" i="2"/>
  <c r="C115" i="2"/>
  <c r="S115" i="2"/>
  <c r="Y115" i="2"/>
  <c r="AE115" i="1"/>
  <c r="Z115" i="1"/>
  <c r="AB115" i="1"/>
  <c r="AC115" i="1"/>
  <c r="AD115" i="1"/>
  <c r="AF115" i="1"/>
  <c r="AH115" i="1"/>
  <c r="D115" i="1"/>
  <c r="B115" i="1"/>
  <c r="A120" i="2" l="1"/>
  <c r="A115" i="2"/>
  <c r="A115" i="3"/>
  <c r="A119" i="3"/>
  <c r="A119" i="2"/>
  <c r="A117" i="3"/>
  <c r="A117" i="2"/>
  <c r="A116" i="3"/>
  <c r="B114" i="3"/>
  <c r="Z114" i="2"/>
  <c r="Y114" i="2"/>
  <c r="B114" i="2"/>
  <c r="C114" i="2"/>
  <c r="W114" i="2"/>
  <c r="S114" i="2"/>
  <c r="AN114" i="1"/>
  <c r="AH113" i="1"/>
  <c r="AH114" i="1"/>
  <c r="AQ114" i="1" s="1"/>
  <c r="AD114" i="1"/>
  <c r="AF114" i="1"/>
  <c r="AB114" i="1"/>
  <c r="AC114" i="1"/>
  <c r="Z114" i="1"/>
  <c r="B114" i="1"/>
  <c r="A114" i="2" s="1"/>
  <c r="D114" i="1"/>
  <c r="A114" i="3" l="1"/>
  <c r="B113" i="3"/>
  <c r="B113" i="2"/>
  <c r="C113" i="2"/>
  <c r="S113" i="2"/>
  <c r="Y113" i="2"/>
  <c r="AM113" i="1"/>
  <c r="AN113" i="1"/>
  <c r="Z113" i="1"/>
  <c r="AB113" i="1"/>
  <c r="AC113" i="1"/>
  <c r="AF113" i="1"/>
  <c r="AQ113" i="1"/>
  <c r="D113" i="1"/>
  <c r="B113" i="1"/>
  <c r="A113" i="2" s="1"/>
  <c r="A113" i="3" l="1"/>
  <c r="N74" i="15"/>
  <c r="B74" i="15"/>
  <c r="AD64" i="15"/>
  <c r="AD65" i="15" s="1"/>
  <c r="AE63" i="15"/>
  <c r="AE65" i="15" s="1"/>
  <c r="AE62" i="15"/>
  <c r="AE64" i="15" s="1"/>
  <c r="AE61" i="15"/>
  <c r="AD61" i="15"/>
  <c r="AE60" i="15"/>
  <c r="N41" i="15"/>
  <c r="B41" i="15"/>
  <c r="A5" i="9" s="1"/>
  <c r="B6" i="15"/>
  <c r="AC2" i="15"/>
  <c r="B112" i="3"/>
  <c r="B112" i="2"/>
  <c r="C112" i="2"/>
  <c r="S112" i="2"/>
  <c r="Y112" i="2"/>
  <c r="Z112" i="1"/>
  <c r="AB112" i="1"/>
  <c r="AC112" i="1"/>
  <c r="AD112" i="1"/>
  <c r="AE112" i="1"/>
  <c r="AF112" i="1"/>
  <c r="AH112" i="1"/>
  <c r="D112" i="1"/>
  <c r="B112" i="1"/>
  <c r="A112" i="2" s="1"/>
  <c r="A112" i="3" l="1"/>
  <c r="AH106" i="1"/>
  <c r="AQ106" i="1" s="1"/>
  <c r="AH107" i="1"/>
  <c r="AH108" i="1"/>
  <c r="AH110" i="1"/>
  <c r="AH111" i="1"/>
  <c r="AE109" i="1"/>
  <c r="AE110" i="1"/>
  <c r="AE111" i="1"/>
  <c r="AN106" i="1"/>
  <c r="AN107" i="1"/>
  <c r="AN108" i="1"/>
  <c r="AQ109" i="1"/>
  <c r="AC2" i="7"/>
  <c r="B111" i="3"/>
  <c r="B111" i="2"/>
  <c r="C111" i="2"/>
  <c r="S111" i="2"/>
  <c r="Y111" i="2"/>
  <c r="Z111" i="1"/>
  <c r="AB111" i="1"/>
  <c r="AC111" i="1"/>
  <c r="AD111" i="1"/>
  <c r="AF111" i="1"/>
  <c r="D111" i="1"/>
  <c r="B111" i="1"/>
  <c r="A111" i="3" s="1"/>
  <c r="A111" i="2" l="1"/>
  <c r="B110" i="3"/>
  <c r="B109" i="3"/>
  <c r="B110" i="2"/>
  <c r="C110" i="2"/>
  <c r="S110" i="2"/>
  <c r="Y110" i="2"/>
  <c r="Z110" i="1"/>
  <c r="AB110" i="1"/>
  <c r="AC110" i="1"/>
  <c r="AD110" i="1"/>
  <c r="AF110" i="1"/>
  <c r="D110" i="1"/>
  <c r="B110" i="1"/>
  <c r="A110" i="3" s="1"/>
  <c r="A110" i="2" l="1"/>
  <c r="AI109" i="1" l="1"/>
  <c r="AQ107" i="1"/>
  <c r="AQ108" i="1"/>
  <c r="AD109" i="1"/>
  <c r="B109" i="2" l="1"/>
  <c r="C109" i="2"/>
  <c r="S109" i="2"/>
  <c r="Y109" i="2"/>
  <c r="Z109" i="2"/>
  <c r="AF109" i="1"/>
  <c r="AB109" i="1"/>
  <c r="AC109" i="1"/>
  <c r="D109" i="1" l="1"/>
  <c r="B109" i="1"/>
  <c r="A109" i="3" l="1"/>
  <c r="A109" i="2"/>
  <c r="B108" i="3"/>
  <c r="B108" i="2"/>
  <c r="C108" i="2"/>
  <c r="S108" i="2"/>
  <c r="W108" i="2"/>
  <c r="Y108" i="2"/>
  <c r="Z108" i="2"/>
  <c r="Z108" i="1"/>
  <c r="AB108" i="1"/>
  <c r="AC108" i="1"/>
  <c r="AD108" i="1"/>
  <c r="AF108" i="1"/>
  <c r="D108" i="1"/>
  <c r="B108" i="1"/>
  <c r="A108" i="2" s="1"/>
  <c r="A108" i="3" l="1"/>
  <c r="B107" i="3"/>
  <c r="B107" i="2"/>
  <c r="C107" i="2"/>
  <c r="S107" i="2"/>
  <c r="W107" i="2"/>
  <c r="Y107" i="2"/>
  <c r="Z107" i="2"/>
  <c r="AF107" i="1"/>
  <c r="AB107" i="1"/>
  <c r="AC107" i="1"/>
  <c r="AD107" i="1"/>
  <c r="Z107" i="1"/>
  <c r="B107" i="1"/>
  <c r="A107" i="2" s="1"/>
  <c r="D107" i="1"/>
  <c r="A107" i="3" l="1"/>
  <c r="B106" i="3"/>
  <c r="B106" i="2"/>
  <c r="C106" i="2"/>
  <c r="S106" i="2"/>
  <c r="Y106" i="2"/>
  <c r="AF104" i="1"/>
  <c r="AF105" i="1"/>
  <c r="AF106" i="1"/>
  <c r="AB104" i="1"/>
  <c r="AB105" i="1"/>
  <c r="AB106" i="1"/>
  <c r="Z106" i="1"/>
  <c r="AC106" i="1"/>
  <c r="AD106" i="1"/>
  <c r="AP106" i="1"/>
  <c r="D106" i="1"/>
  <c r="B106" i="1"/>
  <c r="A106" i="3" s="1"/>
  <c r="A106" i="2" l="1"/>
  <c r="B105" i="3"/>
  <c r="AU105" i="3"/>
  <c r="AW105" i="3"/>
  <c r="B105" i="2"/>
  <c r="C105" i="2"/>
  <c r="S105" i="2"/>
  <c r="Y105" i="2"/>
  <c r="Z105" i="1"/>
  <c r="AC105" i="1"/>
  <c r="AD105" i="1"/>
  <c r="AE105" i="1"/>
  <c r="AH105" i="1"/>
  <c r="AP105" i="1"/>
  <c r="D105" i="1"/>
  <c r="B105" i="1"/>
  <c r="A105" i="3" s="1"/>
  <c r="A105" i="2" l="1"/>
  <c r="B103" i="3"/>
  <c r="B104" i="3"/>
  <c r="B104" i="2"/>
  <c r="C104" i="2"/>
  <c r="S104" i="2"/>
  <c r="Y104" i="2"/>
  <c r="Z104" i="1"/>
  <c r="AC104" i="1"/>
  <c r="AD104" i="1"/>
  <c r="AE104" i="1"/>
  <c r="AH104" i="1"/>
  <c r="AP104" i="1"/>
  <c r="B104" i="1"/>
  <c r="A104" i="3" s="1"/>
  <c r="A104" i="2" l="1"/>
  <c r="B102" i="3"/>
  <c r="AU102" i="3"/>
  <c r="AW102" i="3"/>
  <c r="AU103" i="3"/>
  <c r="AW103" i="3"/>
  <c r="B102" i="2"/>
  <c r="C102" i="2"/>
  <c r="S102" i="2"/>
  <c r="Y102" i="2"/>
  <c r="B103" i="2"/>
  <c r="C103" i="2"/>
  <c r="S103" i="2"/>
  <c r="Y103" i="2"/>
  <c r="B103" i="1"/>
  <c r="A103" i="3" s="1"/>
  <c r="B102" i="1"/>
  <c r="A102" i="3" s="1"/>
  <c r="Z102" i="1"/>
  <c r="Z103" i="1"/>
  <c r="AB102" i="1"/>
  <c r="AC102" i="1"/>
  <c r="AD102" i="1"/>
  <c r="AF102" i="1"/>
  <c r="AQ102" i="1"/>
  <c r="AN102" i="1"/>
  <c r="AP102" i="1"/>
  <c r="AK103" i="1"/>
  <c r="AC103" i="1"/>
  <c r="AD103" i="1"/>
  <c r="AE103" i="1"/>
  <c r="AO103" i="1"/>
  <c r="AH103" i="1"/>
  <c r="AP103" i="1"/>
  <c r="A103" i="2" l="1"/>
  <c r="A102" i="2"/>
  <c r="B101" i="3"/>
  <c r="B101" i="2"/>
  <c r="C101" i="2"/>
  <c r="S101" i="2"/>
  <c r="Y101" i="2"/>
  <c r="AP101" i="1"/>
  <c r="AH101" i="1"/>
  <c r="AF101" i="1"/>
  <c r="AE101" i="1"/>
  <c r="AD101" i="1"/>
  <c r="AC101" i="1"/>
  <c r="AB101" i="1"/>
  <c r="Z101" i="1"/>
  <c r="B101" i="1"/>
  <c r="A101" i="2" s="1"/>
  <c r="A101" i="3" l="1"/>
  <c r="B100" i="3"/>
  <c r="B100" i="2"/>
  <c r="C100" i="2"/>
  <c r="S100" i="2"/>
  <c r="Y100" i="2"/>
  <c r="AP100" i="1"/>
  <c r="AH100" i="1"/>
  <c r="AF100" i="1"/>
  <c r="AE100" i="1"/>
  <c r="AD100" i="1"/>
  <c r="AC100" i="1"/>
  <c r="AB100" i="1"/>
  <c r="Z100" i="1"/>
  <c r="B100" i="1"/>
  <c r="A100" i="3" s="1"/>
  <c r="A100" i="2" l="1"/>
  <c r="B99" i="3"/>
  <c r="B99" i="2"/>
  <c r="C99" i="2"/>
  <c r="S99" i="2"/>
  <c r="Y99" i="2"/>
  <c r="AP99" i="1"/>
  <c r="AH99" i="1"/>
  <c r="AF99" i="1"/>
  <c r="AE99" i="1"/>
  <c r="AD99" i="1"/>
  <c r="AC99" i="1"/>
  <c r="AB99" i="1"/>
  <c r="Z99" i="1"/>
  <c r="B99" i="1"/>
  <c r="A99" i="2" s="1"/>
  <c r="A99" i="3" l="1"/>
  <c r="B98" i="3"/>
  <c r="AU98" i="3"/>
  <c r="AW98" i="3"/>
  <c r="B98" i="2"/>
  <c r="C98" i="2"/>
  <c r="S98" i="2"/>
  <c r="Y98" i="2"/>
  <c r="AP98" i="1"/>
  <c r="AH98" i="1"/>
  <c r="AF98" i="1"/>
  <c r="AE98" i="1"/>
  <c r="AD98" i="1"/>
  <c r="AC98" i="1"/>
  <c r="AB98" i="1"/>
  <c r="Z98" i="1"/>
  <c r="B98" i="1"/>
  <c r="A98" i="3" s="1"/>
  <c r="B97" i="3"/>
  <c r="B97" i="2"/>
  <c r="C97" i="2"/>
  <c r="S97" i="2"/>
  <c r="Y97" i="2"/>
  <c r="Z97" i="1"/>
  <c r="AB97" i="1"/>
  <c r="AC97" i="1"/>
  <c r="AD97" i="1"/>
  <c r="AE97" i="1"/>
  <c r="AF97" i="1"/>
  <c r="AH97" i="1"/>
  <c r="AP97" i="1"/>
  <c r="B97" i="1"/>
  <c r="A97" i="3" s="1"/>
  <c r="A98" i="2" l="1"/>
  <c r="A97" i="2"/>
  <c r="B96" i="3"/>
  <c r="T90" i="2"/>
  <c r="V90" i="2"/>
  <c r="X90" i="2"/>
  <c r="S91" i="2"/>
  <c r="Y91" i="2"/>
  <c r="S92" i="2"/>
  <c r="Y92" i="2"/>
  <c r="S93" i="2"/>
  <c r="Y93" i="2"/>
  <c r="S94" i="2"/>
  <c r="Y94" i="2"/>
  <c r="S95" i="2"/>
  <c r="Y95" i="2"/>
  <c r="S96" i="2"/>
  <c r="Y96" i="2"/>
  <c r="B96" i="2"/>
  <c r="C96" i="2"/>
  <c r="AH96" i="1"/>
  <c r="AP96" i="1"/>
  <c r="Z96" i="1"/>
  <c r="AB96" i="1"/>
  <c r="AC96" i="1"/>
  <c r="AD96" i="1"/>
  <c r="AE96" i="1"/>
  <c r="AF96" i="1"/>
  <c r="B96" i="1"/>
  <c r="A96" i="3" s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B95" i="3"/>
  <c r="B93" i="3"/>
  <c r="T88" i="2"/>
  <c r="V88" i="2"/>
  <c r="X88" i="2"/>
  <c r="T89" i="2"/>
  <c r="V89" i="2"/>
  <c r="X89" i="2"/>
  <c r="B95" i="2"/>
  <c r="C95" i="2"/>
  <c r="B90" i="2"/>
  <c r="C90" i="2"/>
  <c r="B93" i="2"/>
  <c r="C93" i="2"/>
  <c r="BA90" i="1"/>
  <c r="AZ90" i="1"/>
  <c r="AY90" i="1"/>
  <c r="BA91" i="1"/>
  <c r="BA93" i="1" s="1"/>
  <c r="BA120" i="1" s="1"/>
  <c r="M120" i="3" s="1"/>
  <c r="AZ91" i="1"/>
  <c r="AZ93" i="1" s="1"/>
  <c r="AZ120" i="1" s="1"/>
  <c r="AY91" i="1"/>
  <c r="AY93" i="1" s="1"/>
  <c r="AY120" i="1" s="1"/>
  <c r="AP95" i="1"/>
  <c r="AH95" i="1"/>
  <c r="AF95" i="1"/>
  <c r="AE95" i="1"/>
  <c r="AD95" i="1"/>
  <c r="AC95" i="1"/>
  <c r="AB95" i="1"/>
  <c r="Z95" i="1"/>
  <c r="AP93" i="1"/>
  <c r="AJ93" i="1"/>
  <c r="AH93" i="1"/>
  <c r="AF93" i="1"/>
  <c r="AE93" i="1"/>
  <c r="AD93" i="1"/>
  <c r="AC93" i="1"/>
  <c r="AB93" i="1"/>
  <c r="Z93" i="1"/>
  <c r="B95" i="1"/>
  <c r="A95" i="2" s="1"/>
  <c r="B93" i="1"/>
  <c r="A93" i="3" s="1"/>
  <c r="AZ118" i="1" l="1"/>
  <c r="AZ119" i="1"/>
  <c r="AY118" i="1"/>
  <c r="AY119" i="1"/>
  <c r="BA119" i="1"/>
  <c r="M119" i="3" s="1"/>
  <c r="BA118" i="1"/>
  <c r="M118" i="3" s="1"/>
  <c r="AZ117" i="1"/>
  <c r="AZ116" i="1"/>
  <c r="AY117" i="1"/>
  <c r="AY116" i="1"/>
  <c r="BA117" i="1"/>
  <c r="M117" i="3" s="1"/>
  <c r="BA116" i="1"/>
  <c r="M116" i="3" s="1"/>
  <c r="BA97" i="1"/>
  <c r="M97" i="3" s="1"/>
  <c r="BA115" i="1"/>
  <c r="M115" i="3" s="1"/>
  <c r="BA114" i="1"/>
  <c r="M114" i="3" s="1"/>
  <c r="BA113" i="1"/>
  <c r="M113" i="3" s="1"/>
  <c r="BA112" i="1"/>
  <c r="M112" i="3" s="1"/>
  <c r="BA111" i="1"/>
  <c r="M111" i="3" s="1"/>
  <c r="BA110" i="1"/>
  <c r="M110" i="3" s="1"/>
  <c r="BA109" i="1"/>
  <c r="M109" i="3" s="1"/>
  <c r="BA108" i="1"/>
  <c r="M108" i="3" s="1"/>
  <c r="BA107" i="1"/>
  <c r="M107" i="3" s="1"/>
  <c r="BA105" i="1"/>
  <c r="M105" i="3" s="1"/>
  <c r="BA104" i="1"/>
  <c r="M104" i="3" s="1"/>
  <c r="BA106" i="1"/>
  <c r="M106" i="3" s="1"/>
  <c r="BA102" i="1"/>
  <c r="M102" i="3" s="1"/>
  <c r="BA101" i="1"/>
  <c r="M101" i="3" s="1"/>
  <c r="BA100" i="1"/>
  <c r="M100" i="3" s="1"/>
  <c r="BA99" i="1"/>
  <c r="M99" i="3" s="1"/>
  <c r="BA98" i="1"/>
  <c r="M98" i="3" s="1"/>
  <c r="AZ115" i="1"/>
  <c r="AZ114" i="1"/>
  <c r="AZ113" i="1"/>
  <c r="AZ112" i="1"/>
  <c r="AZ111" i="1"/>
  <c r="AZ110" i="1"/>
  <c r="AZ109" i="1"/>
  <c r="AZ108" i="1"/>
  <c r="AZ107" i="1"/>
  <c r="AZ104" i="1"/>
  <c r="AZ106" i="1"/>
  <c r="AZ105" i="1"/>
  <c r="AZ102" i="1"/>
  <c r="AZ101" i="1"/>
  <c r="AZ100" i="1"/>
  <c r="AZ99" i="1"/>
  <c r="AZ98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2" i="1"/>
  <c r="AY101" i="1"/>
  <c r="AY100" i="1"/>
  <c r="AY99" i="1"/>
  <c r="AY98" i="1"/>
  <c r="AY96" i="1"/>
  <c r="AZ95" i="1"/>
  <c r="AZ97" i="1"/>
  <c r="AY95" i="1"/>
  <c r="AY97" i="1"/>
  <c r="A96" i="2"/>
  <c r="BA96" i="1"/>
  <c r="M96" i="3" s="1"/>
  <c r="AZ96" i="1"/>
  <c r="M93" i="3"/>
  <c r="BA95" i="1"/>
  <c r="M95" i="3" s="1"/>
  <c r="A93" i="2"/>
  <c r="A95" i="3"/>
  <c r="M91" i="3"/>
  <c r="B91" i="3"/>
  <c r="B91" i="2"/>
  <c r="C91" i="2"/>
  <c r="DE91" i="1"/>
  <c r="DE93" i="1" s="1"/>
  <c r="DE120" i="1" s="1"/>
  <c r="DD91" i="1"/>
  <c r="DD93" i="1" s="1"/>
  <c r="DD120" i="1" s="1"/>
  <c r="AB120" i="3" s="1"/>
  <c r="DC91" i="1"/>
  <c r="DC93" i="1" s="1"/>
  <c r="DC120" i="1" s="1"/>
  <c r="AA120" i="3" s="1"/>
  <c r="DB91" i="1"/>
  <c r="DB93" i="1" s="1"/>
  <c r="DB120" i="1" s="1"/>
  <c r="DA91" i="1"/>
  <c r="DA93" i="1" s="1"/>
  <c r="DA120" i="1" s="1"/>
  <c r="X120" i="3" s="1"/>
  <c r="CZ91" i="1"/>
  <c r="CZ93" i="1" s="1"/>
  <c r="CZ120" i="1" s="1"/>
  <c r="W120" i="3" s="1"/>
  <c r="Z120" i="3" s="1"/>
  <c r="CY91" i="1"/>
  <c r="CY93" i="1" s="1"/>
  <c r="CY120" i="1" s="1"/>
  <c r="CX91" i="1"/>
  <c r="CX93" i="1" s="1"/>
  <c r="CX120" i="1" s="1"/>
  <c r="T120" i="3" s="1"/>
  <c r="CW91" i="1"/>
  <c r="CW93" i="1" s="1"/>
  <c r="CW120" i="1" s="1"/>
  <c r="S120" i="3" s="1"/>
  <c r="CV91" i="1"/>
  <c r="CV93" i="1" s="1"/>
  <c r="CV120" i="1" s="1"/>
  <c r="CU91" i="1"/>
  <c r="CU93" i="1" s="1"/>
  <c r="CU120" i="1" s="1"/>
  <c r="P120" i="3" s="1"/>
  <c r="CT91" i="1"/>
  <c r="CT93" i="1" s="1"/>
  <c r="CT120" i="1" s="1"/>
  <c r="O120" i="3" s="1"/>
  <c r="R120" i="3" s="1"/>
  <c r="CS91" i="1"/>
  <c r="CS93" i="1" s="1"/>
  <c r="CS120" i="1" s="1"/>
  <c r="CR91" i="1"/>
  <c r="CR93" i="1" s="1"/>
  <c r="CR120" i="1" s="1"/>
  <c r="L120" i="3" s="1"/>
  <c r="CQ91" i="1"/>
  <c r="CQ93" i="1" s="1"/>
  <c r="CQ120" i="1" s="1"/>
  <c r="K120" i="3" s="1"/>
  <c r="CM91" i="1"/>
  <c r="CM93" i="1" s="1"/>
  <c r="CM120" i="1" s="1"/>
  <c r="CL91" i="1"/>
  <c r="CL93" i="1" s="1"/>
  <c r="CL120" i="1" s="1"/>
  <c r="D120" i="3" s="1"/>
  <c r="CK91" i="1"/>
  <c r="CK93" i="1" s="1"/>
  <c r="CK120" i="1" s="1"/>
  <c r="C120" i="3" s="1"/>
  <c r="F120" i="3" s="1"/>
  <c r="BM91" i="1"/>
  <c r="BM93" i="1" s="1"/>
  <c r="BM120" i="1" s="1"/>
  <c r="AC120" i="3" s="1"/>
  <c r="BL91" i="1"/>
  <c r="BL93" i="1" s="1"/>
  <c r="BL120" i="1" s="1"/>
  <c r="BK91" i="1"/>
  <c r="BK93" i="1" s="1"/>
  <c r="BK120" i="1" s="1"/>
  <c r="BJ91" i="1"/>
  <c r="BJ93" i="1" s="1"/>
  <c r="BJ120" i="1" s="1"/>
  <c r="Y120" i="3" s="1"/>
  <c r="BI91" i="1"/>
  <c r="BI93" i="1" s="1"/>
  <c r="BI120" i="1" s="1"/>
  <c r="BH91" i="1"/>
  <c r="BH93" i="1" s="1"/>
  <c r="BH120" i="1" s="1"/>
  <c r="BG91" i="1"/>
  <c r="BG93" i="1" s="1"/>
  <c r="BG120" i="1" s="1"/>
  <c r="U120" i="3" s="1"/>
  <c r="BF91" i="1"/>
  <c r="BF93" i="1" s="1"/>
  <c r="BF120" i="1" s="1"/>
  <c r="BE91" i="1"/>
  <c r="BE93" i="1" s="1"/>
  <c r="BE120" i="1" s="1"/>
  <c r="BD91" i="1"/>
  <c r="BD93" i="1" s="1"/>
  <c r="BD120" i="1" s="1"/>
  <c r="Q120" i="3" s="1"/>
  <c r="BC91" i="1"/>
  <c r="BC93" i="1" s="1"/>
  <c r="BC120" i="1" s="1"/>
  <c r="BB91" i="1"/>
  <c r="BB93" i="1" s="1"/>
  <c r="BB120" i="1" s="1"/>
  <c r="AU91" i="1"/>
  <c r="AU93" i="1" s="1"/>
  <c r="AU120" i="1" s="1"/>
  <c r="E120" i="3" s="1"/>
  <c r="AT91" i="1"/>
  <c r="AT93" i="1" s="1"/>
  <c r="AT120" i="1" s="1"/>
  <c r="AS91" i="1"/>
  <c r="AS93" i="1" s="1"/>
  <c r="AS120" i="1" s="1"/>
  <c r="AP91" i="1"/>
  <c r="AJ91" i="1"/>
  <c r="AH91" i="1"/>
  <c r="AF91" i="1"/>
  <c r="AE91" i="1"/>
  <c r="AD91" i="1"/>
  <c r="AC91" i="1"/>
  <c r="AB91" i="1"/>
  <c r="Z91" i="1"/>
  <c r="B91" i="1"/>
  <c r="A91" i="2" s="1"/>
  <c r="N120" i="3" l="1"/>
  <c r="V120" i="3"/>
  <c r="AD120" i="3"/>
  <c r="DB119" i="1"/>
  <c r="DB118" i="1"/>
  <c r="AU119" i="1"/>
  <c r="E119" i="3" s="1"/>
  <c r="AU118" i="1"/>
  <c r="E118" i="3" s="1"/>
  <c r="BE119" i="1"/>
  <c r="BE118" i="1"/>
  <c r="BI119" i="1"/>
  <c r="BI118" i="1"/>
  <c r="BM119" i="1"/>
  <c r="AC119" i="3" s="1"/>
  <c r="BM118" i="1"/>
  <c r="AC118" i="3" s="1"/>
  <c r="CQ118" i="1"/>
  <c r="K118" i="3" s="1"/>
  <c r="CQ119" i="1"/>
  <c r="K119" i="3" s="1"/>
  <c r="N119" i="3" s="1"/>
  <c r="CU118" i="1"/>
  <c r="P118" i="3" s="1"/>
  <c r="CU119" i="1"/>
  <c r="P119" i="3" s="1"/>
  <c r="CY118" i="1"/>
  <c r="CY119" i="1"/>
  <c r="DC118" i="1"/>
  <c r="AA118" i="3" s="1"/>
  <c r="DC119" i="1"/>
  <c r="AA119" i="3" s="1"/>
  <c r="AD119" i="3" s="1"/>
  <c r="AS118" i="1"/>
  <c r="AS119" i="1"/>
  <c r="BC119" i="1"/>
  <c r="BC118" i="1"/>
  <c r="BG118" i="1"/>
  <c r="U118" i="3" s="1"/>
  <c r="BG119" i="1"/>
  <c r="U119" i="3" s="1"/>
  <c r="BK119" i="1"/>
  <c r="BK118" i="1"/>
  <c r="CL119" i="1"/>
  <c r="D119" i="3" s="1"/>
  <c r="CL118" i="1"/>
  <c r="D118" i="3" s="1"/>
  <c r="CS119" i="1"/>
  <c r="CS118" i="1"/>
  <c r="CW119" i="1"/>
  <c r="S119" i="3" s="1"/>
  <c r="CW118" i="1"/>
  <c r="S118" i="3" s="1"/>
  <c r="DA119" i="1"/>
  <c r="X119" i="3" s="1"/>
  <c r="DA118" i="1"/>
  <c r="X118" i="3" s="1"/>
  <c r="DE119" i="1"/>
  <c r="DE118" i="1"/>
  <c r="AT118" i="1"/>
  <c r="AT119" i="1"/>
  <c r="BD118" i="1"/>
  <c r="Q118" i="3" s="1"/>
  <c r="BD119" i="1"/>
  <c r="Q119" i="3" s="1"/>
  <c r="BH118" i="1"/>
  <c r="BH119" i="1"/>
  <c r="BL118" i="1"/>
  <c r="BL119" i="1"/>
  <c r="CM119" i="1"/>
  <c r="CM118" i="1"/>
  <c r="CT119" i="1"/>
  <c r="O119" i="3" s="1"/>
  <c r="CT118" i="1"/>
  <c r="O118" i="3" s="1"/>
  <c r="CX119" i="1"/>
  <c r="T119" i="3" s="1"/>
  <c r="CX118" i="1"/>
  <c r="T118" i="3" s="1"/>
  <c r="BB119" i="1"/>
  <c r="BB118" i="1"/>
  <c r="BF119" i="1"/>
  <c r="BF118" i="1"/>
  <c r="BJ119" i="1"/>
  <c r="Y119" i="3" s="1"/>
  <c r="BJ118" i="1"/>
  <c r="Y118" i="3" s="1"/>
  <c r="CK119" i="1"/>
  <c r="C119" i="3" s="1"/>
  <c r="CK118" i="1"/>
  <c r="C118" i="3" s="1"/>
  <c r="CR119" i="1"/>
  <c r="L119" i="3" s="1"/>
  <c r="CR118" i="1"/>
  <c r="L118" i="3" s="1"/>
  <c r="CV119" i="1"/>
  <c r="CV118" i="1"/>
  <c r="CZ119" i="1"/>
  <c r="W119" i="3" s="1"/>
  <c r="CZ118" i="1"/>
  <c r="W118" i="3" s="1"/>
  <c r="Z118" i="3" s="1"/>
  <c r="DD119" i="1"/>
  <c r="AB119" i="3" s="1"/>
  <c r="DD118" i="1"/>
  <c r="AB118" i="3" s="1"/>
  <c r="AU116" i="1"/>
  <c r="E116" i="3" s="1"/>
  <c r="AU117" i="1"/>
  <c r="E117" i="3" s="1"/>
  <c r="BM117" i="1"/>
  <c r="AC117" i="3" s="1"/>
  <c r="BM116" i="1"/>
  <c r="AC116" i="3" s="1"/>
  <c r="CU116" i="1"/>
  <c r="P116" i="3" s="1"/>
  <c r="CU117" i="1"/>
  <c r="P117" i="3" s="1"/>
  <c r="DC116" i="1"/>
  <c r="AA116" i="3" s="1"/>
  <c r="DC117" i="1"/>
  <c r="AA117" i="3" s="1"/>
  <c r="BB116" i="1"/>
  <c r="BB117" i="1"/>
  <c r="BJ116" i="1"/>
  <c r="Y116" i="3" s="1"/>
  <c r="BJ117" i="1"/>
  <c r="Y117" i="3" s="1"/>
  <c r="CR117" i="1"/>
  <c r="L117" i="3" s="1"/>
  <c r="CR116" i="1"/>
  <c r="L116" i="3" s="1"/>
  <c r="CV117" i="1"/>
  <c r="CV116" i="1"/>
  <c r="DD117" i="1"/>
  <c r="AB117" i="3" s="1"/>
  <c r="DD116" i="1"/>
  <c r="AB116" i="3" s="1"/>
  <c r="AS117" i="1"/>
  <c r="AS116" i="1"/>
  <c r="BC117" i="1"/>
  <c r="BC116" i="1"/>
  <c r="BG117" i="1"/>
  <c r="U117" i="3" s="1"/>
  <c r="BG116" i="1"/>
  <c r="U116" i="3" s="1"/>
  <c r="BK117" i="1"/>
  <c r="BK116" i="1"/>
  <c r="CL117" i="1"/>
  <c r="D117" i="3" s="1"/>
  <c r="CL116" i="1"/>
  <c r="D116" i="3" s="1"/>
  <c r="CS117" i="1"/>
  <c r="CS116" i="1"/>
  <c r="CW117" i="1"/>
  <c r="S117" i="3" s="1"/>
  <c r="CW116" i="1"/>
  <c r="S116" i="3" s="1"/>
  <c r="DA117" i="1"/>
  <c r="X117" i="3" s="1"/>
  <c r="DA116" i="1"/>
  <c r="X116" i="3" s="1"/>
  <c r="DE117" i="1"/>
  <c r="DE116" i="1"/>
  <c r="BE117" i="1"/>
  <c r="BE116" i="1"/>
  <c r="BI117" i="1"/>
  <c r="BI116" i="1"/>
  <c r="CQ116" i="1"/>
  <c r="K116" i="3" s="1"/>
  <c r="CQ117" i="1"/>
  <c r="K117" i="3" s="1"/>
  <c r="N117" i="3" s="1"/>
  <c r="CY116" i="1"/>
  <c r="CY117" i="1"/>
  <c r="BF116" i="1"/>
  <c r="BF117" i="1"/>
  <c r="CK117" i="1"/>
  <c r="C117" i="3" s="1"/>
  <c r="CK116" i="1"/>
  <c r="C116" i="3" s="1"/>
  <c r="CZ117" i="1"/>
  <c r="W117" i="3" s="1"/>
  <c r="CZ116" i="1"/>
  <c r="W116" i="3" s="1"/>
  <c r="AT117" i="1"/>
  <c r="AT116" i="1"/>
  <c r="BD117" i="1"/>
  <c r="Q117" i="3" s="1"/>
  <c r="BD116" i="1"/>
  <c r="Q116" i="3" s="1"/>
  <c r="BH117" i="1"/>
  <c r="BH116" i="1"/>
  <c r="BL116" i="1"/>
  <c r="BL117" i="1"/>
  <c r="CM117" i="1"/>
  <c r="CM116" i="1"/>
  <c r="CT117" i="1"/>
  <c r="O117" i="3" s="1"/>
  <c r="CT116" i="1"/>
  <c r="O116" i="3" s="1"/>
  <c r="R116" i="3" s="1"/>
  <c r="CX117" i="1"/>
  <c r="T117" i="3" s="1"/>
  <c r="CX116" i="1"/>
  <c r="T116" i="3" s="1"/>
  <c r="DB117" i="1"/>
  <c r="DB116" i="1"/>
  <c r="AU115" i="1"/>
  <c r="E115" i="3" s="1"/>
  <c r="AU114" i="1"/>
  <c r="E114" i="3" s="1"/>
  <c r="AU113" i="1"/>
  <c r="E113" i="3" s="1"/>
  <c r="AU112" i="1"/>
  <c r="E112" i="3" s="1"/>
  <c r="AU111" i="1"/>
  <c r="E111" i="3" s="1"/>
  <c r="AU110" i="1"/>
  <c r="E110" i="3" s="1"/>
  <c r="AU108" i="1"/>
  <c r="E108" i="3" s="1"/>
  <c r="AU107" i="1"/>
  <c r="E107" i="3" s="1"/>
  <c r="AU106" i="1"/>
  <c r="E106" i="3" s="1"/>
  <c r="AU105" i="1"/>
  <c r="E105" i="3" s="1"/>
  <c r="AU104" i="1"/>
  <c r="E104" i="3" s="1"/>
  <c r="AU102" i="1"/>
  <c r="E102" i="3" s="1"/>
  <c r="AU103" i="1"/>
  <c r="E103" i="3" s="1"/>
  <c r="AU101" i="1"/>
  <c r="E101" i="3" s="1"/>
  <c r="AU100" i="1"/>
  <c r="E100" i="3" s="1"/>
  <c r="AU99" i="1"/>
  <c r="E99" i="3" s="1"/>
  <c r="AU98" i="1"/>
  <c r="E98" i="3" s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2" i="1"/>
  <c r="BE103" i="1"/>
  <c r="BE101" i="1"/>
  <c r="BE100" i="1"/>
  <c r="BE99" i="1"/>
  <c r="BE98" i="1"/>
  <c r="BI115" i="1"/>
  <c r="BI114" i="1"/>
  <c r="BI112" i="1"/>
  <c r="BI111" i="1"/>
  <c r="BI110" i="1"/>
  <c r="BI109" i="1"/>
  <c r="BI108" i="1"/>
  <c r="BI107" i="1"/>
  <c r="BI106" i="1"/>
  <c r="BI105" i="1"/>
  <c r="BI104" i="1"/>
  <c r="BI102" i="1"/>
  <c r="BI103" i="1"/>
  <c r="BI101" i="1"/>
  <c r="BI100" i="1"/>
  <c r="BI99" i="1"/>
  <c r="BI98" i="1"/>
  <c r="BM115" i="1"/>
  <c r="AC115" i="3" s="1"/>
  <c r="BM112" i="1"/>
  <c r="AC112" i="3" s="1"/>
  <c r="BM111" i="1"/>
  <c r="AC111" i="3" s="1"/>
  <c r="BM110" i="1"/>
  <c r="AC110" i="3" s="1"/>
  <c r="BM109" i="1"/>
  <c r="AC109" i="3" s="1"/>
  <c r="BM105" i="1"/>
  <c r="AC105" i="3" s="1"/>
  <c r="BM104" i="1"/>
  <c r="AC104" i="3" s="1"/>
  <c r="BM103" i="1"/>
  <c r="AC103" i="3" s="1"/>
  <c r="BM101" i="1"/>
  <c r="AC101" i="3" s="1"/>
  <c r="BM100" i="1"/>
  <c r="AC100" i="3" s="1"/>
  <c r="BM99" i="1"/>
  <c r="AC99" i="3" s="1"/>
  <c r="BM98" i="1"/>
  <c r="AC98" i="3" s="1"/>
  <c r="CQ115" i="1"/>
  <c r="K115" i="3" s="1"/>
  <c r="CQ114" i="1"/>
  <c r="K114" i="3" s="1"/>
  <c r="CQ113" i="1"/>
  <c r="K113" i="3" s="1"/>
  <c r="CQ112" i="1"/>
  <c r="K112" i="3" s="1"/>
  <c r="CQ111" i="1"/>
  <c r="K111" i="3" s="1"/>
  <c r="CQ110" i="1"/>
  <c r="K110" i="3" s="1"/>
  <c r="CQ109" i="1"/>
  <c r="K109" i="3" s="1"/>
  <c r="CQ108" i="1"/>
  <c r="K108" i="3" s="1"/>
  <c r="CQ107" i="1"/>
  <c r="K107" i="3" s="1"/>
  <c r="CQ106" i="1"/>
  <c r="K106" i="3" s="1"/>
  <c r="CQ105" i="1"/>
  <c r="K105" i="3" s="1"/>
  <c r="CQ104" i="1"/>
  <c r="K104" i="3" s="1"/>
  <c r="CQ102" i="1"/>
  <c r="K102" i="3" s="1"/>
  <c r="CQ101" i="1"/>
  <c r="K101" i="3" s="1"/>
  <c r="CQ100" i="1"/>
  <c r="K100" i="3" s="1"/>
  <c r="CQ99" i="1"/>
  <c r="K99" i="3" s="1"/>
  <c r="CQ98" i="1"/>
  <c r="K98" i="3" s="1"/>
  <c r="CU115" i="1"/>
  <c r="P115" i="3" s="1"/>
  <c r="CU114" i="1"/>
  <c r="P114" i="3" s="1"/>
  <c r="CU113" i="1"/>
  <c r="P113" i="3" s="1"/>
  <c r="CU112" i="1"/>
  <c r="P112" i="3" s="1"/>
  <c r="CU111" i="1"/>
  <c r="P111" i="3" s="1"/>
  <c r="CU110" i="1"/>
  <c r="P110" i="3" s="1"/>
  <c r="CU109" i="1"/>
  <c r="P109" i="3" s="1"/>
  <c r="CU108" i="1"/>
  <c r="P108" i="3" s="1"/>
  <c r="CU107" i="1"/>
  <c r="P107" i="3" s="1"/>
  <c r="CU106" i="1"/>
  <c r="P106" i="3" s="1"/>
  <c r="CU105" i="1"/>
  <c r="P105" i="3" s="1"/>
  <c r="CU104" i="1"/>
  <c r="P104" i="3" s="1"/>
  <c r="CU103" i="1"/>
  <c r="P103" i="3" s="1"/>
  <c r="CU102" i="1"/>
  <c r="P102" i="3" s="1"/>
  <c r="CU101" i="1"/>
  <c r="P101" i="3" s="1"/>
  <c r="CU100" i="1"/>
  <c r="P100" i="3" s="1"/>
  <c r="CU99" i="1"/>
  <c r="P99" i="3" s="1"/>
  <c r="CU98" i="1"/>
  <c r="P98" i="3" s="1"/>
  <c r="CY115" i="1"/>
  <c r="CY114" i="1"/>
  <c r="CY113" i="1"/>
  <c r="CY112" i="1"/>
  <c r="CY111" i="1"/>
  <c r="CY110" i="1"/>
  <c r="CY109" i="1"/>
  <c r="CY108" i="1"/>
  <c r="CY107" i="1"/>
  <c r="CY106" i="1"/>
  <c r="CY105" i="1"/>
  <c r="CY104" i="1"/>
  <c r="CY103" i="1"/>
  <c r="CY102" i="1"/>
  <c r="CY101" i="1"/>
  <c r="CY100" i="1"/>
  <c r="CY99" i="1"/>
  <c r="CY98" i="1"/>
  <c r="DC115" i="1"/>
  <c r="AA115" i="3" s="1"/>
  <c r="DC112" i="1"/>
  <c r="AA112" i="3" s="1"/>
  <c r="DC111" i="1"/>
  <c r="AA111" i="3" s="1"/>
  <c r="DC110" i="1"/>
  <c r="AA110" i="3" s="1"/>
  <c r="DC109" i="1"/>
  <c r="AA109" i="3" s="1"/>
  <c r="DC105" i="1"/>
  <c r="AA105" i="3" s="1"/>
  <c r="DC104" i="1"/>
  <c r="AA104" i="3" s="1"/>
  <c r="DC103" i="1"/>
  <c r="AA103" i="3" s="1"/>
  <c r="DC101" i="1"/>
  <c r="AA101" i="3" s="1"/>
  <c r="DC100" i="1"/>
  <c r="AA100" i="3" s="1"/>
  <c r="DC99" i="1"/>
  <c r="AA99" i="3" s="1"/>
  <c r="DC98" i="1"/>
  <c r="AA98" i="3" s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2" i="1"/>
  <c r="BB103" i="1"/>
  <c r="BB101" i="1"/>
  <c r="BB100" i="1"/>
  <c r="BB99" i="1"/>
  <c r="BB98" i="1"/>
  <c r="BF115" i="1"/>
  <c r="BF114" i="1"/>
  <c r="BF113" i="1"/>
  <c r="BF112" i="1"/>
  <c r="BF111" i="1"/>
  <c r="BF110" i="1"/>
  <c r="BF109" i="1"/>
  <c r="BF108" i="1"/>
  <c r="BF107" i="1"/>
  <c r="BF106" i="1"/>
  <c r="BF105" i="1"/>
  <c r="BF104" i="1"/>
  <c r="BF102" i="1"/>
  <c r="BF103" i="1"/>
  <c r="BF101" i="1"/>
  <c r="BF100" i="1"/>
  <c r="BF99" i="1"/>
  <c r="BF98" i="1"/>
  <c r="BJ115" i="1"/>
  <c r="Y115" i="3" s="1"/>
  <c r="BJ114" i="1"/>
  <c r="Y114" i="3" s="1"/>
  <c r="BJ112" i="1"/>
  <c r="Y112" i="3" s="1"/>
  <c r="BJ111" i="1"/>
  <c r="Y111" i="3" s="1"/>
  <c r="BJ110" i="1"/>
  <c r="Y110" i="3" s="1"/>
  <c r="BJ109" i="1"/>
  <c r="Y109" i="3" s="1"/>
  <c r="BJ108" i="1"/>
  <c r="Y108" i="3" s="1"/>
  <c r="BJ107" i="1"/>
  <c r="Y107" i="3" s="1"/>
  <c r="BJ106" i="1"/>
  <c r="Y106" i="3" s="1"/>
  <c r="BJ105" i="1"/>
  <c r="Y105" i="3" s="1"/>
  <c r="BJ104" i="1"/>
  <c r="Y104" i="3" s="1"/>
  <c r="BJ102" i="1"/>
  <c r="Y102" i="3" s="1"/>
  <c r="BJ103" i="1"/>
  <c r="Y103" i="3" s="1"/>
  <c r="BJ101" i="1"/>
  <c r="Y101" i="3" s="1"/>
  <c r="BJ100" i="1"/>
  <c r="Y100" i="3" s="1"/>
  <c r="BJ99" i="1"/>
  <c r="Y99" i="3" s="1"/>
  <c r="BJ98" i="1"/>
  <c r="Y98" i="3" s="1"/>
  <c r="CK115" i="1"/>
  <c r="C115" i="3" s="1"/>
  <c r="CK114" i="1"/>
  <c r="C114" i="3" s="1"/>
  <c r="CK113" i="1"/>
  <c r="C113" i="3" s="1"/>
  <c r="CK112" i="1"/>
  <c r="C112" i="3" s="1"/>
  <c r="CK111" i="1"/>
  <c r="C111" i="3" s="1"/>
  <c r="CK110" i="1"/>
  <c r="C110" i="3" s="1"/>
  <c r="CK108" i="1"/>
  <c r="C108" i="3" s="1"/>
  <c r="CK107" i="1"/>
  <c r="C107" i="3" s="1"/>
  <c r="CK106" i="1"/>
  <c r="C106" i="3" s="1"/>
  <c r="CK105" i="1"/>
  <c r="C105" i="3" s="1"/>
  <c r="CK104" i="1"/>
  <c r="C104" i="3" s="1"/>
  <c r="CK103" i="1"/>
  <c r="C103" i="3" s="1"/>
  <c r="CK102" i="1"/>
  <c r="C102" i="3" s="1"/>
  <c r="CK101" i="1"/>
  <c r="C101" i="3" s="1"/>
  <c r="CK100" i="1"/>
  <c r="C100" i="3" s="1"/>
  <c r="CK99" i="1"/>
  <c r="C99" i="3" s="1"/>
  <c r="CK98" i="1"/>
  <c r="C98" i="3" s="1"/>
  <c r="CR115" i="1"/>
  <c r="L115" i="3" s="1"/>
  <c r="CR114" i="1"/>
  <c r="L114" i="3" s="1"/>
  <c r="CR113" i="1"/>
  <c r="L113" i="3" s="1"/>
  <c r="CR112" i="1"/>
  <c r="L112" i="3" s="1"/>
  <c r="CR111" i="1"/>
  <c r="L111" i="3" s="1"/>
  <c r="CR110" i="1"/>
  <c r="L110" i="3" s="1"/>
  <c r="CR109" i="1"/>
  <c r="L109" i="3" s="1"/>
  <c r="CR108" i="1"/>
  <c r="L108" i="3" s="1"/>
  <c r="CR107" i="1"/>
  <c r="L107" i="3" s="1"/>
  <c r="CR106" i="1"/>
  <c r="L106" i="3" s="1"/>
  <c r="CR105" i="1"/>
  <c r="L105" i="3" s="1"/>
  <c r="CR104" i="1"/>
  <c r="L104" i="3" s="1"/>
  <c r="CR102" i="1"/>
  <c r="L102" i="3" s="1"/>
  <c r="CR101" i="1"/>
  <c r="L101" i="3" s="1"/>
  <c r="CR100" i="1"/>
  <c r="L100" i="3" s="1"/>
  <c r="CR99" i="1"/>
  <c r="L99" i="3" s="1"/>
  <c r="CR98" i="1"/>
  <c r="L98" i="3" s="1"/>
  <c r="CV115" i="1"/>
  <c r="CV114" i="1"/>
  <c r="CV113" i="1"/>
  <c r="CV112" i="1"/>
  <c r="CV111" i="1"/>
  <c r="CV110" i="1"/>
  <c r="CV109" i="1"/>
  <c r="CV108" i="1"/>
  <c r="CV107" i="1"/>
  <c r="CV106" i="1"/>
  <c r="CV105" i="1"/>
  <c r="CV104" i="1"/>
  <c r="CV103" i="1"/>
  <c r="CV102" i="1"/>
  <c r="CV101" i="1"/>
  <c r="CV100" i="1"/>
  <c r="CV99" i="1"/>
  <c r="CV98" i="1"/>
  <c r="CZ115" i="1"/>
  <c r="W115" i="3" s="1"/>
  <c r="CZ114" i="1"/>
  <c r="W114" i="3" s="1"/>
  <c r="CZ112" i="1"/>
  <c r="W112" i="3" s="1"/>
  <c r="CZ109" i="1"/>
  <c r="W109" i="3" s="1"/>
  <c r="CZ111" i="1"/>
  <c r="W111" i="3" s="1"/>
  <c r="CZ110" i="1"/>
  <c r="W110" i="3" s="1"/>
  <c r="CZ108" i="1"/>
  <c r="W108" i="3" s="1"/>
  <c r="CZ107" i="1"/>
  <c r="W107" i="3" s="1"/>
  <c r="CZ106" i="1"/>
  <c r="W106" i="3" s="1"/>
  <c r="CZ105" i="1"/>
  <c r="W105" i="3" s="1"/>
  <c r="CZ104" i="1"/>
  <c r="W104" i="3" s="1"/>
  <c r="CZ103" i="1"/>
  <c r="W103" i="3" s="1"/>
  <c r="CZ102" i="1"/>
  <c r="W102" i="3" s="1"/>
  <c r="CZ101" i="1"/>
  <c r="W101" i="3" s="1"/>
  <c r="CZ100" i="1"/>
  <c r="W100" i="3" s="1"/>
  <c r="CZ99" i="1"/>
  <c r="W99" i="3" s="1"/>
  <c r="CZ98" i="1"/>
  <c r="W98" i="3" s="1"/>
  <c r="DD115" i="1"/>
  <c r="AB115" i="3" s="1"/>
  <c r="DD112" i="1"/>
  <c r="AB112" i="3" s="1"/>
  <c r="DD111" i="1"/>
  <c r="AB111" i="3" s="1"/>
  <c r="DD110" i="1"/>
  <c r="AB110" i="3" s="1"/>
  <c r="DD109" i="1"/>
  <c r="AB109" i="3" s="1"/>
  <c r="DD105" i="1"/>
  <c r="AB105" i="3" s="1"/>
  <c r="DD104" i="1"/>
  <c r="AB104" i="3" s="1"/>
  <c r="DD103" i="1"/>
  <c r="AB103" i="3" s="1"/>
  <c r="DD101" i="1"/>
  <c r="AB101" i="3" s="1"/>
  <c r="DD100" i="1"/>
  <c r="AB100" i="3" s="1"/>
  <c r="DD99" i="1"/>
  <c r="AB99" i="3" s="1"/>
  <c r="DD98" i="1"/>
  <c r="AB98" i="3" s="1"/>
  <c r="AB91" i="3"/>
  <c r="AS115" i="1"/>
  <c r="AS114" i="1"/>
  <c r="AS113" i="1"/>
  <c r="AS112" i="1"/>
  <c r="AS111" i="1"/>
  <c r="AS110" i="1"/>
  <c r="AS108" i="1"/>
  <c r="AS107" i="1"/>
  <c r="AS106" i="1"/>
  <c r="AS105" i="1"/>
  <c r="AS104" i="1"/>
  <c r="AS103" i="1"/>
  <c r="AS102" i="1"/>
  <c r="AS101" i="1"/>
  <c r="AS100" i="1"/>
  <c r="AS99" i="1"/>
  <c r="AS98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2" i="1"/>
  <c r="BC103" i="1"/>
  <c r="BC101" i="1"/>
  <c r="BC100" i="1"/>
  <c r="BC99" i="1"/>
  <c r="BC98" i="1"/>
  <c r="BG115" i="1"/>
  <c r="U115" i="3" s="1"/>
  <c r="BG114" i="1"/>
  <c r="U114" i="3" s="1"/>
  <c r="BG113" i="1"/>
  <c r="U113" i="3" s="1"/>
  <c r="BG112" i="1"/>
  <c r="U112" i="3" s="1"/>
  <c r="BG111" i="1"/>
  <c r="U111" i="3" s="1"/>
  <c r="BG110" i="1"/>
  <c r="U110" i="3" s="1"/>
  <c r="BG109" i="1"/>
  <c r="U109" i="3" s="1"/>
  <c r="BG108" i="1"/>
  <c r="U108" i="3" s="1"/>
  <c r="BG107" i="1"/>
  <c r="U107" i="3" s="1"/>
  <c r="BG106" i="1"/>
  <c r="U106" i="3" s="1"/>
  <c r="BG105" i="1"/>
  <c r="U105" i="3" s="1"/>
  <c r="BG104" i="1"/>
  <c r="U104" i="3" s="1"/>
  <c r="BG102" i="1"/>
  <c r="U102" i="3" s="1"/>
  <c r="BG103" i="1"/>
  <c r="U103" i="3" s="1"/>
  <c r="BG101" i="1"/>
  <c r="U101" i="3" s="1"/>
  <c r="BG100" i="1"/>
  <c r="U100" i="3" s="1"/>
  <c r="BG99" i="1"/>
  <c r="U99" i="3" s="1"/>
  <c r="BG98" i="1"/>
  <c r="U98" i="3" s="1"/>
  <c r="BK115" i="1"/>
  <c r="BK112" i="1"/>
  <c r="BK111" i="1"/>
  <c r="BK109" i="1"/>
  <c r="BK110" i="1"/>
  <c r="BK105" i="1"/>
  <c r="BK104" i="1"/>
  <c r="BK103" i="1"/>
  <c r="BK101" i="1"/>
  <c r="BK100" i="1"/>
  <c r="BK99" i="1"/>
  <c r="BK98" i="1"/>
  <c r="CL115" i="1"/>
  <c r="D115" i="3" s="1"/>
  <c r="CL114" i="1"/>
  <c r="D114" i="3" s="1"/>
  <c r="CL113" i="1"/>
  <c r="D113" i="3" s="1"/>
  <c r="CL112" i="1"/>
  <c r="D112" i="3" s="1"/>
  <c r="CL111" i="1"/>
  <c r="D111" i="3" s="1"/>
  <c r="CL110" i="1"/>
  <c r="D110" i="3" s="1"/>
  <c r="CL108" i="1"/>
  <c r="D108" i="3" s="1"/>
  <c r="CL107" i="1"/>
  <c r="D107" i="3" s="1"/>
  <c r="CL106" i="1"/>
  <c r="D106" i="3" s="1"/>
  <c r="CL105" i="1"/>
  <c r="D105" i="3" s="1"/>
  <c r="CL104" i="1"/>
  <c r="D104" i="3" s="1"/>
  <c r="CL102" i="1"/>
  <c r="D102" i="3" s="1"/>
  <c r="CL103" i="1"/>
  <c r="D103" i="3" s="1"/>
  <c r="CL101" i="1"/>
  <c r="D101" i="3" s="1"/>
  <c r="CL100" i="1"/>
  <c r="D100" i="3" s="1"/>
  <c r="CL99" i="1"/>
  <c r="D99" i="3" s="1"/>
  <c r="CL98" i="1"/>
  <c r="D98" i="3" s="1"/>
  <c r="CS115" i="1"/>
  <c r="CS114" i="1"/>
  <c r="CS113" i="1"/>
  <c r="CS112" i="1"/>
  <c r="CS111" i="1"/>
  <c r="CS110" i="1"/>
  <c r="CS109" i="1"/>
  <c r="CS108" i="1"/>
  <c r="CS107" i="1"/>
  <c r="CS106" i="1"/>
  <c r="CS105" i="1"/>
  <c r="CS104" i="1"/>
  <c r="CS102" i="1"/>
  <c r="CS101" i="1"/>
  <c r="CS100" i="1"/>
  <c r="CS99" i="1"/>
  <c r="CS98" i="1"/>
  <c r="CW115" i="1"/>
  <c r="S115" i="3" s="1"/>
  <c r="CW114" i="1"/>
  <c r="S114" i="3" s="1"/>
  <c r="CW113" i="1"/>
  <c r="S113" i="3" s="1"/>
  <c r="CW112" i="1"/>
  <c r="S112" i="3" s="1"/>
  <c r="CW111" i="1"/>
  <c r="S111" i="3" s="1"/>
  <c r="CW110" i="1"/>
  <c r="S110" i="3" s="1"/>
  <c r="CW109" i="1"/>
  <c r="S109" i="3" s="1"/>
  <c r="CW108" i="1"/>
  <c r="S108" i="3" s="1"/>
  <c r="CW107" i="1"/>
  <c r="S107" i="3" s="1"/>
  <c r="CW106" i="1"/>
  <c r="S106" i="3" s="1"/>
  <c r="CW105" i="1"/>
  <c r="S105" i="3" s="1"/>
  <c r="CW104" i="1"/>
  <c r="S104" i="3" s="1"/>
  <c r="CW103" i="1"/>
  <c r="S103" i="3" s="1"/>
  <c r="CW102" i="1"/>
  <c r="S102" i="3" s="1"/>
  <c r="CW101" i="1"/>
  <c r="S101" i="3" s="1"/>
  <c r="CW100" i="1"/>
  <c r="S100" i="3" s="1"/>
  <c r="CW99" i="1"/>
  <c r="S99" i="3" s="1"/>
  <c r="CW98" i="1"/>
  <c r="S98" i="3" s="1"/>
  <c r="DA115" i="1"/>
  <c r="X115" i="3" s="1"/>
  <c r="DA114" i="1"/>
  <c r="X114" i="3" s="1"/>
  <c r="DA112" i="1"/>
  <c r="X112" i="3" s="1"/>
  <c r="DA109" i="1"/>
  <c r="X109" i="3" s="1"/>
  <c r="DA110" i="1"/>
  <c r="X110" i="3" s="1"/>
  <c r="DA111" i="1"/>
  <c r="X111" i="3" s="1"/>
  <c r="DA108" i="1"/>
  <c r="X108" i="3" s="1"/>
  <c r="DA107" i="1"/>
  <c r="X107" i="3" s="1"/>
  <c r="DA106" i="1"/>
  <c r="X106" i="3" s="1"/>
  <c r="DA105" i="1"/>
  <c r="X105" i="3" s="1"/>
  <c r="DA104" i="1"/>
  <c r="X104" i="3" s="1"/>
  <c r="DA103" i="1"/>
  <c r="X103" i="3" s="1"/>
  <c r="DA102" i="1"/>
  <c r="X102" i="3" s="1"/>
  <c r="DA101" i="1"/>
  <c r="X101" i="3" s="1"/>
  <c r="DA100" i="1"/>
  <c r="X100" i="3" s="1"/>
  <c r="DA99" i="1"/>
  <c r="X99" i="3" s="1"/>
  <c r="DA98" i="1"/>
  <c r="X98" i="3" s="1"/>
  <c r="DE115" i="1"/>
  <c r="DE112" i="1"/>
  <c r="DE111" i="1"/>
  <c r="DE110" i="1"/>
  <c r="DE109" i="1"/>
  <c r="DE105" i="1"/>
  <c r="DE104" i="1"/>
  <c r="DE103" i="1"/>
  <c r="DE101" i="1"/>
  <c r="DE100" i="1"/>
  <c r="DE99" i="1"/>
  <c r="DE98" i="1"/>
  <c r="AA91" i="3"/>
  <c r="AT115" i="1"/>
  <c r="AT114" i="1"/>
  <c r="AT113" i="1"/>
  <c r="AT112" i="1"/>
  <c r="AT111" i="1"/>
  <c r="AT110" i="1"/>
  <c r="AT108" i="1"/>
  <c r="AT107" i="1"/>
  <c r="AT106" i="1"/>
  <c r="AT105" i="1"/>
  <c r="AT104" i="1"/>
  <c r="AT103" i="1"/>
  <c r="AT102" i="1"/>
  <c r="AT101" i="1"/>
  <c r="AT100" i="1"/>
  <c r="AT99" i="1"/>
  <c r="AT98" i="1"/>
  <c r="BD115" i="1"/>
  <c r="Q115" i="3" s="1"/>
  <c r="BD114" i="1"/>
  <c r="Q114" i="3" s="1"/>
  <c r="BD113" i="1"/>
  <c r="Q113" i="3" s="1"/>
  <c r="BD112" i="1"/>
  <c r="Q112" i="3" s="1"/>
  <c r="BD111" i="1"/>
  <c r="Q111" i="3" s="1"/>
  <c r="BD110" i="1"/>
  <c r="Q110" i="3" s="1"/>
  <c r="BD109" i="1"/>
  <c r="Q109" i="3" s="1"/>
  <c r="BD108" i="1"/>
  <c r="Q108" i="3" s="1"/>
  <c r="BD107" i="1"/>
  <c r="Q107" i="3" s="1"/>
  <c r="BD106" i="1"/>
  <c r="Q106" i="3" s="1"/>
  <c r="BD105" i="1"/>
  <c r="Q105" i="3" s="1"/>
  <c r="BD104" i="1"/>
  <c r="Q104" i="3" s="1"/>
  <c r="BD102" i="1"/>
  <c r="Q102" i="3" s="1"/>
  <c r="BD103" i="1"/>
  <c r="Q103" i="3" s="1"/>
  <c r="BD101" i="1"/>
  <c r="Q101" i="3" s="1"/>
  <c r="BD100" i="1"/>
  <c r="Q100" i="3" s="1"/>
  <c r="BD99" i="1"/>
  <c r="Q99" i="3" s="1"/>
  <c r="BD98" i="1"/>
  <c r="Q98" i="3" s="1"/>
  <c r="BH115" i="1"/>
  <c r="BH114" i="1"/>
  <c r="BH112" i="1"/>
  <c r="BH111" i="1"/>
  <c r="BH110" i="1"/>
  <c r="BH109" i="1"/>
  <c r="BH108" i="1"/>
  <c r="BH107" i="1"/>
  <c r="BH106" i="1"/>
  <c r="BH105" i="1"/>
  <c r="BH104" i="1"/>
  <c r="BH102" i="1"/>
  <c r="BH103" i="1"/>
  <c r="BH101" i="1"/>
  <c r="BH100" i="1"/>
  <c r="BH99" i="1"/>
  <c r="BH98" i="1"/>
  <c r="BL115" i="1"/>
  <c r="BL112" i="1"/>
  <c r="BL111" i="1"/>
  <c r="BL110" i="1"/>
  <c r="BL109" i="1"/>
  <c r="BL105" i="1"/>
  <c r="BL104" i="1"/>
  <c r="BL103" i="1"/>
  <c r="BL101" i="1"/>
  <c r="BL100" i="1"/>
  <c r="BL99" i="1"/>
  <c r="BL98" i="1"/>
  <c r="CM115" i="1"/>
  <c r="CM114" i="1"/>
  <c r="CM113" i="1"/>
  <c r="CM112" i="1"/>
  <c r="CM111" i="1"/>
  <c r="CM110" i="1"/>
  <c r="CM108" i="1"/>
  <c r="CM107" i="1"/>
  <c r="CM106" i="1"/>
  <c r="CM105" i="1"/>
  <c r="CM104" i="1"/>
  <c r="CM102" i="1"/>
  <c r="CM103" i="1"/>
  <c r="CM101" i="1"/>
  <c r="CM100" i="1"/>
  <c r="CM99" i="1"/>
  <c r="CM98" i="1"/>
  <c r="CT115" i="1"/>
  <c r="O115" i="3" s="1"/>
  <c r="CT114" i="1"/>
  <c r="O114" i="3" s="1"/>
  <c r="CT113" i="1"/>
  <c r="O113" i="3" s="1"/>
  <c r="CT112" i="1"/>
  <c r="O112" i="3" s="1"/>
  <c r="CT111" i="1"/>
  <c r="O111" i="3" s="1"/>
  <c r="CT110" i="1"/>
  <c r="O110" i="3" s="1"/>
  <c r="CT109" i="1"/>
  <c r="O109" i="3" s="1"/>
  <c r="CT108" i="1"/>
  <c r="O108" i="3" s="1"/>
  <c r="R108" i="3" s="1"/>
  <c r="CT107" i="1"/>
  <c r="O107" i="3" s="1"/>
  <c r="CT106" i="1"/>
  <c r="O106" i="3" s="1"/>
  <c r="CT105" i="1"/>
  <c r="O105" i="3" s="1"/>
  <c r="CT104" i="1"/>
  <c r="O104" i="3" s="1"/>
  <c r="R104" i="3" s="1"/>
  <c r="CT103" i="1"/>
  <c r="O103" i="3" s="1"/>
  <c r="CT102" i="1"/>
  <c r="O102" i="3" s="1"/>
  <c r="CT101" i="1"/>
  <c r="O101" i="3" s="1"/>
  <c r="CT100" i="1"/>
  <c r="O100" i="3" s="1"/>
  <c r="R100" i="3" s="1"/>
  <c r="CT99" i="1"/>
  <c r="O99" i="3" s="1"/>
  <c r="CT98" i="1"/>
  <c r="O98" i="3" s="1"/>
  <c r="CX115" i="1"/>
  <c r="T115" i="3" s="1"/>
  <c r="CX114" i="1"/>
  <c r="T114" i="3" s="1"/>
  <c r="CX113" i="1"/>
  <c r="T113" i="3" s="1"/>
  <c r="CX112" i="1"/>
  <c r="T112" i="3" s="1"/>
  <c r="CX111" i="1"/>
  <c r="T111" i="3" s="1"/>
  <c r="CX110" i="1"/>
  <c r="T110" i="3" s="1"/>
  <c r="CX109" i="1"/>
  <c r="T109" i="3" s="1"/>
  <c r="CX108" i="1"/>
  <c r="T108" i="3" s="1"/>
  <c r="CX107" i="1"/>
  <c r="T107" i="3" s="1"/>
  <c r="CX106" i="1"/>
  <c r="T106" i="3" s="1"/>
  <c r="CX105" i="1"/>
  <c r="T105" i="3" s="1"/>
  <c r="CX104" i="1"/>
  <c r="T104" i="3" s="1"/>
  <c r="CX103" i="1"/>
  <c r="T103" i="3" s="1"/>
  <c r="CX102" i="1"/>
  <c r="T102" i="3" s="1"/>
  <c r="CX101" i="1"/>
  <c r="T101" i="3" s="1"/>
  <c r="CX100" i="1"/>
  <c r="T100" i="3" s="1"/>
  <c r="CX99" i="1"/>
  <c r="T99" i="3" s="1"/>
  <c r="CX98" i="1"/>
  <c r="T98" i="3" s="1"/>
  <c r="DB115" i="1"/>
  <c r="DB114" i="1"/>
  <c r="DB112" i="1"/>
  <c r="DB110" i="1"/>
  <c r="DB109" i="1"/>
  <c r="DB111" i="1"/>
  <c r="DB108" i="1"/>
  <c r="DB107" i="1"/>
  <c r="DB106" i="1"/>
  <c r="DB105" i="1"/>
  <c r="DB104" i="1"/>
  <c r="DB103" i="1"/>
  <c r="DB102" i="1"/>
  <c r="DB101" i="1"/>
  <c r="DB100" i="1"/>
  <c r="DB99" i="1"/>
  <c r="DB98" i="1"/>
  <c r="A91" i="3"/>
  <c r="CL97" i="1"/>
  <c r="D97" i="3" s="1"/>
  <c r="CL96" i="1"/>
  <c r="D96" i="3" s="1"/>
  <c r="CM95" i="1"/>
  <c r="CM97" i="1"/>
  <c r="CM96" i="1"/>
  <c r="BI95" i="1"/>
  <c r="BI97" i="1"/>
  <c r="BI96" i="1"/>
  <c r="CY95" i="1"/>
  <c r="CY97" i="1"/>
  <c r="CY96" i="1"/>
  <c r="BB95" i="1"/>
  <c r="BB97" i="1"/>
  <c r="BB96" i="1"/>
  <c r="CR97" i="1"/>
  <c r="L97" i="3" s="1"/>
  <c r="CR96" i="1"/>
  <c r="L96" i="3" s="1"/>
  <c r="CS95" i="1"/>
  <c r="CS97" i="1"/>
  <c r="CS96" i="1"/>
  <c r="BD97" i="1"/>
  <c r="Q97" i="3" s="1"/>
  <c r="BD96" i="1"/>
  <c r="Q96" i="3" s="1"/>
  <c r="BL95" i="1"/>
  <c r="BL97" i="1"/>
  <c r="BL96" i="1"/>
  <c r="CT97" i="1"/>
  <c r="O97" i="3" s="1"/>
  <c r="CT96" i="1"/>
  <c r="O96" i="3" s="1"/>
  <c r="DB95" i="1"/>
  <c r="DB97" i="1"/>
  <c r="DB96" i="1"/>
  <c r="S91" i="3"/>
  <c r="AS95" i="1"/>
  <c r="AS97" i="1"/>
  <c r="AS96" i="1"/>
  <c r="CW97" i="1"/>
  <c r="S97" i="3" s="1"/>
  <c r="CW96" i="1"/>
  <c r="S96" i="3" s="1"/>
  <c r="BH95" i="1"/>
  <c r="BH97" i="1"/>
  <c r="BH96" i="1"/>
  <c r="AU97" i="1"/>
  <c r="E97" i="3" s="1"/>
  <c r="AU96" i="1"/>
  <c r="E96" i="3" s="1"/>
  <c r="BJ97" i="1"/>
  <c r="Y97" i="3" s="1"/>
  <c r="BJ96" i="1"/>
  <c r="Y96" i="3" s="1"/>
  <c r="CZ97" i="1"/>
  <c r="W97" i="3" s="1"/>
  <c r="CZ96" i="1"/>
  <c r="W96" i="3" s="1"/>
  <c r="BC95" i="1"/>
  <c r="BC97" i="1"/>
  <c r="BC96" i="1"/>
  <c r="DA97" i="1"/>
  <c r="X97" i="3" s="1"/>
  <c r="DA96" i="1"/>
  <c r="X96" i="3" s="1"/>
  <c r="BE95" i="1"/>
  <c r="BE97" i="1"/>
  <c r="BE96" i="1"/>
  <c r="BM97" i="1"/>
  <c r="AC97" i="3" s="1"/>
  <c r="BM96" i="1"/>
  <c r="AC96" i="3" s="1"/>
  <c r="CU97" i="1"/>
  <c r="P97" i="3" s="1"/>
  <c r="CU96" i="1"/>
  <c r="P96" i="3" s="1"/>
  <c r="DC97" i="1"/>
  <c r="AA97" i="3" s="1"/>
  <c r="DC96" i="1"/>
  <c r="AA96" i="3" s="1"/>
  <c r="Q91" i="3"/>
  <c r="BG97" i="1"/>
  <c r="U97" i="3" s="1"/>
  <c r="BG96" i="1"/>
  <c r="U96" i="3" s="1"/>
  <c r="DE95" i="1"/>
  <c r="DE97" i="1"/>
  <c r="DE96" i="1"/>
  <c r="AT95" i="1"/>
  <c r="AT97" i="1"/>
  <c r="AT96" i="1"/>
  <c r="CX97" i="1"/>
  <c r="T97" i="3" s="1"/>
  <c r="CX96" i="1"/>
  <c r="T96" i="3" s="1"/>
  <c r="CQ97" i="1"/>
  <c r="K97" i="3" s="1"/>
  <c r="CQ96" i="1"/>
  <c r="K96" i="3" s="1"/>
  <c r="BK95" i="1"/>
  <c r="BK97" i="1"/>
  <c r="BK96" i="1"/>
  <c r="BF95" i="1"/>
  <c r="BF97" i="1"/>
  <c r="BF96" i="1"/>
  <c r="CK97" i="1"/>
  <c r="C97" i="3" s="1"/>
  <c r="CK96" i="1"/>
  <c r="C96" i="3" s="1"/>
  <c r="CV95" i="1"/>
  <c r="CV97" i="1"/>
  <c r="CV96" i="1"/>
  <c r="DD97" i="1"/>
  <c r="AB97" i="3" s="1"/>
  <c r="DD96" i="1"/>
  <c r="AB96" i="3" s="1"/>
  <c r="C91" i="3"/>
  <c r="DA95" i="1"/>
  <c r="X95" i="3" s="1"/>
  <c r="X93" i="3"/>
  <c r="Y91" i="3"/>
  <c r="P91" i="3"/>
  <c r="K91" i="3"/>
  <c r="CQ95" i="1"/>
  <c r="K95" i="3" s="1"/>
  <c r="K93" i="3"/>
  <c r="BD95" i="1"/>
  <c r="Q95" i="3" s="1"/>
  <c r="Q93" i="3"/>
  <c r="CT95" i="1"/>
  <c r="O95" i="3" s="1"/>
  <c r="O93" i="3"/>
  <c r="X91" i="3"/>
  <c r="O91" i="3"/>
  <c r="L91" i="3"/>
  <c r="Y93" i="3"/>
  <c r="BJ95" i="1"/>
  <c r="Y95" i="3" s="1"/>
  <c r="BM95" i="1"/>
  <c r="AC95" i="3" s="1"/>
  <c r="AC93" i="3"/>
  <c r="CU95" i="1"/>
  <c r="P95" i="3" s="1"/>
  <c r="P93" i="3"/>
  <c r="DC95" i="1"/>
  <c r="AA95" i="3" s="1"/>
  <c r="AA93" i="3"/>
  <c r="W91" i="3"/>
  <c r="W93" i="3"/>
  <c r="CZ95" i="1"/>
  <c r="W95" i="3" s="1"/>
  <c r="C93" i="3"/>
  <c r="CK95" i="1"/>
  <c r="C95" i="3" s="1"/>
  <c r="AB93" i="3"/>
  <c r="DD95" i="1"/>
  <c r="AB95" i="3" s="1"/>
  <c r="U91" i="3"/>
  <c r="E91" i="3"/>
  <c r="CX95" i="1"/>
  <c r="T95" i="3" s="1"/>
  <c r="T93" i="3"/>
  <c r="AU95" i="1"/>
  <c r="E95" i="3" s="1"/>
  <c r="E93" i="3"/>
  <c r="L93" i="3"/>
  <c r="CR95" i="1"/>
  <c r="L95" i="3" s="1"/>
  <c r="BG95" i="1"/>
  <c r="U95" i="3" s="1"/>
  <c r="U93" i="3"/>
  <c r="D93" i="3"/>
  <c r="CL95" i="1"/>
  <c r="D95" i="3" s="1"/>
  <c r="S93" i="3"/>
  <c r="CW95" i="1"/>
  <c r="S95" i="3" s="1"/>
  <c r="AC91" i="3"/>
  <c r="T91" i="3"/>
  <c r="D91" i="3"/>
  <c r="B90" i="3"/>
  <c r="CS90" i="1"/>
  <c r="CR90" i="1"/>
  <c r="CQ90" i="1"/>
  <c r="AB90" i="1"/>
  <c r="AF90" i="1"/>
  <c r="AP90" i="1"/>
  <c r="AJ90" i="1"/>
  <c r="R112" i="3" l="1"/>
  <c r="R118" i="3"/>
  <c r="V118" i="3"/>
  <c r="Z119" i="3"/>
  <c r="R117" i="3"/>
  <c r="N116" i="3"/>
  <c r="R119" i="3"/>
  <c r="V119" i="3"/>
  <c r="N118" i="3"/>
  <c r="AD117" i="3"/>
  <c r="F118" i="3"/>
  <c r="R98" i="3"/>
  <c r="R106" i="3"/>
  <c r="R110" i="3"/>
  <c r="R114" i="3"/>
  <c r="F117" i="3"/>
  <c r="F119" i="3"/>
  <c r="AD118" i="3"/>
  <c r="V117" i="3"/>
  <c r="AD116" i="3"/>
  <c r="F116" i="3"/>
  <c r="V100" i="3"/>
  <c r="R99" i="3"/>
  <c r="R103" i="3"/>
  <c r="R107" i="3"/>
  <c r="R111" i="3"/>
  <c r="R115" i="3"/>
  <c r="V98" i="3"/>
  <c r="V102" i="3"/>
  <c r="V106" i="3"/>
  <c r="V110" i="3"/>
  <c r="V114" i="3"/>
  <c r="Z100" i="3"/>
  <c r="Z104" i="3"/>
  <c r="Z108" i="3"/>
  <c r="Z112" i="3"/>
  <c r="F100" i="3"/>
  <c r="F104" i="3"/>
  <c r="F108" i="3"/>
  <c r="F113" i="3"/>
  <c r="AD104" i="3"/>
  <c r="AD111" i="3"/>
  <c r="N99" i="3"/>
  <c r="N104" i="3"/>
  <c r="N108" i="3"/>
  <c r="N112" i="3"/>
  <c r="Z116" i="3"/>
  <c r="V116" i="3"/>
  <c r="Z96" i="3"/>
  <c r="V107" i="3"/>
  <c r="V111" i="3"/>
  <c r="V115" i="3"/>
  <c r="Z101" i="3"/>
  <c r="Z105" i="3"/>
  <c r="Z110" i="3"/>
  <c r="Z114" i="3"/>
  <c r="F101" i="3"/>
  <c r="F105" i="3"/>
  <c r="F110" i="3"/>
  <c r="F114" i="3"/>
  <c r="N100" i="3"/>
  <c r="N105" i="3"/>
  <c r="N109" i="3"/>
  <c r="N113" i="3"/>
  <c r="Z117" i="3"/>
  <c r="V103" i="3"/>
  <c r="AD100" i="3"/>
  <c r="AD105" i="3"/>
  <c r="AD112" i="3"/>
  <c r="Z95" i="3"/>
  <c r="V99" i="3"/>
  <c r="R101" i="3"/>
  <c r="R105" i="3"/>
  <c r="R109" i="3"/>
  <c r="R113" i="3"/>
  <c r="V104" i="3"/>
  <c r="V108" i="3"/>
  <c r="V112" i="3"/>
  <c r="Z98" i="3"/>
  <c r="Z102" i="3"/>
  <c r="Z106" i="3"/>
  <c r="Z111" i="3"/>
  <c r="Z115" i="3"/>
  <c r="F98" i="3"/>
  <c r="F102" i="3"/>
  <c r="F106" i="3"/>
  <c r="F111" i="3"/>
  <c r="F115" i="3"/>
  <c r="AD101" i="3"/>
  <c r="AD109" i="3"/>
  <c r="AD115" i="3"/>
  <c r="N101" i="3"/>
  <c r="N106" i="3"/>
  <c r="N110" i="3"/>
  <c r="N114" i="3"/>
  <c r="AD91" i="3"/>
  <c r="R102" i="3"/>
  <c r="V101" i="3"/>
  <c r="V105" i="3"/>
  <c r="V109" i="3"/>
  <c r="V113" i="3"/>
  <c r="AD99" i="3"/>
  <c r="Z99" i="3"/>
  <c r="Z103" i="3"/>
  <c r="Z107" i="3"/>
  <c r="Z109" i="3"/>
  <c r="F99" i="3"/>
  <c r="F103" i="3"/>
  <c r="F107" i="3"/>
  <c r="F112" i="3"/>
  <c r="AD98" i="3"/>
  <c r="AD103" i="3"/>
  <c r="AD110" i="3"/>
  <c r="N98" i="3"/>
  <c r="N102" i="3"/>
  <c r="N107" i="3"/>
  <c r="N111" i="3"/>
  <c r="N115" i="3"/>
  <c r="F97" i="3"/>
  <c r="F91" i="3"/>
  <c r="Z97" i="3"/>
  <c r="V96" i="3"/>
  <c r="F96" i="3"/>
  <c r="V91" i="3"/>
  <c r="N91" i="3"/>
  <c r="AD96" i="3"/>
  <c r="V97" i="3"/>
  <c r="R96" i="3"/>
  <c r="N96" i="3"/>
  <c r="N97" i="3"/>
  <c r="N93" i="3"/>
  <c r="R93" i="3"/>
  <c r="AD97" i="3"/>
  <c r="R97" i="3"/>
  <c r="Z93" i="3"/>
  <c r="AD93" i="3"/>
  <c r="V95" i="3"/>
  <c r="F95" i="3"/>
  <c r="Z91" i="3"/>
  <c r="F93" i="3"/>
  <c r="R95" i="3"/>
  <c r="V93" i="3"/>
  <c r="AD95" i="3"/>
  <c r="R91" i="3"/>
  <c r="N95" i="3"/>
  <c r="DE90" i="1"/>
  <c r="DD90" i="1"/>
  <c r="DC90" i="1"/>
  <c r="DB90" i="1"/>
  <c r="DA90" i="1"/>
  <c r="CZ90" i="1"/>
  <c r="CY90" i="1"/>
  <c r="CX90" i="1"/>
  <c r="CW90" i="1"/>
  <c r="CV90" i="1"/>
  <c r="CU90" i="1"/>
  <c r="CT90" i="1"/>
  <c r="CM90" i="1"/>
  <c r="CL90" i="1"/>
  <c r="CK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AU90" i="1"/>
  <c r="AT90" i="1"/>
  <c r="AS90" i="1"/>
  <c r="AH90" i="1"/>
  <c r="AE90" i="1"/>
  <c r="AD90" i="1"/>
  <c r="AC90" i="1"/>
  <c r="Z90" i="1"/>
  <c r="B90" i="1"/>
  <c r="A90" i="2" l="1"/>
  <c r="A90" i="3"/>
  <c r="B89" i="3"/>
  <c r="B89" i="2"/>
  <c r="C89" i="2"/>
  <c r="CK89" i="1"/>
  <c r="CL89" i="1"/>
  <c r="CM89" i="1"/>
  <c r="CN89" i="1"/>
  <c r="CO89" i="1"/>
  <c r="CP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B87" i="1" l="1"/>
  <c r="B88" i="1"/>
  <c r="B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AX89" i="1"/>
  <c r="AW89" i="1"/>
  <c r="AV89" i="1"/>
  <c r="AU89" i="1"/>
  <c r="AT89" i="1"/>
  <c r="AS89" i="1"/>
  <c r="AK89" i="1"/>
  <c r="AH89" i="1"/>
  <c r="AG89" i="1"/>
  <c r="AE89" i="1"/>
  <c r="AD89" i="1"/>
  <c r="AC89" i="1"/>
  <c r="AA89" i="1"/>
  <c r="Z89" i="1"/>
  <c r="A89" i="2" l="1"/>
  <c r="A89" i="3"/>
  <c r="N74" i="7"/>
  <c r="L37" i="9" s="1"/>
  <c r="B74" i="7"/>
  <c r="A37" i="9" s="1"/>
  <c r="N41" i="7"/>
  <c r="L5" i="9" s="1"/>
  <c r="B41" i="7"/>
  <c r="B6" i="7"/>
  <c r="CK88" i="1"/>
  <c r="C88" i="3" s="1"/>
  <c r="CL88" i="1"/>
  <c r="D88" i="3" s="1"/>
  <c r="CM88" i="1"/>
  <c r="CN88" i="1"/>
  <c r="G88" i="3" s="1"/>
  <c r="CO88" i="1"/>
  <c r="H88" i="3" s="1"/>
  <c r="CP88" i="1"/>
  <c r="CT88" i="1"/>
  <c r="O88" i="3" s="1"/>
  <c r="CU88" i="1"/>
  <c r="P88" i="3" s="1"/>
  <c r="CV88" i="1"/>
  <c r="CW88" i="1"/>
  <c r="S88" i="3" s="1"/>
  <c r="CX88" i="1"/>
  <c r="T88" i="3" s="1"/>
  <c r="CY88" i="1"/>
  <c r="CZ88" i="1"/>
  <c r="W88" i="3" s="1"/>
  <c r="DA88" i="1"/>
  <c r="X88" i="3" s="1"/>
  <c r="DB88" i="1"/>
  <c r="DC88" i="1"/>
  <c r="AA88" i="3" s="1"/>
  <c r="DD88" i="1"/>
  <c r="AB88" i="3" s="1"/>
  <c r="DE88" i="1"/>
  <c r="AS88" i="1"/>
  <c r="AT88" i="1"/>
  <c r="AU88" i="1"/>
  <c r="E88" i="3" s="1"/>
  <c r="AV88" i="1"/>
  <c r="AW88" i="1"/>
  <c r="AX88" i="1"/>
  <c r="I88" i="3" s="1"/>
  <c r="BB88" i="1"/>
  <c r="BC88" i="1"/>
  <c r="BD88" i="1"/>
  <c r="Q88" i="3" s="1"/>
  <c r="BE88" i="1"/>
  <c r="BF88" i="1"/>
  <c r="BG88" i="1"/>
  <c r="U88" i="3" s="1"/>
  <c r="BH88" i="1"/>
  <c r="BI88" i="1"/>
  <c r="BJ88" i="1"/>
  <c r="Y88" i="3" s="1"/>
  <c r="BK88" i="1"/>
  <c r="BL88" i="1"/>
  <c r="BM88" i="1"/>
  <c r="AC88" i="3" s="1"/>
  <c r="A88" i="3"/>
  <c r="B88" i="3"/>
  <c r="A88" i="2"/>
  <c r="B88" i="2"/>
  <c r="C88" i="2"/>
  <c r="AK88" i="1"/>
  <c r="AH88" i="1"/>
  <c r="AG88" i="1"/>
  <c r="AE88" i="1"/>
  <c r="AD88" i="1"/>
  <c r="AC88" i="1"/>
  <c r="AA88" i="1"/>
  <c r="Z88" i="1"/>
  <c r="AD88" i="3" l="1"/>
  <c r="R88" i="3"/>
  <c r="J88" i="3"/>
  <c r="V88" i="3"/>
  <c r="F88" i="3"/>
  <c r="Z88" i="3"/>
  <c r="AM32" i="3"/>
  <c r="AM31" i="3"/>
  <c r="AM30" i="3" s="1"/>
  <c r="AW10" i="3"/>
  <c r="AW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9" i="3"/>
  <c r="AU100" i="3"/>
  <c r="AU101" i="3"/>
  <c r="AU104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9" i="3"/>
  <c r="AW100" i="3"/>
  <c r="AW101" i="3"/>
  <c r="AW104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B87" i="3" l="1"/>
  <c r="B87" i="2"/>
  <c r="C87" i="2"/>
  <c r="T87" i="2"/>
  <c r="V87" i="2"/>
  <c r="X87" i="2"/>
  <c r="AS87" i="1"/>
  <c r="AT87" i="1"/>
  <c r="AU87" i="1"/>
  <c r="E87" i="3" s="1"/>
  <c r="AV87" i="1"/>
  <c r="AW87" i="1"/>
  <c r="AX87" i="1"/>
  <c r="I87" i="3" s="1"/>
  <c r="BB87" i="1"/>
  <c r="BC87" i="1"/>
  <c r="BD87" i="1"/>
  <c r="Q87" i="3" s="1"/>
  <c r="BE87" i="1"/>
  <c r="BF87" i="1"/>
  <c r="BG87" i="1"/>
  <c r="U87" i="3" s="1"/>
  <c r="BH87" i="1"/>
  <c r="BI87" i="1"/>
  <c r="BJ87" i="1"/>
  <c r="Y87" i="3" s="1"/>
  <c r="BK87" i="1"/>
  <c r="BL87" i="1"/>
  <c r="BM87" i="1"/>
  <c r="AC87" i="3" s="1"/>
  <c r="A87" i="3"/>
  <c r="A87" i="2" l="1"/>
  <c r="B86" i="3"/>
  <c r="B86" i="2"/>
  <c r="C86" i="2"/>
  <c r="T86" i="2"/>
  <c r="V86" i="2"/>
  <c r="X86" i="2"/>
  <c r="CK86" i="1"/>
  <c r="C86" i="3" s="1"/>
  <c r="CL86" i="1"/>
  <c r="D86" i="3" s="1"/>
  <c r="CM86" i="1"/>
  <c r="CN86" i="1"/>
  <c r="G86" i="3" s="1"/>
  <c r="CO86" i="1"/>
  <c r="H86" i="3" s="1"/>
  <c r="CP86" i="1"/>
  <c r="CT86" i="1"/>
  <c r="O86" i="3" s="1"/>
  <c r="CU86" i="1"/>
  <c r="P86" i="3" s="1"/>
  <c r="CV86" i="1"/>
  <c r="CW86" i="1"/>
  <c r="S86" i="3" s="1"/>
  <c r="CX86" i="1"/>
  <c r="T86" i="3" s="1"/>
  <c r="CY86" i="1"/>
  <c r="CZ86" i="1"/>
  <c r="W86" i="3" s="1"/>
  <c r="DA86" i="1"/>
  <c r="X86" i="3" s="1"/>
  <c r="DB86" i="1"/>
  <c r="DC86" i="1"/>
  <c r="AA86" i="3" s="1"/>
  <c r="DD86" i="1"/>
  <c r="AB86" i="3" s="1"/>
  <c r="DE86" i="1"/>
  <c r="CK87" i="1"/>
  <c r="C87" i="3" s="1"/>
  <c r="CL87" i="1"/>
  <c r="D87" i="3" s="1"/>
  <c r="CM87" i="1"/>
  <c r="CN87" i="1"/>
  <c r="G87" i="3" s="1"/>
  <c r="CO87" i="1"/>
  <c r="H87" i="3" s="1"/>
  <c r="CP87" i="1"/>
  <c r="CT87" i="1"/>
  <c r="O87" i="3" s="1"/>
  <c r="CU87" i="1"/>
  <c r="P87" i="3" s="1"/>
  <c r="CV87" i="1"/>
  <c r="CW87" i="1"/>
  <c r="S87" i="3" s="1"/>
  <c r="CX87" i="1"/>
  <c r="T87" i="3" s="1"/>
  <c r="CY87" i="1"/>
  <c r="CZ87" i="1"/>
  <c r="W87" i="3" s="1"/>
  <c r="DA87" i="1"/>
  <c r="X87" i="3" s="1"/>
  <c r="DB87" i="1"/>
  <c r="DC87" i="1"/>
  <c r="AA87" i="3" s="1"/>
  <c r="DD87" i="1"/>
  <c r="AB87" i="3" s="1"/>
  <c r="DE87" i="1"/>
  <c r="AS86" i="1"/>
  <c r="AT86" i="1"/>
  <c r="AU86" i="1"/>
  <c r="E86" i="3" s="1"/>
  <c r="AV86" i="1"/>
  <c r="AW86" i="1"/>
  <c r="AX86" i="1"/>
  <c r="I86" i="3" s="1"/>
  <c r="BB86" i="1"/>
  <c r="BC86" i="1"/>
  <c r="BD86" i="1"/>
  <c r="Q86" i="3" s="1"/>
  <c r="BE86" i="1"/>
  <c r="BF86" i="1"/>
  <c r="BG86" i="1"/>
  <c r="U86" i="3" s="1"/>
  <c r="BH86" i="1"/>
  <c r="BI86" i="1"/>
  <c r="BJ86" i="1"/>
  <c r="Y86" i="3" s="1"/>
  <c r="BK86" i="1"/>
  <c r="BL86" i="1"/>
  <c r="BM86" i="1"/>
  <c r="AC86" i="3" s="1"/>
  <c r="Z86" i="1"/>
  <c r="AA86" i="1"/>
  <c r="AC86" i="1"/>
  <c r="AD86" i="1"/>
  <c r="AE86" i="1"/>
  <c r="AG86" i="1"/>
  <c r="AH86" i="1"/>
  <c r="AK86" i="1"/>
  <c r="Z87" i="1"/>
  <c r="AA87" i="1"/>
  <c r="AC87" i="1"/>
  <c r="AD87" i="1"/>
  <c r="AE87" i="1"/>
  <c r="AG87" i="1"/>
  <c r="AH87" i="1"/>
  <c r="AK87" i="1"/>
  <c r="B86" i="1"/>
  <c r="A86" i="3" s="1"/>
  <c r="A86" i="2" l="1"/>
  <c r="V87" i="3"/>
  <c r="J86" i="3"/>
  <c r="Z87" i="3"/>
  <c r="F87" i="3"/>
  <c r="R86" i="3"/>
  <c r="V86" i="3"/>
  <c r="Z86" i="3"/>
  <c r="F86" i="3"/>
  <c r="J87" i="3"/>
  <c r="R87" i="3"/>
  <c r="AD86" i="3"/>
  <c r="AD87" i="3"/>
  <c r="B85" i="3"/>
  <c r="B85" i="2"/>
  <c r="C85" i="2"/>
  <c r="T85" i="2"/>
  <c r="V85" i="2"/>
  <c r="X85" i="2"/>
  <c r="B84" i="3" l="1"/>
  <c r="B84" i="2"/>
  <c r="C84" i="2"/>
  <c r="T84" i="2"/>
  <c r="V84" i="2"/>
  <c r="X84" i="2"/>
  <c r="B83" i="3" l="1"/>
  <c r="B83" i="2"/>
  <c r="C83" i="2"/>
  <c r="T83" i="2"/>
  <c r="V83" i="2"/>
  <c r="X83" i="2"/>
  <c r="B82" i="3" l="1"/>
  <c r="B81" i="3" l="1"/>
  <c r="B81" i="2"/>
  <c r="C81" i="2"/>
  <c r="T81" i="2"/>
  <c r="V81" i="2"/>
  <c r="X81" i="2"/>
  <c r="B82" i="2"/>
  <c r="C82" i="2"/>
  <c r="T82" i="2"/>
  <c r="V82" i="2"/>
  <c r="X82" i="2"/>
  <c r="B80" i="3" l="1"/>
  <c r="B80" i="2"/>
  <c r="C80" i="2"/>
  <c r="T80" i="2"/>
  <c r="V80" i="2"/>
  <c r="X80" i="2"/>
  <c r="BM80" i="1"/>
  <c r="AC80" i="3" s="1"/>
  <c r="BL80" i="1"/>
  <c r="BK80" i="1"/>
  <c r="BJ80" i="1"/>
  <c r="Y80" i="3" s="1"/>
  <c r="BI80" i="1"/>
  <c r="BH80" i="1"/>
  <c r="BG80" i="1"/>
  <c r="U80" i="3" s="1"/>
  <c r="BF80" i="1"/>
  <c r="BE80" i="1"/>
  <c r="BD80" i="1"/>
  <c r="Q80" i="3" s="1"/>
  <c r="BC80" i="1"/>
  <c r="BB80" i="1"/>
  <c r="BA80" i="1"/>
  <c r="AZ80" i="1"/>
  <c r="AY80" i="1"/>
  <c r="AX80" i="1"/>
  <c r="I80" i="3" s="1"/>
  <c r="AW80" i="1"/>
  <c r="AV80" i="1"/>
  <c r="AU80" i="1"/>
  <c r="E80" i="3" s="1"/>
  <c r="AT80" i="1"/>
  <c r="AS80" i="1"/>
  <c r="AH80" i="1"/>
  <c r="AG80" i="1"/>
  <c r="AF80" i="1"/>
  <c r="AE80" i="1"/>
  <c r="AD80" i="1"/>
  <c r="AC80" i="1"/>
  <c r="AB80" i="1"/>
  <c r="B79" i="3"/>
  <c r="B79" i="2"/>
  <c r="C79" i="2"/>
  <c r="T79" i="2"/>
  <c r="V79" i="2"/>
  <c r="X79" i="2"/>
  <c r="A78" i="3"/>
  <c r="B78" i="3"/>
  <c r="C78" i="3"/>
  <c r="D78" i="3"/>
  <c r="E78" i="3"/>
  <c r="G78" i="3"/>
  <c r="H78" i="3"/>
  <c r="I78" i="3"/>
  <c r="O78" i="3"/>
  <c r="P78" i="3"/>
  <c r="Q78" i="3"/>
  <c r="S78" i="3"/>
  <c r="T78" i="3"/>
  <c r="U78" i="3"/>
  <c r="W78" i="3"/>
  <c r="X78" i="3"/>
  <c r="Y78" i="3"/>
  <c r="AA78" i="3"/>
  <c r="AB78" i="3"/>
  <c r="AC78" i="3"/>
  <c r="T76" i="2"/>
  <c r="T77" i="2"/>
  <c r="X76" i="2"/>
  <c r="X77" i="2"/>
  <c r="X78" i="2"/>
  <c r="K76" i="2"/>
  <c r="K78" i="2"/>
  <c r="A78" i="2"/>
  <c r="B78" i="2"/>
  <c r="C78" i="2"/>
  <c r="D78" i="2"/>
  <c r="E78" i="2"/>
  <c r="G78" i="2"/>
  <c r="I78" i="2"/>
  <c r="L78" i="2"/>
  <c r="T78" i="2"/>
  <c r="V78" i="2"/>
  <c r="B77" i="3"/>
  <c r="B77" i="2"/>
  <c r="C77" i="2"/>
  <c r="V77" i="2"/>
  <c r="Y76" i="3"/>
  <c r="X76" i="3"/>
  <c r="W76" i="3"/>
  <c r="AC76" i="3"/>
  <c r="AB76" i="3"/>
  <c r="AA76" i="3"/>
  <c r="A76" i="3"/>
  <c r="B76" i="3"/>
  <c r="C76" i="3"/>
  <c r="D76" i="3"/>
  <c r="E76" i="3"/>
  <c r="G76" i="3"/>
  <c r="H76" i="3"/>
  <c r="I76" i="3"/>
  <c r="O76" i="3"/>
  <c r="P76" i="3"/>
  <c r="Q76" i="3"/>
  <c r="S76" i="3"/>
  <c r="T76" i="3"/>
  <c r="U76" i="3"/>
  <c r="L76" i="2"/>
  <c r="Z76" i="2" s="1"/>
  <c r="I76" i="2"/>
  <c r="A76" i="2"/>
  <c r="B76" i="2"/>
  <c r="C76" i="2"/>
  <c r="D76" i="2"/>
  <c r="E76" i="2"/>
  <c r="G76" i="2"/>
  <c r="V76" i="2"/>
  <c r="W76" i="2"/>
  <c r="R76" i="3" l="1"/>
  <c r="AD78" i="3"/>
  <c r="J78" i="3"/>
  <c r="V78" i="3"/>
  <c r="Z76" i="3"/>
  <c r="Z78" i="3"/>
  <c r="F78" i="3"/>
  <c r="R78" i="3"/>
  <c r="V76" i="3"/>
  <c r="F76" i="3"/>
  <c r="J76" i="3"/>
  <c r="AD76" i="3"/>
  <c r="B73" i="3"/>
  <c r="B74" i="3"/>
  <c r="B75" i="3"/>
  <c r="B73" i="2"/>
  <c r="C73" i="2"/>
  <c r="V73" i="2"/>
  <c r="Y73" i="2"/>
  <c r="B74" i="2"/>
  <c r="C74" i="2"/>
  <c r="V74" i="2"/>
  <c r="B75" i="2"/>
  <c r="C75" i="2"/>
  <c r="V75" i="2"/>
  <c r="AQ73" i="1"/>
  <c r="DE75" i="1"/>
  <c r="DD75" i="1"/>
  <c r="DC75" i="1"/>
  <c r="DB75" i="1"/>
  <c r="DA75" i="1"/>
  <c r="CZ75" i="1"/>
  <c r="CY75" i="1"/>
  <c r="CX75" i="1"/>
  <c r="T75" i="3" s="1"/>
  <c r="CW75" i="1"/>
  <c r="S75" i="3" s="1"/>
  <c r="CV75" i="1"/>
  <c r="CU75" i="1"/>
  <c r="P75" i="3" s="1"/>
  <c r="CT75" i="1"/>
  <c r="O75" i="3" s="1"/>
  <c r="CP75" i="1"/>
  <c r="CO75" i="1"/>
  <c r="H75" i="3" s="1"/>
  <c r="CN75" i="1"/>
  <c r="G75" i="3" s="1"/>
  <c r="CM75" i="1"/>
  <c r="CL75" i="1"/>
  <c r="D75" i="3" s="1"/>
  <c r="CK75" i="1"/>
  <c r="C75" i="3" s="1"/>
  <c r="BM75" i="1"/>
  <c r="BL75" i="1"/>
  <c r="BJ75" i="1"/>
  <c r="BI75" i="1"/>
  <c r="BH75" i="1"/>
  <c r="BG75" i="1"/>
  <c r="U75" i="3" s="1"/>
  <c r="BF75" i="1"/>
  <c r="BE75" i="1"/>
  <c r="BD75" i="1"/>
  <c r="Q75" i="3" s="1"/>
  <c r="BC75" i="1"/>
  <c r="BB75" i="1"/>
  <c r="AX75" i="1"/>
  <c r="I75" i="3" s="1"/>
  <c r="AW75" i="1"/>
  <c r="AV75" i="1"/>
  <c r="AU75" i="1"/>
  <c r="E75" i="3" s="1"/>
  <c r="AT75" i="1"/>
  <c r="AS75" i="1"/>
  <c r="AO75" i="1"/>
  <c r="AN75" i="1"/>
  <c r="AK75" i="1"/>
  <c r="AQ75" i="1"/>
  <c r="AG75" i="1"/>
  <c r="AD75" i="1"/>
  <c r="AC75" i="1"/>
  <c r="AA75" i="1"/>
  <c r="Z75" i="1"/>
  <c r="B75" i="1"/>
  <c r="A75" i="3" s="1"/>
  <c r="DE74" i="1"/>
  <c r="DD74" i="1"/>
  <c r="AB74" i="3" s="1"/>
  <c r="DC74" i="1"/>
  <c r="AA74" i="3" s="1"/>
  <c r="DB74" i="1"/>
  <c r="DA74" i="1"/>
  <c r="CZ74" i="1"/>
  <c r="CY74" i="1"/>
  <c r="CX74" i="1"/>
  <c r="T74" i="3" s="1"/>
  <c r="CW74" i="1"/>
  <c r="S74" i="3" s="1"/>
  <c r="CV74" i="1"/>
  <c r="CU74" i="1"/>
  <c r="P74" i="3" s="1"/>
  <c r="CT74" i="1"/>
  <c r="O74" i="3" s="1"/>
  <c r="CS74" i="1"/>
  <c r="CR74" i="1"/>
  <c r="L74" i="3" s="1"/>
  <c r="CQ74" i="1"/>
  <c r="K74" i="3" s="1"/>
  <c r="CP74" i="1"/>
  <c r="CO74" i="1"/>
  <c r="H74" i="3" s="1"/>
  <c r="CN74" i="1"/>
  <c r="G74" i="3" s="1"/>
  <c r="CM74" i="1"/>
  <c r="CL74" i="1"/>
  <c r="D74" i="3" s="1"/>
  <c r="CK74" i="1"/>
  <c r="C74" i="3" s="1"/>
  <c r="BM74" i="1"/>
  <c r="AC74" i="3" s="1"/>
  <c r="BL74" i="1"/>
  <c r="BK74" i="1"/>
  <c r="BJ74" i="1"/>
  <c r="BI74" i="1"/>
  <c r="BH74" i="1"/>
  <c r="BG74" i="1"/>
  <c r="U74" i="3" s="1"/>
  <c r="BF74" i="1"/>
  <c r="BE74" i="1"/>
  <c r="BD74" i="1"/>
  <c r="Q74" i="3" s="1"/>
  <c r="BC74" i="1"/>
  <c r="BB74" i="1"/>
  <c r="BA74" i="1"/>
  <c r="M74" i="3" s="1"/>
  <c r="AZ74" i="1"/>
  <c r="AY74" i="1"/>
  <c r="AX74" i="1"/>
  <c r="I74" i="3" s="1"/>
  <c r="AW74" i="1"/>
  <c r="AV74" i="1"/>
  <c r="AU74" i="1"/>
  <c r="E74" i="3" s="1"/>
  <c r="AT74" i="1"/>
  <c r="AS74" i="1"/>
  <c r="AH74" i="1"/>
  <c r="AG74" i="1"/>
  <c r="AF74" i="1"/>
  <c r="AE74" i="1"/>
  <c r="AD74" i="1"/>
  <c r="AC74" i="1"/>
  <c r="AB74" i="1"/>
  <c r="AA74" i="1"/>
  <c r="Z74" i="1"/>
  <c r="B74" i="1"/>
  <c r="A74" i="3" s="1"/>
  <c r="DE73" i="1"/>
  <c r="DD73" i="1"/>
  <c r="DC73" i="1"/>
  <c r="DB73" i="1"/>
  <c r="DA73" i="1"/>
  <c r="CZ73" i="1"/>
  <c r="CY73" i="1"/>
  <c r="CX73" i="1"/>
  <c r="T73" i="3" s="1"/>
  <c r="CW73" i="1"/>
  <c r="S73" i="3" s="1"/>
  <c r="CV73" i="1"/>
  <c r="CU73" i="1"/>
  <c r="P73" i="3" s="1"/>
  <c r="CT73" i="1"/>
  <c r="O73" i="3" s="1"/>
  <c r="CP73" i="1"/>
  <c r="CO73" i="1"/>
  <c r="H73" i="3" s="1"/>
  <c r="CN73" i="1"/>
  <c r="G73" i="3" s="1"/>
  <c r="CM73" i="1"/>
  <c r="CL73" i="1"/>
  <c r="D73" i="3" s="1"/>
  <c r="CK73" i="1"/>
  <c r="C73" i="3" s="1"/>
  <c r="BM73" i="1"/>
  <c r="BL73" i="1"/>
  <c r="BG73" i="1"/>
  <c r="U73" i="3" s="1"/>
  <c r="BF73" i="1"/>
  <c r="BE73" i="1"/>
  <c r="BD73" i="1"/>
  <c r="Q73" i="3" s="1"/>
  <c r="BC73" i="1"/>
  <c r="BB73" i="1"/>
  <c r="AX73" i="1"/>
  <c r="I73" i="3" s="1"/>
  <c r="AW73" i="1"/>
  <c r="AV73" i="1"/>
  <c r="AU73" i="1"/>
  <c r="E73" i="3" s="1"/>
  <c r="AT73" i="1"/>
  <c r="AS73" i="1"/>
  <c r="AP73" i="1"/>
  <c r="AO73" i="1"/>
  <c r="AN73" i="1"/>
  <c r="AM73" i="1"/>
  <c r="AK73" i="1"/>
  <c r="AC73" i="1"/>
  <c r="AA73" i="1"/>
  <c r="Z73" i="1"/>
  <c r="B73" i="1"/>
  <c r="A73" i="2" s="1"/>
  <c r="A74" i="2" l="1"/>
  <c r="A75" i="2"/>
  <c r="F74" i="3"/>
  <c r="J75" i="3"/>
  <c r="F73" i="3"/>
  <c r="R75" i="3"/>
  <c r="R73" i="3"/>
  <c r="J73" i="3"/>
  <c r="V75" i="3"/>
  <c r="R74" i="3"/>
  <c r="F75" i="3"/>
  <c r="J74" i="3"/>
  <c r="N74" i="3"/>
  <c r="AD74" i="3"/>
  <c r="A73" i="3"/>
  <c r="V73" i="3"/>
  <c r="V74" i="3"/>
  <c r="X10" i="3" l="1"/>
  <c r="W10" i="3"/>
  <c r="B72" i="3"/>
  <c r="B72" i="2"/>
  <c r="C72" i="2"/>
  <c r="Z72" i="1"/>
  <c r="AA72" i="1"/>
  <c r="AB72" i="1"/>
  <c r="AC72" i="1"/>
  <c r="AE72" i="1"/>
  <c r="AF72" i="1"/>
  <c r="AH72" i="1"/>
  <c r="B71" i="3"/>
  <c r="B71" i="2"/>
  <c r="C71" i="2"/>
  <c r="B70" i="3"/>
  <c r="B70" i="2"/>
  <c r="C70" i="2"/>
  <c r="B69" i="3"/>
  <c r="B69" i="2"/>
  <c r="C69" i="2"/>
  <c r="B67" i="3"/>
  <c r="B68" i="3"/>
  <c r="B67" i="2"/>
  <c r="C67" i="2"/>
  <c r="B68" i="2"/>
  <c r="C68" i="2"/>
  <c r="B66" i="3"/>
  <c r="B66" i="2"/>
  <c r="C66" i="2"/>
  <c r="B65" i="3"/>
  <c r="B65" i="2"/>
  <c r="C65" i="2"/>
  <c r="B64" i="3"/>
  <c r="B64" i="2"/>
  <c r="C64" i="2"/>
  <c r="B63" i="3"/>
  <c r="B62" i="2"/>
  <c r="C62" i="2"/>
  <c r="B63" i="2"/>
  <c r="C63" i="2"/>
  <c r="AG63" i="1"/>
  <c r="AG64" i="1"/>
  <c r="AG65" i="1"/>
  <c r="AG66" i="1"/>
  <c r="AG67" i="1"/>
  <c r="AG68" i="1"/>
  <c r="AG69" i="1"/>
  <c r="AG70" i="1"/>
  <c r="AG71" i="1"/>
  <c r="AG77" i="1"/>
  <c r="AG79" i="1"/>
  <c r="AG81" i="1"/>
  <c r="AG82" i="1"/>
  <c r="AG83" i="1"/>
  <c r="AG84" i="1"/>
  <c r="AG85" i="1"/>
  <c r="B62" i="3"/>
  <c r="Z62" i="1"/>
  <c r="AA62" i="1"/>
  <c r="AC62" i="1"/>
  <c r="AD62" i="1"/>
  <c r="AE62" i="1"/>
  <c r="AG62" i="1"/>
  <c r="AH62" i="1"/>
  <c r="B61" i="3"/>
  <c r="B61" i="2"/>
  <c r="C61" i="2"/>
  <c r="AG61" i="1"/>
  <c r="B60" i="3"/>
  <c r="B60" i="2"/>
  <c r="C60" i="2"/>
  <c r="AG60" i="1"/>
  <c r="B59" i="3"/>
  <c r="B59" i="2"/>
  <c r="C59" i="2"/>
  <c r="AG59" i="1"/>
  <c r="Z59" i="1"/>
  <c r="B58" i="3"/>
  <c r="B58" i="2"/>
  <c r="C58" i="2"/>
  <c r="Z58" i="1"/>
  <c r="AA58" i="1"/>
  <c r="AB58" i="1"/>
  <c r="AC58" i="1"/>
  <c r="AD58" i="1"/>
  <c r="AE58" i="1"/>
  <c r="AF58" i="1"/>
  <c r="AG58" i="1"/>
  <c r="AH58" i="1"/>
  <c r="AD59" i="1"/>
  <c r="AD60" i="1"/>
  <c r="AD61" i="1"/>
  <c r="AD63" i="1"/>
  <c r="AD64" i="1"/>
  <c r="AD65" i="1"/>
  <c r="AD66" i="1"/>
  <c r="AD67" i="1"/>
  <c r="AD68" i="1"/>
  <c r="AD69" i="1"/>
  <c r="AD70" i="1"/>
  <c r="AD71" i="1"/>
  <c r="AD77" i="1"/>
  <c r="AD79" i="1"/>
  <c r="AD81" i="1"/>
  <c r="AD82" i="1"/>
  <c r="AD83" i="1"/>
  <c r="AD84" i="1"/>
  <c r="AD85" i="1"/>
  <c r="AA59" i="1"/>
  <c r="AA60" i="1"/>
  <c r="AA61" i="1"/>
  <c r="AA63" i="1"/>
  <c r="AA64" i="1"/>
  <c r="AA65" i="1"/>
  <c r="AA66" i="1"/>
  <c r="AA67" i="1"/>
  <c r="AA68" i="1"/>
  <c r="AA69" i="1"/>
  <c r="AA70" i="1"/>
  <c r="AA71" i="1"/>
  <c r="AA77" i="1"/>
  <c r="AA79" i="1"/>
  <c r="AA80" i="1"/>
  <c r="AA81" i="1"/>
  <c r="AA82" i="1"/>
  <c r="AA83" i="1"/>
  <c r="AA84" i="1"/>
  <c r="AA85" i="1"/>
  <c r="B57" i="3"/>
  <c r="B57" i="2"/>
  <c r="C57" i="2"/>
  <c r="CK57" i="1"/>
  <c r="C57" i="3" s="1"/>
  <c r="CL57" i="1"/>
  <c r="D57" i="3" s="1"/>
  <c r="CM57" i="1"/>
  <c r="CN57" i="1"/>
  <c r="G57" i="3" s="1"/>
  <c r="CO57" i="1"/>
  <c r="H57" i="3" s="1"/>
  <c r="CP57" i="1"/>
  <c r="CQ57" i="1"/>
  <c r="K57" i="3" s="1"/>
  <c r="CR57" i="1"/>
  <c r="L57" i="3" s="1"/>
  <c r="CS57" i="1"/>
  <c r="CT57" i="1"/>
  <c r="O57" i="3" s="1"/>
  <c r="CU57" i="1"/>
  <c r="P57" i="3" s="1"/>
  <c r="CV57" i="1"/>
  <c r="CW57" i="1"/>
  <c r="S57" i="3" s="1"/>
  <c r="CX57" i="1"/>
  <c r="T57" i="3" s="1"/>
  <c r="CY57" i="1"/>
  <c r="CZ57" i="1"/>
  <c r="W57" i="3" s="1"/>
  <c r="DA57" i="1"/>
  <c r="X57" i="3" s="1"/>
  <c r="DB57" i="1"/>
  <c r="DC57" i="1"/>
  <c r="AA57" i="3" s="1"/>
  <c r="DD57" i="1"/>
  <c r="AB57" i="3" s="1"/>
  <c r="DE57" i="1"/>
  <c r="AS57" i="1"/>
  <c r="AT57" i="1"/>
  <c r="AU57" i="1"/>
  <c r="E57" i="3" s="1"/>
  <c r="AV57" i="1"/>
  <c r="AW57" i="1"/>
  <c r="AX57" i="1"/>
  <c r="I57" i="3" s="1"/>
  <c r="AY57" i="1"/>
  <c r="AZ57" i="1"/>
  <c r="BA57" i="1"/>
  <c r="M57" i="3" s="1"/>
  <c r="BB57" i="1"/>
  <c r="BC57" i="1"/>
  <c r="BD57" i="1"/>
  <c r="Q57" i="3" s="1"/>
  <c r="BE57" i="1"/>
  <c r="BF57" i="1"/>
  <c r="BG57" i="1"/>
  <c r="U57" i="3" s="1"/>
  <c r="BH57" i="1"/>
  <c r="BI57" i="1"/>
  <c r="BJ57" i="1"/>
  <c r="Y57" i="3" s="1"/>
  <c r="BK57" i="1"/>
  <c r="BL57" i="1"/>
  <c r="BM57" i="1"/>
  <c r="AC57" i="3" s="1"/>
  <c r="Z57" i="1"/>
  <c r="AA57" i="1"/>
  <c r="AB57" i="1"/>
  <c r="AC57" i="1"/>
  <c r="AD57" i="1"/>
  <c r="AE57" i="1"/>
  <c r="AF57" i="1"/>
  <c r="AG57" i="1"/>
  <c r="AH57" i="1"/>
  <c r="B57" i="1"/>
  <c r="A57" i="2" s="1"/>
  <c r="B55" i="3"/>
  <c r="B56" i="3"/>
  <c r="B56" i="2"/>
  <c r="C56" i="2"/>
  <c r="DE56" i="1"/>
  <c r="DD56" i="1"/>
  <c r="AB56" i="3" s="1"/>
  <c r="DC56" i="1"/>
  <c r="AA56" i="3" s="1"/>
  <c r="DB56" i="1"/>
  <c r="DA56" i="1"/>
  <c r="X56" i="3" s="1"/>
  <c r="CZ56" i="1"/>
  <c r="W56" i="3" s="1"/>
  <c r="CY56" i="1"/>
  <c r="CX56" i="1"/>
  <c r="T56" i="3" s="1"/>
  <c r="CW56" i="1"/>
  <c r="S56" i="3" s="1"/>
  <c r="CV56" i="1"/>
  <c r="CU56" i="1"/>
  <c r="P56" i="3" s="1"/>
  <c r="CT56" i="1"/>
  <c r="O56" i="3" s="1"/>
  <c r="CS56" i="1"/>
  <c r="CR56" i="1"/>
  <c r="L56" i="3" s="1"/>
  <c r="CQ56" i="1"/>
  <c r="K56" i="3" s="1"/>
  <c r="CP56" i="1"/>
  <c r="CO56" i="1"/>
  <c r="H56" i="3" s="1"/>
  <c r="CN56" i="1"/>
  <c r="G56" i="3" s="1"/>
  <c r="CM56" i="1"/>
  <c r="CL56" i="1"/>
  <c r="D56" i="3" s="1"/>
  <c r="CK56" i="1"/>
  <c r="C56" i="3" s="1"/>
  <c r="BM56" i="1"/>
  <c r="AC56" i="3" s="1"/>
  <c r="BL56" i="1"/>
  <c r="BK56" i="1"/>
  <c r="AS56" i="1"/>
  <c r="AT56" i="1"/>
  <c r="AU56" i="1"/>
  <c r="E56" i="3" s="1"/>
  <c r="AV56" i="1"/>
  <c r="AW56" i="1"/>
  <c r="AX56" i="1"/>
  <c r="I56" i="3" s="1"/>
  <c r="AY56" i="1"/>
  <c r="AZ56" i="1"/>
  <c r="BA56" i="1"/>
  <c r="M56" i="3" s="1"/>
  <c r="BB56" i="1"/>
  <c r="BC56" i="1"/>
  <c r="BD56" i="1"/>
  <c r="Q56" i="3" s="1"/>
  <c r="BE56" i="1"/>
  <c r="BF56" i="1"/>
  <c r="BG56" i="1"/>
  <c r="U56" i="3" s="1"/>
  <c r="BH56" i="1"/>
  <c r="BI56" i="1"/>
  <c r="BJ56" i="1"/>
  <c r="Y56" i="3" s="1"/>
  <c r="AH56" i="1"/>
  <c r="AG56" i="1"/>
  <c r="AF56" i="1"/>
  <c r="AE56" i="1"/>
  <c r="AD56" i="1"/>
  <c r="AC56" i="1"/>
  <c r="AB56" i="1"/>
  <c r="AA56" i="1"/>
  <c r="Z56" i="1"/>
  <c r="B56" i="1"/>
  <c r="A56" i="3" s="1"/>
  <c r="B55" i="2"/>
  <c r="C55" i="2"/>
  <c r="CK55" i="1"/>
  <c r="C55" i="3" s="1"/>
  <c r="CL55" i="1"/>
  <c r="D55" i="3" s="1"/>
  <c r="CM55" i="1"/>
  <c r="CN55" i="1"/>
  <c r="G55" i="3" s="1"/>
  <c r="CO55" i="1"/>
  <c r="H55" i="3" s="1"/>
  <c r="CP55" i="1"/>
  <c r="CQ55" i="1"/>
  <c r="K55" i="3" s="1"/>
  <c r="CR55" i="1"/>
  <c r="L55" i="3" s="1"/>
  <c r="CS55" i="1"/>
  <c r="CT55" i="1"/>
  <c r="O55" i="3" s="1"/>
  <c r="CU55" i="1"/>
  <c r="P55" i="3" s="1"/>
  <c r="CV55" i="1"/>
  <c r="CW55" i="1"/>
  <c r="S55" i="3" s="1"/>
  <c r="CX55" i="1"/>
  <c r="T55" i="3" s="1"/>
  <c r="CY55" i="1"/>
  <c r="CZ55" i="1"/>
  <c r="W55" i="3" s="1"/>
  <c r="DA55" i="1"/>
  <c r="X55" i="3" s="1"/>
  <c r="DB55" i="1"/>
  <c r="DC55" i="1"/>
  <c r="DD55" i="1"/>
  <c r="DE55" i="1"/>
  <c r="AS55" i="1"/>
  <c r="AT55" i="1"/>
  <c r="AU55" i="1"/>
  <c r="E55" i="3" s="1"/>
  <c r="AV55" i="1"/>
  <c r="AW55" i="1"/>
  <c r="AX55" i="1"/>
  <c r="I55" i="3" s="1"/>
  <c r="AY55" i="1"/>
  <c r="AZ55" i="1"/>
  <c r="BA55" i="1"/>
  <c r="M55" i="3" s="1"/>
  <c r="BB55" i="1"/>
  <c r="BC55" i="1"/>
  <c r="BD55" i="1"/>
  <c r="Q55" i="3" s="1"/>
  <c r="BE55" i="1"/>
  <c r="BF55" i="1"/>
  <c r="BG55" i="1"/>
  <c r="U55" i="3" s="1"/>
  <c r="BH55" i="1"/>
  <c r="BI55" i="1"/>
  <c r="BJ55" i="1"/>
  <c r="Y55" i="3" s="1"/>
  <c r="BK55" i="1"/>
  <c r="BL55" i="1"/>
  <c r="BM55" i="1"/>
  <c r="Z55" i="1"/>
  <c r="AA55" i="1"/>
  <c r="AB55" i="1"/>
  <c r="AC55" i="1"/>
  <c r="AD55" i="1"/>
  <c r="AN55" i="1"/>
  <c r="AF55" i="1"/>
  <c r="AG55" i="1"/>
  <c r="AH55" i="1"/>
  <c r="AQ55" i="1" s="1"/>
  <c r="B55" i="1"/>
  <c r="A55" i="3" s="1"/>
  <c r="B54" i="3"/>
  <c r="B54" i="2"/>
  <c r="C54" i="2"/>
  <c r="CK54" i="1"/>
  <c r="C54" i="3" s="1"/>
  <c r="CL54" i="1"/>
  <c r="D54" i="3" s="1"/>
  <c r="CM54" i="1"/>
  <c r="CN54" i="1"/>
  <c r="G54" i="3" s="1"/>
  <c r="CO54" i="1"/>
  <c r="H54" i="3" s="1"/>
  <c r="CP54" i="1"/>
  <c r="CQ54" i="1"/>
  <c r="K54" i="3" s="1"/>
  <c r="CR54" i="1"/>
  <c r="L54" i="3" s="1"/>
  <c r="CS54" i="1"/>
  <c r="CT54" i="1"/>
  <c r="O54" i="3" s="1"/>
  <c r="CU54" i="1"/>
  <c r="P54" i="3" s="1"/>
  <c r="CV54" i="1"/>
  <c r="CW54" i="1"/>
  <c r="S54" i="3" s="1"/>
  <c r="CX54" i="1"/>
  <c r="T54" i="3" s="1"/>
  <c r="CY54" i="1"/>
  <c r="CZ54" i="1"/>
  <c r="W54" i="3" s="1"/>
  <c r="DA54" i="1"/>
  <c r="X54" i="3" s="1"/>
  <c r="DB54" i="1"/>
  <c r="DC54" i="1"/>
  <c r="AA54" i="3" s="1"/>
  <c r="DD54" i="1"/>
  <c r="AB54" i="3" s="1"/>
  <c r="DE54" i="1"/>
  <c r="AS54" i="1"/>
  <c r="AT54" i="1"/>
  <c r="AU54" i="1"/>
  <c r="E54" i="3" s="1"/>
  <c r="AV54" i="1"/>
  <c r="AW54" i="1"/>
  <c r="AX54" i="1"/>
  <c r="I54" i="3" s="1"/>
  <c r="AY54" i="1"/>
  <c r="AZ54" i="1"/>
  <c r="BA54" i="1"/>
  <c r="M54" i="3" s="1"/>
  <c r="BB54" i="1"/>
  <c r="BC54" i="1"/>
  <c r="BD54" i="1"/>
  <c r="Q54" i="3" s="1"/>
  <c r="BE54" i="1"/>
  <c r="BF54" i="1"/>
  <c r="BG54" i="1"/>
  <c r="U54" i="3" s="1"/>
  <c r="BH54" i="1"/>
  <c r="BI54" i="1"/>
  <c r="BJ54" i="1"/>
  <c r="Y54" i="3" s="1"/>
  <c r="BK54" i="1"/>
  <c r="BL54" i="1"/>
  <c r="BM54" i="1"/>
  <c r="AC54" i="3" s="1"/>
  <c r="Z53" i="1"/>
  <c r="Z54" i="1"/>
  <c r="AA54" i="1"/>
  <c r="AB54" i="1"/>
  <c r="AC54" i="1"/>
  <c r="AD54" i="1"/>
  <c r="AE54" i="1"/>
  <c r="AF54" i="1"/>
  <c r="AG54" i="1"/>
  <c r="AH54" i="1"/>
  <c r="B54" i="1"/>
  <c r="A54" i="2" s="1"/>
  <c r="B53" i="3"/>
  <c r="B53" i="2"/>
  <c r="C53" i="2"/>
  <c r="CK53" i="1"/>
  <c r="C53" i="3" s="1"/>
  <c r="CL53" i="1"/>
  <c r="D53" i="3" s="1"/>
  <c r="CM53" i="1"/>
  <c r="CN53" i="1"/>
  <c r="G53" i="3" s="1"/>
  <c r="CO53" i="1"/>
  <c r="H53" i="3" s="1"/>
  <c r="CP53" i="1"/>
  <c r="CQ53" i="1"/>
  <c r="K53" i="3" s="1"/>
  <c r="CR53" i="1"/>
  <c r="L53" i="3" s="1"/>
  <c r="CS53" i="1"/>
  <c r="CT53" i="1"/>
  <c r="O53" i="3" s="1"/>
  <c r="CU53" i="1"/>
  <c r="P53" i="3" s="1"/>
  <c r="CV53" i="1"/>
  <c r="CW53" i="1"/>
  <c r="S53" i="3" s="1"/>
  <c r="CX53" i="1"/>
  <c r="T53" i="3" s="1"/>
  <c r="CY53" i="1"/>
  <c r="CZ53" i="1"/>
  <c r="W53" i="3" s="1"/>
  <c r="DA53" i="1"/>
  <c r="X53" i="3" s="1"/>
  <c r="DB53" i="1"/>
  <c r="DC53" i="1"/>
  <c r="AA53" i="3" s="1"/>
  <c r="DD53" i="1"/>
  <c r="AB53" i="3" s="1"/>
  <c r="DE53" i="1"/>
  <c r="AS53" i="1"/>
  <c r="AT53" i="1"/>
  <c r="AU53" i="1"/>
  <c r="E53" i="3" s="1"/>
  <c r="AV53" i="1"/>
  <c r="AW53" i="1"/>
  <c r="AX53" i="1"/>
  <c r="I53" i="3" s="1"/>
  <c r="AY53" i="1"/>
  <c r="AZ53" i="1"/>
  <c r="BA53" i="1"/>
  <c r="M53" i="3" s="1"/>
  <c r="BB53" i="1"/>
  <c r="BC53" i="1"/>
  <c r="BD53" i="1"/>
  <c r="Q53" i="3" s="1"/>
  <c r="BE53" i="1"/>
  <c r="BF53" i="1"/>
  <c r="BG53" i="1"/>
  <c r="U53" i="3" s="1"/>
  <c r="BH53" i="1"/>
  <c r="BI53" i="1"/>
  <c r="BJ53" i="1"/>
  <c r="Y53" i="3" s="1"/>
  <c r="BK53" i="1"/>
  <c r="BL53" i="1"/>
  <c r="BM53" i="1"/>
  <c r="AC53" i="3" s="1"/>
  <c r="AA53" i="1"/>
  <c r="AB53" i="1"/>
  <c r="AC53" i="1"/>
  <c r="AD53" i="1"/>
  <c r="AE53" i="1"/>
  <c r="AF53" i="1"/>
  <c r="AG53" i="1"/>
  <c r="AH53" i="1"/>
  <c r="B53" i="1"/>
  <c r="A53" i="3" s="1"/>
  <c r="CS52" i="1"/>
  <c r="CR52" i="1"/>
  <c r="L52" i="3" s="1"/>
  <c r="CQ52" i="1"/>
  <c r="K52" i="3" s="1"/>
  <c r="CS51" i="1"/>
  <c r="CR51" i="1"/>
  <c r="CQ51" i="1"/>
  <c r="B52" i="3"/>
  <c r="B52" i="2"/>
  <c r="C52" i="2"/>
  <c r="CK52" i="1"/>
  <c r="C52" i="3" s="1"/>
  <c r="CL52" i="1"/>
  <c r="D52" i="3" s="1"/>
  <c r="CM52" i="1"/>
  <c r="CN52" i="1"/>
  <c r="G52" i="3" s="1"/>
  <c r="CO52" i="1"/>
  <c r="H52" i="3" s="1"/>
  <c r="CP52" i="1"/>
  <c r="CT52" i="1"/>
  <c r="O52" i="3" s="1"/>
  <c r="CU52" i="1"/>
  <c r="P52" i="3" s="1"/>
  <c r="CV52" i="1"/>
  <c r="CW52" i="1"/>
  <c r="S52" i="3" s="1"/>
  <c r="CX52" i="1"/>
  <c r="T52" i="3" s="1"/>
  <c r="CY52" i="1"/>
  <c r="CZ52" i="1"/>
  <c r="W52" i="3" s="1"/>
  <c r="DA52" i="1"/>
  <c r="X52" i="3" s="1"/>
  <c r="DB52" i="1"/>
  <c r="DC52" i="1"/>
  <c r="AA52" i="3" s="1"/>
  <c r="DD52" i="1"/>
  <c r="AB52" i="3" s="1"/>
  <c r="DE52" i="1"/>
  <c r="AS52" i="1"/>
  <c r="AT52" i="1"/>
  <c r="AU52" i="1"/>
  <c r="E52" i="3" s="1"/>
  <c r="AV52" i="1"/>
  <c r="AW52" i="1"/>
  <c r="AX52" i="1"/>
  <c r="I52" i="3" s="1"/>
  <c r="AY52" i="1"/>
  <c r="AZ52" i="1"/>
  <c r="BA52" i="1"/>
  <c r="M52" i="3" s="1"/>
  <c r="BB52" i="1"/>
  <c r="BC52" i="1"/>
  <c r="BD52" i="1"/>
  <c r="Q52" i="3" s="1"/>
  <c r="BE52" i="1"/>
  <c r="BF52" i="1"/>
  <c r="BG52" i="1"/>
  <c r="U52" i="3" s="1"/>
  <c r="BH52" i="1"/>
  <c r="BI52" i="1"/>
  <c r="BJ52" i="1"/>
  <c r="Y52" i="3" s="1"/>
  <c r="BK52" i="1"/>
  <c r="BL52" i="1"/>
  <c r="BM52" i="1"/>
  <c r="AC52" i="3" s="1"/>
  <c r="Z52" i="1"/>
  <c r="AA52" i="1"/>
  <c r="AB52" i="1"/>
  <c r="AC52" i="1"/>
  <c r="AD52" i="1"/>
  <c r="AE52" i="1"/>
  <c r="AF52" i="1"/>
  <c r="AG52" i="1"/>
  <c r="AH52" i="1"/>
  <c r="B52" i="1"/>
  <c r="A52" i="2" s="1"/>
  <c r="B51" i="3"/>
  <c r="B51" i="2"/>
  <c r="C51" i="2"/>
  <c r="CT51" i="1"/>
  <c r="CU51" i="1"/>
  <c r="P51" i="3" s="1"/>
  <c r="CV51" i="1"/>
  <c r="CK51" i="1"/>
  <c r="C51" i="3" s="1"/>
  <c r="CL51" i="1"/>
  <c r="D51" i="3" s="1"/>
  <c r="CM51" i="1"/>
  <c r="CN51" i="1"/>
  <c r="G51" i="3" s="1"/>
  <c r="CO51" i="1"/>
  <c r="H51" i="3" s="1"/>
  <c r="CP51" i="1"/>
  <c r="CW51" i="1"/>
  <c r="S51" i="3" s="1"/>
  <c r="CX51" i="1"/>
  <c r="T51" i="3" s="1"/>
  <c r="CY51" i="1"/>
  <c r="CZ51" i="1"/>
  <c r="W51" i="3" s="1"/>
  <c r="DA51" i="1"/>
  <c r="X51" i="3" s="1"/>
  <c r="DB51" i="1"/>
  <c r="DC51" i="1"/>
  <c r="AA51" i="3" s="1"/>
  <c r="DD51" i="1"/>
  <c r="AB51" i="3" s="1"/>
  <c r="DE51" i="1"/>
  <c r="AS51" i="1"/>
  <c r="AT51" i="1"/>
  <c r="AU51" i="1"/>
  <c r="E51" i="3" s="1"/>
  <c r="AV51" i="1"/>
  <c r="AW51" i="1"/>
  <c r="AX51" i="1"/>
  <c r="I51" i="3" s="1"/>
  <c r="AY51" i="1"/>
  <c r="AZ51" i="1"/>
  <c r="BA51" i="1"/>
  <c r="BB51" i="1"/>
  <c r="BC51" i="1"/>
  <c r="BD51" i="1"/>
  <c r="Q51" i="3" s="1"/>
  <c r="BE51" i="1"/>
  <c r="BF51" i="1"/>
  <c r="BG51" i="1"/>
  <c r="U51" i="3" s="1"/>
  <c r="BH51" i="1"/>
  <c r="BI51" i="1"/>
  <c r="BJ51" i="1"/>
  <c r="Y51" i="3" s="1"/>
  <c r="BK51" i="1"/>
  <c r="BL51" i="1"/>
  <c r="BM51" i="1"/>
  <c r="AC51" i="3" s="1"/>
  <c r="Z51" i="1"/>
  <c r="AA51" i="1"/>
  <c r="AC51" i="1"/>
  <c r="AD51" i="1"/>
  <c r="AE51" i="1"/>
  <c r="AO51" i="1"/>
  <c r="AG51" i="1"/>
  <c r="AH5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B51" i="1"/>
  <c r="A51" i="3" s="1"/>
  <c r="B50" i="3"/>
  <c r="B50" i="2"/>
  <c r="C50" i="2"/>
  <c r="CK50" i="1"/>
  <c r="C50" i="3" s="1"/>
  <c r="CL50" i="1"/>
  <c r="D50" i="3" s="1"/>
  <c r="CM50" i="1"/>
  <c r="CN50" i="1"/>
  <c r="G50" i="3" s="1"/>
  <c r="CO50" i="1"/>
  <c r="H50" i="3" s="1"/>
  <c r="CP50" i="1"/>
  <c r="CQ50" i="1"/>
  <c r="K50" i="3" s="1"/>
  <c r="CR50" i="1"/>
  <c r="L50" i="3" s="1"/>
  <c r="CS50" i="1"/>
  <c r="CT50" i="1"/>
  <c r="O50" i="3" s="1"/>
  <c r="CU50" i="1"/>
  <c r="P50" i="3" s="1"/>
  <c r="CV50" i="1"/>
  <c r="CW50" i="1"/>
  <c r="S50" i="3" s="1"/>
  <c r="CX50" i="1"/>
  <c r="T50" i="3" s="1"/>
  <c r="CY50" i="1"/>
  <c r="CZ50" i="1"/>
  <c r="W50" i="3" s="1"/>
  <c r="DA50" i="1"/>
  <c r="X50" i="3" s="1"/>
  <c r="DB50" i="1"/>
  <c r="DC50" i="1"/>
  <c r="AA50" i="3" s="1"/>
  <c r="DD50" i="1"/>
  <c r="AB50" i="3" s="1"/>
  <c r="DE50" i="1"/>
  <c r="AS50" i="1"/>
  <c r="AT50" i="1"/>
  <c r="AU50" i="1"/>
  <c r="E50" i="3" s="1"/>
  <c r="AV50" i="1"/>
  <c r="AW50" i="1"/>
  <c r="AX50" i="1"/>
  <c r="I50" i="3" s="1"/>
  <c r="AY50" i="1"/>
  <c r="AZ50" i="1"/>
  <c r="BA50" i="1"/>
  <c r="M50" i="3" s="1"/>
  <c r="BB50" i="1"/>
  <c r="BC50" i="1"/>
  <c r="BD50" i="1"/>
  <c r="Q50" i="3" s="1"/>
  <c r="BE50" i="1"/>
  <c r="BF50" i="1"/>
  <c r="BG50" i="1"/>
  <c r="U50" i="3" s="1"/>
  <c r="BH50" i="1"/>
  <c r="BI50" i="1"/>
  <c r="BJ50" i="1"/>
  <c r="Y50" i="3" s="1"/>
  <c r="BK50" i="1"/>
  <c r="BL50" i="1"/>
  <c r="BM50" i="1"/>
  <c r="AC50" i="3" s="1"/>
  <c r="Z50" i="1"/>
  <c r="AA50" i="1"/>
  <c r="AB50" i="1"/>
  <c r="AC50" i="1"/>
  <c r="AD50" i="1"/>
  <c r="AE50" i="1"/>
  <c r="AF50" i="1"/>
  <c r="AG50" i="1"/>
  <c r="AH50" i="1"/>
  <c r="F55" i="3" l="1"/>
  <c r="A55" i="2"/>
  <c r="A52" i="3"/>
  <c r="Z56" i="3"/>
  <c r="V56" i="3"/>
  <c r="R51" i="3"/>
  <c r="AD56" i="3"/>
  <c r="AD54" i="3"/>
  <c r="N55" i="3"/>
  <c r="V55" i="3"/>
  <c r="N56" i="3"/>
  <c r="A53" i="2"/>
  <c r="A57" i="3"/>
  <c r="R56" i="3"/>
  <c r="R57" i="3"/>
  <c r="R55" i="3"/>
  <c r="R53" i="3"/>
  <c r="V53" i="3"/>
  <c r="F53" i="3"/>
  <c r="F56" i="3"/>
  <c r="J52" i="3"/>
  <c r="N54" i="3"/>
  <c r="J55" i="3"/>
  <c r="V50" i="3"/>
  <c r="J50" i="3"/>
  <c r="F50" i="3"/>
  <c r="V51" i="3"/>
  <c r="V52" i="3"/>
  <c r="N53" i="3"/>
  <c r="V54" i="3"/>
  <c r="J54" i="3"/>
  <c r="F54" i="3"/>
  <c r="AD50" i="3"/>
  <c r="N50" i="3"/>
  <c r="AD51" i="3"/>
  <c r="F51" i="3"/>
  <c r="R50" i="3"/>
  <c r="J51" i="3"/>
  <c r="Z53" i="3"/>
  <c r="J53" i="3"/>
  <c r="AD53" i="3"/>
  <c r="R54" i="3"/>
  <c r="F52" i="3"/>
  <c r="Z50" i="3"/>
  <c r="Z51" i="3"/>
  <c r="A51" i="2"/>
  <c r="Z54" i="3"/>
  <c r="A54" i="3"/>
  <c r="Z55" i="3"/>
  <c r="J56" i="3"/>
  <c r="V57" i="3"/>
  <c r="F57" i="3"/>
  <c r="Z52" i="3"/>
  <c r="AD52" i="3"/>
  <c r="J57" i="3"/>
  <c r="R52" i="3"/>
  <c r="AD57" i="3"/>
  <c r="N57" i="3"/>
  <c r="A56" i="2"/>
  <c r="Z57" i="3"/>
  <c r="N52" i="3"/>
  <c r="B50" i="1"/>
  <c r="A50" i="2" l="1"/>
  <c r="A50" i="3"/>
  <c r="B49" i="3"/>
  <c r="C49" i="2"/>
  <c r="B49" i="2"/>
  <c r="DE49" i="1" l="1"/>
  <c r="DD49" i="1"/>
  <c r="DC49" i="1"/>
  <c r="DB49" i="1"/>
  <c r="DA49" i="1"/>
  <c r="X49" i="3" s="1"/>
  <c r="CZ49" i="1"/>
  <c r="W49" i="3" s="1"/>
  <c r="CY49" i="1"/>
  <c r="CX49" i="1"/>
  <c r="T49" i="3" s="1"/>
  <c r="CW49" i="1"/>
  <c r="S49" i="3" s="1"/>
  <c r="CV49" i="1"/>
  <c r="CU49" i="1"/>
  <c r="P49" i="3" s="1"/>
  <c r="CT49" i="1"/>
  <c r="O49" i="3" s="1"/>
  <c r="CS49" i="1"/>
  <c r="CR49" i="1"/>
  <c r="L49" i="3" s="1"/>
  <c r="CQ49" i="1"/>
  <c r="K49" i="3" s="1"/>
  <c r="CP49" i="1"/>
  <c r="CO49" i="1"/>
  <c r="H49" i="3" s="1"/>
  <c r="CN49" i="1"/>
  <c r="G49" i="3" s="1"/>
  <c r="CM49" i="1"/>
  <c r="CL49" i="1"/>
  <c r="D49" i="3" s="1"/>
  <c r="CK49" i="1"/>
  <c r="C49" i="3" s="1"/>
  <c r="BM49" i="1"/>
  <c r="BL49" i="1"/>
  <c r="BK49" i="1"/>
  <c r="BJ49" i="1"/>
  <c r="Y49" i="3" s="1"/>
  <c r="BI49" i="1"/>
  <c r="BH49" i="1"/>
  <c r="BG49" i="1"/>
  <c r="U49" i="3" s="1"/>
  <c r="BF49" i="1"/>
  <c r="BE49" i="1"/>
  <c r="BD49" i="1"/>
  <c r="Q49" i="3" s="1"/>
  <c r="BC49" i="1"/>
  <c r="BB49" i="1"/>
  <c r="BA49" i="1"/>
  <c r="M49" i="3" s="1"/>
  <c r="AZ49" i="1"/>
  <c r="AY49" i="1"/>
  <c r="AX49" i="1"/>
  <c r="I49" i="3" s="1"/>
  <c r="AW49" i="1"/>
  <c r="AV49" i="1"/>
  <c r="AU49" i="1"/>
  <c r="E49" i="3" s="1"/>
  <c r="AT49" i="1"/>
  <c r="AS49" i="1"/>
  <c r="AH49" i="1"/>
  <c r="AQ49" i="1" s="1"/>
  <c r="AG49" i="1"/>
  <c r="AF49" i="1"/>
  <c r="AD49" i="1"/>
  <c r="AC49" i="1"/>
  <c r="AB49" i="1"/>
  <c r="AA49" i="1"/>
  <c r="Z49" i="1"/>
  <c r="B49" i="1"/>
  <c r="B48" i="1"/>
  <c r="F49" i="3" l="1"/>
  <c r="N49" i="3"/>
  <c r="J49" i="3"/>
  <c r="Z49" i="3"/>
  <c r="V49" i="3"/>
  <c r="A49" i="2"/>
  <c r="A49" i="3"/>
  <c r="R49" i="3"/>
  <c r="B48" i="3"/>
  <c r="A48" i="3"/>
  <c r="C48" i="2"/>
  <c r="B48" i="2"/>
  <c r="A48" i="2"/>
  <c r="DE48" i="1" l="1"/>
  <c r="DD48" i="1"/>
  <c r="AB48" i="3" s="1"/>
  <c r="DC48" i="1"/>
  <c r="AA48" i="3" s="1"/>
  <c r="DB48" i="1"/>
  <c r="DA48" i="1"/>
  <c r="X48" i="3" s="1"/>
  <c r="CZ48" i="1"/>
  <c r="W48" i="3" s="1"/>
  <c r="CY48" i="1"/>
  <c r="CX48" i="1"/>
  <c r="T48" i="3" s="1"/>
  <c r="CW48" i="1"/>
  <c r="S48" i="3" s="1"/>
  <c r="CV48" i="1"/>
  <c r="CU48" i="1"/>
  <c r="P48" i="3" s="1"/>
  <c r="CT48" i="1"/>
  <c r="O48" i="3" s="1"/>
  <c r="CS48" i="1"/>
  <c r="CR48" i="1"/>
  <c r="L48" i="3" s="1"/>
  <c r="CQ48" i="1"/>
  <c r="K48" i="3" s="1"/>
  <c r="CP48" i="1"/>
  <c r="CO48" i="1"/>
  <c r="H48" i="3" s="1"/>
  <c r="CN48" i="1"/>
  <c r="G48" i="3" s="1"/>
  <c r="CM48" i="1"/>
  <c r="CL48" i="1"/>
  <c r="D48" i="3" s="1"/>
  <c r="CK48" i="1"/>
  <c r="C48" i="3" s="1"/>
  <c r="BM48" i="1"/>
  <c r="AC48" i="3" s="1"/>
  <c r="BL48" i="1"/>
  <c r="BK48" i="1"/>
  <c r="BJ48" i="1"/>
  <c r="Y48" i="3" s="1"/>
  <c r="BI48" i="1"/>
  <c r="BH48" i="1"/>
  <c r="BG48" i="1"/>
  <c r="U48" i="3" s="1"/>
  <c r="BF48" i="1"/>
  <c r="BE48" i="1"/>
  <c r="BD48" i="1"/>
  <c r="Q48" i="3" s="1"/>
  <c r="BC48" i="1"/>
  <c r="BB48" i="1"/>
  <c r="BA48" i="1"/>
  <c r="M48" i="3" s="1"/>
  <c r="AZ48" i="1"/>
  <c r="AY48" i="1"/>
  <c r="AX48" i="1"/>
  <c r="I48" i="3" s="1"/>
  <c r="AW48" i="1"/>
  <c r="AV48" i="1"/>
  <c r="AU48" i="1"/>
  <c r="E48" i="3" s="1"/>
  <c r="AT48" i="1"/>
  <c r="AS48" i="1"/>
  <c r="AH48" i="1"/>
  <c r="AG48" i="1"/>
  <c r="AF48" i="1"/>
  <c r="AE48" i="1"/>
  <c r="AD48" i="1"/>
  <c r="AC48" i="1"/>
  <c r="AB48" i="1"/>
  <c r="AA48" i="1"/>
  <c r="Z48" i="1"/>
  <c r="B47" i="3"/>
  <c r="B47" i="2"/>
  <c r="C47" i="2"/>
  <c r="CK47" i="1"/>
  <c r="C47" i="3" s="1"/>
  <c r="CL47" i="1"/>
  <c r="D47" i="3" s="1"/>
  <c r="CM47" i="1"/>
  <c r="CN47" i="1"/>
  <c r="G47" i="3" s="1"/>
  <c r="CO47" i="1"/>
  <c r="H47" i="3" s="1"/>
  <c r="CP47" i="1"/>
  <c r="CQ47" i="1"/>
  <c r="K47" i="3" s="1"/>
  <c r="CR47" i="1"/>
  <c r="L47" i="3" s="1"/>
  <c r="CS47" i="1"/>
  <c r="CT47" i="1"/>
  <c r="O47" i="3" s="1"/>
  <c r="CU47" i="1"/>
  <c r="P47" i="3" s="1"/>
  <c r="CV47" i="1"/>
  <c r="CW47" i="1"/>
  <c r="S47" i="3" s="1"/>
  <c r="CX47" i="1"/>
  <c r="T47" i="3" s="1"/>
  <c r="CY47" i="1"/>
  <c r="CZ47" i="1"/>
  <c r="W47" i="3" s="1"/>
  <c r="DA47" i="1"/>
  <c r="X47" i="3" s="1"/>
  <c r="DB47" i="1"/>
  <c r="DC47" i="1"/>
  <c r="AA47" i="3" s="1"/>
  <c r="DD47" i="1"/>
  <c r="AB47" i="3" s="1"/>
  <c r="DE47" i="1"/>
  <c r="AS47" i="1"/>
  <c r="AT47" i="1"/>
  <c r="AU47" i="1"/>
  <c r="E47" i="3" s="1"/>
  <c r="AV47" i="1"/>
  <c r="AW47" i="1"/>
  <c r="AX47" i="1"/>
  <c r="I47" i="3" s="1"/>
  <c r="AY47" i="1"/>
  <c r="AZ47" i="1"/>
  <c r="BA47" i="1"/>
  <c r="M47" i="3" s="1"/>
  <c r="BB47" i="1"/>
  <c r="BC47" i="1"/>
  <c r="BD47" i="1"/>
  <c r="Q47" i="3" s="1"/>
  <c r="BE47" i="1"/>
  <c r="BF47" i="1"/>
  <c r="BG47" i="1"/>
  <c r="U47" i="3" s="1"/>
  <c r="BH47" i="1"/>
  <c r="BI47" i="1"/>
  <c r="BJ47" i="1"/>
  <c r="Y47" i="3" s="1"/>
  <c r="BK47" i="1"/>
  <c r="BL47" i="1"/>
  <c r="BM47" i="1"/>
  <c r="AC47" i="3" s="1"/>
  <c r="Z47" i="1"/>
  <c r="AA47" i="1"/>
  <c r="AB47" i="1"/>
  <c r="AC47" i="1"/>
  <c r="AD47" i="1"/>
  <c r="AE47" i="1"/>
  <c r="AF47" i="1"/>
  <c r="AG47" i="1"/>
  <c r="AH47" i="1"/>
  <c r="B47" i="1"/>
  <c r="A47" i="3" s="1"/>
  <c r="B46" i="3"/>
  <c r="B46" i="2"/>
  <c r="C46" i="2"/>
  <c r="CK46" i="1"/>
  <c r="C46" i="3" s="1"/>
  <c r="CL46" i="1"/>
  <c r="D46" i="3" s="1"/>
  <c r="CM46" i="1"/>
  <c r="CN46" i="1"/>
  <c r="G46" i="3" s="1"/>
  <c r="CO46" i="1"/>
  <c r="H46" i="3" s="1"/>
  <c r="CP46" i="1"/>
  <c r="CQ46" i="1"/>
  <c r="K46" i="3" s="1"/>
  <c r="CR46" i="1"/>
  <c r="L46" i="3" s="1"/>
  <c r="CS46" i="1"/>
  <c r="CT46" i="1"/>
  <c r="O46" i="3" s="1"/>
  <c r="CU46" i="1"/>
  <c r="P46" i="3" s="1"/>
  <c r="CV46" i="1"/>
  <c r="CW46" i="1"/>
  <c r="S46" i="3" s="1"/>
  <c r="CX46" i="1"/>
  <c r="T46" i="3" s="1"/>
  <c r="CY46" i="1"/>
  <c r="CZ46" i="1"/>
  <c r="W46" i="3" s="1"/>
  <c r="DA46" i="1"/>
  <c r="X46" i="3" s="1"/>
  <c r="DB46" i="1"/>
  <c r="DC46" i="1"/>
  <c r="AA46" i="3" s="1"/>
  <c r="DD46" i="1"/>
  <c r="AB46" i="3" s="1"/>
  <c r="DE46" i="1"/>
  <c r="AS46" i="1"/>
  <c r="AT46" i="1"/>
  <c r="AU46" i="1"/>
  <c r="E46" i="3" s="1"/>
  <c r="AV46" i="1"/>
  <c r="AW46" i="1"/>
  <c r="AX46" i="1"/>
  <c r="I46" i="3" s="1"/>
  <c r="AY46" i="1"/>
  <c r="AZ46" i="1"/>
  <c r="BA46" i="1"/>
  <c r="M46" i="3" s="1"/>
  <c r="BB46" i="1"/>
  <c r="BC46" i="1"/>
  <c r="BD46" i="1"/>
  <c r="Q46" i="3" s="1"/>
  <c r="BE46" i="1"/>
  <c r="BF46" i="1"/>
  <c r="BG46" i="1"/>
  <c r="U46" i="3" s="1"/>
  <c r="BH46" i="1"/>
  <c r="BI46" i="1"/>
  <c r="BJ46" i="1"/>
  <c r="BK46" i="1"/>
  <c r="BL46" i="1"/>
  <c r="BM46" i="1"/>
  <c r="AC46" i="3" s="1"/>
  <c r="Z46" i="1"/>
  <c r="AA46" i="1"/>
  <c r="AB46" i="1"/>
  <c r="AC46" i="1"/>
  <c r="AD46" i="1"/>
  <c r="AE46" i="1"/>
  <c r="AF46" i="1"/>
  <c r="AG46" i="1"/>
  <c r="AH46" i="1"/>
  <c r="B46" i="1"/>
  <c r="A46" i="3" s="1"/>
  <c r="B45" i="3"/>
  <c r="B45" i="2"/>
  <c r="C45" i="2"/>
  <c r="CK45" i="1"/>
  <c r="C45" i="3" s="1"/>
  <c r="CL45" i="1"/>
  <c r="D45" i="3" s="1"/>
  <c r="CM45" i="1"/>
  <c r="CN45" i="1"/>
  <c r="G45" i="3" s="1"/>
  <c r="CO45" i="1"/>
  <c r="H45" i="3" s="1"/>
  <c r="CP45" i="1"/>
  <c r="CQ45" i="1"/>
  <c r="K45" i="3" s="1"/>
  <c r="CR45" i="1"/>
  <c r="L45" i="3" s="1"/>
  <c r="CS45" i="1"/>
  <c r="CT45" i="1"/>
  <c r="O45" i="3" s="1"/>
  <c r="CU45" i="1"/>
  <c r="P45" i="3" s="1"/>
  <c r="CV45" i="1"/>
  <c r="CW45" i="1"/>
  <c r="S45" i="3" s="1"/>
  <c r="CX45" i="1"/>
  <c r="T45" i="3" s="1"/>
  <c r="CY45" i="1"/>
  <c r="CZ45" i="1"/>
  <c r="W45" i="3" s="1"/>
  <c r="DA45" i="1"/>
  <c r="X45" i="3" s="1"/>
  <c r="DB45" i="1"/>
  <c r="DC45" i="1"/>
  <c r="AA45" i="3" s="1"/>
  <c r="DD45" i="1"/>
  <c r="AB45" i="3" s="1"/>
  <c r="DE45" i="1"/>
  <c r="AS45" i="1"/>
  <c r="AT45" i="1"/>
  <c r="AU45" i="1"/>
  <c r="E45" i="3" s="1"/>
  <c r="AV45" i="1"/>
  <c r="AW45" i="1"/>
  <c r="AX45" i="1"/>
  <c r="I45" i="3" s="1"/>
  <c r="AY45" i="1"/>
  <c r="AZ45" i="1"/>
  <c r="BA45" i="1"/>
  <c r="M45" i="3" s="1"/>
  <c r="BB45" i="1"/>
  <c r="BC45" i="1"/>
  <c r="BD45" i="1"/>
  <c r="Q45" i="3" s="1"/>
  <c r="BE45" i="1"/>
  <c r="BF45" i="1"/>
  <c r="BG45" i="1"/>
  <c r="U45" i="3" s="1"/>
  <c r="BH45" i="1"/>
  <c r="BI45" i="1"/>
  <c r="BJ45" i="1"/>
  <c r="Y45" i="3" s="1"/>
  <c r="BK45" i="1"/>
  <c r="BL45" i="1"/>
  <c r="BM45" i="1"/>
  <c r="AC45" i="3" s="1"/>
  <c r="Z45" i="1"/>
  <c r="AA45" i="1"/>
  <c r="AB45" i="1"/>
  <c r="AC45" i="1"/>
  <c r="AD45" i="1"/>
  <c r="AE45" i="1"/>
  <c r="AF45" i="1"/>
  <c r="AG45" i="1"/>
  <c r="AH45" i="1"/>
  <c r="B45" i="1"/>
  <c r="A45" i="3" s="1"/>
  <c r="B43" i="3"/>
  <c r="B44" i="3"/>
  <c r="B43" i="2"/>
  <c r="C43" i="2"/>
  <c r="B44" i="2"/>
  <c r="C44" i="2"/>
  <c r="CT44" i="1"/>
  <c r="O44" i="3" s="1"/>
  <c r="CU44" i="1"/>
  <c r="P44" i="3" s="1"/>
  <c r="CV44" i="1"/>
  <c r="CS44" i="1"/>
  <c r="CR44" i="1"/>
  <c r="L44" i="3" s="1"/>
  <c r="CQ44" i="1"/>
  <c r="K44" i="3" s="1"/>
  <c r="CK44" i="1"/>
  <c r="C44" i="3" s="1"/>
  <c r="CL44" i="1"/>
  <c r="D44" i="3" s="1"/>
  <c r="CM44" i="1"/>
  <c r="CN44" i="1"/>
  <c r="G44" i="3" s="1"/>
  <c r="CO44" i="1"/>
  <c r="H44" i="3" s="1"/>
  <c r="CP44" i="1"/>
  <c r="CW44" i="1"/>
  <c r="S44" i="3" s="1"/>
  <c r="CX44" i="1"/>
  <c r="CY44" i="1"/>
  <c r="CZ44" i="1"/>
  <c r="W44" i="3" s="1"/>
  <c r="DA44" i="1"/>
  <c r="X44" i="3" s="1"/>
  <c r="DB44" i="1"/>
  <c r="DC44" i="1"/>
  <c r="AA44" i="3" s="1"/>
  <c r="DD44" i="1"/>
  <c r="AB44" i="3" s="1"/>
  <c r="DE44" i="1"/>
  <c r="AS43" i="1"/>
  <c r="AT43" i="1"/>
  <c r="AU43" i="1"/>
  <c r="E43" i="3" s="1"/>
  <c r="AV43" i="1"/>
  <c r="AW43" i="1"/>
  <c r="AX43" i="1"/>
  <c r="I43" i="3" s="1"/>
  <c r="BB43" i="1"/>
  <c r="BC43" i="1"/>
  <c r="BD43" i="1"/>
  <c r="Q43" i="3" s="1"/>
  <c r="BE43" i="1"/>
  <c r="BF43" i="1"/>
  <c r="BG43" i="1"/>
  <c r="U43" i="3" s="1"/>
  <c r="BH43" i="1"/>
  <c r="BI43" i="1"/>
  <c r="BJ43" i="1"/>
  <c r="Y43" i="3" s="1"/>
  <c r="BK43" i="1"/>
  <c r="BL43" i="1"/>
  <c r="BM43" i="1"/>
  <c r="AC43" i="3" s="1"/>
  <c r="AS44" i="1"/>
  <c r="AT44" i="1"/>
  <c r="AU44" i="1"/>
  <c r="E44" i="3" s="1"/>
  <c r="AV44" i="1"/>
  <c r="AW44" i="1"/>
  <c r="AX44" i="1"/>
  <c r="I44" i="3" s="1"/>
  <c r="AY44" i="1"/>
  <c r="AZ44" i="1"/>
  <c r="BA44" i="1"/>
  <c r="M44" i="3" s="1"/>
  <c r="BB44" i="1"/>
  <c r="BC44" i="1"/>
  <c r="BD44" i="1"/>
  <c r="Q44" i="3" s="1"/>
  <c r="BE44" i="1"/>
  <c r="BF44" i="1"/>
  <c r="BG44" i="1"/>
  <c r="U44" i="3" s="1"/>
  <c r="BH44" i="1"/>
  <c r="BI44" i="1"/>
  <c r="BJ44" i="1"/>
  <c r="Y44" i="3" s="1"/>
  <c r="BK44" i="1"/>
  <c r="BL44" i="1"/>
  <c r="BM44" i="1"/>
  <c r="AC44" i="3" s="1"/>
  <c r="Z43" i="1"/>
  <c r="AA43" i="1"/>
  <c r="AC43" i="1"/>
  <c r="AD43" i="1"/>
  <c r="AE43" i="1"/>
  <c r="AG43" i="1"/>
  <c r="AH43" i="1"/>
  <c r="Z44" i="1"/>
  <c r="AA44" i="1"/>
  <c r="AB44" i="1"/>
  <c r="AC44" i="1"/>
  <c r="AD44" i="1"/>
  <c r="AE44" i="1"/>
  <c r="AF44" i="1"/>
  <c r="AG44" i="1"/>
  <c r="AH44" i="1"/>
  <c r="B44" i="1"/>
  <c r="A44" i="3" s="1"/>
  <c r="CK43" i="1"/>
  <c r="C43" i="3" s="1"/>
  <c r="CL43" i="1"/>
  <c r="D43" i="3" s="1"/>
  <c r="CM43" i="1"/>
  <c r="CN43" i="1"/>
  <c r="G43" i="3" s="1"/>
  <c r="CO43" i="1"/>
  <c r="H43" i="3" s="1"/>
  <c r="CP43" i="1"/>
  <c r="CT43" i="1"/>
  <c r="O43" i="3" s="1"/>
  <c r="CU43" i="1"/>
  <c r="P43" i="3" s="1"/>
  <c r="CV43" i="1"/>
  <c r="CW43" i="1"/>
  <c r="CX43" i="1"/>
  <c r="T43" i="3" s="1"/>
  <c r="CY43" i="1"/>
  <c r="CZ43" i="1"/>
  <c r="W43" i="3" s="1"/>
  <c r="DA43" i="1"/>
  <c r="X43" i="3" s="1"/>
  <c r="DB43" i="1"/>
  <c r="DC43" i="1"/>
  <c r="AA43" i="3" s="1"/>
  <c r="DD43" i="1"/>
  <c r="AB43" i="3" s="1"/>
  <c r="DE43" i="1"/>
  <c r="B43" i="1"/>
  <c r="A43" i="2" s="1"/>
  <c r="B42" i="3"/>
  <c r="B42" i="2"/>
  <c r="C42" i="2"/>
  <c r="CK42" i="1"/>
  <c r="C42" i="3" s="1"/>
  <c r="CL42" i="1"/>
  <c r="D42" i="3" s="1"/>
  <c r="CM42" i="1"/>
  <c r="CN42" i="1"/>
  <c r="G42" i="3" s="1"/>
  <c r="CO42" i="1"/>
  <c r="H42" i="3" s="1"/>
  <c r="CP42" i="1"/>
  <c r="CQ42" i="1"/>
  <c r="K42" i="3" s="1"/>
  <c r="CR42" i="1"/>
  <c r="L42" i="3" s="1"/>
  <c r="CS42" i="1"/>
  <c r="CT42" i="1"/>
  <c r="O42" i="3" s="1"/>
  <c r="CU42" i="1"/>
  <c r="P42" i="3" s="1"/>
  <c r="CV42" i="1"/>
  <c r="CW42" i="1"/>
  <c r="CX42" i="1"/>
  <c r="T42" i="3" s="1"/>
  <c r="CY42" i="1"/>
  <c r="CZ42" i="1"/>
  <c r="W42" i="3" s="1"/>
  <c r="DA42" i="1"/>
  <c r="X42" i="3" s="1"/>
  <c r="DB42" i="1"/>
  <c r="DC42" i="1"/>
  <c r="AA42" i="3" s="1"/>
  <c r="DD42" i="1"/>
  <c r="AB42" i="3" s="1"/>
  <c r="DE42" i="1"/>
  <c r="AS42" i="1"/>
  <c r="AT42" i="1"/>
  <c r="AU42" i="1"/>
  <c r="E42" i="3" s="1"/>
  <c r="AV42" i="1"/>
  <c r="AW42" i="1"/>
  <c r="AX42" i="1"/>
  <c r="I42" i="3" s="1"/>
  <c r="AY42" i="1"/>
  <c r="AZ42" i="1"/>
  <c r="BA42" i="1"/>
  <c r="M42" i="3" s="1"/>
  <c r="BB42" i="1"/>
  <c r="BC42" i="1"/>
  <c r="BD42" i="1"/>
  <c r="Q42" i="3" s="1"/>
  <c r="BE42" i="1"/>
  <c r="BF42" i="1"/>
  <c r="BG42" i="1"/>
  <c r="U42" i="3" s="1"/>
  <c r="BH42" i="1"/>
  <c r="BI42" i="1"/>
  <c r="BJ42" i="1"/>
  <c r="Y42" i="3" s="1"/>
  <c r="BK42" i="1"/>
  <c r="BL42" i="1"/>
  <c r="BM42" i="1"/>
  <c r="AC42" i="3" s="1"/>
  <c r="Z42" i="1"/>
  <c r="AA42" i="1"/>
  <c r="AB42" i="1"/>
  <c r="AC42" i="1"/>
  <c r="AD42" i="1"/>
  <c r="AE42" i="1"/>
  <c r="AF42" i="1"/>
  <c r="AG42" i="1"/>
  <c r="AH42" i="1"/>
  <c r="B42" i="1"/>
  <c r="A42" i="3" s="1"/>
  <c r="B41" i="3"/>
  <c r="B41" i="2"/>
  <c r="C41" i="2"/>
  <c r="CK41" i="1"/>
  <c r="C41" i="3" s="1"/>
  <c r="CL41" i="1"/>
  <c r="D41" i="3" s="1"/>
  <c r="CM41" i="1"/>
  <c r="CN41" i="1"/>
  <c r="G41" i="3" s="1"/>
  <c r="CO41" i="1"/>
  <c r="H41" i="3" s="1"/>
  <c r="CP41" i="1"/>
  <c r="CQ41" i="1"/>
  <c r="K41" i="3" s="1"/>
  <c r="CR41" i="1"/>
  <c r="L41" i="3" s="1"/>
  <c r="CS41" i="1"/>
  <c r="CT41" i="1"/>
  <c r="O41" i="3" s="1"/>
  <c r="CU41" i="1"/>
  <c r="P41" i="3" s="1"/>
  <c r="CV41" i="1"/>
  <c r="CW41" i="1"/>
  <c r="S41" i="3" s="1"/>
  <c r="CX41" i="1"/>
  <c r="T41" i="3" s="1"/>
  <c r="CY41" i="1"/>
  <c r="CZ41" i="1"/>
  <c r="W41" i="3" s="1"/>
  <c r="DA41" i="1"/>
  <c r="X41" i="3" s="1"/>
  <c r="DB41" i="1"/>
  <c r="DC41" i="1"/>
  <c r="AA41" i="3" s="1"/>
  <c r="DD41" i="1"/>
  <c r="AB41" i="3" s="1"/>
  <c r="DE41" i="1"/>
  <c r="AS41" i="1"/>
  <c r="AT41" i="1"/>
  <c r="AU41" i="1"/>
  <c r="E41" i="3" s="1"/>
  <c r="AV41" i="1"/>
  <c r="AW41" i="1"/>
  <c r="AX41" i="1"/>
  <c r="I41" i="3" s="1"/>
  <c r="AY41" i="1"/>
  <c r="AZ41" i="1"/>
  <c r="BA41" i="1"/>
  <c r="M41" i="3" s="1"/>
  <c r="BB41" i="1"/>
  <c r="BC41" i="1"/>
  <c r="BD41" i="1"/>
  <c r="Q41" i="3" s="1"/>
  <c r="BE41" i="1"/>
  <c r="BF41" i="1"/>
  <c r="BG41" i="1"/>
  <c r="U41" i="3" s="1"/>
  <c r="BH41" i="1"/>
  <c r="BI41" i="1"/>
  <c r="BJ41" i="1"/>
  <c r="Y41" i="3" s="1"/>
  <c r="BK41" i="1"/>
  <c r="BL41" i="1"/>
  <c r="BM41" i="1"/>
  <c r="AC41" i="3" s="1"/>
  <c r="Z41" i="1"/>
  <c r="AA41" i="1"/>
  <c r="AB41" i="1"/>
  <c r="AC41" i="1"/>
  <c r="AD41" i="1"/>
  <c r="AE41" i="1"/>
  <c r="AF41" i="1"/>
  <c r="AG41" i="1"/>
  <c r="AH41" i="1"/>
  <c r="B35" i="1"/>
  <c r="B36" i="1"/>
  <c r="B37" i="1"/>
  <c r="B38" i="1"/>
  <c r="B39" i="1"/>
  <c r="B40" i="1"/>
  <c r="A40" i="3" s="1"/>
  <c r="B41" i="1"/>
  <c r="A41" i="2" s="1"/>
  <c r="B40" i="3"/>
  <c r="B40" i="2"/>
  <c r="C40" i="2"/>
  <c r="CK40" i="1"/>
  <c r="C40" i="3" s="1"/>
  <c r="CL40" i="1"/>
  <c r="D40" i="3" s="1"/>
  <c r="CM40" i="1"/>
  <c r="CN40" i="1"/>
  <c r="G40" i="3" s="1"/>
  <c r="CO40" i="1"/>
  <c r="H40" i="3" s="1"/>
  <c r="CP40" i="1"/>
  <c r="CQ40" i="1"/>
  <c r="K40" i="3" s="1"/>
  <c r="CR40" i="1"/>
  <c r="L40" i="3" s="1"/>
  <c r="CS40" i="1"/>
  <c r="CT40" i="1"/>
  <c r="O40" i="3" s="1"/>
  <c r="CU40" i="1"/>
  <c r="P40" i="3" s="1"/>
  <c r="CV40" i="1"/>
  <c r="CW40" i="1"/>
  <c r="S40" i="3" s="1"/>
  <c r="CX40" i="1"/>
  <c r="T40" i="3" s="1"/>
  <c r="CY40" i="1"/>
  <c r="CZ40" i="1"/>
  <c r="W40" i="3" s="1"/>
  <c r="DA40" i="1"/>
  <c r="X40" i="3" s="1"/>
  <c r="DB40" i="1"/>
  <c r="DC40" i="1"/>
  <c r="AA40" i="3" s="1"/>
  <c r="DD40" i="1"/>
  <c r="AB40" i="3" s="1"/>
  <c r="DE40" i="1"/>
  <c r="AS40" i="1"/>
  <c r="AT40" i="1"/>
  <c r="AU40" i="1"/>
  <c r="E40" i="3" s="1"/>
  <c r="AV40" i="1"/>
  <c r="AW40" i="1"/>
  <c r="AX40" i="1"/>
  <c r="I40" i="3" s="1"/>
  <c r="AY40" i="1"/>
  <c r="AZ40" i="1"/>
  <c r="BA40" i="1"/>
  <c r="M40" i="3" s="1"/>
  <c r="BB40" i="1"/>
  <c r="BC40" i="1"/>
  <c r="BD40" i="1"/>
  <c r="Q40" i="3" s="1"/>
  <c r="BE40" i="1"/>
  <c r="BF40" i="1"/>
  <c r="BG40" i="1"/>
  <c r="U40" i="3" s="1"/>
  <c r="BH40" i="1"/>
  <c r="BI40" i="1"/>
  <c r="BJ40" i="1"/>
  <c r="Y40" i="3" s="1"/>
  <c r="BK40" i="1"/>
  <c r="BL40" i="1"/>
  <c r="BM40" i="1"/>
  <c r="AC40" i="3" s="1"/>
  <c r="Z40" i="1"/>
  <c r="AA40" i="1"/>
  <c r="AB40" i="1"/>
  <c r="AC40" i="1"/>
  <c r="AD40" i="1"/>
  <c r="AE40" i="1"/>
  <c r="AF40" i="1"/>
  <c r="AG40" i="1"/>
  <c r="AH40" i="1"/>
  <c r="A40" i="2" l="1"/>
  <c r="A42" i="2"/>
  <c r="J46" i="3"/>
  <c r="R48" i="3"/>
  <c r="N48" i="3"/>
  <c r="AD47" i="3"/>
  <c r="A46" i="2"/>
  <c r="AD48" i="3"/>
  <c r="Y46" i="3"/>
  <c r="Z46" i="3" s="1"/>
  <c r="R45" i="3"/>
  <c r="V47" i="3"/>
  <c r="R47" i="3"/>
  <c r="J48" i="3"/>
  <c r="Z48" i="3"/>
  <c r="N47" i="3"/>
  <c r="A45" i="2"/>
  <c r="V46" i="3"/>
  <c r="F48" i="3"/>
  <c r="V48" i="3"/>
  <c r="Z47" i="3"/>
  <c r="N46" i="3"/>
  <c r="J45" i="3"/>
  <c r="AD46" i="3"/>
  <c r="R46" i="3"/>
  <c r="F46" i="3"/>
  <c r="AD45" i="3"/>
  <c r="F47" i="3"/>
  <c r="J47" i="3"/>
  <c r="F45" i="3"/>
  <c r="V45" i="3"/>
  <c r="N42" i="3"/>
  <c r="T44" i="3"/>
  <c r="V44" i="3" s="1"/>
  <c r="A47" i="2"/>
  <c r="N45" i="3"/>
  <c r="AD42" i="3"/>
  <c r="Z42" i="3"/>
  <c r="V40" i="3"/>
  <c r="F40" i="3"/>
  <c r="J41" i="3"/>
  <c r="A41" i="3"/>
  <c r="Z45" i="3"/>
  <c r="R40" i="3"/>
  <c r="R42" i="3"/>
  <c r="AD40" i="3"/>
  <c r="N40" i="3"/>
  <c r="R41" i="3"/>
  <c r="F43" i="3"/>
  <c r="J40" i="3"/>
  <c r="J42" i="3"/>
  <c r="F42" i="3"/>
  <c r="J44" i="3"/>
  <c r="Z43" i="3"/>
  <c r="S43" i="3"/>
  <c r="V43" i="3" s="1"/>
  <c r="Z40" i="3"/>
  <c r="Z41" i="3"/>
  <c r="A44" i="2"/>
  <c r="A43" i="3"/>
  <c r="S42" i="3"/>
  <c r="V42" i="3" s="1"/>
  <c r="Z44" i="3"/>
  <c r="AD41" i="3"/>
  <c r="N41" i="3"/>
  <c r="F44" i="3"/>
  <c r="R43" i="3"/>
  <c r="R44" i="3"/>
  <c r="AD43" i="3"/>
  <c r="J43" i="3"/>
  <c r="V41" i="3"/>
  <c r="F41" i="3"/>
  <c r="AD44" i="3"/>
  <c r="N44" i="3"/>
  <c r="A38" i="2"/>
  <c r="B38" i="2"/>
  <c r="C38" i="2"/>
  <c r="A39" i="2"/>
  <c r="B39" i="2"/>
  <c r="C39" i="2"/>
  <c r="A38" i="3"/>
  <c r="B38" i="3"/>
  <c r="A39" i="3"/>
  <c r="B39" i="3"/>
  <c r="CK38" i="1"/>
  <c r="C38" i="3" s="1"/>
  <c r="CL38" i="1"/>
  <c r="D38" i="3" s="1"/>
  <c r="CM38" i="1"/>
  <c r="CN38" i="1"/>
  <c r="G38" i="3" s="1"/>
  <c r="CO38" i="1"/>
  <c r="H38" i="3" s="1"/>
  <c r="CP38" i="1"/>
  <c r="CQ38" i="1"/>
  <c r="K38" i="3" s="1"/>
  <c r="CR38" i="1"/>
  <c r="L38" i="3" s="1"/>
  <c r="CS38" i="1"/>
  <c r="CT38" i="1"/>
  <c r="O38" i="3" s="1"/>
  <c r="CU38" i="1"/>
  <c r="P38" i="3" s="1"/>
  <c r="CV38" i="1"/>
  <c r="CW38" i="1"/>
  <c r="CX38" i="1"/>
  <c r="T38" i="3" s="1"/>
  <c r="CY38" i="1"/>
  <c r="CZ38" i="1"/>
  <c r="W38" i="3" s="1"/>
  <c r="DA38" i="1"/>
  <c r="X38" i="3" s="1"/>
  <c r="DB38" i="1"/>
  <c r="DC38" i="1"/>
  <c r="AA38" i="3" s="1"/>
  <c r="DD38" i="1"/>
  <c r="AB38" i="3" s="1"/>
  <c r="DE38" i="1"/>
  <c r="CK39" i="1"/>
  <c r="C39" i="3" s="1"/>
  <c r="CL39" i="1"/>
  <c r="D39" i="3" s="1"/>
  <c r="CM39" i="1"/>
  <c r="CN39" i="1"/>
  <c r="G39" i="3" s="1"/>
  <c r="CO39" i="1"/>
  <c r="H39" i="3" s="1"/>
  <c r="CP39" i="1"/>
  <c r="CQ39" i="1"/>
  <c r="K39" i="3" s="1"/>
  <c r="CR39" i="1"/>
  <c r="L39" i="3" s="1"/>
  <c r="CS39" i="1"/>
  <c r="CT39" i="1"/>
  <c r="O39" i="3" s="1"/>
  <c r="CU39" i="1"/>
  <c r="P39" i="3" s="1"/>
  <c r="CV39" i="1"/>
  <c r="CW39" i="1"/>
  <c r="S39" i="3" s="1"/>
  <c r="CX39" i="1"/>
  <c r="T39" i="3" s="1"/>
  <c r="CY39" i="1"/>
  <c r="CZ39" i="1"/>
  <c r="W39" i="3" s="1"/>
  <c r="DA39" i="1"/>
  <c r="X39" i="3" s="1"/>
  <c r="DB39" i="1"/>
  <c r="DC39" i="1"/>
  <c r="AA39" i="3" s="1"/>
  <c r="DD39" i="1"/>
  <c r="AB39" i="3" s="1"/>
  <c r="DE39" i="1"/>
  <c r="AS38" i="1"/>
  <c r="AT38" i="1"/>
  <c r="AU38" i="1"/>
  <c r="E38" i="3" s="1"/>
  <c r="AV38" i="1"/>
  <c r="AW38" i="1"/>
  <c r="AX38" i="1"/>
  <c r="I38" i="3" s="1"/>
  <c r="AY38" i="1"/>
  <c r="AZ38" i="1"/>
  <c r="BA38" i="1"/>
  <c r="M38" i="3" s="1"/>
  <c r="BB38" i="1"/>
  <c r="BC38" i="1"/>
  <c r="BD38" i="1"/>
  <c r="Q38" i="3" s="1"/>
  <c r="BE38" i="1"/>
  <c r="BF38" i="1"/>
  <c r="BG38" i="1"/>
  <c r="U38" i="3" s="1"/>
  <c r="BH38" i="1"/>
  <c r="BI38" i="1"/>
  <c r="BJ38" i="1"/>
  <c r="Y38" i="3" s="1"/>
  <c r="BK38" i="1"/>
  <c r="BL38" i="1"/>
  <c r="BM38" i="1"/>
  <c r="AC38" i="3" s="1"/>
  <c r="AS39" i="1"/>
  <c r="AT39" i="1"/>
  <c r="AU39" i="1"/>
  <c r="E39" i="3" s="1"/>
  <c r="AV39" i="1"/>
  <c r="AW39" i="1"/>
  <c r="AX39" i="1"/>
  <c r="I39" i="3" s="1"/>
  <c r="AY39" i="1"/>
  <c r="AZ39" i="1"/>
  <c r="BA39" i="1"/>
  <c r="M39" i="3" s="1"/>
  <c r="BB39" i="1"/>
  <c r="BC39" i="1"/>
  <c r="BD39" i="1"/>
  <c r="Q39" i="3" s="1"/>
  <c r="BE39" i="1"/>
  <c r="BF39" i="1"/>
  <c r="BG39" i="1"/>
  <c r="U39" i="3" s="1"/>
  <c r="BH39" i="1"/>
  <c r="BI39" i="1"/>
  <c r="BJ39" i="1"/>
  <c r="Y39" i="3" s="1"/>
  <c r="BK39" i="1"/>
  <c r="BL39" i="1"/>
  <c r="BM39" i="1"/>
  <c r="AC39" i="3" s="1"/>
  <c r="Z38" i="1"/>
  <c r="AA38" i="1"/>
  <c r="AB38" i="1"/>
  <c r="AC38" i="1"/>
  <c r="AD38" i="1"/>
  <c r="AE38" i="1"/>
  <c r="AF38" i="1"/>
  <c r="AG38" i="1"/>
  <c r="AH38" i="1"/>
  <c r="Z39" i="1"/>
  <c r="AA39" i="1"/>
  <c r="AB39" i="1"/>
  <c r="AC39" i="1"/>
  <c r="AD39" i="1"/>
  <c r="AE39" i="1"/>
  <c r="AF39" i="1"/>
  <c r="AG39" i="1"/>
  <c r="AH39" i="1"/>
  <c r="AD39" i="3" l="1"/>
  <c r="N39" i="3"/>
  <c r="J39" i="3"/>
  <c r="R39" i="3"/>
  <c r="F39" i="3"/>
  <c r="Z39" i="3"/>
  <c r="V39" i="3"/>
  <c r="S38" i="3"/>
  <c r="V38" i="3" s="1"/>
  <c r="AD38" i="3"/>
  <c r="N38" i="3"/>
  <c r="R38" i="3"/>
  <c r="F38" i="3"/>
  <c r="Z38" i="3"/>
  <c r="J38" i="3"/>
  <c r="B37" i="3" l="1"/>
  <c r="B37" i="2"/>
  <c r="C37" i="2"/>
  <c r="CK37" i="1"/>
  <c r="C37" i="3" s="1"/>
  <c r="CL37" i="1"/>
  <c r="D37" i="3" s="1"/>
  <c r="CM37" i="1"/>
  <c r="CN37" i="1"/>
  <c r="G37" i="3" s="1"/>
  <c r="CO37" i="1"/>
  <c r="H37" i="3" s="1"/>
  <c r="CP37" i="1"/>
  <c r="CQ37" i="1"/>
  <c r="K37" i="3" s="1"/>
  <c r="CR37" i="1"/>
  <c r="L37" i="3" s="1"/>
  <c r="CS37" i="1"/>
  <c r="CT37" i="1"/>
  <c r="O37" i="3" s="1"/>
  <c r="CU37" i="1"/>
  <c r="P37" i="3" s="1"/>
  <c r="CV37" i="1"/>
  <c r="CW37" i="1"/>
  <c r="CX37" i="1"/>
  <c r="CY37" i="1"/>
  <c r="CZ37" i="1"/>
  <c r="W37" i="3" s="1"/>
  <c r="DA37" i="1"/>
  <c r="X37" i="3" s="1"/>
  <c r="DB37" i="1"/>
  <c r="DC37" i="1"/>
  <c r="AA37" i="3" s="1"/>
  <c r="DD37" i="1"/>
  <c r="AB37" i="3" s="1"/>
  <c r="DE37" i="1"/>
  <c r="AS37" i="1"/>
  <c r="AT37" i="1"/>
  <c r="AU37" i="1"/>
  <c r="E37" i="3" s="1"/>
  <c r="AV37" i="1"/>
  <c r="AW37" i="1"/>
  <c r="AX37" i="1"/>
  <c r="I37" i="3" s="1"/>
  <c r="AY37" i="1"/>
  <c r="AZ37" i="1"/>
  <c r="BA37" i="1"/>
  <c r="M37" i="3" s="1"/>
  <c r="BB37" i="1"/>
  <c r="BC37" i="1"/>
  <c r="BD37" i="1"/>
  <c r="Q37" i="3" s="1"/>
  <c r="BE37" i="1"/>
  <c r="BF37" i="1"/>
  <c r="BG37" i="1"/>
  <c r="U37" i="3" s="1"/>
  <c r="BH37" i="1"/>
  <c r="BI37" i="1"/>
  <c r="BJ37" i="1"/>
  <c r="Y37" i="3" s="1"/>
  <c r="BK37" i="1"/>
  <c r="BL37" i="1"/>
  <c r="BM37" i="1"/>
  <c r="AC37" i="3" s="1"/>
  <c r="Z37" i="1"/>
  <c r="AA37" i="1"/>
  <c r="AB37" i="1"/>
  <c r="AC37" i="1"/>
  <c r="AD37" i="1"/>
  <c r="AE37" i="1"/>
  <c r="AF37" i="1"/>
  <c r="AG37" i="1"/>
  <c r="AH37" i="1"/>
  <c r="Z36" i="1"/>
  <c r="AA36" i="1"/>
  <c r="AB36" i="1"/>
  <c r="AC36" i="1"/>
  <c r="AD36" i="1"/>
  <c r="AE36" i="1"/>
  <c r="AF36" i="1"/>
  <c r="AG36" i="1"/>
  <c r="AH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Y36" i="3" s="1"/>
  <c r="BK36" i="1"/>
  <c r="BL36" i="1"/>
  <c r="BM36" i="1"/>
  <c r="A36" i="2"/>
  <c r="A37" i="3"/>
  <c r="B36" i="3"/>
  <c r="X34" i="2"/>
  <c r="T34" i="2"/>
  <c r="B36" i="2"/>
  <c r="C36" i="2"/>
  <c r="DD36" i="1"/>
  <c r="AB36" i="3" s="1"/>
  <c r="DE36" i="1"/>
  <c r="B35" i="3"/>
  <c r="B35" i="2"/>
  <c r="C35" i="2"/>
  <c r="AF35" i="1"/>
  <c r="AB35" i="1"/>
  <c r="DE35" i="1"/>
  <c r="DD35" i="1"/>
  <c r="AB35" i="3" s="1"/>
  <c r="DC35" i="1"/>
  <c r="AA35" i="3" s="1"/>
  <c r="DB35" i="1"/>
  <c r="DA35" i="1"/>
  <c r="X35" i="3" s="1"/>
  <c r="CZ35" i="1"/>
  <c r="W35" i="3" s="1"/>
  <c r="CY35" i="1"/>
  <c r="CX35" i="1"/>
  <c r="CW35" i="1"/>
  <c r="S35" i="3" s="1"/>
  <c r="CV35" i="1"/>
  <c r="CU35" i="1"/>
  <c r="P35" i="3" s="1"/>
  <c r="CT35" i="1"/>
  <c r="O35" i="3" s="1"/>
  <c r="CS35" i="1"/>
  <c r="CR35" i="1"/>
  <c r="L35" i="3" s="1"/>
  <c r="CQ35" i="1"/>
  <c r="K35" i="3" s="1"/>
  <c r="CP35" i="1"/>
  <c r="CO35" i="1"/>
  <c r="H35" i="3" s="1"/>
  <c r="CN35" i="1"/>
  <c r="G35" i="3" s="1"/>
  <c r="CM35" i="1"/>
  <c r="CL35" i="1"/>
  <c r="D35" i="3" s="1"/>
  <c r="CK35" i="1"/>
  <c r="C35" i="3" s="1"/>
  <c r="BM35" i="1"/>
  <c r="AC35" i="3" s="1"/>
  <c r="BL35" i="1"/>
  <c r="BK35" i="1"/>
  <c r="BJ35" i="1"/>
  <c r="Y35" i="3" s="1"/>
  <c r="BI35" i="1"/>
  <c r="BH35" i="1"/>
  <c r="BG35" i="1"/>
  <c r="U35" i="3" s="1"/>
  <c r="BF35" i="1"/>
  <c r="BE35" i="1"/>
  <c r="BD35" i="1"/>
  <c r="Q35" i="3" s="1"/>
  <c r="BC35" i="1"/>
  <c r="BB35" i="1"/>
  <c r="BA35" i="1"/>
  <c r="M35" i="3" s="1"/>
  <c r="AZ35" i="1"/>
  <c r="AY35" i="1"/>
  <c r="AX35" i="1"/>
  <c r="I35" i="3" s="1"/>
  <c r="AW35" i="1"/>
  <c r="AV35" i="1"/>
  <c r="AU35" i="1"/>
  <c r="E35" i="3" s="1"/>
  <c r="AT35" i="1"/>
  <c r="AS35" i="1"/>
  <c r="Z35" i="1"/>
  <c r="AA35" i="1"/>
  <c r="AC35" i="1"/>
  <c r="AD35" i="1"/>
  <c r="AE35" i="1"/>
  <c r="AG35" i="1"/>
  <c r="AH35" i="1"/>
  <c r="A35" i="2"/>
  <c r="B34" i="3"/>
  <c r="B34" i="2"/>
  <c r="C34" i="2"/>
  <c r="CK34" i="1"/>
  <c r="C34" i="3" s="1"/>
  <c r="CL34" i="1"/>
  <c r="D34" i="3" s="1"/>
  <c r="CM34" i="1"/>
  <c r="CN34" i="1"/>
  <c r="G34" i="3" s="1"/>
  <c r="CO34" i="1"/>
  <c r="H34" i="3" s="1"/>
  <c r="CP34" i="1"/>
  <c r="CQ34" i="1"/>
  <c r="CR34" i="1"/>
  <c r="CS34" i="1"/>
  <c r="CT34" i="1"/>
  <c r="O34" i="3" s="1"/>
  <c r="CU34" i="1"/>
  <c r="P34" i="3" s="1"/>
  <c r="CV34" i="1"/>
  <c r="CW34" i="1"/>
  <c r="CX34" i="1"/>
  <c r="CY34" i="1"/>
  <c r="CZ34" i="1"/>
  <c r="W34" i="3" s="1"/>
  <c r="DA34" i="1"/>
  <c r="X34" i="3" s="1"/>
  <c r="DB34" i="1"/>
  <c r="DC34" i="1"/>
  <c r="AA34" i="3" s="1"/>
  <c r="DD34" i="1"/>
  <c r="AB34" i="3" s="1"/>
  <c r="DE34" i="1"/>
  <c r="AS34" i="1"/>
  <c r="AT34" i="1"/>
  <c r="AU34" i="1"/>
  <c r="E34" i="3" s="1"/>
  <c r="AV34" i="1"/>
  <c r="AW34" i="1"/>
  <c r="AX34" i="1"/>
  <c r="I34" i="3" s="1"/>
  <c r="AY34" i="1"/>
  <c r="AZ34" i="1"/>
  <c r="BA34" i="1"/>
  <c r="BB34" i="1"/>
  <c r="BC34" i="1"/>
  <c r="BD34" i="1"/>
  <c r="Q34" i="3" s="1"/>
  <c r="BE34" i="1"/>
  <c r="BF34" i="1"/>
  <c r="BG34" i="1"/>
  <c r="U34" i="3" s="1"/>
  <c r="BH34" i="1"/>
  <c r="BI34" i="1"/>
  <c r="BJ34" i="1"/>
  <c r="Y34" i="3" s="1"/>
  <c r="BK34" i="1"/>
  <c r="BL34" i="1"/>
  <c r="BM34" i="1"/>
  <c r="AC34" i="3" s="1"/>
  <c r="Z34" i="1"/>
  <c r="AA34" i="1"/>
  <c r="AC34" i="1"/>
  <c r="AD34" i="1"/>
  <c r="AE34" i="1"/>
  <c r="AG34" i="1"/>
  <c r="AH34" i="1"/>
  <c r="AK34" i="1"/>
  <c r="AO34" i="1"/>
  <c r="B34" i="1"/>
  <c r="A34" i="3" s="1"/>
  <c r="B33" i="3"/>
  <c r="B33" i="2"/>
  <c r="C33" i="2"/>
  <c r="CK33" i="1"/>
  <c r="C33" i="3" s="1"/>
  <c r="CL33" i="1"/>
  <c r="D33" i="3" s="1"/>
  <c r="CM33" i="1"/>
  <c r="CN33" i="1"/>
  <c r="G33" i="3" s="1"/>
  <c r="CO33" i="1"/>
  <c r="H33" i="3" s="1"/>
  <c r="CP33" i="1"/>
  <c r="CQ33" i="1"/>
  <c r="CR33" i="1"/>
  <c r="CS33" i="1"/>
  <c r="CT33" i="1"/>
  <c r="O33" i="3" s="1"/>
  <c r="CU33" i="1"/>
  <c r="P33" i="3" s="1"/>
  <c r="CV33" i="1"/>
  <c r="CW33" i="1"/>
  <c r="CX33" i="1"/>
  <c r="CY33" i="1"/>
  <c r="CZ33" i="1"/>
  <c r="W33" i="3" s="1"/>
  <c r="DA33" i="1"/>
  <c r="X33" i="3" s="1"/>
  <c r="DB33" i="1"/>
  <c r="DC33" i="1"/>
  <c r="AA33" i="3" s="1"/>
  <c r="DD33" i="1"/>
  <c r="AB33" i="3" s="1"/>
  <c r="DE33" i="1"/>
  <c r="AS33" i="1"/>
  <c r="AT33" i="1"/>
  <c r="AU33" i="1"/>
  <c r="E33" i="3" s="1"/>
  <c r="AV33" i="1"/>
  <c r="AW33" i="1"/>
  <c r="AX33" i="1"/>
  <c r="I33" i="3" s="1"/>
  <c r="AY33" i="1"/>
  <c r="AZ33" i="1"/>
  <c r="BA33" i="1"/>
  <c r="BB33" i="1"/>
  <c r="BC33" i="1"/>
  <c r="BD33" i="1"/>
  <c r="Q33" i="3" s="1"/>
  <c r="BE33" i="1"/>
  <c r="BF33" i="1"/>
  <c r="BG33" i="1"/>
  <c r="U33" i="3" s="1"/>
  <c r="BH33" i="1"/>
  <c r="BI33" i="1"/>
  <c r="BJ33" i="1"/>
  <c r="Y33" i="3" s="1"/>
  <c r="BK33" i="1"/>
  <c r="BL33" i="1"/>
  <c r="BM33" i="1"/>
  <c r="AC33" i="3" s="1"/>
  <c r="Z33" i="1"/>
  <c r="AA33" i="1"/>
  <c r="AK33" i="1"/>
  <c r="AC33" i="1"/>
  <c r="AD33" i="1"/>
  <c r="AE33" i="1"/>
  <c r="AO33" i="1"/>
  <c r="AG33" i="1"/>
  <c r="AH33" i="1"/>
  <c r="Z32" i="1"/>
  <c r="AA32" i="1"/>
  <c r="AB32" i="1"/>
  <c r="AC32" i="1"/>
  <c r="AD32" i="1"/>
  <c r="AE32" i="1"/>
  <c r="AF32" i="1"/>
  <c r="AG32" i="1"/>
  <c r="AH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Y32" i="3" s="1"/>
  <c r="BK32" i="1"/>
  <c r="BL32" i="1"/>
  <c r="BM32" i="1"/>
  <c r="CK32" i="1"/>
  <c r="CL32" i="1"/>
  <c r="CM32" i="1"/>
  <c r="CN32" i="1"/>
  <c r="CO32" i="1"/>
  <c r="CP32" i="1"/>
  <c r="CQ32" i="1"/>
  <c r="CR32" i="1"/>
  <c r="B33" i="1"/>
  <c r="A33" i="3" s="1"/>
  <c r="B32" i="3"/>
  <c r="B32" i="2"/>
  <c r="C32" i="2"/>
  <c r="B32" i="1"/>
  <c r="A32" i="3" s="1"/>
  <c r="T37" i="3" l="1"/>
  <c r="R34" i="3"/>
  <c r="T33" i="3"/>
  <c r="S33" i="3"/>
  <c r="T34" i="3"/>
  <c r="Z35" i="3"/>
  <c r="R37" i="3"/>
  <c r="R33" i="3"/>
  <c r="R35" i="3"/>
  <c r="Z34" i="3"/>
  <c r="Z33" i="3"/>
  <c r="J33" i="3"/>
  <c r="F33" i="3"/>
  <c r="N35" i="3"/>
  <c r="J37" i="3"/>
  <c r="F34" i="3"/>
  <c r="F37" i="3"/>
  <c r="AD34" i="3"/>
  <c r="Z37" i="3"/>
  <c r="N37" i="3"/>
  <c r="AD37" i="3"/>
  <c r="AD33" i="3"/>
  <c r="J35" i="3"/>
  <c r="F35" i="3"/>
  <c r="J34" i="3"/>
  <c r="AD35" i="3"/>
  <c r="S34" i="3"/>
  <c r="T35" i="3"/>
  <c r="V35" i="3" s="1"/>
  <c r="A35" i="3"/>
  <c r="S37" i="3"/>
  <c r="A32" i="2"/>
  <c r="A34" i="2"/>
  <c r="A33" i="2"/>
  <c r="A37" i="2"/>
  <c r="A36" i="3"/>
  <c r="B30" i="3"/>
  <c r="B31" i="3"/>
  <c r="B30" i="2"/>
  <c r="C30" i="2"/>
  <c r="B31" i="2"/>
  <c r="C31" i="2"/>
  <c r="CK30" i="1"/>
  <c r="C30" i="3" s="1"/>
  <c r="CL30" i="1"/>
  <c r="D30" i="3" s="1"/>
  <c r="CM30" i="1"/>
  <c r="CN30" i="1"/>
  <c r="G30" i="3" s="1"/>
  <c r="CO30" i="1"/>
  <c r="H30" i="3" s="1"/>
  <c r="CP30" i="1"/>
  <c r="CQ30" i="1"/>
  <c r="K30" i="3" s="1"/>
  <c r="CR30" i="1"/>
  <c r="L30" i="3" s="1"/>
  <c r="CS30" i="1"/>
  <c r="CT30" i="1"/>
  <c r="O30" i="3" s="1"/>
  <c r="CU30" i="1"/>
  <c r="P30" i="3" s="1"/>
  <c r="CV30" i="1"/>
  <c r="CW30" i="1"/>
  <c r="CX30" i="1"/>
  <c r="CY30" i="1"/>
  <c r="CZ30" i="1"/>
  <c r="W30" i="3" s="1"/>
  <c r="DA30" i="1"/>
  <c r="X30" i="3" s="1"/>
  <c r="DB30" i="1"/>
  <c r="DC30" i="1"/>
  <c r="AA30" i="3" s="1"/>
  <c r="DD30" i="1"/>
  <c r="AB30" i="3" s="1"/>
  <c r="DE30" i="1"/>
  <c r="CK31" i="1"/>
  <c r="C31" i="3" s="1"/>
  <c r="CL31" i="1"/>
  <c r="D31" i="3" s="1"/>
  <c r="CM31" i="1"/>
  <c r="CN31" i="1"/>
  <c r="G31" i="3" s="1"/>
  <c r="CO31" i="1"/>
  <c r="H31" i="3" s="1"/>
  <c r="CP31" i="1"/>
  <c r="CQ31" i="1"/>
  <c r="K31" i="3" s="1"/>
  <c r="CR31" i="1"/>
  <c r="L31" i="3" s="1"/>
  <c r="CS31" i="1"/>
  <c r="CT31" i="1"/>
  <c r="O31" i="3" s="1"/>
  <c r="CU31" i="1"/>
  <c r="P31" i="3" s="1"/>
  <c r="CV31" i="1"/>
  <c r="CW31" i="1"/>
  <c r="CX31" i="1"/>
  <c r="CY31" i="1"/>
  <c r="CZ31" i="1"/>
  <c r="W31" i="3" s="1"/>
  <c r="DA31" i="1"/>
  <c r="X31" i="3" s="1"/>
  <c r="DB31" i="1"/>
  <c r="DC31" i="1"/>
  <c r="AA31" i="3" s="1"/>
  <c r="DD31" i="1"/>
  <c r="AB31" i="3" s="1"/>
  <c r="DE31" i="1"/>
  <c r="AS30" i="1"/>
  <c r="AT30" i="1"/>
  <c r="AU30" i="1"/>
  <c r="E30" i="3" s="1"/>
  <c r="AV30" i="1"/>
  <c r="AW30" i="1"/>
  <c r="AX30" i="1"/>
  <c r="I30" i="3" s="1"/>
  <c r="AY30" i="1"/>
  <c r="AZ30" i="1"/>
  <c r="BA30" i="1"/>
  <c r="M30" i="3" s="1"/>
  <c r="BB30" i="1"/>
  <c r="BC30" i="1"/>
  <c r="BD30" i="1"/>
  <c r="Q30" i="3" s="1"/>
  <c r="BE30" i="1"/>
  <c r="BF30" i="1"/>
  <c r="BG30" i="1"/>
  <c r="U30" i="3" s="1"/>
  <c r="BH30" i="1"/>
  <c r="BI30" i="1"/>
  <c r="BJ30" i="1"/>
  <c r="Y30" i="3" s="1"/>
  <c r="BK30" i="1"/>
  <c r="BL30" i="1"/>
  <c r="BM30" i="1"/>
  <c r="AC30" i="3" s="1"/>
  <c r="AS31" i="1"/>
  <c r="AT31" i="1"/>
  <c r="AU31" i="1"/>
  <c r="E31" i="3" s="1"/>
  <c r="AV31" i="1"/>
  <c r="AW31" i="1"/>
  <c r="AX31" i="1"/>
  <c r="I31" i="3" s="1"/>
  <c r="AY31" i="1"/>
  <c r="AZ31" i="1"/>
  <c r="BA31" i="1"/>
  <c r="M31" i="3" s="1"/>
  <c r="BB31" i="1"/>
  <c r="BC31" i="1"/>
  <c r="BD31" i="1"/>
  <c r="Q31" i="3" s="1"/>
  <c r="BE31" i="1"/>
  <c r="BF31" i="1"/>
  <c r="BG31" i="1"/>
  <c r="U31" i="3" s="1"/>
  <c r="BH31" i="1"/>
  <c r="BI31" i="1"/>
  <c r="BJ31" i="1"/>
  <c r="Y31" i="3" s="1"/>
  <c r="BK31" i="1"/>
  <c r="BL31" i="1"/>
  <c r="BM31" i="1"/>
  <c r="AC31" i="3" s="1"/>
  <c r="Z30" i="1"/>
  <c r="AA30" i="1"/>
  <c r="AB30" i="1"/>
  <c r="AC30" i="1"/>
  <c r="AD30" i="1"/>
  <c r="AE30" i="1"/>
  <c r="AF30" i="1"/>
  <c r="AG30" i="1"/>
  <c r="AH30" i="1"/>
  <c r="Z31" i="1"/>
  <c r="AA31" i="1"/>
  <c r="AB31" i="1"/>
  <c r="AC31" i="1"/>
  <c r="AD31" i="1"/>
  <c r="AE31" i="1"/>
  <c r="AF31" i="1"/>
  <c r="AG31" i="1"/>
  <c r="AH31" i="1"/>
  <c r="B31" i="1"/>
  <c r="A31" i="2" s="1"/>
  <c r="B30" i="1"/>
  <c r="A30" i="3" s="1"/>
  <c r="B29" i="3"/>
  <c r="B29" i="2"/>
  <c r="C29" i="2"/>
  <c r="CK29" i="1"/>
  <c r="C29" i="3" s="1"/>
  <c r="CL29" i="1"/>
  <c r="D29" i="3" s="1"/>
  <c r="CM29" i="1"/>
  <c r="CN29" i="1"/>
  <c r="G29" i="3" s="1"/>
  <c r="CO29" i="1"/>
  <c r="H29" i="3" s="1"/>
  <c r="CP29" i="1"/>
  <c r="CQ29" i="1"/>
  <c r="K29" i="3" s="1"/>
  <c r="CR29" i="1"/>
  <c r="L29" i="3" s="1"/>
  <c r="CS29" i="1"/>
  <c r="CT29" i="1"/>
  <c r="O29" i="3" s="1"/>
  <c r="CU29" i="1"/>
  <c r="P29" i="3" s="1"/>
  <c r="CV29" i="1"/>
  <c r="CW29" i="1"/>
  <c r="CX29" i="1"/>
  <c r="T29" i="3" s="1"/>
  <c r="CY29" i="1"/>
  <c r="CZ29" i="1"/>
  <c r="W29" i="3" s="1"/>
  <c r="DA29" i="1"/>
  <c r="X29" i="3" s="1"/>
  <c r="DB29" i="1"/>
  <c r="DC29" i="1"/>
  <c r="AA29" i="3" s="1"/>
  <c r="DD29" i="1"/>
  <c r="AB29" i="3" s="1"/>
  <c r="DE29" i="1"/>
  <c r="V33" i="3" l="1"/>
  <c r="V34" i="3"/>
  <c r="V37" i="3"/>
  <c r="R31" i="3"/>
  <c r="R30" i="3"/>
  <c r="Z31" i="3"/>
  <c r="F31" i="3"/>
  <c r="J31" i="3"/>
  <c r="Z30" i="3"/>
  <c r="F30" i="3"/>
  <c r="AD31" i="3"/>
  <c r="N31" i="3"/>
  <c r="J30" i="3"/>
  <c r="AD30" i="3"/>
  <c r="N30" i="3"/>
  <c r="S29" i="3"/>
  <c r="A31" i="3"/>
  <c r="T30" i="3"/>
  <c r="T31" i="3"/>
  <c r="S30" i="3"/>
  <c r="S31" i="3"/>
  <c r="A30" i="2"/>
  <c r="AS29" i="1"/>
  <c r="AT29" i="1"/>
  <c r="AU29" i="1"/>
  <c r="E29" i="3" s="1"/>
  <c r="F29" i="3" s="1"/>
  <c r="AV29" i="1"/>
  <c r="AW29" i="1"/>
  <c r="AX29" i="1"/>
  <c r="I29" i="3" s="1"/>
  <c r="J29" i="3" s="1"/>
  <c r="AY29" i="1"/>
  <c r="AZ29" i="1"/>
  <c r="BA29" i="1"/>
  <c r="M29" i="3" s="1"/>
  <c r="N29" i="3" s="1"/>
  <c r="BB29" i="1"/>
  <c r="BC29" i="1"/>
  <c r="BD29" i="1"/>
  <c r="Q29" i="3" s="1"/>
  <c r="R29" i="3" s="1"/>
  <c r="BE29" i="1"/>
  <c r="BF29" i="1"/>
  <c r="BG29" i="1"/>
  <c r="U29" i="3" s="1"/>
  <c r="BH29" i="1"/>
  <c r="BI29" i="1"/>
  <c r="BJ29" i="1"/>
  <c r="Y29" i="3" s="1"/>
  <c r="BK29" i="1"/>
  <c r="BL29" i="1"/>
  <c r="BM29" i="1"/>
  <c r="AC29" i="3" s="1"/>
  <c r="AD29" i="3" s="1"/>
  <c r="Z29" i="1"/>
  <c r="AA29" i="1"/>
  <c r="AB29" i="1"/>
  <c r="AC29" i="1"/>
  <c r="AD29" i="1"/>
  <c r="AE29" i="1"/>
  <c r="AF29" i="1"/>
  <c r="AG29" i="1"/>
  <c r="AH29" i="1"/>
  <c r="B29" i="1"/>
  <c r="Z29" i="3" l="1"/>
  <c r="V29" i="3"/>
  <c r="V31" i="3"/>
  <c r="V30" i="3"/>
  <c r="A29" i="3"/>
  <c r="A29" i="2"/>
  <c r="AD61" i="7"/>
  <c r="AD64" i="7"/>
  <c r="AD65" i="7" s="1"/>
  <c r="AE63" i="7"/>
  <c r="AE65" i="7" s="1"/>
  <c r="AE62" i="7"/>
  <c r="AE64" i="7" s="1"/>
  <c r="AE61" i="7"/>
  <c r="AE60" i="7"/>
  <c r="B28" i="3" l="1"/>
  <c r="B28" i="2"/>
  <c r="C28" i="2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W26" i="3" s="1"/>
  <c r="DA26" i="1"/>
  <c r="X26" i="3" s="1"/>
  <c r="DB26" i="1"/>
  <c r="DC26" i="1"/>
  <c r="DD26" i="1"/>
  <c r="DE26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W27" i="3" s="1"/>
  <c r="DA27" i="1"/>
  <c r="X27" i="3" s="1"/>
  <c r="DB27" i="1"/>
  <c r="DC27" i="1"/>
  <c r="DD27" i="1"/>
  <c r="DE27" i="1"/>
  <c r="CK28" i="1"/>
  <c r="C28" i="3" s="1"/>
  <c r="CL28" i="1"/>
  <c r="D28" i="3" s="1"/>
  <c r="CM28" i="1"/>
  <c r="CN28" i="1"/>
  <c r="G28" i="3" s="1"/>
  <c r="CO28" i="1"/>
  <c r="H28" i="3" s="1"/>
  <c r="CP28" i="1"/>
  <c r="CQ28" i="1"/>
  <c r="K28" i="3" s="1"/>
  <c r="CR28" i="1"/>
  <c r="L28" i="3" s="1"/>
  <c r="CS28" i="1"/>
  <c r="CT28" i="1"/>
  <c r="O28" i="3" s="1"/>
  <c r="CU28" i="1"/>
  <c r="P28" i="3" s="1"/>
  <c r="CV28" i="1"/>
  <c r="CW28" i="1"/>
  <c r="CX28" i="1"/>
  <c r="T28" i="3" s="1"/>
  <c r="CY28" i="1"/>
  <c r="CZ28" i="1"/>
  <c r="W28" i="3" s="1"/>
  <c r="DA28" i="1"/>
  <c r="X28" i="3" s="1"/>
  <c r="DB28" i="1"/>
  <c r="DC28" i="1"/>
  <c r="AA28" i="3" s="1"/>
  <c r="DD28" i="1"/>
  <c r="AB28" i="3" s="1"/>
  <c r="DE28" i="1"/>
  <c r="AS28" i="1"/>
  <c r="AT28" i="1"/>
  <c r="AU28" i="1"/>
  <c r="E28" i="3" s="1"/>
  <c r="AV28" i="1"/>
  <c r="AW28" i="1"/>
  <c r="AX28" i="1"/>
  <c r="I28" i="3" s="1"/>
  <c r="AY28" i="1"/>
  <c r="AZ28" i="1"/>
  <c r="BA28" i="1"/>
  <c r="M28" i="3" s="1"/>
  <c r="BB28" i="1"/>
  <c r="BC28" i="1"/>
  <c r="BD28" i="1"/>
  <c r="Q28" i="3" s="1"/>
  <c r="BE28" i="1"/>
  <c r="BF28" i="1"/>
  <c r="BG28" i="1"/>
  <c r="U28" i="3" s="1"/>
  <c r="BH28" i="1"/>
  <c r="BI28" i="1"/>
  <c r="BJ28" i="1"/>
  <c r="Y28" i="3" s="1"/>
  <c r="BK28" i="1"/>
  <c r="BL28" i="1"/>
  <c r="BM28" i="1"/>
  <c r="AC28" i="3" s="1"/>
  <c r="Z28" i="1"/>
  <c r="AA28" i="1"/>
  <c r="AB28" i="1"/>
  <c r="AC28" i="1"/>
  <c r="AD28" i="1"/>
  <c r="AE28" i="1"/>
  <c r="AF28" i="1"/>
  <c r="AG28" i="1"/>
  <c r="AH28" i="1"/>
  <c r="B28" i="1"/>
  <c r="A28" i="3" s="1"/>
  <c r="R28" i="3" l="1"/>
  <c r="AD28" i="3"/>
  <c r="N28" i="3"/>
  <c r="F28" i="3"/>
  <c r="J28" i="3"/>
  <c r="Z28" i="3"/>
  <c r="S28" i="3"/>
  <c r="V28" i="3" s="1"/>
  <c r="A28" i="2"/>
  <c r="B27" i="3" l="1"/>
  <c r="C27" i="3"/>
  <c r="D27" i="3"/>
  <c r="G27" i="3"/>
  <c r="H27" i="3"/>
  <c r="K27" i="3"/>
  <c r="L27" i="3"/>
  <c r="O27" i="3"/>
  <c r="P27" i="3"/>
  <c r="S27" i="3"/>
  <c r="T27" i="3"/>
  <c r="AA27" i="3"/>
  <c r="AB27" i="3"/>
  <c r="B27" i="2"/>
  <c r="C27" i="2"/>
  <c r="BM26" i="1"/>
  <c r="BL26" i="1"/>
  <c r="BK26" i="1"/>
  <c r="BJ26" i="1"/>
  <c r="Y26" i="3" s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H26" i="1"/>
  <c r="AG26" i="1"/>
  <c r="AF26" i="1"/>
  <c r="AE26" i="1"/>
  <c r="AD26" i="1"/>
  <c r="AC26" i="1"/>
  <c r="AB26" i="1"/>
  <c r="AA26" i="1"/>
  <c r="Z26" i="1"/>
  <c r="B26" i="1"/>
  <c r="BM27" i="1" l="1"/>
  <c r="AC27" i="3" s="1"/>
  <c r="AD27" i="3" s="1"/>
  <c r="BL27" i="1"/>
  <c r="BK27" i="1"/>
  <c r="BJ27" i="1"/>
  <c r="BI27" i="1"/>
  <c r="BH27" i="1"/>
  <c r="BG27" i="1"/>
  <c r="U27" i="3" s="1"/>
  <c r="V27" i="3" s="1"/>
  <c r="BF27" i="1"/>
  <c r="BE27" i="1"/>
  <c r="BD27" i="1"/>
  <c r="Q27" i="3" s="1"/>
  <c r="R27" i="3" s="1"/>
  <c r="BC27" i="1"/>
  <c r="BB27" i="1"/>
  <c r="BA27" i="1"/>
  <c r="M27" i="3" s="1"/>
  <c r="N27" i="3" s="1"/>
  <c r="AZ27" i="1"/>
  <c r="AY27" i="1"/>
  <c r="AX27" i="1"/>
  <c r="I27" i="3" s="1"/>
  <c r="J27" i="3" s="1"/>
  <c r="AW27" i="1"/>
  <c r="AV27" i="1"/>
  <c r="AU27" i="1"/>
  <c r="E27" i="3" s="1"/>
  <c r="F27" i="3" s="1"/>
  <c r="AT27" i="1"/>
  <c r="AS27" i="1"/>
  <c r="AH27" i="1"/>
  <c r="AG27" i="1"/>
  <c r="AF27" i="1"/>
  <c r="AE27" i="1"/>
  <c r="AD27" i="1"/>
  <c r="AC27" i="1"/>
  <c r="AB27" i="1"/>
  <c r="AA27" i="1"/>
  <c r="Z27" i="1"/>
  <c r="B27" i="1"/>
  <c r="A26" i="3"/>
  <c r="B26" i="3"/>
  <c r="C26" i="3"/>
  <c r="D26" i="3"/>
  <c r="E26" i="3"/>
  <c r="G26" i="3"/>
  <c r="H26" i="3"/>
  <c r="I26" i="3"/>
  <c r="K26" i="3"/>
  <c r="L26" i="3"/>
  <c r="M26" i="3"/>
  <c r="O26" i="3"/>
  <c r="P26" i="3"/>
  <c r="Q26" i="3"/>
  <c r="S26" i="3"/>
  <c r="T26" i="3"/>
  <c r="U26" i="3"/>
  <c r="AA26" i="3"/>
  <c r="AB26" i="3"/>
  <c r="AC26" i="3"/>
  <c r="A26" i="2"/>
  <c r="B26" i="2"/>
  <c r="C26" i="2"/>
  <c r="Y27" i="3" l="1"/>
  <c r="Z27" i="3" s="1"/>
  <c r="R26" i="3"/>
  <c r="AD26" i="3"/>
  <c r="N26" i="3"/>
  <c r="V26" i="3"/>
  <c r="F26" i="3"/>
  <c r="Z26" i="3"/>
  <c r="J26" i="3"/>
  <c r="A27" i="3"/>
  <c r="A27" i="2"/>
  <c r="B25" i="3"/>
  <c r="B24" i="3"/>
  <c r="B23" i="3"/>
  <c r="B22" i="3"/>
  <c r="B22" i="2"/>
  <c r="B23" i="2"/>
  <c r="B24" i="2"/>
  <c r="B25" i="2"/>
  <c r="C25" i="2"/>
  <c r="C24" i="2"/>
  <c r="DE25" i="1"/>
  <c r="DD25" i="1"/>
  <c r="AB25" i="3" s="1"/>
  <c r="DC25" i="1"/>
  <c r="AA25" i="3" s="1"/>
  <c r="DB25" i="1"/>
  <c r="DA25" i="1"/>
  <c r="X25" i="3" s="1"/>
  <c r="CZ25" i="1"/>
  <c r="W25" i="3" s="1"/>
  <c r="CY25" i="1"/>
  <c r="CX25" i="1"/>
  <c r="CW25" i="1"/>
  <c r="S25" i="3" s="1"/>
  <c r="CV25" i="1"/>
  <c r="CU25" i="1"/>
  <c r="P25" i="3" s="1"/>
  <c r="CT25" i="1"/>
  <c r="O25" i="3" s="1"/>
  <c r="CS25" i="1"/>
  <c r="CR25" i="1"/>
  <c r="L25" i="3" s="1"/>
  <c r="CQ25" i="1"/>
  <c r="K25" i="3" s="1"/>
  <c r="CP25" i="1"/>
  <c r="CO25" i="1"/>
  <c r="H25" i="3" s="1"/>
  <c r="CN25" i="1"/>
  <c r="G25" i="3" s="1"/>
  <c r="CM25" i="1"/>
  <c r="CL25" i="1"/>
  <c r="D25" i="3" s="1"/>
  <c r="CK25" i="1"/>
  <c r="C25" i="3" s="1"/>
  <c r="DE24" i="1"/>
  <c r="DD24" i="1"/>
  <c r="AB24" i="3" s="1"/>
  <c r="DC24" i="1"/>
  <c r="AA24" i="3" s="1"/>
  <c r="DB24" i="1"/>
  <c r="DA24" i="1"/>
  <c r="X24" i="3" s="1"/>
  <c r="CZ24" i="1"/>
  <c r="W24" i="3" s="1"/>
  <c r="CY24" i="1"/>
  <c r="CX24" i="1"/>
  <c r="T24" i="3" s="1"/>
  <c r="CW24" i="1"/>
  <c r="S24" i="3" s="1"/>
  <c r="CV24" i="1"/>
  <c r="CU24" i="1"/>
  <c r="P24" i="3" s="1"/>
  <c r="CT24" i="1"/>
  <c r="O24" i="3" s="1"/>
  <c r="CS24" i="1"/>
  <c r="CR24" i="1"/>
  <c r="L24" i="3" s="1"/>
  <c r="CQ24" i="1"/>
  <c r="K24" i="3" s="1"/>
  <c r="CP24" i="1"/>
  <c r="CO24" i="1"/>
  <c r="H24" i="3" s="1"/>
  <c r="CN24" i="1"/>
  <c r="G24" i="3" s="1"/>
  <c r="CM24" i="1"/>
  <c r="CL24" i="1"/>
  <c r="D24" i="3" s="1"/>
  <c r="CK24" i="1"/>
  <c r="C24" i="3" s="1"/>
  <c r="DE23" i="1"/>
  <c r="DD23" i="1"/>
  <c r="AB23" i="3" s="1"/>
  <c r="DC23" i="1"/>
  <c r="AA23" i="3" s="1"/>
  <c r="DB23" i="1"/>
  <c r="DA23" i="1"/>
  <c r="X23" i="3" s="1"/>
  <c r="CZ23" i="1"/>
  <c r="W23" i="3" s="1"/>
  <c r="CY23" i="1"/>
  <c r="CX23" i="1"/>
  <c r="CW23" i="1"/>
  <c r="S23" i="3" s="1"/>
  <c r="CV23" i="1"/>
  <c r="CU23" i="1"/>
  <c r="P23" i="3" s="1"/>
  <c r="CT23" i="1"/>
  <c r="O23" i="3" s="1"/>
  <c r="CS23" i="1"/>
  <c r="CR23" i="1"/>
  <c r="L23" i="3" s="1"/>
  <c r="CQ23" i="1"/>
  <c r="K23" i="3" s="1"/>
  <c r="CP23" i="1"/>
  <c r="CO23" i="1"/>
  <c r="H23" i="3" s="1"/>
  <c r="CN23" i="1"/>
  <c r="G23" i="3" s="1"/>
  <c r="CM23" i="1"/>
  <c r="CL23" i="1"/>
  <c r="D23" i="3" s="1"/>
  <c r="CK23" i="1"/>
  <c r="C23" i="3" s="1"/>
  <c r="DE22" i="1"/>
  <c r="DD22" i="1"/>
  <c r="AB22" i="3" s="1"/>
  <c r="DC22" i="1"/>
  <c r="AA22" i="3" s="1"/>
  <c r="DB22" i="1"/>
  <c r="DA22" i="1"/>
  <c r="X22" i="3" s="1"/>
  <c r="CZ22" i="1"/>
  <c r="W22" i="3" s="1"/>
  <c r="CY22" i="1"/>
  <c r="CX22" i="1"/>
  <c r="CW22" i="1"/>
  <c r="CV22" i="1"/>
  <c r="CU22" i="1"/>
  <c r="P22" i="3" s="1"/>
  <c r="CT22" i="1"/>
  <c r="O22" i="3" s="1"/>
  <c r="CS22" i="1"/>
  <c r="CR22" i="1"/>
  <c r="L22" i="3" s="1"/>
  <c r="CQ22" i="1"/>
  <c r="K22" i="3" s="1"/>
  <c r="CP22" i="1"/>
  <c r="CO22" i="1"/>
  <c r="H22" i="3" s="1"/>
  <c r="CN22" i="1"/>
  <c r="G22" i="3" s="1"/>
  <c r="CM22" i="1"/>
  <c r="CL22" i="1"/>
  <c r="D22" i="3" s="1"/>
  <c r="CK22" i="1"/>
  <c r="C22" i="3" s="1"/>
  <c r="BM25" i="1"/>
  <c r="AC25" i="3" s="1"/>
  <c r="BL25" i="1"/>
  <c r="BK25" i="1"/>
  <c r="BJ25" i="1"/>
  <c r="Y25" i="3" s="1"/>
  <c r="BI25" i="1"/>
  <c r="BH25" i="1"/>
  <c r="BG25" i="1"/>
  <c r="U25" i="3" s="1"/>
  <c r="BF25" i="1"/>
  <c r="BE25" i="1"/>
  <c r="BD25" i="1"/>
  <c r="Q25" i="3" s="1"/>
  <c r="BC25" i="1"/>
  <c r="BB25" i="1"/>
  <c r="BA25" i="1"/>
  <c r="M25" i="3" s="1"/>
  <c r="AZ25" i="1"/>
  <c r="AY25" i="1"/>
  <c r="AX25" i="1"/>
  <c r="I25" i="3" s="1"/>
  <c r="AW25" i="1"/>
  <c r="AV25" i="1"/>
  <c r="AU25" i="1"/>
  <c r="E25" i="3" s="1"/>
  <c r="AT25" i="1"/>
  <c r="AS25" i="1"/>
  <c r="BM24" i="1"/>
  <c r="AC24" i="3" s="1"/>
  <c r="BL24" i="1"/>
  <c r="BK24" i="1"/>
  <c r="BJ24" i="1"/>
  <c r="Y24" i="3" s="1"/>
  <c r="BI24" i="1"/>
  <c r="BH24" i="1"/>
  <c r="BG24" i="1"/>
  <c r="U24" i="3" s="1"/>
  <c r="BF24" i="1"/>
  <c r="BE24" i="1"/>
  <c r="BD24" i="1"/>
  <c r="Q24" i="3" s="1"/>
  <c r="BC24" i="1"/>
  <c r="BB24" i="1"/>
  <c r="BA24" i="1"/>
  <c r="M24" i="3" s="1"/>
  <c r="AZ24" i="1"/>
  <c r="AY24" i="1"/>
  <c r="AX24" i="1"/>
  <c r="I24" i="3" s="1"/>
  <c r="AW24" i="1"/>
  <c r="AV24" i="1"/>
  <c r="AU24" i="1"/>
  <c r="E24" i="3" s="1"/>
  <c r="AT24" i="1"/>
  <c r="AS24" i="1"/>
  <c r="BM23" i="1"/>
  <c r="AC23" i="3" s="1"/>
  <c r="BL23" i="1"/>
  <c r="BK23" i="1"/>
  <c r="BJ23" i="1"/>
  <c r="Y23" i="3" s="1"/>
  <c r="BI23" i="1"/>
  <c r="BH23" i="1"/>
  <c r="BG23" i="1"/>
  <c r="U23" i="3" s="1"/>
  <c r="BF23" i="1"/>
  <c r="BE23" i="1"/>
  <c r="BD23" i="1"/>
  <c r="Q23" i="3" s="1"/>
  <c r="BC23" i="1"/>
  <c r="BB23" i="1"/>
  <c r="BA23" i="1"/>
  <c r="M23" i="3" s="1"/>
  <c r="AZ23" i="1"/>
  <c r="AY23" i="1"/>
  <c r="AX23" i="1"/>
  <c r="I23" i="3" s="1"/>
  <c r="AW23" i="1"/>
  <c r="AV23" i="1"/>
  <c r="AU23" i="1"/>
  <c r="E23" i="3" s="1"/>
  <c r="AT23" i="1"/>
  <c r="AS23" i="1"/>
  <c r="BM22" i="1"/>
  <c r="AC22" i="3" s="1"/>
  <c r="BL22" i="1"/>
  <c r="BK22" i="1"/>
  <c r="BJ22" i="1"/>
  <c r="Y22" i="3" s="1"/>
  <c r="BI22" i="1"/>
  <c r="BH22" i="1"/>
  <c r="BG22" i="1"/>
  <c r="U22" i="3" s="1"/>
  <c r="BF22" i="1"/>
  <c r="BE22" i="1"/>
  <c r="BD22" i="1"/>
  <c r="Q22" i="3" s="1"/>
  <c r="BC22" i="1"/>
  <c r="BB22" i="1"/>
  <c r="BA22" i="1"/>
  <c r="M22" i="3" s="1"/>
  <c r="AZ22" i="1"/>
  <c r="AY22" i="1"/>
  <c r="AX22" i="1"/>
  <c r="I22" i="3" s="1"/>
  <c r="AW22" i="1"/>
  <c r="AV22" i="1"/>
  <c r="AU22" i="1"/>
  <c r="E22" i="3" s="1"/>
  <c r="AT22" i="1"/>
  <c r="AS22" i="1"/>
  <c r="AH25" i="1"/>
  <c r="AG25" i="1"/>
  <c r="AF25" i="1"/>
  <c r="AE25" i="1"/>
  <c r="AD25" i="1"/>
  <c r="AC25" i="1"/>
  <c r="AB25" i="1"/>
  <c r="AA25" i="1"/>
  <c r="Z25" i="1"/>
  <c r="AH24" i="1"/>
  <c r="AG24" i="1"/>
  <c r="AF24" i="1"/>
  <c r="AE24" i="1"/>
  <c r="AD24" i="1"/>
  <c r="AC24" i="1"/>
  <c r="AB24" i="1"/>
  <c r="AA24" i="1"/>
  <c r="Z24" i="1"/>
  <c r="AH23" i="1"/>
  <c r="AG23" i="1"/>
  <c r="AF23" i="1"/>
  <c r="AE23" i="1"/>
  <c r="AD23" i="1"/>
  <c r="AC23" i="1"/>
  <c r="AB23" i="1"/>
  <c r="AA23" i="1"/>
  <c r="Z23" i="1"/>
  <c r="AH22" i="1"/>
  <c r="AG22" i="1"/>
  <c r="AF22" i="1"/>
  <c r="AE22" i="1"/>
  <c r="AD22" i="1"/>
  <c r="AC22" i="1"/>
  <c r="AB22" i="1"/>
  <c r="AA22" i="1"/>
  <c r="Z22" i="1"/>
  <c r="B25" i="1"/>
  <c r="A25" i="3" s="1"/>
  <c r="B24" i="1"/>
  <c r="A24" i="2" s="1"/>
  <c r="B22" i="1"/>
  <c r="A22" i="2" s="1"/>
  <c r="B23" i="1"/>
  <c r="A23" i="3" s="1"/>
  <c r="C22" i="2"/>
  <c r="C23" i="2"/>
  <c r="R23" i="3" l="1"/>
  <c r="R24" i="3"/>
  <c r="R25" i="3"/>
  <c r="R22" i="3"/>
  <c r="F23" i="3"/>
  <c r="J24" i="3"/>
  <c r="N25" i="3"/>
  <c r="AD25" i="3"/>
  <c r="N22" i="3"/>
  <c r="AD22" i="3"/>
  <c r="F24" i="3"/>
  <c r="V24" i="3"/>
  <c r="J25" i="3"/>
  <c r="J22" i="3"/>
  <c r="N23" i="3"/>
  <c r="AD23" i="3"/>
  <c r="F25" i="3"/>
  <c r="F22" i="3"/>
  <c r="Z22" i="3"/>
  <c r="J23" i="3"/>
  <c r="N24" i="3"/>
  <c r="AD24" i="3"/>
  <c r="S22" i="3"/>
  <c r="A23" i="2"/>
  <c r="T22" i="3"/>
  <c r="A24" i="3"/>
  <c r="T23" i="3"/>
  <c r="V23" i="3" s="1"/>
  <c r="Z25" i="3"/>
  <c r="A25" i="2"/>
  <c r="A22" i="3"/>
  <c r="Z23" i="3"/>
  <c r="T25" i="3"/>
  <c r="V25" i="3" s="1"/>
  <c r="DE21" i="1"/>
  <c r="DD21" i="1"/>
  <c r="AB21" i="3" s="1"/>
  <c r="DC21" i="1"/>
  <c r="AA21" i="3" s="1"/>
  <c r="DB21" i="1"/>
  <c r="DA21" i="1"/>
  <c r="X21" i="3" s="1"/>
  <c r="CZ21" i="1"/>
  <c r="W21" i="3" s="1"/>
  <c r="CY21" i="1"/>
  <c r="CX21" i="1"/>
  <c r="CW21" i="1"/>
  <c r="CV21" i="1"/>
  <c r="CU21" i="1"/>
  <c r="CT21" i="1"/>
  <c r="CS21" i="1"/>
  <c r="CR21" i="1"/>
  <c r="CQ21" i="1"/>
  <c r="K21" i="3" s="1"/>
  <c r="CP21" i="1"/>
  <c r="CO21" i="1"/>
  <c r="H21" i="3" s="1"/>
  <c r="CN21" i="1"/>
  <c r="G21" i="3" s="1"/>
  <c r="CM21" i="1"/>
  <c r="CL21" i="1"/>
  <c r="CK21" i="1"/>
  <c r="BM21" i="1"/>
  <c r="AC21" i="3" s="1"/>
  <c r="BL21" i="1"/>
  <c r="BK21" i="1"/>
  <c r="BJ21" i="1"/>
  <c r="Y21" i="3" s="1"/>
  <c r="BI21" i="1"/>
  <c r="BH21" i="1"/>
  <c r="BG21" i="1"/>
  <c r="BF21" i="1"/>
  <c r="BE21" i="1"/>
  <c r="BD21" i="1"/>
  <c r="BC21" i="1"/>
  <c r="BB21" i="1"/>
  <c r="BA21" i="1"/>
  <c r="AZ21" i="1"/>
  <c r="AY21" i="1"/>
  <c r="AX21" i="1"/>
  <c r="I21" i="3" s="1"/>
  <c r="AW21" i="1"/>
  <c r="AV21" i="1"/>
  <c r="AU21" i="1"/>
  <c r="AT21" i="1"/>
  <c r="AS21" i="1"/>
  <c r="AH21" i="1"/>
  <c r="AG21" i="1"/>
  <c r="AF21" i="1"/>
  <c r="AE21" i="1"/>
  <c r="AD21" i="1"/>
  <c r="AC21" i="1"/>
  <c r="AB21" i="1"/>
  <c r="AA21" i="1"/>
  <c r="Z21" i="1"/>
  <c r="B21" i="1"/>
  <c r="DE20" i="1"/>
  <c r="DD20" i="1"/>
  <c r="AB20" i="3" s="1"/>
  <c r="DC20" i="1"/>
  <c r="AA20" i="3" s="1"/>
  <c r="DB20" i="1"/>
  <c r="DA20" i="1"/>
  <c r="X20" i="3" s="1"/>
  <c r="CZ20" i="1"/>
  <c r="W20" i="3" s="1"/>
  <c r="CY20" i="1"/>
  <c r="CX20" i="1"/>
  <c r="CW20" i="1"/>
  <c r="CV20" i="1"/>
  <c r="CU20" i="1"/>
  <c r="CT20" i="1"/>
  <c r="CS20" i="1"/>
  <c r="CR20" i="1"/>
  <c r="CQ20" i="1"/>
  <c r="CP20" i="1"/>
  <c r="CO20" i="1"/>
  <c r="H20" i="3" s="1"/>
  <c r="CN20" i="1"/>
  <c r="G20" i="3" s="1"/>
  <c r="CM20" i="1"/>
  <c r="CL20" i="1"/>
  <c r="CK20" i="1"/>
  <c r="BM20" i="1"/>
  <c r="AC20" i="3" s="1"/>
  <c r="BL20" i="1"/>
  <c r="BK20" i="1"/>
  <c r="BJ20" i="1"/>
  <c r="Y20" i="3" s="1"/>
  <c r="BI20" i="1"/>
  <c r="BH20" i="1"/>
  <c r="BG20" i="1"/>
  <c r="BF20" i="1"/>
  <c r="BE20" i="1"/>
  <c r="BD20" i="1"/>
  <c r="BC20" i="1"/>
  <c r="BB20" i="1"/>
  <c r="BA20" i="1"/>
  <c r="AZ20" i="1"/>
  <c r="AY20" i="1"/>
  <c r="AX20" i="1"/>
  <c r="I20" i="3" s="1"/>
  <c r="AW20" i="1"/>
  <c r="AV20" i="1"/>
  <c r="AU20" i="1"/>
  <c r="AT20" i="1"/>
  <c r="AS20" i="1"/>
  <c r="AH20" i="1"/>
  <c r="AG20" i="1"/>
  <c r="AF20" i="1"/>
  <c r="AE20" i="1"/>
  <c r="AD20" i="1"/>
  <c r="AC20" i="1"/>
  <c r="AB20" i="1"/>
  <c r="AA20" i="1"/>
  <c r="Z20" i="1"/>
  <c r="B20" i="1"/>
  <c r="DE19" i="1"/>
  <c r="DD19" i="1"/>
  <c r="AB19" i="3" s="1"/>
  <c r="DC19" i="1"/>
  <c r="AA19" i="3" s="1"/>
  <c r="DB19" i="1"/>
  <c r="DA19" i="1"/>
  <c r="X19" i="3" s="1"/>
  <c r="CZ19" i="1"/>
  <c r="W19" i="3" s="1"/>
  <c r="CY19" i="1"/>
  <c r="CX19" i="1"/>
  <c r="CW19" i="1"/>
  <c r="CV19" i="1"/>
  <c r="CU19" i="1"/>
  <c r="CT19" i="1"/>
  <c r="CS19" i="1"/>
  <c r="CR19" i="1"/>
  <c r="CQ19" i="1"/>
  <c r="CP19" i="1"/>
  <c r="CO19" i="1"/>
  <c r="H19" i="3" s="1"/>
  <c r="CN19" i="1"/>
  <c r="G19" i="3" s="1"/>
  <c r="CM19" i="1"/>
  <c r="CL19" i="1"/>
  <c r="CK19" i="1"/>
  <c r="BM19" i="1"/>
  <c r="AC19" i="3" s="1"/>
  <c r="BL19" i="1"/>
  <c r="BK19" i="1"/>
  <c r="BJ19" i="1"/>
  <c r="Y19" i="3" s="1"/>
  <c r="BI19" i="1"/>
  <c r="BH19" i="1"/>
  <c r="BG19" i="1"/>
  <c r="BF19" i="1"/>
  <c r="BE19" i="1"/>
  <c r="BD19" i="1"/>
  <c r="BC19" i="1"/>
  <c r="BB19" i="1"/>
  <c r="BA19" i="1"/>
  <c r="AZ19" i="1"/>
  <c r="AY19" i="1"/>
  <c r="AX19" i="1"/>
  <c r="I19" i="3" s="1"/>
  <c r="AW19" i="1"/>
  <c r="AV19" i="1"/>
  <c r="AU19" i="1"/>
  <c r="AT19" i="1"/>
  <c r="AS19" i="1"/>
  <c r="AH19" i="1"/>
  <c r="AG19" i="1"/>
  <c r="AF19" i="1"/>
  <c r="AE19" i="1"/>
  <c r="AD19" i="1"/>
  <c r="AC19" i="1"/>
  <c r="AB19" i="1"/>
  <c r="AA19" i="1"/>
  <c r="Z19" i="1"/>
  <c r="B19" i="1"/>
  <c r="DE18" i="1"/>
  <c r="DD18" i="1"/>
  <c r="AB18" i="3" s="1"/>
  <c r="DC18" i="1"/>
  <c r="AA18" i="3" s="1"/>
  <c r="DB18" i="1"/>
  <c r="DA18" i="1"/>
  <c r="X18" i="3" s="1"/>
  <c r="CZ18" i="1"/>
  <c r="W18" i="3" s="1"/>
  <c r="CY18" i="1"/>
  <c r="CX18" i="1"/>
  <c r="CW18" i="1"/>
  <c r="CV18" i="1"/>
  <c r="CU18" i="1"/>
  <c r="CT18" i="1"/>
  <c r="CS18" i="1"/>
  <c r="CR18" i="1"/>
  <c r="CQ18" i="1"/>
  <c r="CP18" i="1"/>
  <c r="CO18" i="1"/>
  <c r="H18" i="3" s="1"/>
  <c r="CN18" i="1"/>
  <c r="G18" i="3" s="1"/>
  <c r="CM18" i="1"/>
  <c r="CL18" i="1"/>
  <c r="CK18" i="1"/>
  <c r="BM18" i="1"/>
  <c r="AC18" i="3" s="1"/>
  <c r="BL18" i="1"/>
  <c r="BK18" i="1"/>
  <c r="BJ18" i="1"/>
  <c r="Y18" i="3" s="1"/>
  <c r="BI18" i="1"/>
  <c r="BH18" i="1"/>
  <c r="BG18" i="1"/>
  <c r="BF18" i="1"/>
  <c r="BE18" i="1"/>
  <c r="BD18" i="1"/>
  <c r="BC18" i="1"/>
  <c r="BB18" i="1"/>
  <c r="BA18" i="1"/>
  <c r="AZ18" i="1"/>
  <c r="AY18" i="1"/>
  <c r="AX18" i="1"/>
  <c r="I18" i="3" s="1"/>
  <c r="AW18" i="1"/>
  <c r="AV18" i="1"/>
  <c r="AU18" i="1"/>
  <c r="AT18" i="1"/>
  <c r="AS18" i="1"/>
  <c r="AH18" i="1"/>
  <c r="AG18" i="1"/>
  <c r="AF18" i="1"/>
  <c r="AE18" i="1"/>
  <c r="AD18" i="1"/>
  <c r="AC18" i="1"/>
  <c r="AB18" i="1"/>
  <c r="AA18" i="1"/>
  <c r="Z18" i="1"/>
  <c r="B18" i="1"/>
  <c r="DE17" i="1"/>
  <c r="DD17" i="1"/>
  <c r="AB17" i="3" s="1"/>
  <c r="DC17" i="1"/>
  <c r="AA17" i="3" s="1"/>
  <c r="DB17" i="1"/>
  <c r="DA17" i="1"/>
  <c r="X17" i="3" s="1"/>
  <c r="CZ17" i="1"/>
  <c r="W17" i="3" s="1"/>
  <c r="CY17" i="1"/>
  <c r="CX17" i="1"/>
  <c r="CW17" i="1"/>
  <c r="CV17" i="1"/>
  <c r="CU17" i="1"/>
  <c r="CT17" i="1"/>
  <c r="CS17" i="1"/>
  <c r="CR17" i="1"/>
  <c r="CQ17" i="1"/>
  <c r="CP17" i="1"/>
  <c r="CO17" i="1"/>
  <c r="H17" i="3" s="1"/>
  <c r="CN17" i="1"/>
  <c r="G17" i="3" s="1"/>
  <c r="CM17" i="1"/>
  <c r="CL17" i="1"/>
  <c r="CK17" i="1"/>
  <c r="BM17" i="1"/>
  <c r="AC17" i="3" s="1"/>
  <c r="BL17" i="1"/>
  <c r="BK17" i="1"/>
  <c r="BJ17" i="1"/>
  <c r="Y17" i="3" s="1"/>
  <c r="BI17" i="1"/>
  <c r="BH17" i="1"/>
  <c r="BG17" i="1"/>
  <c r="BF17" i="1"/>
  <c r="BE17" i="1"/>
  <c r="BD17" i="1"/>
  <c r="BC17" i="1"/>
  <c r="BB17" i="1"/>
  <c r="BA17" i="1"/>
  <c r="AZ17" i="1"/>
  <c r="AY17" i="1"/>
  <c r="AX17" i="1"/>
  <c r="I17" i="3" s="1"/>
  <c r="AW17" i="1"/>
  <c r="AV17" i="1"/>
  <c r="AU17" i="1"/>
  <c r="AT17" i="1"/>
  <c r="AS17" i="1"/>
  <c r="AH17" i="1"/>
  <c r="AG17" i="1"/>
  <c r="AF17" i="1"/>
  <c r="AE17" i="1"/>
  <c r="AD17" i="1"/>
  <c r="AC17" i="1"/>
  <c r="AB17" i="1"/>
  <c r="AA17" i="1"/>
  <c r="Z17" i="1"/>
  <c r="B17" i="1"/>
  <c r="DE16" i="1"/>
  <c r="DD16" i="1"/>
  <c r="AB16" i="3" s="1"/>
  <c r="DC16" i="1"/>
  <c r="AA16" i="3" s="1"/>
  <c r="DB16" i="1"/>
  <c r="DA16" i="1"/>
  <c r="X16" i="3" s="1"/>
  <c r="CZ16" i="1"/>
  <c r="W16" i="3" s="1"/>
  <c r="CY16" i="1"/>
  <c r="CX16" i="1"/>
  <c r="CW16" i="1"/>
  <c r="CV16" i="1"/>
  <c r="CU16" i="1"/>
  <c r="P16" i="3" s="1"/>
  <c r="CT16" i="1"/>
  <c r="O16" i="3" s="1"/>
  <c r="CS16" i="1"/>
  <c r="CR16" i="1"/>
  <c r="L16" i="3" s="1"/>
  <c r="CQ16" i="1"/>
  <c r="K16" i="3" s="1"/>
  <c r="CP16" i="1"/>
  <c r="CO16" i="1"/>
  <c r="H16" i="3" s="1"/>
  <c r="CN16" i="1"/>
  <c r="G16" i="3" s="1"/>
  <c r="CM16" i="1"/>
  <c r="CL16" i="1"/>
  <c r="CK16" i="1"/>
  <c r="BM16" i="1"/>
  <c r="AC16" i="3" s="1"/>
  <c r="BL16" i="1"/>
  <c r="BK16" i="1"/>
  <c r="BJ16" i="1"/>
  <c r="Y16" i="3" s="1"/>
  <c r="BI16" i="1"/>
  <c r="BH16" i="1"/>
  <c r="BG16" i="1"/>
  <c r="BF16" i="1"/>
  <c r="BE16" i="1"/>
  <c r="BD16" i="1"/>
  <c r="Q16" i="3" s="1"/>
  <c r="BC16" i="1"/>
  <c r="BB16" i="1"/>
  <c r="BA16" i="1"/>
  <c r="M16" i="3" s="1"/>
  <c r="AZ16" i="1"/>
  <c r="AY16" i="1"/>
  <c r="AX16" i="1"/>
  <c r="AW16" i="1"/>
  <c r="AV16" i="1"/>
  <c r="AU16" i="1"/>
  <c r="AT16" i="1"/>
  <c r="AS16" i="1"/>
  <c r="AH16" i="1"/>
  <c r="AG16" i="1"/>
  <c r="AF16" i="1"/>
  <c r="AE16" i="1"/>
  <c r="AD16" i="1"/>
  <c r="AC16" i="1"/>
  <c r="AB16" i="1"/>
  <c r="AA16" i="1"/>
  <c r="Z16" i="1"/>
  <c r="B16" i="1"/>
  <c r="DE15" i="1"/>
  <c r="DD15" i="1"/>
  <c r="AB15" i="3" s="1"/>
  <c r="DC15" i="1"/>
  <c r="AA15" i="3" s="1"/>
  <c r="DB15" i="1"/>
  <c r="DA15" i="1"/>
  <c r="X15" i="3" s="1"/>
  <c r="CZ15" i="1"/>
  <c r="W15" i="3" s="1"/>
  <c r="CY15" i="1"/>
  <c r="CX15" i="1"/>
  <c r="CW15" i="1"/>
  <c r="CV15" i="1"/>
  <c r="CU15" i="1"/>
  <c r="CT15" i="1"/>
  <c r="CS15" i="1"/>
  <c r="CR15" i="1"/>
  <c r="CQ15" i="1"/>
  <c r="CP15" i="1"/>
  <c r="CO15" i="1"/>
  <c r="H15" i="3" s="1"/>
  <c r="CN15" i="1"/>
  <c r="G15" i="3" s="1"/>
  <c r="CM15" i="1"/>
  <c r="CL15" i="1"/>
  <c r="CK15" i="1"/>
  <c r="BM15" i="1"/>
  <c r="AC15" i="3" s="1"/>
  <c r="BL15" i="1"/>
  <c r="BK15" i="1"/>
  <c r="BJ15" i="1"/>
  <c r="Y15" i="3" s="1"/>
  <c r="BI15" i="1"/>
  <c r="BH15" i="1"/>
  <c r="BG15" i="1"/>
  <c r="BF15" i="1"/>
  <c r="BE15" i="1"/>
  <c r="BD15" i="1"/>
  <c r="BC15" i="1"/>
  <c r="BB15" i="1"/>
  <c r="BA15" i="1"/>
  <c r="AZ15" i="1"/>
  <c r="AY15" i="1"/>
  <c r="AX15" i="1"/>
  <c r="I15" i="3" s="1"/>
  <c r="AW15" i="1"/>
  <c r="AV15" i="1"/>
  <c r="AU15" i="1"/>
  <c r="AT15" i="1"/>
  <c r="AS15" i="1"/>
  <c r="AH15" i="1"/>
  <c r="AG15" i="1"/>
  <c r="AF15" i="1"/>
  <c r="AE15" i="1"/>
  <c r="AD15" i="1"/>
  <c r="AC15" i="1"/>
  <c r="AB15" i="1"/>
  <c r="AA15" i="1"/>
  <c r="Z15" i="1"/>
  <c r="B15" i="1"/>
  <c r="DE14" i="1"/>
  <c r="DD14" i="1"/>
  <c r="AB14" i="3" s="1"/>
  <c r="DC14" i="1"/>
  <c r="AA14" i="3" s="1"/>
  <c r="DB14" i="1"/>
  <c r="DA14" i="1"/>
  <c r="X14" i="3" s="1"/>
  <c r="CZ14" i="1"/>
  <c r="W14" i="3" s="1"/>
  <c r="CY14" i="1"/>
  <c r="CX14" i="1"/>
  <c r="CW14" i="1"/>
  <c r="CV14" i="1"/>
  <c r="CU14" i="1"/>
  <c r="CT14" i="1"/>
  <c r="CS14" i="1"/>
  <c r="CR14" i="1"/>
  <c r="CQ14" i="1"/>
  <c r="CP14" i="1"/>
  <c r="CO14" i="1"/>
  <c r="H14" i="3" s="1"/>
  <c r="CN14" i="1"/>
  <c r="G14" i="3" s="1"/>
  <c r="CM14" i="1"/>
  <c r="CL14" i="1"/>
  <c r="CK14" i="1"/>
  <c r="BM14" i="1"/>
  <c r="AC14" i="3" s="1"/>
  <c r="BL14" i="1"/>
  <c r="BK14" i="1"/>
  <c r="BJ14" i="1"/>
  <c r="Y14" i="3" s="1"/>
  <c r="BI14" i="1"/>
  <c r="BH14" i="1"/>
  <c r="BG14" i="1"/>
  <c r="BF14" i="1"/>
  <c r="BE14" i="1"/>
  <c r="BD14" i="1"/>
  <c r="BC14" i="1"/>
  <c r="BB14" i="1"/>
  <c r="BA14" i="1"/>
  <c r="AZ14" i="1"/>
  <c r="AY14" i="1"/>
  <c r="AX14" i="1"/>
  <c r="I14" i="3" s="1"/>
  <c r="AW14" i="1"/>
  <c r="AV14" i="1"/>
  <c r="AU14" i="1"/>
  <c r="AT14" i="1"/>
  <c r="AS14" i="1"/>
  <c r="AH14" i="1"/>
  <c r="AG14" i="1"/>
  <c r="AF14" i="1"/>
  <c r="AE14" i="1"/>
  <c r="AD14" i="1"/>
  <c r="AC14" i="1"/>
  <c r="AB14" i="1"/>
  <c r="AA14" i="1"/>
  <c r="Z14" i="1"/>
  <c r="B14" i="1"/>
  <c r="DE13" i="1"/>
  <c r="DD13" i="1"/>
  <c r="DC13" i="1"/>
  <c r="DB13" i="1"/>
  <c r="DA13" i="1"/>
  <c r="X13" i="3" s="1"/>
  <c r="CZ13" i="1"/>
  <c r="W13" i="3" s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BM13" i="1"/>
  <c r="BL13" i="1"/>
  <c r="BK13" i="1"/>
  <c r="BJ13" i="1"/>
  <c r="Y13" i="3" s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H13" i="1"/>
  <c r="AG13" i="1"/>
  <c r="AF13" i="1"/>
  <c r="AE13" i="1"/>
  <c r="AD13" i="1"/>
  <c r="AC13" i="1"/>
  <c r="AB13" i="1"/>
  <c r="AA13" i="1"/>
  <c r="Z13" i="1"/>
  <c r="B13" i="1"/>
  <c r="DE12" i="1"/>
  <c r="DD12" i="1"/>
  <c r="DC12" i="1"/>
  <c r="DB12" i="1"/>
  <c r="DA12" i="1"/>
  <c r="X12" i="3" s="1"/>
  <c r="CZ12" i="1"/>
  <c r="W12" i="3" s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BM12" i="1"/>
  <c r="BL12" i="1"/>
  <c r="BK12" i="1"/>
  <c r="BJ12" i="1"/>
  <c r="Y12" i="3" s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H12" i="1"/>
  <c r="AG12" i="1"/>
  <c r="AF12" i="1"/>
  <c r="AE12" i="1"/>
  <c r="AD12" i="1"/>
  <c r="AC12" i="1"/>
  <c r="AB12" i="1"/>
  <c r="AA12" i="1"/>
  <c r="Z12" i="1"/>
  <c r="D12" i="1"/>
  <c r="B12" i="1"/>
  <c r="DE11" i="1"/>
  <c r="DD11" i="1"/>
  <c r="DC11" i="1"/>
  <c r="DB11" i="1"/>
  <c r="DA11" i="1"/>
  <c r="X11" i="3" s="1"/>
  <c r="CZ11" i="1"/>
  <c r="W11" i="3" s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BM11" i="1"/>
  <c r="BL11" i="1"/>
  <c r="BK11" i="1"/>
  <c r="BJ11" i="1"/>
  <c r="Y11" i="3" s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H11" i="1"/>
  <c r="AG11" i="1"/>
  <c r="AF11" i="1"/>
  <c r="AE11" i="1"/>
  <c r="AD11" i="1"/>
  <c r="AC11" i="1"/>
  <c r="AB11" i="1"/>
  <c r="AA11" i="1"/>
  <c r="Z11" i="1"/>
  <c r="D11" i="1"/>
  <c r="B11" i="1"/>
  <c r="AH10" i="1"/>
  <c r="AQ120" i="1" s="1"/>
  <c r="L120" i="2" s="1"/>
  <c r="AG10" i="1"/>
  <c r="AF10" i="1"/>
  <c r="AO120" i="1" s="1"/>
  <c r="J120" i="2" s="1"/>
  <c r="AE10" i="1"/>
  <c r="AN120" i="1" s="1"/>
  <c r="I120" i="2" s="1"/>
  <c r="AD10" i="1"/>
  <c r="AM120" i="1" s="1"/>
  <c r="H120" i="2" s="1"/>
  <c r="AC10" i="1"/>
  <c r="AL120" i="1" s="1"/>
  <c r="G120" i="2" s="1"/>
  <c r="AB10" i="1"/>
  <c r="AK120" i="1" s="1"/>
  <c r="F120" i="2" s="1"/>
  <c r="AA10" i="1"/>
  <c r="Z10" i="1"/>
  <c r="AI120" i="1" s="1"/>
  <c r="D120" i="2" s="1"/>
  <c r="D10" i="1"/>
  <c r="I16" i="3"/>
  <c r="T120" i="2" l="1"/>
  <c r="AL119" i="1"/>
  <c r="G119" i="2" s="1"/>
  <c r="U120" i="2" s="1"/>
  <c r="AL118" i="1"/>
  <c r="G118" i="2" s="1"/>
  <c r="AI119" i="1"/>
  <c r="D119" i="2" s="1"/>
  <c r="R119" i="2" s="1"/>
  <c r="AI118" i="1"/>
  <c r="D118" i="2" s="1"/>
  <c r="AM119" i="1"/>
  <c r="H119" i="2" s="1"/>
  <c r="V120" i="2" s="1"/>
  <c r="AM118" i="1"/>
  <c r="H118" i="2" s="1"/>
  <c r="AQ119" i="1"/>
  <c r="L119" i="2" s="1"/>
  <c r="AQ118" i="1"/>
  <c r="L118" i="2" s="1"/>
  <c r="AN119" i="1"/>
  <c r="I119" i="2" s="1"/>
  <c r="W120" i="2" s="1"/>
  <c r="AN118" i="1"/>
  <c r="I118" i="2" s="1"/>
  <c r="AK118" i="1"/>
  <c r="F118" i="2" s="1"/>
  <c r="AK119" i="1"/>
  <c r="F119" i="2" s="1"/>
  <c r="AO118" i="1"/>
  <c r="J118" i="2" s="1"/>
  <c r="AO119" i="1"/>
  <c r="J119" i="2" s="1"/>
  <c r="X119" i="2" s="1"/>
  <c r="AM116" i="1"/>
  <c r="H116" i="2" s="1"/>
  <c r="AM117" i="1"/>
  <c r="H117" i="2" s="1"/>
  <c r="AL117" i="1"/>
  <c r="G117" i="2" s="1"/>
  <c r="AL116" i="1"/>
  <c r="G116" i="2" s="1"/>
  <c r="AI116" i="1"/>
  <c r="D116" i="2" s="1"/>
  <c r="AI117" i="1"/>
  <c r="D117" i="2" s="1"/>
  <c r="AQ115" i="1"/>
  <c r="L115" i="2" s="1"/>
  <c r="Z115" i="2" s="1"/>
  <c r="AQ117" i="1"/>
  <c r="L117" i="2" s="1"/>
  <c r="AQ116" i="1"/>
  <c r="L116" i="2" s="1"/>
  <c r="AN115" i="1"/>
  <c r="I115" i="2" s="1"/>
  <c r="W115" i="2" s="1"/>
  <c r="AN117" i="1"/>
  <c r="I117" i="2" s="1"/>
  <c r="AN116" i="1"/>
  <c r="I116" i="2" s="1"/>
  <c r="AK117" i="1"/>
  <c r="F117" i="2" s="1"/>
  <c r="AK116" i="1"/>
  <c r="F116" i="2" s="1"/>
  <c r="AO116" i="1"/>
  <c r="J116" i="2" s="1"/>
  <c r="AO117" i="1"/>
  <c r="J117" i="2" s="1"/>
  <c r="X117" i="2" s="1"/>
  <c r="W116" i="2"/>
  <c r="AL115" i="1"/>
  <c r="G115" i="2" s="1"/>
  <c r="AL114" i="1"/>
  <c r="G114" i="2" s="1"/>
  <c r="AL113" i="1"/>
  <c r="G113" i="2" s="1"/>
  <c r="AI115" i="1"/>
  <c r="D115" i="2" s="1"/>
  <c r="AI113" i="1"/>
  <c r="D113" i="2" s="1"/>
  <c r="AI114" i="1"/>
  <c r="D114" i="2" s="1"/>
  <c r="R114" i="2" s="1"/>
  <c r="AM115" i="1"/>
  <c r="H115" i="2" s="1"/>
  <c r="AM114" i="1"/>
  <c r="H114" i="2" s="1"/>
  <c r="V114" i="2" s="1"/>
  <c r="AK115" i="1"/>
  <c r="F115" i="2" s="1"/>
  <c r="AK114" i="1"/>
  <c r="F114" i="2" s="1"/>
  <c r="AK113" i="1"/>
  <c r="F113" i="2" s="1"/>
  <c r="AO114" i="1"/>
  <c r="J114" i="2" s="1"/>
  <c r="X114" i="2" s="1"/>
  <c r="AO115" i="1"/>
  <c r="J115" i="2" s="1"/>
  <c r="AO113" i="1"/>
  <c r="J113" i="2" s="1"/>
  <c r="AI112" i="1"/>
  <c r="D112" i="2" s="1"/>
  <c r="AI111" i="1"/>
  <c r="D111" i="2" s="1"/>
  <c r="AI110" i="1"/>
  <c r="D110" i="2" s="1"/>
  <c r="AI108" i="1"/>
  <c r="D108" i="2" s="1"/>
  <c r="AI107" i="1"/>
  <c r="D107" i="2" s="1"/>
  <c r="AI106" i="1"/>
  <c r="D106" i="2" s="1"/>
  <c r="AI105" i="1"/>
  <c r="D105" i="2" s="1"/>
  <c r="AI104" i="1"/>
  <c r="D104" i="2" s="1"/>
  <c r="AI102" i="1"/>
  <c r="D102" i="2" s="1"/>
  <c r="AI103" i="1"/>
  <c r="D103" i="2" s="1"/>
  <c r="R103" i="2" s="1"/>
  <c r="AI101" i="1"/>
  <c r="D101" i="2" s="1"/>
  <c r="AI100" i="1"/>
  <c r="D100" i="2" s="1"/>
  <c r="AI99" i="1"/>
  <c r="D99" i="2" s="1"/>
  <c r="AI98" i="1"/>
  <c r="D98" i="2" s="1"/>
  <c r="AM112" i="1"/>
  <c r="H112" i="2" s="1"/>
  <c r="AM110" i="1"/>
  <c r="H110" i="2" s="1"/>
  <c r="AM111" i="1"/>
  <c r="H111" i="2" s="1"/>
  <c r="AM109" i="1"/>
  <c r="H109" i="2" s="1"/>
  <c r="V109" i="2" s="1"/>
  <c r="AM108" i="1"/>
  <c r="H108" i="2" s="1"/>
  <c r="AM107" i="1"/>
  <c r="H107" i="2" s="1"/>
  <c r="AM106" i="1"/>
  <c r="H106" i="2" s="1"/>
  <c r="AM105" i="1"/>
  <c r="H105" i="2" s="1"/>
  <c r="AM104" i="1"/>
  <c r="H104" i="2" s="1"/>
  <c r="AM103" i="1"/>
  <c r="H103" i="2" s="1"/>
  <c r="AM102" i="1"/>
  <c r="H102" i="2" s="1"/>
  <c r="AM101" i="1"/>
  <c r="H101" i="2" s="1"/>
  <c r="AM100" i="1"/>
  <c r="H100" i="2" s="1"/>
  <c r="AM99" i="1"/>
  <c r="H99" i="2" s="1"/>
  <c r="AM98" i="1"/>
  <c r="H98" i="2" s="1"/>
  <c r="AK112" i="1"/>
  <c r="F112" i="2" s="1"/>
  <c r="AK111" i="1"/>
  <c r="F111" i="2" s="1"/>
  <c r="AK110" i="1"/>
  <c r="F110" i="2" s="1"/>
  <c r="AK109" i="1"/>
  <c r="F109" i="2" s="1"/>
  <c r="AK107" i="1"/>
  <c r="F107" i="2" s="1"/>
  <c r="AK108" i="1"/>
  <c r="F108" i="2" s="1"/>
  <c r="AK105" i="1"/>
  <c r="F105" i="2" s="1"/>
  <c r="AK106" i="1"/>
  <c r="F106" i="2" s="1"/>
  <c r="AK104" i="1"/>
  <c r="F104" i="2" s="1"/>
  <c r="T104" i="2" s="1"/>
  <c r="AK102" i="1"/>
  <c r="F102" i="2" s="1"/>
  <c r="AK101" i="1"/>
  <c r="F101" i="2" s="1"/>
  <c r="AK100" i="1"/>
  <c r="F100" i="2" s="1"/>
  <c r="AK99" i="1"/>
  <c r="F99" i="2" s="1"/>
  <c r="AK98" i="1"/>
  <c r="F98" i="2" s="1"/>
  <c r="AN112" i="1"/>
  <c r="I112" i="2" s="1"/>
  <c r="W113" i="2" s="1"/>
  <c r="AN111" i="1"/>
  <c r="I111" i="2" s="1"/>
  <c r="AN110" i="1"/>
  <c r="I110" i="2" s="1"/>
  <c r="AN109" i="1"/>
  <c r="I109" i="2" s="1"/>
  <c r="W109" i="2" s="1"/>
  <c r="AN105" i="1"/>
  <c r="I105" i="2" s="1"/>
  <c r="AN104" i="1"/>
  <c r="I104" i="2" s="1"/>
  <c r="AN103" i="1"/>
  <c r="I103" i="2" s="1"/>
  <c r="W103" i="2" s="1"/>
  <c r="AN101" i="1"/>
  <c r="I101" i="2" s="1"/>
  <c r="AN100" i="1"/>
  <c r="I100" i="2" s="1"/>
  <c r="AN99" i="1"/>
  <c r="I99" i="2" s="1"/>
  <c r="AN98" i="1"/>
  <c r="I98" i="2" s="1"/>
  <c r="AQ110" i="1"/>
  <c r="L110" i="2" s="1"/>
  <c r="Z110" i="2" s="1"/>
  <c r="AQ112" i="1"/>
  <c r="L112" i="2" s="1"/>
  <c r="AQ111" i="1"/>
  <c r="L111" i="2" s="1"/>
  <c r="AQ105" i="1"/>
  <c r="L105" i="2" s="1"/>
  <c r="AQ104" i="1"/>
  <c r="L104" i="2" s="1"/>
  <c r="AQ103" i="1"/>
  <c r="L103" i="2" s="1"/>
  <c r="Z103" i="2" s="1"/>
  <c r="AQ101" i="1"/>
  <c r="L101" i="2" s="1"/>
  <c r="AQ100" i="1"/>
  <c r="L100" i="2" s="1"/>
  <c r="AQ99" i="1"/>
  <c r="L99" i="2" s="1"/>
  <c r="AQ98" i="1"/>
  <c r="L98" i="2" s="1"/>
  <c r="AL112" i="1"/>
  <c r="G112" i="2" s="1"/>
  <c r="AL111" i="1"/>
  <c r="G111" i="2" s="1"/>
  <c r="U111" i="2" s="1"/>
  <c r="AL110" i="1"/>
  <c r="G110" i="2" s="1"/>
  <c r="AL109" i="1"/>
  <c r="G109" i="2" s="1"/>
  <c r="AL107" i="1"/>
  <c r="G107" i="2" s="1"/>
  <c r="AL108" i="1"/>
  <c r="G108" i="2" s="1"/>
  <c r="AL106" i="1"/>
  <c r="G106" i="2" s="1"/>
  <c r="AL105" i="1"/>
  <c r="G105" i="2" s="1"/>
  <c r="AL104" i="1"/>
  <c r="G104" i="2" s="1"/>
  <c r="AL103" i="1"/>
  <c r="G103" i="2" s="1"/>
  <c r="AL102" i="1"/>
  <c r="G102" i="2" s="1"/>
  <c r="AL101" i="1"/>
  <c r="G101" i="2" s="1"/>
  <c r="AL100" i="1"/>
  <c r="G100" i="2" s="1"/>
  <c r="AL99" i="1"/>
  <c r="G99" i="2" s="1"/>
  <c r="AL98" i="1"/>
  <c r="G98" i="2" s="1"/>
  <c r="AO112" i="1"/>
  <c r="J112" i="2" s="1"/>
  <c r="AO111" i="1"/>
  <c r="J111" i="2" s="1"/>
  <c r="AO110" i="1"/>
  <c r="J110" i="2" s="1"/>
  <c r="X110" i="2" s="1"/>
  <c r="AO109" i="1"/>
  <c r="J109" i="2" s="1"/>
  <c r="AO108" i="1"/>
  <c r="J108" i="2" s="1"/>
  <c r="AO107" i="1"/>
  <c r="J107" i="2" s="1"/>
  <c r="AO106" i="1"/>
  <c r="J106" i="2" s="1"/>
  <c r="AO105" i="1"/>
  <c r="J105" i="2" s="1"/>
  <c r="AO104" i="1"/>
  <c r="J104" i="2" s="1"/>
  <c r="X104" i="2" s="1"/>
  <c r="AO101" i="1"/>
  <c r="J101" i="2" s="1"/>
  <c r="AO102" i="1"/>
  <c r="J102" i="2" s="1"/>
  <c r="AO100" i="1"/>
  <c r="J100" i="2" s="1"/>
  <c r="AO99" i="1"/>
  <c r="J99" i="2" s="1"/>
  <c r="AO98" i="1"/>
  <c r="J98" i="2" s="1"/>
  <c r="AQ97" i="1"/>
  <c r="L97" i="2" s="1"/>
  <c r="AQ96" i="1"/>
  <c r="L96" i="2" s="1"/>
  <c r="AM97" i="1"/>
  <c r="H97" i="2" s="1"/>
  <c r="AM96" i="1"/>
  <c r="H96" i="2" s="1"/>
  <c r="AL97" i="1"/>
  <c r="G97" i="2" s="1"/>
  <c r="AL96" i="1"/>
  <c r="G96" i="2" s="1"/>
  <c r="AI97" i="1"/>
  <c r="D97" i="2" s="1"/>
  <c r="AI96" i="1"/>
  <c r="D96" i="2" s="1"/>
  <c r="AK96" i="1"/>
  <c r="F96" i="2" s="1"/>
  <c r="AK97" i="1"/>
  <c r="F97" i="2" s="1"/>
  <c r="AN96" i="1"/>
  <c r="I96" i="2" s="1"/>
  <c r="AN97" i="1"/>
  <c r="I97" i="2" s="1"/>
  <c r="AO97" i="1"/>
  <c r="J97" i="2" s="1"/>
  <c r="AO96" i="1"/>
  <c r="J96" i="2" s="1"/>
  <c r="AL95" i="1"/>
  <c r="G95" i="2" s="1"/>
  <c r="U95" i="2" s="1"/>
  <c r="AL93" i="1"/>
  <c r="G93" i="2" s="1"/>
  <c r="AL91" i="1"/>
  <c r="G91" i="2" s="1"/>
  <c r="AL90" i="1"/>
  <c r="AL89" i="1"/>
  <c r="G89" i="2" s="1"/>
  <c r="U90" i="2" s="1"/>
  <c r="AL88" i="1"/>
  <c r="G88" i="2" s="1"/>
  <c r="AI95" i="1"/>
  <c r="D95" i="2" s="1"/>
  <c r="R95" i="2" s="1"/>
  <c r="AI93" i="1"/>
  <c r="D93" i="2" s="1"/>
  <c r="AI91" i="1"/>
  <c r="D91" i="2" s="1"/>
  <c r="AI90" i="1"/>
  <c r="AI89" i="1"/>
  <c r="D89" i="2" s="1"/>
  <c r="R90" i="2" s="1"/>
  <c r="AI88" i="1"/>
  <c r="D88" i="2" s="1"/>
  <c r="AQ95" i="1"/>
  <c r="L95" i="2" s="1"/>
  <c r="Z95" i="2" s="1"/>
  <c r="AQ93" i="1"/>
  <c r="L93" i="2" s="1"/>
  <c r="AQ91" i="1"/>
  <c r="L91" i="2" s="1"/>
  <c r="AQ90" i="1"/>
  <c r="AQ89" i="1"/>
  <c r="L89" i="2" s="1"/>
  <c r="Z90" i="2" s="1"/>
  <c r="AQ88" i="1"/>
  <c r="L88" i="2" s="1"/>
  <c r="AM95" i="1"/>
  <c r="H95" i="2" s="1"/>
  <c r="V95" i="2" s="1"/>
  <c r="AM93" i="1"/>
  <c r="H93" i="2" s="1"/>
  <c r="AM91" i="1"/>
  <c r="H91" i="2" s="1"/>
  <c r="AM90" i="1"/>
  <c r="AM89" i="1"/>
  <c r="AM88" i="1"/>
  <c r="AP89" i="1"/>
  <c r="K89" i="2" s="1"/>
  <c r="Y90" i="2" s="1"/>
  <c r="AP88" i="1"/>
  <c r="K88" i="2" s="1"/>
  <c r="AJ89" i="1"/>
  <c r="E89" i="2" s="1"/>
  <c r="S90" i="2" s="1"/>
  <c r="AJ88" i="1"/>
  <c r="E88" i="2" s="1"/>
  <c r="AK95" i="1"/>
  <c r="F95" i="2" s="1"/>
  <c r="T95" i="2" s="1"/>
  <c r="AK93" i="1"/>
  <c r="F93" i="2" s="1"/>
  <c r="AK91" i="1"/>
  <c r="F91" i="2" s="1"/>
  <c r="AK90" i="1"/>
  <c r="AN95" i="1"/>
  <c r="I95" i="2" s="1"/>
  <c r="W95" i="2" s="1"/>
  <c r="AN93" i="1"/>
  <c r="I93" i="2" s="1"/>
  <c r="AN91" i="1"/>
  <c r="I91" i="2" s="1"/>
  <c r="AN90" i="1"/>
  <c r="AN89" i="1"/>
  <c r="I89" i="2" s="1"/>
  <c r="W90" i="2" s="1"/>
  <c r="AN88" i="1"/>
  <c r="I88" i="2" s="1"/>
  <c r="AO95" i="1"/>
  <c r="J95" i="2" s="1"/>
  <c r="X95" i="2" s="1"/>
  <c r="AO93" i="1"/>
  <c r="J93" i="2" s="1"/>
  <c r="AO91" i="1"/>
  <c r="J91" i="2" s="1"/>
  <c r="AO90" i="1"/>
  <c r="AI86" i="1"/>
  <c r="D86" i="2" s="1"/>
  <c r="AI87" i="1"/>
  <c r="D87" i="2" s="1"/>
  <c r="AJ86" i="1"/>
  <c r="E86" i="2" s="1"/>
  <c r="AJ87" i="1"/>
  <c r="E87" i="2" s="1"/>
  <c r="AJ80" i="1"/>
  <c r="E80" i="2" s="1"/>
  <c r="AQ74" i="1"/>
  <c r="L74" i="2" s="1"/>
  <c r="Z75" i="2" s="1"/>
  <c r="AQ86" i="1"/>
  <c r="L86" i="2" s="1"/>
  <c r="AQ87" i="1"/>
  <c r="L87" i="2" s="1"/>
  <c r="AQ80" i="1"/>
  <c r="L80" i="2" s="1"/>
  <c r="AN74" i="1"/>
  <c r="I74" i="2" s="1"/>
  <c r="W74" i="2" s="1"/>
  <c r="AN86" i="1"/>
  <c r="I86" i="2" s="1"/>
  <c r="AN87" i="1"/>
  <c r="I87" i="2" s="1"/>
  <c r="AN80" i="1"/>
  <c r="I80" i="2" s="1"/>
  <c r="AO74" i="1"/>
  <c r="J74" i="2" s="1"/>
  <c r="X74" i="2" s="1"/>
  <c r="AO80" i="1"/>
  <c r="AM87" i="1"/>
  <c r="AM86" i="1"/>
  <c r="AM80" i="1"/>
  <c r="AK74" i="1"/>
  <c r="F74" i="2" s="1"/>
  <c r="T75" i="2" s="1"/>
  <c r="AK80" i="1"/>
  <c r="AL86" i="1"/>
  <c r="G86" i="2" s="1"/>
  <c r="AL87" i="1"/>
  <c r="G87" i="2" s="1"/>
  <c r="AL80" i="1"/>
  <c r="G80" i="2" s="1"/>
  <c r="AP86" i="1"/>
  <c r="K86" i="2" s="1"/>
  <c r="AP87" i="1"/>
  <c r="K87" i="2" s="1"/>
  <c r="AP80" i="1"/>
  <c r="K80" i="2" s="1"/>
  <c r="AM74" i="1"/>
  <c r="AM75" i="1"/>
  <c r="AP75" i="1"/>
  <c r="K75" i="2" s="1"/>
  <c r="AP74" i="1"/>
  <c r="K74" i="2" s="1"/>
  <c r="Y74" i="2" s="1"/>
  <c r="AI74" i="1"/>
  <c r="D74" i="2" s="1"/>
  <c r="AI73" i="1"/>
  <c r="D73" i="2" s="1"/>
  <c r="AI75" i="1"/>
  <c r="D75" i="2" s="1"/>
  <c r="AJ75" i="1"/>
  <c r="E75" i="2" s="1"/>
  <c r="AJ74" i="1"/>
  <c r="E74" i="2" s="1"/>
  <c r="AJ73" i="1"/>
  <c r="E73" i="2" s="1"/>
  <c r="AL75" i="1"/>
  <c r="G75" i="2" s="1"/>
  <c r="AL73" i="1"/>
  <c r="G73" i="2" s="1"/>
  <c r="AL74" i="1"/>
  <c r="G74" i="2" s="1"/>
  <c r="AI51" i="1"/>
  <c r="D51" i="2" s="1"/>
  <c r="AI53" i="1"/>
  <c r="D53" i="2" s="1"/>
  <c r="AI50" i="1"/>
  <c r="D50" i="2" s="1"/>
  <c r="AI54" i="1"/>
  <c r="D54" i="2" s="1"/>
  <c r="AI62" i="1"/>
  <c r="D62" i="2" s="1"/>
  <c r="AI52" i="1"/>
  <c r="D52" i="2" s="1"/>
  <c r="AI72" i="1"/>
  <c r="D72" i="2" s="1"/>
  <c r="AI55" i="1"/>
  <c r="D55" i="2" s="1"/>
  <c r="AI57" i="1"/>
  <c r="D57" i="2" s="1"/>
  <c r="AI56" i="1"/>
  <c r="D56" i="2" s="1"/>
  <c r="AI58" i="1"/>
  <c r="D58" i="2" s="1"/>
  <c r="AI49" i="1"/>
  <c r="D49" i="2" s="1"/>
  <c r="AI48" i="1"/>
  <c r="D48" i="2" s="1"/>
  <c r="AP62" i="1"/>
  <c r="K62" i="2" s="1"/>
  <c r="AP58" i="1"/>
  <c r="K58" i="2" s="1"/>
  <c r="AP56" i="1"/>
  <c r="K56" i="2" s="1"/>
  <c r="AP54" i="1"/>
  <c r="K54" i="2" s="1"/>
  <c r="AP57" i="1"/>
  <c r="K57" i="2" s="1"/>
  <c r="AP53" i="1"/>
  <c r="K53" i="2" s="1"/>
  <c r="AP51" i="1"/>
  <c r="K51" i="2" s="1"/>
  <c r="AP55" i="1"/>
  <c r="K55" i="2" s="1"/>
  <c r="AP52" i="1"/>
  <c r="K52" i="2" s="1"/>
  <c r="AP50" i="1"/>
  <c r="K50" i="2" s="1"/>
  <c r="AP49" i="1"/>
  <c r="K49" i="2" s="1"/>
  <c r="AP48" i="1"/>
  <c r="K48" i="2" s="1"/>
  <c r="AQ72" i="1"/>
  <c r="L72" i="2" s="1"/>
  <c r="Z73" i="2" s="1"/>
  <c r="AQ50" i="1"/>
  <c r="L50" i="2" s="1"/>
  <c r="Z50" i="2" s="1"/>
  <c r="AQ54" i="1"/>
  <c r="L54" i="2" s="1"/>
  <c r="AQ52" i="1"/>
  <c r="L52" i="2" s="1"/>
  <c r="AQ56" i="1"/>
  <c r="L56" i="2" s="1"/>
  <c r="Z56" i="2" s="1"/>
  <c r="AQ51" i="1"/>
  <c r="L51" i="2" s="1"/>
  <c r="Z51" i="2" s="1"/>
  <c r="AQ62" i="1"/>
  <c r="L62" i="2" s="1"/>
  <c r="AQ58" i="1"/>
  <c r="L58" i="2" s="1"/>
  <c r="AQ53" i="1"/>
  <c r="L53" i="2" s="1"/>
  <c r="AQ57" i="1"/>
  <c r="L57" i="2" s="1"/>
  <c r="AQ48" i="1"/>
  <c r="L48" i="2" s="1"/>
  <c r="Z49" i="2" s="1"/>
  <c r="AJ58" i="1"/>
  <c r="E58" i="2" s="1"/>
  <c r="AJ52" i="1"/>
  <c r="E52" i="2" s="1"/>
  <c r="AJ53" i="1"/>
  <c r="E53" i="2" s="1"/>
  <c r="AJ57" i="1"/>
  <c r="E57" i="2" s="1"/>
  <c r="AJ62" i="1"/>
  <c r="E62" i="2" s="1"/>
  <c r="AJ72" i="1"/>
  <c r="E72" i="2" s="1"/>
  <c r="AJ54" i="1"/>
  <c r="E54" i="2" s="1"/>
  <c r="AJ51" i="1"/>
  <c r="E51" i="2" s="1"/>
  <c r="AJ50" i="1"/>
  <c r="E50" i="2" s="1"/>
  <c r="AJ55" i="1"/>
  <c r="E55" i="2" s="1"/>
  <c r="AJ56" i="1"/>
  <c r="E56" i="2" s="1"/>
  <c r="AJ49" i="1"/>
  <c r="E49" i="2" s="1"/>
  <c r="AJ48" i="1"/>
  <c r="E48" i="2" s="1"/>
  <c r="AN50" i="1"/>
  <c r="I50" i="2" s="1"/>
  <c r="W50" i="2" s="1"/>
  <c r="AN51" i="1"/>
  <c r="I51" i="2" s="1"/>
  <c r="AN62" i="1"/>
  <c r="I62" i="2" s="1"/>
  <c r="AN54" i="1"/>
  <c r="I54" i="2" s="1"/>
  <c r="AN58" i="1"/>
  <c r="I58" i="2" s="1"/>
  <c r="AN53" i="1"/>
  <c r="I53" i="2" s="1"/>
  <c r="AN72" i="1"/>
  <c r="I72" i="2" s="1"/>
  <c r="W73" i="2" s="1"/>
  <c r="AN56" i="1"/>
  <c r="I56" i="2" s="1"/>
  <c r="W56" i="2" s="1"/>
  <c r="AN52" i="1"/>
  <c r="I52" i="2" s="1"/>
  <c r="AN57" i="1"/>
  <c r="I57" i="2" s="1"/>
  <c r="AN48" i="1"/>
  <c r="I48" i="2" s="1"/>
  <c r="W49" i="2" s="1"/>
  <c r="AL72" i="1"/>
  <c r="G72" i="2" s="1"/>
  <c r="AL62" i="1"/>
  <c r="G62" i="2" s="1"/>
  <c r="AL58" i="1"/>
  <c r="G58" i="2" s="1"/>
  <c r="AL54" i="1"/>
  <c r="G54" i="2" s="1"/>
  <c r="AL51" i="1"/>
  <c r="G51" i="2" s="1"/>
  <c r="AL52" i="1"/>
  <c r="G52" i="2" s="1"/>
  <c r="AL50" i="1"/>
  <c r="G50" i="2" s="1"/>
  <c r="AL53" i="1"/>
  <c r="G53" i="2" s="1"/>
  <c r="AL55" i="1"/>
  <c r="G55" i="2" s="1"/>
  <c r="AL56" i="1"/>
  <c r="G56" i="2" s="1"/>
  <c r="AL57" i="1"/>
  <c r="G57" i="2" s="1"/>
  <c r="AL49" i="1"/>
  <c r="G49" i="2" s="1"/>
  <c r="AL48" i="1"/>
  <c r="G48" i="2" s="1"/>
  <c r="AM54" i="1"/>
  <c r="H54" i="2" s="1"/>
  <c r="AM50" i="1"/>
  <c r="H50" i="2" s="1"/>
  <c r="AM55" i="1"/>
  <c r="H55" i="2" s="1"/>
  <c r="AM53" i="1"/>
  <c r="H53" i="2" s="1"/>
  <c r="AM57" i="1"/>
  <c r="H57" i="2" s="1"/>
  <c r="AM62" i="1"/>
  <c r="H62" i="2" s="1"/>
  <c r="AM51" i="1"/>
  <c r="H51" i="2" s="1"/>
  <c r="AM56" i="1"/>
  <c r="H56" i="2" s="1"/>
  <c r="AM52" i="1"/>
  <c r="H52" i="2" s="1"/>
  <c r="AM58" i="1"/>
  <c r="H58" i="2" s="1"/>
  <c r="AM49" i="1"/>
  <c r="H49" i="2" s="1"/>
  <c r="AM48" i="1"/>
  <c r="H48" i="2" s="1"/>
  <c r="AK58" i="1"/>
  <c r="F58" i="2" s="1"/>
  <c r="AK57" i="1"/>
  <c r="F57" i="2" s="1"/>
  <c r="AK56" i="1"/>
  <c r="F56" i="2" s="1"/>
  <c r="AK52" i="1"/>
  <c r="F52" i="2" s="1"/>
  <c r="T52" i="2" s="1"/>
  <c r="AK55" i="1"/>
  <c r="F55" i="2" s="1"/>
  <c r="AK54" i="1"/>
  <c r="F54" i="2" s="1"/>
  <c r="AK72" i="1"/>
  <c r="F72" i="2" s="1"/>
  <c r="T73" i="2" s="1"/>
  <c r="AK50" i="1"/>
  <c r="F50" i="2" s="1"/>
  <c r="AK53" i="1"/>
  <c r="F53" i="2" s="1"/>
  <c r="AK49" i="1"/>
  <c r="F49" i="2" s="1"/>
  <c r="AK48" i="1"/>
  <c r="F48" i="2" s="1"/>
  <c r="AO57" i="1"/>
  <c r="J57" i="2" s="1"/>
  <c r="AO58" i="1"/>
  <c r="J58" i="2" s="1"/>
  <c r="AO54" i="1"/>
  <c r="J54" i="2" s="1"/>
  <c r="AO50" i="1"/>
  <c r="J50" i="2" s="1"/>
  <c r="AO53" i="1"/>
  <c r="J53" i="2" s="1"/>
  <c r="AO72" i="1"/>
  <c r="J72" i="2" s="1"/>
  <c r="X73" i="2" s="1"/>
  <c r="AO56" i="1"/>
  <c r="J56" i="2" s="1"/>
  <c r="AO55" i="1"/>
  <c r="J55" i="2" s="1"/>
  <c r="AO52" i="1"/>
  <c r="J52" i="2" s="1"/>
  <c r="X52" i="2" s="1"/>
  <c r="AO49" i="1"/>
  <c r="J49" i="2" s="1"/>
  <c r="AO48" i="1"/>
  <c r="J48" i="2" s="1"/>
  <c r="AM47" i="1"/>
  <c r="H47" i="2" s="1"/>
  <c r="AM46" i="1"/>
  <c r="H46" i="2" s="1"/>
  <c r="AM45" i="1"/>
  <c r="H45" i="2" s="1"/>
  <c r="AD14" i="3"/>
  <c r="J21" i="3"/>
  <c r="AP46" i="1"/>
  <c r="K46" i="2" s="1"/>
  <c r="AP47" i="1"/>
  <c r="K47" i="2" s="1"/>
  <c r="AP45" i="1"/>
  <c r="K45" i="2" s="1"/>
  <c r="AI47" i="1"/>
  <c r="D47" i="2" s="1"/>
  <c r="AI46" i="1"/>
  <c r="D46" i="2" s="1"/>
  <c r="AI45" i="1"/>
  <c r="D45" i="2" s="1"/>
  <c r="AL45" i="1"/>
  <c r="G45" i="2" s="1"/>
  <c r="AL46" i="1"/>
  <c r="G46" i="2" s="1"/>
  <c r="AL47" i="1"/>
  <c r="G47" i="2" s="1"/>
  <c r="AQ47" i="1"/>
  <c r="L47" i="2" s="1"/>
  <c r="AQ45" i="1"/>
  <c r="L45" i="2" s="1"/>
  <c r="AQ46" i="1"/>
  <c r="L46" i="2" s="1"/>
  <c r="AJ45" i="1"/>
  <c r="E45" i="2" s="1"/>
  <c r="AJ46" i="1"/>
  <c r="E46" i="2" s="1"/>
  <c r="AJ47" i="1"/>
  <c r="E47" i="2" s="1"/>
  <c r="AN46" i="1"/>
  <c r="I46" i="2" s="1"/>
  <c r="AN47" i="1"/>
  <c r="I47" i="2" s="1"/>
  <c r="AN45" i="1"/>
  <c r="I45" i="2" s="1"/>
  <c r="AO45" i="1"/>
  <c r="J45" i="2" s="1"/>
  <c r="AO46" i="1"/>
  <c r="J46" i="2" s="1"/>
  <c r="AO47" i="1"/>
  <c r="J47" i="2" s="1"/>
  <c r="AK47" i="1"/>
  <c r="F47" i="2" s="1"/>
  <c r="AK45" i="1"/>
  <c r="F45" i="2" s="1"/>
  <c r="AK46" i="1"/>
  <c r="F46" i="2" s="1"/>
  <c r="AN43" i="1"/>
  <c r="I43" i="2" s="1"/>
  <c r="AN44" i="1"/>
  <c r="I44" i="2" s="1"/>
  <c r="AN41" i="1"/>
  <c r="I41" i="2" s="1"/>
  <c r="AN42" i="1"/>
  <c r="I42" i="2" s="1"/>
  <c r="AN39" i="1"/>
  <c r="I39" i="2" s="1"/>
  <c r="AN40" i="1"/>
  <c r="I40" i="2" s="1"/>
  <c r="AN38" i="1"/>
  <c r="I38" i="2" s="1"/>
  <c r="AI40" i="1"/>
  <c r="D40" i="2" s="1"/>
  <c r="AI43" i="1"/>
  <c r="D43" i="2" s="1"/>
  <c r="AI41" i="1"/>
  <c r="D41" i="2" s="1"/>
  <c r="AI42" i="1"/>
  <c r="D42" i="2" s="1"/>
  <c r="AI44" i="1"/>
  <c r="D44" i="2" s="1"/>
  <c r="AI39" i="1"/>
  <c r="D39" i="2" s="1"/>
  <c r="AI38" i="1"/>
  <c r="D38" i="2" s="1"/>
  <c r="AM40" i="1"/>
  <c r="H40" i="2" s="1"/>
  <c r="AM43" i="1"/>
  <c r="H43" i="2" s="1"/>
  <c r="AM44" i="1"/>
  <c r="H44" i="2" s="1"/>
  <c r="AM39" i="1"/>
  <c r="H39" i="2" s="1"/>
  <c r="AM41" i="1"/>
  <c r="H41" i="2" s="1"/>
  <c r="AM42" i="1"/>
  <c r="H42" i="2" s="1"/>
  <c r="AM38" i="1"/>
  <c r="H38" i="2" s="1"/>
  <c r="AQ40" i="1"/>
  <c r="L40" i="2" s="1"/>
  <c r="AQ43" i="1"/>
  <c r="AQ42" i="1"/>
  <c r="L42" i="2" s="1"/>
  <c r="AQ41" i="1"/>
  <c r="L41" i="2" s="1"/>
  <c r="AQ44" i="1"/>
  <c r="L44" i="2" s="1"/>
  <c r="AQ39" i="1"/>
  <c r="L39" i="2" s="1"/>
  <c r="AQ38" i="1"/>
  <c r="L38" i="2" s="1"/>
  <c r="AJ44" i="1"/>
  <c r="E44" i="2" s="1"/>
  <c r="AJ41" i="1"/>
  <c r="E41" i="2" s="1"/>
  <c r="AJ42" i="1"/>
  <c r="E42" i="2" s="1"/>
  <c r="AJ43" i="1"/>
  <c r="AJ38" i="1"/>
  <c r="E38" i="2" s="1"/>
  <c r="AJ40" i="1"/>
  <c r="E40" i="2" s="1"/>
  <c r="AJ39" i="1"/>
  <c r="E39" i="2" s="1"/>
  <c r="AP42" i="1"/>
  <c r="K42" i="2" s="1"/>
  <c r="AP40" i="1"/>
  <c r="K40" i="2" s="1"/>
  <c r="AP41" i="1"/>
  <c r="K41" i="2" s="1"/>
  <c r="AP43" i="1"/>
  <c r="AP44" i="1"/>
  <c r="K44" i="2" s="1"/>
  <c r="AP39" i="1"/>
  <c r="K39" i="2" s="1"/>
  <c r="AP38" i="1"/>
  <c r="K38" i="2" s="1"/>
  <c r="AL42" i="1"/>
  <c r="G42" i="2" s="1"/>
  <c r="AL40" i="1"/>
  <c r="G40" i="2" s="1"/>
  <c r="AL41" i="1"/>
  <c r="G41" i="2" s="1"/>
  <c r="AL43" i="1"/>
  <c r="G43" i="2" s="1"/>
  <c r="AL44" i="1"/>
  <c r="G44" i="2" s="1"/>
  <c r="AL39" i="1"/>
  <c r="G39" i="2" s="1"/>
  <c r="AL38" i="1"/>
  <c r="G38" i="2" s="1"/>
  <c r="AK41" i="1"/>
  <c r="F41" i="2" s="1"/>
  <c r="AK42" i="1"/>
  <c r="F42" i="2" s="1"/>
  <c r="AK40" i="1"/>
  <c r="F40" i="2" s="1"/>
  <c r="AK44" i="1"/>
  <c r="F44" i="2" s="1"/>
  <c r="T44" i="2" s="1"/>
  <c r="AK38" i="1"/>
  <c r="F38" i="2" s="1"/>
  <c r="AK39" i="1"/>
  <c r="F39" i="2" s="1"/>
  <c r="AO44" i="1"/>
  <c r="J44" i="2" s="1"/>
  <c r="X44" i="2" s="1"/>
  <c r="AO41" i="1"/>
  <c r="J41" i="2" s="1"/>
  <c r="AO42" i="1"/>
  <c r="J42" i="2" s="1"/>
  <c r="AO40" i="1"/>
  <c r="J40" i="2" s="1"/>
  <c r="AO38" i="1"/>
  <c r="J38" i="2" s="1"/>
  <c r="AO39" i="1"/>
  <c r="J39" i="2" s="1"/>
  <c r="AD18" i="3"/>
  <c r="R16" i="3"/>
  <c r="Z24" i="3"/>
  <c r="V22" i="3"/>
  <c r="N16" i="3"/>
  <c r="J17" i="3"/>
  <c r="J14" i="3"/>
  <c r="AD15" i="3"/>
  <c r="J18" i="3"/>
  <c r="AD19" i="3"/>
  <c r="J15" i="3"/>
  <c r="AD16" i="3"/>
  <c r="J19" i="3"/>
  <c r="AD20" i="3"/>
  <c r="J16" i="3"/>
  <c r="AD17" i="3"/>
  <c r="J20" i="3"/>
  <c r="AD21" i="3"/>
  <c r="AJ35" i="1"/>
  <c r="E35" i="2" s="1"/>
  <c r="AJ37" i="1"/>
  <c r="E37" i="2" s="1"/>
  <c r="AJ34" i="1"/>
  <c r="E34" i="2" s="1"/>
  <c r="AJ36" i="1"/>
  <c r="E36" i="2" s="1"/>
  <c r="AJ33" i="1"/>
  <c r="E33" i="2" s="1"/>
  <c r="AJ32" i="1"/>
  <c r="E32" i="2" s="1"/>
  <c r="AK35" i="1"/>
  <c r="F35" i="2" s="1"/>
  <c r="T35" i="2" s="1"/>
  <c r="AK37" i="1"/>
  <c r="F37" i="2" s="1"/>
  <c r="AK32" i="1"/>
  <c r="F32" i="2" s="1"/>
  <c r="AK36" i="1"/>
  <c r="F36" i="2" s="1"/>
  <c r="AO35" i="1"/>
  <c r="J35" i="2" s="1"/>
  <c r="X35" i="2" s="1"/>
  <c r="AO32" i="1"/>
  <c r="J32" i="2" s="1"/>
  <c r="AO37" i="1"/>
  <c r="J37" i="2" s="1"/>
  <c r="AO36" i="1"/>
  <c r="J36" i="2" s="1"/>
  <c r="AP37" i="1"/>
  <c r="K37" i="2" s="1"/>
  <c r="AP32" i="1"/>
  <c r="K32" i="2" s="1"/>
  <c r="AP34" i="1"/>
  <c r="K34" i="2" s="1"/>
  <c r="AP36" i="1"/>
  <c r="K36" i="2" s="1"/>
  <c r="AP33" i="1"/>
  <c r="K33" i="2" s="1"/>
  <c r="AP35" i="1"/>
  <c r="K35" i="2" s="1"/>
  <c r="AN34" i="1"/>
  <c r="I34" i="2" s="1"/>
  <c r="AN35" i="1"/>
  <c r="I35" i="2" s="1"/>
  <c r="AN37" i="1"/>
  <c r="I37" i="2" s="1"/>
  <c r="AN36" i="1"/>
  <c r="I36" i="2" s="1"/>
  <c r="AN32" i="1"/>
  <c r="I32" i="2" s="1"/>
  <c r="AN33" i="1"/>
  <c r="I33" i="2" s="1"/>
  <c r="AL37" i="1"/>
  <c r="G37" i="2" s="1"/>
  <c r="AL35" i="1"/>
  <c r="G35" i="2" s="1"/>
  <c r="AL34" i="1"/>
  <c r="G34" i="2" s="1"/>
  <c r="AL33" i="1"/>
  <c r="G33" i="2" s="1"/>
  <c r="AL36" i="1"/>
  <c r="G36" i="2" s="1"/>
  <c r="AL32" i="1"/>
  <c r="G32" i="2" s="1"/>
  <c r="AI34" i="1"/>
  <c r="D34" i="2" s="1"/>
  <c r="AI33" i="1"/>
  <c r="D33" i="2" s="1"/>
  <c r="AI35" i="1"/>
  <c r="D35" i="2" s="1"/>
  <c r="AI32" i="1"/>
  <c r="D32" i="2" s="1"/>
  <c r="AI37" i="1"/>
  <c r="D37" i="2" s="1"/>
  <c r="AI36" i="1"/>
  <c r="D36" i="2" s="1"/>
  <c r="AM33" i="1"/>
  <c r="H33" i="2" s="1"/>
  <c r="AM35" i="1"/>
  <c r="H35" i="2" s="1"/>
  <c r="AM36" i="1"/>
  <c r="H36" i="2" s="1"/>
  <c r="AM32" i="1"/>
  <c r="H32" i="2" s="1"/>
  <c r="AM37" i="1"/>
  <c r="H37" i="2" s="1"/>
  <c r="AM34" i="1"/>
  <c r="H34" i="2" s="1"/>
  <c r="AQ35" i="1"/>
  <c r="L35" i="2" s="1"/>
  <c r="AQ33" i="1"/>
  <c r="L33" i="2" s="1"/>
  <c r="AQ36" i="1"/>
  <c r="L36" i="2" s="1"/>
  <c r="AQ32" i="1"/>
  <c r="L32" i="2" s="1"/>
  <c r="AQ37" i="1"/>
  <c r="L37" i="2" s="1"/>
  <c r="AQ34" i="1"/>
  <c r="L34" i="2" s="1"/>
  <c r="E36" i="3"/>
  <c r="E32" i="3"/>
  <c r="AM28" i="1"/>
  <c r="H28" i="2" s="1"/>
  <c r="AM30" i="1"/>
  <c r="H30" i="2" s="1"/>
  <c r="AM31" i="1"/>
  <c r="H31" i="2" s="1"/>
  <c r="AM29" i="1"/>
  <c r="H29" i="2" s="1"/>
  <c r="AN31" i="1"/>
  <c r="I31" i="2" s="1"/>
  <c r="AN30" i="1"/>
  <c r="I30" i="2" s="1"/>
  <c r="AN29" i="1"/>
  <c r="I29" i="2" s="1"/>
  <c r="AI30" i="1"/>
  <c r="D30" i="2" s="1"/>
  <c r="AI31" i="1"/>
  <c r="D31" i="2" s="1"/>
  <c r="AI29" i="1"/>
  <c r="D29" i="2" s="1"/>
  <c r="AJ30" i="1"/>
  <c r="E30" i="2" s="1"/>
  <c r="AJ31" i="1"/>
  <c r="E31" i="2" s="1"/>
  <c r="AJ29" i="1"/>
  <c r="E29" i="2" s="1"/>
  <c r="AK30" i="1"/>
  <c r="F30" i="2" s="1"/>
  <c r="AK31" i="1"/>
  <c r="F31" i="2" s="1"/>
  <c r="AK29" i="1"/>
  <c r="F29" i="2" s="1"/>
  <c r="AO31" i="1"/>
  <c r="J31" i="2" s="1"/>
  <c r="AO30" i="1"/>
  <c r="J30" i="2" s="1"/>
  <c r="AO29" i="1"/>
  <c r="J29" i="2" s="1"/>
  <c r="AQ31" i="1"/>
  <c r="L31" i="2" s="1"/>
  <c r="AQ30" i="1"/>
  <c r="L30" i="2" s="1"/>
  <c r="AQ29" i="1"/>
  <c r="L29" i="2" s="1"/>
  <c r="AL30" i="1"/>
  <c r="G30" i="2" s="1"/>
  <c r="AL31" i="1"/>
  <c r="G31" i="2" s="1"/>
  <c r="AL29" i="1"/>
  <c r="G29" i="2" s="1"/>
  <c r="AP30" i="1"/>
  <c r="K30" i="2" s="1"/>
  <c r="AP31" i="1"/>
  <c r="K31" i="2" s="1"/>
  <c r="AP29" i="1"/>
  <c r="K29" i="2" s="1"/>
  <c r="AQ24" i="1"/>
  <c r="L24" i="2" s="1"/>
  <c r="AQ28" i="1"/>
  <c r="L28" i="2" s="1"/>
  <c r="AL23" i="1"/>
  <c r="G23" i="2" s="1"/>
  <c r="AL28" i="1"/>
  <c r="G28" i="2" s="1"/>
  <c r="AJ22" i="1"/>
  <c r="E22" i="2" s="1"/>
  <c r="AJ28" i="1"/>
  <c r="E28" i="2" s="1"/>
  <c r="AN25" i="1"/>
  <c r="I25" i="2" s="1"/>
  <c r="AN28" i="1"/>
  <c r="I28" i="2" s="1"/>
  <c r="AP22" i="1"/>
  <c r="K22" i="2" s="1"/>
  <c r="AP28" i="1"/>
  <c r="K28" i="2" s="1"/>
  <c r="AI22" i="1"/>
  <c r="D22" i="2" s="1"/>
  <c r="AI28" i="1"/>
  <c r="D28" i="2" s="1"/>
  <c r="AK22" i="1"/>
  <c r="F22" i="2" s="1"/>
  <c r="AK28" i="1"/>
  <c r="F28" i="2" s="1"/>
  <c r="AO24" i="1"/>
  <c r="J24" i="2" s="1"/>
  <c r="AO28" i="1"/>
  <c r="J28" i="2" s="1"/>
  <c r="AL25" i="1"/>
  <c r="G25" i="2" s="1"/>
  <c r="AJ24" i="1"/>
  <c r="E24" i="2" s="1"/>
  <c r="AN24" i="1"/>
  <c r="I24" i="2" s="1"/>
  <c r="AN23" i="1"/>
  <c r="I23" i="2" s="1"/>
  <c r="AK23" i="1"/>
  <c r="F23" i="2" s="1"/>
  <c r="AK25" i="1"/>
  <c r="F25" i="2" s="1"/>
  <c r="AO23" i="1"/>
  <c r="J23" i="2" s="1"/>
  <c r="AO25" i="1"/>
  <c r="J25" i="2" s="1"/>
  <c r="AM26" i="1"/>
  <c r="H26" i="2" s="1"/>
  <c r="AM27" i="1"/>
  <c r="H27" i="2" s="1"/>
  <c r="AJ25" i="1"/>
  <c r="E25" i="2" s="1"/>
  <c r="AP23" i="1"/>
  <c r="K23" i="2" s="1"/>
  <c r="AJ23" i="1"/>
  <c r="E23" i="2" s="1"/>
  <c r="S23" i="2" s="1"/>
  <c r="AQ26" i="1"/>
  <c r="L26" i="2" s="1"/>
  <c r="AQ27" i="1"/>
  <c r="L27" i="2" s="1"/>
  <c r="AN26" i="1"/>
  <c r="I26" i="2" s="1"/>
  <c r="AN27" i="1"/>
  <c r="I27" i="2" s="1"/>
  <c r="AK26" i="1"/>
  <c r="F26" i="2" s="1"/>
  <c r="AK27" i="1"/>
  <c r="F27" i="2" s="1"/>
  <c r="AO26" i="1"/>
  <c r="J26" i="2" s="1"/>
  <c r="AO22" i="1"/>
  <c r="J22" i="2" s="1"/>
  <c r="AO27" i="1"/>
  <c r="J27" i="2" s="1"/>
  <c r="AM24" i="1"/>
  <c r="H24" i="2" s="1"/>
  <c r="AQ22" i="1"/>
  <c r="L22" i="2" s="1"/>
  <c r="AK24" i="1"/>
  <c r="F24" i="2" s="1"/>
  <c r="AP24" i="1"/>
  <c r="K24" i="2" s="1"/>
  <c r="AQ23" i="1"/>
  <c r="L23" i="2" s="1"/>
  <c r="AQ25" i="1"/>
  <c r="L25" i="2" s="1"/>
  <c r="AN22" i="1"/>
  <c r="I22" i="2" s="1"/>
  <c r="AI26" i="1"/>
  <c r="D26" i="2" s="1"/>
  <c r="AI27" i="1"/>
  <c r="D27" i="2" s="1"/>
  <c r="AJ26" i="1"/>
  <c r="E26" i="2" s="1"/>
  <c r="AJ27" i="1"/>
  <c r="E27" i="2" s="1"/>
  <c r="AL15" i="1"/>
  <c r="AL26" i="1"/>
  <c r="G26" i="2" s="1"/>
  <c r="AL27" i="1"/>
  <c r="G27" i="2" s="1"/>
  <c r="AP19" i="1"/>
  <c r="K19" i="2" s="1"/>
  <c r="AP26" i="1"/>
  <c r="K26" i="2" s="1"/>
  <c r="AP27" i="1"/>
  <c r="K27" i="2" s="1"/>
  <c r="AP25" i="1"/>
  <c r="K25" i="2" s="1"/>
  <c r="AI24" i="1"/>
  <c r="D24" i="2" s="1"/>
  <c r="AM22" i="1"/>
  <c r="H22" i="2" s="1"/>
  <c r="AM25" i="1"/>
  <c r="H25" i="2" s="1"/>
  <c r="AL24" i="1"/>
  <c r="G24" i="2" s="1"/>
  <c r="AL22" i="1"/>
  <c r="G22" i="2" s="1"/>
  <c r="AI23" i="1"/>
  <c r="D23" i="2" s="1"/>
  <c r="AI25" i="1"/>
  <c r="D25" i="2" s="1"/>
  <c r="AM23" i="1"/>
  <c r="H23" i="2" s="1"/>
  <c r="AN12" i="1"/>
  <c r="AN16" i="1"/>
  <c r="I16" i="2" s="1"/>
  <c r="AN20" i="1"/>
  <c r="I20" i="2" s="1"/>
  <c r="AM11" i="1"/>
  <c r="AN14" i="1"/>
  <c r="I14" i="2" s="1"/>
  <c r="AI15" i="1"/>
  <c r="AM15" i="1"/>
  <c r="AQ15" i="1"/>
  <c r="L15" i="2" s="1"/>
  <c r="AN18" i="1"/>
  <c r="I18" i="2" s="1"/>
  <c r="AI19" i="1"/>
  <c r="AM19" i="1"/>
  <c r="AQ19" i="1"/>
  <c r="L19" i="2" s="1"/>
  <c r="AI11" i="1"/>
  <c r="AQ11" i="1"/>
  <c r="AJ16" i="1"/>
  <c r="E16" i="2" s="1"/>
  <c r="AI13" i="1"/>
  <c r="AM13" i="1"/>
  <c r="AQ13" i="1"/>
  <c r="AJ18" i="1"/>
  <c r="E18" i="2" s="1"/>
  <c r="AI21" i="1"/>
  <c r="AM21" i="1"/>
  <c r="AQ21" i="1"/>
  <c r="L21" i="2" s="1"/>
  <c r="AJ12" i="1"/>
  <c r="AJ20" i="1"/>
  <c r="E20" i="2" s="1"/>
  <c r="AJ11" i="1"/>
  <c r="AN11" i="1"/>
  <c r="AJ14" i="1"/>
  <c r="E14" i="2" s="1"/>
  <c r="AI17" i="1"/>
  <c r="AM17" i="1"/>
  <c r="AQ17" i="1"/>
  <c r="L17" i="2" s="1"/>
  <c r="AP12" i="1"/>
  <c r="AP14" i="1"/>
  <c r="K14" i="2" s="1"/>
  <c r="AL16" i="1"/>
  <c r="G16" i="2" s="1"/>
  <c r="AL18" i="1"/>
  <c r="AL20" i="1"/>
  <c r="AK12" i="1"/>
  <c r="AO14" i="1"/>
  <c r="AO16" i="1"/>
  <c r="J16" i="2" s="1"/>
  <c r="AK18" i="1"/>
  <c r="AK20" i="1"/>
  <c r="AI12" i="1"/>
  <c r="AM12" i="1"/>
  <c r="AQ12" i="1"/>
  <c r="AJ13" i="1"/>
  <c r="AN13" i="1"/>
  <c r="AI14" i="1"/>
  <c r="AM14" i="1"/>
  <c r="AQ14" i="1"/>
  <c r="L14" i="2" s="1"/>
  <c r="AJ15" i="1"/>
  <c r="E15" i="2" s="1"/>
  <c r="AN15" i="1"/>
  <c r="I15" i="2" s="1"/>
  <c r="AI16" i="1"/>
  <c r="D16" i="2" s="1"/>
  <c r="AM16" i="1"/>
  <c r="H16" i="2" s="1"/>
  <c r="AQ16" i="1"/>
  <c r="L16" i="2" s="1"/>
  <c r="AJ17" i="1"/>
  <c r="E17" i="2" s="1"/>
  <c r="AN17" i="1"/>
  <c r="I17" i="2" s="1"/>
  <c r="AI18" i="1"/>
  <c r="AM18" i="1"/>
  <c r="AQ18" i="1"/>
  <c r="L18" i="2" s="1"/>
  <c r="AJ19" i="1"/>
  <c r="E19" i="2" s="1"/>
  <c r="AN19" i="1"/>
  <c r="I19" i="2" s="1"/>
  <c r="AI20" i="1"/>
  <c r="AM20" i="1"/>
  <c r="AQ20" i="1"/>
  <c r="L20" i="2" s="1"/>
  <c r="AJ21" i="1"/>
  <c r="E21" i="2" s="1"/>
  <c r="AN21" i="1"/>
  <c r="I21" i="2" s="1"/>
  <c r="AL12" i="1"/>
  <c r="AL14" i="1"/>
  <c r="AP16" i="1"/>
  <c r="K16" i="2" s="1"/>
  <c r="AP18" i="1"/>
  <c r="K18" i="2" s="1"/>
  <c r="AP20" i="1"/>
  <c r="K20" i="2" s="1"/>
  <c r="AO12" i="1"/>
  <c r="AK14" i="1"/>
  <c r="AK16" i="1"/>
  <c r="F16" i="2" s="1"/>
  <c r="AO18" i="1"/>
  <c r="AO20" i="1"/>
  <c r="AK11" i="1"/>
  <c r="AO11" i="1"/>
  <c r="AK13" i="1"/>
  <c r="AO13" i="1"/>
  <c r="AK15" i="1"/>
  <c r="AO15" i="1"/>
  <c r="AK17" i="1"/>
  <c r="AO17" i="1"/>
  <c r="AK19" i="1"/>
  <c r="AO19" i="1"/>
  <c r="AK21" i="1"/>
  <c r="AO21" i="1"/>
  <c r="AL11" i="1"/>
  <c r="AL13" i="1"/>
  <c r="AL17" i="1"/>
  <c r="AP21" i="1"/>
  <c r="K21" i="2" s="1"/>
  <c r="AP11" i="1"/>
  <c r="AP15" i="1"/>
  <c r="K15" i="2" s="1"/>
  <c r="AP17" i="1"/>
  <c r="K17" i="2" s="1"/>
  <c r="AL19" i="1"/>
  <c r="AL21" i="1"/>
  <c r="AP13" i="1"/>
  <c r="U103" i="2" l="1"/>
  <c r="T99" i="2"/>
  <c r="V101" i="2"/>
  <c r="Z119" i="2"/>
  <c r="T23" i="2"/>
  <c r="R120" i="2"/>
  <c r="X120" i="2"/>
  <c r="Z120" i="2"/>
  <c r="R115" i="2"/>
  <c r="T116" i="2"/>
  <c r="R117" i="2"/>
  <c r="V117" i="2"/>
  <c r="T119" i="2"/>
  <c r="Z118" i="2"/>
  <c r="R118" i="2"/>
  <c r="T118" i="2"/>
  <c r="Z117" i="2"/>
  <c r="U116" i="2"/>
  <c r="W118" i="2"/>
  <c r="V118" i="2"/>
  <c r="U118" i="2"/>
  <c r="X116" i="2"/>
  <c r="X118" i="2"/>
  <c r="W119" i="2"/>
  <c r="V119" i="2"/>
  <c r="U119" i="2"/>
  <c r="U117" i="2"/>
  <c r="Z116" i="2"/>
  <c r="W117" i="2"/>
  <c r="S48" i="2"/>
  <c r="T117" i="2"/>
  <c r="R116" i="2"/>
  <c r="V116" i="2"/>
  <c r="R96" i="2"/>
  <c r="X98" i="2"/>
  <c r="U100" i="2"/>
  <c r="W99" i="2"/>
  <c r="W111" i="2"/>
  <c r="T107" i="2"/>
  <c r="R99" i="2"/>
  <c r="R112" i="2"/>
  <c r="T113" i="2"/>
  <c r="V115" i="2"/>
  <c r="U113" i="2"/>
  <c r="X112" i="2"/>
  <c r="U105" i="2"/>
  <c r="U109" i="2"/>
  <c r="Z98" i="2"/>
  <c r="Z112" i="2"/>
  <c r="Z113" i="2"/>
  <c r="T101" i="2"/>
  <c r="T110" i="2"/>
  <c r="V103" i="2"/>
  <c r="V110" i="2"/>
  <c r="R104" i="2"/>
  <c r="X113" i="2"/>
  <c r="T114" i="2"/>
  <c r="U114" i="2"/>
  <c r="T97" i="2"/>
  <c r="U98" i="2"/>
  <c r="V112" i="2"/>
  <c r="V113" i="2"/>
  <c r="X115" i="2"/>
  <c r="T115" i="2"/>
  <c r="R113" i="2"/>
  <c r="U115" i="2"/>
  <c r="X106" i="2"/>
  <c r="X105" i="2"/>
  <c r="U107" i="2"/>
  <c r="U106" i="2"/>
  <c r="Z99" i="2"/>
  <c r="T102" i="2"/>
  <c r="T103" i="2"/>
  <c r="T111" i="2"/>
  <c r="V104" i="2"/>
  <c r="R105" i="2"/>
  <c r="R74" i="2"/>
  <c r="X107" i="2"/>
  <c r="U99" i="2"/>
  <c r="U108" i="2"/>
  <c r="Z100" i="2"/>
  <c r="W98" i="2"/>
  <c r="W110" i="2"/>
  <c r="T112" i="2"/>
  <c r="V105" i="2"/>
  <c r="R98" i="2"/>
  <c r="R107" i="2"/>
  <c r="R106" i="2"/>
  <c r="Z102" i="2"/>
  <c r="Z101" i="2"/>
  <c r="X99" i="2"/>
  <c r="U101" i="2"/>
  <c r="W112" i="2"/>
  <c r="V99" i="2"/>
  <c r="R109" i="2"/>
  <c r="R108" i="2"/>
  <c r="Y55" i="2"/>
  <c r="X96" i="2"/>
  <c r="X100" i="2"/>
  <c r="X109" i="2"/>
  <c r="U102" i="2"/>
  <c r="U110" i="2"/>
  <c r="Z104" i="2"/>
  <c r="W101" i="2"/>
  <c r="W102" i="2"/>
  <c r="T98" i="2"/>
  <c r="T108" i="2"/>
  <c r="V100" i="2"/>
  <c r="V108" i="2"/>
  <c r="R101" i="2"/>
  <c r="R110" i="2"/>
  <c r="R111" i="2"/>
  <c r="W105" i="2"/>
  <c r="W106" i="2"/>
  <c r="T74" i="2"/>
  <c r="V98" i="2"/>
  <c r="V107" i="2"/>
  <c r="V106" i="2"/>
  <c r="X108" i="2"/>
  <c r="T106" i="2"/>
  <c r="T105" i="2"/>
  <c r="R100" i="2"/>
  <c r="W75" i="2"/>
  <c r="X103" i="2"/>
  <c r="X102" i="2"/>
  <c r="Z106" i="2"/>
  <c r="Z105" i="2"/>
  <c r="W100" i="2"/>
  <c r="W97" i="2"/>
  <c r="V96" i="2"/>
  <c r="X101" i="2"/>
  <c r="X111" i="2"/>
  <c r="U104" i="2"/>
  <c r="U112" i="2"/>
  <c r="Z111" i="2"/>
  <c r="W104" i="2"/>
  <c r="T100" i="2"/>
  <c r="T109" i="2"/>
  <c r="V102" i="2"/>
  <c r="V111" i="2"/>
  <c r="R102" i="2"/>
  <c r="W93" i="2"/>
  <c r="W94" i="2"/>
  <c r="X92" i="2"/>
  <c r="X91" i="2"/>
  <c r="R92" i="2"/>
  <c r="R91" i="2"/>
  <c r="U96" i="2"/>
  <c r="Z91" i="2"/>
  <c r="Z92" i="2"/>
  <c r="X97" i="2"/>
  <c r="T93" i="2"/>
  <c r="T94" i="2"/>
  <c r="Z94" i="2"/>
  <c r="Z93" i="2"/>
  <c r="V91" i="2"/>
  <c r="V92" i="2"/>
  <c r="W96" i="2"/>
  <c r="V97" i="2"/>
  <c r="U93" i="2"/>
  <c r="U94" i="2"/>
  <c r="V94" i="2"/>
  <c r="V93" i="2"/>
  <c r="Z96" i="2"/>
  <c r="R97" i="2"/>
  <c r="X93" i="2"/>
  <c r="X94" i="2"/>
  <c r="R94" i="2"/>
  <c r="R93" i="2"/>
  <c r="T92" i="2"/>
  <c r="T91" i="2"/>
  <c r="U97" i="2"/>
  <c r="R55" i="2"/>
  <c r="U74" i="2"/>
  <c r="W91" i="2"/>
  <c r="W92" i="2"/>
  <c r="U91" i="2"/>
  <c r="U92" i="2"/>
  <c r="T96" i="2"/>
  <c r="Z97" i="2"/>
  <c r="Z74" i="2"/>
  <c r="U88" i="2"/>
  <c r="W88" i="2"/>
  <c r="W89" i="2"/>
  <c r="U89" i="2"/>
  <c r="S88" i="2"/>
  <c r="X75" i="2"/>
  <c r="Y87" i="2"/>
  <c r="S89" i="2"/>
  <c r="R89" i="2"/>
  <c r="Y88" i="2"/>
  <c r="Z88" i="2"/>
  <c r="R88" i="2"/>
  <c r="Y89" i="2"/>
  <c r="Z89" i="2"/>
  <c r="W87" i="2"/>
  <c r="Z87" i="2"/>
  <c r="S87" i="2"/>
  <c r="X49" i="2"/>
  <c r="X58" i="2"/>
  <c r="T55" i="2"/>
  <c r="V54" i="2"/>
  <c r="U52" i="2"/>
  <c r="W52" i="2"/>
  <c r="Z53" i="2"/>
  <c r="U87" i="2"/>
  <c r="R87" i="2"/>
  <c r="S76" i="2"/>
  <c r="S75" i="2"/>
  <c r="R75" i="2"/>
  <c r="R76" i="2"/>
  <c r="Z34" i="2"/>
  <c r="T36" i="2"/>
  <c r="X55" i="2"/>
  <c r="V51" i="2"/>
  <c r="U49" i="2"/>
  <c r="S49" i="2"/>
  <c r="S57" i="2"/>
  <c r="Y56" i="2"/>
  <c r="R73" i="2"/>
  <c r="Y76" i="2"/>
  <c r="Y75" i="2"/>
  <c r="T53" i="2"/>
  <c r="T58" i="2"/>
  <c r="V57" i="2"/>
  <c r="U56" i="2"/>
  <c r="R52" i="2"/>
  <c r="U73" i="2"/>
  <c r="U75" i="2"/>
  <c r="U76" i="2"/>
  <c r="R48" i="2"/>
  <c r="V48" i="2"/>
  <c r="V49" i="2"/>
  <c r="Y51" i="2"/>
  <c r="R49" i="2"/>
  <c r="S73" i="2"/>
  <c r="V41" i="2"/>
  <c r="X54" i="2"/>
  <c r="W57" i="2"/>
  <c r="S54" i="2"/>
  <c r="R58" i="2"/>
  <c r="S74" i="2"/>
  <c r="T56" i="2"/>
  <c r="V55" i="2"/>
  <c r="U53" i="2"/>
  <c r="R54" i="2"/>
  <c r="V58" i="2"/>
  <c r="U57" i="2"/>
  <c r="W51" i="2"/>
  <c r="S53" i="2"/>
  <c r="Z57" i="2"/>
  <c r="X51" i="2"/>
  <c r="X50" i="2"/>
  <c r="U54" i="2"/>
  <c r="Z54" i="2"/>
  <c r="Z55" i="2"/>
  <c r="X45" i="2"/>
  <c r="Z45" i="2"/>
  <c r="Y45" i="2"/>
  <c r="X56" i="2"/>
  <c r="T49" i="2"/>
  <c r="T54" i="2"/>
  <c r="T57" i="2"/>
  <c r="V50" i="2"/>
  <c r="U50" i="2"/>
  <c r="U58" i="2"/>
  <c r="W53" i="2"/>
  <c r="Y50" i="2"/>
  <c r="Y53" i="2"/>
  <c r="Y58" i="2"/>
  <c r="R50" i="2"/>
  <c r="V52" i="2"/>
  <c r="W58" i="2"/>
  <c r="S56" i="2"/>
  <c r="S55" i="2"/>
  <c r="S52" i="2"/>
  <c r="Y52" i="2"/>
  <c r="Y57" i="2"/>
  <c r="R56" i="2"/>
  <c r="R53" i="2"/>
  <c r="Z41" i="2"/>
  <c r="X53" i="2"/>
  <c r="X57" i="2"/>
  <c r="T51" i="2"/>
  <c r="T50" i="2"/>
  <c r="V56" i="2"/>
  <c r="V53" i="2"/>
  <c r="U55" i="2"/>
  <c r="U51" i="2"/>
  <c r="W55" i="2"/>
  <c r="W54" i="2"/>
  <c r="S51" i="2"/>
  <c r="S50" i="2"/>
  <c r="S58" i="2"/>
  <c r="Z58" i="2"/>
  <c r="Z52" i="2"/>
  <c r="Y49" i="2"/>
  <c r="Y54" i="2"/>
  <c r="R57" i="2"/>
  <c r="R51" i="2"/>
  <c r="X47" i="2"/>
  <c r="X48" i="2"/>
  <c r="W47" i="2"/>
  <c r="W48" i="2"/>
  <c r="U47" i="2"/>
  <c r="U48" i="2"/>
  <c r="T47" i="2"/>
  <c r="T48" i="2"/>
  <c r="Z47" i="2"/>
  <c r="Z48" i="2"/>
  <c r="Y47" i="2"/>
  <c r="Y48" i="2"/>
  <c r="Y31" i="2"/>
  <c r="V31" i="2"/>
  <c r="W33" i="2"/>
  <c r="T46" i="2"/>
  <c r="U46" i="2"/>
  <c r="X39" i="2"/>
  <c r="U41" i="2"/>
  <c r="W39" i="2"/>
  <c r="S46" i="2"/>
  <c r="R45" i="2"/>
  <c r="X41" i="2"/>
  <c r="U38" i="2"/>
  <c r="Y46" i="2"/>
  <c r="W46" i="2"/>
  <c r="T45" i="2"/>
  <c r="S47" i="2"/>
  <c r="U45" i="2"/>
  <c r="W45" i="2"/>
  <c r="V38" i="2"/>
  <c r="R39" i="2"/>
  <c r="S45" i="2"/>
  <c r="R46" i="2"/>
  <c r="V46" i="2"/>
  <c r="Y39" i="2"/>
  <c r="V45" i="2"/>
  <c r="T31" i="2"/>
  <c r="R36" i="2"/>
  <c r="X36" i="2"/>
  <c r="T40" i="2"/>
  <c r="V42" i="2"/>
  <c r="W42" i="2"/>
  <c r="X46" i="2"/>
  <c r="Z46" i="2"/>
  <c r="R47" i="2"/>
  <c r="V47" i="2"/>
  <c r="T39" i="2"/>
  <c r="S42" i="2"/>
  <c r="V40" i="2"/>
  <c r="R42" i="2"/>
  <c r="W41" i="2"/>
  <c r="Y42" i="2"/>
  <c r="X42" i="2"/>
  <c r="X43" i="2"/>
  <c r="U44" i="2"/>
  <c r="U43" i="2"/>
  <c r="Y40" i="2"/>
  <c r="U24" i="2"/>
  <c r="W26" i="2"/>
  <c r="Y29" i="2"/>
  <c r="T29" i="2"/>
  <c r="R30" i="2"/>
  <c r="Z36" i="2"/>
  <c r="V37" i="2"/>
  <c r="R35" i="2"/>
  <c r="S34" i="2"/>
  <c r="T38" i="2"/>
  <c r="T41" i="2"/>
  <c r="Y38" i="2"/>
  <c r="Y41" i="2"/>
  <c r="S40" i="2"/>
  <c r="S41" i="2"/>
  <c r="Z40" i="2"/>
  <c r="V39" i="2"/>
  <c r="R38" i="2"/>
  <c r="R41" i="2"/>
  <c r="W40" i="2"/>
  <c r="R43" i="2"/>
  <c r="R44" i="2"/>
  <c r="T42" i="2"/>
  <c r="T43" i="2"/>
  <c r="K43" i="2"/>
  <c r="Y44" i="2" s="1"/>
  <c r="L43" i="2"/>
  <c r="Z44" i="2" s="1"/>
  <c r="Z32" i="2"/>
  <c r="U32" i="2"/>
  <c r="U35" i="2"/>
  <c r="W36" i="2"/>
  <c r="Y35" i="2"/>
  <c r="Y32" i="2"/>
  <c r="T37" i="2"/>
  <c r="S36" i="2"/>
  <c r="X40" i="2"/>
  <c r="U42" i="2"/>
  <c r="S39" i="2"/>
  <c r="Z39" i="2"/>
  <c r="W38" i="2"/>
  <c r="W44" i="2"/>
  <c r="W43" i="2"/>
  <c r="E43" i="2"/>
  <c r="S44" i="2" s="1"/>
  <c r="V43" i="2"/>
  <c r="V44" i="2"/>
  <c r="S38" i="2"/>
  <c r="X38" i="2"/>
  <c r="U39" i="2"/>
  <c r="U40" i="2"/>
  <c r="Z38" i="2"/>
  <c r="Z42" i="2"/>
  <c r="R40" i="2"/>
  <c r="V35" i="2"/>
  <c r="V34" i="2"/>
  <c r="Z25" i="2"/>
  <c r="Y23" i="2"/>
  <c r="U31" i="2"/>
  <c r="Z31" i="2"/>
  <c r="S31" i="2"/>
  <c r="V29" i="2"/>
  <c r="V33" i="2"/>
  <c r="U36" i="2"/>
  <c r="U37" i="2"/>
  <c r="W37" i="2"/>
  <c r="Y33" i="2"/>
  <c r="Y37" i="2"/>
  <c r="X32" i="2"/>
  <c r="X33" i="2"/>
  <c r="U26" i="2"/>
  <c r="U30" i="2"/>
  <c r="S30" i="2"/>
  <c r="Z33" i="2"/>
  <c r="V32" i="2"/>
  <c r="R33" i="2"/>
  <c r="U33" i="2"/>
  <c r="Y36" i="2"/>
  <c r="S32" i="2"/>
  <c r="S37" i="2"/>
  <c r="R32" i="2"/>
  <c r="V28" i="2"/>
  <c r="Z37" i="2"/>
  <c r="Z35" i="2"/>
  <c r="V36" i="2"/>
  <c r="R37" i="2"/>
  <c r="R34" i="2"/>
  <c r="U34" i="2"/>
  <c r="W32" i="2"/>
  <c r="W35" i="2"/>
  <c r="W34" i="2"/>
  <c r="Y34" i="2"/>
  <c r="X37" i="2"/>
  <c r="T32" i="2"/>
  <c r="T33" i="2"/>
  <c r="S33" i="2"/>
  <c r="S35" i="2"/>
  <c r="I36" i="3"/>
  <c r="I32" i="3"/>
  <c r="X29" i="2"/>
  <c r="W29" i="2"/>
  <c r="Y30" i="2"/>
  <c r="Z29" i="2"/>
  <c r="X30" i="2"/>
  <c r="T30" i="2"/>
  <c r="R29" i="2"/>
  <c r="W30" i="2"/>
  <c r="V30" i="2"/>
  <c r="W23" i="2"/>
  <c r="U29" i="2"/>
  <c r="Z30" i="2"/>
  <c r="X31" i="2"/>
  <c r="S29" i="2"/>
  <c r="R31" i="2"/>
  <c r="W31" i="2"/>
  <c r="X24" i="2"/>
  <c r="W25" i="2"/>
  <c r="Z23" i="2"/>
  <c r="V24" i="2"/>
  <c r="T28" i="2"/>
  <c r="Y28" i="2"/>
  <c r="S28" i="2"/>
  <c r="R23" i="2"/>
  <c r="X25" i="2"/>
  <c r="Z28" i="2"/>
  <c r="U28" i="2"/>
  <c r="X28" i="2"/>
  <c r="R28" i="2"/>
  <c r="W28" i="2"/>
  <c r="Y26" i="2"/>
  <c r="Y24" i="2"/>
  <c r="X27" i="2"/>
  <c r="T26" i="2"/>
  <c r="S25" i="2"/>
  <c r="W27" i="2"/>
  <c r="R27" i="2"/>
  <c r="T27" i="2"/>
  <c r="V26" i="2"/>
  <c r="Y25" i="2"/>
  <c r="U27" i="2"/>
  <c r="S26" i="2"/>
  <c r="X26" i="2"/>
  <c r="W24" i="2"/>
  <c r="T24" i="2"/>
  <c r="V23" i="2"/>
  <c r="R25" i="2"/>
  <c r="R24" i="2"/>
  <c r="S27" i="2"/>
  <c r="R26" i="2"/>
  <c r="Z27" i="2"/>
  <c r="T25" i="2"/>
  <c r="U25" i="2"/>
  <c r="Z26" i="2"/>
  <c r="X23" i="2"/>
  <c r="V25" i="2"/>
  <c r="Y27" i="2"/>
  <c r="S24" i="2"/>
  <c r="V27" i="2"/>
  <c r="Z24" i="2"/>
  <c r="U23" i="2"/>
  <c r="C10" i="2"/>
  <c r="C11" i="2"/>
  <c r="C12" i="2"/>
  <c r="C13" i="2"/>
  <c r="C14" i="2"/>
  <c r="C15" i="2"/>
  <c r="C16" i="2"/>
  <c r="C17" i="2"/>
  <c r="C18" i="2"/>
  <c r="C19" i="2"/>
  <c r="C20" i="2"/>
  <c r="C21" i="2"/>
  <c r="B21" i="3"/>
  <c r="D21" i="3"/>
  <c r="S21" i="3"/>
  <c r="B21" i="2"/>
  <c r="S22" i="2" s="1"/>
  <c r="C21" i="3"/>
  <c r="L21" i="3"/>
  <c r="O21" i="3"/>
  <c r="P21" i="3"/>
  <c r="T21" i="3"/>
  <c r="E21" i="3"/>
  <c r="M21" i="3"/>
  <c r="Q21" i="3"/>
  <c r="U21" i="3"/>
  <c r="A21" i="3"/>
  <c r="E20" i="3"/>
  <c r="M20" i="3"/>
  <c r="Q20" i="3"/>
  <c r="B20" i="3"/>
  <c r="O20" i="3"/>
  <c r="S20" i="3"/>
  <c r="T20" i="3"/>
  <c r="U20" i="3"/>
  <c r="B20" i="2"/>
  <c r="C20" i="3"/>
  <c r="D20" i="3"/>
  <c r="K20" i="3"/>
  <c r="L20" i="3"/>
  <c r="P20" i="3"/>
  <c r="A20" i="3"/>
  <c r="O17" i="3"/>
  <c r="C18" i="3"/>
  <c r="L18" i="3"/>
  <c r="O19" i="3"/>
  <c r="T19" i="3"/>
  <c r="B19" i="3"/>
  <c r="A18" i="3"/>
  <c r="B18" i="3"/>
  <c r="B19" i="2"/>
  <c r="E19" i="3"/>
  <c r="M19" i="3"/>
  <c r="Q19" i="3"/>
  <c r="U19" i="3"/>
  <c r="C19" i="3"/>
  <c r="D19" i="3"/>
  <c r="K19" i="3"/>
  <c r="L19" i="3"/>
  <c r="P19" i="3"/>
  <c r="A19" i="3"/>
  <c r="A18" i="2"/>
  <c r="B18" i="2"/>
  <c r="D18" i="3"/>
  <c r="K18" i="3"/>
  <c r="O18" i="3"/>
  <c r="P18" i="3"/>
  <c r="S18" i="3"/>
  <c r="E18" i="3"/>
  <c r="M18" i="3"/>
  <c r="Q18" i="3"/>
  <c r="U18" i="3"/>
  <c r="E14" i="3"/>
  <c r="B17" i="3"/>
  <c r="B17" i="2"/>
  <c r="K17" i="3"/>
  <c r="L17" i="3"/>
  <c r="P17" i="3"/>
  <c r="C17" i="3"/>
  <c r="D17" i="3"/>
  <c r="T17" i="3"/>
  <c r="U16" i="3"/>
  <c r="M17" i="3"/>
  <c r="Q17" i="3"/>
  <c r="U17" i="3"/>
  <c r="E17" i="3"/>
  <c r="A17" i="2"/>
  <c r="M14" i="3"/>
  <c r="Q14" i="3"/>
  <c r="U14" i="3"/>
  <c r="E15" i="3"/>
  <c r="M15" i="3"/>
  <c r="Q15" i="3"/>
  <c r="U15" i="3"/>
  <c r="E16" i="3"/>
  <c r="B16" i="3"/>
  <c r="B16" i="2"/>
  <c r="C16" i="3"/>
  <c r="D16" i="3"/>
  <c r="S16" i="3"/>
  <c r="A16" i="3"/>
  <c r="S43" i="2" l="1"/>
  <c r="R17" i="3"/>
  <c r="R21" i="3"/>
  <c r="Y43" i="2"/>
  <c r="Z43" i="2"/>
  <c r="R18" i="3"/>
  <c r="R20" i="3"/>
  <c r="R19" i="3"/>
  <c r="N17" i="3"/>
  <c r="N20" i="3"/>
  <c r="F17" i="3"/>
  <c r="N18" i="3"/>
  <c r="Z20" i="3"/>
  <c r="Z21" i="3"/>
  <c r="F21" i="3"/>
  <c r="F16" i="3"/>
  <c r="N19" i="3"/>
  <c r="F18" i="3"/>
  <c r="F20" i="3"/>
  <c r="Z19" i="3"/>
  <c r="V20" i="3"/>
  <c r="F19" i="3"/>
  <c r="Z18" i="3"/>
  <c r="N21" i="3"/>
  <c r="V21" i="3"/>
  <c r="M36" i="3"/>
  <c r="M32" i="3"/>
  <c r="Z22" i="2"/>
  <c r="Y22" i="2"/>
  <c r="W22" i="2"/>
  <c r="S17" i="2"/>
  <c r="A21" i="2"/>
  <c r="A17" i="3"/>
  <c r="S19" i="3"/>
  <c r="V19" i="3" s="1"/>
  <c r="Z17" i="3"/>
  <c r="S17" i="3"/>
  <c r="V17" i="3" s="1"/>
  <c r="A20" i="2"/>
  <c r="Z16" i="3"/>
  <c r="A19" i="2"/>
  <c r="T18" i="3"/>
  <c r="V18" i="3" s="1"/>
  <c r="T16" i="3"/>
  <c r="V16" i="3" s="1"/>
  <c r="A16" i="2"/>
  <c r="AE15" i="3"/>
  <c r="B15" i="3"/>
  <c r="B15" i="2"/>
  <c r="S16" i="2" s="1"/>
  <c r="P15" i="3"/>
  <c r="O15" i="3"/>
  <c r="L15" i="3"/>
  <c r="K15" i="3"/>
  <c r="D15" i="3"/>
  <c r="C15" i="3"/>
  <c r="A15" i="3"/>
  <c r="R15" i="3" l="1"/>
  <c r="N15" i="3"/>
  <c r="F15" i="3"/>
  <c r="Q36" i="3"/>
  <c r="Q32" i="3"/>
  <c r="T15" i="3"/>
  <c r="S15" i="3"/>
  <c r="A15" i="2"/>
  <c r="AE14" i="3"/>
  <c r="B14" i="3"/>
  <c r="B14" i="2"/>
  <c r="S15" i="2" s="1"/>
  <c r="P14" i="3"/>
  <c r="O14" i="3"/>
  <c r="L14" i="3"/>
  <c r="K14" i="3"/>
  <c r="D14" i="3"/>
  <c r="C14" i="3"/>
  <c r="A14" i="3"/>
  <c r="F14" i="3" l="1"/>
  <c r="R14" i="3"/>
  <c r="N14" i="3"/>
  <c r="Z15" i="3"/>
  <c r="V15" i="3"/>
  <c r="U36" i="3"/>
  <c r="U32" i="3"/>
  <c r="S14" i="3"/>
  <c r="T14" i="3"/>
  <c r="A14" i="2"/>
  <c r="AE13" i="3"/>
  <c r="B13" i="3"/>
  <c r="B13" i="2"/>
  <c r="AB13" i="3"/>
  <c r="AA13" i="3"/>
  <c r="T13" i="3"/>
  <c r="P13" i="3"/>
  <c r="O13" i="3"/>
  <c r="L13" i="3"/>
  <c r="K13" i="3"/>
  <c r="H13" i="3"/>
  <c r="G13" i="3"/>
  <c r="D13" i="3"/>
  <c r="C13" i="3"/>
  <c r="AC13" i="3"/>
  <c r="U13" i="3"/>
  <c r="Q13" i="3"/>
  <c r="M13" i="3"/>
  <c r="I13" i="3"/>
  <c r="E13" i="3"/>
  <c r="A13" i="3"/>
  <c r="R13" i="3" l="1"/>
  <c r="F13" i="3"/>
  <c r="AD13" i="3"/>
  <c r="V14" i="3"/>
  <c r="Z14" i="3"/>
  <c r="J13" i="3"/>
  <c r="N13" i="3"/>
  <c r="A13" i="2"/>
  <c r="S13" i="3"/>
  <c r="V13" i="3" s="1"/>
  <c r="Z13" i="3"/>
  <c r="A12" i="2"/>
  <c r="AE12" i="3"/>
  <c r="B12" i="3"/>
  <c r="B12" i="2"/>
  <c r="AB12" i="3"/>
  <c r="AA12" i="3"/>
  <c r="T12" i="3"/>
  <c r="S12" i="3"/>
  <c r="P12" i="3"/>
  <c r="O12" i="3"/>
  <c r="L12" i="3"/>
  <c r="K12" i="3"/>
  <c r="H12" i="3"/>
  <c r="G12" i="3"/>
  <c r="D12" i="3"/>
  <c r="C12" i="3"/>
  <c r="AC12" i="3"/>
  <c r="U12" i="3"/>
  <c r="Q12" i="3"/>
  <c r="M12" i="3"/>
  <c r="I12" i="3"/>
  <c r="E12" i="3"/>
  <c r="R12" i="3" l="1"/>
  <c r="AD12" i="3"/>
  <c r="F12" i="3"/>
  <c r="N12" i="3"/>
  <c r="V12" i="3"/>
  <c r="J12" i="3"/>
  <c r="AC36" i="3"/>
  <c r="AC32" i="3"/>
  <c r="A12" i="3"/>
  <c r="Z12" i="3" l="1"/>
  <c r="CK36" i="1"/>
  <c r="C36" i="3" s="1"/>
  <c r="CS32" i="1"/>
  <c r="Y10" i="3"/>
  <c r="I10" i="3"/>
  <c r="H10" i="3"/>
  <c r="G10" i="3"/>
  <c r="K10" i="2"/>
  <c r="H10" i="2"/>
  <c r="E10" i="2"/>
  <c r="I11" i="3"/>
  <c r="CP85" i="1"/>
  <c r="CO85" i="1"/>
  <c r="H85" i="3" s="1"/>
  <c r="CN85" i="1"/>
  <c r="G85" i="3" s="1"/>
  <c r="CP84" i="1"/>
  <c r="CO84" i="1"/>
  <c r="H84" i="3" s="1"/>
  <c r="CN84" i="1"/>
  <c r="G84" i="3" s="1"/>
  <c r="CP83" i="1"/>
  <c r="CO83" i="1"/>
  <c r="H83" i="3" s="1"/>
  <c r="CN83" i="1"/>
  <c r="G83" i="3" s="1"/>
  <c r="CP82" i="1"/>
  <c r="CO82" i="1"/>
  <c r="H82" i="3" s="1"/>
  <c r="CN82" i="1"/>
  <c r="G82" i="3" s="1"/>
  <c r="CP81" i="1"/>
  <c r="CO81" i="1"/>
  <c r="H81" i="3" s="1"/>
  <c r="CN81" i="1"/>
  <c r="G81" i="3" s="1"/>
  <c r="CP80" i="1"/>
  <c r="CO80" i="1"/>
  <c r="H80" i="3" s="1"/>
  <c r="CN80" i="1"/>
  <c r="G80" i="3" s="1"/>
  <c r="CP79" i="1"/>
  <c r="CO79" i="1"/>
  <c r="H79" i="3" s="1"/>
  <c r="CN79" i="1"/>
  <c r="G79" i="3" s="1"/>
  <c r="CP77" i="1"/>
  <c r="CO77" i="1"/>
  <c r="H77" i="3" s="1"/>
  <c r="CN77" i="1"/>
  <c r="G77" i="3" s="1"/>
  <c r="CP72" i="1"/>
  <c r="CO72" i="1"/>
  <c r="H72" i="3" s="1"/>
  <c r="CN72" i="1"/>
  <c r="G72" i="3" s="1"/>
  <c r="CP71" i="1"/>
  <c r="CO71" i="1"/>
  <c r="H71" i="3" s="1"/>
  <c r="CN71" i="1"/>
  <c r="G71" i="3" s="1"/>
  <c r="CP70" i="1"/>
  <c r="CO70" i="1"/>
  <c r="H70" i="3" s="1"/>
  <c r="CN70" i="1"/>
  <c r="G70" i="3" s="1"/>
  <c r="CP69" i="1"/>
  <c r="CO69" i="1"/>
  <c r="H69" i="3" s="1"/>
  <c r="CN69" i="1"/>
  <c r="G69" i="3" s="1"/>
  <c r="CP68" i="1"/>
  <c r="CO68" i="1"/>
  <c r="H68" i="3" s="1"/>
  <c r="CN68" i="1"/>
  <c r="G68" i="3" s="1"/>
  <c r="CP67" i="1"/>
  <c r="CO67" i="1"/>
  <c r="H67" i="3" s="1"/>
  <c r="CN67" i="1"/>
  <c r="G67" i="3" s="1"/>
  <c r="CP66" i="1"/>
  <c r="CO66" i="1"/>
  <c r="H66" i="3" s="1"/>
  <c r="CN66" i="1"/>
  <c r="G66" i="3" s="1"/>
  <c r="CP65" i="1"/>
  <c r="CO65" i="1"/>
  <c r="H65" i="3" s="1"/>
  <c r="CN65" i="1"/>
  <c r="G65" i="3" s="1"/>
  <c r="CP64" i="1"/>
  <c r="CO64" i="1"/>
  <c r="H64" i="3" s="1"/>
  <c r="CN64" i="1"/>
  <c r="G64" i="3" s="1"/>
  <c r="CP63" i="1"/>
  <c r="CO63" i="1"/>
  <c r="H63" i="3" s="1"/>
  <c r="CN63" i="1"/>
  <c r="G63" i="3" s="1"/>
  <c r="CP62" i="1"/>
  <c r="CO62" i="1"/>
  <c r="H62" i="3" s="1"/>
  <c r="CN62" i="1"/>
  <c r="G62" i="3" s="1"/>
  <c r="CP61" i="1"/>
  <c r="CO61" i="1"/>
  <c r="H61" i="3" s="1"/>
  <c r="CN61" i="1"/>
  <c r="G61" i="3" s="1"/>
  <c r="CP60" i="1"/>
  <c r="CO60" i="1"/>
  <c r="H60" i="3" s="1"/>
  <c r="CN60" i="1"/>
  <c r="G60" i="3" s="1"/>
  <c r="CP59" i="1"/>
  <c r="CO59" i="1"/>
  <c r="H59" i="3" s="1"/>
  <c r="CN59" i="1"/>
  <c r="G59" i="3" s="1"/>
  <c r="CP58" i="1"/>
  <c r="CO58" i="1"/>
  <c r="H58" i="3" s="1"/>
  <c r="CN58" i="1"/>
  <c r="G58" i="3" s="1"/>
  <c r="H11" i="3"/>
  <c r="G11" i="3"/>
  <c r="DB85" i="1"/>
  <c r="DA85" i="1"/>
  <c r="X85" i="3" s="1"/>
  <c r="CZ85" i="1"/>
  <c r="W85" i="3" s="1"/>
  <c r="DB84" i="1"/>
  <c r="DA84" i="1"/>
  <c r="X84" i="3" s="1"/>
  <c r="CZ84" i="1"/>
  <c r="W84" i="3" s="1"/>
  <c r="DB83" i="1"/>
  <c r="DA83" i="1"/>
  <c r="X83" i="3" s="1"/>
  <c r="CZ83" i="1"/>
  <c r="W83" i="3" s="1"/>
  <c r="DB82" i="1"/>
  <c r="DA82" i="1"/>
  <c r="X82" i="3" s="1"/>
  <c r="CZ82" i="1"/>
  <c r="W82" i="3" s="1"/>
  <c r="DB81" i="1"/>
  <c r="DA81" i="1"/>
  <c r="X81" i="3" s="1"/>
  <c r="CZ81" i="1"/>
  <c r="W81" i="3" s="1"/>
  <c r="DB80" i="1"/>
  <c r="DA80" i="1"/>
  <c r="X80" i="3" s="1"/>
  <c r="CZ80" i="1"/>
  <c r="W80" i="3" s="1"/>
  <c r="DB79" i="1"/>
  <c r="DA79" i="1"/>
  <c r="X79" i="3" s="1"/>
  <c r="CZ79" i="1"/>
  <c r="W79" i="3" s="1"/>
  <c r="DB77" i="1"/>
  <c r="DA77" i="1"/>
  <c r="X77" i="3" s="1"/>
  <c r="CZ77" i="1"/>
  <c r="W77" i="3" s="1"/>
  <c r="DB71" i="1"/>
  <c r="DA71" i="1"/>
  <c r="X71" i="3" s="1"/>
  <c r="CZ71" i="1"/>
  <c r="W71" i="3" s="1"/>
  <c r="DB70" i="1"/>
  <c r="DA70" i="1"/>
  <c r="X70" i="3" s="1"/>
  <c r="CZ70" i="1"/>
  <c r="W70" i="3" s="1"/>
  <c r="DB69" i="1"/>
  <c r="DA69" i="1"/>
  <c r="X69" i="3" s="1"/>
  <c r="CZ69" i="1"/>
  <c r="W69" i="3" s="1"/>
  <c r="DB68" i="1"/>
  <c r="DA68" i="1"/>
  <c r="X68" i="3" s="1"/>
  <c r="CZ68" i="1"/>
  <c r="W68" i="3" s="1"/>
  <c r="DB67" i="1"/>
  <c r="DA67" i="1"/>
  <c r="X67" i="3" s="1"/>
  <c r="CZ67" i="1"/>
  <c r="W67" i="3" s="1"/>
  <c r="DB66" i="1"/>
  <c r="DA66" i="1"/>
  <c r="X66" i="3" s="1"/>
  <c r="CZ66" i="1"/>
  <c r="W66" i="3" s="1"/>
  <c r="DB65" i="1"/>
  <c r="DA65" i="1"/>
  <c r="X65" i="3" s="1"/>
  <c r="CZ65" i="1"/>
  <c r="W65" i="3" s="1"/>
  <c r="DB64" i="1"/>
  <c r="DA64" i="1"/>
  <c r="X64" i="3" s="1"/>
  <c r="CZ64" i="1"/>
  <c r="W64" i="3" s="1"/>
  <c r="DB63" i="1"/>
  <c r="DA63" i="1"/>
  <c r="X63" i="3" s="1"/>
  <c r="CZ63" i="1"/>
  <c r="W63" i="3" s="1"/>
  <c r="DB62" i="1"/>
  <c r="DA62" i="1"/>
  <c r="X62" i="3" s="1"/>
  <c r="CZ62" i="1"/>
  <c r="W62" i="3" s="1"/>
  <c r="DB61" i="1"/>
  <c r="DA61" i="1"/>
  <c r="X61" i="3" s="1"/>
  <c r="CZ61" i="1"/>
  <c r="W61" i="3" s="1"/>
  <c r="DB60" i="1"/>
  <c r="DA60" i="1"/>
  <c r="X60" i="3" s="1"/>
  <c r="CZ60" i="1"/>
  <c r="W60" i="3" s="1"/>
  <c r="DB59" i="1"/>
  <c r="DA59" i="1"/>
  <c r="X59" i="3" s="1"/>
  <c r="CZ59" i="1"/>
  <c r="W59" i="3" s="1"/>
  <c r="DB58" i="1"/>
  <c r="DA58" i="1"/>
  <c r="X58" i="3" s="1"/>
  <c r="CZ58" i="1"/>
  <c r="W58" i="3" s="1"/>
  <c r="BJ85" i="1"/>
  <c r="Y85" i="3" s="1"/>
  <c r="BI85" i="1"/>
  <c r="BH85" i="1"/>
  <c r="BJ84" i="1"/>
  <c r="Y84" i="3" s="1"/>
  <c r="BI84" i="1"/>
  <c r="BH84" i="1"/>
  <c r="BJ83" i="1"/>
  <c r="Y83" i="3" s="1"/>
  <c r="BI83" i="1"/>
  <c r="BH83" i="1"/>
  <c r="BJ82" i="1"/>
  <c r="Y82" i="3" s="1"/>
  <c r="BI82" i="1"/>
  <c r="BH82" i="1"/>
  <c r="BJ81" i="1"/>
  <c r="Y81" i="3" s="1"/>
  <c r="BI81" i="1"/>
  <c r="BH81" i="1"/>
  <c r="BJ79" i="1"/>
  <c r="Y79" i="3" s="1"/>
  <c r="BI79" i="1"/>
  <c r="BH79" i="1"/>
  <c r="BJ77" i="1"/>
  <c r="Y77" i="3" s="1"/>
  <c r="BI77" i="1"/>
  <c r="BH77" i="1"/>
  <c r="BJ71" i="1"/>
  <c r="Y71" i="3" s="1"/>
  <c r="BI71" i="1"/>
  <c r="BH71" i="1"/>
  <c r="BJ70" i="1"/>
  <c r="Y70" i="3" s="1"/>
  <c r="BI70" i="1"/>
  <c r="BH70" i="1"/>
  <c r="BJ69" i="1"/>
  <c r="Y69" i="3" s="1"/>
  <c r="BI69" i="1"/>
  <c r="BH69" i="1"/>
  <c r="BJ68" i="1"/>
  <c r="Y68" i="3" s="1"/>
  <c r="BI68" i="1"/>
  <c r="BH68" i="1"/>
  <c r="BJ67" i="1"/>
  <c r="Y67" i="3" s="1"/>
  <c r="BI67" i="1"/>
  <c r="BH67" i="1"/>
  <c r="BJ66" i="1"/>
  <c r="Y66" i="3" s="1"/>
  <c r="BI66" i="1"/>
  <c r="BH66" i="1"/>
  <c r="BJ65" i="1"/>
  <c r="Y65" i="3" s="1"/>
  <c r="BI65" i="1"/>
  <c r="BH65" i="1"/>
  <c r="BJ64" i="1"/>
  <c r="Y64" i="3" s="1"/>
  <c r="BI64" i="1"/>
  <c r="BH64" i="1"/>
  <c r="BJ63" i="1"/>
  <c r="Y63" i="3" s="1"/>
  <c r="BI63" i="1"/>
  <c r="BH63" i="1"/>
  <c r="BJ62" i="1"/>
  <c r="Y62" i="3" s="1"/>
  <c r="BI62" i="1"/>
  <c r="BH62" i="1"/>
  <c r="BJ61" i="1"/>
  <c r="Y61" i="3" s="1"/>
  <c r="BI61" i="1"/>
  <c r="BH61" i="1"/>
  <c r="BJ60" i="1"/>
  <c r="Y60" i="3" s="1"/>
  <c r="BI60" i="1"/>
  <c r="BH60" i="1"/>
  <c r="BJ59" i="1"/>
  <c r="Y59" i="3" s="1"/>
  <c r="BI59" i="1"/>
  <c r="BH59" i="1"/>
  <c r="BJ58" i="1"/>
  <c r="Y58" i="3" s="1"/>
  <c r="BI58" i="1"/>
  <c r="BH58" i="1"/>
  <c r="AX85" i="1"/>
  <c r="I85" i="3" s="1"/>
  <c r="AW85" i="1"/>
  <c r="AV85" i="1"/>
  <c r="AX84" i="1"/>
  <c r="I84" i="3" s="1"/>
  <c r="AW84" i="1"/>
  <c r="AV84" i="1"/>
  <c r="AX83" i="1"/>
  <c r="I83" i="3" s="1"/>
  <c r="AW83" i="1"/>
  <c r="AV83" i="1"/>
  <c r="AX82" i="1"/>
  <c r="I82" i="3" s="1"/>
  <c r="AW82" i="1"/>
  <c r="AV82" i="1"/>
  <c r="AX81" i="1"/>
  <c r="I81" i="3" s="1"/>
  <c r="AW81" i="1"/>
  <c r="AV81" i="1"/>
  <c r="AX79" i="1"/>
  <c r="I79" i="3" s="1"/>
  <c r="AW79" i="1"/>
  <c r="AV79" i="1"/>
  <c r="AX77" i="1"/>
  <c r="I77" i="3" s="1"/>
  <c r="AW77" i="1"/>
  <c r="AV77" i="1"/>
  <c r="AX72" i="1"/>
  <c r="I72" i="3" s="1"/>
  <c r="AW72" i="1"/>
  <c r="AV72" i="1"/>
  <c r="AX71" i="1"/>
  <c r="I71" i="3" s="1"/>
  <c r="AW71" i="1"/>
  <c r="AV71" i="1"/>
  <c r="AX70" i="1"/>
  <c r="I70" i="3" s="1"/>
  <c r="AW70" i="1"/>
  <c r="AV70" i="1"/>
  <c r="AX69" i="1"/>
  <c r="I69" i="3" s="1"/>
  <c r="AW69" i="1"/>
  <c r="AV69" i="1"/>
  <c r="AX68" i="1"/>
  <c r="I68" i="3" s="1"/>
  <c r="AW68" i="1"/>
  <c r="AV68" i="1"/>
  <c r="AX67" i="1"/>
  <c r="I67" i="3" s="1"/>
  <c r="AW67" i="1"/>
  <c r="AV67" i="1"/>
  <c r="AX66" i="1"/>
  <c r="I66" i="3" s="1"/>
  <c r="AW66" i="1"/>
  <c r="AV66" i="1"/>
  <c r="AX65" i="1"/>
  <c r="I65" i="3" s="1"/>
  <c r="AW65" i="1"/>
  <c r="AV65" i="1"/>
  <c r="AX64" i="1"/>
  <c r="I64" i="3" s="1"/>
  <c r="AW64" i="1"/>
  <c r="AV64" i="1"/>
  <c r="AX63" i="1"/>
  <c r="I63" i="3" s="1"/>
  <c r="AW63" i="1"/>
  <c r="AV63" i="1"/>
  <c r="AX62" i="1"/>
  <c r="I62" i="3" s="1"/>
  <c r="AW62" i="1"/>
  <c r="AV62" i="1"/>
  <c r="AX61" i="1"/>
  <c r="I61" i="3" s="1"/>
  <c r="AW61" i="1"/>
  <c r="AV61" i="1"/>
  <c r="AX60" i="1"/>
  <c r="I60" i="3" s="1"/>
  <c r="AW60" i="1"/>
  <c r="AV60" i="1"/>
  <c r="AX59" i="1"/>
  <c r="I59" i="3" s="1"/>
  <c r="AW59" i="1"/>
  <c r="AV59" i="1"/>
  <c r="AX58" i="1"/>
  <c r="I58" i="3" s="1"/>
  <c r="AW58" i="1"/>
  <c r="AV58" i="1"/>
  <c r="AP85" i="1"/>
  <c r="K85" i="2" s="1"/>
  <c r="AP84" i="1"/>
  <c r="K84" i="2" s="1"/>
  <c r="AP83" i="1"/>
  <c r="K83" i="2" s="1"/>
  <c r="Y83" i="2" s="1"/>
  <c r="AP82" i="1"/>
  <c r="K82" i="2" s="1"/>
  <c r="AP81" i="1"/>
  <c r="K81" i="2" s="1"/>
  <c r="Y81" i="2" s="1"/>
  <c r="AP79" i="1"/>
  <c r="K79" i="2" s="1"/>
  <c r="AP77" i="1"/>
  <c r="K77" i="2" s="1"/>
  <c r="AP71" i="1"/>
  <c r="K71" i="2" s="1"/>
  <c r="AP70" i="1"/>
  <c r="K70" i="2" s="1"/>
  <c r="AP69" i="1"/>
  <c r="K69" i="2" s="1"/>
  <c r="AP68" i="1"/>
  <c r="K68" i="2" s="1"/>
  <c r="AP67" i="1"/>
  <c r="K67" i="2" s="1"/>
  <c r="AP66" i="1"/>
  <c r="K66" i="2" s="1"/>
  <c r="AP65" i="1"/>
  <c r="K65" i="2" s="1"/>
  <c r="AP64" i="1"/>
  <c r="K64" i="2" s="1"/>
  <c r="AP63" i="1"/>
  <c r="K63" i="2" s="1"/>
  <c r="Y63" i="2" s="1"/>
  <c r="AP61" i="1"/>
  <c r="K61" i="2" s="1"/>
  <c r="AP60" i="1"/>
  <c r="K60" i="2" s="1"/>
  <c r="AP59" i="1"/>
  <c r="K59" i="2" s="1"/>
  <c r="Y59" i="2" s="1"/>
  <c r="AH59" i="1"/>
  <c r="AH60" i="1"/>
  <c r="AH61" i="1"/>
  <c r="AH63" i="1"/>
  <c r="AH64" i="1"/>
  <c r="AH65" i="1"/>
  <c r="AH66" i="1"/>
  <c r="AH67" i="1"/>
  <c r="AH68" i="1"/>
  <c r="AH69" i="1"/>
  <c r="AH70" i="1"/>
  <c r="AH71" i="1"/>
  <c r="AH77" i="1"/>
  <c r="AH79" i="1"/>
  <c r="AH81" i="1"/>
  <c r="AH82" i="1"/>
  <c r="AH83" i="1"/>
  <c r="AH84" i="1"/>
  <c r="AH85" i="1"/>
  <c r="AM85" i="1"/>
  <c r="AM84" i="1"/>
  <c r="AM83" i="1"/>
  <c r="AM82" i="1"/>
  <c r="AM81" i="1"/>
  <c r="AM79" i="1"/>
  <c r="AM77" i="1"/>
  <c r="AM71" i="1"/>
  <c r="H71" i="2" s="1"/>
  <c r="AM70" i="1"/>
  <c r="H70" i="2" s="1"/>
  <c r="AM69" i="1"/>
  <c r="H69" i="2" s="1"/>
  <c r="AM68" i="1"/>
  <c r="H68" i="2" s="1"/>
  <c r="AM67" i="1"/>
  <c r="H67" i="2" s="1"/>
  <c r="AM66" i="1"/>
  <c r="H66" i="2" s="1"/>
  <c r="AM65" i="1"/>
  <c r="H65" i="2" s="1"/>
  <c r="AM64" i="1"/>
  <c r="H64" i="2" s="1"/>
  <c r="AM63" i="1"/>
  <c r="H63" i="2" s="1"/>
  <c r="V63" i="2" s="1"/>
  <c r="AM61" i="1"/>
  <c r="H61" i="2" s="1"/>
  <c r="AM60" i="1"/>
  <c r="H60" i="2" s="1"/>
  <c r="AM59" i="1"/>
  <c r="H59" i="2" s="1"/>
  <c r="V59" i="2" s="1"/>
  <c r="AJ85" i="1"/>
  <c r="E85" i="2" s="1"/>
  <c r="AJ84" i="1"/>
  <c r="E84" i="2" s="1"/>
  <c r="AJ83" i="1"/>
  <c r="E83" i="2" s="1"/>
  <c r="AJ82" i="1"/>
  <c r="E82" i="2" s="1"/>
  <c r="AJ81" i="1"/>
  <c r="E81" i="2" s="1"/>
  <c r="S81" i="2" s="1"/>
  <c r="AJ79" i="1"/>
  <c r="E79" i="2" s="1"/>
  <c r="AJ77" i="1"/>
  <c r="E77" i="2" s="1"/>
  <c r="AJ71" i="1"/>
  <c r="E71" i="2" s="1"/>
  <c r="AJ70" i="1"/>
  <c r="E70" i="2" s="1"/>
  <c r="AJ69" i="1"/>
  <c r="E69" i="2" s="1"/>
  <c r="AJ68" i="1"/>
  <c r="E68" i="2" s="1"/>
  <c r="AJ67" i="1"/>
  <c r="E67" i="2" s="1"/>
  <c r="AJ66" i="1"/>
  <c r="E66" i="2" s="1"/>
  <c r="AJ65" i="1"/>
  <c r="E65" i="2" s="1"/>
  <c r="AJ64" i="1"/>
  <c r="E64" i="2" s="1"/>
  <c r="AJ63" i="1"/>
  <c r="E63" i="2" s="1"/>
  <c r="S63" i="2" s="1"/>
  <c r="AJ61" i="1"/>
  <c r="E61" i="2" s="1"/>
  <c r="AJ60" i="1"/>
  <c r="E60" i="2" s="1"/>
  <c r="AJ59" i="1"/>
  <c r="E59" i="2" s="1"/>
  <c r="S59" i="2" s="1"/>
  <c r="S84" i="2" l="1"/>
  <c r="Y68" i="2"/>
  <c r="Z60" i="3"/>
  <c r="Z68" i="3"/>
  <c r="Y82" i="2"/>
  <c r="Y84" i="2"/>
  <c r="J63" i="3"/>
  <c r="Z80" i="3"/>
  <c r="J80" i="3"/>
  <c r="S85" i="2"/>
  <c r="S86" i="2"/>
  <c r="Y79" i="2"/>
  <c r="Y80" i="2"/>
  <c r="Z83" i="3"/>
  <c r="J82" i="3"/>
  <c r="S67" i="2"/>
  <c r="S82" i="2"/>
  <c r="Y85" i="2"/>
  <c r="Y86" i="2"/>
  <c r="Z82" i="3"/>
  <c r="J81" i="3"/>
  <c r="J85" i="3"/>
  <c r="S83" i="2"/>
  <c r="Z81" i="3"/>
  <c r="Z85" i="3"/>
  <c r="J84" i="3"/>
  <c r="S79" i="2"/>
  <c r="S80" i="2"/>
  <c r="Z84" i="3"/>
  <c r="J83" i="3"/>
  <c r="S78" i="2"/>
  <c r="S77" i="2"/>
  <c r="Z79" i="3"/>
  <c r="V70" i="2"/>
  <c r="Y64" i="2"/>
  <c r="Y78" i="2"/>
  <c r="Y77" i="2"/>
  <c r="J60" i="3"/>
  <c r="J77" i="3"/>
  <c r="Z77" i="3"/>
  <c r="J79" i="3"/>
  <c r="V60" i="2"/>
  <c r="V69" i="2"/>
  <c r="J58" i="3"/>
  <c r="J62" i="3"/>
  <c r="J66" i="3"/>
  <c r="J61" i="3"/>
  <c r="J65" i="3"/>
  <c r="J69" i="3"/>
  <c r="S64" i="2"/>
  <c r="S68" i="2"/>
  <c r="Y69" i="2"/>
  <c r="V67" i="2"/>
  <c r="V71" i="2"/>
  <c r="V72" i="2"/>
  <c r="Y60" i="2"/>
  <c r="Z63" i="3"/>
  <c r="J70" i="3"/>
  <c r="S69" i="2"/>
  <c r="V64" i="2"/>
  <c r="V68" i="2"/>
  <c r="Y61" i="2"/>
  <c r="Y62" i="2"/>
  <c r="Y70" i="2"/>
  <c r="Z58" i="3"/>
  <c r="Z59" i="3"/>
  <c r="Z62" i="3"/>
  <c r="Z66" i="3"/>
  <c r="Z67" i="3"/>
  <c r="Z70" i="3"/>
  <c r="Z71" i="3"/>
  <c r="S60" i="2"/>
  <c r="S62" i="2"/>
  <c r="S61" i="2"/>
  <c r="S70" i="2"/>
  <c r="Y67" i="2"/>
  <c r="Y71" i="2"/>
  <c r="Y72" i="2"/>
  <c r="Z61" i="3"/>
  <c r="Z69" i="3"/>
  <c r="J64" i="3"/>
  <c r="J72" i="3"/>
  <c r="S71" i="2"/>
  <c r="S72" i="2"/>
  <c r="V61" i="2"/>
  <c r="V62" i="2"/>
  <c r="Z64" i="3"/>
  <c r="J59" i="3"/>
  <c r="J67" i="3"/>
  <c r="J68" i="3"/>
  <c r="J71" i="3"/>
  <c r="S65" i="2"/>
  <c r="S66" i="2"/>
  <c r="V65" i="2"/>
  <c r="V66" i="2"/>
  <c r="Y65" i="2"/>
  <c r="Y66" i="2"/>
  <c r="Z10" i="3"/>
  <c r="J11" i="3"/>
  <c r="J10" i="3"/>
  <c r="CL36" i="1"/>
  <c r="D36" i="3" s="1"/>
  <c r="F36" i="3" s="1"/>
  <c r="CT32" i="1"/>
  <c r="O32" i="3" s="1"/>
  <c r="H21" i="2"/>
  <c r="V22" i="2" s="1"/>
  <c r="H18" i="2"/>
  <c r="H19" i="2"/>
  <c r="H20" i="2"/>
  <c r="Z16" i="2"/>
  <c r="Z17" i="2"/>
  <c r="H14" i="2"/>
  <c r="H17" i="2"/>
  <c r="V17" i="2" s="1"/>
  <c r="H15" i="2"/>
  <c r="V16" i="2" s="1"/>
  <c r="H13" i="2"/>
  <c r="H12" i="2"/>
  <c r="E13" i="2"/>
  <c r="S14" i="2" s="1"/>
  <c r="E12" i="2"/>
  <c r="K13" i="2"/>
  <c r="K12" i="2"/>
  <c r="L12" i="2"/>
  <c r="L13" i="2"/>
  <c r="E11" i="2"/>
  <c r="S20" i="2"/>
  <c r="H11" i="2"/>
  <c r="K11" i="2"/>
  <c r="Y21" i="2"/>
  <c r="CM36" i="1" l="1"/>
  <c r="CU32" i="1"/>
  <c r="P32" i="3" s="1"/>
  <c r="R32" i="3" s="1"/>
  <c r="V18" i="2"/>
  <c r="V19" i="2"/>
  <c r="Z15" i="2"/>
  <c r="Z14" i="2"/>
  <c r="V14" i="2"/>
  <c r="V15" i="2"/>
  <c r="S21" i="2"/>
  <c r="V20" i="2"/>
  <c r="Y20" i="2"/>
  <c r="V21" i="2"/>
  <c r="O11" i="3"/>
  <c r="P11" i="3"/>
  <c r="J21" i="2"/>
  <c r="X22" i="2" s="1"/>
  <c r="A11" i="3"/>
  <c r="B11" i="3"/>
  <c r="B11" i="2"/>
  <c r="CK58" i="1"/>
  <c r="C58" i="3" s="1"/>
  <c r="CL58" i="1"/>
  <c r="D58" i="3" s="1"/>
  <c r="CM58" i="1"/>
  <c r="CK59" i="1"/>
  <c r="C59" i="3" s="1"/>
  <c r="CL59" i="1"/>
  <c r="D59" i="3" s="1"/>
  <c r="CM59" i="1"/>
  <c r="CK60" i="1"/>
  <c r="C60" i="3" s="1"/>
  <c r="CL60" i="1"/>
  <c r="D60" i="3" s="1"/>
  <c r="CM60" i="1"/>
  <c r="CK61" i="1"/>
  <c r="C61" i="3" s="1"/>
  <c r="CL61" i="1"/>
  <c r="D61" i="3" s="1"/>
  <c r="CM61" i="1"/>
  <c r="CK62" i="1"/>
  <c r="C62" i="3" s="1"/>
  <c r="CL62" i="1"/>
  <c r="D62" i="3" s="1"/>
  <c r="CM62" i="1"/>
  <c r="CK63" i="1"/>
  <c r="C63" i="3" s="1"/>
  <c r="CL63" i="1"/>
  <c r="D63" i="3" s="1"/>
  <c r="CM63" i="1"/>
  <c r="CK64" i="1"/>
  <c r="C64" i="3" s="1"/>
  <c r="CL64" i="1"/>
  <c r="D64" i="3" s="1"/>
  <c r="CM64" i="1"/>
  <c r="CK65" i="1"/>
  <c r="C65" i="3" s="1"/>
  <c r="CL65" i="1"/>
  <c r="D65" i="3" s="1"/>
  <c r="CM65" i="1"/>
  <c r="CK66" i="1"/>
  <c r="C66" i="3" s="1"/>
  <c r="CL66" i="1"/>
  <c r="D66" i="3" s="1"/>
  <c r="CM66" i="1"/>
  <c r="CK67" i="1"/>
  <c r="C67" i="3" s="1"/>
  <c r="CL67" i="1"/>
  <c r="D67" i="3" s="1"/>
  <c r="CM67" i="1"/>
  <c r="CK68" i="1"/>
  <c r="C68" i="3" s="1"/>
  <c r="CL68" i="1"/>
  <c r="D68" i="3" s="1"/>
  <c r="CM68" i="1"/>
  <c r="CK69" i="1"/>
  <c r="C69" i="3" s="1"/>
  <c r="CL69" i="1"/>
  <c r="D69" i="3" s="1"/>
  <c r="CM69" i="1"/>
  <c r="CK70" i="1"/>
  <c r="C70" i="3" s="1"/>
  <c r="CL70" i="1"/>
  <c r="D70" i="3" s="1"/>
  <c r="CM70" i="1"/>
  <c r="CK71" i="1"/>
  <c r="C71" i="3" s="1"/>
  <c r="CL71" i="1"/>
  <c r="D71" i="3" s="1"/>
  <c r="CM71" i="1"/>
  <c r="CK72" i="1"/>
  <c r="C72" i="3" s="1"/>
  <c r="CL72" i="1"/>
  <c r="D72" i="3" s="1"/>
  <c r="CM72" i="1"/>
  <c r="CK77" i="1"/>
  <c r="C77" i="3" s="1"/>
  <c r="CL77" i="1"/>
  <c r="D77" i="3" s="1"/>
  <c r="CM77" i="1"/>
  <c r="CK79" i="1"/>
  <c r="C79" i="3" s="1"/>
  <c r="CL79" i="1"/>
  <c r="D79" i="3" s="1"/>
  <c r="CM79" i="1"/>
  <c r="CK80" i="1"/>
  <c r="C80" i="3" s="1"/>
  <c r="CL80" i="1"/>
  <c r="D80" i="3" s="1"/>
  <c r="CM80" i="1"/>
  <c r="CK81" i="1"/>
  <c r="C81" i="3" s="1"/>
  <c r="CL81" i="1"/>
  <c r="D81" i="3" s="1"/>
  <c r="CM81" i="1"/>
  <c r="CK82" i="1"/>
  <c r="C82" i="3" s="1"/>
  <c r="CL82" i="1"/>
  <c r="D82" i="3" s="1"/>
  <c r="CM82" i="1"/>
  <c r="CK83" i="1"/>
  <c r="C83" i="3" s="1"/>
  <c r="CL83" i="1"/>
  <c r="D83" i="3" s="1"/>
  <c r="CM83" i="1"/>
  <c r="CK84" i="1"/>
  <c r="C84" i="3" s="1"/>
  <c r="CL84" i="1"/>
  <c r="D84" i="3" s="1"/>
  <c r="CM84" i="1"/>
  <c r="CK85" i="1"/>
  <c r="C85" i="3" s="1"/>
  <c r="CL85" i="1"/>
  <c r="D85" i="3" s="1"/>
  <c r="CM85" i="1"/>
  <c r="AC11" i="3"/>
  <c r="AB11" i="3"/>
  <c r="AA11" i="3"/>
  <c r="U11" i="3"/>
  <c r="Q11" i="3"/>
  <c r="M11" i="3"/>
  <c r="L11" i="3"/>
  <c r="K11" i="3"/>
  <c r="E11" i="3"/>
  <c r="D11" i="3"/>
  <c r="C11" i="3"/>
  <c r="D10" i="2"/>
  <c r="B10" i="2"/>
  <c r="AE11" i="3"/>
  <c r="AE10" i="3"/>
  <c r="B10" i="3"/>
  <c r="A10" i="3"/>
  <c r="M10" i="3"/>
  <c r="L10" i="3"/>
  <c r="K10" i="3"/>
  <c r="U10" i="3"/>
  <c r="T10" i="3"/>
  <c r="S10" i="3"/>
  <c r="AC10" i="3"/>
  <c r="AB10" i="3"/>
  <c r="AA10" i="3"/>
  <c r="E10" i="3"/>
  <c r="D10" i="3"/>
  <c r="C10" i="3"/>
  <c r="F10" i="2"/>
  <c r="G10" i="2"/>
  <c r="I10" i="2"/>
  <c r="J10" i="2"/>
  <c r="L10" i="2"/>
  <c r="DE85" i="1"/>
  <c r="DD85" i="1"/>
  <c r="AB85" i="3" s="1"/>
  <c r="DC85" i="1"/>
  <c r="AA85" i="3" s="1"/>
  <c r="CY85" i="1"/>
  <c r="CX85" i="1"/>
  <c r="T85" i="3" s="1"/>
  <c r="CW85" i="1"/>
  <c r="S85" i="3" s="1"/>
  <c r="CV85" i="1"/>
  <c r="CU85" i="1"/>
  <c r="P85" i="3" s="1"/>
  <c r="CT85" i="1"/>
  <c r="O85" i="3" s="1"/>
  <c r="DE84" i="1"/>
  <c r="DD84" i="1"/>
  <c r="AB84" i="3" s="1"/>
  <c r="DC84" i="1"/>
  <c r="AA84" i="3" s="1"/>
  <c r="CY84" i="1"/>
  <c r="CX84" i="1"/>
  <c r="T84" i="3" s="1"/>
  <c r="CW84" i="1"/>
  <c r="S84" i="3" s="1"/>
  <c r="CV84" i="1"/>
  <c r="CU84" i="1"/>
  <c r="P84" i="3" s="1"/>
  <c r="CT84" i="1"/>
  <c r="O84" i="3" s="1"/>
  <c r="DE83" i="1"/>
  <c r="DD83" i="1"/>
  <c r="AB83" i="3" s="1"/>
  <c r="DC83" i="1"/>
  <c r="AA83" i="3" s="1"/>
  <c r="CY83" i="1"/>
  <c r="CX83" i="1"/>
  <c r="T83" i="3" s="1"/>
  <c r="CW83" i="1"/>
  <c r="S83" i="3" s="1"/>
  <c r="CV83" i="1"/>
  <c r="CU83" i="1"/>
  <c r="P83" i="3" s="1"/>
  <c r="CT83" i="1"/>
  <c r="O83" i="3" s="1"/>
  <c r="DE82" i="1"/>
  <c r="DD82" i="1"/>
  <c r="AB82" i="3" s="1"/>
  <c r="DC82" i="1"/>
  <c r="AA82" i="3" s="1"/>
  <c r="CY82" i="1"/>
  <c r="CX82" i="1"/>
  <c r="T82" i="3" s="1"/>
  <c r="CW82" i="1"/>
  <c r="S82" i="3" s="1"/>
  <c r="CV82" i="1"/>
  <c r="CU82" i="1"/>
  <c r="P82" i="3" s="1"/>
  <c r="CT82" i="1"/>
  <c r="O82" i="3" s="1"/>
  <c r="DE81" i="1"/>
  <c r="DD81" i="1"/>
  <c r="AB81" i="3" s="1"/>
  <c r="DC81" i="1"/>
  <c r="AA81" i="3" s="1"/>
  <c r="CY81" i="1"/>
  <c r="CX81" i="1"/>
  <c r="T81" i="3" s="1"/>
  <c r="CW81" i="1"/>
  <c r="S81" i="3" s="1"/>
  <c r="CV81" i="1"/>
  <c r="CU81" i="1"/>
  <c r="P81" i="3" s="1"/>
  <c r="CT81" i="1"/>
  <c r="O81" i="3" s="1"/>
  <c r="CS81" i="1"/>
  <c r="CR81" i="1"/>
  <c r="CQ81" i="1"/>
  <c r="DE80" i="1"/>
  <c r="DD80" i="1"/>
  <c r="AB80" i="3" s="1"/>
  <c r="DC80" i="1"/>
  <c r="AA80" i="3" s="1"/>
  <c r="CY80" i="1"/>
  <c r="CX80" i="1"/>
  <c r="T80" i="3" s="1"/>
  <c r="CW80" i="1"/>
  <c r="S80" i="3" s="1"/>
  <c r="CV80" i="1"/>
  <c r="CU80" i="1"/>
  <c r="P80" i="3" s="1"/>
  <c r="CT80" i="1"/>
  <c r="O80" i="3" s="1"/>
  <c r="CS80" i="1"/>
  <c r="CR80" i="1"/>
  <c r="CQ80" i="1"/>
  <c r="DE79" i="1"/>
  <c r="DD79" i="1"/>
  <c r="AB79" i="3" s="1"/>
  <c r="DC79" i="1"/>
  <c r="AA79" i="3" s="1"/>
  <c r="CY79" i="1"/>
  <c r="CX79" i="1"/>
  <c r="T79" i="3" s="1"/>
  <c r="CW79" i="1"/>
  <c r="S79" i="3" s="1"/>
  <c r="CV79" i="1"/>
  <c r="CU79" i="1"/>
  <c r="P79" i="3" s="1"/>
  <c r="CT79" i="1"/>
  <c r="O79" i="3" s="1"/>
  <c r="DE77" i="1"/>
  <c r="DD77" i="1"/>
  <c r="AB77" i="3" s="1"/>
  <c r="DC77" i="1"/>
  <c r="AA77" i="3" s="1"/>
  <c r="CY77" i="1"/>
  <c r="CX77" i="1"/>
  <c r="T77" i="3" s="1"/>
  <c r="CW77" i="1"/>
  <c r="S77" i="3" s="1"/>
  <c r="CV77" i="1"/>
  <c r="CU77" i="1"/>
  <c r="P77" i="3" s="1"/>
  <c r="CT77" i="1"/>
  <c r="O77" i="3" s="1"/>
  <c r="DE72" i="1"/>
  <c r="DD72" i="1"/>
  <c r="AB72" i="3" s="1"/>
  <c r="DC72" i="1"/>
  <c r="AA72" i="3" s="1"/>
  <c r="CY72" i="1"/>
  <c r="CX72" i="1"/>
  <c r="T72" i="3" s="1"/>
  <c r="CW72" i="1"/>
  <c r="S72" i="3" s="1"/>
  <c r="CV72" i="1"/>
  <c r="CU72" i="1"/>
  <c r="P72" i="3" s="1"/>
  <c r="CT72" i="1"/>
  <c r="O72" i="3" s="1"/>
  <c r="CS72" i="1"/>
  <c r="CR72" i="1"/>
  <c r="L72" i="3" s="1"/>
  <c r="CQ72" i="1"/>
  <c r="K72" i="3" s="1"/>
  <c r="DE71" i="1"/>
  <c r="DD71" i="1"/>
  <c r="AB71" i="3" s="1"/>
  <c r="DC71" i="1"/>
  <c r="AA71" i="3" s="1"/>
  <c r="CY71" i="1"/>
  <c r="CX71" i="1"/>
  <c r="T71" i="3" s="1"/>
  <c r="CW71" i="1"/>
  <c r="S71" i="3" s="1"/>
  <c r="CV71" i="1"/>
  <c r="CU71" i="1"/>
  <c r="P71" i="3" s="1"/>
  <c r="CT71" i="1"/>
  <c r="O71" i="3" s="1"/>
  <c r="CS71" i="1"/>
  <c r="CR71" i="1"/>
  <c r="L71" i="3" s="1"/>
  <c r="CQ71" i="1"/>
  <c r="K71" i="3" s="1"/>
  <c r="DE70" i="1"/>
  <c r="DD70" i="1"/>
  <c r="AB70" i="3" s="1"/>
  <c r="DC70" i="1"/>
  <c r="AA70" i="3" s="1"/>
  <c r="CY70" i="1"/>
  <c r="CX70" i="1"/>
  <c r="T70" i="3" s="1"/>
  <c r="CW70" i="1"/>
  <c r="S70" i="3" s="1"/>
  <c r="CV70" i="1"/>
  <c r="CU70" i="1"/>
  <c r="P70" i="3" s="1"/>
  <c r="CT70" i="1"/>
  <c r="O70" i="3" s="1"/>
  <c r="CS70" i="1"/>
  <c r="CR70" i="1"/>
  <c r="L70" i="3" s="1"/>
  <c r="CQ70" i="1"/>
  <c r="K70" i="3" s="1"/>
  <c r="DE69" i="1"/>
  <c r="DD69" i="1"/>
  <c r="AB69" i="3" s="1"/>
  <c r="DC69" i="1"/>
  <c r="AA69" i="3" s="1"/>
  <c r="CY69" i="1"/>
  <c r="CX69" i="1"/>
  <c r="T69" i="3" s="1"/>
  <c r="CW69" i="1"/>
  <c r="S69" i="3" s="1"/>
  <c r="CV69" i="1"/>
  <c r="CU69" i="1"/>
  <c r="P69" i="3" s="1"/>
  <c r="CT69" i="1"/>
  <c r="O69" i="3" s="1"/>
  <c r="CS69" i="1"/>
  <c r="CR69" i="1"/>
  <c r="L69" i="3" s="1"/>
  <c r="CQ69" i="1"/>
  <c r="K69" i="3" s="1"/>
  <c r="DE68" i="1"/>
  <c r="DD68" i="1"/>
  <c r="AB68" i="3" s="1"/>
  <c r="DC68" i="1"/>
  <c r="AA68" i="3" s="1"/>
  <c r="CY68" i="1"/>
  <c r="CX68" i="1"/>
  <c r="T68" i="3" s="1"/>
  <c r="CW68" i="1"/>
  <c r="S68" i="3" s="1"/>
  <c r="CV68" i="1"/>
  <c r="CU68" i="1"/>
  <c r="P68" i="3" s="1"/>
  <c r="CT68" i="1"/>
  <c r="O68" i="3" s="1"/>
  <c r="CS68" i="1"/>
  <c r="CR68" i="1"/>
  <c r="L68" i="3" s="1"/>
  <c r="CQ68" i="1"/>
  <c r="K68" i="3" s="1"/>
  <c r="DE67" i="1"/>
  <c r="DD67" i="1"/>
  <c r="AB67" i="3" s="1"/>
  <c r="DC67" i="1"/>
  <c r="AA67" i="3" s="1"/>
  <c r="CY67" i="1"/>
  <c r="CX67" i="1"/>
  <c r="T67" i="3" s="1"/>
  <c r="CW67" i="1"/>
  <c r="S67" i="3" s="1"/>
  <c r="CV67" i="1"/>
  <c r="CU67" i="1"/>
  <c r="P67" i="3" s="1"/>
  <c r="CT67" i="1"/>
  <c r="O67" i="3" s="1"/>
  <c r="DE66" i="1"/>
  <c r="DD66" i="1"/>
  <c r="AB66" i="3" s="1"/>
  <c r="DC66" i="1"/>
  <c r="AA66" i="3" s="1"/>
  <c r="CY66" i="1"/>
  <c r="CX66" i="1"/>
  <c r="T66" i="3" s="1"/>
  <c r="CW66" i="1"/>
  <c r="S66" i="3" s="1"/>
  <c r="CV66" i="1"/>
  <c r="CU66" i="1"/>
  <c r="P66" i="3" s="1"/>
  <c r="CT66" i="1"/>
  <c r="O66" i="3" s="1"/>
  <c r="CS66" i="1"/>
  <c r="CR66" i="1"/>
  <c r="L66" i="3" s="1"/>
  <c r="CQ66" i="1"/>
  <c r="K66" i="3" s="1"/>
  <c r="DE65" i="1"/>
  <c r="DD65" i="1"/>
  <c r="AB65" i="3" s="1"/>
  <c r="DC65" i="1"/>
  <c r="AA65" i="3" s="1"/>
  <c r="CY65" i="1"/>
  <c r="CX65" i="1"/>
  <c r="CW65" i="1"/>
  <c r="CV65" i="1"/>
  <c r="CU65" i="1"/>
  <c r="P65" i="3" s="1"/>
  <c r="CT65" i="1"/>
  <c r="O65" i="3" s="1"/>
  <c r="CS65" i="1"/>
  <c r="CR65" i="1"/>
  <c r="L65" i="3" s="1"/>
  <c r="CQ65" i="1"/>
  <c r="K65" i="3" s="1"/>
  <c r="DE64" i="1"/>
  <c r="DD64" i="1"/>
  <c r="AB64" i="3" s="1"/>
  <c r="DC64" i="1"/>
  <c r="AA64" i="3" s="1"/>
  <c r="CY64" i="1"/>
  <c r="CX64" i="1"/>
  <c r="T64" i="3" s="1"/>
  <c r="CW64" i="1"/>
  <c r="S64" i="3" s="1"/>
  <c r="CV64" i="1"/>
  <c r="CU64" i="1"/>
  <c r="P64" i="3" s="1"/>
  <c r="CT64" i="1"/>
  <c r="O64" i="3" s="1"/>
  <c r="CS64" i="1"/>
  <c r="CR64" i="1"/>
  <c r="L64" i="3" s="1"/>
  <c r="CQ64" i="1"/>
  <c r="K64" i="3" s="1"/>
  <c r="DE63" i="1"/>
  <c r="DD63" i="1"/>
  <c r="AB63" i="3" s="1"/>
  <c r="DC63" i="1"/>
  <c r="AA63" i="3" s="1"/>
  <c r="CY63" i="1"/>
  <c r="CX63" i="1"/>
  <c r="T63" i="3" s="1"/>
  <c r="CW63" i="1"/>
  <c r="S63" i="3" s="1"/>
  <c r="CV63" i="1"/>
  <c r="CU63" i="1"/>
  <c r="P63" i="3" s="1"/>
  <c r="CT63" i="1"/>
  <c r="O63" i="3" s="1"/>
  <c r="CS63" i="1"/>
  <c r="CR63" i="1"/>
  <c r="CQ63" i="1"/>
  <c r="DE62" i="1"/>
  <c r="DD62" i="1"/>
  <c r="AB62" i="3" s="1"/>
  <c r="DC62" i="1"/>
  <c r="AA62" i="3" s="1"/>
  <c r="CY62" i="1"/>
  <c r="CX62" i="1"/>
  <c r="T62" i="3" s="1"/>
  <c r="CW62" i="1"/>
  <c r="S62" i="3" s="1"/>
  <c r="CV62" i="1"/>
  <c r="CU62" i="1"/>
  <c r="P62" i="3" s="1"/>
  <c r="CT62" i="1"/>
  <c r="O62" i="3" s="1"/>
  <c r="DE61" i="1"/>
  <c r="DD61" i="1"/>
  <c r="AB61" i="3" s="1"/>
  <c r="DC61" i="1"/>
  <c r="AA61" i="3" s="1"/>
  <c r="CY61" i="1"/>
  <c r="CX61" i="1"/>
  <c r="T61" i="3" s="1"/>
  <c r="CW61" i="1"/>
  <c r="S61" i="3" s="1"/>
  <c r="CV61" i="1"/>
  <c r="CU61" i="1"/>
  <c r="P61" i="3" s="1"/>
  <c r="CT61" i="1"/>
  <c r="O61" i="3" s="1"/>
  <c r="CS61" i="1"/>
  <c r="CR61" i="1"/>
  <c r="L61" i="3" s="1"/>
  <c r="CQ61" i="1"/>
  <c r="K61" i="3" s="1"/>
  <c r="DE60" i="1"/>
  <c r="DD60" i="1"/>
  <c r="AB60" i="3" s="1"/>
  <c r="DC60" i="1"/>
  <c r="AA60" i="3" s="1"/>
  <c r="CY60" i="1"/>
  <c r="CX60" i="1"/>
  <c r="T60" i="3" s="1"/>
  <c r="CW60" i="1"/>
  <c r="S60" i="3" s="1"/>
  <c r="CV60" i="1"/>
  <c r="CU60" i="1"/>
  <c r="P60" i="3" s="1"/>
  <c r="CT60" i="1"/>
  <c r="O60" i="3" s="1"/>
  <c r="CS60" i="1"/>
  <c r="CR60" i="1"/>
  <c r="L60" i="3" s="1"/>
  <c r="CQ60" i="1"/>
  <c r="K60" i="3" s="1"/>
  <c r="DE59" i="1"/>
  <c r="DD59" i="1"/>
  <c r="AB59" i="3" s="1"/>
  <c r="DC59" i="1"/>
  <c r="AA59" i="3" s="1"/>
  <c r="CY59" i="1"/>
  <c r="CX59" i="1"/>
  <c r="T59" i="3" s="1"/>
  <c r="CW59" i="1"/>
  <c r="S59" i="3" s="1"/>
  <c r="CV59" i="1"/>
  <c r="CU59" i="1"/>
  <c r="P59" i="3" s="1"/>
  <c r="CT59" i="1"/>
  <c r="O59" i="3" s="1"/>
  <c r="CS59" i="1"/>
  <c r="CR59" i="1"/>
  <c r="L59" i="3" s="1"/>
  <c r="CQ59" i="1"/>
  <c r="K59" i="3" s="1"/>
  <c r="DE58" i="1"/>
  <c r="DD58" i="1"/>
  <c r="AB58" i="3" s="1"/>
  <c r="DC58" i="1"/>
  <c r="AA58" i="3" s="1"/>
  <c r="CY58" i="1"/>
  <c r="CX58" i="1"/>
  <c r="T58" i="3" s="1"/>
  <c r="CW58" i="1"/>
  <c r="S58" i="3" s="1"/>
  <c r="CV58" i="1"/>
  <c r="CU58" i="1"/>
  <c r="P58" i="3" s="1"/>
  <c r="CT58" i="1"/>
  <c r="O58" i="3" s="1"/>
  <c r="CS58" i="1"/>
  <c r="CR58" i="1"/>
  <c r="L58" i="3" s="1"/>
  <c r="CQ58" i="1"/>
  <c r="K58" i="3" s="1"/>
  <c r="BM85" i="1"/>
  <c r="AC85" i="3" s="1"/>
  <c r="BL85" i="1"/>
  <c r="BK85" i="1"/>
  <c r="BG85" i="1"/>
  <c r="U85" i="3" s="1"/>
  <c r="BF85" i="1"/>
  <c r="BE85" i="1"/>
  <c r="BD85" i="1"/>
  <c r="Q85" i="3" s="1"/>
  <c r="BC85" i="1"/>
  <c r="BB85" i="1"/>
  <c r="AU85" i="1"/>
  <c r="E85" i="3" s="1"/>
  <c r="AT85" i="1"/>
  <c r="AS85" i="1"/>
  <c r="BM84" i="1"/>
  <c r="AC84" i="3" s="1"/>
  <c r="BL84" i="1"/>
  <c r="BK84" i="1"/>
  <c r="BG84" i="1"/>
  <c r="U84" i="3" s="1"/>
  <c r="BF84" i="1"/>
  <c r="BE84" i="1"/>
  <c r="BD84" i="1"/>
  <c r="Q84" i="3" s="1"/>
  <c r="BC84" i="1"/>
  <c r="BB84" i="1"/>
  <c r="AU84" i="1"/>
  <c r="E84" i="3" s="1"/>
  <c r="AT84" i="1"/>
  <c r="AS84" i="1"/>
  <c r="BM83" i="1"/>
  <c r="AC83" i="3" s="1"/>
  <c r="BL83" i="1"/>
  <c r="BK83" i="1"/>
  <c r="BG83" i="1"/>
  <c r="U83" i="3" s="1"/>
  <c r="BF83" i="1"/>
  <c r="BE83" i="1"/>
  <c r="BD83" i="1"/>
  <c r="Q83" i="3" s="1"/>
  <c r="BC83" i="1"/>
  <c r="BB83" i="1"/>
  <c r="BA83" i="1"/>
  <c r="AZ83" i="1"/>
  <c r="AU83" i="1"/>
  <c r="E83" i="3" s="1"/>
  <c r="AT83" i="1"/>
  <c r="AS83" i="1"/>
  <c r="BM82" i="1"/>
  <c r="AC82" i="3" s="1"/>
  <c r="BL82" i="1"/>
  <c r="BK82" i="1"/>
  <c r="BG82" i="1"/>
  <c r="U82" i="3" s="1"/>
  <c r="BF82" i="1"/>
  <c r="BE82" i="1"/>
  <c r="BD82" i="1"/>
  <c r="Q82" i="3" s="1"/>
  <c r="BC82" i="1"/>
  <c r="BB82" i="1"/>
  <c r="BA82" i="1"/>
  <c r="AZ82" i="1"/>
  <c r="AU82" i="1"/>
  <c r="E82" i="3" s="1"/>
  <c r="AT82" i="1"/>
  <c r="AS82" i="1"/>
  <c r="BM81" i="1"/>
  <c r="AC81" i="3" s="1"/>
  <c r="BL81" i="1"/>
  <c r="BK81" i="1"/>
  <c r="BG81" i="1"/>
  <c r="U81" i="3" s="1"/>
  <c r="BF81" i="1"/>
  <c r="BE81" i="1"/>
  <c r="BD81" i="1"/>
  <c r="Q81" i="3" s="1"/>
  <c r="BC81" i="1"/>
  <c r="BB81" i="1"/>
  <c r="BA81" i="1"/>
  <c r="AZ81" i="1"/>
  <c r="AU81" i="1"/>
  <c r="E81" i="3" s="1"/>
  <c r="AT81" i="1"/>
  <c r="AS81" i="1"/>
  <c r="BM79" i="1"/>
  <c r="AC79" i="3" s="1"/>
  <c r="BL79" i="1"/>
  <c r="BK79" i="1"/>
  <c r="BG79" i="1"/>
  <c r="U79" i="3" s="1"/>
  <c r="BF79" i="1"/>
  <c r="BE79" i="1"/>
  <c r="BD79" i="1"/>
  <c r="Q79" i="3" s="1"/>
  <c r="BC79" i="1"/>
  <c r="BB79" i="1"/>
  <c r="BA79" i="1"/>
  <c r="AZ79" i="1"/>
  <c r="AU79" i="1"/>
  <c r="E79" i="3" s="1"/>
  <c r="AT79" i="1"/>
  <c r="AS79" i="1"/>
  <c r="BM77" i="1"/>
  <c r="AC77" i="3" s="1"/>
  <c r="BL77" i="1"/>
  <c r="BK77" i="1"/>
  <c r="BG77" i="1"/>
  <c r="U77" i="3" s="1"/>
  <c r="BF77" i="1"/>
  <c r="BE77" i="1"/>
  <c r="BD77" i="1"/>
  <c r="Q77" i="3" s="1"/>
  <c r="BC77" i="1"/>
  <c r="BB77" i="1"/>
  <c r="BA77" i="1"/>
  <c r="AZ77" i="1"/>
  <c r="AU77" i="1"/>
  <c r="E77" i="3" s="1"/>
  <c r="AT77" i="1"/>
  <c r="AS77" i="1"/>
  <c r="BM72" i="1"/>
  <c r="AC72" i="3" s="1"/>
  <c r="BL72" i="1"/>
  <c r="BK72" i="1"/>
  <c r="BG72" i="1"/>
  <c r="U72" i="3" s="1"/>
  <c r="BF72" i="1"/>
  <c r="BE72" i="1"/>
  <c r="BD72" i="1"/>
  <c r="Q72" i="3" s="1"/>
  <c r="BC72" i="1"/>
  <c r="BB72" i="1"/>
  <c r="BA72" i="1"/>
  <c r="M72" i="3" s="1"/>
  <c r="AZ72" i="1"/>
  <c r="AY72" i="1"/>
  <c r="AU72" i="1"/>
  <c r="E72" i="3" s="1"/>
  <c r="AT72" i="1"/>
  <c r="AS72" i="1"/>
  <c r="BM71" i="1"/>
  <c r="AC71" i="3" s="1"/>
  <c r="BL71" i="1"/>
  <c r="BK71" i="1"/>
  <c r="BG71" i="1"/>
  <c r="U71" i="3" s="1"/>
  <c r="BF71" i="1"/>
  <c r="BE71" i="1"/>
  <c r="BD71" i="1"/>
  <c r="Q71" i="3" s="1"/>
  <c r="BC71" i="1"/>
  <c r="BB71" i="1"/>
  <c r="BA71" i="1"/>
  <c r="M71" i="3" s="1"/>
  <c r="AZ71" i="1"/>
  <c r="AY71" i="1"/>
  <c r="AU71" i="1"/>
  <c r="E71" i="3" s="1"/>
  <c r="AT71" i="1"/>
  <c r="AS71" i="1"/>
  <c r="BM70" i="1"/>
  <c r="AC70" i="3" s="1"/>
  <c r="BL70" i="1"/>
  <c r="BK70" i="1"/>
  <c r="BG70" i="1"/>
  <c r="U70" i="3" s="1"/>
  <c r="BF70" i="1"/>
  <c r="BE70" i="1"/>
  <c r="BD70" i="1"/>
  <c r="Q70" i="3" s="1"/>
  <c r="BC70" i="1"/>
  <c r="BB70" i="1"/>
  <c r="BA70" i="1"/>
  <c r="M70" i="3" s="1"/>
  <c r="AZ70" i="1"/>
  <c r="AY70" i="1"/>
  <c r="AU70" i="1"/>
  <c r="E70" i="3" s="1"/>
  <c r="AT70" i="1"/>
  <c r="AS70" i="1"/>
  <c r="BM69" i="1"/>
  <c r="AC69" i="3" s="1"/>
  <c r="BL69" i="1"/>
  <c r="BK69" i="1"/>
  <c r="BG69" i="1"/>
  <c r="U69" i="3" s="1"/>
  <c r="BF69" i="1"/>
  <c r="BE69" i="1"/>
  <c r="BD69" i="1"/>
  <c r="Q69" i="3" s="1"/>
  <c r="BC69" i="1"/>
  <c r="BB69" i="1"/>
  <c r="BA69" i="1"/>
  <c r="M69" i="3" s="1"/>
  <c r="AZ69" i="1"/>
  <c r="AY69" i="1"/>
  <c r="AU69" i="1"/>
  <c r="E69" i="3" s="1"/>
  <c r="AT69" i="1"/>
  <c r="AS69" i="1"/>
  <c r="BM68" i="1"/>
  <c r="AC68" i="3" s="1"/>
  <c r="BL68" i="1"/>
  <c r="BK68" i="1"/>
  <c r="BG68" i="1"/>
  <c r="U68" i="3" s="1"/>
  <c r="BF68" i="1"/>
  <c r="BE68" i="1"/>
  <c r="BD68" i="1"/>
  <c r="Q68" i="3" s="1"/>
  <c r="BC68" i="1"/>
  <c r="BB68" i="1"/>
  <c r="BA68" i="1"/>
  <c r="M68" i="3" s="1"/>
  <c r="AZ68" i="1"/>
  <c r="AY68" i="1"/>
  <c r="AU68" i="1"/>
  <c r="E68" i="3" s="1"/>
  <c r="AT68" i="1"/>
  <c r="AS68" i="1"/>
  <c r="BM67" i="1"/>
  <c r="AC67" i="3" s="1"/>
  <c r="BL67" i="1"/>
  <c r="BK67" i="1"/>
  <c r="BG67" i="1"/>
  <c r="U67" i="3" s="1"/>
  <c r="BF67" i="1"/>
  <c r="BE67" i="1"/>
  <c r="BD67" i="1"/>
  <c r="Q67" i="3" s="1"/>
  <c r="BC67" i="1"/>
  <c r="BB67" i="1"/>
  <c r="AU67" i="1"/>
  <c r="E67" i="3" s="1"/>
  <c r="AT67" i="1"/>
  <c r="AS67" i="1"/>
  <c r="BM66" i="1"/>
  <c r="AC66" i="3" s="1"/>
  <c r="BL66" i="1"/>
  <c r="BK66" i="1"/>
  <c r="BG66" i="1"/>
  <c r="U66" i="3" s="1"/>
  <c r="BF66" i="1"/>
  <c r="BE66" i="1"/>
  <c r="BD66" i="1"/>
  <c r="Q66" i="3" s="1"/>
  <c r="BC66" i="1"/>
  <c r="BB66" i="1"/>
  <c r="BA66" i="1"/>
  <c r="M66" i="3" s="1"/>
  <c r="AZ66" i="1"/>
  <c r="AY66" i="1"/>
  <c r="AU66" i="1"/>
  <c r="E66" i="3" s="1"/>
  <c r="AT66" i="1"/>
  <c r="AS66" i="1"/>
  <c r="BM65" i="1"/>
  <c r="AC65" i="3" s="1"/>
  <c r="BL65" i="1"/>
  <c r="BK65" i="1"/>
  <c r="BG65" i="1"/>
  <c r="U65" i="3" s="1"/>
  <c r="BF65" i="1"/>
  <c r="BE65" i="1"/>
  <c r="BD65" i="1"/>
  <c r="Q65" i="3" s="1"/>
  <c r="R65" i="3" s="1"/>
  <c r="BC65" i="1"/>
  <c r="BB65" i="1"/>
  <c r="BA65" i="1"/>
  <c r="M65" i="3" s="1"/>
  <c r="AZ65" i="1"/>
  <c r="AY65" i="1"/>
  <c r="AU65" i="1"/>
  <c r="E65" i="3" s="1"/>
  <c r="AT65" i="1"/>
  <c r="AS65" i="1"/>
  <c r="BM64" i="1"/>
  <c r="AC64" i="3" s="1"/>
  <c r="BL64" i="1"/>
  <c r="BK64" i="1"/>
  <c r="BG64" i="1"/>
  <c r="U64" i="3" s="1"/>
  <c r="BF64" i="1"/>
  <c r="BE64" i="1"/>
  <c r="BD64" i="1"/>
  <c r="Q64" i="3" s="1"/>
  <c r="BC64" i="1"/>
  <c r="BB64" i="1"/>
  <c r="BA64" i="1"/>
  <c r="M64" i="3" s="1"/>
  <c r="AZ64" i="1"/>
  <c r="AY64" i="1"/>
  <c r="AU64" i="1"/>
  <c r="E64" i="3" s="1"/>
  <c r="AT64" i="1"/>
  <c r="AS64" i="1"/>
  <c r="BM63" i="1"/>
  <c r="AC63" i="3" s="1"/>
  <c r="BL63" i="1"/>
  <c r="BK63" i="1"/>
  <c r="BG63" i="1"/>
  <c r="U63" i="3" s="1"/>
  <c r="BF63" i="1"/>
  <c r="BE63" i="1"/>
  <c r="BD63" i="1"/>
  <c r="Q63" i="3" s="1"/>
  <c r="BC63" i="1"/>
  <c r="BB63" i="1"/>
  <c r="BA63" i="1"/>
  <c r="AZ63" i="1"/>
  <c r="AY63" i="1"/>
  <c r="AU63" i="1"/>
  <c r="E63" i="3" s="1"/>
  <c r="AT63" i="1"/>
  <c r="AS63" i="1"/>
  <c r="BM62" i="1"/>
  <c r="AC62" i="3" s="1"/>
  <c r="BL62" i="1"/>
  <c r="BK62" i="1"/>
  <c r="BG62" i="1"/>
  <c r="U62" i="3" s="1"/>
  <c r="BF62" i="1"/>
  <c r="BE62" i="1"/>
  <c r="BD62" i="1"/>
  <c r="Q62" i="3" s="1"/>
  <c r="BC62" i="1"/>
  <c r="BB62" i="1"/>
  <c r="AU62" i="1"/>
  <c r="E62" i="3" s="1"/>
  <c r="AT62" i="1"/>
  <c r="AS62" i="1"/>
  <c r="BM61" i="1"/>
  <c r="AC61" i="3" s="1"/>
  <c r="BL61" i="1"/>
  <c r="BK61" i="1"/>
  <c r="BG61" i="1"/>
  <c r="U61" i="3" s="1"/>
  <c r="BF61" i="1"/>
  <c r="BE61" i="1"/>
  <c r="BD61" i="1"/>
  <c r="Q61" i="3" s="1"/>
  <c r="BC61" i="1"/>
  <c r="BB61" i="1"/>
  <c r="BA61" i="1"/>
  <c r="M61" i="3" s="1"/>
  <c r="AZ61" i="1"/>
  <c r="AY61" i="1"/>
  <c r="AU61" i="1"/>
  <c r="E61" i="3" s="1"/>
  <c r="AT61" i="1"/>
  <c r="AS61" i="1"/>
  <c r="BM60" i="1"/>
  <c r="AC60" i="3" s="1"/>
  <c r="BL60" i="1"/>
  <c r="BK60" i="1"/>
  <c r="BG60" i="1"/>
  <c r="U60" i="3" s="1"/>
  <c r="BF60" i="1"/>
  <c r="BE60" i="1"/>
  <c r="BD60" i="1"/>
  <c r="Q60" i="3" s="1"/>
  <c r="BC60" i="1"/>
  <c r="BB60" i="1"/>
  <c r="BA60" i="1"/>
  <c r="M60" i="3" s="1"/>
  <c r="AZ60" i="1"/>
  <c r="AY60" i="1"/>
  <c r="AU60" i="1"/>
  <c r="E60" i="3" s="1"/>
  <c r="F60" i="3" s="1"/>
  <c r="AT60" i="1"/>
  <c r="AS60" i="1"/>
  <c r="BM59" i="1"/>
  <c r="AC59" i="3" s="1"/>
  <c r="BL59" i="1"/>
  <c r="BK59" i="1"/>
  <c r="BG59" i="1"/>
  <c r="U59" i="3" s="1"/>
  <c r="BF59" i="1"/>
  <c r="BE59" i="1"/>
  <c r="BD59" i="1"/>
  <c r="Q59" i="3" s="1"/>
  <c r="BC59" i="1"/>
  <c r="BB59" i="1"/>
  <c r="BA59" i="1"/>
  <c r="M59" i="3" s="1"/>
  <c r="AZ59" i="1"/>
  <c r="AY59" i="1"/>
  <c r="AU59" i="1"/>
  <c r="E59" i="3" s="1"/>
  <c r="AT59" i="1"/>
  <c r="AS59" i="1"/>
  <c r="BM58" i="1"/>
  <c r="AC58" i="3" s="1"/>
  <c r="BL58" i="1"/>
  <c r="BK58" i="1"/>
  <c r="BG58" i="1"/>
  <c r="U58" i="3" s="1"/>
  <c r="BF58" i="1"/>
  <c r="BE58" i="1"/>
  <c r="BD58" i="1"/>
  <c r="Q58" i="3" s="1"/>
  <c r="BC58" i="1"/>
  <c r="BB58" i="1"/>
  <c r="BA58" i="1"/>
  <c r="M58" i="3" s="1"/>
  <c r="AZ58" i="1"/>
  <c r="AY58" i="1"/>
  <c r="AU58" i="1"/>
  <c r="E58" i="3" s="1"/>
  <c r="AT58" i="1"/>
  <c r="AS58" i="1"/>
  <c r="AI59" i="1"/>
  <c r="D59" i="2" s="1"/>
  <c r="R59" i="2" s="1"/>
  <c r="AB59" i="1"/>
  <c r="AK59" i="1" s="1"/>
  <c r="F59" i="2" s="1"/>
  <c r="T59" i="2" s="1"/>
  <c r="AC59" i="1"/>
  <c r="AL59" i="1" s="1"/>
  <c r="G59" i="2" s="1"/>
  <c r="U59" i="2" s="1"/>
  <c r="AE59" i="1"/>
  <c r="AN59" i="1" s="1"/>
  <c r="I59" i="2" s="1"/>
  <c r="W59" i="2" s="1"/>
  <c r="AF59" i="1"/>
  <c r="AO59" i="1" s="1"/>
  <c r="J59" i="2" s="1"/>
  <c r="X59" i="2" s="1"/>
  <c r="AQ59" i="1"/>
  <c r="L59" i="2" s="1"/>
  <c r="Z59" i="2" s="1"/>
  <c r="Z60" i="1"/>
  <c r="AI60" i="1" s="1"/>
  <c r="D60" i="2" s="1"/>
  <c r="AB60" i="1"/>
  <c r="AK60" i="1" s="1"/>
  <c r="F60" i="2" s="1"/>
  <c r="AC60" i="1"/>
  <c r="AL60" i="1" s="1"/>
  <c r="G60" i="2" s="1"/>
  <c r="AE60" i="1"/>
  <c r="AN60" i="1" s="1"/>
  <c r="I60" i="2" s="1"/>
  <c r="W60" i="2" s="1"/>
  <c r="AF60" i="1"/>
  <c r="AO60" i="1" s="1"/>
  <c r="J60" i="2" s="1"/>
  <c r="AQ60" i="1"/>
  <c r="L60" i="2" s="1"/>
  <c r="Z61" i="1"/>
  <c r="AI61" i="1" s="1"/>
  <c r="D61" i="2" s="1"/>
  <c r="AB61" i="1"/>
  <c r="AK61" i="1" s="1"/>
  <c r="F61" i="2" s="1"/>
  <c r="AC61" i="1"/>
  <c r="AL61" i="1" s="1"/>
  <c r="G61" i="2" s="1"/>
  <c r="AE61" i="1"/>
  <c r="AN61" i="1" s="1"/>
  <c r="I61" i="2" s="1"/>
  <c r="AF61" i="1"/>
  <c r="AO61" i="1" s="1"/>
  <c r="J61" i="2" s="1"/>
  <c r="AQ61" i="1"/>
  <c r="L61" i="2" s="1"/>
  <c r="Z63" i="1"/>
  <c r="AI63" i="1" s="1"/>
  <c r="D63" i="2" s="1"/>
  <c r="R63" i="2" s="1"/>
  <c r="AB63" i="1"/>
  <c r="AK63" i="1" s="1"/>
  <c r="F63" i="2" s="1"/>
  <c r="T63" i="2" s="1"/>
  <c r="AC63" i="1"/>
  <c r="AL63" i="1" s="1"/>
  <c r="G63" i="2" s="1"/>
  <c r="U63" i="2" s="1"/>
  <c r="AE63" i="1"/>
  <c r="AN63" i="1" s="1"/>
  <c r="I63" i="2" s="1"/>
  <c r="W63" i="2" s="1"/>
  <c r="AF63" i="1"/>
  <c r="AO63" i="1" s="1"/>
  <c r="J63" i="2" s="1"/>
  <c r="X63" i="2" s="1"/>
  <c r="AQ63" i="1"/>
  <c r="L63" i="2" s="1"/>
  <c r="Z63" i="2" s="1"/>
  <c r="Z64" i="1"/>
  <c r="AI64" i="1" s="1"/>
  <c r="D64" i="2" s="1"/>
  <c r="AB64" i="1"/>
  <c r="AK64" i="1" s="1"/>
  <c r="F64" i="2" s="1"/>
  <c r="T64" i="2" s="1"/>
  <c r="AC64" i="1"/>
  <c r="AL64" i="1" s="1"/>
  <c r="G64" i="2" s="1"/>
  <c r="AE64" i="1"/>
  <c r="AN64" i="1" s="1"/>
  <c r="I64" i="2" s="1"/>
  <c r="AF64" i="1"/>
  <c r="AO64" i="1" s="1"/>
  <c r="J64" i="2" s="1"/>
  <c r="AQ64" i="1"/>
  <c r="L64" i="2" s="1"/>
  <c r="Z65" i="1"/>
  <c r="AI65" i="1" s="1"/>
  <c r="D65" i="2" s="1"/>
  <c r="AB65" i="1"/>
  <c r="AK65" i="1" s="1"/>
  <c r="F65" i="2" s="1"/>
  <c r="AC65" i="1"/>
  <c r="AL65" i="1" s="1"/>
  <c r="G65" i="2" s="1"/>
  <c r="AE65" i="1"/>
  <c r="AN65" i="1" s="1"/>
  <c r="I65" i="2" s="1"/>
  <c r="AF65" i="1"/>
  <c r="AO65" i="1" s="1"/>
  <c r="J65" i="2" s="1"/>
  <c r="AQ65" i="1"/>
  <c r="L65" i="2" s="1"/>
  <c r="Z66" i="1"/>
  <c r="AI66" i="1" s="1"/>
  <c r="D66" i="2" s="1"/>
  <c r="AB66" i="1"/>
  <c r="AK66" i="1" s="1"/>
  <c r="F66" i="2" s="1"/>
  <c r="T67" i="2" s="1"/>
  <c r="AC66" i="1"/>
  <c r="AL66" i="1" s="1"/>
  <c r="G66" i="2" s="1"/>
  <c r="AE66" i="1"/>
  <c r="AN66" i="1" s="1"/>
  <c r="I66" i="2" s="1"/>
  <c r="AF66" i="1"/>
  <c r="AO66" i="1" s="1"/>
  <c r="J66" i="2" s="1"/>
  <c r="X67" i="2" s="1"/>
  <c r="AQ66" i="1"/>
  <c r="L66" i="2" s="1"/>
  <c r="Z67" i="1"/>
  <c r="AI67" i="1" s="1"/>
  <c r="D67" i="2" s="1"/>
  <c r="AB67" i="1"/>
  <c r="AC67" i="1"/>
  <c r="AL67" i="1" s="1"/>
  <c r="G67" i="2" s="1"/>
  <c r="AE67" i="1"/>
  <c r="AN67" i="1" s="1"/>
  <c r="I67" i="2" s="1"/>
  <c r="AO67" i="1"/>
  <c r="AQ67" i="1"/>
  <c r="L67" i="2" s="1"/>
  <c r="Z68" i="1"/>
  <c r="AI68" i="1" s="1"/>
  <c r="D68" i="2" s="1"/>
  <c r="AB68" i="1"/>
  <c r="AK68" i="1" s="1"/>
  <c r="F68" i="2" s="1"/>
  <c r="T68" i="2" s="1"/>
  <c r="AC68" i="1"/>
  <c r="AL68" i="1" s="1"/>
  <c r="G68" i="2" s="1"/>
  <c r="AE68" i="1"/>
  <c r="AN68" i="1" s="1"/>
  <c r="I68" i="2" s="1"/>
  <c r="AF68" i="1"/>
  <c r="AO68" i="1" s="1"/>
  <c r="J68" i="2" s="1"/>
  <c r="X68" i="2" s="1"/>
  <c r="AQ68" i="1"/>
  <c r="L68" i="2" s="1"/>
  <c r="Z69" i="1"/>
  <c r="AI69" i="1" s="1"/>
  <c r="D69" i="2" s="1"/>
  <c r="AB69" i="1"/>
  <c r="AK69" i="1" s="1"/>
  <c r="F69" i="2" s="1"/>
  <c r="AC69" i="1"/>
  <c r="AL69" i="1" s="1"/>
  <c r="G69" i="2" s="1"/>
  <c r="AE69" i="1"/>
  <c r="AN69" i="1" s="1"/>
  <c r="I69" i="2" s="1"/>
  <c r="AF69" i="1"/>
  <c r="AO69" i="1" s="1"/>
  <c r="J69" i="2" s="1"/>
  <c r="AQ69" i="1"/>
  <c r="L69" i="2" s="1"/>
  <c r="Z70" i="1"/>
  <c r="AI70" i="1" s="1"/>
  <c r="D70" i="2" s="1"/>
  <c r="AB70" i="1"/>
  <c r="AK70" i="1" s="1"/>
  <c r="F70" i="2" s="1"/>
  <c r="AC70" i="1"/>
  <c r="AL70" i="1" s="1"/>
  <c r="G70" i="2" s="1"/>
  <c r="AE70" i="1"/>
  <c r="AN70" i="1" s="1"/>
  <c r="I70" i="2" s="1"/>
  <c r="AF70" i="1"/>
  <c r="AO70" i="1" s="1"/>
  <c r="J70" i="2" s="1"/>
  <c r="AQ70" i="1"/>
  <c r="L70" i="2" s="1"/>
  <c r="Z71" i="1"/>
  <c r="AI71" i="1" s="1"/>
  <c r="D71" i="2" s="1"/>
  <c r="AB71" i="1"/>
  <c r="AK71" i="1" s="1"/>
  <c r="F71" i="2" s="1"/>
  <c r="AC71" i="1"/>
  <c r="AL71" i="1" s="1"/>
  <c r="G71" i="2" s="1"/>
  <c r="AE71" i="1"/>
  <c r="AN71" i="1" s="1"/>
  <c r="I71" i="2" s="1"/>
  <c r="AF71" i="1"/>
  <c r="AO71" i="1" s="1"/>
  <c r="J71" i="2" s="1"/>
  <c r="AQ71" i="1"/>
  <c r="L71" i="2" s="1"/>
  <c r="Z77" i="1"/>
  <c r="AI77" i="1" s="1"/>
  <c r="D77" i="2" s="1"/>
  <c r="AK77" i="1"/>
  <c r="AC77" i="1"/>
  <c r="AL77" i="1" s="1"/>
  <c r="G77" i="2" s="1"/>
  <c r="AE77" i="1"/>
  <c r="AN77" i="1" s="1"/>
  <c r="I77" i="2" s="1"/>
  <c r="AO77" i="1"/>
  <c r="AQ77" i="1"/>
  <c r="L77" i="2" s="1"/>
  <c r="Z79" i="1"/>
  <c r="AI79" i="1" s="1"/>
  <c r="D79" i="2" s="1"/>
  <c r="R79" i="2" s="1"/>
  <c r="AC79" i="1"/>
  <c r="AL79" i="1" s="1"/>
  <c r="G79" i="2" s="1"/>
  <c r="AE79" i="1"/>
  <c r="AN79" i="1" s="1"/>
  <c r="I79" i="2" s="1"/>
  <c r="AO79" i="1"/>
  <c r="AQ79" i="1"/>
  <c r="L79" i="2" s="1"/>
  <c r="Z80" i="1"/>
  <c r="AI80" i="1" s="1"/>
  <c r="D80" i="2" s="1"/>
  <c r="Z81" i="1"/>
  <c r="AI81" i="1" s="1"/>
  <c r="D81" i="2" s="1"/>
  <c r="AK81" i="1"/>
  <c r="AC81" i="1"/>
  <c r="AL81" i="1" s="1"/>
  <c r="G81" i="2" s="1"/>
  <c r="U81" i="2" s="1"/>
  <c r="AE81" i="1"/>
  <c r="AN81" i="1" s="1"/>
  <c r="I81" i="2" s="1"/>
  <c r="W81" i="2" s="1"/>
  <c r="AO81" i="1"/>
  <c r="AQ81" i="1"/>
  <c r="L81" i="2" s="1"/>
  <c r="Z81" i="2" s="1"/>
  <c r="Z82" i="1"/>
  <c r="AI82" i="1" s="1"/>
  <c r="D82" i="2" s="1"/>
  <c r="AK82" i="1"/>
  <c r="AC82" i="1"/>
  <c r="AL82" i="1" s="1"/>
  <c r="G82" i="2" s="1"/>
  <c r="AE82" i="1"/>
  <c r="AN82" i="1" s="1"/>
  <c r="I82" i="2" s="1"/>
  <c r="AO82" i="1"/>
  <c r="AQ82" i="1"/>
  <c r="L82" i="2" s="1"/>
  <c r="Z83" i="1"/>
  <c r="AI83" i="1" s="1"/>
  <c r="D83" i="2" s="1"/>
  <c r="AK83" i="1"/>
  <c r="AC83" i="1"/>
  <c r="AL83" i="1" s="1"/>
  <c r="G83" i="2" s="1"/>
  <c r="AE83" i="1"/>
  <c r="AN83" i="1" s="1"/>
  <c r="I83" i="2" s="1"/>
  <c r="AO83" i="1"/>
  <c r="AQ83" i="1"/>
  <c r="L83" i="2" s="1"/>
  <c r="Z84" i="1"/>
  <c r="AI84" i="1" s="1"/>
  <c r="D84" i="2" s="1"/>
  <c r="AK84" i="1"/>
  <c r="AC84" i="1"/>
  <c r="AL84" i="1" s="1"/>
  <c r="G84" i="2" s="1"/>
  <c r="AE84" i="1"/>
  <c r="AN84" i="1" s="1"/>
  <c r="I84" i="2" s="1"/>
  <c r="AO84" i="1"/>
  <c r="AQ84" i="1"/>
  <c r="L84" i="2" s="1"/>
  <c r="Z85" i="1"/>
  <c r="AI85" i="1" s="1"/>
  <c r="D85" i="2" s="1"/>
  <c r="AK85" i="1"/>
  <c r="AC85" i="1"/>
  <c r="AL85" i="1" s="1"/>
  <c r="G85" i="2" s="1"/>
  <c r="AE85" i="1"/>
  <c r="AN85" i="1" s="1"/>
  <c r="I85" i="2" s="1"/>
  <c r="AQ85" i="1"/>
  <c r="L85" i="2" s="1"/>
  <c r="B85" i="1"/>
  <c r="B84" i="1"/>
  <c r="B83" i="1"/>
  <c r="B82" i="1"/>
  <c r="B81" i="1"/>
  <c r="B80" i="1"/>
  <c r="B79" i="1"/>
  <c r="B77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O10" i="3"/>
  <c r="P10" i="3"/>
  <c r="Q10" i="3"/>
  <c r="A10" i="2"/>
  <c r="U84" i="2" l="1"/>
  <c r="R83" i="2"/>
  <c r="R80" i="2"/>
  <c r="V60" i="3"/>
  <c r="U82" i="2"/>
  <c r="R81" i="2"/>
  <c r="R61" i="3"/>
  <c r="AD69" i="3"/>
  <c r="Z82" i="2"/>
  <c r="W67" i="2"/>
  <c r="Z64" i="2"/>
  <c r="N61" i="3"/>
  <c r="N66" i="3"/>
  <c r="V69" i="3"/>
  <c r="Z84" i="2"/>
  <c r="W83" i="2"/>
  <c r="R80" i="3"/>
  <c r="F61" i="3"/>
  <c r="AD61" i="3"/>
  <c r="V80" i="3"/>
  <c r="R63" i="3"/>
  <c r="R62" i="3"/>
  <c r="F69" i="3"/>
  <c r="W79" i="2"/>
  <c r="W80" i="2"/>
  <c r="V79" i="3"/>
  <c r="V81" i="3"/>
  <c r="AD82" i="3"/>
  <c r="R84" i="3"/>
  <c r="V85" i="3"/>
  <c r="F83" i="3"/>
  <c r="R85" i="2"/>
  <c r="R86" i="2"/>
  <c r="W85" i="2"/>
  <c r="W86" i="2"/>
  <c r="U79" i="2"/>
  <c r="U80" i="2"/>
  <c r="R81" i="3"/>
  <c r="V82" i="3"/>
  <c r="AD83" i="3"/>
  <c r="R85" i="3"/>
  <c r="F84" i="3"/>
  <c r="F80" i="3"/>
  <c r="A82" i="2"/>
  <c r="A82" i="3"/>
  <c r="Z85" i="2"/>
  <c r="Z86" i="2"/>
  <c r="U85" i="2"/>
  <c r="U86" i="2"/>
  <c r="U83" i="2"/>
  <c r="Z79" i="2"/>
  <c r="Z80" i="2"/>
  <c r="U70" i="2"/>
  <c r="R69" i="2"/>
  <c r="R60" i="2"/>
  <c r="R82" i="3"/>
  <c r="V83" i="3"/>
  <c r="AD84" i="3"/>
  <c r="F85" i="3"/>
  <c r="F81" i="3"/>
  <c r="A83" i="2"/>
  <c r="A83" i="3"/>
  <c r="A80" i="3"/>
  <c r="A80" i="2"/>
  <c r="R84" i="2"/>
  <c r="R82" i="2"/>
  <c r="A81" i="3"/>
  <c r="A81" i="2"/>
  <c r="A85" i="3"/>
  <c r="A85" i="2"/>
  <c r="W84" i="2"/>
  <c r="Z83" i="2"/>
  <c r="W82" i="2"/>
  <c r="V77" i="3"/>
  <c r="AD80" i="3"/>
  <c r="AD81" i="3"/>
  <c r="R83" i="3"/>
  <c r="V84" i="3"/>
  <c r="AD85" i="3"/>
  <c r="F82" i="3"/>
  <c r="F77" i="3"/>
  <c r="A84" i="3"/>
  <c r="A84" i="2"/>
  <c r="AD58" i="3"/>
  <c r="R78" i="2"/>
  <c r="R77" i="2"/>
  <c r="R69" i="3"/>
  <c r="R79" i="3"/>
  <c r="A77" i="2"/>
  <c r="A77" i="3"/>
  <c r="R77" i="3"/>
  <c r="F79" i="3"/>
  <c r="W70" i="2"/>
  <c r="T69" i="2"/>
  <c r="Z67" i="2"/>
  <c r="Z77" i="2"/>
  <c r="Z78" i="2"/>
  <c r="N60" i="3"/>
  <c r="AD60" i="3"/>
  <c r="AD77" i="3"/>
  <c r="W78" i="2"/>
  <c r="W77" i="2"/>
  <c r="Z69" i="2"/>
  <c r="W68" i="2"/>
  <c r="A79" i="3"/>
  <c r="A79" i="2"/>
  <c r="U77" i="2"/>
  <c r="U78" i="2"/>
  <c r="X69" i="2"/>
  <c r="U68" i="2"/>
  <c r="R67" i="2"/>
  <c r="U64" i="2"/>
  <c r="X60" i="2"/>
  <c r="N58" i="3"/>
  <c r="R66" i="3"/>
  <c r="AD79" i="3"/>
  <c r="F58" i="3"/>
  <c r="R60" i="3"/>
  <c r="F62" i="3"/>
  <c r="F63" i="3"/>
  <c r="AD63" i="3"/>
  <c r="V58" i="3"/>
  <c r="AD62" i="3"/>
  <c r="V63" i="3"/>
  <c r="F66" i="3"/>
  <c r="AD66" i="3"/>
  <c r="R58" i="3"/>
  <c r="V61" i="3"/>
  <c r="V62" i="3"/>
  <c r="AD65" i="3"/>
  <c r="V66" i="3"/>
  <c r="N69" i="3"/>
  <c r="A58" i="3"/>
  <c r="A58" i="2"/>
  <c r="X71" i="2"/>
  <c r="X72" i="2"/>
  <c r="R71" i="2"/>
  <c r="R72" i="2"/>
  <c r="U61" i="2"/>
  <c r="U62" i="2"/>
  <c r="R59" i="3"/>
  <c r="V64" i="3"/>
  <c r="AD67" i="3"/>
  <c r="N68" i="3"/>
  <c r="AD70" i="3"/>
  <c r="AD71" i="3"/>
  <c r="AD72" i="3"/>
  <c r="F70" i="3"/>
  <c r="A62" i="2"/>
  <c r="A62" i="3"/>
  <c r="A67" i="3"/>
  <c r="A67" i="2"/>
  <c r="A59" i="3"/>
  <c r="A59" i="2"/>
  <c r="A61" i="3"/>
  <c r="A61" i="2"/>
  <c r="A64" i="3"/>
  <c r="A64" i="2"/>
  <c r="A68" i="3"/>
  <c r="A68" i="2"/>
  <c r="A71" i="2"/>
  <c r="A71" i="3"/>
  <c r="W71" i="2"/>
  <c r="W72" i="2"/>
  <c r="Z70" i="2"/>
  <c r="T70" i="2"/>
  <c r="W69" i="2"/>
  <c r="Z68" i="2"/>
  <c r="Z61" i="2"/>
  <c r="Z62" i="2"/>
  <c r="T61" i="2"/>
  <c r="T62" i="2"/>
  <c r="N59" i="3"/>
  <c r="R64" i="3"/>
  <c r="V67" i="3"/>
  <c r="AD68" i="3"/>
  <c r="V70" i="3"/>
  <c r="V71" i="3"/>
  <c r="V72" i="3"/>
  <c r="F71" i="3"/>
  <c r="F68" i="3"/>
  <c r="F67" i="3"/>
  <c r="F59" i="3"/>
  <c r="A60" i="3"/>
  <c r="A60" i="2"/>
  <c r="A63" i="3"/>
  <c r="A63" i="2"/>
  <c r="A70" i="2"/>
  <c r="A70" i="3"/>
  <c r="A65" i="2"/>
  <c r="A65" i="3"/>
  <c r="A69" i="3"/>
  <c r="A69" i="2"/>
  <c r="A72" i="3"/>
  <c r="A72" i="2"/>
  <c r="U71" i="2"/>
  <c r="U72" i="2"/>
  <c r="X70" i="2"/>
  <c r="R70" i="2"/>
  <c r="U69" i="2"/>
  <c r="R68" i="2"/>
  <c r="U67" i="2"/>
  <c r="X64" i="2"/>
  <c r="R64" i="2"/>
  <c r="X61" i="2"/>
  <c r="X62" i="2"/>
  <c r="R61" i="2"/>
  <c r="R62" i="2"/>
  <c r="U60" i="2"/>
  <c r="AD59" i="3"/>
  <c r="N64" i="3"/>
  <c r="R67" i="3"/>
  <c r="V68" i="3"/>
  <c r="R70" i="3"/>
  <c r="R71" i="3"/>
  <c r="R72" i="3"/>
  <c r="F72" i="3"/>
  <c r="F64" i="3"/>
  <c r="A66" i="3"/>
  <c r="A66" i="2"/>
  <c r="Z71" i="2"/>
  <c r="Z72" i="2"/>
  <c r="T71" i="2"/>
  <c r="T72" i="2"/>
  <c r="W64" i="2"/>
  <c r="W62" i="2"/>
  <c r="W61" i="2"/>
  <c r="Z60" i="2"/>
  <c r="T60" i="2"/>
  <c r="V59" i="3"/>
  <c r="AD64" i="3"/>
  <c r="R68" i="3"/>
  <c r="N70" i="3"/>
  <c r="N71" i="3"/>
  <c r="N72" i="3"/>
  <c r="Z65" i="2"/>
  <c r="Z66" i="2"/>
  <c r="T65" i="2"/>
  <c r="T66" i="2"/>
  <c r="U65" i="2"/>
  <c r="U66" i="2"/>
  <c r="W65" i="2"/>
  <c r="W66" i="2"/>
  <c r="X65" i="2"/>
  <c r="X66" i="2"/>
  <c r="R65" i="2"/>
  <c r="R66" i="2"/>
  <c r="Z65" i="3"/>
  <c r="S65" i="3"/>
  <c r="F65" i="3"/>
  <c r="T65" i="3"/>
  <c r="N65" i="3"/>
  <c r="R11" i="3"/>
  <c r="R10" i="3"/>
  <c r="V10" i="3"/>
  <c r="F11" i="3"/>
  <c r="AD11" i="3"/>
  <c r="AD10" i="3"/>
  <c r="F10" i="3"/>
  <c r="N10" i="3"/>
  <c r="N11" i="3"/>
  <c r="CN36" i="1"/>
  <c r="G36" i="3" s="1"/>
  <c r="CV32" i="1"/>
  <c r="G21" i="2"/>
  <c r="U22" i="2" s="1"/>
  <c r="F21" i="2"/>
  <c r="T22" i="2" s="1"/>
  <c r="D21" i="2"/>
  <c r="R22" i="2" s="1"/>
  <c r="F20" i="2"/>
  <c r="F18" i="2"/>
  <c r="F19" i="2"/>
  <c r="G20" i="2"/>
  <c r="G18" i="2"/>
  <c r="G19" i="2"/>
  <c r="J20" i="2"/>
  <c r="J18" i="2"/>
  <c r="J19" i="2"/>
  <c r="D20" i="2"/>
  <c r="D19" i="2"/>
  <c r="D18" i="2"/>
  <c r="F15" i="2"/>
  <c r="F17" i="2"/>
  <c r="T17" i="2" s="1"/>
  <c r="F14" i="2"/>
  <c r="W17" i="2"/>
  <c r="W16" i="2"/>
  <c r="G14" i="2"/>
  <c r="G17" i="2"/>
  <c r="U17" i="2" s="1"/>
  <c r="G15" i="2"/>
  <c r="U16" i="2" s="1"/>
  <c r="J17" i="2"/>
  <c r="X17" i="2" s="1"/>
  <c r="J15" i="2"/>
  <c r="J14" i="2"/>
  <c r="D14" i="2"/>
  <c r="D17" i="2"/>
  <c r="R17" i="2" s="1"/>
  <c r="D15" i="2"/>
  <c r="G12" i="2"/>
  <c r="G13" i="2"/>
  <c r="I13" i="2"/>
  <c r="I12" i="2"/>
  <c r="F13" i="2"/>
  <c r="F12" i="2"/>
  <c r="J13" i="2"/>
  <c r="J12" i="2"/>
  <c r="D13" i="2"/>
  <c r="D12" i="2"/>
  <c r="G11" i="2"/>
  <c r="U11" i="2" s="1"/>
  <c r="S11" i="2"/>
  <c r="T11" i="3"/>
  <c r="S11" i="3"/>
  <c r="S13" i="2"/>
  <c r="Y11" i="2"/>
  <c r="Y12" i="2"/>
  <c r="S12" i="2"/>
  <c r="V13" i="2"/>
  <c r="V12" i="2"/>
  <c r="V11" i="2"/>
  <c r="Y13" i="2"/>
  <c r="D11" i="2"/>
  <c r="R11" i="2" s="1"/>
  <c r="J11" i="2"/>
  <c r="X11" i="2" s="1"/>
  <c r="L11" i="2"/>
  <c r="Z11" i="2" s="1"/>
  <c r="A11" i="2"/>
  <c r="I11" i="2"/>
  <c r="W11" i="2" s="1"/>
  <c r="F11" i="2"/>
  <c r="T11" i="2" s="1"/>
  <c r="V65" i="3" l="1"/>
  <c r="Z11" i="3"/>
  <c r="V11" i="3"/>
  <c r="CO36" i="1"/>
  <c r="H36" i="3" s="1"/>
  <c r="J36" i="3" s="1"/>
  <c r="CW32" i="1"/>
  <c r="R14" i="2"/>
  <c r="X14" i="2"/>
  <c r="U14" i="2"/>
  <c r="T19" i="2"/>
  <c r="R19" i="2"/>
  <c r="T14" i="2"/>
  <c r="U19" i="2"/>
  <c r="X15" i="2"/>
  <c r="X16" i="2"/>
  <c r="R15" i="2"/>
  <c r="R16" i="2"/>
  <c r="T15" i="2"/>
  <c r="T16" i="2"/>
  <c r="X18" i="2"/>
  <c r="X19" i="2"/>
  <c r="W14" i="2"/>
  <c r="R18" i="2"/>
  <c r="U15" i="2"/>
  <c r="W15" i="2"/>
  <c r="T18" i="2"/>
  <c r="U18" i="2"/>
  <c r="U12" i="2"/>
  <c r="R12" i="2"/>
  <c r="X13" i="2"/>
  <c r="R13" i="2"/>
  <c r="X21" i="2"/>
  <c r="X20" i="2"/>
  <c r="Z12" i="2"/>
  <c r="T13" i="2"/>
  <c r="X12" i="2"/>
  <c r="T20" i="2"/>
  <c r="W13" i="2"/>
  <c r="R21" i="2"/>
  <c r="U13" i="2"/>
  <c r="Z20" i="2"/>
  <c r="Z21" i="2"/>
  <c r="W20" i="2"/>
  <c r="W21" i="2"/>
  <c r="W12" i="2"/>
  <c r="Z13" i="2"/>
  <c r="R20" i="2"/>
  <c r="T12" i="2"/>
  <c r="U20" i="2"/>
  <c r="U21" i="2"/>
  <c r="T21" i="2"/>
  <c r="CP36" i="1" l="1"/>
  <c r="S32" i="3"/>
  <c r="CX32" i="1"/>
  <c r="CQ36" i="1" l="1"/>
  <c r="K36" i="3" s="1"/>
  <c r="CY32" i="1"/>
  <c r="T32" i="3"/>
  <c r="V32" i="3" s="1"/>
  <c r="CR36" i="1" l="1"/>
  <c r="L36" i="3" s="1"/>
  <c r="N36" i="3" s="1"/>
  <c r="CZ32" i="1"/>
  <c r="W32" i="3" s="1"/>
  <c r="CS36" i="1" l="1"/>
  <c r="DA32" i="1"/>
  <c r="X32" i="3" s="1"/>
  <c r="Z32" i="3" s="1"/>
  <c r="CT36" i="1" l="1"/>
  <c r="O36" i="3" s="1"/>
  <c r="DB32" i="1"/>
  <c r="CU36" i="1" l="1"/>
  <c r="P36" i="3" s="1"/>
  <c r="R36" i="3" s="1"/>
  <c r="DC32" i="1"/>
  <c r="AA32" i="3" s="1"/>
  <c r="CV36" i="1" l="1"/>
  <c r="DD32" i="1"/>
  <c r="AB32" i="3" s="1"/>
  <c r="AD32" i="3" s="1"/>
  <c r="CW36" i="1" l="1"/>
  <c r="DE32" i="1"/>
  <c r="S36" i="3" l="1"/>
  <c r="CX36" i="1"/>
  <c r="C32" i="3"/>
  <c r="T36" i="3" l="1"/>
  <c r="V36" i="3" s="1"/>
  <c r="CY36" i="1"/>
  <c r="D32" i="3"/>
  <c r="F32" i="3" s="1"/>
  <c r="CZ36" i="1" l="1"/>
  <c r="W36" i="3" s="1"/>
  <c r="G32" i="3"/>
  <c r="DA36" i="1" l="1"/>
  <c r="X36" i="3" s="1"/>
  <c r="Z36" i="3" s="1"/>
  <c r="H32" i="3"/>
  <c r="J32" i="3" s="1"/>
  <c r="DB36" i="1" l="1"/>
  <c r="DC36" i="1"/>
  <c r="AA36" i="3" s="1"/>
  <c r="AD36" i="3" s="1"/>
  <c r="L32" i="3"/>
  <c r="K32" i="3"/>
  <c r="N32" i="3" l="1"/>
</calcChain>
</file>

<file path=xl/sharedStrings.xml><?xml version="1.0" encoding="utf-8"?>
<sst xmlns="http://schemas.openxmlformats.org/spreadsheetml/2006/main" count="450" uniqueCount="107">
  <si>
    <t>PM</t>
  </si>
  <si>
    <t>Point bas gauche</t>
  </si>
  <si>
    <t>Point centre haut</t>
  </si>
  <si>
    <t>Point bas droit</t>
  </si>
  <si>
    <t>Différences</t>
  </si>
  <si>
    <t>X</t>
  </si>
  <si>
    <t>Y</t>
  </si>
  <si>
    <t>Z</t>
  </si>
  <si>
    <t>H</t>
  </si>
  <si>
    <t>Laboratoire ANDRA - Bure</t>
  </si>
  <si>
    <t>Temps (j)</t>
  </si>
  <si>
    <t>Date</t>
  </si>
  <si>
    <t>Toutes les valeurs de déplacement sont en mm</t>
  </si>
  <si>
    <t>Point haut gauche</t>
  </si>
  <si>
    <t>Point haut droit</t>
  </si>
  <si>
    <t>BG</t>
  </si>
  <si>
    <t>BD</t>
  </si>
  <si>
    <t>LB</t>
  </si>
  <si>
    <t>HG</t>
  </si>
  <si>
    <t>HD</t>
  </si>
  <si>
    <t>LH</t>
  </si>
  <si>
    <t>V</t>
  </si>
  <si>
    <r>
      <t>D</t>
    </r>
    <r>
      <rPr>
        <b/>
        <sz val="12"/>
        <rFont val="Arial"/>
        <family val="2"/>
      </rPr>
      <t>X</t>
    </r>
  </si>
  <si>
    <r>
      <t>D</t>
    </r>
    <r>
      <rPr>
        <b/>
        <sz val="12"/>
        <rFont val="Arial"/>
        <family val="2"/>
      </rPr>
      <t>Y</t>
    </r>
  </si>
  <si>
    <r>
      <t>D</t>
    </r>
    <r>
      <rPr>
        <b/>
        <sz val="12"/>
        <rFont val="Arial"/>
        <family val="2"/>
      </rPr>
      <t>Z</t>
    </r>
  </si>
  <si>
    <r>
      <t>D</t>
    </r>
    <r>
      <rPr>
        <b/>
        <sz val="12"/>
        <rFont val="Arial"/>
        <family val="2"/>
      </rPr>
      <t>H</t>
    </r>
  </si>
  <si>
    <r>
      <t>D</t>
    </r>
    <r>
      <rPr>
        <b/>
        <sz val="12"/>
        <rFont val="Arial"/>
        <family val="2"/>
      </rPr>
      <t>PM</t>
    </r>
  </si>
  <si>
    <r>
      <t>D</t>
    </r>
    <r>
      <rPr>
        <b/>
        <sz val="12"/>
        <rFont val="Arial"/>
        <family val="2"/>
      </rPr>
      <t>PM bas gauche</t>
    </r>
  </si>
  <si>
    <r>
      <t>D</t>
    </r>
    <r>
      <rPr>
        <b/>
        <sz val="12"/>
        <rFont val="Arial"/>
        <family val="2"/>
      </rPr>
      <t>H bas gauche</t>
    </r>
  </si>
  <si>
    <r>
      <t>D</t>
    </r>
    <r>
      <rPr>
        <b/>
        <sz val="12"/>
        <rFont val="Arial"/>
        <family val="2"/>
      </rPr>
      <t>Z bas gauche</t>
    </r>
  </si>
  <si>
    <r>
      <t>D</t>
    </r>
    <r>
      <rPr>
        <b/>
        <sz val="12"/>
        <rFont val="Arial"/>
        <family val="2"/>
      </rPr>
      <t>PM haut gauche</t>
    </r>
  </si>
  <si>
    <r>
      <t>D</t>
    </r>
    <r>
      <rPr>
        <b/>
        <sz val="12"/>
        <rFont val="Arial"/>
        <family val="2"/>
      </rPr>
      <t>H haut gauche</t>
    </r>
  </si>
  <si>
    <r>
      <t>D</t>
    </r>
    <r>
      <rPr>
        <b/>
        <sz val="12"/>
        <rFont val="Arial"/>
        <family val="2"/>
      </rPr>
      <t>Z haut gauche</t>
    </r>
  </si>
  <si>
    <r>
      <t>D</t>
    </r>
    <r>
      <rPr>
        <b/>
        <sz val="12"/>
        <rFont val="Arial"/>
        <family val="2"/>
      </rPr>
      <t>PM centre haut</t>
    </r>
  </si>
  <si>
    <r>
      <t>D</t>
    </r>
    <r>
      <rPr>
        <b/>
        <sz val="12"/>
        <rFont val="Arial"/>
        <family val="2"/>
      </rPr>
      <t>H centre haut</t>
    </r>
  </si>
  <si>
    <r>
      <t>D</t>
    </r>
    <r>
      <rPr>
        <b/>
        <sz val="12"/>
        <rFont val="Arial"/>
        <family val="2"/>
      </rPr>
      <t>Z centre haut</t>
    </r>
  </si>
  <si>
    <r>
      <t>D</t>
    </r>
    <r>
      <rPr>
        <b/>
        <sz val="12"/>
        <rFont val="Arial"/>
        <family val="2"/>
      </rPr>
      <t>PM haut droit</t>
    </r>
  </si>
  <si>
    <r>
      <t>D</t>
    </r>
    <r>
      <rPr>
        <b/>
        <sz val="12"/>
        <rFont val="Arial"/>
        <family val="2"/>
      </rPr>
      <t>H haut droit</t>
    </r>
  </si>
  <si>
    <r>
      <t>D</t>
    </r>
    <r>
      <rPr>
        <b/>
        <sz val="12"/>
        <rFont val="Arial"/>
        <family val="2"/>
      </rPr>
      <t>Z haut droit</t>
    </r>
  </si>
  <si>
    <r>
      <t>D</t>
    </r>
    <r>
      <rPr>
        <b/>
        <sz val="12"/>
        <rFont val="Arial"/>
        <family val="2"/>
      </rPr>
      <t>PM bas droit</t>
    </r>
  </si>
  <si>
    <r>
      <t>D</t>
    </r>
    <r>
      <rPr>
        <b/>
        <sz val="12"/>
        <rFont val="Arial"/>
        <family val="2"/>
      </rPr>
      <t>H bas droit</t>
    </r>
  </si>
  <si>
    <r>
      <t>D</t>
    </r>
    <r>
      <rPr>
        <b/>
        <sz val="12"/>
        <rFont val="Arial"/>
        <family val="2"/>
      </rPr>
      <t>Z bas droit</t>
    </r>
  </si>
  <si>
    <t>Distance au front</t>
  </si>
  <si>
    <t>Jours</t>
  </si>
  <si>
    <t>Front</t>
  </si>
  <si>
    <t>Dist</t>
  </si>
  <si>
    <t>Date point 0</t>
  </si>
  <si>
    <t>PM =</t>
  </si>
  <si>
    <t>Ecarts ( en mm )</t>
  </si>
  <si>
    <t>Vitesse de convergence ( en mm/j )</t>
  </si>
  <si>
    <t>IG</t>
  </si>
  <si>
    <t>ID</t>
  </si>
  <si>
    <t>LI</t>
  </si>
  <si>
    <t>Chantier 4</t>
  </si>
  <si>
    <r>
      <t>D</t>
    </r>
    <r>
      <rPr>
        <b/>
        <sz val="12"/>
        <rFont val="Arial"/>
        <family val="2"/>
      </rPr>
      <t>PM inter gauche</t>
    </r>
  </si>
  <si>
    <r>
      <t>D</t>
    </r>
    <r>
      <rPr>
        <b/>
        <sz val="12"/>
        <rFont val="Arial"/>
        <family val="2"/>
      </rPr>
      <t>H inter gauche</t>
    </r>
  </si>
  <si>
    <r>
      <t>D</t>
    </r>
    <r>
      <rPr>
        <b/>
        <sz val="12"/>
        <rFont val="Arial"/>
        <family val="2"/>
      </rPr>
      <t>Z inter gauche</t>
    </r>
  </si>
  <si>
    <r>
      <t>D</t>
    </r>
    <r>
      <rPr>
        <b/>
        <sz val="12"/>
        <rFont val="Arial"/>
        <family val="2"/>
      </rPr>
      <t>Z inter droit</t>
    </r>
  </si>
  <si>
    <t>Point intermédiaire gauche</t>
  </si>
  <si>
    <t>Point intermédiaire droit</t>
  </si>
  <si>
    <t>CONVERGENCE T12T13 - PM169.2</t>
  </si>
  <si>
    <t>CARREFOUR GCR2 - GVA2 - GVA3 - CONVERGENCE T12-T13 ( PM169.2 )</t>
  </si>
  <si>
    <t>CARREFOUR GCR2 - GVA2 -  GVA3 -DEPLACEMENTS DES CIBLES - CONVERGENCE T12T13 ( PM 169.2 )</t>
  </si>
  <si>
    <t>Fin du confortement du tympan GVA3</t>
  </si>
  <si>
    <t>Nota : Date de commencement réelle le 22/05. La date du 20 est utilisée pour faciliter l'interprétation sur les graphiques</t>
  </si>
  <si>
    <t>Seuils</t>
  </si>
  <si>
    <t>Seuils en déplacements absolu</t>
  </si>
  <si>
    <t xml:space="preserve">Seuil de vigilance </t>
  </si>
  <si>
    <t>Seuil d'alerte</t>
  </si>
  <si>
    <t>Début creusement</t>
  </si>
  <si>
    <t>il y a un ensemble de cables devant le point haut gauche qui genent les mesures =&gt; ecartées</t>
  </si>
  <si>
    <r>
      <t>D</t>
    </r>
    <r>
      <rPr>
        <b/>
        <sz val="12"/>
        <rFont val="Arial"/>
        <family val="2"/>
      </rPr>
      <t>PM inter droit</t>
    </r>
  </si>
  <si>
    <r>
      <t>D</t>
    </r>
    <r>
      <rPr>
        <b/>
        <sz val="12"/>
        <rFont val="Arial"/>
        <family val="2"/>
      </rPr>
      <t>H inter droit</t>
    </r>
  </si>
  <si>
    <t>Norme BG</t>
  </si>
  <si>
    <t>Norme IG</t>
  </si>
  <si>
    <t>Norme HG</t>
  </si>
  <si>
    <t>Norme CH</t>
  </si>
  <si>
    <t>Norme HD</t>
  </si>
  <si>
    <t>Norme ID</t>
  </si>
  <si>
    <t>Norme BD</t>
  </si>
  <si>
    <t>a</t>
  </si>
  <si>
    <t>-</t>
  </si>
  <si>
    <t>Plot 7 non visible</t>
  </si>
  <si>
    <t>plot 7 non visible</t>
  </si>
  <si>
    <t>cible ID masquée</t>
  </si>
  <si>
    <t>masqué</t>
  </si>
  <si>
    <t>XX</t>
  </si>
  <si>
    <t/>
  </si>
  <si>
    <r>
      <rPr>
        <b/>
        <sz val="12"/>
        <rFont val="Arial"/>
        <family val="2"/>
      </rPr>
      <t xml:space="preserve">jours </t>
    </r>
    <r>
      <rPr>
        <b/>
        <sz val="11"/>
        <rFont val="Arial"/>
        <family val="2"/>
      </rPr>
      <t>écoulés</t>
    </r>
  </si>
  <si>
    <t>f3(x)=a*(1-(b/(x+b))**c)</t>
  </si>
  <si>
    <t>b</t>
  </si>
  <si>
    <t xml:space="preserve">c </t>
  </si>
  <si>
    <t>SULEM - n=3</t>
  </si>
  <si>
    <t>DATE</t>
  </si>
  <si>
    <t>J</t>
  </si>
  <si>
    <t>Paramètrage SULEM</t>
  </si>
  <si>
    <t>Franchissement du seuil</t>
  </si>
  <si>
    <t>mesures assez dégradées</t>
  </si>
  <si>
    <t>mauvais angle de placement station pour atteindre la cible HG a cause de nombreux masques</t>
  </si>
  <si>
    <t>1er ligne</t>
  </si>
  <si>
    <t>entete</t>
  </si>
  <si>
    <t>nb colonnes</t>
  </si>
  <si>
    <t>1ere colonne</t>
  </si>
  <si>
    <t>1ere ligne Dest</t>
  </si>
  <si>
    <t>1ere colonne dest</t>
  </si>
  <si>
    <t>mesure apres avoir découvert des mouvements</t>
  </si>
  <si>
    <t xml:space="preserve">la MAJ du referentiel a été effectuée au moment de cette mesure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</si>
</sst>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+\ 0.0;\-\ 0.0;\±\ 0.0"/>
    <numFmt numFmtId="165" formatCode="0.0"/>
    <numFmt numFmtId="166" formatCode="0.0000"/>
    <numFmt numFmtId="167" formatCode="0.000"/>
    <numFmt numFmtId="168" formatCode="dd\ /\ mm\ /\ yy"/>
    <numFmt numFmtId="169" formatCode="\+\ 0;\-\ 0;\±\ 0"/>
    <numFmt numFmtId="170" formatCode="\+\ 0.000;\-\ 0.000;\±\ 0.000"/>
    <numFmt numFmtId="171" formatCode="dd\ /\ mm\ /\ yyyy"/>
    <numFmt numFmtId="172" formatCode="\+\ 0.0000;\-\ 0.0000;\±\ 0.0000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Symbol"/>
      <family val="1"/>
      <charset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b/>
      <sz val="12"/>
      <name val="Symbol"/>
      <family val="1"/>
      <charset val="2"/>
    </font>
    <font>
      <b/>
      <sz val="11"/>
      <name val="Arial"/>
      <family val="2"/>
    </font>
    <font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50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20" borderId="1" applyNumberFormat="0" applyAlignment="0" applyProtection="0"/>
    <xf numFmtId="0" fontId="15" fillId="0" borderId="2" applyNumberFormat="0" applyFill="0" applyAlignment="0" applyProtection="0"/>
    <xf numFmtId="0" fontId="16" fillId="21" borderId="3" applyNumberFormat="0" applyFont="0" applyAlignment="0" applyProtection="0"/>
    <xf numFmtId="0" fontId="17" fillId="7" borderId="1" applyNumberFormat="0" applyAlignment="0" applyProtection="0"/>
    <xf numFmtId="0" fontId="18" fillId="3" borderId="0" applyNumberFormat="0" applyBorder="0" applyAlignment="0" applyProtection="0"/>
    <xf numFmtId="0" fontId="19" fillId="22" borderId="0" applyNumberFormat="0" applyBorder="0" applyAlignment="0" applyProtection="0"/>
    <xf numFmtId="0" fontId="20" fillId="4" borderId="0" applyNumberFormat="0" applyBorder="0" applyAlignment="0" applyProtection="0"/>
    <xf numFmtId="0" fontId="21" fillId="20" borderId="4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23" borderId="9" applyNumberFormat="0" applyAlignment="0" applyProtection="0"/>
    <xf numFmtId="0" fontId="10" fillId="0" borderId="0"/>
    <xf numFmtId="0" fontId="10" fillId="27" borderId="24" applyNumberFormat="0" applyFont="0" applyAlignment="0" applyProtection="0"/>
    <xf numFmtId="0" fontId="16" fillId="0" borderId="0"/>
    <xf numFmtId="9" fontId="16" fillId="0" borderId="0" applyFont="0" applyFill="0" applyBorder="0" applyAlignment="0" applyProtection="0"/>
    <xf numFmtId="0" fontId="9" fillId="0" borderId="0"/>
    <xf numFmtId="0" fontId="9" fillId="27" borderId="24" applyNumberFormat="0" applyFont="0" applyAlignment="0" applyProtection="0"/>
    <xf numFmtId="0" fontId="8" fillId="0" borderId="0"/>
    <xf numFmtId="0" fontId="8" fillId="0" borderId="0"/>
    <xf numFmtId="0" fontId="7" fillId="0" borderId="0"/>
    <xf numFmtId="0" fontId="7" fillId="27" borderId="24" applyNumberFormat="0" applyFont="0" applyAlignment="0" applyProtection="0"/>
    <xf numFmtId="0" fontId="7" fillId="0" borderId="0"/>
    <xf numFmtId="0" fontId="7" fillId="27" borderId="2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7" borderId="24" applyNumberFormat="0" applyFont="0" applyAlignment="0" applyProtection="0"/>
    <xf numFmtId="0" fontId="7" fillId="0" borderId="0"/>
    <xf numFmtId="0" fontId="7" fillId="27" borderId="24" applyNumberFormat="0" applyFont="0" applyAlignment="0" applyProtection="0"/>
    <xf numFmtId="0" fontId="7" fillId="0" borderId="0"/>
    <xf numFmtId="0" fontId="7" fillId="0" borderId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59">
    <xf numFmtId="0" fontId="0" fillId="0" borderId="0" xfId="0"/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horizontal="center"/>
    </xf>
    <xf numFmtId="0" fontId="34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31" fillId="0" borderId="0" xfId="0" applyFont="1" applyAlignment="1">
      <alignment vertical="center"/>
    </xf>
    <xf numFmtId="0" fontId="37" fillId="0" borderId="12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vertical="center"/>
    </xf>
    <xf numFmtId="0" fontId="32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0" fillId="0" borderId="0" xfId="0" applyNumberFormat="1" applyAlignment="1">
      <alignment vertical="center"/>
    </xf>
    <xf numFmtId="168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168" fontId="37" fillId="0" borderId="0" xfId="0" applyNumberFormat="1" applyFont="1" applyAlignment="1">
      <alignment vertical="center"/>
    </xf>
    <xf numFmtId="16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0" fillId="0" borderId="0" xfId="0" applyFont="1" applyAlignment="1">
      <alignment horizontal="center" wrapText="1"/>
    </xf>
    <xf numFmtId="0" fontId="38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1" fontId="32" fillId="24" borderId="11" xfId="0" applyNumberFormat="1" applyFont="1" applyFill="1" applyBorder="1" applyAlignment="1">
      <alignment horizontal="center" vertical="center"/>
    </xf>
    <xf numFmtId="168" fontId="16" fillId="24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/>
    <xf numFmtId="0" fontId="0" fillId="24" borderId="0" xfId="0" applyFill="1" applyAlignment="1">
      <alignment wrapText="1"/>
    </xf>
    <xf numFmtId="168" fontId="32" fillId="25" borderId="11" xfId="0" applyNumberFormat="1" applyFont="1" applyFill="1" applyBorder="1" applyAlignment="1">
      <alignment horizontal="center" vertical="center"/>
    </xf>
    <xf numFmtId="168" fontId="32" fillId="24" borderId="11" xfId="0" applyNumberFormat="1" applyFont="1" applyFill="1" applyBorder="1" applyAlignment="1">
      <alignment horizontal="center" vertical="center"/>
    </xf>
    <xf numFmtId="165" fontId="32" fillId="24" borderId="11" xfId="0" applyNumberFormat="1" applyFont="1" applyFill="1" applyBorder="1" applyAlignment="1">
      <alignment horizontal="center" vertical="center"/>
    </xf>
    <xf numFmtId="166" fontId="32" fillId="24" borderId="11" xfId="0" applyNumberFormat="1" applyFont="1" applyFill="1" applyBorder="1" applyAlignment="1">
      <alignment horizontal="center" vertical="center"/>
    </xf>
    <xf numFmtId="0" fontId="32" fillId="24" borderId="0" xfId="0" applyFont="1" applyFill="1" applyAlignment="1">
      <alignment vertical="center"/>
    </xf>
    <xf numFmtId="167" fontId="32" fillId="24" borderId="11" xfId="0" applyNumberFormat="1" applyFont="1" applyFill="1" applyBorder="1" applyAlignment="1">
      <alignment horizontal="center" vertical="center"/>
    </xf>
    <xf numFmtId="170" fontId="32" fillId="24" borderId="11" xfId="0" applyNumberFormat="1" applyFont="1" applyFill="1" applyBorder="1" applyAlignment="1">
      <alignment horizontal="center" vertical="center"/>
    </xf>
    <xf numFmtId="164" fontId="32" fillId="24" borderId="11" xfId="0" applyNumberFormat="1" applyFont="1" applyFill="1" applyBorder="1" applyAlignment="1">
      <alignment horizontal="center" vertical="center"/>
    </xf>
    <xf numFmtId="0" fontId="30" fillId="24" borderId="15" xfId="0" applyFont="1" applyFill="1" applyBorder="1" applyAlignment="1">
      <alignment horizontal="center" vertical="center"/>
    </xf>
    <xf numFmtId="1" fontId="32" fillId="25" borderId="11" xfId="0" applyNumberFormat="1" applyFont="1" applyFill="1" applyBorder="1" applyAlignment="1">
      <alignment horizontal="center" vertical="center"/>
    </xf>
    <xf numFmtId="165" fontId="32" fillId="25" borderId="11" xfId="0" applyNumberFormat="1" applyFont="1" applyFill="1" applyBorder="1" applyAlignment="1">
      <alignment horizontal="center" vertical="center"/>
    </xf>
    <xf numFmtId="166" fontId="32" fillId="25" borderId="11" xfId="0" applyNumberFormat="1" applyFont="1" applyFill="1" applyBorder="1" applyAlignment="1">
      <alignment horizontal="center" vertical="center"/>
    </xf>
    <xf numFmtId="169" fontId="32" fillId="25" borderId="10" xfId="0" applyNumberFormat="1" applyFont="1" applyFill="1" applyBorder="1" applyAlignment="1">
      <alignment horizontal="center" vertical="center"/>
    </xf>
    <xf numFmtId="169" fontId="32" fillId="25" borderId="11" xfId="0" applyNumberFormat="1" applyFont="1" applyFill="1" applyBorder="1" applyAlignment="1">
      <alignment horizontal="center" vertical="center"/>
    </xf>
    <xf numFmtId="164" fontId="0" fillId="24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168" fontId="0" fillId="24" borderId="11" xfId="0" applyNumberFormat="1" applyFill="1" applyBorder="1" applyAlignment="1">
      <alignment horizontal="center" vertical="center"/>
    </xf>
    <xf numFmtId="165" fontId="0" fillId="24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8" fontId="0" fillId="0" borderId="17" xfId="0" applyNumberFormat="1" applyBorder="1" applyAlignment="1">
      <alignment horizontal="center" vertical="center" wrapText="1"/>
    </xf>
    <xf numFmtId="166" fontId="39" fillId="25" borderId="11" xfId="0" applyNumberFormat="1" applyFont="1" applyFill="1" applyBorder="1" applyAlignment="1">
      <alignment horizontal="center" vertical="center"/>
    </xf>
    <xf numFmtId="0" fontId="40" fillId="24" borderId="15" xfId="0" applyFont="1" applyFill="1" applyBorder="1" applyAlignment="1">
      <alignment horizontal="center" vertical="center"/>
    </xf>
    <xf numFmtId="0" fontId="30" fillId="24" borderId="18" xfId="0" applyFont="1" applyFill="1" applyBorder="1" applyAlignment="1">
      <alignment horizontal="center" vertical="center"/>
    </xf>
    <xf numFmtId="0" fontId="30" fillId="24" borderId="16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36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/>
    <xf numFmtId="0" fontId="0" fillId="0" borderId="22" xfId="0" applyBorder="1"/>
    <xf numFmtId="0" fontId="0" fillId="0" borderId="2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0" fontId="16" fillId="0" borderId="0" xfId="0" applyFont="1"/>
    <xf numFmtId="14" fontId="16" fillId="0" borderId="0" xfId="0" applyNumberFormat="1" applyFont="1"/>
    <xf numFmtId="165" fontId="30" fillId="24" borderId="14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41" fillId="0" borderId="0" xfId="0" applyFont="1" applyAlignment="1">
      <alignment vertical="center"/>
    </xf>
    <xf numFmtId="14" fontId="41" fillId="0" borderId="0" xfId="0" applyNumberFormat="1" applyFont="1" applyAlignment="1">
      <alignment vertical="center"/>
    </xf>
    <xf numFmtId="0" fontId="31" fillId="26" borderId="0" xfId="0" applyFont="1" applyFill="1" applyAlignment="1">
      <alignment horizontal="center" vertical="center"/>
    </xf>
    <xf numFmtId="0" fontId="30" fillId="0" borderId="1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168" fontId="30" fillId="0" borderId="13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4" fontId="35" fillId="0" borderId="0" xfId="0" applyNumberFormat="1" applyFon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16" fillId="0" borderId="0" xfId="0" applyNumberFormat="1" applyFont="1"/>
    <xf numFmtId="0" fontId="16" fillId="0" borderId="0" xfId="0" applyFont="1" applyAlignment="1">
      <alignment vertical="center"/>
    </xf>
    <xf numFmtId="167" fontId="0" fillId="0" borderId="0" xfId="0" applyNumberFormat="1"/>
    <xf numFmtId="1" fontId="32" fillId="24" borderId="11" xfId="44" applyNumberFormat="1" applyFont="1" applyFill="1" applyBorder="1" applyAlignment="1">
      <alignment horizontal="center" vertical="center"/>
    </xf>
    <xf numFmtId="168" fontId="32" fillId="24" borderId="11" xfId="44" applyNumberFormat="1" applyFont="1" applyFill="1" applyBorder="1" applyAlignment="1">
      <alignment horizontal="center" vertical="center"/>
    </xf>
    <xf numFmtId="165" fontId="32" fillId="24" borderId="11" xfId="44" applyNumberFormat="1" applyFont="1" applyFill="1" applyBorder="1" applyAlignment="1">
      <alignment horizontal="center" vertical="center"/>
    </xf>
    <xf numFmtId="166" fontId="32" fillId="24" borderId="11" xfId="44" applyNumberFormat="1" applyFont="1" applyFill="1" applyBorder="1" applyAlignment="1">
      <alignment horizontal="center" vertical="center"/>
    </xf>
    <xf numFmtId="0" fontId="32" fillId="24" borderId="0" xfId="44" applyFont="1" applyFill="1" applyAlignment="1">
      <alignment vertical="center"/>
    </xf>
    <xf numFmtId="167" fontId="32" fillId="24" borderId="11" xfId="44" applyNumberFormat="1" applyFont="1" applyFill="1" applyBorder="1" applyAlignment="1">
      <alignment horizontal="center" vertical="center"/>
    </xf>
    <xf numFmtId="170" fontId="32" fillId="24" borderId="11" xfId="44" applyNumberFormat="1" applyFont="1" applyFill="1" applyBorder="1" applyAlignment="1">
      <alignment horizontal="center" vertical="center"/>
    </xf>
    <xf numFmtId="164" fontId="32" fillId="24" borderId="11" xfId="44" applyNumberFormat="1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172" fontId="32" fillId="24" borderId="1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8" borderId="0" xfId="0" applyFill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29" borderId="0" xfId="0" applyFill="1" applyAlignment="1">
      <alignment vertical="center"/>
    </xf>
    <xf numFmtId="166" fontId="0" fillId="29" borderId="0" xfId="0" applyNumberFormat="1" applyFill="1" applyAlignment="1">
      <alignment vertical="center"/>
    </xf>
    <xf numFmtId="0" fontId="0" fillId="30" borderId="0" xfId="0" applyFill="1" applyAlignment="1">
      <alignment vertical="center"/>
    </xf>
    <xf numFmtId="0" fontId="0" fillId="30" borderId="0" xfId="0" applyFill="1"/>
    <xf numFmtId="0" fontId="30" fillId="30" borderId="0" xfId="0" applyFont="1" applyFill="1" applyAlignment="1">
      <alignment horizontal="center" vertical="center"/>
    </xf>
    <xf numFmtId="14" fontId="0" fillId="30" borderId="0" xfId="0" applyNumberForma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0" fontId="30" fillId="30" borderId="26" xfId="0" applyFont="1" applyFill="1" applyBorder="1" applyAlignment="1">
      <alignment horizontal="center" vertical="center"/>
    </xf>
    <xf numFmtId="0" fontId="0" fillId="30" borderId="12" xfId="0" applyFill="1" applyBorder="1"/>
    <xf numFmtId="0" fontId="0" fillId="30" borderId="12" xfId="0" applyFill="1" applyBorder="1" applyAlignment="1">
      <alignment vertical="center"/>
    </xf>
    <xf numFmtId="0" fontId="0" fillId="30" borderId="27" xfId="0" applyFill="1" applyBorder="1"/>
    <xf numFmtId="0" fontId="0" fillId="30" borderId="28" xfId="0" applyFill="1" applyBorder="1"/>
    <xf numFmtId="14" fontId="0" fillId="28" borderId="11" xfId="0" applyNumberFormat="1" applyFill="1" applyBorder="1"/>
    <xf numFmtId="0" fontId="0" fillId="28" borderId="11" xfId="0" applyFill="1" applyBorder="1"/>
    <xf numFmtId="16" fontId="0" fillId="28" borderId="11" xfId="0" applyNumberFormat="1" applyFill="1" applyBorder="1"/>
    <xf numFmtId="0" fontId="16" fillId="28" borderId="11" xfId="0" applyFont="1" applyFill="1" applyBorder="1"/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169" fontId="32" fillId="24" borderId="18" xfId="0" applyNumberFormat="1" applyFont="1" applyFill="1" applyBorder="1" applyAlignment="1">
      <alignment horizontal="center" vertical="center"/>
    </xf>
    <xf numFmtId="169" fontId="32" fillId="24" borderId="19" xfId="0" applyNumberFormat="1" applyFont="1" applyFill="1" applyBorder="1" applyAlignment="1">
      <alignment horizontal="center" vertical="center"/>
    </xf>
    <xf numFmtId="169" fontId="32" fillId="24" borderId="20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166" fontId="32" fillId="24" borderId="13" xfId="0" applyNumberFormat="1" applyFont="1" applyFill="1" applyBorder="1" applyAlignment="1">
      <alignment horizontal="center" vertical="center"/>
    </xf>
    <xf numFmtId="166" fontId="32" fillId="24" borderId="17" xfId="0" applyNumberFormat="1" applyFont="1" applyFill="1" applyBorder="1" applyAlignment="1">
      <alignment horizontal="center" vertical="center"/>
    </xf>
    <xf numFmtId="166" fontId="32" fillId="24" borderId="3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8" fillId="26" borderId="0" xfId="0" applyFont="1" applyFill="1" applyAlignment="1">
      <alignment horizontal="center" vertical="center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1" fillId="26" borderId="0" xfId="0" applyFont="1" applyFill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32" fillId="26" borderId="27" xfId="0" applyFont="1" applyFill="1" applyBorder="1" applyAlignment="1">
      <alignment horizontal="center" vertical="center"/>
    </xf>
    <xf numFmtId="0" fontId="32" fillId="26" borderId="0" xfId="0" applyFont="1" applyFill="1" applyAlignment="1">
      <alignment horizontal="center" vertical="center"/>
    </xf>
    <xf numFmtId="0" fontId="32" fillId="26" borderId="28" xfId="0" applyFont="1" applyFill="1" applyBorder="1" applyAlignment="1">
      <alignment horizontal="center" vertical="center"/>
    </xf>
  </cellXfs>
  <cellStyles count="850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 2" xfId="43" xr:uid="{00000000-0005-0000-0000-00001C000000}"/>
    <cellStyle name="Commentaire 2 2" xfId="59" xr:uid="{00000000-0005-0000-0000-00001D000000}"/>
    <cellStyle name="Commentaire 2 2 2" xfId="79" xr:uid="{00000000-0005-0000-0000-00001E000000}"/>
    <cellStyle name="Commentaire 2 2 2 2" xfId="119" xr:uid="{00000000-0005-0000-0000-00001F000000}"/>
    <cellStyle name="Commentaire 2 2 2 2 2" xfId="199" xr:uid="{00000000-0005-0000-0000-000020000000}"/>
    <cellStyle name="Commentaire 2 2 2 2 2 2" xfId="399" xr:uid="{00000000-0005-0000-0000-000021000000}"/>
    <cellStyle name="Commentaire 2 2 2 2 2 2 2" xfId="802" xr:uid="{00000000-0005-0000-0000-000022000000}"/>
    <cellStyle name="Commentaire 2 2 2 2 2 3" xfId="602" xr:uid="{00000000-0005-0000-0000-000023000000}"/>
    <cellStyle name="Commentaire 2 2 2 2 3" xfId="319" xr:uid="{00000000-0005-0000-0000-000024000000}"/>
    <cellStyle name="Commentaire 2 2 2 2 3 2" xfId="722" xr:uid="{00000000-0005-0000-0000-000025000000}"/>
    <cellStyle name="Commentaire 2 2 2 2 4" xfId="522" xr:uid="{00000000-0005-0000-0000-000026000000}"/>
    <cellStyle name="Commentaire 2 2 2 3" xfId="239" xr:uid="{00000000-0005-0000-0000-000027000000}"/>
    <cellStyle name="Commentaire 2 2 2 3 2" xfId="439" xr:uid="{00000000-0005-0000-0000-000028000000}"/>
    <cellStyle name="Commentaire 2 2 2 3 2 2" xfId="842" xr:uid="{00000000-0005-0000-0000-000029000000}"/>
    <cellStyle name="Commentaire 2 2 2 3 3" xfId="642" xr:uid="{00000000-0005-0000-0000-00002A000000}"/>
    <cellStyle name="Commentaire 2 2 2 4" xfId="159" xr:uid="{00000000-0005-0000-0000-00002B000000}"/>
    <cellStyle name="Commentaire 2 2 2 4 2" xfId="359" xr:uid="{00000000-0005-0000-0000-00002C000000}"/>
    <cellStyle name="Commentaire 2 2 2 4 2 2" xfId="762" xr:uid="{00000000-0005-0000-0000-00002D000000}"/>
    <cellStyle name="Commentaire 2 2 2 4 3" xfId="562" xr:uid="{00000000-0005-0000-0000-00002E000000}"/>
    <cellStyle name="Commentaire 2 2 2 5" xfId="279" xr:uid="{00000000-0005-0000-0000-00002F000000}"/>
    <cellStyle name="Commentaire 2 2 2 5 2" xfId="682" xr:uid="{00000000-0005-0000-0000-000030000000}"/>
    <cellStyle name="Commentaire 2 2 2 6" xfId="482" xr:uid="{00000000-0005-0000-0000-000031000000}"/>
    <cellStyle name="Commentaire 2 2 3" xfId="99" xr:uid="{00000000-0005-0000-0000-000032000000}"/>
    <cellStyle name="Commentaire 2 2 3 2" xfId="179" xr:uid="{00000000-0005-0000-0000-000033000000}"/>
    <cellStyle name="Commentaire 2 2 3 2 2" xfId="379" xr:uid="{00000000-0005-0000-0000-000034000000}"/>
    <cellStyle name="Commentaire 2 2 3 2 2 2" xfId="782" xr:uid="{00000000-0005-0000-0000-000035000000}"/>
    <cellStyle name="Commentaire 2 2 3 2 3" xfId="582" xr:uid="{00000000-0005-0000-0000-000036000000}"/>
    <cellStyle name="Commentaire 2 2 3 3" xfId="299" xr:uid="{00000000-0005-0000-0000-000037000000}"/>
    <cellStyle name="Commentaire 2 2 3 3 2" xfId="702" xr:uid="{00000000-0005-0000-0000-000038000000}"/>
    <cellStyle name="Commentaire 2 2 3 4" xfId="502" xr:uid="{00000000-0005-0000-0000-000039000000}"/>
    <cellStyle name="Commentaire 2 2 4" xfId="219" xr:uid="{00000000-0005-0000-0000-00003A000000}"/>
    <cellStyle name="Commentaire 2 2 4 2" xfId="419" xr:uid="{00000000-0005-0000-0000-00003B000000}"/>
    <cellStyle name="Commentaire 2 2 4 2 2" xfId="822" xr:uid="{00000000-0005-0000-0000-00003C000000}"/>
    <cellStyle name="Commentaire 2 2 4 3" xfId="622" xr:uid="{00000000-0005-0000-0000-00003D000000}"/>
    <cellStyle name="Commentaire 2 2 5" xfId="139" xr:uid="{00000000-0005-0000-0000-00003E000000}"/>
    <cellStyle name="Commentaire 2 2 5 2" xfId="339" xr:uid="{00000000-0005-0000-0000-00003F000000}"/>
    <cellStyle name="Commentaire 2 2 5 2 2" xfId="742" xr:uid="{00000000-0005-0000-0000-000040000000}"/>
    <cellStyle name="Commentaire 2 2 5 3" xfId="542" xr:uid="{00000000-0005-0000-0000-000041000000}"/>
    <cellStyle name="Commentaire 2 2 6" xfId="259" xr:uid="{00000000-0005-0000-0000-000042000000}"/>
    <cellStyle name="Commentaire 2 2 6 2" xfId="662" xr:uid="{00000000-0005-0000-0000-000043000000}"/>
    <cellStyle name="Commentaire 2 2 7" xfId="462" xr:uid="{00000000-0005-0000-0000-000044000000}"/>
    <cellStyle name="Commentaire 2 3" xfId="51" xr:uid="{00000000-0005-0000-0000-000045000000}"/>
    <cellStyle name="Commentaire 2 3 2" xfId="71" xr:uid="{00000000-0005-0000-0000-000046000000}"/>
    <cellStyle name="Commentaire 2 3 2 2" xfId="111" xr:uid="{00000000-0005-0000-0000-000047000000}"/>
    <cellStyle name="Commentaire 2 3 2 2 2" xfId="191" xr:uid="{00000000-0005-0000-0000-000048000000}"/>
    <cellStyle name="Commentaire 2 3 2 2 2 2" xfId="391" xr:uid="{00000000-0005-0000-0000-000049000000}"/>
    <cellStyle name="Commentaire 2 3 2 2 2 2 2" xfId="794" xr:uid="{00000000-0005-0000-0000-00004A000000}"/>
    <cellStyle name="Commentaire 2 3 2 2 2 3" xfId="594" xr:uid="{00000000-0005-0000-0000-00004B000000}"/>
    <cellStyle name="Commentaire 2 3 2 2 3" xfId="311" xr:uid="{00000000-0005-0000-0000-00004C000000}"/>
    <cellStyle name="Commentaire 2 3 2 2 3 2" xfId="714" xr:uid="{00000000-0005-0000-0000-00004D000000}"/>
    <cellStyle name="Commentaire 2 3 2 2 4" xfId="514" xr:uid="{00000000-0005-0000-0000-00004E000000}"/>
    <cellStyle name="Commentaire 2 3 2 3" xfId="231" xr:uid="{00000000-0005-0000-0000-00004F000000}"/>
    <cellStyle name="Commentaire 2 3 2 3 2" xfId="431" xr:uid="{00000000-0005-0000-0000-000050000000}"/>
    <cellStyle name="Commentaire 2 3 2 3 2 2" xfId="834" xr:uid="{00000000-0005-0000-0000-000051000000}"/>
    <cellStyle name="Commentaire 2 3 2 3 3" xfId="634" xr:uid="{00000000-0005-0000-0000-000052000000}"/>
    <cellStyle name="Commentaire 2 3 2 4" xfId="151" xr:uid="{00000000-0005-0000-0000-000053000000}"/>
    <cellStyle name="Commentaire 2 3 2 4 2" xfId="351" xr:uid="{00000000-0005-0000-0000-000054000000}"/>
    <cellStyle name="Commentaire 2 3 2 4 2 2" xfId="754" xr:uid="{00000000-0005-0000-0000-000055000000}"/>
    <cellStyle name="Commentaire 2 3 2 4 3" xfId="554" xr:uid="{00000000-0005-0000-0000-000056000000}"/>
    <cellStyle name="Commentaire 2 3 2 5" xfId="271" xr:uid="{00000000-0005-0000-0000-000057000000}"/>
    <cellStyle name="Commentaire 2 3 2 5 2" xfId="674" xr:uid="{00000000-0005-0000-0000-000058000000}"/>
    <cellStyle name="Commentaire 2 3 2 6" xfId="474" xr:uid="{00000000-0005-0000-0000-000059000000}"/>
    <cellStyle name="Commentaire 2 3 3" xfId="91" xr:uid="{00000000-0005-0000-0000-00005A000000}"/>
    <cellStyle name="Commentaire 2 3 3 2" xfId="171" xr:uid="{00000000-0005-0000-0000-00005B000000}"/>
    <cellStyle name="Commentaire 2 3 3 2 2" xfId="371" xr:uid="{00000000-0005-0000-0000-00005C000000}"/>
    <cellStyle name="Commentaire 2 3 3 2 2 2" xfId="774" xr:uid="{00000000-0005-0000-0000-00005D000000}"/>
    <cellStyle name="Commentaire 2 3 3 2 3" xfId="574" xr:uid="{00000000-0005-0000-0000-00005E000000}"/>
    <cellStyle name="Commentaire 2 3 3 3" xfId="291" xr:uid="{00000000-0005-0000-0000-00005F000000}"/>
    <cellStyle name="Commentaire 2 3 3 3 2" xfId="694" xr:uid="{00000000-0005-0000-0000-000060000000}"/>
    <cellStyle name="Commentaire 2 3 3 4" xfId="494" xr:uid="{00000000-0005-0000-0000-000061000000}"/>
    <cellStyle name="Commentaire 2 3 4" xfId="211" xr:uid="{00000000-0005-0000-0000-000062000000}"/>
    <cellStyle name="Commentaire 2 3 4 2" xfId="411" xr:uid="{00000000-0005-0000-0000-000063000000}"/>
    <cellStyle name="Commentaire 2 3 4 2 2" xfId="814" xr:uid="{00000000-0005-0000-0000-000064000000}"/>
    <cellStyle name="Commentaire 2 3 4 3" xfId="614" xr:uid="{00000000-0005-0000-0000-000065000000}"/>
    <cellStyle name="Commentaire 2 3 5" xfId="131" xr:uid="{00000000-0005-0000-0000-000066000000}"/>
    <cellStyle name="Commentaire 2 3 5 2" xfId="331" xr:uid="{00000000-0005-0000-0000-000067000000}"/>
    <cellStyle name="Commentaire 2 3 5 2 2" xfId="734" xr:uid="{00000000-0005-0000-0000-000068000000}"/>
    <cellStyle name="Commentaire 2 3 5 3" xfId="534" xr:uid="{00000000-0005-0000-0000-000069000000}"/>
    <cellStyle name="Commentaire 2 3 6" xfId="251" xr:uid="{00000000-0005-0000-0000-00006A000000}"/>
    <cellStyle name="Commentaire 2 3 6 2" xfId="654" xr:uid="{00000000-0005-0000-0000-00006B000000}"/>
    <cellStyle name="Commentaire 2 3 7" xfId="454" xr:uid="{00000000-0005-0000-0000-00006C000000}"/>
    <cellStyle name="Commentaire 2 4" xfId="65" xr:uid="{00000000-0005-0000-0000-00006D000000}"/>
    <cellStyle name="Commentaire 2 4 2" xfId="105" xr:uid="{00000000-0005-0000-0000-00006E000000}"/>
    <cellStyle name="Commentaire 2 4 2 2" xfId="185" xr:uid="{00000000-0005-0000-0000-00006F000000}"/>
    <cellStyle name="Commentaire 2 4 2 2 2" xfId="385" xr:uid="{00000000-0005-0000-0000-000070000000}"/>
    <cellStyle name="Commentaire 2 4 2 2 2 2" xfId="788" xr:uid="{00000000-0005-0000-0000-000071000000}"/>
    <cellStyle name="Commentaire 2 4 2 2 3" xfId="588" xr:uid="{00000000-0005-0000-0000-000072000000}"/>
    <cellStyle name="Commentaire 2 4 2 3" xfId="305" xr:uid="{00000000-0005-0000-0000-000073000000}"/>
    <cellStyle name="Commentaire 2 4 2 3 2" xfId="708" xr:uid="{00000000-0005-0000-0000-000074000000}"/>
    <cellStyle name="Commentaire 2 4 2 4" xfId="508" xr:uid="{00000000-0005-0000-0000-000075000000}"/>
    <cellStyle name="Commentaire 2 4 3" xfId="225" xr:uid="{00000000-0005-0000-0000-000076000000}"/>
    <cellStyle name="Commentaire 2 4 3 2" xfId="425" xr:uid="{00000000-0005-0000-0000-000077000000}"/>
    <cellStyle name="Commentaire 2 4 3 2 2" xfId="828" xr:uid="{00000000-0005-0000-0000-000078000000}"/>
    <cellStyle name="Commentaire 2 4 3 3" xfId="628" xr:uid="{00000000-0005-0000-0000-000079000000}"/>
    <cellStyle name="Commentaire 2 4 4" xfId="145" xr:uid="{00000000-0005-0000-0000-00007A000000}"/>
    <cellStyle name="Commentaire 2 4 4 2" xfId="345" xr:uid="{00000000-0005-0000-0000-00007B000000}"/>
    <cellStyle name="Commentaire 2 4 4 2 2" xfId="748" xr:uid="{00000000-0005-0000-0000-00007C000000}"/>
    <cellStyle name="Commentaire 2 4 4 3" xfId="548" xr:uid="{00000000-0005-0000-0000-00007D000000}"/>
    <cellStyle name="Commentaire 2 4 5" xfId="265" xr:uid="{00000000-0005-0000-0000-00007E000000}"/>
    <cellStyle name="Commentaire 2 4 5 2" xfId="668" xr:uid="{00000000-0005-0000-0000-00007F000000}"/>
    <cellStyle name="Commentaire 2 4 6" xfId="468" xr:uid="{00000000-0005-0000-0000-000080000000}"/>
    <cellStyle name="Commentaire 2 5" xfId="85" xr:uid="{00000000-0005-0000-0000-000081000000}"/>
    <cellStyle name="Commentaire 2 5 2" xfId="165" xr:uid="{00000000-0005-0000-0000-000082000000}"/>
    <cellStyle name="Commentaire 2 5 2 2" xfId="365" xr:uid="{00000000-0005-0000-0000-000083000000}"/>
    <cellStyle name="Commentaire 2 5 2 2 2" xfId="768" xr:uid="{00000000-0005-0000-0000-000084000000}"/>
    <cellStyle name="Commentaire 2 5 2 3" xfId="568" xr:uid="{00000000-0005-0000-0000-000085000000}"/>
    <cellStyle name="Commentaire 2 5 3" xfId="285" xr:uid="{00000000-0005-0000-0000-000086000000}"/>
    <cellStyle name="Commentaire 2 5 3 2" xfId="688" xr:uid="{00000000-0005-0000-0000-000087000000}"/>
    <cellStyle name="Commentaire 2 5 4" xfId="488" xr:uid="{00000000-0005-0000-0000-000088000000}"/>
    <cellStyle name="Commentaire 2 6" xfId="205" xr:uid="{00000000-0005-0000-0000-000089000000}"/>
    <cellStyle name="Commentaire 2 6 2" xfId="405" xr:uid="{00000000-0005-0000-0000-00008A000000}"/>
    <cellStyle name="Commentaire 2 6 2 2" xfId="808" xr:uid="{00000000-0005-0000-0000-00008B000000}"/>
    <cellStyle name="Commentaire 2 6 3" xfId="608" xr:uid="{00000000-0005-0000-0000-00008C000000}"/>
    <cellStyle name="Commentaire 2 7" xfId="125" xr:uid="{00000000-0005-0000-0000-00008D000000}"/>
    <cellStyle name="Commentaire 2 7 2" xfId="325" xr:uid="{00000000-0005-0000-0000-00008E000000}"/>
    <cellStyle name="Commentaire 2 7 2 2" xfId="728" xr:uid="{00000000-0005-0000-0000-00008F000000}"/>
    <cellStyle name="Commentaire 2 7 3" xfId="528" xr:uid="{00000000-0005-0000-0000-000090000000}"/>
    <cellStyle name="Commentaire 2 8" xfId="245" xr:uid="{00000000-0005-0000-0000-000091000000}"/>
    <cellStyle name="Commentaire 2 8 2" xfId="648" xr:uid="{00000000-0005-0000-0000-000092000000}"/>
    <cellStyle name="Commentaire 2 9" xfId="448" xr:uid="{00000000-0005-0000-0000-000093000000}"/>
    <cellStyle name="Commentaire 3" xfId="47" xr:uid="{00000000-0005-0000-0000-000094000000}"/>
    <cellStyle name="Commentaire 3 2" xfId="61" xr:uid="{00000000-0005-0000-0000-000095000000}"/>
    <cellStyle name="Commentaire 3 2 2" xfId="81" xr:uid="{00000000-0005-0000-0000-000096000000}"/>
    <cellStyle name="Commentaire 3 2 2 2" xfId="121" xr:uid="{00000000-0005-0000-0000-000097000000}"/>
    <cellStyle name="Commentaire 3 2 2 2 2" xfId="201" xr:uid="{00000000-0005-0000-0000-000098000000}"/>
    <cellStyle name="Commentaire 3 2 2 2 2 2" xfId="401" xr:uid="{00000000-0005-0000-0000-000099000000}"/>
    <cellStyle name="Commentaire 3 2 2 2 2 2 2" xfId="804" xr:uid="{00000000-0005-0000-0000-00009A000000}"/>
    <cellStyle name="Commentaire 3 2 2 2 2 3" xfId="604" xr:uid="{00000000-0005-0000-0000-00009B000000}"/>
    <cellStyle name="Commentaire 3 2 2 2 3" xfId="321" xr:uid="{00000000-0005-0000-0000-00009C000000}"/>
    <cellStyle name="Commentaire 3 2 2 2 3 2" xfId="724" xr:uid="{00000000-0005-0000-0000-00009D000000}"/>
    <cellStyle name="Commentaire 3 2 2 2 4" xfId="524" xr:uid="{00000000-0005-0000-0000-00009E000000}"/>
    <cellStyle name="Commentaire 3 2 2 3" xfId="241" xr:uid="{00000000-0005-0000-0000-00009F000000}"/>
    <cellStyle name="Commentaire 3 2 2 3 2" xfId="441" xr:uid="{00000000-0005-0000-0000-0000A0000000}"/>
    <cellStyle name="Commentaire 3 2 2 3 2 2" xfId="844" xr:uid="{00000000-0005-0000-0000-0000A1000000}"/>
    <cellStyle name="Commentaire 3 2 2 3 3" xfId="644" xr:uid="{00000000-0005-0000-0000-0000A2000000}"/>
    <cellStyle name="Commentaire 3 2 2 4" xfId="161" xr:uid="{00000000-0005-0000-0000-0000A3000000}"/>
    <cellStyle name="Commentaire 3 2 2 4 2" xfId="361" xr:uid="{00000000-0005-0000-0000-0000A4000000}"/>
    <cellStyle name="Commentaire 3 2 2 4 2 2" xfId="764" xr:uid="{00000000-0005-0000-0000-0000A5000000}"/>
    <cellStyle name="Commentaire 3 2 2 4 3" xfId="564" xr:uid="{00000000-0005-0000-0000-0000A6000000}"/>
    <cellStyle name="Commentaire 3 2 2 5" xfId="281" xr:uid="{00000000-0005-0000-0000-0000A7000000}"/>
    <cellStyle name="Commentaire 3 2 2 5 2" xfId="684" xr:uid="{00000000-0005-0000-0000-0000A8000000}"/>
    <cellStyle name="Commentaire 3 2 2 6" xfId="484" xr:uid="{00000000-0005-0000-0000-0000A9000000}"/>
    <cellStyle name="Commentaire 3 2 3" xfId="101" xr:uid="{00000000-0005-0000-0000-0000AA000000}"/>
    <cellStyle name="Commentaire 3 2 3 2" xfId="181" xr:uid="{00000000-0005-0000-0000-0000AB000000}"/>
    <cellStyle name="Commentaire 3 2 3 2 2" xfId="381" xr:uid="{00000000-0005-0000-0000-0000AC000000}"/>
    <cellStyle name="Commentaire 3 2 3 2 2 2" xfId="784" xr:uid="{00000000-0005-0000-0000-0000AD000000}"/>
    <cellStyle name="Commentaire 3 2 3 2 3" xfId="584" xr:uid="{00000000-0005-0000-0000-0000AE000000}"/>
    <cellStyle name="Commentaire 3 2 3 3" xfId="301" xr:uid="{00000000-0005-0000-0000-0000AF000000}"/>
    <cellStyle name="Commentaire 3 2 3 3 2" xfId="704" xr:uid="{00000000-0005-0000-0000-0000B0000000}"/>
    <cellStyle name="Commentaire 3 2 3 4" xfId="504" xr:uid="{00000000-0005-0000-0000-0000B1000000}"/>
    <cellStyle name="Commentaire 3 2 4" xfId="221" xr:uid="{00000000-0005-0000-0000-0000B2000000}"/>
    <cellStyle name="Commentaire 3 2 4 2" xfId="421" xr:uid="{00000000-0005-0000-0000-0000B3000000}"/>
    <cellStyle name="Commentaire 3 2 4 2 2" xfId="824" xr:uid="{00000000-0005-0000-0000-0000B4000000}"/>
    <cellStyle name="Commentaire 3 2 4 3" xfId="624" xr:uid="{00000000-0005-0000-0000-0000B5000000}"/>
    <cellStyle name="Commentaire 3 2 5" xfId="141" xr:uid="{00000000-0005-0000-0000-0000B6000000}"/>
    <cellStyle name="Commentaire 3 2 5 2" xfId="341" xr:uid="{00000000-0005-0000-0000-0000B7000000}"/>
    <cellStyle name="Commentaire 3 2 5 2 2" xfId="744" xr:uid="{00000000-0005-0000-0000-0000B8000000}"/>
    <cellStyle name="Commentaire 3 2 5 3" xfId="544" xr:uid="{00000000-0005-0000-0000-0000B9000000}"/>
    <cellStyle name="Commentaire 3 2 6" xfId="261" xr:uid="{00000000-0005-0000-0000-0000BA000000}"/>
    <cellStyle name="Commentaire 3 2 6 2" xfId="664" xr:uid="{00000000-0005-0000-0000-0000BB000000}"/>
    <cellStyle name="Commentaire 3 2 7" xfId="464" xr:uid="{00000000-0005-0000-0000-0000BC000000}"/>
    <cellStyle name="Commentaire 3 3" xfId="53" xr:uid="{00000000-0005-0000-0000-0000BD000000}"/>
    <cellStyle name="Commentaire 3 3 2" xfId="73" xr:uid="{00000000-0005-0000-0000-0000BE000000}"/>
    <cellStyle name="Commentaire 3 3 2 2" xfId="113" xr:uid="{00000000-0005-0000-0000-0000BF000000}"/>
    <cellStyle name="Commentaire 3 3 2 2 2" xfId="193" xr:uid="{00000000-0005-0000-0000-0000C0000000}"/>
    <cellStyle name="Commentaire 3 3 2 2 2 2" xfId="393" xr:uid="{00000000-0005-0000-0000-0000C1000000}"/>
    <cellStyle name="Commentaire 3 3 2 2 2 2 2" xfId="796" xr:uid="{00000000-0005-0000-0000-0000C2000000}"/>
    <cellStyle name="Commentaire 3 3 2 2 2 3" xfId="596" xr:uid="{00000000-0005-0000-0000-0000C3000000}"/>
    <cellStyle name="Commentaire 3 3 2 2 3" xfId="313" xr:uid="{00000000-0005-0000-0000-0000C4000000}"/>
    <cellStyle name="Commentaire 3 3 2 2 3 2" xfId="716" xr:uid="{00000000-0005-0000-0000-0000C5000000}"/>
    <cellStyle name="Commentaire 3 3 2 2 4" xfId="516" xr:uid="{00000000-0005-0000-0000-0000C6000000}"/>
    <cellStyle name="Commentaire 3 3 2 3" xfId="233" xr:uid="{00000000-0005-0000-0000-0000C7000000}"/>
    <cellStyle name="Commentaire 3 3 2 3 2" xfId="433" xr:uid="{00000000-0005-0000-0000-0000C8000000}"/>
    <cellStyle name="Commentaire 3 3 2 3 2 2" xfId="836" xr:uid="{00000000-0005-0000-0000-0000C9000000}"/>
    <cellStyle name="Commentaire 3 3 2 3 3" xfId="636" xr:uid="{00000000-0005-0000-0000-0000CA000000}"/>
    <cellStyle name="Commentaire 3 3 2 4" xfId="153" xr:uid="{00000000-0005-0000-0000-0000CB000000}"/>
    <cellStyle name="Commentaire 3 3 2 4 2" xfId="353" xr:uid="{00000000-0005-0000-0000-0000CC000000}"/>
    <cellStyle name="Commentaire 3 3 2 4 2 2" xfId="756" xr:uid="{00000000-0005-0000-0000-0000CD000000}"/>
    <cellStyle name="Commentaire 3 3 2 4 3" xfId="556" xr:uid="{00000000-0005-0000-0000-0000CE000000}"/>
    <cellStyle name="Commentaire 3 3 2 5" xfId="273" xr:uid="{00000000-0005-0000-0000-0000CF000000}"/>
    <cellStyle name="Commentaire 3 3 2 5 2" xfId="676" xr:uid="{00000000-0005-0000-0000-0000D0000000}"/>
    <cellStyle name="Commentaire 3 3 2 6" xfId="476" xr:uid="{00000000-0005-0000-0000-0000D1000000}"/>
    <cellStyle name="Commentaire 3 3 3" xfId="93" xr:uid="{00000000-0005-0000-0000-0000D2000000}"/>
    <cellStyle name="Commentaire 3 3 3 2" xfId="173" xr:uid="{00000000-0005-0000-0000-0000D3000000}"/>
    <cellStyle name="Commentaire 3 3 3 2 2" xfId="373" xr:uid="{00000000-0005-0000-0000-0000D4000000}"/>
    <cellStyle name="Commentaire 3 3 3 2 2 2" xfId="776" xr:uid="{00000000-0005-0000-0000-0000D5000000}"/>
    <cellStyle name="Commentaire 3 3 3 2 3" xfId="576" xr:uid="{00000000-0005-0000-0000-0000D6000000}"/>
    <cellStyle name="Commentaire 3 3 3 3" xfId="293" xr:uid="{00000000-0005-0000-0000-0000D7000000}"/>
    <cellStyle name="Commentaire 3 3 3 3 2" xfId="696" xr:uid="{00000000-0005-0000-0000-0000D8000000}"/>
    <cellStyle name="Commentaire 3 3 3 4" xfId="496" xr:uid="{00000000-0005-0000-0000-0000D9000000}"/>
    <cellStyle name="Commentaire 3 3 4" xfId="213" xr:uid="{00000000-0005-0000-0000-0000DA000000}"/>
    <cellStyle name="Commentaire 3 3 4 2" xfId="413" xr:uid="{00000000-0005-0000-0000-0000DB000000}"/>
    <cellStyle name="Commentaire 3 3 4 2 2" xfId="816" xr:uid="{00000000-0005-0000-0000-0000DC000000}"/>
    <cellStyle name="Commentaire 3 3 4 3" xfId="616" xr:uid="{00000000-0005-0000-0000-0000DD000000}"/>
    <cellStyle name="Commentaire 3 3 5" xfId="133" xr:uid="{00000000-0005-0000-0000-0000DE000000}"/>
    <cellStyle name="Commentaire 3 3 5 2" xfId="333" xr:uid="{00000000-0005-0000-0000-0000DF000000}"/>
    <cellStyle name="Commentaire 3 3 5 2 2" xfId="736" xr:uid="{00000000-0005-0000-0000-0000E0000000}"/>
    <cellStyle name="Commentaire 3 3 5 3" xfId="536" xr:uid="{00000000-0005-0000-0000-0000E1000000}"/>
    <cellStyle name="Commentaire 3 3 6" xfId="253" xr:uid="{00000000-0005-0000-0000-0000E2000000}"/>
    <cellStyle name="Commentaire 3 3 6 2" xfId="656" xr:uid="{00000000-0005-0000-0000-0000E3000000}"/>
    <cellStyle name="Commentaire 3 3 7" xfId="456" xr:uid="{00000000-0005-0000-0000-0000E4000000}"/>
    <cellStyle name="Commentaire 3 4" xfId="67" xr:uid="{00000000-0005-0000-0000-0000E5000000}"/>
    <cellStyle name="Commentaire 3 4 2" xfId="107" xr:uid="{00000000-0005-0000-0000-0000E6000000}"/>
    <cellStyle name="Commentaire 3 4 2 2" xfId="187" xr:uid="{00000000-0005-0000-0000-0000E7000000}"/>
    <cellStyle name="Commentaire 3 4 2 2 2" xfId="387" xr:uid="{00000000-0005-0000-0000-0000E8000000}"/>
    <cellStyle name="Commentaire 3 4 2 2 2 2" xfId="790" xr:uid="{00000000-0005-0000-0000-0000E9000000}"/>
    <cellStyle name="Commentaire 3 4 2 2 3" xfId="590" xr:uid="{00000000-0005-0000-0000-0000EA000000}"/>
    <cellStyle name="Commentaire 3 4 2 3" xfId="307" xr:uid="{00000000-0005-0000-0000-0000EB000000}"/>
    <cellStyle name="Commentaire 3 4 2 3 2" xfId="710" xr:uid="{00000000-0005-0000-0000-0000EC000000}"/>
    <cellStyle name="Commentaire 3 4 2 4" xfId="510" xr:uid="{00000000-0005-0000-0000-0000ED000000}"/>
    <cellStyle name="Commentaire 3 4 3" xfId="227" xr:uid="{00000000-0005-0000-0000-0000EE000000}"/>
    <cellStyle name="Commentaire 3 4 3 2" xfId="427" xr:uid="{00000000-0005-0000-0000-0000EF000000}"/>
    <cellStyle name="Commentaire 3 4 3 2 2" xfId="830" xr:uid="{00000000-0005-0000-0000-0000F0000000}"/>
    <cellStyle name="Commentaire 3 4 3 3" xfId="630" xr:uid="{00000000-0005-0000-0000-0000F1000000}"/>
    <cellStyle name="Commentaire 3 4 4" xfId="147" xr:uid="{00000000-0005-0000-0000-0000F2000000}"/>
    <cellStyle name="Commentaire 3 4 4 2" xfId="347" xr:uid="{00000000-0005-0000-0000-0000F3000000}"/>
    <cellStyle name="Commentaire 3 4 4 2 2" xfId="750" xr:uid="{00000000-0005-0000-0000-0000F4000000}"/>
    <cellStyle name="Commentaire 3 4 4 3" xfId="550" xr:uid="{00000000-0005-0000-0000-0000F5000000}"/>
    <cellStyle name="Commentaire 3 4 5" xfId="267" xr:uid="{00000000-0005-0000-0000-0000F6000000}"/>
    <cellStyle name="Commentaire 3 4 5 2" xfId="670" xr:uid="{00000000-0005-0000-0000-0000F7000000}"/>
    <cellStyle name="Commentaire 3 4 6" xfId="470" xr:uid="{00000000-0005-0000-0000-0000F8000000}"/>
    <cellStyle name="Commentaire 3 5" xfId="87" xr:uid="{00000000-0005-0000-0000-0000F9000000}"/>
    <cellStyle name="Commentaire 3 5 2" xfId="167" xr:uid="{00000000-0005-0000-0000-0000FA000000}"/>
    <cellStyle name="Commentaire 3 5 2 2" xfId="367" xr:uid="{00000000-0005-0000-0000-0000FB000000}"/>
    <cellStyle name="Commentaire 3 5 2 2 2" xfId="770" xr:uid="{00000000-0005-0000-0000-0000FC000000}"/>
    <cellStyle name="Commentaire 3 5 2 3" xfId="570" xr:uid="{00000000-0005-0000-0000-0000FD000000}"/>
    <cellStyle name="Commentaire 3 5 3" xfId="287" xr:uid="{00000000-0005-0000-0000-0000FE000000}"/>
    <cellStyle name="Commentaire 3 5 3 2" xfId="690" xr:uid="{00000000-0005-0000-0000-0000FF000000}"/>
    <cellStyle name="Commentaire 3 5 4" xfId="490" xr:uid="{00000000-0005-0000-0000-000000010000}"/>
    <cellStyle name="Commentaire 3 6" xfId="207" xr:uid="{00000000-0005-0000-0000-000001010000}"/>
    <cellStyle name="Commentaire 3 6 2" xfId="407" xr:uid="{00000000-0005-0000-0000-000002010000}"/>
    <cellStyle name="Commentaire 3 6 2 2" xfId="810" xr:uid="{00000000-0005-0000-0000-000003010000}"/>
    <cellStyle name="Commentaire 3 6 3" xfId="610" xr:uid="{00000000-0005-0000-0000-000004010000}"/>
    <cellStyle name="Commentaire 3 7" xfId="127" xr:uid="{00000000-0005-0000-0000-000005010000}"/>
    <cellStyle name="Commentaire 3 7 2" xfId="327" xr:uid="{00000000-0005-0000-0000-000006010000}"/>
    <cellStyle name="Commentaire 3 7 2 2" xfId="730" xr:uid="{00000000-0005-0000-0000-000007010000}"/>
    <cellStyle name="Commentaire 3 7 3" xfId="530" xr:uid="{00000000-0005-0000-0000-000008010000}"/>
    <cellStyle name="Commentaire 3 8" xfId="247" xr:uid="{00000000-0005-0000-0000-000009010000}"/>
    <cellStyle name="Commentaire 3 8 2" xfId="650" xr:uid="{00000000-0005-0000-0000-00000A010000}"/>
    <cellStyle name="Commentaire 3 9" xfId="450" xr:uid="{00000000-0005-0000-0000-00000B010000}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42" xr:uid="{00000000-0005-0000-0000-000010010000}"/>
    <cellStyle name="Normal 2 10" xfId="447" xr:uid="{00000000-0005-0000-0000-000011010000}"/>
    <cellStyle name="Normal 2 2" xfId="44" xr:uid="{00000000-0005-0000-0000-000012010000}"/>
    <cellStyle name="Normal 2 3" xfId="58" xr:uid="{00000000-0005-0000-0000-000013010000}"/>
    <cellStyle name="Normal 2 3 2" xfId="78" xr:uid="{00000000-0005-0000-0000-000014010000}"/>
    <cellStyle name="Normal 2 3 2 2" xfId="118" xr:uid="{00000000-0005-0000-0000-000015010000}"/>
    <cellStyle name="Normal 2 3 2 2 2" xfId="198" xr:uid="{00000000-0005-0000-0000-000016010000}"/>
    <cellStyle name="Normal 2 3 2 2 2 2" xfId="398" xr:uid="{00000000-0005-0000-0000-000017010000}"/>
    <cellStyle name="Normal 2 3 2 2 2 2 2" xfId="801" xr:uid="{00000000-0005-0000-0000-000018010000}"/>
    <cellStyle name="Normal 2 3 2 2 2 3" xfId="601" xr:uid="{00000000-0005-0000-0000-000019010000}"/>
    <cellStyle name="Normal 2 3 2 2 3" xfId="318" xr:uid="{00000000-0005-0000-0000-00001A010000}"/>
    <cellStyle name="Normal 2 3 2 2 3 2" xfId="721" xr:uid="{00000000-0005-0000-0000-00001B010000}"/>
    <cellStyle name="Normal 2 3 2 2 4" xfId="521" xr:uid="{00000000-0005-0000-0000-00001C010000}"/>
    <cellStyle name="Normal 2 3 2 3" xfId="238" xr:uid="{00000000-0005-0000-0000-00001D010000}"/>
    <cellStyle name="Normal 2 3 2 3 2" xfId="438" xr:uid="{00000000-0005-0000-0000-00001E010000}"/>
    <cellStyle name="Normal 2 3 2 3 2 2" xfId="841" xr:uid="{00000000-0005-0000-0000-00001F010000}"/>
    <cellStyle name="Normal 2 3 2 3 3" xfId="641" xr:uid="{00000000-0005-0000-0000-000020010000}"/>
    <cellStyle name="Normal 2 3 2 4" xfId="158" xr:uid="{00000000-0005-0000-0000-000021010000}"/>
    <cellStyle name="Normal 2 3 2 4 2" xfId="358" xr:uid="{00000000-0005-0000-0000-000022010000}"/>
    <cellStyle name="Normal 2 3 2 4 2 2" xfId="761" xr:uid="{00000000-0005-0000-0000-000023010000}"/>
    <cellStyle name="Normal 2 3 2 4 3" xfId="561" xr:uid="{00000000-0005-0000-0000-000024010000}"/>
    <cellStyle name="Normal 2 3 2 5" xfId="278" xr:uid="{00000000-0005-0000-0000-000025010000}"/>
    <cellStyle name="Normal 2 3 2 5 2" xfId="681" xr:uid="{00000000-0005-0000-0000-000026010000}"/>
    <cellStyle name="Normal 2 3 2 6" xfId="481" xr:uid="{00000000-0005-0000-0000-000027010000}"/>
    <cellStyle name="Normal 2 3 3" xfId="98" xr:uid="{00000000-0005-0000-0000-000028010000}"/>
    <cellStyle name="Normal 2 3 3 2" xfId="178" xr:uid="{00000000-0005-0000-0000-000029010000}"/>
    <cellStyle name="Normal 2 3 3 2 2" xfId="378" xr:uid="{00000000-0005-0000-0000-00002A010000}"/>
    <cellStyle name="Normal 2 3 3 2 2 2" xfId="781" xr:uid="{00000000-0005-0000-0000-00002B010000}"/>
    <cellStyle name="Normal 2 3 3 2 3" xfId="581" xr:uid="{00000000-0005-0000-0000-00002C010000}"/>
    <cellStyle name="Normal 2 3 3 3" xfId="298" xr:uid="{00000000-0005-0000-0000-00002D010000}"/>
    <cellStyle name="Normal 2 3 3 3 2" xfId="701" xr:uid="{00000000-0005-0000-0000-00002E010000}"/>
    <cellStyle name="Normal 2 3 3 4" xfId="501" xr:uid="{00000000-0005-0000-0000-00002F010000}"/>
    <cellStyle name="Normal 2 3 4" xfId="218" xr:uid="{00000000-0005-0000-0000-000030010000}"/>
    <cellStyle name="Normal 2 3 4 2" xfId="418" xr:uid="{00000000-0005-0000-0000-000031010000}"/>
    <cellStyle name="Normal 2 3 4 2 2" xfId="821" xr:uid="{00000000-0005-0000-0000-000032010000}"/>
    <cellStyle name="Normal 2 3 4 3" xfId="621" xr:uid="{00000000-0005-0000-0000-000033010000}"/>
    <cellStyle name="Normal 2 3 5" xfId="138" xr:uid="{00000000-0005-0000-0000-000034010000}"/>
    <cellStyle name="Normal 2 3 5 2" xfId="338" xr:uid="{00000000-0005-0000-0000-000035010000}"/>
    <cellStyle name="Normal 2 3 5 2 2" xfId="741" xr:uid="{00000000-0005-0000-0000-000036010000}"/>
    <cellStyle name="Normal 2 3 5 3" xfId="541" xr:uid="{00000000-0005-0000-0000-000037010000}"/>
    <cellStyle name="Normal 2 3 6" xfId="258" xr:uid="{00000000-0005-0000-0000-000038010000}"/>
    <cellStyle name="Normal 2 3 6 2" xfId="661" xr:uid="{00000000-0005-0000-0000-000039010000}"/>
    <cellStyle name="Normal 2 3 7" xfId="461" xr:uid="{00000000-0005-0000-0000-00003A010000}"/>
    <cellStyle name="Normal 2 4" xfId="64" xr:uid="{00000000-0005-0000-0000-00003B010000}"/>
    <cellStyle name="Normal 2 4 2" xfId="104" xr:uid="{00000000-0005-0000-0000-00003C010000}"/>
    <cellStyle name="Normal 2 4 2 2" xfId="184" xr:uid="{00000000-0005-0000-0000-00003D010000}"/>
    <cellStyle name="Normal 2 4 2 2 2" xfId="384" xr:uid="{00000000-0005-0000-0000-00003E010000}"/>
    <cellStyle name="Normal 2 4 2 2 2 2" xfId="787" xr:uid="{00000000-0005-0000-0000-00003F010000}"/>
    <cellStyle name="Normal 2 4 2 2 3" xfId="587" xr:uid="{00000000-0005-0000-0000-000040010000}"/>
    <cellStyle name="Normal 2 4 2 3" xfId="304" xr:uid="{00000000-0005-0000-0000-000041010000}"/>
    <cellStyle name="Normal 2 4 2 3 2" xfId="707" xr:uid="{00000000-0005-0000-0000-000042010000}"/>
    <cellStyle name="Normal 2 4 2 4" xfId="507" xr:uid="{00000000-0005-0000-0000-000043010000}"/>
    <cellStyle name="Normal 2 4 3" xfId="224" xr:uid="{00000000-0005-0000-0000-000044010000}"/>
    <cellStyle name="Normal 2 4 3 2" xfId="424" xr:uid="{00000000-0005-0000-0000-000045010000}"/>
    <cellStyle name="Normal 2 4 3 2 2" xfId="827" xr:uid="{00000000-0005-0000-0000-000046010000}"/>
    <cellStyle name="Normal 2 4 3 3" xfId="627" xr:uid="{00000000-0005-0000-0000-000047010000}"/>
    <cellStyle name="Normal 2 4 4" xfId="144" xr:uid="{00000000-0005-0000-0000-000048010000}"/>
    <cellStyle name="Normal 2 4 4 2" xfId="344" xr:uid="{00000000-0005-0000-0000-000049010000}"/>
    <cellStyle name="Normal 2 4 4 2 2" xfId="747" xr:uid="{00000000-0005-0000-0000-00004A010000}"/>
    <cellStyle name="Normal 2 4 4 3" xfId="547" xr:uid="{00000000-0005-0000-0000-00004B010000}"/>
    <cellStyle name="Normal 2 4 5" xfId="264" xr:uid="{00000000-0005-0000-0000-00004C010000}"/>
    <cellStyle name="Normal 2 4 5 2" xfId="667" xr:uid="{00000000-0005-0000-0000-00004D010000}"/>
    <cellStyle name="Normal 2 4 6" xfId="467" xr:uid="{00000000-0005-0000-0000-00004E010000}"/>
    <cellStyle name="Normal 2 5" xfId="84" xr:uid="{00000000-0005-0000-0000-00004F010000}"/>
    <cellStyle name="Normal 2 5 2" xfId="164" xr:uid="{00000000-0005-0000-0000-000050010000}"/>
    <cellStyle name="Normal 2 5 2 2" xfId="364" xr:uid="{00000000-0005-0000-0000-000051010000}"/>
    <cellStyle name="Normal 2 5 2 2 2" xfId="767" xr:uid="{00000000-0005-0000-0000-000052010000}"/>
    <cellStyle name="Normal 2 5 2 3" xfId="567" xr:uid="{00000000-0005-0000-0000-000053010000}"/>
    <cellStyle name="Normal 2 5 3" xfId="284" xr:uid="{00000000-0005-0000-0000-000054010000}"/>
    <cellStyle name="Normal 2 5 3 2" xfId="687" xr:uid="{00000000-0005-0000-0000-000055010000}"/>
    <cellStyle name="Normal 2 5 4" xfId="487" xr:uid="{00000000-0005-0000-0000-000056010000}"/>
    <cellStyle name="Normal 2 6" xfId="204" xr:uid="{00000000-0005-0000-0000-000057010000}"/>
    <cellStyle name="Normal 2 6 2" xfId="404" xr:uid="{00000000-0005-0000-0000-000058010000}"/>
    <cellStyle name="Normal 2 6 2 2" xfId="807" xr:uid="{00000000-0005-0000-0000-000059010000}"/>
    <cellStyle name="Normal 2 6 3" xfId="607" xr:uid="{00000000-0005-0000-0000-00005A010000}"/>
    <cellStyle name="Normal 2 7" xfId="124" xr:uid="{00000000-0005-0000-0000-00005B010000}"/>
    <cellStyle name="Normal 2 7 2" xfId="324" xr:uid="{00000000-0005-0000-0000-00005C010000}"/>
    <cellStyle name="Normal 2 7 2 2" xfId="727" xr:uid="{00000000-0005-0000-0000-00005D010000}"/>
    <cellStyle name="Normal 2 7 3" xfId="527" xr:uid="{00000000-0005-0000-0000-00005E010000}"/>
    <cellStyle name="Normal 2 8" xfId="446" xr:uid="{00000000-0005-0000-0000-00005F010000}"/>
    <cellStyle name="Normal 2 8 2" xfId="848" xr:uid="{00000000-0005-0000-0000-000060010000}"/>
    <cellStyle name="Normal 2 9" xfId="244" xr:uid="{00000000-0005-0000-0000-000061010000}"/>
    <cellStyle name="Normal 2 9 2" xfId="647" xr:uid="{00000000-0005-0000-0000-000062010000}"/>
    <cellStyle name="Normal 3" xfId="46" xr:uid="{00000000-0005-0000-0000-000063010000}"/>
    <cellStyle name="Normal 3 10" xfId="445" xr:uid="{00000000-0005-0000-0000-000064010000}"/>
    <cellStyle name="Normal 3 11" xfId="246" xr:uid="{00000000-0005-0000-0000-000065010000}"/>
    <cellStyle name="Normal 3 11 2" xfId="649" xr:uid="{00000000-0005-0000-0000-000066010000}"/>
    <cellStyle name="Normal 3 12" xfId="449" xr:uid="{00000000-0005-0000-0000-000067010000}"/>
    <cellStyle name="Normal 3 2" xfId="49" xr:uid="{00000000-0005-0000-0000-000068010000}"/>
    <cellStyle name="Normal 3 2 2" xfId="63" xr:uid="{00000000-0005-0000-0000-000069010000}"/>
    <cellStyle name="Normal 3 2 2 2" xfId="83" xr:uid="{00000000-0005-0000-0000-00006A010000}"/>
    <cellStyle name="Normal 3 2 2 2 2" xfId="123" xr:uid="{00000000-0005-0000-0000-00006B010000}"/>
    <cellStyle name="Normal 3 2 2 2 2 2" xfId="203" xr:uid="{00000000-0005-0000-0000-00006C010000}"/>
    <cellStyle name="Normal 3 2 2 2 2 2 2" xfId="403" xr:uid="{00000000-0005-0000-0000-00006D010000}"/>
    <cellStyle name="Normal 3 2 2 2 2 2 2 2" xfId="806" xr:uid="{00000000-0005-0000-0000-00006E010000}"/>
    <cellStyle name="Normal 3 2 2 2 2 2 3" xfId="606" xr:uid="{00000000-0005-0000-0000-00006F010000}"/>
    <cellStyle name="Normal 3 2 2 2 2 3" xfId="323" xr:uid="{00000000-0005-0000-0000-000070010000}"/>
    <cellStyle name="Normal 3 2 2 2 2 3 2" xfId="726" xr:uid="{00000000-0005-0000-0000-000071010000}"/>
    <cellStyle name="Normal 3 2 2 2 2 4" xfId="526" xr:uid="{00000000-0005-0000-0000-000072010000}"/>
    <cellStyle name="Normal 3 2 2 2 3" xfId="243" xr:uid="{00000000-0005-0000-0000-000073010000}"/>
    <cellStyle name="Normal 3 2 2 2 3 2" xfId="443" xr:uid="{00000000-0005-0000-0000-000074010000}"/>
    <cellStyle name="Normal 3 2 2 2 3 2 2" xfId="846" xr:uid="{00000000-0005-0000-0000-000075010000}"/>
    <cellStyle name="Normal 3 2 2 2 3 3" xfId="646" xr:uid="{00000000-0005-0000-0000-000076010000}"/>
    <cellStyle name="Normal 3 2 2 2 4" xfId="163" xr:uid="{00000000-0005-0000-0000-000077010000}"/>
    <cellStyle name="Normal 3 2 2 2 4 2" xfId="363" xr:uid="{00000000-0005-0000-0000-000078010000}"/>
    <cellStyle name="Normal 3 2 2 2 4 2 2" xfId="766" xr:uid="{00000000-0005-0000-0000-000079010000}"/>
    <cellStyle name="Normal 3 2 2 2 4 3" xfId="566" xr:uid="{00000000-0005-0000-0000-00007A010000}"/>
    <cellStyle name="Normal 3 2 2 2 5" xfId="283" xr:uid="{00000000-0005-0000-0000-00007B010000}"/>
    <cellStyle name="Normal 3 2 2 2 5 2" xfId="686" xr:uid="{00000000-0005-0000-0000-00007C010000}"/>
    <cellStyle name="Normal 3 2 2 2 6" xfId="486" xr:uid="{00000000-0005-0000-0000-00007D010000}"/>
    <cellStyle name="Normal 3 2 2 3" xfId="103" xr:uid="{00000000-0005-0000-0000-00007E010000}"/>
    <cellStyle name="Normal 3 2 2 3 2" xfId="183" xr:uid="{00000000-0005-0000-0000-00007F010000}"/>
    <cellStyle name="Normal 3 2 2 3 2 2" xfId="383" xr:uid="{00000000-0005-0000-0000-000080010000}"/>
    <cellStyle name="Normal 3 2 2 3 2 2 2" xfId="786" xr:uid="{00000000-0005-0000-0000-000081010000}"/>
    <cellStyle name="Normal 3 2 2 3 2 3" xfId="586" xr:uid="{00000000-0005-0000-0000-000082010000}"/>
    <cellStyle name="Normal 3 2 2 3 3" xfId="303" xr:uid="{00000000-0005-0000-0000-000083010000}"/>
    <cellStyle name="Normal 3 2 2 3 3 2" xfId="706" xr:uid="{00000000-0005-0000-0000-000084010000}"/>
    <cellStyle name="Normal 3 2 2 3 4" xfId="506" xr:uid="{00000000-0005-0000-0000-000085010000}"/>
    <cellStyle name="Normal 3 2 2 4" xfId="223" xr:uid="{00000000-0005-0000-0000-000086010000}"/>
    <cellStyle name="Normal 3 2 2 4 2" xfId="423" xr:uid="{00000000-0005-0000-0000-000087010000}"/>
    <cellStyle name="Normal 3 2 2 4 2 2" xfId="826" xr:uid="{00000000-0005-0000-0000-000088010000}"/>
    <cellStyle name="Normal 3 2 2 4 3" xfId="626" xr:uid="{00000000-0005-0000-0000-000089010000}"/>
    <cellStyle name="Normal 3 2 2 5" xfId="143" xr:uid="{00000000-0005-0000-0000-00008A010000}"/>
    <cellStyle name="Normal 3 2 2 5 2" xfId="343" xr:uid="{00000000-0005-0000-0000-00008B010000}"/>
    <cellStyle name="Normal 3 2 2 5 2 2" xfId="746" xr:uid="{00000000-0005-0000-0000-00008C010000}"/>
    <cellStyle name="Normal 3 2 2 5 3" xfId="546" xr:uid="{00000000-0005-0000-0000-00008D010000}"/>
    <cellStyle name="Normal 3 2 2 6" xfId="263" xr:uid="{00000000-0005-0000-0000-00008E010000}"/>
    <cellStyle name="Normal 3 2 2 6 2" xfId="666" xr:uid="{00000000-0005-0000-0000-00008F010000}"/>
    <cellStyle name="Normal 3 2 2 7" xfId="466" xr:uid="{00000000-0005-0000-0000-000090010000}"/>
    <cellStyle name="Normal 3 2 3" xfId="57" xr:uid="{00000000-0005-0000-0000-000091010000}"/>
    <cellStyle name="Normal 3 2 3 2" xfId="77" xr:uid="{00000000-0005-0000-0000-000092010000}"/>
    <cellStyle name="Normal 3 2 3 2 2" xfId="117" xr:uid="{00000000-0005-0000-0000-000093010000}"/>
    <cellStyle name="Normal 3 2 3 2 2 2" xfId="197" xr:uid="{00000000-0005-0000-0000-000094010000}"/>
    <cellStyle name="Normal 3 2 3 2 2 2 2" xfId="397" xr:uid="{00000000-0005-0000-0000-000095010000}"/>
    <cellStyle name="Normal 3 2 3 2 2 2 2 2" xfId="800" xr:uid="{00000000-0005-0000-0000-000096010000}"/>
    <cellStyle name="Normal 3 2 3 2 2 2 3" xfId="600" xr:uid="{00000000-0005-0000-0000-000097010000}"/>
    <cellStyle name="Normal 3 2 3 2 2 3" xfId="317" xr:uid="{00000000-0005-0000-0000-000098010000}"/>
    <cellStyle name="Normal 3 2 3 2 2 3 2" xfId="720" xr:uid="{00000000-0005-0000-0000-000099010000}"/>
    <cellStyle name="Normal 3 2 3 2 2 4" xfId="520" xr:uid="{00000000-0005-0000-0000-00009A010000}"/>
    <cellStyle name="Normal 3 2 3 2 3" xfId="237" xr:uid="{00000000-0005-0000-0000-00009B010000}"/>
    <cellStyle name="Normal 3 2 3 2 3 2" xfId="437" xr:uid="{00000000-0005-0000-0000-00009C010000}"/>
    <cellStyle name="Normal 3 2 3 2 3 2 2" xfId="840" xr:uid="{00000000-0005-0000-0000-00009D010000}"/>
    <cellStyle name="Normal 3 2 3 2 3 3" xfId="640" xr:uid="{00000000-0005-0000-0000-00009E010000}"/>
    <cellStyle name="Normal 3 2 3 2 4" xfId="157" xr:uid="{00000000-0005-0000-0000-00009F010000}"/>
    <cellStyle name="Normal 3 2 3 2 4 2" xfId="357" xr:uid="{00000000-0005-0000-0000-0000A0010000}"/>
    <cellStyle name="Normal 3 2 3 2 4 2 2" xfId="760" xr:uid="{00000000-0005-0000-0000-0000A1010000}"/>
    <cellStyle name="Normal 3 2 3 2 4 3" xfId="560" xr:uid="{00000000-0005-0000-0000-0000A2010000}"/>
    <cellStyle name="Normal 3 2 3 2 5" xfId="277" xr:uid="{00000000-0005-0000-0000-0000A3010000}"/>
    <cellStyle name="Normal 3 2 3 2 5 2" xfId="680" xr:uid="{00000000-0005-0000-0000-0000A4010000}"/>
    <cellStyle name="Normal 3 2 3 2 6" xfId="480" xr:uid="{00000000-0005-0000-0000-0000A5010000}"/>
    <cellStyle name="Normal 3 2 3 3" xfId="97" xr:uid="{00000000-0005-0000-0000-0000A6010000}"/>
    <cellStyle name="Normal 3 2 3 3 2" xfId="177" xr:uid="{00000000-0005-0000-0000-0000A7010000}"/>
    <cellStyle name="Normal 3 2 3 3 2 2" xfId="377" xr:uid="{00000000-0005-0000-0000-0000A8010000}"/>
    <cellStyle name="Normal 3 2 3 3 2 2 2" xfId="780" xr:uid="{00000000-0005-0000-0000-0000A9010000}"/>
    <cellStyle name="Normal 3 2 3 3 2 3" xfId="580" xr:uid="{00000000-0005-0000-0000-0000AA010000}"/>
    <cellStyle name="Normal 3 2 3 3 3" xfId="297" xr:uid="{00000000-0005-0000-0000-0000AB010000}"/>
    <cellStyle name="Normal 3 2 3 3 3 2" xfId="700" xr:uid="{00000000-0005-0000-0000-0000AC010000}"/>
    <cellStyle name="Normal 3 2 3 3 4" xfId="500" xr:uid="{00000000-0005-0000-0000-0000AD010000}"/>
    <cellStyle name="Normal 3 2 3 4" xfId="217" xr:uid="{00000000-0005-0000-0000-0000AE010000}"/>
    <cellStyle name="Normal 3 2 3 4 2" xfId="417" xr:uid="{00000000-0005-0000-0000-0000AF010000}"/>
    <cellStyle name="Normal 3 2 3 4 2 2" xfId="820" xr:uid="{00000000-0005-0000-0000-0000B0010000}"/>
    <cellStyle name="Normal 3 2 3 4 3" xfId="620" xr:uid="{00000000-0005-0000-0000-0000B1010000}"/>
    <cellStyle name="Normal 3 2 3 5" xfId="137" xr:uid="{00000000-0005-0000-0000-0000B2010000}"/>
    <cellStyle name="Normal 3 2 3 5 2" xfId="337" xr:uid="{00000000-0005-0000-0000-0000B3010000}"/>
    <cellStyle name="Normal 3 2 3 5 2 2" xfId="740" xr:uid="{00000000-0005-0000-0000-0000B4010000}"/>
    <cellStyle name="Normal 3 2 3 5 3" xfId="540" xr:uid="{00000000-0005-0000-0000-0000B5010000}"/>
    <cellStyle name="Normal 3 2 3 6" xfId="257" xr:uid="{00000000-0005-0000-0000-0000B6010000}"/>
    <cellStyle name="Normal 3 2 3 6 2" xfId="660" xr:uid="{00000000-0005-0000-0000-0000B7010000}"/>
    <cellStyle name="Normal 3 2 3 7" xfId="460" xr:uid="{00000000-0005-0000-0000-0000B8010000}"/>
    <cellStyle name="Normal 3 2 4" xfId="69" xr:uid="{00000000-0005-0000-0000-0000B9010000}"/>
    <cellStyle name="Normal 3 2 4 2" xfId="109" xr:uid="{00000000-0005-0000-0000-0000BA010000}"/>
    <cellStyle name="Normal 3 2 4 2 2" xfId="189" xr:uid="{00000000-0005-0000-0000-0000BB010000}"/>
    <cellStyle name="Normal 3 2 4 2 2 2" xfId="389" xr:uid="{00000000-0005-0000-0000-0000BC010000}"/>
    <cellStyle name="Normal 3 2 4 2 2 2 2" xfId="792" xr:uid="{00000000-0005-0000-0000-0000BD010000}"/>
    <cellStyle name="Normal 3 2 4 2 2 3" xfId="592" xr:uid="{00000000-0005-0000-0000-0000BE010000}"/>
    <cellStyle name="Normal 3 2 4 2 3" xfId="309" xr:uid="{00000000-0005-0000-0000-0000BF010000}"/>
    <cellStyle name="Normal 3 2 4 2 3 2" xfId="712" xr:uid="{00000000-0005-0000-0000-0000C0010000}"/>
    <cellStyle name="Normal 3 2 4 2 4" xfId="512" xr:uid="{00000000-0005-0000-0000-0000C1010000}"/>
    <cellStyle name="Normal 3 2 4 3" xfId="229" xr:uid="{00000000-0005-0000-0000-0000C2010000}"/>
    <cellStyle name="Normal 3 2 4 3 2" xfId="429" xr:uid="{00000000-0005-0000-0000-0000C3010000}"/>
    <cellStyle name="Normal 3 2 4 3 2 2" xfId="832" xr:uid="{00000000-0005-0000-0000-0000C4010000}"/>
    <cellStyle name="Normal 3 2 4 3 3" xfId="632" xr:uid="{00000000-0005-0000-0000-0000C5010000}"/>
    <cellStyle name="Normal 3 2 4 4" xfId="149" xr:uid="{00000000-0005-0000-0000-0000C6010000}"/>
    <cellStyle name="Normal 3 2 4 4 2" xfId="349" xr:uid="{00000000-0005-0000-0000-0000C7010000}"/>
    <cellStyle name="Normal 3 2 4 4 2 2" xfId="752" xr:uid="{00000000-0005-0000-0000-0000C8010000}"/>
    <cellStyle name="Normal 3 2 4 4 3" xfId="552" xr:uid="{00000000-0005-0000-0000-0000C9010000}"/>
    <cellStyle name="Normal 3 2 4 5" xfId="269" xr:uid="{00000000-0005-0000-0000-0000CA010000}"/>
    <cellStyle name="Normal 3 2 4 5 2" xfId="672" xr:uid="{00000000-0005-0000-0000-0000CB010000}"/>
    <cellStyle name="Normal 3 2 4 6" xfId="472" xr:uid="{00000000-0005-0000-0000-0000CC010000}"/>
    <cellStyle name="Normal 3 2 5" xfId="89" xr:uid="{00000000-0005-0000-0000-0000CD010000}"/>
    <cellStyle name="Normal 3 2 5 2" xfId="169" xr:uid="{00000000-0005-0000-0000-0000CE010000}"/>
    <cellStyle name="Normal 3 2 5 2 2" xfId="369" xr:uid="{00000000-0005-0000-0000-0000CF010000}"/>
    <cellStyle name="Normal 3 2 5 2 2 2" xfId="772" xr:uid="{00000000-0005-0000-0000-0000D0010000}"/>
    <cellStyle name="Normal 3 2 5 2 3" xfId="572" xr:uid="{00000000-0005-0000-0000-0000D1010000}"/>
    <cellStyle name="Normal 3 2 5 3" xfId="289" xr:uid="{00000000-0005-0000-0000-0000D2010000}"/>
    <cellStyle name="Normal 3 2 5 3 2" xfId="692" xr:uid="{00000000-0005-0000-0000-0000D3010000}"/>
    <cellStyle name="Normal 3 2 5 4" xfId="492" xr:uid="{00000000-0005-0000-0000-0000D4010000}"/>
    <cellStyle name="Normal 3 2 6" xfId="209" xr:uid="{00000000-0005-0000-0000-0000D5010000}"/>
    <cellStyle name="Normal 3 2 6 2" xfId="409" xr:uid="{00000000-0005-0000-0000-0000D6010000}"/>
    <cellStyle name="Normal 3 2 6 2 2" xfId="812" xr:uid="{00000000-0005-0000-0000-0000D7010000}"/>
    <cellStyle name="Normal 3 2 6 3" xfId="612" xr:uid="{00000000-0005-0000-0000-0000D8010000}"/>
    <cellStyle name="Normal 3 2 7" xfId="129" xr:uid="{00000000-0005-0000-0000-0000D9010000}"/>
    <cellStyle name="Normal 3 2 7 2" xfId="329" xr:uid="{00000000-0005-0000-0000-0000DA010000}"/>
    <cellStyle name="Normal 3 2 7 2 2" xfId="732" xr:uid="{00000000-0005-0000-0000-0000DB010000}"/>
    <cellStyle name="Normal 3 2 7 3" xfId="532" xr:uid="{00000000-0005-0000-0000-0000DC010000}"/>
    <cellStyle name="Normal 3 2 8" xfId="249" xr:uid="{00000000-0005-0000-0000-0000DD010000}"/>
    <cellStyle name="Normal 3 2 8 2" xfId="652" xr:uid="{00000000-0005-0000-0000-0000DE010000}"/>
    <cellStyle name="Normal 3 2 9" xfId="452" xr:uid="{00000000-0005-0000-0000-0000DF010000}"/>
    <cellStyle name="Normal 3 3" xfId="56" xr:uid="{00000000-0005-0000-0000-0000E0010000}"/>
    <cellStyle name="Normal 3 3 2" xfId="76" xr:uid="{00000000-0005-0000-0000-0000E1010000}"/>
    <cellStyle name="Normal 3 3 2 2" xfId="116" xr:uid="{00000000-0005-0000-0000-0000E2010000}"/>
    <cellStyle name="Normal 3 3 2 2 2" xfId="196" xr:uid="{00000000-0005-0000-0000-0000E3010000}"/>
    <cellStyle name="Normal 3 3 2 2 2 2" xfId="396" xr:uid="{00000000-0005-0000-0000-0000E4010000}"/>
    <cellStyle name="Normal 3 3 2 2 2 2 2" xfId="799" xr:uid="{00000000-0005-0000-0000-0000E5010000}"/>
    <cellStyle name="Normal 3 3 2 2 2 3" xfId="599" xr:uid="{00000000-0005-0000-0000-0000E6010000}"/>
    <cellStyle name="Normal 3 3 2 2 3" xfId="316" xr:uid="{00000000-0005-0000-0000-0000E7010000}"/>
    <cellStyle name="Normal 3 3 2 2 3 2" xfId="719" xr:uid="{00000000-0005-0000-0000-0000E8010000}"/>
    <cellStyle name="Normal 3 3 2 2 4" xfId="519" xr:uid="{00000000-0005-0000-0000-0000E9010000}"/>
    <cellStyle name="Normal 3 3 2 3" xfId="236" xr:uid="{00000000-0005-0000-0000-0000EA010000}"/>
    <cellStyle name="Normal 3 3 2 3 2" xfId="436" xr:uid="{00000000-0005-0000-0000-0000EB010000}"/>
    <cellStyle name="Normal 3 3 2 3 2 2" xfId="839" xr:uid="{00000000-0005-0000-0000-0000EC010000}"/>
    <cellStyle name="Normal 3 3 2 3 3" xfId="639" xr:uid="{00000000-0005-0000-0000-0000ED010000}"/>
    <cellStyle name="Normal 3 3 2 4" xfId="156" xr:uid="{00000000-0005-0000-0000-0000EE010000}"/>
    <cellStyle name="Normal 3 3 2 4 2" xfId="356" xr:uid="{00000000-0005-0000-0000-0000EF010000}"/>
    <cellStyle name="Normal 3 3 2 4 2 2" xfId="759" xr:uid="{00000000-0005-0000-0000-0000F0010000}"/>
    <cellStyle name="Normal 3 3 2 4 3" xfId="559" xr:uid="{00000000-0005-0000-0000-0000F1010000}"/>
    <cellStyle name="Normal 3 3 2 5" xfId="276" xr:uid="{00000000-0005-0000-0000-0000F2010000}"/>
    <cellStyle name="Normal 3 3 2 5 2" xfId="679" xr:uid="{00000000-0005-0000-0000-0000F3010000}"/>
    <cellStyle name="Normal 3 3 2 6" xfId="479" xr:uid="{00000000-0005-0000-0000-0000F4010000}"/>
    <cellStyle name="Normal 3 3 3" xfId="96" xr:uid="{00000000-0005-0000-0000-0000F5010000}"/>
    <cellStyle name="Normal 3 3 3 2" xfId="176" xr:uid="{00000000-0005-0000-0000-0000F6010000}"/>
    <cellStyle name="Normal 3 3 3 2 2" xfId="376" xr:uid="{00000000-0005-0000-0000-0000F7010000}"/>
    <cellStyle name="Normal 3 3 3 2 2 2" xfId="779" xr:uid="{00000000-0005-0000-0000-0000F8010000}"/>
    <cellStyle name="Normal 3 3 3 2 3" xfId="579" xr:uid="{00000000-0005-0000-0000-0000F9010000}"/>
    <cellStyle name="Normal 3 3 3 3" xfId="296" xr:uid="{00000000-0005-0000-0000-0000FA010000}"/>
    <cellStyle name="Normal 3 3 3 3 2" xfId="699" xr:uid="{00000000-0005-0000-0000-0000FB010000}"/>
    <cellStyle name="Normal 3 3 3 4" xfId="499" xr:uid="{00000000-0005-0000-0000-0000FC010000}"/>
    <cellStyle name="Normal 3 3 4" xfId="216" xr:uid="{00000000-0005-0000-0000-0000FD010000}"/>
    <cellStyle name="Normal 3 3 4 2" xfId="416" xr:uid="{00000000-0005-0000-0000-0000FE010000}"/>
    <cellStyle name="Normal 3 3 4 2 2" xfId="819" xr:uid="{00000000-0005-0000-0000-0000FF010000}"/>
    <cellStyle name="Normal 3 3 4 3" xfId="619" xr:uid="{00000000-0005-0000-0000-000000020000}"/>
    <cellStyle name="Normal 3 3 5" xfId="136" xr:uid="{00000000-0005-0000-0000-000001020000}"/>
    <cellStyle name="Normal 3 3 5 2" xfId="336" xr:uid="{00000000-0005-0000-0000-000002020000}"/>
    <cellStyle name="Normal 3 3 5 2 2" xfId="739" xr:uid="{00000000-0005-0000-0000-000003020000}"/>
    <cellStyle name="Normal 3 3 5 3" xfId="539" xr:uid="{00000000-0005-0000-0000-000004020000}"/>
    <cellStyle name="Normal 3 3 6" xfId="256" xr:uid="{00000000-0005-0000-0000-000005020000}"/>
    <cellStyle name="Normal 3 3 6 2" xfId="659" xr:uid="{00000000-0005-0000-0000-000006020000}"/>
    <cellStyle name="Normal 3 3 7" xfId="459" xr:uid="{00000000-0005-0000-0000-000007020000}"/>
    <cellStyle name="Normal 3 4" xfId="60" xr:uid="{00000000-0005-0000-0000-000008020000}"/>
    <cellStyle name="Normal 3 4 2" xfId="80" xr:uid="{00000000-0005-0000-0000-000009020000}"/>
    <cellStyle name="Normal 3 4 2 2" xfId="120" xr:uid="{00000000-0005-0000-0000-00000A020000}"/>
    <cellStyle name="Normal 3 4 2 2 2" xfId="200" xr:uid="{00000000-0005-0000-0000-00000B020000}"/>
    <cellStyle name="Normal 3 4 2 2 2 2" xfId="400" xr:uid="{00000000-0005-0000-0000-00000C020000}"/>
    <cellStyle name="Normal 3 4 2 2 2 2 2" xfId="803" xr:uid="{00000000-0005-0000-0000-00000D020000}"/>
    <cellStyle name="Normal 3 4 2 2 2 3" xfId="603" xr:uid="{00000000-0005-0000-0000-00000E020000}"/>
    <cellStyle name="Normal 3 4 2 2 3" xfId="320" xr:uid="{00000000-0005-0000-0000-00000F020000}"/>
    <cellStyle name="Normal 3 4 2 2 3 2" xfId="723" xr:uid="{00000000-0005-0000-0000-000010020000}"/>
    <cellStyle name="Normal 3 4 2 2 4" xfId="523" xr:uid="{00000000-0005-0000-0000-000011020000}"/>
    <cellStyle name="Normal 3 4 2 3" xfId="240" xr:uid="{00000000-0005-0000-0000-000012020000}"/>
    <cellStyle name="Normal 3 4 2 3 2" xfId="440" xr:uid="{00000000-0005-0000-0000-000013020000}"/>
    <cellStyle name="Normal 3 4 2 3 2 2" xfId="843" xr:uid="{00000000-0005-0000-0000-000014020000}"/>
    <cellStyle name="Normal 3 4 2 3 3" xfId="643" xr:uid="{00000000-0005-0000-0000-000015020000}"/>
    <cellStyle name="Normal 3 4 2 4" xfId="160" xr:uid="{00000000-0005-0000-0000-000016020000}"/>
    <cellStyle name="Normal 3 4 2 4 2" xfId="360" xr:uid="{00000000-0005-0000-0000-000017020000}"/>
    <cellStyle name="Normal 3 4 2 4 2 2" xfId="763" xr:uid="{00000000-0005-0000-0000-000018020000}"/>
    <cellStyle name="Normal 3 4 2 4 3" xfId="563" xr:uid="{00000000-0005-0000-0000-000019020000}"/>
    <cellStyle name="Normal 3 4 2 5" xfId="280" xr:uid="{00000000-0005-0000-0000-00001A020000}"/>
    <cellStyle name="Normal 3 4 2 5 2" xfId="683" xr:uid="{00000000-0005-0000-0000-00001B020000}"/>
    <cellStyle name="Normal 3 4 2 6" xfId="483" xr:uid="{00000000-0005-0000-0000-00001C020000}"/>
    <cellStyle name="Normal 3 4 3" xfId="100" xr:uid="{00000000-0005-0000-0000-00001D020000}"/>
    <cellStyle name="Normal 3 4 3 2" xfId="180" xr:uid="{00000000-0005-0000-0000-00001E020000}"/>
    <cellStyle name="Normal 3 4 3 2 2" xfId="380" xr:uid="{00000000-0005-0000-0000-00001F020000}"/>
    <cellStyle name="Normal 3 4 3 2 2 2" xfId="783" xr:uid="{00000000-0005-0000-0000-000020020000}"/>
    <cellStyle name="Normal 3 4 3 2 3" xfId="583" xr:uid="{00000000-0005-0000-0000-000021020000}"/>
    <cellStyle name="Normal 3 4 3 3" xfId="300" xr:uid="{00000000-0005-0000-0000-000022020000}"/>
    <cellStyle name="Normal 3 4 3 3 2" xfId="703" xr:uid="{00000000-0005-0000-0000-000023020000}"/>
    <cellStyle name="Normal 3 4 3 4" xfId="503" xr:uid="{00000000-0005-0000-0000-000024020000}"/>
    <cellStyle name="Normal 3 4 4" xfId="220" xr:uid="{00000000-0005-0000-0000-000025020000}"/>
    <cellStyle name="Normal 3 4 4 2" xfId="420" xr:uid="{00000000-0005-0000-0000-000026020000}"/>
    <cellStyle name="Normal 3 4 4 2 2" xfId="823" xr:uid="{00000000-0005-0000-0000-000027020000}"/>
    <cellStyle name="Normal 3 4 4 3" xfId="623" xr:uid="{00000000-0005-0000-0000-000028020000}"/>
    <cellStyle name="Normal 3 4 5" xfId="140" xr:uid="{00000000-0005-0000-0000-000029020000}"/>
    <cellStyle name="Normal 3 4 5 2" xfId="340" xr:uid="{00000000-0005-0000-0000-00002A020000}"/>
    <cellStyle name="Normal 3 4 5 2 2" xfId="743" xr:uid="{00000000-0005-0000-0000-00002B020000}"/>
    <cellStyle name="Normal 3 4 5 3" xfId="543" xr:uid="{00000000-0005-0000-0000-00002C020000}"/>
    <cellStyle name="Normal 3 4 6" xfId="260" xr:uid="{00000000-0005-0000-0000-00002D020000}"/>
    <cellStyle name="Normal 3 4 6 2" xfId="663" xr:uid="{00000000-0005-0000-0000-00002E020000}"/>
    <cellStyle name="Normal 3 4 7" xfId="463" xr:uid="{00000000-0005-0000-0000-00002F020000}"/>
    <cellStyle name="Normal 3 5" xfId="50" xr:uid="{00000000-0005-0000-0000-000030020000}"/>
    <cellStyle name="Normal 3 5 2" xfId="70" xr:uid="{00000000-0005-0000-0000-000031020000}"/>
    <cellStyle name="Normal 3 5 2 2" xfId="110" xr:uid="{00000000-0005-0000-0000-000032020000}"/>
    <cellStyle name="Normal 3 5 2 2 2" xfId="190" xr:uid="{00000000-0005-0000-0000-000033020000}"/>
    <cellStyle name="Normal 3 5 2 2 2 2" xfId="390" xr:uid="{00000000-0005-0000-0000-000034020000}"/>
    <cellStyle name="Normal 3 5 2 2 2 2 2" xfId="793" xr:uid="{00000000-0005-0000-0000-000035020000}"/>
    <cellStyle name="Normal 3 5 2 2 2 3" xfId="593" xr:uid="{00000000-0005-0000-0000-000036020000}"/>
    <cellStyle name="Normal 3 5 2 2 3" xfId="310" xr:uid="{00000000-0005-0000-0000-000037020000}"/>
    <cellStyle name="Normal 3 5 2 2 3 2" xfId="713" xr:uid="{00000000-0005-0000-0000-000038020000}"/>
    <cellStyle name="Normal 3 5 2 2 4" xfId="513" xr:uid="{00000000-0005-0000-0000-000039020000}"/>
    <cellStyle name="Normal 3 5 2 3" xfId="230" xr:uid="{00000000-0005-0000-0000-00003A020000}"/>
    <cellStyle name="Normal 3 5 2 3 2" xfId="430" xr:uid="{00000000-0005-0000-0000-00003B020000}"/>
    <cellStyle name="Normal 3 5 2 3 2 2" xfId="833" xr:uid="{00000000-0005-0000-0000-00003C020000}"/>
    <cellStyle name="Normal 3 5 2 3 3" xfId="633" xr:uid="{00000000-0005-0000-0000-00003D020000}"/>
    <cellStyle name="Normal 3 5 2 4" xfId="150" xr:uid="{00000000-0005-0000-0000-00003E020000}"/>
    <cellStyle name="Normal 3 5 2 4 2" xfId="350" xr:uid="{00000000-0005-0000-0000-00003F020000}"/>
    <cellStyle name="Normal 3 5 2 4 2 2" xfId="753" xr:uid="{00000000-0005-0000-0000-000040020000}"/>
    <cellStyle name="Normal 3 5 2 4 3" xfId="553" xr:uid="{00000000-0005-0000-0000-000041020000}"/>
    <cellStyle name="Normal 3 5 2 5" xfId="270" xr:uid="{00000000-0005-0000-0000-000042020000}"/>
    <cellStyle name="Normal 3 5 2 5 2" xfId="673" xr:uid="{00000000-0005-0000-0000-000043020000}"/>
    <cellStyle name="Normal 3 5 2 6" xfId="473" xr:uid="{00000000-0005-0000-0000-000044020000}"/>
    <cellStyle name="Normal 3 5 3" xfId="90" xr:uid="{00000000-0005-0000-0000-000045020000}"/>
    <cellStyle name="Normal 3 5 3 2" xfId="170" xr:uid="{00000000-0005-0000-0000-000046020000}"/>
    <cellStyle name="Normal 3 5 3 2 2" xfId="370" xr:uid="{00000000-0005-0000-0000-000047020000}"/>
    <cellStyle name="Normal 3 5 3 2 2 2" xfId="773" xr:uid="{00000000-0005-0000-0000-000048020000}"/>
    <cellStyle name="Normal 3 5 3 2 3" xfId="573" xr:uid="{00000000-0005-0000-0000-000049020000}"/>
    <cellStyle name="Normal 3 5 3 3" xfId="290" xr:uid="{00000000-0005-0000-0000-00004A020000}"/>
    <cellStyle name="Normal 3 5 3 3 2" xfId="693" xr:uid="{00000000-0005-0000-0000-00004B020000}"/>
    <cellStyle name="Normal 3 5 3 4" xfId="493" xr:uid="{00000000-0005-0000-0000-00004C020000}"/>
    <cellStyle name="Normal 3 5 4" xfId="210" xr:uid="{00000000-0005-0000-0000-00004D020000}"/>
    <cellStyle name="Normal 3 5 4 2" xfId="410" xr:uid="{00000000-0005-0000-0000-00004E020000}"/>
    <cellStyle name="Normal 3 5 4 2 2" xfId="813" xr:uid="{00000000-0005-0000-0000-00004F020000}"/>
    <cellStyle name="Normal 3 5 4 3" xfId="613" xr:uid="{00000000-0005-0000-0000-000050020000}"/>
    <cellStyle name="Normal 3 5 5" xfId="130" xr:uid="{00000000-0005-0000-0000-000051020000}"/>
    <cellStyle name="Normal 3 5 5 2" xfId="330" xr:uid="{00000000-0005-0000-0000-000052020000}"/>
    <cellStyle name="Normal 3 5 5 2 2" xfId="733" xr:uid="{00000000-0005-0000-0000-000053020000}"/>
    <cellStyle name="Normal 3 5 5 3" xfId="533" xr:uid="{00000000-0005-0000-0000-000054020000}"/>
    <cellStyle name="Normal 3 5 6" xfId="250" xr:uid="{00000000-0005-0000-0000-000055020000}"/>
    <cellStyle name="Normal 3 5 6 2" xfId="653" xr:uid="{00000000-0005-0000-0000-000056020000}"/>
    <cellStyle name="Normal 3 5 7" xfId="453" xr:uid="{00000000-0005-0000-0000-000057020000}"/>
    <cellStyle name="Normal 3 6" xfId="66" xr:uid="{00000000-0005-0000-0000-000058020000}"/>
    <cellStyle name="Normal 3 6 2" xfId="106" xr:uid="{00000000-0005-0000-0000-000059020000}"/>
    <cellStyle name="Normal 3 6 2 2" xfId="186" xr:uid="{00000000-0005-0000-0000-00005A020000}"/>
    <cellStyle name="Normal 3 6 2 2 2" xfId="386" xr:uid="{00000000-0005-0000-0000-00005B020000}"/>
    <cellStyle name="Normal 3 6 2 2 2 2" xfId="789" xr:uid="{00000000-0005-0000-0000-00005C020000}"/>
    <cellStyle name="Normal 3 6 2 2 3" xfId="589" xr:uid="{00000000-0005-0000-0000-00005D020000}"/>
    <cellStyle name="Normal 3 6 2 3" xfId="306" xr:uid="{00000000-0005-0000-0000-00005E020000}"/>
    <cellStyle name="Normal 3 6 2 3 2" xfId="709" xr:uid="{00000000-0005-0000-0000-00005F020000}"/>
    <cellStyle name="Normal 3 6 2 4" xfId="509" xr:uid="{00000000-0005-0000-0000-000060020000}"/>
    <cellStyle name="Normal 3 6 3" xfId="226" xr:uid="{00000000-0005-0000-0000-000061020000}"/>
    <cellStyle name="Normal 3 6 3 2" xfId="426" xr:uid="{00000000-0005-0000-0000-000062020000}"/>
    <cellStyle name="Normal 3 6 3 2 2" xfId="829" xr:uid="{00000000-0005-0000-0000-000063020000}"/>
    <cellStyle name="Normal 3 6 3 3" xfId="629" xr:uid="{00000000-0005-0000-0000-000064020000}"/>
    <cellStyle name="Normal 3 6 4" xfId="146" xr:uid="{00000000-0005-0000-0000-000065020000}"/>
    <cellStyle name="Normal 3 6 4 2" xfId="346" xr:uid="{00000000-0005-0000-0000-000066020000}"/>
    <cellStyle name="Normal 3 6 4 2 2" xfId="749" xr:uid="{00000000-0005-0000-0000-000067020000}"/>
    <cellStyle name="Normal 3 6 4 3" xfId="549" xr:uid="{00000000-0005-0000-0000-000068020000}"/>
    <cellStyle name="Normal 3 6 5" xfId="266" xr:uid="{00000000-0005-0000-0000-000069020000}"/>
    <cellStyle name="Normal 3 6 5 2" xfId="669" xr:uid="{00000000-0005-0000-0000-00006A020000}"/>
    <cellStyle name="Normal 3 6 6" xfId="469" xr:uid="{00000000-0005-0000-0000-00006B020000}"/>
    <cellStyle name="Normal 3 7" xfId="86" xr:uid="{00000000-0005-0000-0000-00006C020000}"/>
    <cellStyle name="Normal 3 7 2" xfId="166" xr:uid="{00000000-0005-0000-0000-00006D020000}"/>
    <cellStyle name="Normal 3 7 2 2" xfId="366" xr:uid="{00000000-0005-0000-0000-00006E020000}"/>
    <cellStyle name="Normal 3 7 2 2 2" xfId="769" xr:uid="{00000000-0005-0000-0000-00006F020000}"/>
    <cellStyle name="Normal 3 7 2 3" xfId="569" xr:uid="{00000000-0005-0000-0000-000070020000}"/>
    <cellStyle name="Normal 3 7 3" xfId="286" xr:uid="{00000000-0005-0000-0000-000071020000}"/>
    <cellStyle name="Normal 3 7 3 2" xfId="689" xr:uid="{00000000-0005-0000-0000-000072020000}"/>
    <cellStyle name="Normal 3 7 4" xfId="489" xr:uid="{00000000-0005-0000-0000-000073020000}"/>
    <cellStyle name="Normal 3 8" xfId="206" xr:uid="{00000000-0005-0000-0000-000074020000}"/>
    <cellStyle name="Normal 3 8 2" xfId="406" xr:uid="{00000000-0005-0000-0000-000075020000}"/>
    <cellStyle name="Normal 3 8 2 2" xfId="809" xr:uid="{00000000-0005-0000-0000-000076020000}"/>
    <cellStyle name="Normal 3 8 3" xfId="609" xr:uid="{00000000-0005-0000-0000-000077020000}"/>
    <cellStyle name="Normal 3 9" xfId="126" xr:uid="{00000000-0005-0000-0000-000078020000}"/>
    <cellStyle name="Normal 3 9 2" xfId="326" xr:uid="{00000000-0005-0000-0000-000079020000}"/>
    <cellStyle name="Normal 3 9 2 2" xfId="729" xr:uid="{00000000-0005-0000-0000-00007A020000}"/>
    <cellStyle name="Normal 3 9 3" xfId="529" xr:uid="{00000000-0005-0000-0000-00007B020000}"/>
    <cellStyle name="Normal 4" xfId="48" xr:uid="{00000000-0005-0000-0000-00007C020000}"/>
    <cellStyle name="Normal 4 10" xfId="451" xr:uid="{00000000-0005-0000-0000-00007D020000}"/>
    <cellStyle name="Normal 4 2" xfId="55" xr:uid="{00000000-0005-0000-0000-00007E020000}"/>
    <cellStyle name="Normal 4 2 2" xfId="75" xr:uid="{00000000-0005-0000-0000-00007F020000}"/>
    <cellStyle name="Normal 4 2 2 2" xfId="115" xr:uid="{00000000-0005-0000-0000-000080020000}"/>
    <cellStyle name="Normal 4 2 2 2 2" xfId="195" xr:uid="{00000000-0005-0000-0000-000081020000}"/>
    <cellStyle name="Normal 4 2 2 2 2 2" xfId="395" xr:uid="{00000000-0005-0000-0000-000082020000}"/>
    <cellStyle name="Normal 4 2 2 2 2 2 2" xfId="798" xr:uid="{00000000-0005-0000-0000-000083020000}"/>
    <cellStyle name="Normal 4 2 2 2 2 3" xfId="598" xr:uid="{00000000-0005-0000-0000-000084020000}"/>
    <cellStyle name="Normal 4 2 2 2 3" xfId="315" xr:uid="{00000000-0005-0000-0000-000085020000}"/>
    <cellStyle name="Normal 4 2 2 2 3 2" xfId="718" xr:uid="{00000000-0005-0000-0000-000086020000}"/>
    <cellStyle name="Normal 4 2 2 2 4" xfId="518" xr:uid="{00000000-0005-0000-0000-000087020000}"/>
    <cellStyle name="Normal 4 2 2 3" xfId="235" xr:uid="{00000000-0005-0000-0000-000088020000}"/>
    <cellStyle name="Normal 4 2 2 3 2" xfId="435" xr:uid="{00000000-0005-0000-0000-000089020000}"/>
    <cellStyle name="Normal 4 2 2 3 2 2" xfId="838" xr:uid="{00000000-0005-0000-0000-00008A020000}"/>
    <cellStyle name="Normal 4 2 2 3 3" xfId="638" xr:uid="{00000000-0005-0000-0000-00008B020000}"/>
    <cellStyle name="Normal 4 2 2 4" xfId="155" xr:uid="{00000000-0005-0000-0000-00008C020000}"/>
    <cellStyle name="Normal 4 2 2 4 2" xfId="355" xr:uid="{00000000-0005-0000-0000-00008D020000}"/>
    <cellStyle name="Normal 4 2 2 4 2 2" xfId="758" xr:uid="{00000000-0005-0000-0000-00008E020000}"/>
    <cellStyle name="Normal 4 2 2 4 3" xfId="558" xr:uid="{00000000-0005-0000-0000-00008F020000}"/>
    <cellStyle name="Normal 4 2 2 5" xfId="275" xr:uid="{00000000-0005-0000-0000-000090020000}"/>
    <cellStyle name="Normal 4 2 2 5 2" xfId="678" xr:uid="{00000000-0005-0000-0000-000091020000}"/>
    <cellStyle name="Normal 4 2 2 6" xfId="478" xr:uid="{00000000-0005-0000-0000-000092020000}"/>
    <cellStyle name="Normal 4 2 3" xfId="95" xr:uid="{00000000-0005-0000-0000-000093020000}"/>
    <cellStyle name="Normal 4 2 3 2" xfId="175" xr:uid="{00000000-0005-0000-0000-000094020000}"/>
    <cellStyle name="Normal 4 2 3 2 2" xfId="375" xr:uid="{00000000-0005-0000-0000-000095020000}"/>
    <cellStyle name="Normal 4 2 3 2 2 2" xfId="778" xr:uid="{00000000-0005-0000-0000-000096020000}"/>
    <cellStyle name="Normal 4 2 3 2 3" xfId="578" xr:uid="{00000000-0005-0000-0000-000097020000}"/>
    <cellStyle name="Normal 4 2 3 3" xfId="295" xr:uid="{00000000-0005-0000-0000-000098020000}"/>
    <cellStyle name="Normal 4 2 3 3 2" xfId="698" xr:uid="{00000000-0005-0000-0000-000099020000}"/>
    <cellStyle name="Normal 4 2 3 4" xfId="498" xr:uid="{00000000-0005-0000-0000-00009A020000}"/>
    <cellStyle name="Normal 4 2 4" xfId="215" xr:uid="{00000000-0005-0000-0000-00009B020000}"/>
    <cellStyle name="Normal 4 2 4 2" xfId="415" xr:uid="{00000000-0005-0000-0000-00009C020000}"/>
    <cellStyle name="Normal 4 2 4 2 2" xfId="818" xr:uid="{00000000-0005-0000-0000-00009D020000}"/>
    <cellStyle name="Normal 4 2 4 3" xfId="618" xr:uid="{00000000-0005-0000-0000-00009E020000}"/>
    <cellStyle name="Normal 4 2 5" xfId="135" xr:uid="{00000000-0005-0000-0000-00009F020000}"/>
    <cellStyle name="Normal 4 2 5 2" xfId="335" xr:uid="{00000000-0005-0000-0000-0000A0020000}"/>
    <cellStyle name="Normal 4 2 5 2 2" xfId="738" xr:uid="{00000000-0005-0000-0000-0000A1020000}"/>
    <cellStyle name="Normal 4 2 5 3" xfId="538" xr:uid="{00000000-0005-0000-0000-0000A2020000}"/>
    <cellStyle name="Normal 4 2 6" xfId="255" xr:uid="{00000000-0005-0000-0000-0000A3020000}"/>
    <cellStyle name="Normal 4 2 6 2" xfId="658" xr:uid="{00000000-0005-0000-0000-0000A4020000}"/>
    <cellStyle name="Normal 4 2 7" xfId="458" xr:uid="{00000000-0005-0000-0000-0000A5020000}"/>
    <cellStyle name="Normal 4 3" xfId="62" xr:uid="{00000000-0005-0000-0000-0000A6020000}"/>
    <cellStyle name="Normal 4 3 2" xfId="82" xr:uid="{00000000-0005-0000-0000-0000A7020000}"/>
    <cellStyle name="Normal 4 3 2 2" xfId="122" xr:uid="{00000000-0005-0000-0000-0000A8020000}"/>
    <cellStyle name="Normal 4 3 2 2 2" xfId="202" xr:uid="{00000000-0005-0000-0000-0000A9020000}"/>
    <cellStyle name="Normal 4 3 2 2 2 2" xfId="402" xr:uid="{00000000-0005-0000-0000-0000AA020000}"/>
    <cellStyle name="Normal 4 3 2 2 2 2 2" xfId="805" xr:uid="{00000000-0005-0000-0000-0000AB020000}"/>
    <cellStyle name="Normal 4 3 2 2 2 3" xfId="605" xr:uid="{00000000-0005-0000-0000-0000AC020000}"/>
    <cellStyle name="Normal 4 3 2 2 3" xfId="322" xr:uid="{00000000-0005-0000-0000-0000AD020000}"/>
    <cellStyle name="Normal 4 3 2 2 3 2" xfId="725" xr:uid="{00000000-0005-0000-0000-0000AE020000}"/>
    <cellStyle name="Normal 4 3 2 2 4" xfId="525" xr:uid="{00000000-0005-0000-0000-0000AF020000}"/>
    <cellStyle name="Normal 4 3 2 3" xfId="242" xr:uid="{00000000-0005-0000-0000-0000B0020000}"/>
    <cellStyle name="Normal 4 3 2 3 2" xfId="442" xr:uid="{00000000-0005-0000-0000-0000B1020000}"/>
    <cellStyle name="Normal 4 3 2 3 2 2" xfId="845" xr:uid="{00000000-0005-0000-0000-0000B2020000}"/>
    <cellStyle name="Normal 4 3 2 3 3" xfId="645" xr:uid="{00000000-0005-0000-0000-0000B3020000}"/>
    <cellStyle name="Normal 4 3 2 4" xfId="162" xr:uid="{00000000-0005-0000-0000-0000B4020000}"/>
    <cellStyle name="Normal 4 3 2 4 2" xfId="362" xr:uid="{00000000-0005-0000-0000-0000B5020000}"/>
    <cellStyle name="Normal 4 3 2 4 2 2" xfId="765" xr:uid="{00000000-0005-0000-0000-0000B6020000}"/>
    <cellStyle name="Normal 4 3 2 4 3" xfId="565" xr:uid="{00000000-0005-0000-0000-0000B7020000}"/>
    <cellStyle name="Normal 4 3 2 5" xfId="282" xr:uid="{00000000-0005-0000-0000-0000B8020000}"/>
    <cellStyle name="Normal 4 3 2 5 2" xfId="685" xr:uid="{00000000-0005-0000-0000-0000B9020000}"/>
    <cellStyle name="Normal 4 3 2 6" xfId="485" xr:uid="{00000000-0005-0000-0000-0000BA020000}"/>
    <cellStyle name="Normal 4 3 3" xfId="102" xr:uid="{00000000-0005-0000-0000-0000BB020000}"/>
    <cellStyle name="Normal 4 3 3 2" xfId="182" xr:uid="{00000000-0005-0000-0000-0000BC020000}"/>
    <cellStyle name="Normal 4 3 3 2 2" xfId="382" xr:uid="{00000000-0005-0000-0000-0000BD020000}"/>
    <cellStyle name="Normal 4 3 3 2 2 2" xfId="785" xr:uid="{00000000-0005-0000-0000-0000BE020000}"/>
    <cellStyle name="Normal 4 3 3 2 3" xfId="585" xr:uid="{00000000-0005-0000-0000-0000BF020000}"/>
    <cellStyle name="Normal 4 3 3 3" xfId="302" xr:uid="{00000000-0005-0000-0000-0000C0020000}"/>
    <cellStyle name="Normal 4 3 3 3 2" xfId="705" xr:uid="{00000000-0005-0000-0000-0000C1020000}"/>
    <cellStyle name="Normal 4 3 3 4" xfId="505" xr:uid="{00000000-0005-0000-0000-0000C2020000}"/>
    <cellStyle name="Normal 4 3 4" xfId="222" xr:uid="{00000000-0005-0000-0000-0000C3020000}"/>
    <cellStyle name="Normal 4 3 4 2" xfId="422" xr:uid="{00000000-0005-0000-0000-0000C4020000}"/>
    <cellStyle name="Normal 4 3 4 2 2" xfId="825" xr:uid="{00000000-0005-0000-0000-0000C5020000}"/>
    <cellStyle name="Normal 4 3 4 3" xfId="625" xr:uid="{00000000-0005-0000-0000-0000C6020000}"/>
    <cellStyle name="Normal 4 3 5" xfId="142" xr:uid="{00000000-0005-0000-0000-0000C7020000}"/>
    <cellStyle name="Normal 4 3 5 2" xfId="342" xr:uid="{00000000-0005-0000-0000-0000C8020000}"/>
    <cellStyle name="Normal 4 3 5 2 2" xfId="745" xr:uid="{00000000-0005-0000-0000-0000C9020000}"/>
    <cellStyle name="Normal 4 3 5 3" xfId="545" xr:uid="{00000000-0005-0000-0000-0000CA020000}"/>
    <cellStyle name="Normal 4 3 6" xfId="262" xr:uid="{00000000-0005-0000-0000-0000CB020000}"/>
    <cellStyle name="Normal 4 3 6 2" xfId="665" xr:uid="{00000000-0005-0000-0000-0000CC020000}"/>
    <cellStyle name="Normal 4 3 7" xfId="465" xr:uid="{00000000-0005-0000-0000-0000CD020000}"/>
    <cellStyle name="Normal 4 4" xfId="52" xr:uid="{00000000-0005-0000-0000-0000CE020000}"/>
    <cellStyle name="Normal 4 4 2" xfId="72" xr:uid="{00000000-0005-0000-0000-0000CF020000}"/>
    <cellStyle name="Normal 4 4 2 2" xfId="112" xr:uid="{00000000-0005-0000-0000-0000D0020000}"/>
    <cellStyle name="Normal 4 4 2 2 2" xfId="192" xr:uid="{00000000-0005-0000-0000-0000D1020000}"/>
    <cellStyle name="Normal 4 4 2 2 2 2" xfId="392" xr:uid="{00000000-0005-0000-0000-0000D2020000}"/>
    <cellStyle name="Normal 4 4 2 2 2 2 2" xfId="795" xr:uid="{00000000-0005-0000-0000-0000D3020000}"/>
    <cellStyle name="Normal 4 4 2 2 2 3" xfId="595" xr:uid="{00000000-0005-0000-0000-0000D4020000}"/>
    <cellStyle name="Normal 4 4 2 2 3" xfId="312" xr:uid="{00000000-0005-0000-0000-0000D5020000}"/>
    <cellStyle name="Normal 4 4 2 2 3 2" xfId="715" xr:uid="{00000000-0005-0000-0000-0000D6020000}"/>
    <cellStyle name="Normal 4 4 2 2 4" xfId="515" xr:uid="{00000000-0005-0000-0000-0000D7020000}"/>
    <cellStyle name="Normal 4 4 2 3" xfId="232" xr:uid="{00000000-0005-0000-0000-0000D8020000}"/>
    <cellStyle name="Normal 4 4 2 3 2" xfId="432" xr:uid="{00000000-0005-0000-0000-0000D9020000}"/>
    <cellStyle name="Normal 4 4 2 3 2 2" xfId="835" xr:uid="{00000000-0005-0000-0000-0000DA020000}"/>
    <cellStyle name="Normal 4 4 2 3 3" xfId="635" xr:uid="{00000000-0005-0000-0000-0000DB020000}"/>
    <cellStyle name="Normal 4 4 2 4" xfId="152" xr:uid="{00000000-0005-0000-0000-0000DC020000}"/>
    <cellStyle name="Normal 4 4 2 4 2" xfId="352" xr:uid="{00000000-0005-0000-0000-0000DD020000}"/>
    <cellStyle name="Normal 4 4 2 4 2 2" xfId="755" xr:uid="{00000000-0005-0000-0000-0000DE020000}"/>
    <cellStyle name="Normal 4 4 2 4 3" xfId="555" xr:uid="{00000000-0005-0000-0000-0000DF020000}"/>
    <cellStyle name="Normal 4 4 2 5" xfId="272" xr:uid="{00000000-0005-0000-0000-0000E0020000}"/>
    <cellStyle name="Normal 4 4 2 5 2" xfId="675" xr:uid="{00000000-0005-0000-0000-0000E1020000}"/>
    <cellStyle name="Normal 4 4 2 6" xfId="475" xr:uid="{00000000-0005-0000-0000-0000E2020000}"/>
    <cellStyle name="Normal 4 4 3" xfId="92" xr:uid="{00000000-0005-0000-0000-0000E3020000}"/>
    <cellStyle name="Normal 4 4 3 2" xfId="172" xr:uid="{00000000-0005-0000-0000-0000E4020000}"/>
    <cellStyle name="Normal 4 4 3 2 2" xfId="372" xr:uid="{00000000-0005-0000-0000-0000E5020000}"/>
    <cellStyle name="Normal 4 4 3 2 2 2" xfId="775" xr:uid="{00000000-0005-0000-0000-0000E6020000}"/>
    <cellStyle name="Normal 4 4 3 2 3" xfId="575" xr:uid="{00000000-0005-0000-0000-0000E7020000}"/>
    <cellStyle name="Normal 4 4 3 3" xfId="292" xr:uid="{00000000-0005-0000-0000-0000E8020000}"/>
    <cellStyle name="Normal 4 4 3 3 2" xfId="695" xr:uid="{00000000-0005-0000-0000-0000E9020000}"/>
    <cellStyle name="Normal 4 4 3 4" xfId="495" xr:uid="{00000000-0005-0000-0000-0000EA020000}"/>
    <cellStyle name="Normal 4 4 4" xfId="212" xr:uid="{00000000-0005-0000-0000-0000EB020000}"/>
    <cellStyle name="Normal 4 4 4 2" xfId="412" xr:uid="{00000000-0005-0000-0000-0000EC020000}"/>
    <cellStyle name="Normal 4 4 4 2 2" xfId="815" xr:uid="{00000000-0005-0000-0000-0000ED020000}"/>
    <cellStyle name="Normal 4 4 4 3" xfId="615" xr:uid="{00000000-0005-0000-0000-0000EE020000}"/>
    <cellStyle name="Normal 4 4 5" xfId="132" xr:uid="{00000000-0005-0000-0000-0000EF020000}"/>
    <cellStyle name="Normal 4 4 5 2" xfId="332" xr:uid="{00000000-0005-0000-0000-0000F0020000}"/>
    <cellStyle name="Normal 4 4 5 2 2" xfId="735" xr:uid="{00000000-0005-0000-0000-0000F1020000}"/>
    <cellStyle name="Normal 4 4 5 3" xfId="535" xr:uid="{00000000-0005-0000-0000-0000F2020000}"/>
    <cellStyle name="Normal 4 4 6" xfId="252" xr:uid="{00000000-0005-0000-0000-0000F3020000}"/>
    <cellStyle name="Normal 4 4 6 2" xfId="655" xr:uid="{00000000-0005-0000-0000-0000F4020000}"/>
    <cellStyle name="Normal 4 4 7" xfId="455" xr:uid="{00000000-0005-0000-0000-0000F5020000}"/>
    <cellStyle name="Normal 4 5" xfId="68" xr:uid="{00000000-0005-0000-0000-0000F6020000}"/>
    <cellStyle name="Normal 4 5 2" xfId="108" xr:uid="{00000000-0005-0000-0000-0000F7020000}"/>
    <cellStyle name="Normal 4 5 2 2" xfId="188" xr:uid="{00000000-0005-0000-0000-0000F8020000}"/>
    <cellStyle name="Normal 4 5 2 2 2" xfId="388" xr:uid="{00000000-0005-0000-0000-0000F9020000}"/>
    <cellStyle name="Normal 4 5 2 2 2 2" xfId="791" xr:uid="{00000000-0005-0000-0000-0000FA020000}"/>
    <cellStyle name="Normal 4 5 2 2 3" xfId="591" xr:uid="{00000000-0005-0000-0000-0000FB020000}"/>
    <cellStyle name="Normal 4 5 2 3" xfId="308" xr:uid="{00000000-0005-0000-0000-0000FC020000}"/>
    <cellStyle name="Normal 4 5 2 3 2" xfId="711" xr:uid="{00000000-0005-0000-0000-0000FD020000}"/>
    <cellStyle name="Normal 4 5 2 4" xfId="511" xr:uid="{00000000-0005-0000-0000-0000FE020000}"/>
    <cellStyle name="Normal 4 5 3" xfId="228" xr:uid="{00000000-0005-0000-0000-0000FF020000}"/>
    <cellStyle name="Normal 4 5 3 2" xfId="428" xr:uid="{00000000-0005-0000-0000-000000030000}"/>
    <cellStyle name="Normal 4 5 3 2 2" xfId="831" xr:uid="{00000000-0005-0000-0000-000001030000}"/>
    <cellStyle name="Normal 4 5 3 3" xfId="631" xr:uid="{00000000-0005-0000-0000-000002030000}"/>
    <cellStyle name="Normal 4 5 4" xfId="148" xr:uid="{00000000-0005-0000-0000-000003030000}"/>
    <cellStyle name="Normal 4 5 4 2" xfId="348" xr:uid="{00000000-0005-0000-0000-000004030000}"/>
    <cellStyle name="Normal 4 5 4 2 2" xfId="751" xr:uid="{00000000-0005-0000-0000-000005030000}"/>
    <cellStyle name="Normal 4 5 4 3" xfId="551" xr:uid="{00000000-0005-0000-0000-000006030000}"/>
    <cellStyle name="Normal 4 5 5" xfId="268" xr:uid="{00000000-0005-0000-0000-000007030000}"/>
    <cellStyle name="Normal 4 5 5 2" xfId="671" xr:uid="{00000000-0005-0000-0000-000008030000}"/>
    <cellStyle name="Normal 4 5 6" xfId="471" xr:uid="{00000000-0005-0000-0000-000009030000}"/>
    <cellStyle name="Normal 4 6" xfId="88" xr:uid="{00000000-0005-0000-0000-00000A030000}"/>
    <cellStyle name="Normal 4 6 2" xfId="168" xr:uid="{00000000-0005-0000-0000-00000B030000}"/>
    <cellStyle name="Normal 4 6 2 2" xfId="368" xr:uid="{00000000-0005-0000-0000-00000C030000}"/>
    <cellStyle name="Normal 4 6 2 2 2" xfId="771" xr:uid="{00000000-0005-0000-0000-00000D030000}"/>
    <cellStyle name="Normal 4 6 2 3" xfId="571" xr:uid="{00000000-0005-0000-0000-00000E030000}"/>
    <cellStyle name="Normal 4 6 3" xfId="288" xr:uid="{00000000-0005-0000-0000-00000F030000}"/>
    <cellStyle name="Normal 4 6 3 2" xfId="691" xr:uid="{00000000-0005-0000-0000-000010030000}"/>
    <cellStyle name="Normal 4 6 4" xfId="491" xr:uid="{00000000-0005-0000-0000-000011030000}"/>
    <cellStyle name="Normal 4 7" xfId="208" xr:uid="{00000000-0005-0000-0000-000012030000}"/>
    <cellStyle name="Normal 4 7 2" xfId="408" xr:uid="{00000000-0005-0000-0000-000013030000}"/>
    <cellStyle name="Normal 4 7 2 2" xfId="811" xr:uid="{00000000-0005-0000-0000-000014030000}"/>
    <cellStyle name="Normal 4 7 3" xfId="611" xr:uid="{00000000-0005-0000-0000-000015030000}"/>
    <cellStyle name="Normal 4 8" xfId="128" xr:uid="{00000000-0005-0000-0000-000016030000}"/>
    <cellStyle name="Normal 4 8 2" xfId="328" xr:uid="{00000000-0005-0000-0000-000017030000}"/>
    <cellStyle name="Normal 4 8 2 2" xfId="731" xr:uid="{00000000-0005-0000-0000-000018030000}"/>
    <cellStyle name="Normal 4 8 3" xfId="531" xr:uid="{00000000-0005-0000-0000-000019030000}"/>
    <cellStyle name="Normal 4 9" xfId="248" xr:uid="{00000000-0005-0000-0000-00001A030000}"/>
    <cellStyle name="Normal 4 9 2" xfId="651" xr:uid="{00000000-0005-0000-0000-00001B030000}"/>
    <cellStyle name="Normal 5" xfId="54" xr:uid="{00000000-0005-0000-0000-00001C030000}"/>
    <cellStyle name="Normal 5 2" xfId="74" xr:uid="{00000000-0005-0000-0000-00001D030000}"/>
    <cellStyle name="Normal 5 2 2" xfId="114" xr:uid="{00000000-0005-0000-0000-00001E030000}"/>
    <cellStyle name="Normal 5 2 2 2" xfId="194" xr:uid="{00000000-0005-0000-0000-00001F030000}"/>
    <cellStyle name="Normal 5 2 2 2 2" xfId="394" xr:uid="{00000000-0005-0000-0000-000020030000}"/>
    <cellStyle name="Normal 5 2 2 2 2 2" xfId="797" xr:uid="{00000000-0005-0000-0000-000021030000}"/>
    <cellStyle name="Normal 5 2 2 2 3" xfId="597" xr:uid="{00000000-0005-0000-0000-000022030000}"/>
    <cellStyle name="Normal 5 2 2 3" xfId="314" xr:uid="{00000000-0005-0000-0000-000023030000}"/>
    <cellStyle name="Normal 5 2 2 3 2" xfId="717" xr:uid="{00000000-0005-0000-0000-000024030000}"/>
    <cellStyle name="Normal 5 2 2 4" xfId="517" xr:uid="{00000000-0005-0000-0000-000025030000}"/>
    <cellStyle name="Normal 5 2 3" xfId="234" xr:uid="{00000000-0005-0000-0000-000026030000}"/>
    <cellStyle name="Normal 5 2 3 2" xfId="434" xr:uid="{00000000-0005-0000-0000-000027030000}"/>
    <cellStyle name="Normal 5 2 3 2 2" xfId="837" xr:uid="{00000000-0005-0000-0000-000028030000}"/>
    <cellStyle name="Normal 5 2 3 3" xfId="637" xr:uid="{00000000-0005-0000-0000-000029030000}"/>
    <cellStyle name="Normal 5 2 4" xfId="154" xr:uid="{00000000-0005-0000-0000-00002A030000}"/>
    <cellStyle name="Normal 5 2 4 2" xfId="354" xr:uid="{00000000-0005-0000-0000-00002B030000}"/>
    <cellStyle name="Normal 5 2 4 2 2" xfId="757" xr:uid="{00000000-0005-0000-0000-00002C030000}"/>
    <cellStyle name="Normal 5 2 4 3" xfId="557" xr:uid="{00000000-0005-0000-0000-00002D030000}"/>
    <cellStyle name="Normal 5 2 5" xfId="274" xr:uid="{00000000-0005-0000-0000-00002E030000}"/>
    <cellStyle name="Normal 5 2 5 2" xfId="677" xr:uid="{00000000-0005-0000-0000-00002F030000}"/>
    <cellStyle name="Normal 5 2 6" xfId="477" xr:uid="{00000000-0005-0000-0000-000030030000}"/>
    <cellStyle name="Normal 5 3" xfId="94" xr:uid="{00000000-0005-0000-0000-000031030000}"/>
    <cellStyle name="Normal 5 3 2" xfId="174" xr:uid="{00000000-0005-0000-0000-000032030000}"/>
    <cellStyle name="Normal 5 3 2 2" xfId="374" xr:uid="{00000000-0005-0000-0000-000033030000}"/>
    <cellStyle name="Normal 5 3 2 2 2" xfId="777" xr:uid="{00000000-0005-0000-0000-000034030000}"/>
    <cellStyle name="Normal 5 3 2 3" xfId="577" xr:uid="{00000000-0005-0000-0000-000035030000}"/>
    <cellStyle name="Normal 5 3 3" xfId="294" xr:uid="{00000000-0005-0000-0000-000036030000}"/>
    <cellStyle name="Normal 5 3 3 2" xfId="697" xr:uid="{00000000-0005-0000-0000-000037030000}"/>
    <cellStyle name="Normal 5 3 4" xfId="497" xr:uid="{00000000-0005-0000-0000-000038030000}"/>
    <cellStyle name="Normal 5 4" xfId="214" xr:uid="{00000000-0005-0000-0000-000039030000}"/>
    <cellStyle name="Normal 5 4 2" xfId="414" xr:uid="{00000000-0005-0000-0000-00003A030000}"/>
    <cellStyle name="Normal 5 4 2 2" xfId="817" xr:uid="{00000000-0005-0000-0000-00003B030000}"/>
    <cellStyle name="Normal 5 4 3" xfId="617" xr:uid="{00000000-0005-0000-0000-00003C030000}"/>
    <cellStyle name="Normal 5 5" xfId="134" xr:uid="{00000000-0005-0000-0000-00003D030000}"/>
    <cellStyle name="Normal 5 5 2" xfId="334" xr:uid="{00000000-0005-0000-0000-00003E030000}"/>
    <cellStyle name="Normal 5 5 2 2" xfId="737" xr:uid="{00000000-0005-0000-0000-00003F030000}"/>
    <cellStyle name="Normal 5 5 3" xfId="537" xr:uid="{00000000-0005-0000-0000-000040030000}"/>
    <cellStyle name="Normal 5 6" xfId="254" xr:uid="{00000000-0005-0000-0000-000041030000}"/>
    <cellStyle name="Normal 5 6 2" xfId="657" xr:uid="{00000000-0005-0000-0000-000042030000}"/>
    <cellStyle name="Normal 5 7" xfId="457" xr:uid="{00000000-0005-0000-0000-000043030000}"/>
    <cellStyle name="Normal 6" xfId="444" xr:uid="{00000000-0005-0000-0000-000044030000}"/>
    <cellStyle name="Normal 6 2" xfId="847" xr:uid="{00000000-0005-0000-0000-000045030000}"/>
    <cellStyle name="Normal 7" xfId="849" xr:uid="{00000000-0005-0000-0000-000046030000}"/>
    <cellStyle name="Note" xfId="28" builtinId="10" customBuiltin="1"/>
    <cellStyle name="Pourcentage 2" xfId="45" xr:uid="{00000000-0005-0000-0000-000047030000}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9" defaultPivotStyle="PivotStyleLight16"/>
  <colors>
    <mruColors>
      <color rgb="FF66CCFF"/>
      <color rgb="FFFF66CC"/>
      <color rgb="FF969696"/>
      <color rgb="FF666699"/>
      <color rgb="FFFFFF00"/>
      <color rgb="FF00FF00"/>
      <color rgb="FFFF33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Convergences!$S$9</c:f>
              <c:strCache>
                <c:ptCount val="1"/>
                <c:pt idx="0">
                  <c:v>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Convergences!$S$11:$S$39</c:f>
              <c:numCache>
                <c:formatCode>\+\ 0.0;\-\ 0.0;\±\ 0.0</c:formatCode>
                <c:ptCount val="29"/>
                <c:pt idx="0">
                  <c:v>-0.48933959378505421</c:v>
                </c:pt>
                <c:pt idx="1">
                  <c:v>0.31608769140412107</c:v>
                </c:pt>
                <c:pt idx="2">
                  <c:v>3.3725053056432586E-2</c:v>
                </c:pt>
                <c:pt idx="3">
                  <c:v>-0.64603155320508421</c:v>
                </c:pt>
                <c:pt idx="4">
                  <c:v>-0.24266879216077492</c:v>
                </c:pt>
                <c:pt idx="5">
                  <c:v>-0.16786396711060414</c:v>
                </c:pt>
                <c:pt idx="6">
                  <c:v>-0.40991843903781522</c:v>
                </c:pt>
                <c:pt idx="9">
                  <c:v>7.6696817017385399E-2</c:v>
                </c:pt>
                <c:pt idx="10">
                  <c:v>-1.0461311228473491</c:v>
                </c:pt>
                <c:pt idx="11">
                  <c:v>-5.5049726240596897E-3</c:v>
                </c:pt>
                <c:pt idx="12">
                  <c:v>-0.60833435885276899</c:v>
                </c:pt>
                <c:pt idx="13">
                  <c:v>6.0869817544606519E-2</c:v>
                </c:pt>
                <c:pt idx="14">
                  <c:v>-0.29532586803397248</c:v>
                </c:pt>
                <c:pt idx="15">
                  <c:v>-0.18731486794614227</c:v>
                </c:pt>
                <c:pt idx="16">
                  <c:v>-1.4521320513457188E-3</c:v>
                </c:pt>
                <c:pt idx="17">
                  <c:v>-0.20039601598687007</c:v>
                </c:pt>
                <c:pt idx="18">
                  <c:v>-6.8202641624104388E-2</c:v>
                </c:pt>
                <c:pt idx="19">
                  <c:v>-0.12769100140763712</c:v>
                </c:pt>
                <c:pt idx="20">
                  <c:v>-0.24451062322583539</c:v>
                </c:pt>
                <c:pt idx="21">
                  <c:v>-7.6655368746347818E-2</c:v>
                </c:pt>
                <c:pt idx="22">
                  <c:v>0.33809071661394796</c:v>
                </c:pt>
                <c:pt idx="23">
                  <c:v>-0.32725180223177236</c:v>
                </c:pt>
                <c:pt idx="24">
                  <c:v>-7.4672876264614274E-3</c:v>
                </c:pt>
                <c:pt idx="25">
                  <c:v>3.1786843512682239E-2</c:v>
                </c:pt>
                <c:pt idx="26">
                  <c:v>-0.11188268422864429</c:v>
                </c:pt>
                <c:pt idx="27">
                  <c:v>-3.7387808178301896E-2</c:v>
                </c:pt>
                <c:pt idx="28">
                  <c:v>-7.7929130383402878E-2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11-4A59-B1F0-50635AB64BF3}"/>
            </c:ext>
          </c:extLst>
        </c:ser>
        <c:ser>
          <c:idx val="1"/>
          <c:order val="1"/>
          <c:tx>
            <c:strRef>
              <c:f>Convergences!$T$9</c:f>
              <c:strCache>
                <c:ptCount val="1"/>
                <c:pt idx="0">
                  <c:v>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Convergences!$T$11:$T$39</c:f>
              <c:numCache>
                <c:formatCode>\+\ 0.0;\-\ 0.0;\±\ 0.0</c:formatCode>
                <c:ptCount val="29"/>
                <c:pt idx="0">
                  <c:v>-0.22036813966064273</c:v>
                </c:pt>
                <c:pt idx="1">
                  <c:v>-0.16812893015982766</c:v>
                </c:pt>
                <c:pt idx="2">
                  <c:v>1.7661972173899088E-2</c:v>
                </c:pt>
                <c:pt idx="3">
                  <c:v>-0.54099494043868823</c:v>
                </c:pt>
                <c:pt idx="4">
                  <c:v>-0.19687143814591959</c:v>
                </c:pt>
                <c:pt idx="5">
                  <c:v>-0.17873361847467462</c:v>
                </c:pt>
                <c:pt idx="6">
                  <c:v>-0.3088680709564251</c:v>
                </c:pt>
                <c:pt idx="7">
                  <c:v>1.0084000301446849E-7</c:v>
                </c:pt>
                <c:pt idx="8">
                  <c:v>-0.34251368129201154</c:v>
                </c:pt>
                <c:pt idx="9">
                  <c:v>2.8844208791900527E-2</c:v>
                </c:pt>
                <c:pt idx="10">
                  <c:v>-1.1581963010307561</c:v>
                </c:pt>
                <c:pt idx="11">
                  <c:v>-5.3894106202267977E-2</c:v>
                </c:pt>
                <c:pt idx="12">
                  <c:v>-8.7398149445805373E-2</c:v>
                </c:pt>
                <c:pt idx="13">
                  <c:v>-2.2838015492077091E-2</c:v>
                </c:pt>
                <c:pt idx="14">
                  <c:v>-0.49994341963562522</c:v>
                </c:pt>
                <c:pt idx="15">
                  <c:v>5.551647926536063E-2</c:v>
                </c:pt>
                <c:pt idx="16">
                  <c:v>-9.4027478509654358E-2</c:v>
                </c:pt>
                <c:pt idx="17">
                  <c:v>-3.5708992697669473E-2</c:v>
                </c:pt>
                <c:pt idx="18">
                  <c:v>-0.24859332544672577</c:v>
                </c:pt>
                <c:pt idx="19">
                  <c:v>-0.1877465117978705</c:v>
                </c:pt>
                <c:pt idx="20">
                  <c:v>0.72876452754222498</c:v>
                </c:pt>
                <c:pt idx="21">
                  <c:v>-3.0774347240303257E-2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1.9778222209665408E-2</c:v>
                </c:pt>
                <c:pt idx="26">
                  <c:v>-0.16836233783242469</c:v>
                </c:pt>
                <c:pt idx="27">
                  <c:v>-3.3209044189241865E-2</c:v>
                </c:pt>
                <c:pt idx="28">
                  <c:v>-1.2262002084225307E-2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11-4A59-B1F0-50635AB64BF3}"/>
            </c:ext>
          </c:extLst>
        </c:ser>
        <c:ser>
          <c:idx val="2"/>
          <c:order val="2"/>
          <c:tx>
            <c:strRef>
              <c:f>Convergences!$U$9</c:f>
              <c:strCache>
                <c:ptCount val="1"/>
                <c:pt idx="0">
                  <c:v>HD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Convergences!$U$11:$U$39</c:f>
              <c:numCache>
                <c:formatCode>\+\ 0.0;\-\ 0.0;\±\ 0.0</c:formatCode>
                <c:ptCount val="29"/>
                <c:pt idx="0">
                  <c:v>-0.14834800005658622</c:v>
                </c:pt>
                <c:pt idx="1">
                  <c:v>-7.9170613844770088E-2</c:v>
                </c:pt>
                <c:pt idx="2">
                  <c:v>-1.7195075294740292E-3</c:v>
                </c:pt>
                <c:pt idx="3">
                  <c:v>-0.36010948865938808</c:v>
                </c:pt>
                <c:pt idx="4">
                  <c:v>-9.2816955080549893E-2</c:v>
                </c:pt>
                <c:pt idx="5">
                  <c:v>-4.590090249279033E-2</c:v>
                </c:pt>
                <c:pt idx="6">
                  <c:v>8.9537631365876891E-3</c:v>
                </c:pt>
                <c:pt idx="7">
                  <c:v>-0.39590635309028066</c:v>
                </c:pt>
                <c:pt idx="8">
                  <c:v>8.158246802614233E-2</c:v>
                </c:pt>
                <c:pt idx="9">
                  <c:v>-5.4277225205456858E-3</c:v>
                </c:pt>
                <c:pt idx="10">
                  <c:v>-0.79942832610013781</c:v>
                </c:pt>
                <c:pt idx="11">
                  <c:v>8.5513052226549036E-2</c:v>
                </c:pt>
                <c:pt idx="12">
                  <c:v>-0.17430324678580078</c:v>
                </c:pt>
                <c:pt idx="13">
                  <c:v>-0.21729837159611964</c:v>
                </c:pt>
                <c:pt idx="14">
                  <c:v>-3.0507590771685262E-2</c:v>
                </c:pt>
                <c:pt idx="15">
                  <c:v>-0.10617763719062978</c:v>
                </c:pt>
                <c:pt idx="16">
                  <c:v>2.6448189896536672E-2</c:v>
                </c:pt>
                <c:pt idx="17">
                  <c:v>-0.20919327582724634</c:v>
                </c:pt>
                <c:pt idx="18">
                  <c:v>9.1850019241649747E-2</c:v>
                </c:pt>
                <c:pt idx="19">
                  <c:v>-0.22035065456926795</c:v>
                </c:pt>
                <c:pt idx="20">
                  <c:v>-0.13119636309788518</c:v>
                </c:pt>
                <c:pt idx="21">
                  <c:v>1.8398243559758498E-3</c:v>
                </c:pt>
                <c:pt idx="22">
                  <c:v>-0.20175738393968246</c:v>
                </c:pt>
                <c:pt idx="23">
                  <c:v>-5.591270043573774E-2</c:v>
                </c:pt>
                <c:pt idx="24">
                  <c:v>0.1002560066363974</c:v>
                </c:pt>
                <c:pt idx="25">
                  <c:v>2.4763766053426117E-2</c:v>
                </c:pt>
                <c:pt idx="26">
                  <c:v>-4.1248828540396687E-2</c:v>
                </c:pt>
                <c:pt idx="27">
                  <c:v>1.1240658421507455E-2</c:v>
                </c:pt>
                <c:pt idx="28">
                  <c:v>-1.2505894565695286E-2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11-4A59-B1F0-50635AB64BF3}"/>
            </c:ext>
          </c:extLst>
        </c:ser>
        <c:ser>
          <c:idx val="3"/>
          <c:order val="3"/>
          <c:tx>
            <c:strRef>
              <c:f>Convergences!$V$9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Convergences!$V$11:$V$39</c:f>
              <c:numCache>
                <c:formatCode>\+\ 0.0;\-\ 0.0;\±\ 0.0</c:formatCode>
                <c:ptCount val="29"/>
                <c:pt idx="0">
                  <c:v>-0.49324903827674405</c:v>
                </c:pt>
                <c:pt idx="1">
                  <c:v>-3.0573164213620885E-2</c:v>
                </c:pt>
                <c:pt idx="2">
                  <c:v>7.6229154043483405E-2</c:v>
                </c:pt>
                <c:pt idx="3">
                  <c:v>-1.1082482187494413</c:v>
                </c:pt>
                <c:pt idx="4">
                  <c:v>-0.16265754684103534</c:v>
                </c:pt>
                <c:pt idx="5">
                  <c:v>-6.4218866657972384E-2</c:v>
                </c:pt>
                <c:pt idx="6">
                  <c:v>-0.24154857380631611</c:v>
                </c:pt>
                <c:pt idx="7">
                  <c:v>0.33050006769874685</c:v>
                </c:pt>
                <c:pt idx="8">
                  <c:v>-0.23767727773393865</c:v>
                </c:pt>
                <c:pt idx="9">
                  <c:v>0.39127892568346923</c:v>
                </c:pt>
                <c:pt idx="10">
                  <c:v>-1.814531285003973</c:v>
                </c:pt>
                <c:pt idx="11">
                  <c:v>2.539938528602903E-2</c:v>
                </c:pt>
                <c:pt idx="12">
                  <c:v>-0.6506603039624359</c:v>
                </c:pt>
                <c:pt idx="13">
                  <c:v>-5.468943521225178E-2</c:v>
                </c:pt>
                <c:pt idx="14">
                  <c:v>-0.24057846981229147</c:v>
                </c:pt>
                <c:pt idx="15">
                  <c:v>-7.7232612266620038E-2</c:v>
                </c:pt>
                <c:pt idx="16">
                  <c:v>-1.7801000219197505E-2</c:v>
                </c:pt>
                <c:pt idx="17">
                  <c:v>-0.2045473612890536</c:v>
                </c:pt>
                <c:pt idx="18">
                  <c:v>-1.3573222162814128E-2</c:v>
                </c:pt>
                <c:pt idx="19">
                  <c:v>-0.21345070539924293</c:v>
                </c:pt>
                <c:pt idx="20">
                  <c:v>-0.37109631219500727</c:v>
                </c:pt>
                <c:pt idx="21">
                  <c:v>-3.1730273994057256E-2</c:v>
                </c:pt>
                <c:pt idx="22">
                  <c:v>-0.46297328187794307</c:v>
                </c:pt>
                <c:pt idx="23">
                  <c:v>-4.9861900881964516E-2</c:v>
                </c:pt>
                <c:pt idx="24">
                  <c:v>-8.3749899036552247E-3</c:v>
                </c:pt>
                <c:pt idx="25">
                  <c:v>4.7003470518891532E-2</c:v>
                </c:pt>
                <c:pt idx="26">
                  <c:v>-9.8203913300546716E-2</c:v>
                </c:pt>
                <c:pt idx="27">
                  <c:v>-4.1921488981522259E-2</c:v>
                </c:pt>
                <c:pt idx="28">
                  <c:v>1.7732247581392357E-3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11-4A59-B1F0-50635AB64BF3}"/>
            </c:ext>
          </c:extLst>
        </c:ser>
        <c:ser>
          <c:idx val="4"/>
          <c:order val="4"/>
          <c:tx>
            <c:strRef>
              <c:f>Convergences!$W$9</c:f>
              <c:strCache>
                <c:ptCount val="1"/>
                <c:pt idx="0">
                  <c:v>BD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Convergences!$W$11:$W$39</c:f>
              <c:numCache>
                <c:formatCode>\+\ 0.0;\-\ 0.0;\±\ 0.0</c:formatCode>
                <c:ptCount val="29"/>
                <c:pt idx="0">
                  <c:v>-0.11729645286617796</c:v>
                </c:pt>
                <c:pt idx="1">
                  <c:v>-0.26301530651018368</c:v>
                </c:pt>
                <c:pt idx="2">
                  <c:v>-1.2144507913758318E-2</c:v>
                </c:pt>
                <c:pt idx="3">
                  <c:v>-0.67759625246210931</c:v>
                </c:pt>
                <c:pt idx="4">
                  <c:v>-0.15531098132523116</c:v>
                </c:pt>
                <c:pt idx="5">
                  <c:v>-0.24887055256272994</c:v>
                </c:pt>
                <c:pt idx="6">
                  <c:v>-1.6660201862084278E-2</c:v>
                </c:pt>
                <c:pt idx="9">
                  <c:v>0.49172178993517335</c:v>
                </c:pt>
                <c:pt idx="10">
                  <c:v>-1.2710231632526714</c:v>
                </c:pt>
                <c:pt idx="11">
                  <c:v>-0.1912072803548881</c:v>
                </c:pt>
                <c:pt idx="12">
                  <c:v>-0.45598139862734755</c:v>
                </c:pt>
                <c:pt idx="13">
                  <c:v>-0.13511825120104959</c:v>
                </c:pt>
                <c:pt idx="14">
                  <c:v>-0.14733311611910457</c:v>
                </c:pt>
                <c:pt idx="15">
                  <c:v>-0.16887710763544561</c:v>
                </c:pt>
                <c:pt idx="16">
                  <c:v>-6.2099466491124154E-2</c:v>
                </c:pt>
                <c:pt idx="17">
                  <c:v>-0.12433862956373609</c:v>
                </c:pt>
                <c:pt idx="18">
                  <c:v>-0.19158310831694317</c:v>
                </c:pt>
                <c:pt idx="19">
                  <c:v>-4.4214496065286824E-2</c:v>
                </c:pt>
                <c:pt idx="20">
                  <c:v>-0.92842843468243785</c:v>
                </c:pt>
                <c:pt idx="21">
                  <c:v>-8.9791471205025175E-2</c:v>
                </c:pt>
                <c:pt idx="22">
                  <c:v>-0.60803284778021549</c:v>
                </c:pt>
                <c:pt idx="23">
                  <c:v>-0.11619763502176046</c:v>
                </c:pt>
                <c:pt idx="24">
                  <c:v>0.18460880465376306</c:v>
                </c:pt>
                <c:pt idx="25">
                  <c:v>-3.3358616717826806E-3</c:v>
                </c:pt>
                <c:pt idx="26">
                  <c:v>-7.3662082390235639E-2</c:v>
                </c:pt>
                <c:pt idx="27">
                  <c:v>-8.2878326242985523E-2</c:v>
                </c:pt>
                <c:pt idx="28">
                  <c:v>-9.1866144596626977E-3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11-4A59-B1F0-50635AB64BF3}"/>
            </c:ext>
          </c:extLst>
        </c:ser>
        <c:ser>
          <c:idx val="5"/>
          <c:order val="5"/>
          <c:tx>
            <c:strRef>
              <c:f>Convergences!$X$9</c:f>
              <c:strCache>
                <c:ptCount val="1"/>
                <c:pt idx="0">
                  <c:v>LH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Convergences!$X$11:$X$39</c:f>
              <c:numCache>
                <c:formatCode>\+\ 0.0;\-\ 0.0;\±\ 0.0</c:formatCode>
                <c:ptCount val="29"/>
                <c:pt idx="0">
                  <c:v>9.0345954278703289E-2</c:v>
                </c:pt>
                <c:pt idx="1">
                  <c:v>-0.36734950136541045</c:v>
                </c:pt>
                <c:pt idx="2">
                  <c:v>-1.0657139928094139E-2</c:v>
                </c:pt>
                <c:pt idx="3">
                  <c:v>-0.61591412644190768</c:v>
                </c:pt>
                <c:pt idx="4">
                  <c:v>-0.23992371897594925</c:v>
                </c:pt>
                <c:pt idx="5">
                  <c:v>-0.12621193231238115</c:v>
                </c:pt>
                <c:pt idx="6">
                  <c:v>-0.12029761442411413</c:v>
                </c:pt>
                <c:pt idx="7">
                  <c:v>-0.45272618546166044</c:v>
                </c:pt>
                <c:pt idx="8">
                  <c:v>-7.437504817309204E-2</c:v>
                </c:pt>
                <c:pt idx="9">
                  <c:v>4.1857521763333239E-2</c:v>
                </c:pt>
                <c:pt idx="10">
                  <c:v>-1.116108242808167</c:v>
                </c:pt>
                <c:pt idx="11">
                  <c:v>-3.4186917111789228E-2</c:v>
                </c:pt>
                <c:pt idx="12">
                  <c:v>-0.16962473770609776</c:v>
                </c:pt>
                <c:pt idx="13">
                  <c:v>-0.26480989154453738</c:v>
                </c:pt>
                <c:pt idx="14">
                  <c:v>-0.36400303607268353</c:v>
                </c:pt>
                <c:pt idx="15">
                  <c:v>-1.0947180663833933E-2</c:v>
                </c:pt>
                <c:pt idx="16">
                  <c:v>-4.3678938717780129E-3</c:v>
                </c:pt>
                <c:pt idx="17">
                  <c:v>-0.22772341737664625</c:v>
                </c:pt>
                <c:pt idx="18">
                  <c:v>-0.11515428001166821</c:v>
                </c:pt>
                <c:pt idx="19">
                  <c:v>-0.30141250010951026</c:v>
                </c:pt>
                <c:pt idx="20">
                  <c:v>0.693380088824469</c:v>
                </c:pt>
                <c:pt idx="21">
                  <c:v>6.342926474212085E-2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8.2580422468225834E-2</c:v>
                </c:pt>
                <c:pt idx="26">
                  <c:v>-0.14712278695287276</c:v>
                </c:pt>
                <c:pt idx="27">
                  <c:v>1.9634638050103348E-2</c:v>
                </c:pt>
                <c:pt idx="28">
                  <c:v>1.41949243372963E-2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11-4A59-B1F0-50635AB64BF3}"/>
            </c:ext>
          </c:extLst>
        </c:ser>
        <c:ser>
          <c:idx val="6"/>
          <c:order val="6"/>
          <c:tx>
            <c:strRef>
              <c:f>Convergences!$Y$9</c:f>
              <c:strCache>
                <c:ptCount val="1"/>
                <c:pt idx="0">
                  <c:v>LI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Convergences!$Y$11:$Y$39</c:f>
              <c:numCache>
                <c:formatCode>\+\ 0.0;\-\ 0.0;\±\ 0.0</c:formatCode>
                <c:ptCount val="29"/>
                <c:pt idx="0">
                  <c:v>-0.39843061387934142</c:v>
                </c:pt>
                <c:pt idx="1">
                  <c:v>0.50228046132083648</c:v>
                </c:pt>
                <c:pt idx="2">
                  <c:v>9.9588779942205718E-2</c:v>
                </c:pt>
                <c:pt idx="9">
                  <c:v>0.3903923448103086</c:v>
                </c:pt>
                <c:pt idx="10">
                  <c:v>-1.6030420056942773</c:v>
                </c:pt>
                <c:pt idx="11">
                  <c:v>7.1868768546323736E-2</c:v>
                </c:pt>
                <c:pt idx="12">
                  <c:v>-1.0964782617346458</c:v>
                </c:pt>
                <c:pt idx="13">
                  <c:v>8.2035121438117642E-3</c:v>
                </c:pt>
                <c:pt idx="14">
                  <c:v>-0.31643395364492716</c:v>
                </c:pt>
                <c:pt idx="15">
                  <c:v>-0.15171535816627113</c:v>
                </c:pt>
                <c:pt idx="16">
                  <c:v>0.12051952916862045</c:v>
                </c:pt>
                <c:pt idx="17">
                  <c:v>-0.32078811880165148</c:v>
                </c:pt>
                <c:pt idx="18">
                  <c:v>8.5467620082250548E-2</c:v>
                </c:pt>
                <c:pt idx="19">
                  <c:v>-0.23337199324835467</c:v>
                </c:pt>
                <c:pt idx="20">
                  <c:v>-0.21024333183383703</c:v>
                </c:pt>
                <c:pt idx="21">
                  <c:v>-1.8310374994001677E-5</c:v>
                </c:pt>
                <c:pt idx="22">
                  <c:v>6.6109370278510937E-2</c:v>
                </c:pt>
                <c:pt idx="23">
                  <c:v>-0.22860480050853246</c:v>
                </c:pt>
                <c:pt idx="24">
                  <c:v>0.116593383143145</c:v>
                </c:pt>
                <c:pt idx="25">
                  <c:v>0.12884992613937385</c:v>
                </c:pt>
                <c:pt idx="26">
                  <c:v>-5.8280227696272391E-2</c:v>
                </c:pt>
                <c:pt idx="27">
                  <c:v>-3.4829751113463203E-2</c:v>
                </c:pt>
                <c:pt idx="28">
                  <c:v>6.0434342794716635E-2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11-4A59-B1F0-50635AB64BF3}"/>
            </c:ext>
          </c:extLst>
        </c:ser>
        <c:ser>
          <c:idx val="7"/>
          <c:order val="7"/>
          <c:tx>
            <c:strRef>
              <c:f>Convergences!$Z$9</c:f>
              <c:strCache>
                <c:ptCount val="1"/>
                <c:pt idx="0">
                  <c:v>LB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43600</c:v>
                </c:pt>
                <c:pt idx="1">
                  <c:v>43601</c:v>
                </c:pt>
                <c:pt idx="2">
                  <c:v>43605</c:v>
                </c:pt>
                <c:pt idx="3">
                  <c:v>43607</c:v>
                </c:pt>
                <c:pt idx="4">
                  <c:v>43621</c:v>
                </c:pt>
                <c:pt idx="5">
                  <c:v>43637</c:v>
                </c:pt>
                <c:pt idx="6">
                  <c:v>43641</c:v>
                </c:pt>
                <c:pt idx="7">
                  <c:v>43643</c:v>
                </c:pt>
                <c:pt idx="8">
                  <c:v>43647</c:v>
                </c:pt>
                <c:pt idx="9">
                  <c:v>43649</c:v>
                </c:pt>
                <c:pt idx="10">
                  <c:v>43650</c:v>
                </c:pt>
                <c:pt idx="11">
                  <c:v>43655</c:v>
                </c:pt>
                <c:pt idx="12">
                  <c:v>43657</c:v>
                </c:pt>
                <c:pt idx="13">
                  <c:v>43661</c:v>
                </c:pt>
                <c:pt idx="14">
                  <c:v>43664</c:v>
                </c:pt>
                <c:pt idx="15">
                  <c:v>43669</c:v>
                </c:pt>
                <c:pt idx="16">
                  <c:v>43675</c:v>
                </c:pt>
                <c:pt idx="17">
                  <c:v>43679</c:v>
                </c:pt>
                <c:pt idx="18">
                  <c:v>43682</c:v>
                </c:pt>
                <c:pt idx="19">
                  <c:v>43684</c:v>
                </c:pt>
                <c:pt idx="20">
                  <c:v>43685</c:v>
                </c:pt>
                <c:pt idx="21">
                  <c:v>43689</c:v>
                </c:pt>
                <c:pt idx="22">
                  <c:v>43690</c:v>
                </c:pt>
                <c:pt idx="23">
                  <c:v>43696</c:v>
                </c:pt>
                <c:pt idx="24">
                  <c:v>43699</c:v>
                </c:pt>
                <c:pt idx="25">
                  <c:v>43703</c:v>
                </c:pt>
                <c:pt idx="26">
                  <c:v>43706</c:v>
                </c:pt>
                <c:pt idx="27">
                  <c:v>43710</c:v>
                </c:pt>
                <c:pt idx="28">
                  <c:v>43713</c:v>
                </c:pt>
              </c:numCache>
            </c:numRef>
          </c:xVal>
          <c:yVal>
            <c:numRef>
              <c:f>Convergences!$Z$11:$Z$39</c:f>
              <c:numCache>
                <c:formatCode>\+\ 0.0;\-\ 0.0;\±\ 0.0</c:formatCode>
                <c:ptCount val="29"/>
                <c:pt idx="0">
                  <c:v>-9.11109428498591E-2</c:v>
                </c:pt>
                <c:pt idx="1">
                  <c:v>0.36488498431008765</c:v>
                </c:pt>
                <c:pt idx="2">
                  <c:v>-0.16230767684866088</c:v>
                </c:pt>
                <c:pt idx="3">
                  <c:v>-1.0086133947666553</c:v>
                </c:pt>
                <c:pt idx="4">
                  <c:v>-0.34112250711348935</c:v>
                </c:pt>
                <c:pt idx="5">
                  <c:v>-0.25941313021243806</c:v>
                </c:pt>
                <c:pt idx="6">
                  <c:v>0.3303497497446628</c:v>
                </c:pt>
                <c:pt idx="9">
                  <c:v>0.43485880470806038</c:v>
                </c:pt>
                <c:pt idx="10">
                  <c:v>-0.82691146177538144</c:v>
                </c:pt>
                <c:pt idx="11">
                  <c:v>-0.38077726132925704</c:v>
                </c:pt>
                <c:pt idx="12">
                  <c:v>-0.22446357266447947</c:v>
                </c:pt>
                <c:pt idx="13">
                  <c:v>-0.25643201454617071</c:v>
                </c:pt>
                <c:pt idx="14">
                  <c:v>-5.35079202877616E-2</c:v>
                </c:pt>
                <c:pt idx="15">
                  <c:v>-9.9428396967482513E-2</c:v>
                </c:pt>
                <c:pt idx="16">
                  <c:v>-4.9628874575713411E-2</c:v>
                </c:pt>
                <c:pt idx="17">
                  <c:v>-8.3402861262182881E-2</c:v>
                </c:pt>
                <c:pt idx="18">
                  <c:v>-0.35141154630569105</c:v>
                </c:pt>
                <c:pt idx="19">
                  <c:v>-5.2777813421389652E-2</c:v>
                </c:pt>
                <c:pt idx="20">
                  <c:v>-0.32418069271944461</c:v>
                </c:pt>
                <c:pt idx="21">
                  <c:v>1.0702908297632874E-2</c:v>
                </c:pt>
                <c:pt idx="22">
                  <c:v>-0.73276017766588097</c:v>
                </c:pt>
                <c:pt idx="23">
                  <c:v>-9.7778664937801338E-2</c:v>
                </c:pt>
                <c:pt idx="24">
                  <c:v>0.1739986127808161</c:v>
                </c:pt>
                <c:pt idx="25">
                  <c:v>5.2253687468972743E-2</c:v>
                </c:pt>
                <c:pt idx="26">
                  <c:v>-5.7995320414209552E-2</c:v>
                </c:pt>
                <c:pt idx="27">
                  <c:v>1.0946214204166083E-2</c:v>
                </c:pt>
                <c:pt idx="28">
                  <c:v>-2.6324703232383229E-2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11-4A59-B1F0-50635AB64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07640"/>
        <c:axId val="512408032"/>
      </c:scatterChart>
      <c:valAx>
        <c:axId val="51240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 /\ mm\ /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08032"/>
        <c:crosses val="autoZero"/>
        <c:crossBetween val="midCat"/>
      </c:valAx>
      <c:valAx>
        <c:axId val="512408032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\ 0.0;\-\ 0.0;\±\ 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07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baseline="0"/>
              <a:t>Ajustement d'une loi théorique de déplacements aux données mesurées sur la cible CH-PM169-GVA3 - </a:t>
            </a:r>
            <a:r>
              <a:rPr lang="fr-FR" sz="800" b="0" i="1" baseline="0"/>
              <a:t>Ajustement d'une loi dite de Sulem (contrainte sur </a:t>
            </a:r>
            <a:r>
              <a:rPr lang="fr-FR" sz="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n=0.3 ) aux mesures existantes</a:t>
            </a:r>
          </a:p>
        </c:rich>
      </c:tx>
      <c:layout>
        <c:manualLayout>
          <c:xMode val="edge"/>
          <c:yMode val="edge"/>
          <c:x val="0.11155277777777778"/>
          <c:y val="2.116666666666667E-2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55524516912449"/>
          <c:y val="0.18089589578425211"/>
          <c:w val="0.85651981481481521"/>
          <c:h val="0.6376050000000007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0.88317610882287212</c:v>
                </c:pt>
                <c:pt idx="2">
                  <c:v>0.655743894808552</c:v>
                </c:pt>
                <c:pt idx="3">
                  <c:v>0.90000001691520737</c:v>
                </c:pt>
                <c:pt idx="4">
                  <c:v>2.1118712131896729</c:v>
                </c:pt>
                <c:pt idx="5">
                  <c:v>2.8600699185849257</c:v>
                </c:pt>
                <c:pt idx="6">
                  <c:v>5.3721682568805926</c:v>
                </c:pt>
                <c:pt idx="7">
                  <c:v>8.176800031522129</c:v>
                </c:pt>
                <c:pt idx="8">
                  <c:v>8.1277074425726781</c:v>
                </c:pt>
                <c:pt idx="9">
                  <c:v>9.4010492325438726</c:v>
                </c:pt>
                <c:pt idx="10">
                  <c:v>8.2643812378118238</c:v>
                </c:pt>
                <c:pt idx="11">
                  <c:v>10.022973610163127</c:v>
                </c:pt>
                <c:pt idx="12">
                  <c:v>9.8030607534229635</c:v>
                </c:pt>
                <c:pt idx="13">
                  <c:v>10.176936078521258</c:v>
                </c:pt>
                <c:pt idx="14">
                  <c:v>10.404806576347903</c:v>
                </c:pt>
                <c:pt idx="15">
                  <c:v>11.06435720858012</c:v>
                </c:pt>
                <c:pt idx="16">
                  <c:v>11.869709363565933</c:v>
                </c:pt>
                <c:pt idx="17">
                  <c:v>12.487593846270729</c:v>
                </c:pt>
                <c:pt idx="18">
                  <c:v>12.405253260358126</c:v>
                </c:pt>
                <c:pt idx="19">
                  <c:v>13.029965474052391</c:v>
                </c:pt>
                <c:pt idx="20">
                  <c:v>13.78767566542545</c:v>
                </c:pt>
                <c:pt idx="21">
                  <c:v>13.104193518315789</c:v>
                </c:pt>
                <c:pt idx="22">
                  <c:v>14.169696460043758</c:v>
                </c:pt>
                <c:pt idx="23">
                  <c:v>13.848464736463283</c:v>
                </c:pt>
                <c:pt idx="24">
                  <c:v>14.836710715835753</c:v>
                </c:pt>
                <c:pt idx="25">
                  <c:v>15.083834247684731</c:v>
                </c:pt>
                <c:pt idx="26">
                  <c:v>15.334698127266677</c:v>
                </c:pt>
                <c:pt idx="27">
                  <c:v>15.623835496769049</c:v>
                </c:pt>
                <c:pt idx="28">
                  <c:v>15.925804738860686</c:v>
                </c:pt>
                <c:pt idx="29">
                  <c:v>16.262435316648663</c:v>
                </c:pt>
                <c:pt idx="30">
                  <c:v>16.688637031896238</c:v>
                </c:pt>
                <c:pt idx="31">
                  <c:v>16.595877317412032</c:v>
                </c:pt>
                <c:pt idx="32">
                  <c:v>17.531545635053266</c:v>
                </c:pt>
                <c:pt idx="33">
                  <c:v>17.797249971776772</c:v>
                </c:pt>
                <c:pt idx="34">
                  <c:v>18.231439558948413</c:v>
                </c:pt>
                <c:pt idx="35">
                  <c:v>18.307701549446694</c:v>
                </c:pt>
                <c:pt idx="36">
                  <c:v>18.331487663901811</c:v>
                </c:pt>
                <c:pt idx="37">
                  <c:v>18.600584903277213</c:v>
                </c:pt>
                <c:pt idx="38">
                  <c:v>19.71236219668431</c:v>
                </c:pt>
                <c:pt idx="39">
                  <c:v>19.72705417497842</c:v>
                </c:pt>
                <c:pt idx="40">
                  <c:v>19.15228446255519</c:v>
                </c:pt>
                <c:pt idx="41">
                  <c:v>20.03324584437949</c:v>
                </c:pt>
                <c:pt idx="42">
                  <c:v>20.20618717150256</c:v>
                </c:pt>
                <c:pt idx="43">
                  <c:v>20.224206899693066</c:v>
                </c:pt>
                <c:pt idx="44">
                  <c:v>20.201485102072755</c:v>
                </c:pt>
                <c:pt idx="45">
                  <c:v>20.740781101614143</c:v>
                </c:pt>
                <c:pt idx="46">
                  <c:v>20.756004670876287</c:v>
                </c:pt>
                <c:pt idx="47">
                  <c:v>20.812839707626349</c:v>
                </c:pt>
                <c:pt idx="48">
                  <c:v>21.20966875435348</c:v>
                </c:pt>
                <c:pt idx="49">
                  <c:v>21.221853585851314</c:v>
                </c:pt>
                <c:pt idx="50">
                  <c:v>21.511789084586237</c:v>
                </c:pt>
                <c:pt idx="51">
                  <c:v>21.880381227786099</c:v>
                </c:pt>
                <c:pt idx="52">
                  <c:v>21.941326021688621</c:v>
                </c:pt>
                <c:pt idx="53">
                  <c:v>21.778728790260587</c:v>
                </c:pt>
                <c:pt idx="54">
                  <c:v>21.822963361967595</c:v>
                </c:pt>
                <c:pt idx="55">
                  <c:v>22.39336557094293</c:v>
                </c:pt>
                <c:pt idx="56">
                  <c:v>22.078126694028526</c:v>
                </c:pt>
                <c:pt idx="57">
                  <c:v>23.129199467700737</c:v>
                </c:pt>
                <c:pt idx="58">
                  <c:v>22.63249072500399</c:v>
                </c:pt>
                <c:pt idx="59">
                  <c:v>23.098565045542546</c:v>
                </c:pt>
                <c:pt idx="60">
                  <c:v>23.20753022485162</c:v>
                </c:pt>
                <c:pt idx="61">
                  <c:v>23.347605857293772</c:v>
                </c:pt>
                <c:pt idx="62">
                  <c:v>23.950020296257836</c:v>
                </c:pt>
                <c:pt idx="63">
                  <c:v>24.807699777348418</c:v>
                </c:pt>
                <c:pt idx="64">
                  <c:v>23.96455716189876</c:v>
                </c:pt>
                <c:pt idx="65">
                  <c:v>24.844402297942608</c:v>
                </c:pt>
                <c:pt idx="66">
                  <c:v>24.932040199740221</c:v>
                </c:pt>
                <c:pt idx="67">
                  <c:v>25.274342906228512</c:v>
                </c:pt>
                <c:pt idx="68">
                  <c:v>26.299250005154839</c:v>
                </c:pt>
                <c:pt idx="69">
                  <c:v>26.695692542901249</c:v>
                </c:pt>
                <c:pt idx="70">
                  <c:v>26.70599185666363</c:v>
                </c:pt>
                <c:pt idx="71">
                  <c:v>26.962752082054486</c:v>
                </c:pt>
                <c:pt idx="72">
                  <c:v>25.981916786255567</c:v>
                </c:pt>
                <c:pt idx="73">
                  <c:v>26.438986378801445</c:v>
                </c:pt>
                <c:pt idx="74">
                  <c:v>27.073972752143241</c:v>
                </c:pt>
                <c:pt idx="75">
                  <c:v>26.907433914791593</c:v>
                </c:pt>
                <c:pt idx="76">
                  <c:v>27.909317449473711</c:v>
                </c:pt>
                <c:pt idx="77">
                  <c:v>28.040863054989444</c:v>
                </c:pt>
                <c:pt idx="78">
                  <c:v>29.642199654151547</c:v>
                </c:pt>
                <c:pt idx="81">
                  <c:v>29.420740992008106</c:v>
                </c:pt>
                <c:pt idx="83">
                  <c:v>29.420740992008106</c:v>
                </c:pt>
                <c:pt idx="85">
                  <c:v>30.147196989406069</c:v>
                </c:pt>
                <c:pt idx="86">
                  <c:v>31.432612506137847</c:v>
                </c:pt>
                <c:pt idx="87">
                  <c:v>30.733806398413797</c:v>
                </c:pt>
                <c:pt idx="88">
                  <c:v>31.034007676712495</c:v>
                </c:pt>
                <c:pt idx="89">
                  <c:v>32.605441524704524</c:v>
                </c:pt>
                <c:pt idx="90">
                  <c:v>31.724054912127894</c:v>
                </c:pt>
                <c:pt idx="91">
                  <c:v>32.88395605413961</c:v>
                </c:pt>
                <c:pt idx="92">
                  <c:v>32.823005076249792</c:v>
                </c:pt>
                <c:pt idx="93">
                  <c:v>33.081908101525599</c:v>
                </c:pt>
                <c:pt idx="94">
                  <c:v>33.653070053403518</c:v>
                </c:pt>
                <c:pt idx="95">
                  <c:v>33.824536743255905</c:v>
                </c:pt>
                <c:pt idx="96">
                  <c:v>33.032941654882038</c:v>
                </c:pt>
                <c:pt idx="97">
                  <c:v>33.027244193252798</c:v>
                </c:pt>
                <c:pt idx="98">
                  <c:v>33.604704102661152</c:v>
                </c:pt>
                <c:pt idx="99">
                  <c:v>34.749255465039795</c:v>
                </c:pt>
                <c:pt idx="100">
                  <c:v>34.054708664597797</c:v>
                </c:pt>
                <c:pt idx="101">
                  <c:v>34.226959074896364</c:v>
                </c:pt>
                <c:pt idx="102">
                  <c:v>34.064635135136363</c:v>
                </c:pt>
                <c:pt idx="103">
                  <c:v>34.109925499885705</c:v>
                </c:pt>
                <c:pt idx="104">
                  <c:v>34.728739042218322</c:v>
                </c:pt>
                <c:pt idx="105">
                  <c:v>34.588206148863854</c:v>
                </c:pt>
                <c:pt idx="106">
                  <c:v>35.024867786474815</c:v>
                </c:pt>
                <c:pt idx="107">
                  <c:v>35.592768629535669</c:v>
                </c:pt>
                <c:pt idx="108">
                  <c:v>35.791172864136918</c:v>
                </c:pt>
                <c:pt idx="109">
                  <c:v>35.155661863747568</c:v>
                </c:pt>
                <c:pt idx="110">
                  <c:v>43.830064937925066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1-44D5-A9D9-F8AFF94E056A}"/>
            </c:ext>
          </c:extLst>
        </c:ser>
        <c:ser>
          <c:idx val="4"/>
          <c:order val="2"/>
          <c:tx>
            <c:strRef>
              <c:f>Déplacements!$AW$9</c:f>
              <c:strCache>
                <c:ptCount val="1"/>
                <c:pt idx="0">
                  <c:v>SULEM - n=3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Déplacements!$AU$10:$AU$196</c:f>
              <c:numCache>
                <c:formatCode>m/d/yyyy</c:formatCode>
                <c:ptCount val="187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43999</c:v>
                </c:pt>
                <c:pt idx="74">
                  <c:v>44009</c:v>
                </c:pt>
                <c:pt idx="75">
                  <c:v>44019</c:v>
                </c:pt>
                <c:pt idx="76">
                  <c:v>44029</c:v>
                </c:pt>
                <c:pt idx="77">
                  <c:v>44039</c:v>
                </c:pt>
                <c:pt idx="78">
                  <c:v>44049</c:v>
                </c:pt>
                <c:pt idx="79">
                  <c:v>44059</c:v>
                </c:pt>
                <c:pt idx="80">
                  <c:v>44069</c:v>
                </c:pt>
                <c:pt idx="81">
                  <c:v>44079</c:v>
                </c:pt>
                <c:pt idx="82">
                  <c:v>44089</c:v>
                </c:pt>
                <c:pt idx="83">
                  <c:v>44099</c:v>
                </c:pt>
                <c:pt idx="84">
                  <c:v>44109</c:v>
                </c:pt>
                <c:pt idx="85">
                  <c:v>44119</c:v>
                </c:pt>
                <c:pt idx="86">
                  <c:v>44129</c:v>
                </c:pt>
                <c:pt idx="87">
                  <c:v>44139</c:v>
                </c:pt>
                <c:pt idx="88">
                  <c:v>44140</c:v>
                </c:pt>
                <c:pt idx="89">
                  <c:v>44159</c:v>
                </c:pt>
                <c:pt idx="90">
                  <c:v>44169</c:v>
                </c:pt>
                <c:pt idx="91">
                  <c:v>44179</c:v>
                </c:pt>
                <c:pt idx="92">
                  <c:v>44189</c:v>
                </c:pt>
                <c:pt idx="93">
                  <c:v>44199</c:v>
                </c:pt>
                <c:pt idx="94">
                  <c:v>44209</c:v>
                </c:pt>
                <c:pt idx="95">
                  <c:v>44210</c:v>
                </c:pt>
                <c:pt idx="96">
                  <c:v>44229</c:v>
                </c:pt>
                <c:pt idx="97">
                  <c:v>44239</c:v>
                </c:pt>
                <c:pt idx="98">
                  <c:v>44249</c:v>
                </c:pt>
                <c:pt idx="99">
                  <c:v>44259</c:v>
                </c:pt>
                <c:pt idx="100">
                  <c:v>44269</c:v>
                </c:pt>
                <c:pt idx="101">
                  <c:v>44279</c:v>
                </c:pt>
                <c:pt idx="102">
                  <c:v>44289</c:v>
                </c:pt>
                <c:pt idx="103">
                  <c:v>44299</c:v>
                </c:pt>
                <c:pt idx="104">
                  <c:v>44309</c:v>
                </c:pt>
                <c:pt idx="105">
                  <c:v>44319</c:v>
                </c:pt>
                <c:pt idx="106">
                  <c:v>44329</c:v>
                </c:pt>
                <c:pt idx="107">
                  <c:v>44339</c:v>
                </c:pt>
                <c:pt idx="108">
                  <c:v>44349</c:v>
                </c:pt>
                <c:pt idx="109">
                  <c:v>44359</c:v>
                </c:pt>
                <c:pt idx="110">
                  <c:v>44369</c:v>
                </c:pt>
                <c:pt idx="111">
                  <c:v>44379</c:v>
                </c:pt>
                <c:pt idx="112">
                  <c:v>44389</c:v>
                </c:pt>
                <c:pt idx="113">
                  <c:v>44399</c:v>
                </c:pt>
                <c:pt idx="114">
                  <c:v>44409</c:v>
                </c:pt>
                <c:pt idx="115">
                  <c:v>44419</c:v>
                </c:pt>
                <c:pt idx="116">
                  <c:v>44429</c:v>
                </c:pt>
                <c:pt idx="117">
                  <c:v>44439</c:v>
                </c:pt>
                <c:pt idx="118">
                  <c:v>44449</c:v>
                </c:pt>
                <c:pt idx="119">
                  <c:v>44459</c:v>
                </c:pt>
                <c:pt idx="120">
                  <c:v>44469</c:v>
                </c:pt>
                <c:pt idx="121">
                  <c:v>44479</c:v>
                </c:pt>
                <c:pt idx="122">
                  <c:v>44489</c:v>
                </c:pt>
                <c:pt idx="123">
                  <c:v>44499</c:v>
                </c:pt>
                <c:pt idx="124">
                  <c:v>44509</c:v>
                </c:pt>
                <c:pt idx="125">
                  <c:v>44519</c:v>
                </c:pt>
                <c:pt idx="126">
                  <c:v>44529</c:v>
                </c:pt>
                <c:pt idx="127">
                  <c:v>44539</c:v>
                </c:pt>
                <c:pt idx="128">
                  <c:v>44549</c:v>
                </c:pt>
                <c:pt idx="129">
                  <c:v>44559</c:v>
                </c:pt>
                <c:pt idx="130">
                  <c:v>44569</c:v>
                </c:pt>
                <c:pt idx="131">
                  <c:v>44579</c:v>
                </c:pt>
                <c:pt idx="132">
                  <c:v>44599</c:v>
                </c:pt>
                <c:pt idx="133">
                  <c:v>44659</c:v>
                </c:pt>
                <c:pt idx="134">
                  <c:v>44719</c:v>
                </c:pt>
                <c:pt idx="135">
                  <c:v>44779</c:v>
                </c:pt>
                <c:pt idx="136">
                  <c:v>44839</c:v>
                </c:pt>
                <c:pt idx="137">
                  <c:v>44899</c:v>
                </c:pt>
                <c:pt idx="138">
                  <c:v>44959</c:v>
                </c:pt>
                <c:pt idx="139">
                  <c:v>45019</c:v>
                </c:pt>
                <c:pt idx="140">
                  <c:v>45079</c:v>
                </c:pt>
                <c:pt idx="141">
                  <c:v>45139</c:v>
                </c:pt>
                <c:pt idx="142">
                  <c:v>45199</c:v>
                </c:pt>
                <c:pt idx="143">
                  <c:v>45259</c:v>
                </c:pt>
                <c:pt idx="144">
                  <c:v>45319</c:v>
                </c:pt>
                <c:pt idx="145">
                  <c:v>45379</c:v>
                </c:pt>
                <c:pt idx="146">
                  <c:v>45439</c:v>
                </c:pt>
                <c:pt idx="147">
                  <c:v>45499</c:v>
                </c:pt>
                <c:pt idx="148">
                  <c:v>45559</c:v>
                </c:pt>
                <c:pt idx="149">
                  <c:v>45619</c:v>
                </c:pt>
                <c:pt idx="150">
                  <c:v>45719</c:v>
                </c:pt>
                <c:pt idx="151">
                  <c:v>45839</c:v>
                </c:pt>
                <c:pt idx="152">
                  <c:v>45959</c:v>
                </c:pt>
                <c:pt idx="153">
                  <c:v>46079</c:v>
                </c:pt>
                <c:pt idx="154">
                  <c:v>46199</c:v>
                </c:pt>
                <c:pt idx="155">
                  <c:v>46319</c:v>
                </c:pt>
                <c:pt idx="156">
                  <c:v>46439</c:v>
                </c:pt>
                <c:pt idx="157">
                  <c:v>46559</c:v>
                </c:pt>
                <c:pt idx="158">
                  <c:v>46679</c:v>
                </c:pt>
                <c:pt idx="159">
                  <c:v>46799</c:v>
                </c:pt>
                <c:pt idx="160">
                  <c:v>46919</c:v>
                </c:pt>
                <c:pt idx="161">
                  <c:v>47039</c:v>
                </c:pt>
                <c:pt idx="162">
                  <c:v>47159</c:v>
                </c:pt>
                <c:pt idx="163">
                  <c:v>47279</c:v>
                </c:pt>
                <c:pt idx="164">
                  <c:v>47399</c:v>
                </c:pt>
                <c:pt idx="165">
                  <c:v>47519</c:v>
                </c:pt>
                <c:pt idx="166">
                  <c:v>47639</c:v>
                </c:pt>
                <c:pt idx="167">
                  <c:v>47759</c:v>
                </c:pt>
                <c:pt idx="168">
                  <c:v>47879</c:v>
                </c:pt>
                <c:pt idx="169">
                  <c:v>47999</c:v>
                </c:pt>
                <c:pt idx="170">
                  <c:v>48119</c:v>
                </c:pt>
                <c:pt idx="171">
                  <c:v>48239</c:v>
                </c:pt>
                <c:pt idx="172">
                  <c:v>48359</c:v>
                </c:pt>
                <c:pt idx="173">
                  <c:v>48479</c:v>
                </c:pt>
                <c:pt idx="174">
                  <c:v>48599</c:v>
                </c:pt>
                <c:pt idx="175">
                  <c:v>48719</c:v>
                </c:pt>
                <c:pt idx="176">
                  <c:v>48839</c:v>
                </c:pt>
                <c:pt idx="177">
                  <c:v>48959</c:v>
                </c:pt>
                <c:pt idx="178">
                  <c:v>49079</c:v>
                </c:pt>
                <c:pt idx="179">
                  <c:v>49199</c:v>
                </c:pt>
                <c:pt idx="180">
                  <c:v>49319</c:v>
                </c:pt>
                <c:pt idx="181">
                  <c:v>49439</c:v>
                </c:pt>
                <c:pt idx="182">
                  <c:v>49559</c:v>
                </c:pt>
                <c:pt idx="183">
                  <c:v>49679</c:v>
                </c:pt>
                <c:pt idx="184">
                  <c:v>49799</c:v>
                </c:pt>
                <c:pt idx="185">
                  <c:v>49919</c:v>
                </c:pt>
                <c:pt idx="186">
                  <c:v>50039</c:v>
                </c:pt>
              </c:numCache>
            </c:numRef>
          </c:xVal>
          <c:yVal>
            <c:numRef>
              <c:f>Déplacements!$AW$10:$AW$196</c:f>
              <c:numCache>
                <c:formatCode>General</c:formatCode>
                <c:ptCount val="187"/>
                <c:pt idx="0">
                  <c:v>0</c:v>
                </c:pt>
                <c:pt idx="1">
                  <c:v>0.27674522364625243</c:v>
                </c:pt>
                <c:pt idx="2">
                  <c:v>0.54832531507798188</c:v>
                </c:pt>
                <c:pt idx="3">
                  <c:v>1.5862437962569789</c:v>
                </c:pt>
                <c:pt idx="4">
                  <c:v>2.0782368367515915</c:v>
                </c:pt>
                <c:pt idx="5">
                  <c:v>5.1075539164024901</c:v>
                </c:pt>
                <c:pt idx="6">
                  <c:v>7.896576869878464</c:v>
                </c:pt>
                <c:pt idx="7">
                  <c:v>8.5091608795935034</c:v>
                </c:pt>
                <c:pt idx="8">
                  <c:v>8.8046971305389192</c:v>
                </c:pt>
                <c:pt idx="9">
                  <c:v>9.3756944660024342</c:v>
                </c:pt>
                <c:pt idx="10">
                  <c:v>9.651681474462281</c:v>
                </c:pt>
                <c:pt idx="11">
                  <c:v>9.7874048884988145</c:v>
                </c:pt>
                <c:pt idx="12">
                  <c:v>10.444454077060168</c:v>
                </c:pt>
                <c:pt idx="13">
                  <c:v>10.697702599570453</c:v>
                </c:pt>
                <c:pt idx="14">
                  <c:v>11.188866593662437</c:v>
                </c:pt>
                <c:pt idx="15">
                  <c:v>11.544525108039439</c:v>
                </c:pt>
                <c:pt idx="16">
                  <c:v>12.114703224547069</c:v>
                </c:pt>
                <c:pt idx="17">
                  <c:v>12.764463562418641</c:v>
                </c:pt>
                <c:pt idx="18">
                  <c:v>13.178397872914392</c:v>
                </c:pt>
                <c:pt idx="19">
                  <c:v>13.479420751976372</c:v>
                </c:pt>
                <c:pt idx="20">
                  <c:v>13.675816934318998</c:v>
                </c:pt>
                <c:pt idx="21">
                  <c:v>13.772767855079131</c:v>
                </c:pt>
                <c:pt idx="22">
                  <c:v>14.152541160276854</c:v>
                </c:pt>
                <c:pt idx="23">
                  <c:v>14.245535230711159</c:v>
                </c:pt>
                <c:pt idx="24">
                  <c:v>14.787969995775091</c:v>
                </c:pt>
                <c:pt idx="25">
                  <c:v>15.049663153755333</c:v>
                </c:pt>
                <c:pt idx="26">
                  <c:v>15.389287469135258</c:v>
                </c:pt>
                <c:pt idx="27">
                  <c:v>15.637338416875023</c:v>
                </c:pt>
                <c:pt idx="28">
                  <c:v>15.959605168163808</c:v>
                </c:pt>
                <c:pt idx="29">
                  <c:v>16.195223612334143</c:v>
                </c:pt>
                <c:pt idx="30">
                  <c:v>16.576911405864916</c:v>
                </c:pt>
                <c:pt idx="31">
                  <c:v>16.72589039650077</c:v>
                </c:pt>
                <c:pt idx="32">
                  <c:v>17.017790807564648</c:v>
                </c:pt>
                <c:pt idx="33">
                  <c:v>17.231603402206726</c:v>
                </c:pt>
                <c:pt idx="34">
                  <c:v>17.510159225702573</c:v>
                </c:pt>
                <c:pt idx="35">
                  <c:v>17.714366336671741</c:v>
                </c:pt>
                <c:pt idx="36">
                  <c:v>17.980620252651466</c:v>
                </c:pt>
                <c:pt idx="37">
                  <c:v>18.175959835738972</c:v>
                </c:pt>
                <c:pt idx="38">
                  <c:v>18.493595524448928</c:v>
                </c:pt>
                <c:pt idx="39">
                  <c:v>18.922502427376099</c:v>
                </c:pt>
                <c:pt idx="40">
                  <c:v>19.10097309899302</c:v>
                </c:pt>
                <c:pt idx="41">
                  <c:v>19.334179262395647</c:v>
                </c:pt>
                <c:pt idx="42">
                  <c:v>19.448805732623924</c:v>
                </c:pt>
                <c:pt idx="43">
                  <c:v>19.674235065889231</c:v>
                </c:pt>
                <c:pt idx="44">
                  <c:v>19.840058860398656</c:v>
                </c:pt>
                <c:pt idx="45">
                  <c:v>20.110480457040243</c:v>
                </c:pt>
                <c:pt idx="46">
                  <c:v>20.216631587152129</c:v>
                </c:pt>
                <c:pt idx="47">
                  <c:v>20.477152301919318</c:v>
                </c:pt>
                <c:pt idx="48">
                  <c:v>20.579471163754015</c:v>
                </c:pt>
                <c:pt idx="49">
                  <c:v>20.780977091451572</c:v>
                </c:pt>
                <c:pt idx="50">
                  <c:v>20.929439534792021</c:v>
                </c:pt>
                <c:pt idx="51">
                  <c:v>21.171974953703316</c:v>
                </c:pt>
                <c:pt idx="52">
                  <c:v>21.267323083449035</c:v>
                </c:pt>
                <c:pt idx="53">
                  <c:v>21.455252893925199</c:v>
                </c:pt>
                <c:pt idx="54">
                  <c:v>21.547865872457972</c:v>
                </c:pt>
                <c:pt idx="55">
                  <c:v>21.775575834348054</c:v>
                </c:pt>
                <c:pt idx="56">
                  <c:v>21.909652764659285</c:v>
                </c:pt>
                <c:pt idx="57">
                  <c:v>22.085544913432678</c:v>
                </c:pt>
                <c:pt idx="58">
                  <c:v>22.215364084165582</c:v>
                </c:pt>
                <c:pt idx="59">
                  <c:v>22.998511837981042</c:v>
                </c:pt>
                <c:pt idx="60">
                  <c:v>23.232786852042967</c:v>
                </c:pt>
                <c:pt idx="61">
                  <c:v>23.49881405430752</c:v>
                </c:pt>
                <c:pt idx="62">
                  <c:v>23.757358758941294</c:v>
                </c:pt>
                <c:pt idx="63">
                  <c:v>24.044142565909556</c:v>
                </c:pt>
                <c:pt idx="64">
                  <c:v>24.114445713868069</c:v>
                </c:pt>
                <c:pt idx="65">
                  <c:v>24.491620083745211</c:v>
                </c:pt>
                <c:pt idx="66">
                  <c:v>24.756299609107035</c:v>
                </c:pt>
                <c:pt idx="67">
                  <c:v>25.076447184431391</c:v>
                </c:pt>
                <c:pt idx="68">
                  <c:v>27.137461313459891</c:v>
                </c:pt>
                <c:pt idx="69">
                  <c:v>27.308828469438552</c:v>
                </c:pt>
                <c:pt idx="70">
                  <c:v>27.476734358525448</c:v>
                </c:pt>
                <c:pt idx="71">
                  <c:v>27.61799129697058</c:v>
                </c:pt>
                <c:pt idx="72">
                  <c:v>27.779787652638799</c:v>
                </c:pt>
                <c:pt idx="73">
                  <c:v>27.825435748344539</c:v>
                </c:pt>
                <c:pt idx="74">
                  <c:v>28.049931643398448</c:v>
                </c:pt>
                <c:pt idx="75">
                  <c:v>28.268403629656824</c:v>
                </c:pt>
                <c:pt idx="76">
                  <c:v>28.48113190851074</c:v>
                </c:pt>
                <c:pt idx="77">
                  <c:v>28.688378351338589</c:v>
                </c:pt>
                <c:pt idx="78">
                  <c:v>28.890388031631606</c:v>
                </c:pt>
                <c:pt idx="79">
                  <c:v>29.087390602280003</c:v>
                </c:pt>
                <c:pt idx="80">
                  <c:v>29.279601536272818</c:v>
                </c:pt>
                <c:pt idx="81">
                  <c:v>29.467223246617259</c:v>
                </c:pt>
                <c:pt idx="82">
                  <c:v>29.650446099201851</c:v>
                </c:pt>
                <c:pt idx="83">
                  <c:v>29.829449330552958</c:v>
                </c:pt>
                <c:pt idx="84">
                  <c:v>30.004401880915282</c:v>
                </c:pt>
                <c:pt idx="85">
                  <c:v>30.175463151784299</c:v>
                </c:pt>
                <c:pt idx="86">
                  <c:v>30.342783695897563</c:v>
                </c:pt>
                <c:pt idx="87">
                  <c:v>30.506505846724568</c:v>
                </c:pt>
                <c:pt idx="88">
                  <c:v>30.522685399029982</c:v>
                </c:pt>
                <c:pt idx="89">
                  <c:v>30.823686608390069</c:v>
                </c:pt>
                <c:pt idx="90">
                  <c:v>30.977393727304644</c:v>
                </c:pt>
                <c:pt idx="91">
                  <c:v>31.128000394212727</c:v>
                </c:pt>
                <c:pt idx="92">
                  <c:v>31.275615567221525</c:v>
                </c:pt>
                <c:pt idx="93">
                  <c:v>31.420342793153971</c:v>
                </c:pt>
                <c:pt idx="94">
                  <c:v>31.562280552544685</c:v>
                </c:pt>
                <c:pt idx="95">
                  <c:v>31.576324556037871</c:v>
                </c:pt>
                <c:pt idx="96">
                  <c:v>31.838158147794445</c:v>
                </c:pt>
                <c:pt idx="97">
                  <c:v>31.972272358530088</c:v>
                </c:pt>
                <c:pt idx="98">
                  <c:v>32.10394637605232</c:v>
                </c:pt>
                <c:pt idx="99">
                  <c:v>32.233257669132932</c:v>
                </c:pt>
                <c:pt idx="100">
                  <c:v>32.360280225845699</c:v>
                </c:pt>
                <c:pt idx="101">
                  <c:v>32.485084754610874</c:v>
                </c:pt>
                <c:pt idx="102">
                  <c:v>32.607738871116304</c:v>
                </c:pt>
                <c:pt idx="103">
                  <c:v>32.728307272279167</c:v>
                </c:pt>
                <c:pt idx="104">
                  <c:v>32.846851898302816</c:v>
                </c:pt>
                <c:pt idx="105">
                  <c:v>32.963432083784447</c:v>
                </c:pt>
                <c:pt idx="106">
                  <c:v>33.078104698742116</c:v>
                </c:pt>
                <c:pt idx="107">
                  <c:v>33.190924280350494</c:v>
                </c:pt>
                <c:pt idx="108">
                  <c:v>33.301943156104066</c:v>
                </c:pt>
                <c:pt idx="109">
                  <c:v>33.411211559062806</c:v>
                </c:pt>
                <c:pt idx="110">
                  <c:v>33.518777735778137</c:v>
                </c:pt>
                <c:pt idx="111">
                  <c:v>33.624688047445289</c:v>
                </c:pt>
                <c:pt idx="112">
                  <c:v>33.728987064781336</c:v>
                </c:pt>
                <c:pt idx="113">
                  <c:v>33.831717657086379</c:v>
                </c:pt>
                <c:pt idx="114">
                  <c:v>33.932921075906833</c:v>
                </c:pt>
                <c:pt idx="115">
                  <c:v>34.032637033685198</c:v>
                </c:pt>
                <c:pt idx="116">
                  <c:v>34.130903777749779</c:v>
                </c:pt>
                <c:pt idx="117">
                  <c:v>34.227758159968523</c:v>
                </c:pt>
                <c:pt idx="118">
                  <c:v>34.32323570236602</c:v>
                </c:pt>
                <c:pt idx="119">
                  <c:v>34.417370658978641</c:v>
                </c:pt>
                <c:pt idx="120">
                  <c:v>34.51019607420141</c:v>
                </c:pt>
                <c:pt idx="121">
                  <c:v>34.601743837860653</c:v>
                </c:pt>
                <c:pt idx="122">
                  <c:v>34.692044737228557</c:v>
                </c:pt>
                <c:pt idx="123">
                  <c:v>34.781128506179414</c:v>
                </c:pt>
                <c:pt idx="124">
                  <c:v>34.869023871672319</c:v>
                </c:pt>
                <c:pt idx="125">
                  <c:v>34.955758597731339</c:v>
                </c:pt>
                <c:pt idx="126">
                  <c:v>35.041359527081866</c:v>
                </c:pt>
                <c:pt idx="127">
                  <c:v>35.125852620590024</c:v>
                </c:pt>
                <c:pt idx="128">
                  <c:v>35.209262994641556</c:v>
                </c:pt>
                <c:pt idx="129">
                  <c:v>35.291614956586962</c:v>
                </c:pt>
                <c:pt idx="130">
                  <c:v>35.372932038370735</c:v>
                </c:pt>
                <c:pt idx="131">
                  <c:v>35.45323702845397</c:v>
                </c:pt>
                <c:pt idx="132">
                  <c:v>35.610898350346076</c:v>
                </c:pt>
                <c:pt idx="133">
                  <c:v>36.061753598160621</c:v>
                </c:pt>
                <c:pt idx="134">
                  <c:v>36.482463628416234</c:v>
                </c:pt>
                <c:pt idx="135">
                  <c:v>36.876420499629496</c:v>
                </c:pt>
                <c:pt idx="136">
                  <c:v>37.246494107966164</c:v>
                </c:pt>
                <c:pt idx="137">
                  <c:v>37.595132268328861</c:v>
                </c:pt>
                <c:pt idx="138">
                  <c:v>37.924438158763145</c:v>
                </c:pt>
                <c:pt idx="139">
                  <c:v>38.236230965736645</c:v>
                </c:pt>
                <c:pt idx="140">
                  <c:v>38.532093891948527</c:v>
                </c:pt>
                <c:pt idx="141">
                  <c:v>38.813412538813246</c:v>
                </c:pt>
                <c:pt idx="142">
                  <c:v>39.081405874122389</c:v>
                </c:pt>
                <c:pt idx="143">
                  <c:v>39.337151427803462</c:v>
                </c:pt>
                <c:pt idx="144">
                  <c:v>39.581605951191179</c:v>
                </c:pt>
                <c:pt idx="145">
                  <c:v>39.815622478875312</c:v>
                </c:pt>
                <c:pt idx="146">
                  <c:v>40.03996451409845</c:v>
                </c:pt>
                <c:pt idx="147">
                  <c:v>40.255317896400967</c:v>
                </c:pt>
                <c:pt idx="148">
                  <c:v>40.462300788223999</c:v>
                </c:pt>
                <c:pt idx="149">
                  <c:v>40.661472124598909</c:v>
                </c:pt>
                <c:pt idx="150">
                  <c:v>40.977421145637884</c:v>
                </c:pt>
                <c:pt idx="151">
                  <c:v>41.33265060096403</c:v>
                </c:pt>
                <c:pt idx="152">
                  <c:v>41.66464655383853</c:v>
                </c:pt>
                <c:pt idx="153">
                  <c:v>41.975969034293755</c:v>
                </c:pt>
                <c:pt idx="154">
                  <c:v>42.268791801918276</c:v>
                </c:pt>
                <c:pt idx="155">
                  <c:v>42.544974977210103</c:v>
                </c:pt>
                <c:pt idx="156">
                  <c:v>42.806121543427814</c:v>
                </c:pt>
                <c:pt idx="157">
                  <c:v>43.053621805866669</c:v>
                </c:pt>
                <c:pt idx="158">
                  <c:v>43.288688741853534</c:v>
                </c:pt>
                <c:pt idx="159">
                  <c:v>43.512386377615051</c:v>
                </c:pt>
                <c:pt idx="160">
                  <c:v>43.72565276851374</c:v>
                </c:pt>
                <c:pt idx="161">
                  <c:v>43.929318760436175</c:v>
                </c:pt>
                <c:pt idx="162">
                  <c:v>44.124123422225274</c:v>
                </c:pt>
                <c:pt idx="163">
                  <c:v>44.31072682858079</c:v>
                </c:pt>
                <c:pt idx="164">
                  <c:v>44.489720717207021</c:v>
                </c:pt>
                <c:pt idx="165">
                  <c:v>44.661637427650611</c:v>
                </c:pt>
                <c:pt idx="166">
                  <c:v>44.826957441448393</c:v>
                </c:pt>
                <c:pt idx="167">
                  <c:v>44.986115776288599</c:v>
                </c:pt>
                <c:pt idx="168">
                  <c:v>45.139507435458199</c:v>
                </c:pt>
                <c:pt idx="169">
                  <c:v>45.287492073997029</c:v>
                </c:pt>
                <c:pt idx="170">
                  <c:v>45.430398011862479</c:v>
                </c:pt>
                <c:pt idx="171">
                  <c:v>45.568525699936771</c:v>
                </c:pt>
                <c:pt idx="172">
                  <c:v>45.702150725331059</c:v>
                </c:pt>
                <c:pt idx="173">
                  <c:v>45.831526426999034</c:v>
                </c:pt>
                <c:pt idx="174">
                  <c:v>45.956886180291839</c:v>
                </c:pt>
                <c:pt idx="175">
                  <c:v>46.078445399102215</c:v>
                </c:pt>
                <c:pt idx="176">
                  <c:v>46.196403296151189</c:v>
                </c:pt>
                <c:pt idx="177">
                  <c:v>46.310944435373088</c:v>
                </c:pt>
                <c:pt idx="178">
                  <c:v>46.422240104950838</c:v>
                </c:pt>
                <c:pt idx="179">
                  <c:v>46.530449535106982</c:v>
                </c:pt>
                <c:pt idx="180">
                  <c:v>46.635720981079864</c:v>
                </c:pt>
                <c:pt idx="181">
                  <c:v>46.738192688662991</c:v>
                </c:pt>
                <c:pt idx="182">
                  <c:v>46.837993757141916</c:v>
                </c:pt>
                <c:pt idx="183">
                  <c:v>46.935244912334376</c:v>
                </c:pt>
                <c:pt idx="184">
                  <c:v>47.030059200651259</c:v>
                </c:pt>
                <c:pt idx="185">
                  <c:v>47.122542613588877</c:v>
                </c:pt>
                <c:pt idx="186">
                  <c:v>47.212794650787551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031-44D5-A9D9-F8AFF94E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08816"/>
        <c:axId val="5124092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[1]PM169!$E$2</c15:sqref>
                        </c15:formulaRef>
                      </c:ext>
                    </c:extLst>
                    <c:strCache>
                      <c:ptCount val="1"/>
                      <c:pt idx="0">
                        <c:v>Norme CH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[1]PM169!$A$39:$A$65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43738</c:v>
                      </c:pt>
                      <c:pt idx="1">
                        <c:v>43741</c:v>
                      </c:pt>
                      <c:pt idx="2">
                        <c:v>43746</c:v>
                      </c:pt>
                      <c:pt idx="3">
                        <c:v>43753</c:v>
                      </c:pt>
                      <c:pt idx="4">
                        <c:v>43756</c:v>
                      </c:pt>
                      <c:pt idx="5">
                        <c:v>43760</c:v>
                      </c:pt>
                      <c:pt idx="6">
                        <c:v>43762</c:v>
                      </c:pt>
                      <c:pt idx="7">
                        <c:v>43766</c:v>
                      </c:pt>
                      <c:pt idx="8">
                        <c:v>43769</c:v>
                      </c:pt>
                      <c:pt idx="9">
                        <c:v>43774</c:v>
                      </c:pt>
                      <c:pt idx="10">
                        <c:v>43776</c:v>
                      </c:pt>
                      <c:pt idx="11">
                        <c:v>43781</c:v>
                      </c:pt>
                      <c:pt idx="12">
                        <c:v>43783</c:v>
                      </c:pt>
                      <c:pt idx="13">
                        <c:v>43787</c:v>
                      </c:pt>
                      <c:pt idx="14">
                        <c:v>43790</c:v>
                      </c:pt>
                      <c:pt idx="15">
                        <c:v>43795</c:v>
                      </c:pt>
                      <c:pt idx="16">
                        <c:v>43797</c:v>
                      </c:pt>
                      <c:pt idx="17">
                        <c:v>43801</c:v>
                      </c:pt>
                      <c:pt idx="18">
                        <c:v>43803</c:v>
                      </c:pt>
                      <c:pt idx="19">
                        <c:v>43808</c:v>
                      </c:pt>
                      <c:pt idx="20">
                        <c:v>43811</c:v>
                      </c:pt>
                      <c:pt idx="21">
                        <c:v>43815</c:v>
                      </c:pt>
                      <c:pt idx="22">
                        <c:v>43818</c:v>
                      </c:pt>
                      <c:pt idx="23">
                        <c:v>43837</c:v>
                      </c:pt>
                      <c:pt idx="24">
                        <c:v>43843</c:v>
                      </c:pt>
                      <c:pt idx="25">
                        <c:v>43850</c:v>
                      </c:pt>
                      <c:pt idx="26">
                        <c:v>43857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[1]PM169!$E$39:$E$65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18.331487663901811</c:v>
                      </c:pt>
                      <c:pt idx="1">
                        <c:v>18.600584903277213</c:v>
                      </c:pt>
                      <c:pt idx="2">
                        <c:v>19.71236219668431</c:v>
                      </c:pt>
                      <c:pt idx="3">
                        <c:v>19.72705417497842</c:v>
                      </c:pt>
                      <c:pt idx="4">
                        <c:v>19.15228446255519</c:v>
                      </c:pt>
                      <c:pt idx="5">
                        <c:v>20.03324584437949</c:v>
                      </c:pt>
                      <c:pt idx="6">
                        <c:v>20.20618717150256</c:v>
                      </c:pt>
                      <c:pt idx="7">
                        <c:v>20.224206899693066</c:v>
                      </c:pt>
                      <c:pt idx="8">
                        <c:v>20.201485102072755</c:v>
                      </c:pt>
                      <c:pt idx="9">
                        <c:v>20.740781101614143</c:v>
                      </c:pt>
                      <c:pt idx="10">
                        <c:v>20.756004670876287</c:v>
                      </c:pt>
                      <c:pt idx="11">
                        <c:v>20.812839707626349</c:v>
                      </c:pt>
                      <c:pt idx="12">
                        <c:v>21.20966875435348</c:v>
                      </c:pt>
                      <c:pt idx="13">
                        <c:v>21.221853585851314</c:v>
                      </c:pt>
                      <c:pt idx="14">
                        <c:v>21.511789084586237</c:v>
                      </c:pt>
                      <c:pt idx="15">
                        <c:v>21.880381227786099</c:v>
                      </c:pt>
                      <c:pt idx="16">
                        <c:v>21.941326021688621</c:v>
                      </c:pt>
                      <c:pt idx="17">
                        <c:v>21.778728790260587</c:v>
                      </c:pt>
                      <c:pt idx="18">
                        <c:v>21.822963361967595</c:v>
                      </c:pt>
                      <c:pt idx="19">
                        <c:v>22.39336557094293</c:v>
                      </c:pt>
                      <c:pt idx="20">
                        <c:v>22.078126694028526</c:v>
                      </c:pt>
                      <c:pt idx="21">
                        <c:v>23.129199467700737</c:v>
                      </c:pt>
                      <c:pt idx="22">
                        <c:v>22.63249072500399</c:v>
                      </c:pt>
                      <c:pt idx="23">
                        <c:v>23.098565045542546</c:v>
                      </c:pt>
                      <c:pt idx="24">
                        <c:v>23.20753022485162</c:v>
                      </c:pt>
                      <c:pt idx="25">
                        <c:v>23.347605857293772</c:v>
                      </c:pt>
                      <c:pt idx="26">
                        <c:v>23.950020296257836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031-44D5-A9D9-F8AFF94E056A}"/>
                  </c:ext>
                </c:extLst>
              </c15:ser>
            </c15:filteredScatterSeries>
          </c:ext>
        </c:extLst>
      </c:scatterChart>
      <c:valAx>
        <c:axId val="512408816"/>
        <c:scaling>
          <c:orientation val="minMax"/>
          <c:max val="44100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yy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09208"/>
        <c:crosses val="autoZero"/>
        <c:crossBetween val="midCat"/>
        <c:majorUnit val="30"/>
        <c:minorUnit val="30"/>
      </c:valAx>
      <c:valAx>
        <c:axId val="51240920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 des déplacements [mm]</a:t>
                </a:r>
              </a:p>
            </c:rich>
          </c:tx>
          <c:layout>
            <c:manualLayout>
              <c:xMode val="edge"/>
              <c:yMode val="edge"/>
              <c:x val="4.2214814814814814E-3"/>
              <c:y val="0.24103777777777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0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baseline="0"/>
              <a:t>Projection à 10 ans des déplacements de la cible CH-PM169-GVA3 - </a:t>
            </a:r>
            <a:r>
              <a:rPr lang="fr-FR" sz="800" b="0" i="1" baseline="0"/>
              <a:t>Projection à partir d'une loi dite de Sulem ajustée aux </a:t>
            </a:r>
            <a:r>
              <a:rPr lang="fr-FR" sz="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mesures existantes au 16/06/2020</a:t>
            </a:r>
          </a:p>
        </c:rich>
      </c:tx>
      <c:layout>
        <c:manualLayout>
          <c:xMode val="edge"/>
          <c:yMode val="edge"/>
          <c:x val="0.15388611111111128"/>
          <c:y val="3.175E-2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048021144559357"/>
          <c:y val="0.17000003589562782"/>
          <c:w val="0.85651981481481521"/>
          <c:h val="0.6376050000000007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0.88317610882287212</c:v>
                </c:pt>
                <c:pt idx="2">
                  <c:v>0.655743894808552</c:v>
                </c:pt>
                <c:pt idx="3">
                  <c:v>0.90000001691520737</c:v>
                </c:pt>
                <c:pt idx="4">
                  <c:v>2.1118712131896729</c:v>
                </c:pt>
                <c:pt idx="5">
                  <c:v>2.8600699185849257</c:v>
                </c:pt>
                <c:pt idx="6">
                  <c:v>5.3721682568805926</c:v>
                </c:pt>
                <c:pt idx="7">
                  <c:v>8.176800031522129</c:v>
                </c:pt>
                <c:pt idx="8">
                  <c:v>8.1277074425726781</c:v>
                </c:pt>
                <c:pt idx="9">
                  <c:v>9.4010492325438726</c:v>
                </c:pt>
                <c:pt idx="10">
                  <c:v>8.2643812378118238</c:v>
                </c:pt>
                <c:pt idx="11">
                  <c:v>10.022973610163127</c:v>
                </c:pt>
                <c:pt idx="12">
                  <c:v>9.8030607534229635</c:v>
                </c:pt>
                <c:pt idx="13">
                  <c:v>10.176936078521258</c:v>
                </c:pt>
                <c:pt idx="14">
                  <c:v>10.404806576347903</c:v>
                </c:pt>
                <c:pt idx="15">
                  <c:v>11.06435720858012</c:v>
                </c:pt>
                <c:pt idx="16">
                  <c:v>11.869709363565933</c:v>
                </c:pt>
                <c:pt idx="17">
                  <c:v>12.487593846270729</c:v>
                </c:pt>
                <c:pt idx="18">
                  <c:v>12.405253260358126</c:v>
                </c:pt>
                <c:pt idx="19">
                  <c:v>13.029965474052391</c:v>
                </c:pt>
                <c:pt idx="20">
                  <c:v>13.78767566542545</c:v>
                </c:pt>
                <c:pt idx="21">
                  <c:v>13.104193518315789</c:v>
                </c:pt>
                <c:pt idx="22">
                  <c:v>14.169696460043758</c:v>
                </c:pt>
                <c:pt idx="23">
                  <c:v>13.848464736463283</c:v>
                </c:pt>
                <c:pt idx="24">
                  <c:v>14.836710715835753</c:v>
                </c:pt>
                <c:pt idx="25">
                  <c:v>15.083834247684731</c:v>
                </c:pt>
                <c:pt idx="26">
                  <c:v>15.334698127266677</c:v>
                </c:pt>
                <c:pt idx="27">
                  <c:v>15.623835496769049</c:v>
                </c:pt>
                <c:pt idx="28">
                  <c:v>15.925804738860686</c:v>
                </c:pt>
                <c:pt idx="29">
                  <c:v>16.262435316648663</c:v>
                </c:pt>
                <c:pt idx="30">
                  <c:v>16.688637031896238</c:v>
                </c:pt>
                <c:pt idx="31">
                  <c:v>16.595877317412032</c:v>
                </c:pt>
                <c:pt idx="32">
                  <c:v>17.531545635053266</c:v>
                </c:pt>
                <c:pt idx="33">
                  <c:v>17.797249971776772</c:v>
                </c:pt>
                <c:pt idx="34">
                  <c:v>18.231439558948413</c:v>
                </c:pt>
                <c:pt idx="35">
                  <c:v>18.307701549446694</c:v>
                </c:pt>
                <c:pt idx="36">
                  <c:v>18.331487663901811</c:v>
                </c:pt>
                <c:pt idx="37">
                  <c:v>18.600584903277213</c:v>
                </c:pt>
                <c:pt idx="38">
                  <c:v>19.71236219668431</c:v>
                </c:pt>
                <c:pt idx="39">
                  <c:v>19.72705417497842</c:v>
                </c:pt>
                <c:pt idx="40">
                  <c:v>19.15228446255519</c:v>
                </c:pt>
                <c:pt idx="41">
                  <c:v>20.03324584437949</c:v>
                </c:pt>
                <c:pt idx="42">
                  <c:v>20.20618717150256</c:v>
                </c:pt>
                <c:pt idx="43">
                  <c:v>20.224206899693066</c:v>
                </c:pt>
                <c:pt idx="44">
                  <c:v>20.201485102072755</c:v>
                </c:pt>
                <c:pt idx="45">
                  <c:v>20.740781101614143</c:v>
                </c:pt>
                <c:pt idx="46">
                  <c:v>20.756004670876287</c:v>
                </c:pt>
                <c:pt idx="47">
                  <c:v>20.812839707626349</c:v>
                </c:pt>
                <c:pt idx="48">
                  <c:v>21.20966875435348</c:v>
                </c:pt>
                <c:pt idx="49">
                  <c:v>21.221853585851314</c:v>
                </c:pt>
                <c:pt idx="50">
                  <c:v>21.511789084586237</c:v>
                </c:pt>
                <c:pt idx="51">
                  <c:v>21.880381227786099</c:v>
                </c:pt>
                <c:pt idx="52">
                  <c:v>21.941326021688621</c:v>
                </c:pt>
                <c:pt idx="53">
                  <c:v>21.778728790260587</c:v>
                </c:pt>
                <c:pt idx="54">
                  <c:v>21.822963361967595</c:v>
                </c:pt>
                <c:pt idx="55">
                  <c:v>22.39336557094293</c:v>
                </c:pt>
                <c:pt idx="56">
                  <c:v>22.078126694028526</c:v>
                </c:pt>
                <c:pt idx="57">
                  <c:v>23.129199467700737</c:v>
                </c:pt>
                <c:pt idx="58">
                  <c:v>22.63249072500399</c:v>
                </c:pt>
                <c:pt idx="59">
                  <c:v>23.098565045542546</c:v>
                </c:pt>
                <c:pt idx="60">
                  <c:v>23.20753022485162</c:v>
                </c:pt>
                <c:pt idx="61">
                  <c:v>23.347605857293772</c:v>
                </c:pt>
                <c:pt idx="62">
                  <c:v>23.950020296257836</c:v>
                </c:pt>
                <c:pt idx="63">
                  <c:v>24.807699777348418</c:v>
                </c:pt>
                <c:pt idx="64">
                  <c:v>23.96455716189876</c:v>
                </c:pt>
                <c:pt idx="65">
                  <c:v>24.844402297942608</c:v>
                </c:pt>
                <c:pt idx="66">
                  <c:v>24.932040199740221</c:v>
                </c:pt>
                <c:pt idx="67">
                  <c:v>25.274342906228512</c:v>
                </c:pt>
                <c:pt idx="68">
                  <c:v>26.299250005154839</c:v>
                </c:pt>
                <c:pt idx="69">
                  <c:v>26.695692542901249</c:v>
                </c:pt>
                <c:pt idx="70">
                  <c:v>26.70599185666363</c:v>
                </c:pt>
                <c:pt idx="71">
                  <c:v>26.962752082054486</c:v>
                </c:pt>
                <c:pt idx="72">
                  <c:v>25.981916786255567</c:v>
                </c:pt>
                <c:pt idx="73">
                  <c:v>26.438986378801445</c:v>
                </c:pt>
                <c:pt idx="74">
                  <c:v>27.073972752143241</c:v>
                </c:pt>
                <c:pt idx="75">
                  <c:v>26.907433914791593</c:v>
                </c:pt>
                <c:pt idx="76">
                  <c:v>27.909317449473711</c:v>
                </c:pt>
                <c:pt idx="77">
                  <c:v>28.040863054989444</c:v>
                </c:pt>
                <c:pt idx="78">
                  <c:v>29.642199654151547</c:v>
                </c:pt>
                <c:pt idx="81">
                  <c:v>29.420740992008106</c:v>
                </c:pt>
                <c:pt idx="83">
                  <c:v>29.420740992008106</c:v>
                </c:pt>
                <c:pt idx="85">
                  <c:v>30.147196989406069</c:v>
                </c:pt>
                <c:pt idx="86">
                  <c:v>31.432612506137847</c:v>
                </c:pt>
                <c:pt idx="87">
                  <c:v>30.733806398413797</c:v>
                </c:pt>
                <c:pt idx="88">
                  <c:v>31.034007676712495</c:v>
                </c:pt>
                <c:pt idx="89">
                  <c:v>32.605441524704524</c:v>
                </c:pt>
                <c:pt idx="90">
                  <c:v>31.724054912127894</c:v>
                </c:pt>
                <c:pt idx="91">
                  <c:v>32.88395605413961</c:v>
                </c:pt>
                <c:pt idx="92">
                  <c:v>32.823005076249792</c:v>
                </c:pt>
                <c:pt idx="93">
                  <c:v>33.081908101525599</c:v>
                </c:pt>
                <c:pt idx="94">
                  <c:v>33.653070053403518</c:v>
                </c:pt>
                <c:pt idx="95">
                  <c:v>33.824536743255905</c:v>
                </c:pt>
                <c:pt idx="96">
                  <c:v>33.032941654882038</c:v>
                </c:pt>
                <c:pt idx="97">
                  <c:v>33.027244193252798</c:v>
                </c:pt>
                <c:pt idx="98">
                  <c:v>33.604704102661152</c:v>
                </c:pt>
                <c:pt idx="99">
                  <c:v>34.749255465039795</c:v>
                </c:pt>
                <c:pt idx="100">
                  <c:v>34.054708664597797</c:v>
                </c:pt>
                <c:pt idx="101">
                  <c:v>34.226959074896364</c:v>
                </c:pt>
                <c:pt idx="102">
                  <c:v>34.064635135136363</c:v>
                </c:pt>
                <c:pt idx="103">
                  <c:v>34.109925499885705</c:v>
                </c:pt>
                <c:pt idx="104">
                  <c:v>34.728739042218322</c:v>
                </c:pt>
                <c:pt idx="105">
                  <c:v>34.588206148863854</c:v>
                </c:pt>
                <c:pt idx="106">
                  <c:v>35.024867786474815</c:v>
                </c:pt>
                <c:pt idx="107">
                  <c:v>35.592768629535669</c:v>
                </c:pt>
                <c:pt idx="108">
                  <c:v>35.791172864136918</c:v>
                </c:pt>
                <c:pt idx="109">
                  <c:v>35.155661863747568</c:v>
                </c:pt>
                <c:pt idx="110">
                  <c:v>43.830064937925066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A-45CE-9916-13303FCCB450}"/>
            </c:ext>
          </c:extLst>
        </c:ser>
        <c:ser>
          <c:idx val="4"/>
          <c:order val="2"/>
          <c:tx>
            <c:strRef>
              <c:f>Déplacements!$AW$9</c:f>
              <c:strCache>
                <c:ptCount val="1"/>
                <c:pt idx="0">
                  <c:v>SULEM - n=3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Déplacements!$AU$10:$AU$196</c:f>
              <c:numCache>
                <c:formatCode>m/d/yyyy</c:formatCode>
                <c:ptCount val="187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43999</c:v>
                </c:pt>
                <c:pt idx="74">
                  <c:v>44009</c:v>
                </c:pt>
                <c:pt idx="75">
                  <c:v>44019</c:v>
                </c:pt>
                <c:pt idx="76">
                  <c:v>44029</c:v>
                </c:pt>
                <c:pt idx="77">
                  <c:v>44039</c:v>
                </c:pt>
                <c:pt idx="78">
                  <c:v>44049</c:v>
                </c:pt>
                <c:pt idx="79">
                  <c:v>44059</c:v>
                </c:pt>
                <c:pt idx="80">
                  <c:v>44069</c:v>
                </c:pt>
                <c:pt idx="81">
                  <c:v>44079</c:v>
                </c:pt>
                <c:pt idx="82">
                  <c:v>44089</c:v>
                </c:pt>
                <c:pt idx="83">
                  <c:v>44099</c:v>
                </c:pt>
                <c:pt idx="84">
                  <c:v>44109</c:v>
                </c:pt>
                <c:pt idx="85">
                  <c:v>44119</c:v>
                </c:pt>
                <c:pt idx="86">
                  <c:v>44129</c:v>
                </c:pt>
                <c:pt idx="87">
                  <c:v>44139</c:v>
                </c:pt>
                <c:pt idx="88">
                  <c:v>44140</c:v>
                </c:pt>
                <c:pt idx="89">
                  <c:v>44159</c:v>
                </c:pt>
                <c:pt idx="90">
                  <c:v>44169</c:v>
                </c:pt>
                <c:pt idx="91">
                  <c:v>44179</c:v>
                </c:pt>
                <c:pt idx="92">
                  <c:v>44189</c:v>
                </c:pt>
                <c:pt idx="93">
                  <c:v>44199</c:v>
                </c:pt>
                <c:pt idx="94">
                  <c:v>44209</c:v>
                </c:pt>
                <c:pt idx="95">
                  <c:v>44210</c:v>
                </c:pt>
                <c:pt idx="96">
                  <c:v>44229</c:v>
                </c:pt>
                <c:pt idx="97">
                  <c:v>44239</c:v>
                </c:pt>
                <c:pt idx="98">
                  <c:v>44249</c:v>
                </c:pt>
                <c:pt idx="99">
                  <c:v>44259</c:v>
                </c:pt>
                <c:pt idx="100">
                  <c:v>44269</c:v>
                </c:pt>
                <c:pt idx="101">
                  <c:v>44279</c:v>
                </c:pt>
                <c:pt idx="102">
                  <c:v>44289</c:v>
                </c:pt>
                <c:pt idx="103">
                  <c:v>44299</c:v>
                </c:pt>
                <c:pt idx="104">
                  <c:v>44309</c:v>
                </c:pt>
                <c:pt idx="105">
                  <c:v>44319</c:v>
                </c:pt>
                <c:pt idx="106">
                  <c:v>44329</c:v>
                </c:pt>
                <c:pt idx="107">
                  <c:v>44339</c:v>
                </c:pt>
                <c:pt idx="108">
                  <c:v>44349</c:v>
                </c:pt>
                <c:pt idx="109">
                  <c:v>44359</c:v>
                </c:pt>
                <c:pt idx="110">
                  <c:v>44369</c:v>
                </c:pt>
                <c:pt idx="111">
                  <c:v>44379</c:v>
                </c:pt>
                <c:pt idx="112">
                  <c:v>44389</c:v>
                </c:pt>
                <c:pt idx="113">
                  <c:v>44399</c:v>
                </c:pt>
                <c:pt idx="114">
                  <c:v>44409</c:v>
                </c:pt>
                <c:pt idx="115">
                  <c:v>44419</c:v>
                </c:pt>
                <c:pt idx="116">
                  <c:v>44429</c:v>
                </c:pt>
                <c:pt idx="117">
                  <c:v>44439</c:v>
                </c:pt>
                <c:pt idx="118">
                  <c:v>44449</c:v>
                </c:pt>
                <c:pt idx="119">
                  <c:v>44459</c:v>
                </c:pt>
                <c:pt idx="120">
                  <c:v>44469</c:v>
                </c:pt>
                <c:pt idx="121">
                  <c:v>44479</c:v>
                </c:pt>
                <c:pt idx="122">
                  <c:v>44489</c:v>
                </c:pt>
                <c:pt idx="123">
                  <c:v>44499</c:v>
                </c:pt>
                <c:pt idx="124">
                  <c:v>44509</c:v>
                </c:pt>
                <c:pt idx="125">
                  <c:v>44519</c:v>
                </c:pt>
                <c:pt idx="126">
                  <c:v>44529</c:v>
                </c:pt>
                <c:pt idx="127">
                  <c:v>44539</c:v>
                </c:pt>
                <c:pt idx="128">
                  <c:v>44549</c:v>
                </c:pt>
                <c:pt idx="129">
                  <c:v>44559</c:v>
                </c:pt>
                <c:pt idx="130">
                  <c:v>44569</c:v>
                </c:pt>
                <c:pt idx="131">
                  <c:v>44579</c:v>
                </c:pt>
                <c:pt idx="132">
                  <c:v>44599</c:v>
                </c:pt>
                <c:pt idx="133">
                  <c:v>44659</c:v>
                </c:pt>
                <c:pt idx="134">
                  <c:v>44719</c:v>
                </c:pt>
                <c:pt idx="135">
                  <c:v>44779</c:v>
                </c:pt>
                <c:pt idx="136">
                  <c:v>44839</c:v>
                </c:pt>
                <c:pt idx="137">
                  <c:v>44899</c:v>
                </c:pt>
                <c:pt idx="138">
                  <c:v>44959</c:v>
                </c:pt>
                <c:pt idx="139">
                  <c:v>45019</c:v>
                </c:pt>
                <c:pt idx="140">
                  <c:v>45079</c:v>
                </c:pt>
                <c:pt idx="141">
                  <c:v>45139</c:v>
                </c:pt>
                <c:pt idx="142">
                  <c:v>45199</c:v>
                </c:pt>
                <c:pt idx="143">
                  <c:v>45259</c:v>
                </c:pt>
                <c:pt idx="144">
                  <c:v>45319</c:v>
                </c:pt>
                <c:pt idx="145">
                  <c:v>45379</c:v>
                </c:pt>
                <c:pt idx="146">
                  <c:v>45439</c:v>
                </c:pt>
                <c:pt idx="147">
                  <c:v>45499</c:v>
                </c:pt>
                <c:pt idx="148">
                  <c:v>45559</c:v>
                </c:pt>
                <c:pt idx="149">
                  <c:v>45619</c:v>
                </c:pt>
                <c:pt idx="150">
                  <c:v>45719</c:v>
                </c:pt>
                <c:pt idx="151">
                  <c:v>45839</c:v>
                </c:pt>
                <c:pt idx="152">
                  <c:v>45959</c:v>
                </c:pt>
                <c:pt idx="153">
                  <c:v>46079</c:v>
                </c:pt>
                <c:pt idx="154">
                  <c:v>46199</c:v>
                </c:pt>
                <c:pt idx="155">
                  <c:v>46319</c:v>
                </c:pt>
                <c:pt idx="156">
                  <c:v>46439</c:v>
                </c:pt>
                <c:pt idx="157">
                  <c:v>46559</c:v>
                </c:pt>
                <c:pt idx="158">
                  <c:v>46679</c:v>
                </c:pt>
                <c:pt idx="159">
                  <c:v>46799</c:v>
                </c:pt>
                <c:pt idx="160">
                  <c:v>46919</c:v>
                </c:pt>
                <c:pt idx="161">
                  <c:v>47039</c:v>
                </c:pt>
                <c:pt idx="162">
                  <c:v>47159</c:v>
                </c:pt>
                <c:pt idx="163">
                  <c:v>47279</c:v>
                </c:pt>
                <c:pt idx="164">
                  <c:v>47399</c:v>
                </c:pt>
                <c:pt idx="165">
                  <c:v>47519</c:v>
                </c:pt>
                <c:pt idx="166">
                  <c:v>47639</c:v>
                </c:pt>
                <c:pt idx="167">
                  <c:v>47759</c:v>
                </c:pt>
                <c:pt idx="168">
                  <c:v>47879</c:v>
                </c:pt>
                <c:pt idx="169">
                  <c:v>47999</c:v>
                </c:pt>
                <c:pt idx="170">
                  <c:v>48119</c:v>
                </c:pt>
                <c:pt idx="171">
                  <c:v>48239</c:v>
                </c:pt>
                <c:pt idx="172">
                  <c:v>48359</c:v>
                </c:pt>
                <c:pt idx="173">
                  <c:v>48479</c:v>
                </c:pt>
                <c:pt idx="174">
                  <c:v>48599</c:v>
                </c:pt>
                <c:pt idx="175">
                  <c:v>48719</c:v>
                </c:pt>
                <c:pt idx="176">
                  <c:v>48839</c:v>
                </c:pt>
                <c:pt idx="177">
                  <c:v>48959</c:v>
                </c:pt>
                <c:pt idx="178">
                  <c:v>49079</c:v>
                </c:pt>
                <c:pt idx="179">
                  <c:v>49199</c:v>
                </c:pt>
                <c:pt idx="180">
                  <c:v>49319</c:v>
                </c:pt>
                <c:pt idx="181">
                  <c:v>49439</c:v>
                </c:pt>
                <c:pt idx="182">
                  <c:v>49559</c:v>
                </c:pt>
                <c:pt idx="183">
                  <c:v>49679</c:v>
                </c:pt>
                <c:pt idx="184">
                  <c:v>49799</c:v>
                </c:pt>
                <c:pt idx="185">
                  <c:v>49919</c:v>
                </c:pt>
                <c:pt idx="186">
                  <c:v>50039</c:v>
                </c:pt>
              </c:numCache>
            </c:numRef>
          </c:xVal>
          <c:yVal>
            <c:numRef>
              <c:f>Déplacements!$AW$10:$AW$196</c:f>
              <c:numCache>
                <c:formatCode>General</c:formatCode>
                <c:ptCount val="187"/>
                <c:pt idx="0">
                  <c:v>0</c:v>
                </c:pt>
                <c:pt idx="1">
                  <c:v>0.27674522364625243</c:v>
                </c:pt>
                <c:pt idx="2">
                  <c:v>0.54832531507798188</c:v>
                </c:pt>
                <c:pt idx="3">
                  <c:v>1.5862437962569789</c:v>
                </c:pt>
                <c:pt idx="4">
                  <c:v>2.0782368367515915</c:v>
                </c:pt>
                <c:pt idx="5">
                  <c:v>5.1075539164024901</c:v>
                </c:pt>
                <c:pt idx="6">
                  <c:v>7.896576869878464</c:v>
                </c:pt>
                <c:pt idx="7">
                  <c:v>8.5091608795935034</c:v>
                </c:pt>
                <c:pt idx="8">
                  <c:v>8.8046971305389192</c:v>
                </c:pt>
                <c:pt idx="9">
                  <c:v>9.3756944660024342</c:v>
                </c:pt>
                <c:pt idx="10">
                  <c:v>9.651681474462281</c:v>
                </c:pt>
                <c:pt idx="11">
                  <c:v>9.7874048884988145</c:v>
                </c:pt>
                <c:pt idx="12">
                  <c:v>10.444454077060168</c:v>
                </c:pt>
                <c:pt idx="13">
                  <c:v>10.697702599570453</c:v>
                </c:pt>
                <c:pt idx="14">
                  <c:v>11.188866593662437</c:v>
                </c:pt>
                <c:pt idx="15">
                  <c:v>11.544525108039439</c:v>
                </c:pt>
                <c:pt idx="16">
                  <c:v>12.114703224547069</c:v>
                </c:pt>
                <c:pt idx="17">
                  <c:v>12.764463562418641</c:v>
                </c:pt>
                <c:pt idx="18">
                  <c:v>13.178397872914392</c:v>
                </c:pt>
                <c:pt idx="19">
                  <c:v>13.479420751976372</c:v>
                </c:pt>
                <c:pt idx="20">
                  <c:v>13.675816934318998</c:v>
                </c:pt>
                <c:pt idx="21">
                  <c:v>13.772767855079131</c:v>
                </c:pt>
                <c:pt idx="22">
                  <c:v>14.152541160276854</c:v>
                </c:pt>
                <c:pt idx="23">
                  <c:v>14.245535230711159</c:v>
                </c:pt>
                <c:pt idx="24">
                  <c:v>14.787969995775091</c:v>
                </c:pt>
                <c:pt idx="25">
                  <c:v>15.049663153755333</c:v>
                </c:pt>
                <c:pt idx="26">
                  <c:v>15.389287469135258</c:v>
                </c:pt>
                <c:pt idx="27">
                  <c:v>15.637338416875023</c:v>
                </c:pt>
                <c:pt idx="28">
                  <c:v>15.959605168163808</c:v>
                </c:pt>
                <c:pt idx="29">
                  <c:v>16.195223612334143</c:v>
                </c:pt>
                <c:pt idx="30">
                  <c:v>16.576911405864916</c:v>
                </c:pt>
                <c:pt idx="31">
                  <c:v>16.72589039650077</c:v>
                </c:pt>
                <c:pt idx="32">
                  <c:v>17.017790807564648</c:v>
                </c:pt>
                <c:pt idx="33">
                  <c:v>17.231603402206726</c:v>
                </c:pt>
                <c:pt idx="34">
                  <c:v>17.510159225702573</c:v>
                </c:pt>
                <c:pt idx="35">
                  <c:v>17.714366336671741</c:v>
                </c:pt>
                <c:pt idx="36">
                  <c:v>17.980620252651466</c:v>
                </c:pt>
                <c:pt idx="37">
                  <c:v>18.175959835738972</c:v>
                </c:pt>
                <c:pt idx="38">
                  <c:v>18.493595524448928</c:v>
                </c:pt>
                <c:pt idx="39">
                  <c:v>18.922502427376099</c:v>
                </c:pt>
                <c:pt idx="40">
                  <c:v>19.10097309899302</c:v>
                </c:pt>
                <c:pt idx="41">
                  <c:v>19.334179262395647</c:v>
                </c:pt>
                <c:pt idx="42">
                  <c:v>19.448805732623924</c:v>
                </c:pt>
                <c:pt idx="43">
                  <c:v>19.674235065889231</c:v>
                </c:pt>
                <c:pt idx="44">
                  <c:v>19.840058860398656</c:v>
                </c:pt>
                <c:pt idx="45">
                  <c:v>20.110480457040243</c:v>
                </c:pt>
                <c:pt idx="46">
                  <c:v>20.216631587152129</c:v>
                </c:pt>
                <c:pt idx="47">
                  <c:v>20.477152301919318</c:v>
                </c:pt>
                <c:pt idx="48">
                  <c:v>20.579471163754015</c:v>
                </c:pt>
                <c:pt idx="49">
                  <c:v>20.780977091451572</c:v>
                </c:pt>
                <c:pt idx="50">
                  <c:v>20.929439534792021</c:v>
                </c:pt>
                <c:pt idx="51">
                  <c:v>21.171974953703316</c:v>
                </c:pt>
                <c:pt idx="52">
                  <c:v>21.267323083449035</c:v>
                </c:pt>
                <c:pt idx="53">
                  <c:v>21.455252893925199</c:v>
                </c:pt>
                <c:pt idx="54">
                  <c:v>21.547865872457972</c:v>
                </c:pt>
                <c:pt idx="55">
                  <c:v>21.775575834348054</c:v>
                </c:pt>
                <c:pt idx="56">
                  <c:v>21.909652764659285</c:v>
                </c:pt>
                <c:pt idx="57">
                  <c:v>22.085544913432678</c:v>
                </c:pt>
                <c:pt idx="58">
                  <c:v>22.215364084165582</c:v>
                </c:pt>
                <c:pt idx="59">
                  <c:v>22.998511837981042</c:v>
                </c:pt>
                <c:pt idx="60">
                  <c:v>23.232786852042967</c:v>
                </c:pt>
                <c:pt idx="61">
                  <c:v>23.49881405430752</c:v>
                </c:pt>
                <c:pt idx="62">
                  <c:v>23.757358758941294</c:v>
                </c:pt>
                <c:pt idx="63">
                  <c:v>24.044142565909556</c:v>
                </c:pt>
                <c:pt idx="64">
                  <c:v>24.114445713868069</c:v>
                </c:pt>
                <c:pt idx="65">
                  <c:v>24.491620083745211</c:v>
                </c:pt>
                <c:pt idx="66">
                  <c:v>24.756299609107035</c:v>
                </c:pt>
                <c:pt idx="67">
                  <c:v>25.076447184431391</c:v>
                </c:pt>
                <c:pt idx="68">
                  <c:v>27.137461313459891</c:v>
                </c:pt>
                <c:pt idx="69">
                  <c:v>27.308828469438552</c:v>
                </c:pt>
                <c:pt idx="70">
                  <c:v>27.476734358525448</c:v>
                </c:pt>
                <c:pt idx="71">
                  <c:v>27.61799129697058</c:v>
                </c:pt>
                <c:pt idx="72">
                  <c:v>27.779787652638799</c:v>
                </c:pt>
                <c:pt idx="73">
                  <c:v>27.825435748344539</c:v>
                </c:pt>
                <c:pt idx="74">
                  <c:v>28.049931643398448</c:v>
                </c:pt>
                <c:pt idx="75">
                  <c:v>28.268403629656824</c:v>
                </c:pt>
                <c:pt idx="76">
                  <c:v>28.48113190851074</c:v>
                </c:pt>
                <c:pt idx="77">
                  <c:v>28.688378351338589</c:v>
                </c:pt>
                <c:pt idx="78">
                  <c:v>28.890388031631606</c:v>
                </c:pt>
                <c:pt idx="79">
                  <c:v>29.087390602280003</c:v>
                </c:pt>
                <c:pt idx="80">
                  <c:v>29.279601536272818</c:v>
                </c:pt>
                <c:pt idx="81">
                  <c:v>29.467223246617259</c:v>
                </c:pt>
                <c:pt idx="82">
                  <c:v>29.650446099201851</c:v>
                </c:pt>
                <c:pt idx="83">
                  <c:v>29.829449330552958</c:v>
                </c:pt>
                <c:pt idx="84">
                  <c:v>30.004401880915282</c:v>
                </c:pt>
                <c:pt idx="85">
                  <c:v>30.175463151784299</c:v>
                </c:pt>
                <c:pt idx="86">
                  <c:v>30.342783695897563</c:v>
                </c:pt>
                <c:pt idx="87">
                  <c:v>30.506505846724568</c:v>
                </c:pt>
                <c:pt idx="88">
                  <c:v>30.522685399029982</c:v>
                </c:pt>
                <c:pt idx="89">
                  <c:v>30.823686608390069</c:v>
                </c:pt>
                <c:pt idx="90">
                  <c:v>30.977393727304644</c:v>
                </c:pt>
                <c:pt idx="91">
                  <c:v>31.128000394212727</c:v>
                </c:pt>
                <c:pt idx="92">
                  <c:v>31.275615567221525</c:v>
                </c:pt>
                <c:pt idx="93">
                  <c:v>31.420342793153971</c:v>
                </c:pt>
                <c:pt idx="94">
                  <c:v>31.562280552544685</c:v>
                </c:pt>
                <c:pt idx="95">
                  <c:v>31.576324556037871</c:v>
                </c:pt>
                <c:pt idx="96">
                  <c:v>31.838158147794445</c:v>
                </c:pt>
                <c:pt idx="97">
                  <c:v>31.972272358530088</c:v>
                </c:pt>
                <c:pt idx="98">
                  <c:v>32.10394637605232</c:v>
                </c:pt>
                <c:pt idx="99">
                  <c:v>32.233257669132932</c:v>
                </c:pt>
                <c:pt idx="100">
                  <c:v>32.360280225845699</c:v>
                </c:pt>
                <c:pt idx="101">
                  <c:v>32.485084754610874</c:v>
                </c:pt>
                <c:pt idx="102">
                  <c:v>32.607738871116304</c:v>
                </c:pt>
                <c:pt idx="103">
                  <c:v>32.728307272279167</c:v>
                </c:pt>
                <c:pt idx="104">
                  <c:v>32.846851898302816</c:v>
                </c:pt>
                <c:pt idx="105">
                  <c:v>32.963432083784447</c:v>
                </c:pt>
                <c:pt idx="106">
                  <c:v>33.078104698742116</c:v>
                </c:pt>
                <c:pt idx="107">
                  <c:v>33.190924280350494</c:v>
                </c:pt>
                <c:pt idx="108">
                  <c:v>33.301943156104066</c:v>
                </c:pt>
                <c:pt idx="109">
                  <c:v>33.411211559062806</c:v>
                </c:pt>
                <c:pt idx="110">
                  <c:v>33.518777735778137</c:v>
                </c:pt>
                <c:pt idx="111">
                  <c:v>33.624688047445289</c:v>
                </c:pt>
                <c:pt idx="112">
                  <c:v>33.728987064781336</c:v>
                </c:pt>
                <c:pt idx="113">
                  <c:v>33.831717657086379</c:v>
                </c:pt>
                <c:pt idx="114">
                  <c:v>33.932921075906833</c:v>
                </c:pt>
                <c:pt idx="115">
                  <c:v>34.032637033685198</c:v>
                </c:pt>
                <c:pt idx="116">
                  <c:v>34.130903777749779</c:v>
                </c:pt>
                <c:pt idx="117">
                  <c:v>34.227758159968523</c:v>
                </c:pt>
                <c:pt idx="118">
                  <c:v>34.32323570236602</c:v>
                </c:pt>
                <c:pt idx="119">
                  <c:v>34.417370658978641</c:v>
                </c:pt>
                <c:pt idx="120">
                  <c:v>34.51019607420141</c:v>
                </c:pt>
                <c:pt idx="121">
                  <c:v>34.601743837860653</c:v>
                </c:pt>
                <c:pt idx="122">
                  <c:v>34.692044737228557</c:v>
                </c:pt>
                <c:pt idx="123">
                  <c:v>34.781128506179414</c:v>
                </c:pt>
                <c:pt idx="124">
                  <c:v>34.869023871672319</c:v>
                </c:pt>
                <c:pt idx="125">
                  <c:v>34.955758597731339</c:v>
                </c:pt>
                <c:pt idx="126">
                  <c:v>35.041359527081866</c:v>
                </c:pt>
                <c:pt idx="127">
                  <c:v>35.125852620590024</c:v>
                </c:pt>
                <c:pt idx="128">
                  <c:v>35.209262994641556</c:v>
                </c:pt>
                <c:pt idx="129">
                  <c:v>35.291614956586962</c:v>
                </c:pt>
                <c:pt idx="130">
                  <c:v>35.372932038370735</c:v>
                </c:pt>
                <c:pt idx="131">
                  <c:v>35.45323702845397</c:v>
                </c:pt>
                <c:pt idx="132">
                  <c:v>35.610898350346076</c:v>
                </c:pt>
                <c:pt idx="133">
                  <c:v>36.061753598160621</c:v>
                </c:pt>
                <c:pt idx="134">
                  <c:v>36.482463628416234</c:v>
                </c:pt>
                <c:pt idx="135">
                  <c:v>36.876420499629496</c:v>
                </c:pt>
                <c:pt idx="136">
                  <c:v>37.246494107966164</c:v>
                </c:pt>
                <c:pt idx="137">
                  <c:v>37.595132268328861</c:v>
                </c:pt>
                <c:pt idx="138">
                  <c:v>37.924438158763145</c:v>
                </c:pt>
                <c:pt idx="139">
                  <c:v>38.236230965736645</c:v>
                </c:pt>
                <c:pt idx="140">
                  <c:v>38.532093891948527</c:v>
                </c:pt>
                <c:pt idx="141">
                  <c:v>38.813412538813246</c:v>
                </c:pt>
                <c:pt idx="142">
                  <c:v>39.081405874122389</c:v>
                </c:pt>
                <c:pt idx="143">
                  <c:v>39.337151427803462</c:v>
                </c:pt>
                <c:pt idx="144">
                  <c:v>39.581605951191179</c:v>
                </c:pt>
                <c:pt idx="145">
                  <c:v>39.815622478875312</c:v>
                </c:pt>
                <c:pt idx="146">
                  <c:v>40.03996451409845</c:v>
                </c:pt>
                <c:pt idx="147">
                  <c:v>40.255317896400967</c:v>
                </c:pt>
                <c:pt idx="148">
                  <c:v>40.462300788223999</c:v>
                </c:pt>
                <c:pt idx="149">
                  <c:v>40.661472124598909</c:v>
                </c:pt>
                <c:pt idx="150">
                  <c:v>40.977421145637884</c:v>
                </c:pt>
                <c:pt idx="151">
                  <c:v>41.33265060096403</c:v>
                </c:pt>
                <c:pt idx="152">
                  <c:v>41.66464655383853</c:v>
                </c:pt>
                <c:pt idx="153">
                  <c:v>41.975969034293755</c:v>
                </c:pt>
                <c:pt idx="154">
                  <c:v>42.268791801918276</c:v>
                </c:pt>
                <c:pt idx="155">
                  <c:v>42.544974977210103</c:v>
                </c:pt>
                <c:pt idx="156">
                  <c:v>42.806121543427814</c:v>
                </c:pt>
                <c:pt idx="157">
                  <c:v>43.053621805866669</c:v>
                </c:pt>
                <c:pt idx="158">
                  <c:v>43.288688741853534</c:v>
                </c:pt>
                <c:pt idx="159">
                  <c:v>43.512386377615051</c:v>
                </c:pt>
                <c:pt idx="160">
                  <c:v>43.72565276851374</c:v>
                </c:pt>
                <c:pt idx="161">
                  <c:v>43.929318760436175</c:v>
                </c:pt>
                <c:pt idx="162">
                  <c:v>44.124123422225274</c:v>
                </c:pt>
                <c:pt idx="163">
                  <c:v>44.31072682858079</c:v>
                </c:pt>
                <c:pt idx="164">
                  <c:v>44.489720717207021</c:v>
                </c:pt>
                <c:pt idx="165">
                  <c:v>44.661637427650611</c:v>
                </c:pt>
                <c:pt idx="166">
                  <c:v>44.826957441448393</c:v>
                </c:pt>
                <c:pt idx="167">
                  <c:v>44.986115776288599</c:v>
                </c:pt>
                <c:pt idx="168">
                  <c:v>45.139507435458199</c:v>
                </c:pt>
                <c:pt idx="169">
                  <c:v>45.287492073997029</c:v>
                </c:pt>
                <c:pt idx="170">
                  <c:v>45.430398011862479</c:v>
                </c:pt>
                <c:pt idx="171">
                  <c:v>45.568525699936771</c:v>
                </c:pt>
                <c:pt idx="172">
                  <c:v>45.702150725331059</c:v>
                </c:pt>
                <c:pt idx="173">
                  <c:v>45.831526426999034</c:v>
                </c:pt>
                <c:pt idx="174">
                  <c:v>45.956886180291839</c:v>
                </c:pt>
                <c:pt idx="175">
                  <c:v>46.078445399102215</c:v>
                </c:pt>
                <c:pt idx="176">
                  <c:v>46.196403296151189</c:v>
                </c:pt>
                <c:pt idx="177">
                  <c:v>46.310944435373088</c:v>
                </c:pt>
                <c:pt idx="178">
                  <c:v>46.422240104950838</c:v>
                </c:pt>
                <c:pt idx="179">
                  <c:v>46.530449535106982</c:v>
                </c:pt>
                <c:pt idx="180">
                  <c:v>46.635720981079864</c:v>
                </c:pt>
                <c:pt idx="181">
                  <c:v>46.738192688662991</c:v>
                </c:pt>
                <c:pt idx="182">
                  <c:v>46.837993757141916</c:v>
                </c:pt>
                <c:pt idx="183">
                  <c:v>46.935244912334376</c:v>
                </c:pt>
                <c:pt idx="184">
                  <c:v>47.030059200651259</c:v>
                </c:pt>
                <c:pt idx="185">
                  <c:v>47.122542613588877</c:v>
                </c:pt>
                <c:pt idx="186">
                  <c:v>47.212794650787551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DA-45CE-9916-13303FCCB450}"/>
            </c:ext>
          </c:extLst>
        </c:ser>
        <c:ser>
          <c:idx val="2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1.4111111111111111E-2"/>
                  <c:y val="-5.6444444444444443E-2"/>
                </c:manualLayout>
              </c:layout>
              <c:numFmt formatCode="mmm\-yyyy;@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DA-45CE-9916-13303FCCB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Déplacements!$AK$30:$AK$32</c:f>
              <c:numCache>
                <c:formatCode>m/d/yyyy</c:formatCode>
                <c:ptCount val="3"/>
                <c:pt idx="0">
                  <c:v>0</c:v>
                </c:pt>
                <c:pt idx="1">
                  <c:v>45429</c:v>
                </c:pt>
                <c:pt idx="2">
                  <c:v>45429</c:v>
                </c:pt>
              </c:numCache>
            </c:numRef>
          </c:xVal>
          <c:yVal>
            <c:numRef>
              <c:f>Déplacements!$AM$30:$AM$32</c:f>
              <c:numCache>
                <c:formatCode>General</c:formatCode>
                <c:ptCount val="3"/>
                <c:pt idx="0">
                  <c:v>40.003216021786621</c:v>
                </c:pt>
                <c:pt idx="1">
                  <c:v>40.003216021786621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DA-45CE-9916-13303FCC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10384"/>
        <c:axId val="5124107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[1]PM169!$E$2</c15:sqref>
                        </c15:formulaRef>
                      </c:ext>
                    </c:extLst>
                    <c:strCache>
                      <c:ptCount val="1"/>
                      <c:pt idx="0">
                        <c:v>Norme CH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[1]PM169!$A$39:$A$65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43738</c:v>
                      </c:pt>
                      <c:pt idx="1">
                        <c:v>43741</c:v>
                      </c:pt>
                      <c:pt idx="2">
                        <c:v>43746</c:v>
                      </c:pt>
                      <c:pt idx="3">
                        <c:v>43753</c:v>
                      </c:pt>
                      <c:pt idx="4">
                        <c:v>43756</c:v>
                      </c:pt>
                      <c:pt idx="5">
                        <c:v>43760</c:v>
                      </c:pt>
                      <c:pt idx="6">
                        <c:v>43762</c:v>
                      </c:pt>
                      <c:pt idx="7">
                        <c:v>43766</c:v>
                      </c:pt>
                      <c:pt idx="8">
                        <c:v>43769</c:v>
                      </c:pt>
                      <c:pt idx="9">
                        <c:v>43774</c:v>
                      </c:pt>
                      <c:pt idx="10">
                        <c:v>43776</c:v>
                      </c:pt>
                      <c:pt idx="11">
                        <c:v>43781</c:v>
                      </c:pt>
                      <c:pt idx="12">
                        <c:v>43783</c:v>
                      </c:pt>
                      <c:pt idx="13">
                        <c:v>43787</c:v>
                      </c:pt>
                      <c:pt idx="14">
                        <c:v>43790</c:v>
                      </c:pt>
                      <c:pt idx="15">
                        <c:v>43795</c:v>
                      </c:pt>
                      <c:pt idx="16">
                        <c:v>43797</c:v>
                      </c:pt>
                      <c:pt idx="17">
                        <c:v>43801</c:v>
                      </c:pt>
                      <c:pt idx="18">
                        <c:v>43803</c:v>
                      </c:pt>
                      <c:pt idx="19">
                        <c:v>43808</c:v>
                      </c:pt>
                      <c:pt idx="20">
                        <c:v>43811</c:v>
                      </c:pt>
                      <c:pt idx="21">
                        <c:v>43815</c:v>
                      </c:pt>
                      <c:pt idx="22">
                        <c:v>43818</c:v>
                      </c:pt>
                      <c:pt idx="23">
                        <c:v>43837</c:v>
                      </c:pt>
                      <c:pt idx="24">
                        <c:v>43843</c:v>
                      </c:pt>
                      <c:pt idx="25">
                        <c:v>43850</c:v>
                      </c:pt>
                      <c:pt idx="26">
                        <c:v>43857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[1]PM169!$E$39:$E$65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18.331487663901811</c:v>
                      </c:pt>
                      <c:pt idx="1">
                        <c:v>18.600584903277213</c:v>
                      </c:pt>
                      <c:pt idx="2">
                        <c:v>19.71236219668431</c:v>
                      </c:pt>
                      <c:pt idx="3">
                        <c:v>19.72705417497842</c:v>
                      </c:pt>
                      <c:pt idx="4">
                        <c:v>19.15228446255519</c:v>
                      </c:pt>
                      <c:pt idx="5">
                        <c:v>20.03324584437949</c:v>
                      </c:pt>
                      <c:pt idx="6">
                        <c:v>20.20618717150256</c:v>
                      </c:pt>
                      <c:pt idx="7">
                        <c:v>20.224206899693066</c:v>
                      </c:pt>
                      <c:pt idx="8">
                        <c:v>20.201485102072755</c:v>
                      </c:pt>
                      <c:pt idx="9">
                        <c:v>20.740781101614143</c:v>
                      </c:pt>
                      <c:pt idx="10">
                        <c:v>20.756004670876287</c:v>
                      </c:pt>
                      <c:pt idx="11">
                        <c:v>20.812839707626349</c:v>
                      </c:pt>
                      <c:pt idx="12">
                        <c:v>21.20966875435348</c:v>
                      </c:pt>
                      <c:pt idx="13">
                        <c:v>21.221853585851314</c:v>
                      </c:pt>
                      <c:pt idx="14">
                        <c:v>21.511789084586237</c:v>
                      </c:pt>
                      <c:pt idx="15">
                        <c:v>21.880381227786099</c:v>
                      </c:pt>
                      <c:pt idx="16">
                        <c:v>21.941326021688621</c:v>
                      </c:pt>
                      <c:pt idx="17">
                        <c:v>21.778728790260587</c:v>
                      </c:pt>
                      <c:pt idx="18">
                        <c:v>21.822963361967595</c:v>
                      </c:pt>
                      <c:pt idx="19">
                        <c:v>22.39336557094293</c:v>
                      </c:pt>
                      <c:pt idx="20">
                        <c:v>22.078126694028526</c:v>
                      </c:pt>
                      <c:pt idx="21">
                        <c:v>23.129199467700737</c:v>
                      </c:pt>
                      <c:pt idx="22">
                        <c:v>22.63249072500399</c:v>
                      </c:pt>
                      <c:pt idx="23">
                        <c:v>23.098565045542546</c:v>
                      </c:pt>
                      <c:pt idx="24">
                        <c:v>23.20753022485162</c:v>
                      </c:pt>
                      <c:pt idx="25">
                        <c:v>23.347605857293772</c:v>
                      </c:pt>
                      <c:pt idx="26">
                        <c:v>23.950020296257836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2CDA-45CE-9916-13303FCCB450}"/>
                  </c:ext>
                </c:extLst>
              </c15:ser>
            </c15:filteredScatterSeries>
          </c:ext>
        </c:extLst>
      </c:scatterChart>
      <c:valAx>
        <c:axId val="512410384"/>
        <c:scaling>
          <c:orientation val="minMax"/>
          <c:max val="47900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yy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0776"/>
        <c:crosses val="autoZero"/>
        <c:crossBetween val="midCat"/>
        <c:majorUnit val="365"/>
        <c:minorUnit val="30"/>
      </c:valAx>
      <c:valAx>
        <c:axId val="512410776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 des déplacements [mm]</a:t>
                </a:r>
              </a:p>
            </c:rich>
          </c:tx>
          <c:layout>
            <c:manualLayout>
              <c:xMode val="edge"/>
              <c:yMode val="edge"/>
              <c:x val="4.2214814814814814E-3"/>
              <c:y val="0.24103777777777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Convergences!$D$10:$D$100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-0.98041206640786527</c:v>
                </c:pt>
                <c:pt idx="2">
                  <c:v>-0.37805926302070247</c:v>
                </c:pt>
                <c:pt idx="3">
                  <c:v>-0.67114094449216566</c:v>
                </c:pt>
                <c:pt idx="4">
                  <c:v>-2.5297503242462938</c:v>
                </c:pt>
                <c:pt idx="5">
                  <c:v>-5.4576835852691019</c:v>
                </c:pt>
                <c:pt idx="6">
                  <c:v>-8.9298504498804832</c:v>
                </c:pt>
                <c:pt idx="7">
                  <c:v>-9.7382832239913952</c:v>
                </c:pt>
                <c:pt idx="8">
                  <c:v>-9.7382830944976462</c:v>
                </c:pt>
                <c:pt idx="9">
                  <c:v>-11.383933061177132</c:v>
                </c:pt>
                <c:pt idx="10">
                  <c:v>-10.941169514098625</c:v>
                </c:pt>
                <c:pt idx="11">
                  <c:v>-12.467406508463341</c:v>
                </c:pt>
                <c:pt idx="12">
                  <c:v>-13.046453852797235</c:v>
                </c:pt>
                <c:pt idx="13">
                  <c:v>-13.789659592679193</c:v>
                </c:pt>
                <c:pt idx="14">
                  <c:v>-14.018038824675116</c:v>
                </c:pt>
                <c:pt idx="15">
                  <c:v>-14.945085260211322</c:v>
                </c:pt>
                <c:pt idx="16">
                  <c:v>-15.355261863308378</c:v>
                </c:pt>
                <c:pt idx="17">
                  <c:v>-15.715688987077314</c:v>
                </c:pt>
                <c:pt idx="18">
                  <c:v>-16.420985695875245</c:v>
                </c:pt>
                <c:pt idx="19">
                  <c:v>-16.684202584627883</c:v>
                </c:pt>
                <c:pt idx="20">
                  <c:v>-17.762529514214975</c:v>
                </c:pt>
                <c:pt idx="21">
                  <c:v>-17.364319337995759</c:v>
                </c:pt>
                <c:pt idx="22">
                  <c:v>-17.626104973214929</c:v>
                </c:pt>
                <c:pt idx="23">
                  <c:v>-17.722442544582329</c:v>
                </c:pt>
                <c:pt idx="24">
                  <c:v>-19.834669703858943</c:v>
                </c:pt>
                <c:pt idx="25">
                  <c:v>-19.366688162059553</c:v>
                </c:pt>
                <c:pt idx="26">
                  <c:v>-19.400075713133624</c:v>
                </c:pt>
                <c:pt idx="27">
                  <c:v>-19.836875030055268</c:v>
                </c:pt>
                <c:pt idx="28">
                  <c:v>-19.898439656867772</c:v>
                </c:pt>
                <c:pt idx="29">
                  <c:v>-20.896668317528899</c:v>
                </c:pt>
                <c:pt idx="30">
                  <c:v>-21.285254977041923</c:v>
                </c:pt>
                <c:pt idx="31">
                  <c:v>-21.811819055194803</c:v>
                </c:pt>
                <c:pt idx="32">
                  <c:v>-21.992766101980976</c:v>
                </c:pt>
                <c:pt idx="33">
                  <c:v>-21.688551855206128</c:v>
                </c:pt>
                <c:pt idx="34">
                  <c:v>-21.925994145593819</c:v>
                </c:pt>
                <c:pt idx="35">
                  <c:v>-22.324226601667441</c:v>
                </c:pt>
                <c:pt idx="36">
                  <c:v>-22.697256660304532</c:v>
                </c:pt>
                <c:pt idx="37">
                  <c:v>-22.803285887204261</c:v>
                </c:pt>
                <c:pt idx="38">
                  <c:v>-24.137220656538005</c:v>
                </c:pt>
                <c:pt idx="39">
                  <c:v>-24.292363321151811</c:v>
                </c:pt>
                <c:pt idx="40">
                  <c:v>-24.05664474624114</c:v>
                </c:pt>
                <c:pt idx="41">
                  <c:v>-24.616529316615399</c:v>
                </c:pt>
                <c:pt idx="42">
                  <c:v>-24.399238549746904</c:v>
                </c:pt>
                <c:pt idx="43">
                  <c:v>-24.752991922367684</c:v>
                </c:pt>
                <c:pt idx="44">
                  <c:v>-24.722547539608009</c:v>
                </c:pt>
                <c:pt idx="45">
                  <c:v>-25.003578218139033</c:v>
                </c:pt>
                <c:pt idx="46">
                  <c:v>-25.38251605888675</c:v>
                </c:pt>
                <c:pt idx="47">
                  <c:v>-25.301692062034142</c:v>
                </c:pt>
                <c:pt idx="48">
                  <c:v>-25.780727384450586</c:v>
                </c:pt>
                <c:pt idx="49">
                  <c:v>-25.51369694465766</c:v>
                </c:pt>
                <c:pt idx="50">
                  <c:v>-26.279032255166257</c:v>
                </c:pt>
                <c:pt idx="51">
                  <c:v>-26.288028548798081</c:v>
                </c:pt>
                <c:pt idx="52">
                  <c:v>-26.315401403851801</c:v>
                </c:pt>
                <c:pt idx="53">
                  <c:v>-25.775434379459838</c:v>
                </c:pt>
                <c:pt idx="54">
                  <c:v>-26.101725307340118</c:v>
                </c:pt>
                <c:pt idx="55">
                  <c:v>-26.521493432761112</c:v>
                </c:pt>
                <c:pt idx="56">
                  <c:v>-26.627482513290168</c:v>
                </c:pt>
                <c:pt idx="57">
                  <c:v>-26.595974513049292</c:v>
                </c:pt>
                <c:pt idx="58">
                  <c:v>-27.153471173232191</c:v>
                </c:pt>
                <c:pt idx="59">
                  <c:v>-27.117702874400074</c:v>
                </c:pt>
                <c:pt idx="60">
                  <c:v>-27.242963313499402</c:v>
                </c:pt>
                <c:pt idx="61">
                  <c:v>-27.814000048149268</c:v>
                </c:pt>
                <c:pt idx="62">
                  <c:v>-28.325672040240057</c:v>
                </c:pt>
                <c:pt idx="63">
                  <c:v>-28.702411993428711</c:v>
                </c:pt>
                <c:pt idx="64">
                  <c:v>-28.263455699020668</c:v>
                </c:pt>
                <c:pt idx="65">
                  <c:v>-28.64087490731837</c:v>
                </c:pt>
                <c:pt idx="66">
                  <c:v>-29.100601473408538</c:v>
                </c:pt>
                <c:pt idx="67">
                  <c:v>-29.325937077305575</c:v>
                </c:pt>
                <c:pt idx="68">
                  <c:v>-29.632069417149687</c:v>
                </c:pt>
                <c:pt idx="69">
                  <c:v>-31.266524853579725</c:v>
                </c:pt>
                <c:pt idx="70">
                  <c:v>-30.80247130539604</c:v>
                </c:pt>
                <c:pt idx="71">
                  <c:v>-30.347605429192903</c:v>
                </c:pt>
                <c:pt idx="72">
                  <c:v>-30.829798983100787</c:v>
                </c:pt>
                <c:pt idx="73">
                  <c:v>-30.520468736473738</c:v>
                </c:pt>
                <c:pt idx="74">
                  <c:v>-30.974304997086755</c:v>
                </c:pt>
                <c:pt idx="75">
                  <c:v>-31.545337525693107</c:v>
                </c:pt>
                <c:pt idx="76">
                  <c:v>-31.489671948949471</c:v>
                </c:pt>
                <c:pt idx="77">
                  <c:v>-31.851446222947999</c:v>
                </c:pt>
                <c:pt idx="78">
                  <c:v>-33.67803509714129</c:v>
                </c:pt>
                <c:pt idx="79">
                  <c:v>-34.252282911398702</c:v>
                </c:pt>
                <c:pt idx="81">
                  <c:v>-33.18865406892435</c:v>
                </c:pt>
                <c:pt idx="83">
                  <c:v>-32.891303419863682</c:v>
                </c:pt>
                <c:pt idx="85">
                  <c:v>-32.935720289818171</c:v>
                </c:pt>
                <c:pt idx="86">
                  <c:v>-35.514172308221958</c:v>
                </c:pt>
                <c:pt idx="87">
                  <c:v>-33.271469853380253</c:v>
                </c:pt>
                <c:pt idx="88">
                  <c:v>-34.058408573060639</c:v>
                </c:pt>
                <c:pt idx="89">
                  <c:v>-34.72076302632221</c:v>
                </c:pt>
                <c:pt idx="90">
                  <c:v>-34.481981476687906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-0.11729645286617796</c:v>
                </c:pt>
                <c:pt idx="2">
                  <c:v>-0.38031175937636164</c:v>
                </c:pt>
                <c:pt idx="3">
                  <c:v>-0.42888979103139491</c:v>
                </c:pt>
                <c:pt idx="4">
                  <c:v>-1.7840822959556135</c:v>
                </c:pt>
                <c:pt idx="5">
                  <c:v>-3.9584360345088498</c:v>
                </c:pt>
                <c:pt idx="6">
                  <c:v>-7.9403648755125289</c:v>
                </c:pt>
                <c:pt idx="7">
                  <c:v>-8.007005682960866</c:v>
                </c:pt>
                <c:pt idx="8">
                  <c:v>-8.4930544611143688</c:v>
                </c:pt>
                <c:pt idx="9">
                  <c:v>-9.3773462920081485</c:v>
                </c:pt>
                <c:pt idx="10">
                  <c:v>-8.3939027121378018</c:v>
                </c:pt>
                <c:pt idx="11">
                  <c:v>-9.6649258753904732</c:v>
                </c:pt>
                <c:pt idx="12">
                  <c:v>-10.620962277164914</c:v>
                </c:pt>
                <c:pt idx="13">
                  <c:v>-11.532925074419609</c:v>
                </c:pt>
                <c:pt idx="14">
                  <c:v>-12.073398079223807</c:v>
                </c:pt>
                <c:pt idx="15">
                  <c:v>-12.515397427581121</c:v>
                </c:pt>
                <c:pt idx="16">
                  <c:v>-13.359782965758349</c:v>
                </c:pt>
                <c:pt idx="17">
                  <c:v>-13.732379764705094</c:v>
                </c:pt>
                <c:pt idx="18">
                  <c:v>-14.229734282960038</c:v>
                </c:pt>
                <c:pt idx="19">
                  <c:v>-14.804483607910868</c:v>
                </c:pt>
                <c:pt idx="20">
                  <c:v>-14.892912600041441</c:v>
                </c:pt>
                <c:pt idx="21">
                  <c:v>-15.821341034723879</c:v>
                </c:pt>
                <c:pt idx="22">
                  <c:v>-16.18050691954398</c:v>
                </c:pt>
                <c:pt idx="23">
                  <c:v>-16.788539767324195</c:v>
                </c:pt>
                <c:pt idx="24">
                  <c:v>-17.485725577454758</c:v>
                </c:pt>
                <c:pt idx="25">
                  <c:v>-16.931899163493469</c:v>
                </c:pt>
                <c:pt idx="26">
                  <c:v>-16.9452426101806</c:v>
                </c:pt>
                <c:pt idx="27">
                  <c:v>-17.166228857351307</c:v>
                </c:pt>
                <c:pt idx="28">
                  <c:v>-17.497742162323249</c:v>
                </c:pt>
                <c:pt idx="29">
                  <c:v>-17.525302005702237</c:v>
                </c:pt>
                <c:pt idx="30">
                  <c:v>-18.644860699811971</c:v>
                </c:pt>
                <c:pt idx="31">
                  <c:v>-19.101316576577432</c:v>
                </c:pt>
                <c:pt idx="32">
                  <c:v>-19.169753564949765</c:v>
                </c:pt>
                <c:pt idx="33">
                  <c:v>-19.764488907140887</c:v>
                </c:pt>
                <c:pt idx="34">
                  <c:v>-19.468107872081752</c:v>
                </c:pt>
                <c:pt idx="35">
                  <c:v>-19.583980360063258</c:v>
                </c:pt>
                <c:pt idx="36">
                  <c:v>-19.847030716723779</c:v>
                </c:pt>
                <c:pt idx="37">
                  <c:v>-20.074637866469125</c:v>
                </c:pt>
                <c:pt idx="38">
                  <c:v>-21.161513897273387</c:v>
                </c:pt>
                <c:pt idx="40">
                  <c:v>-20.972931006942197</c:v>
                </c:pt>
                <c:pt idx="41">
                  <c:v>-21.65044243340386</c:v>
                </c:pt>
                <c:pt idx="42">
                  <c:v>-21.518914871758277</c:v>
                </c:pt>
                <c:pt idx="43">
                  <c:v>-21.656965137325734</c:v>
                </c:pt>
                <c:pt idx="44">
                  <c:v>-21.82268365395057</c:v>
                </c:pt>
                <c:pt idx="46">
                  <c:v>-22.576372749631091</c:v>
                </c:pt>
                <c:pt idx="47">
                  <c:v>-22.44484480149822</c:v>
                </c:pt>
                <c:pt idx="48">
                  <c:v>-22.720918769048026</c:v>
                </c:pt>
                <c:pt idx="49">
                  <c:v>-22.907799341896684</c:v>
                </c:pt>
                <c:pt idx="50">
                  <c:v>-23.211540983278489</c:v>
                </c:pt>
                <c:pt idx="51">
                  <c:v>-23.128687292355288</c:v>
                </c:pt>
                <c:pt idx="52">
                  <c:v>-23.239218258855665</c:v>
                </c:pt>
                <c:pt idx="53">
                  <c:v>-22.976159864458445</c:v>
                </c:pt>
                <c:pt idx="54">
                  <c:v>-23.564130868936495</c:v>
                </c:pt>
                <c:pt idx="55">
                  <c:v>-23.515270695396495</c:v>
                </c:pt>
                <c:pt idx="56">
                  <c:v>-23.680972032749992</c:v>
                </c:pt>
                <c:pt idx="57">
                  <c:v>-24.594213690244615</c:v>
                </c:pt>
                <c:pt idx="58">
                  <c:v>-23.77699103891473</c:v>
                </c:pt>
                <c:pt idx="59">
                  <c:v>-24.199061342371486</c:v>
                </c:pt>
                <c:pt idx="60">
                  <c:v>-24.392440900292911</c:v>
                </c:pt>
                <c:pt idx="61">
                  <c:v>-24.772508942069393</c:v>
                </c:pt>
                <c:pt idx="62">
                  <c:v>-25.048509835121635</c:v>
                </c:pt>
                <c:pt idx="64">
                  <c:v>-24.653444826000737</c:v>
                </c:pt>
                <c:pt idx="66">
                  <c:v>-26.010061714025312</c:v>
                </c:pt>
                <c:pt idx="67">
                  <c:v>-26.258588517239723</c:v>
                </c:pt>
                <c:pt idx="68">
                  <c:v>-26.34505911854923</c:v>
                </c:pt>
                <c:pt idx="69">
                  <c:v>-28.061674422192873</c:v>
                </c:pt>
                <c:pt idx="70">
                  <c:v>-27.078601385706058</c:v>
                </c:pt>
                <c:pt idx="71">
                  <c:v>-27.508095120043485</c:v>
                </c:pt>
                <c:pt idx="72">
                  <c:v>-27.486848653127893</c:v>
                </c:pt>
                <c:pt idx="73">
                  <c:v>-27.465841234215027</c:v>
                </c:pt>
                <c:pt idx="74">
                  <c:v>-27.990528758086164</c:v>
                </c:pt>
                <c:pt idx="75">
                  <c:v>-28.32185027101719</c:v>
                </c:pt>
                <c:pt idx="76">
                  <c:v>-28.315166292347094</c:v>
                </c:pt>
                <c:pt idx="77">
                  <c:v>-28.743892851694319</c:v>
                </c:pt>
                <c:pt idx="78">
                  <c:v>-30.360147891521194</c:v>
                </c:pt>
                <c:pt idx="79">
                  <c:v>-30.66494794468877</c:v>
                </c:pt>
                <c:pt idx="81">
                  <c:v>-30.129355772430699</c:v>
                </c:pt>
                <c:pt idx="83">
                  <c:v>-29.957265376894249</c:v>
                </c:pt>
                <c:pt idx="85">
                  <c:v>-30.379212896069596</c:v>
                </c:pt>
                <c:pt idx="86">
                  <c:v>-32.07254577688623</c:v>
                </c:pt>
                <c:pt idx="87">
                  <c:v>-30.570674401118048</c:v>
                </c:pt>
                <c:pt idx="88">
                  <c:v>-30.528307044780156</c:v>
                </c:pt>
                <c:pt idx="89">
                  <c:v>-32.259545481969631</c:v>
                </c:pt>
                <c:pt idx="90">
                  <c:v>-31.863041199313713</c:v>
                </c:pt>
                <c:pt idx="91">
                  <c:v>-32.221826590581593</c:v>
                </c:pt>
                <c:pt idx="93">
                  <c:v>-33.009186482630071</c:v>
                </c:pt>
                <c:pt idx="94">
                  <c:v>-33.257140014613995</c:v>
                </c:pt>
                <c:pt idx="95">
                  <c:v>-33.285328794974589</c:v>
                </c:pt>
                <c:pt idx="99">
                  <c:v>-34.295143852216547</c:v>
                </c:pt>
                <c:pt idx="100">
                  <c:v>-34.924342110342899</c:v>
                </c:pt>
                <c:pt idx="101">
                  <c:v>-34.599472257722752</c:v>
                </c:pt>
                <c:pt idx="102">
                  <c:v>-34.232193644021081</c:v>
                </c:pt>
                <c:pt idx="105">
                  <c:v>-34.605350434699034</c:v>
                </c:pt>
                <c:pt idx="106">
                  <c:v>-35.426665621672626</c:v>
                </c:pt>
                <c:pt idx="107">
                  <c:v>-35.584636521597268</c:v>
                </c:pt>
                <c:pt idx="108">
                  <c:v>-35.80658245003665</c:v>
                </c:pt>
                <c:pt idx="109">
                  <c:v>-36.102030050711775</c:v>
                </c:pt>
                <c:pt idx="110">
                  <c:v>-46.011075376480193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-9.11109428498591E-2</c:v>
                </c:pt>
                <c:pt idx="2">
                  <c:v>0.27377404146022855</c:v>
                </c:pt>
                <c:pt idx="3">
                  <c:v>-0.37545666593441496</c:v>
                </c:pt>
                <c:pt idx="4">
                  <c:v>-2.3926834554677257</c:v>
                </c:pt>
                <c:pt idx="5">
                  <c:v>-7.1683985550565765</c:v>
                </c:pt>
                <c:pt idx="6">
                  <c:v>-11.319008638455585</c:v>
                </c:pt>
                <c:pt idx="7">
                  <c:v>-9.9976096394769343</c:v>
                </c:pt>
                <c:pt idx="8">
                  <c:v>-10.91013872002744</c:v>
                </c:pt>
                <c:pt idx="9">
                  <c:v>-11.8654520406416</c:v>
                </c:pt>
                <c:pt idx="10">
                  <c:v>-10.995734431225479</c:v>
                </c:pt>
                <c:pt idx="11">
                  <c:v>-11.82264589300086</c:v>
                </c:pt>
                <c:pt idx="12">
                  <c:v>-13.726532199647146</c:v>
                </c:pt>
                <c:pt idx="13">
                  <c:v>-14.175459344976105</c:v>
                </c:pt>
                <c:pt idx="14">
                  <c:v>-15.201187403160787</c:v>
                </c:pt>
                <c:pt idx="15">
                  <c:v>-15.361711164024072</c:v>
                </c:pt>
                <c:pt idx="16">
                  <c:v>-15.858853148861485</c:v>
                </c:pt>
                <c:pt idx="17">
                  <c:v>-16.156626396315765</c:v>
                </c:pt>
                <c:pt idx="18">
                  <c:v>-16.490237841364497</c:v>
                </c:pt>
                <c:pt idx="19">
                  <c:v>-17.54447248028157</c:v>
                </c:pt>
                <c:pt idx="20">
                  <c:v>-17.650028107124349</c:v>
                </c:pt>
                <c:pt idx="21">
                  <c:v>-17.974208799843794</c:v>
                </c:pt>
                <c:pt idx="22">
                  <c:v>-17.931397166653262</c:v>
                </c:pt>
                <c:pt idx="23">
                  <c:v>-18.664157344319143</c:v>
                </c:pt>
                <c:pt idx="24">
                  <c:v>-19.250829333945951</c:v>
                </c:pt>
                <c:pt idx="25">
                  <c:v>-18.728833495603503</c:v>
                </c:pt>
                <c:pt idx="26">
                  <c:v>-18.519818745727612</c:v>
                </c:pt>
                <c:pt idx="27">
                  <c:v>-18.693804706970241</c:v>
                </c:pt>
                <c:pt idx="28">
                  <c:v>-18.650019850153576</c:v>
                </c:pt>
                <c:pt idx="29">
                  <c:v>-18.728993959850726</c:v>
                </c:pt>
                <c:pt idx="30">
                  <c:v>-19.494190810157797</c:v>
                </c:pt>
                <c:pt idx="31">
                  <c:v>-20.041731928289508</c:v>
                </c:pt>
                <c:pt idx="32">
                  <c:v>-19.900099916199565</c:v>
                </c:pt>
                <c:pt idx="33">
                  <c:v>-19.748826928947416</c:v>
                </c:pt>
                <c:pt idx="34">
                  <c:v>-19.958995489267828</c:v>
                </c:pt>
                <c:pt idx="35">
                  <c:v>-19.675736068536231</c:v>
                </c:pt>
                <c:pt idx="36">
                  <c:v>-20.082613810234129</c:v>
                </c:pt>
                <c:pt idx="37">
                  <c:v>-19.940010283364451</c:v>
                </c:pt>
                <c:pt idx="38">
                  <c:v>-21.15789543026203</c:v>
                </c:pt>
                <c:pt idx="40">
                  <c:v>-20.811690471427724</c:v>
                </c:pt>
                <c:pt idx="41">
                  <c:v>-21.248992125439514</c:v>
                </c:pt>
                <c:pt idx="42">
                  <c:v>-21.065508478421258</c:v>
                </c:pt>
                <c:pt idx="43">
                  <c:v>-21.20810928362804</c:v>
                </c:pt>
                <c:pt idx="44">
                  <c:v>-21.024626620134157</c:v>
                </c:pt>
                <c:pt idx="46">
                  <c:v>-21.51229766484164</c:v>
                </c:pt>
                <c:pt idx="47">
                  <c:v>-21.421040766021804</c:v>
                </c:pt>
                <c:pt idx="48">
                  <c:v>-21.472386984616065</c:v>
                </c:pt>
                <c:pt idx="49">
                  <c:v>-21.328811616747601</c:v>
                </c:pt>
                <c:pt idx="50">
                  <c:v>-21.77754357148487</c:v>
                </c:pt>
                <c:pt idx="51">
                  <c:v>-21.887780367442211</c:v>
                </c:pt>
                <c:pt idx="52">
                  <c:v>-21.868800802494981</c:v>
                </c:pt>
                <c:pt idx="53">
                  <c:v>-21.188147596327589</c:v>
                </c:pt>
                <c:pt idx="54">
                  <c:v>-20.098854186104909</c:v>
                </c:pt>
                <c:pt idx="55">
                  <c:v>-21.735692109360549</c:v>
                </c:pt>
                <c:pt idx="56">
                  <c:v>-21.644435419954533</c:v>
                </c:pt>
                <c:pt idx="57">
                  <c:v>-21.93994202537386</c:v>
                </c:pt>
                <c:pt idx="58">
                  <c:v>-22.231883914924921</c:v>
                </c:pt>
                <c:pt idx="59">
                  <c:v>-21.966632483499282</c:v>
                </c:pt>
                <c:pt idx="60">
                  <c:v>-21.957140842530087</c:v>
                </c:pt>
                <c:pt idx="61">
                  <c:v>-22.323140026272448</c:v>
                </c:pt>
                <c:pt idx="62">
                  <c:v>-22.587417029281021</c:v>
                </c:pt>
                <c:pt idx="64">
                  <c:v>-21.883792574111105</c:v>
                </c:pt>
                <c:pt idx="66">
                  <c:v>-23.317461871112499</c:v>
                </c:pt>
                <c:pt idx="67">
                  <c:v>-23.307974728814074</c:v>
                </c:pt>
                <c:pt idx="68">
                  <c:v>-22.51608481270484</c:v>
                </c:pt>
                <c:pt idx="69">
                  <c:v>-24.54661608791131</c:v>
                </c:pt>
                <c:pt idx="70">
                  <c:v>-23.559811711559853</c:v>
                </c:pt>
                <c:pt idx="71">
                  <c:v>-23.672950771996604</c:v>
                </c:pt>
                <c:pt idx="72">
                  <c:v>-23.876433265514585</c:v>
                </c:pt>
                <c:pt idx="73">
                  <c:v>-23.591202594556826</c:v>
                </c:pt>
                <c:pt idx="74">
                  <c:v>-23.853514104195561</c:v>
                </c:pt>
                <c:pt idx="75">
                  <c:v>-24.12827173811749</c:v>
                </c:pt>
                <c:pt idx="76">
                  <c:v>-24.046518843379161</c:v>
                </c:pt>
                <c:pt idx="77">
                  <c:v>-24.310789790185972</c:v>
                </c:pt>
                <c:pt idx="78">
                  <c:v>-25.69006840178556</c:v>
                </c:pt>
                <c:pt idx="79">
                  <c:v>-26.366834626462499</c:v>
                </c:pt>
                <c:pt idx="81">
                  <c:v>-23.883889220279286</c:v>
                </c:pt>
                <c:pt idx="83">
                  <c:v>-23.213217005412901</c:v>
                </c:pt>
                <c:pt idx="85">
                  <c:v>-23.351842228660935</c:v>
                </c:pt>
                <c:pt idx="86">
                  <c:v>-25.263419800558573</c:v>
                </c:pt>
                <c:pt idx="87">
                  <c:v>-22.891376258502127</c:v>
                </c:pt>
                <c:pt idx="88">
                  <c:v>-23.233039728021154</c:v>
                </c:pt>
                <c:pt idx="89">
                  <c:v>-24.38897642872373</c:v>
                </c:pt>
                <c:pt idx="90">
                  <c:v>-23.502829980944995</c:v>
                </c:pt>
                <c:pt idx="91">
                  <c:v>-24.744811898377073</c:v>
                </c:pt>
                <c:pt idx="93">
                  <c:v>-24.696363141327282</c:v>
                </c:pt>
                <c:pt idx="94">
                  <c:v>-24.435985127739812</c:v>
                </c:pt>
                <c:pt idx="95">
                  <c:v>-24.961674137373713</c:v>
                </c:pt>
                <c:pt idx="100">
                  <c:v>-26.386866136424381</c:v>
                </c:pt>
                <c:pt idx="101">
                  <c:v>-26.253721883227499</c:v>
                </c:pt>
                <c:pt idx="102">
                  <c:v>-25.794563959355088</c:v>
                </c:pt>
                <c:pt idx="105">
                  <c:v>-25.825704702771901</c:v>
                </c:pt>
                <c:pt idx="106">
                  <c:v>-26.269540522385171</c:v>
                </c:pt>
                <c:pt idx="107">
                  <c:v>-26.434225646724485</c:v>
                </c:pt>
                <c:pt idx="108">
                  <c:v>-26.359786808886732</c:v>
                </c:pt>
                <c:pt idx="109">
                  <c:v>-26.441637992641098</c:v>
                </c:pt>
                <c:pt idx="110">
                  <c:v>-33.126017051179346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-0.22036813966064273</c:v>
                </c:pt>
                <c:pt idx="2">
                  <c:v>-0.38849706982047039</c:v>
                </c:pt>
                <c:pt idx="3">
                  <c:v>-0.31784918112487404</c:v>
                </c:pt>
                <c:pt idx="4">
                  <c:v>-1.3998390620022505</c:v>
                </c:pt>
                <c:pt idx="5">
                  <c:v>-4.1560391960451248</c:v>
                </c:pt>
                <c:pt idx="6">
                  <c:v>-7.0157770916399187</c:v>
                </c:pt>
                <c:pt idx="7">
                  <c:v>-8.2512493754656191</c:v>
                </c:pt>
                <c:pt idx="8">
                  <c:v>-8.2512491737856131</c:v>
                </c:pt>
                <c:pt idx="9">
                  <c:v>-9.6213038989536592</c:v>
                </c:pt>
                <c:pt idx="10">
                  <c:v>-9.5636154813698582</c:v>
                </c:pt>
                <c:pt idx="11">
                  <c:v>-10.721811782400614</c:v>
                </c:pt>
                <c:pt idx="12">
                  <c:v>-10.991282313411954</c:v>
                </c:pt>
                <c:pt idx="13">
                  <c:v>-11.166078612303565</c:v>
                </c:pt>
                <c:pt idx="14">
                  <c:v>-11.257430674271873</c:v>
                </c:pt>
                <c:pt idx="15">
                  <c:v>-12.757260933178749</c:v>
                </c:pt>
                <c:pt idx="16">
                  <c:v>-12.479678536851946</c:v>
                </c:pt>
                <c:pt idx="17">
                  <c:v>-13.043843407909872</c:v>
                </c:pt>
                <c:pt idx="18">
                  <c:v>-13.18667937870055</c:v>
                </c:pt>
                <c:pt idx="19">
                  <c:v>-13.932459355040727</c:v>
                </c:pt>
                <c:pt idx="20">
                  <c:v>-14.307952378636468</c:v>
                </c:pt>
                <c:pt idx="21">
                  <c:v>-13.579187851094243</c:v>
                </c:pt>
                <c:pt idx="22">
                  <c:v>-13.702285240055456</c:v>
                </c:pt>
                <c:pt idx="25">
                  <c:v>-15.725137899440966</c:v>
                </c:pt>
                <c:pt idx="26">
                  <c:v>-15.646025010602305</c:v>
                </c:pt>
                <c:pt idx="27">
                  <c:v>-16.151112024099579</c:v>
                </c:pt>
                <c:pt idx="28">
                  <c:v>-16.283948200856546</c:v>
                </c:pt>
                <c:pt idx="29">
                  <c:v>-16.320734207109222</c:v>
                </c:pt>
                <c:pt idx="30">
                  <c:v>-16.986046496946017</c:v>
                </c:pt>
                <c:pt idx="31">
                  <c:v>-17.125736876155706</c:v>
                </c:pt>
                <c:pt idx="32">
                  <c:v>-17.396288143199712</c:v>
                </c:pt>
                <c:pt idx="34">
                  <c:v>-17.16713478631382</c:v>
                </c:pt>
                <c:pt idx="35">
                  <c:v>-17.623000510635922</c:v>
                </c:pt>
                <c:pt idx="36">
                  <c:v>-18.229056460409065</c:v>
                </c:pt>
                <c:pt idx="37">
                  <c:v>-18.041343193977877</c:v>
                </c:pt>
                <c:pt idx="38">
                  <c:v>-18.22558642797345</c:v>
                </c:pt>
                <c:pt idx="39">
                  <c:v>-19.235668796127481</c:v>
                </c:pt>
                <c:pt idx="40">
                  <c:v>-18.833027489010057</c:v>
                </c:pt>
                <c:pt idx="42">
                  <c:v>-19.149188589818955</c:v>
                </c:pt>
                <c:pt idx="43">
                  <c:v>-19.099226491933408</c:v>
                </c:pt>
                <c:pt idx="44">
                  <c:v>-19.316538897101054</c:v>
                </c:pt>
                <c:pt idx="45">
                  <c:v>-19.123787271498216</c:v>
                </c:pt>
                <c:pt idx="46">
                  <c:v>-18.70657326640135</c:v>
                </c:pt>
                <c:pt idx="47">
                  <c:v>-19.56747435844175</c:v>
                </c:pt>
                <c:pt idx="48">
                  <c:v>-19.811277306835962</c:v>
                </c:pt>
                <c:pt idx="49">
                  <c:v>-19.764301111459215</c:v>
                </c:pt>
                <c:pt idx="50">
                  <c:v>-19.93873741631047</c:v>
                </c:pt>
                <c:pt idx="51">
                  <c:v>-19.957053506367117</c:v>
                </c:pt>
                <c:pt idx="53">
                  <c:v>-19.787688077938625</c:v>
                </c:pt>
                <c:pt idx="54">
                  <c:v>-19.980449930466104</c:v>
                </c:pt>
                <c:pt idx="55">
                  <c:v>-20.348675013682094</c:v>
                </c:pt>
                <c:pt idx="56">
                  <c:v>-20.332327666179761</c:v>
                </c:pt>
                <c:pt idx="58">
                  <c:v>-20.351681557290391</c:v>
                </c:pt>
                <c:pt idx="59">
                  <c:v>-20.448370050676345</c:v>
                </c:pt>
                <c:pt idx="60">
                  <c:v>-21.316013963745828</c:v>
                </c:pt>
                <c:pt idx="61">
                  <c:v>-21.166386527397663</c:v>
                </c:pt>
                <c:pt idx="62">
                  <c:v>-21.200068395476279</c:v>
                </c:pt>
                <c:pt idx="64">
                  <c:v>-21.095056097766296</c:v>
                </c:pt>
                <c:pt idx="81">
                  <c:v>-25.097789665418979</c:v>
                </c:pt>
                <c:pt idx="83">
                  <c:v>-24.79929828971672</c:v>
                </c:pt>
                <c:pt idx="85">
                  <c:v>-25.010145133379957</c:v>
                </c:pt>
                <c:pt idx="86">
                  <c:v>-25.829007555768779</c:v>
                </c:pt>
                <c:pt idx="87">
                  <c:v>-25.477231045320181</c:v>
                </c:pt>
                <c:pt idx="88">
                  <c:v>-25.480020508464207</c:v>
                </c:pt>
                <c:pt idx="89">
                  <c:v>-25.643429170914889</c:v>
                </c:pt>
                <c:pt idx="90">
                  <c:v>-25.697209172096613</c:v>
                </c:pt>
                <c:pt idx="91">
                  <c:v>-27.143158524991939</c:v>
                </c:pt>
                <c:pt idx="92">
                  <c:v>-25.887306588474157</c:v>
                </c:pt>
                <c:pt idx="94">
                  <c:v>-26.704138054837401</c:v>
                </c:pt>
                <c:pt idx="95">
                  <c:v>-26.98096966882968</c:v>
                </c:pt>
                <c:pt idx="96">
                  <c:v>-27.116597384741148</c:v>
                </c:pt>
                <c:pt idx="97">
                  <c:v>-27.06773646793037</c:v>
                </c:pt>
                <c:pt idx="98">
                  <c:v>-27.084245970300014</c:v>
                </c:pt>
                <c:pt idx="99">
                  <c:v>-27.314976180827344</c:v>
                </c:pt>
                <c:pt idx="100">
                  <c:v>-27.854867478420697</c:v>
                </c:pt>
                <c:pt idx="101">
                  <c:v>-27.922366639492768</c:v>
                </c:pt>
                <c:pt idx="102">
                  <c:v>-27.664091528269097</c:v>
                </c:pt>
                <c:pt idx="103">
                  <c:v>-27.547040428681058</c:v>
                </c:pt>
                <c:pt idx="104">
                  <c:v>-28.381687289741997</c:v>
                </c:pt>
                <c:pt idx="105">
                  <c:v>-27.969838961768634</c:v>
                </c:pt>
                <c:pt idx="106">
                  <c:v>-28.430266765801182</c:v>
                </c:pt>
                <c:pt idx="107">
                  <c:v>-28.952417725255142</c:v>
                </c:pt>
                <c:pt idx="108">
                  <c:v>-28.436474879145912</c:v>
                </c:pt>
                <c:pt idx="109">
                  <c:v>-28.747822185600125</c:v>
                </c:pt>
                <c:pt idx="110">
                  <c:v>-35.062447863706936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-0.14834800005658622</c:v>
                </c:pt>
                <c:pt idx="2">
                  <c:v>-0.2275186139013563</c:v>
                </c:pt>
                <c:pt idx="3">
                  <c:v>-0.23439664401925242</c:v>
                </c:pt>
                <c:pt idx="4">
                  <c:v>-0.95461562133802857</c:v>
                </c:pt>
                <c:pt idx="5">
                  <c:v>-2.2540529924657271</c:v>
                </c:pt>
                <c:pt idx="6">
                  <c:v>-2.9884674323503724</c:v>
                </c:pt>
                <c:pt idx="7">
                  <c:v>-2.9526523798040216</c:v>
                </c:pt>
                <c:pt idx="8">
                  <c:v>-3.7444650859845829</c:v>
                </c:pt>
                <c:pt idx="9">
                  <c:v>-3.4181352138800136</c:v>
                </c:pt>
                <c:pt idx="10">
                  <c:v>-3.428990658921105</c:v>
                </c:pt>
                <c:pt idx="11">
                  <c:v>-4.2284189850212428</c:v>
                </c:pt>
                <c:pt idx="12">
                  <c:v>-3.8008537238884976</c:v>
                </c:pt>
                <c:pt idx="13">
                  <c:v>-4.1494602174600992</c:v>
                </c:pt>
                <c:pt idx="14">
                  <c:v>-5.0186537038445778</c:v>
                </c:pt>
                <c:pt idx="15">
                  <c:v>-5.1101764761596336</c:v>
                </c:pt>
                <c:pt idx="16">
                  <c:v>-5.6410646621127825</c:v>
                </c:pt>
                <c:pt idx="17">
                  <c:v>-5.4823755227335624</c:v>
                </c:pt>
                <c:pt idx="18">
                  <c:v>-6.3191486260425478</c:v>
                </c:pt>
                <c:pt idx="19">
                  <c:v>-6.0435985683175986</c:v>
                </c:pt>
                <c:pt idx="20">
                  <c:v>-6.4842998774561345</c:v>
                </c:pt>
                <c:pt idx="21">
                  <c:v>-6.6154962405540196</c:v>
                </c:pt>
                <c:pt idx="22">
                  <c:v>-6.6081369431301162</c:v>
                </c:pt>
                <c:pt idx="23">
                  <c:v>-6.8098943270697987</c:v>
                </c:pt>
                <c:pt idx="24">
                  <c:v>-7.1453705296842251</c:v>
                </c:pt>
                <c:pt idx="25">
                  <c:v>-6.8446025097750329</c:v>
                </c:pt>
                <c:pt idx="26">
                  <c:v>-6.7455474455613285</c:v>
                </c:pt>
                <c:pt idx="27">
                  <c:v>-6.8692939311825185</c:v>
                </c:pt>
                <c:pt idx="28">
                  <c:v>-6.8243312974964887</c:v>
                </c:pt>
                <c:pt idx="29">
                  <c:v>-6.8618489811935746</c:v>
                </c:pt>
                <c:pt idx="30">
                  <c:v>-7.3164179759364067</c:v>
                </c:pt>
                <c:pt idx="31">
                  <c:v>-7.5680420324832909</c:v>
                </c:pt>
                <c:pt idx="32">
                  <c:v>-7.3539020501343089</c:v>
                </c:pt>
                <c:pt idx="33">
                  <c:v>-7.6130059483427992</c:v>
                </c:pt>
                <c:pt idx="34">
                  <c:v>-7.4668469462326748</c:v>
                </c:pt>
                <c:pt idx="35">
                  <c:v>-7.598015253145185</c:v>
                </c:pt>
                <c:pt idx="36">
                  <c:v>-7.6392286602851023</c:v>
                </c:pt>
                <c:pt idx="37">
                  <c:v>-7.7254141148359601</c:v>
                </c:pt>
                <c:pt idx="38">
                  <c:v>-8.2004387278589164</c:v>
                </c:pt>
                <c:pt idx="39">
                  <c:v>-8.2201597137898652</c:v>
                </c:pt>
                <c:pt idx="40">
                  <c:v>-7.9587622870884722</c:v>
                </c:pt>
                <c:pt idx="41">
                  <c:v>-8.2896084254091562</c:v>
                </c:pt>
                <c:pt idx="42">
                  <c:v>-8.0823537788119459</c:v>
                </c:pt>
                <c:pt idx="43">
                  <c:v>-8.2065805537228087</c:v>
                </c:pt>
                <c:pt idx="44">
                  <c:v>-8.1989927377850158</c:v>
                </c:pt>
                <c:pt idx="45">
                  <c:v>-8.3232241022170861</c:v>
                </c:pt>
                <c:pt idx="46">
                  <c:v>-8.6845172793128533</c:v>
                </c:pt>
                <c:pt idx="47">
                  <c:v>-8.4055997343579492</c:v>
                </c:pt>
                <c:pt idx="48">
                  <c:v>-8.5595807025100612</c:v>
                </c:pt>
                <c:pt idx="49">
                  <c:v>-8.5633993729792302</c:v>
                </c:pt>
                <c:pt idx="50">
                  <c:v>-8.7249980240953207</c:v>
                </c:pt>
                <c:pt idx="51">
                  <c:v>-8.7288167818622142</c:v>
                </c:pt>
                <c:pt idx="52">
                  <c:v>-8.8187978822640289</c:v>
                </c:pt>
                <c:pt idx="53">
                  <c:v>-8.6945599085042069</c:v>
                </c:pt>
                <c:pt idx="54">
                  <c:v>-8.9315861373111538</c:v>
                </c:pt>
                <c:pt idx="55">
                  <c:v>-8.8073410993030343</c:v>
                </c:pt>
                <c:pt idx="56">
                  <c:v>-8.8035097989065392</c:v>
                </c:pt>
                <c:pt idx="57">
                  <c:v>-9.3150406553110798</c:v>
                </c:pt>
                <c:pt idx="58">
                  <c:v>-8.4591391760091561</c:v>
                </c:pt>
                <c:pt idx="59">
                  <c:v>-9.1305001404675679</c:v>
                </c:pt>
                <c:pt idx="60">
                  <c:v>-9.2166606347738878</c:v>
                </c:pt>
                <c:pt idx="61">
                  <c:v>-9.2539716430768415</c:v>
                </c:pt>
                <c:pt idx="62">
                  <c:v>-9.2805009738716748</c:v>
                </c:pt>
                <c:pt idx="63">
                  <c:v>-9.44204344788524</c:v>
                </c:pt>
                <c:pt idx="64">
                  <c:v>-9.1553927521079714</c:v>
                </c:pt>
                <c:pt idx="65">
                  <c:v>-9.4566760131682415</c:v>
                </c:pt>
                <c:pt idx="66">
                  <c:v>-9.6867058534817474</c:v>
                </c:pt>
                <c:pt idx="67">
                  <c:v>-9.8140029222171243</c:v>
                </c:pt>
                <c:pt idx="68">
                  <c:v>-9.6516133334199061</c:v>
                </c:pt>
                <c:pt idx="69">
                  <c:v>-10.418952374385615</c:v>
                </c:pt>
                <c:pt idx="70">
                  <c:v>-9.9257289341658783</c:v>
                </c:pt>
                <c:pt idx="71">
                  <c:v>-10.144816756575192</c:v>
                </c:pt>
                <c:pt idx="72">
                  <c:v>-10.175176992872625</c:v>
                </c:pt>
                <c:pt idx="73">
                  <c:v>-10.054787433740664</c:v>
                </c:pt>
                <c:pt idx="74">
                  <c:v>-10.26132849663286</c:v>
                </c:pt>
                <c:pt idx="75">
                  <c:v>-10.463973353921574</c:v>
                </c:pt>
                <c:pt idx="76">
                  <c:v>-10.422846161400656</c:v>
                </c:pt>
                <c:pt idx="77">
                  <c:v>-10.498208882496307</c:v>
                </c:pt>
                <c:pt idx="78">
                  <c:v>-11.023815405764914</c:v>
                </c:pt>
                <c:pt idx="79">
                  <c:v>-11.184307209756827</c:v>
                </c:pt>
                <c:pt idx="81">
                  <c:v>-10.849570331924685</c:v>
                </c:pt>
                <c:pt idx="83">
                  <c:v>-10.625898041932924</c:v>
                </c:pt>
                <c:pt idx="85">
                  <c:v>-11.009732789089899</c:v>
                </c:pt>
                <c:pt idx="86">
                  <c:v>-11.807039993132484</c:v>
                </c:pt>
                <c:pt idx="87">
                  <c:v>-11.218110772339696</c:v>
                </c:pt>
                <c:pt idx="88">
                  <c:v>-10.784027682090969</c:v>
                </c:pt>
                <c:pt idx="89">
                  <c:v>-11.818857118780279</c:v>
                </c:pt>
                <c:pt idx="90">
                  <c:v>-11.427818080042229</c:v>
                </c:pt>
                <c:pt idx="91">
                  <c:v>-11.750270354408787</c:v>
                </c:pt>
                <c:pt idx="92">
                  <c:v>-12.661539593199933</c:v>
                </c:pt>
                <c:pt idx="93">
                  <c:v>-11.723278213700006</c:v>
                </c:pt>
                <c:pt idx="94">
                  <c:v>-11.896904557968213</c:v>
                </c:pt>
                <c:pt idx="95">
                  <c:v>-11.745293035435811</c:v>
                </c:pt>
                <c:pt idx="96">
                  <c:v>-11.892841452507685</c:v>
                </c:pt>
                <c:pt idx="97">
                  <c:v>-11.711135705996689</c:v>
                </c:pt>
                <c:pt idx="98">
                  <c:v>-11.586779119937773</c:v>
                </c:pt>
                <c:pt idx="99">
                  <c:v>-11.854631704497187</c:v>
                </c:pt>
                <c:pt idx="100">
                  <c:v>-12.486139284287212</c:v>
                </c:pt>
                <c:pt idx="101">
                  <c:v>-12.230538055321816</c:v>
                </c:pt>
                <c:pt idx="102">
                  <c:v>-12.124000464728724</c:v>
                </c:pt>
                <c:pt idx="103">
                  <c:v>-12.158162218490087</c:v>
                </c:pt>
                <c:pt idx="104">
                  <c:v>-12.387790834194501</c:v>
                </c:pt>
                <c:pt idx="105">
                  <c:v>-12.430085450987782</c:v>
                </c:pt>
                <c:pt idx="106">
                  <c:v>-12.524479793886822</c:v>
                </c:pt>
                <c:pt idx="107">
                  <c:v>-12.459033173140011</c:v>
                </c:pt>
                <c:pt idx="108">
                  <c:v>-12.58043496911343</c:v>
                </c:pt>
                <c:pt idx="109">
                  <c:v>-12.523187543023173</c:v>
                </c:pt>
                <c:pt idx="110">
                  <c:v>-15.831470632551969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9.0345954278703289E-2</c:v>
                </c:pt>
                <c:pt idx="2">
                  <c:v>-0.27700354708670716</c:v>
                </c:pt>
                <c:pt idx="3">
                  <c:v>-0.31963210679908372</c:v>
                </c:pt>
                <c:pt idx="4">
                  <c:v>-1.5514603596828991</c:v>
                </c:pt>
                <c:pt idx="5">
                  <c:v>-4.9103924253461884</c:v>
                </c:pt>
                <c:pt idx="6">
                  <c:v>-6.9297833423442867</c:v>
                </c:pt>
                <c:pt idx="7">
                  <c:v>-7.4109738000407432</c:v>
                </c:pt>
                <c:pt idx="8">
                  <c:v>-8.3164261709640641</c:v>
                </c:pt>
                <c:pt idx="9">
                  <c:v>-8.6139263636564323</c:v>
                </c:pt>
                <c:pt idx="10">
                  <c:v>-8.5302113201297658</c:v>
                </c:pt>
                <c:pt idx="11">
                  <c:v>-9.6463195629379328</c:v>
                </c:pt>
                <c:pt idx="12">
                  <c:v>-9.8172541484968789</c:v>
                </c:pt>
                <c:pt idx="13">
                  <c:v>-10.156503623909074</c:v>
                </c:pt>
                <c:pt idx="14">
                  <c:v>-11.215743190087224</c:v>
                </c:pt>
                <c:pt idx="15">
                  <c:v>-12.307752298305275</c:v>
                </c:pt>
                <c:pt idx="16">
                  <c:v>-12.362488201624444</c:v>
                </c:pt>
                <c:pt idx="17">
                  <c:v>-12.388695564855112</c:v>
                </c:pt>
                <c:pt idx="18">
                  <c:v>-13.299589234361697</c:v>
                </c:pt>
                <c:pt idx="19">
                  <c:v>-13.645052074396702</c:v>
                </c:pt>
                <c:pt idx="20">
                  <c:v>-14.247877074615722</c:v>
                </c:pt>
                <c:pt idx="21">
                  <c:v>-13.554496985791253</c:v>
                </c:pt>
                <c:pt idx="22">
                  <c:v>-13.30077992682277</c:v>
                </c:pt>
                <c:pt idx="25">
                  <c:v>-15.015381379004822</c:v>
                </c:pt>
                <c:pt idx="26">
                  <c:v>-14.685059689131919</c:v>
                </c:pt>
                <c:pt idx="27">
                  <c:v>-15.126428049990537</c:v>
                </c:pt>
                <c:pt idx="28">
                  <c:v>-15.047889497790123</c:v>
                </c:pt>
                <c:pt idx="29">
                  <c:v>-15.005304724778235</c:v>
                </c:pt>
                <c:pt idx="30">
                  <c:v>-15.803197900976507</c:v>
                </c:pt>
                <c:pt idx="31">
                  <c:v>-16.116973973355542</c:v>
                </c:pt>
                <c:pt idx="32">
                  <c:v>-15.990447169558664</c:v>
                </c:pt>
                <c:pt idx="34">
                  <c:v>-15.495843432153045</c:v>
                </c:pt>
                <c:pt idx="35">
                  <c:v>-15.996712879553066</c:v>
                </c:pt>
                <c:pt idx="36">
                  <c:v>-16.565674268722574</c:v>
                </c:pt>
                <c:pt idx="37">
                  <c:v>-16.390122293046261</c:v>
                </c:pt>
                <c:pt idx="38">
                  <c:v>-16.832563078549967</c:v>
                </c:pt>
                <c:pt idx="39">
                  <c:v>-17.788363920126393</c:v>
                </c:pt>
                <c:pt idx="40">
                  <c:v>-17.06682923820324</c:v>
                </c:pt>
                <c:pt idx="42">
                  <c:v>-17.343877690587206</c:v>
                </c:pt>
                <c:pt idx="43">
                  <c:v>-17.386454628543824</c:v>
                </c:pt>
                <c:pt idx="44">
                  <c:v>-17.344424762089083</c:v>
                </c:pt>
                <c:pt idx="45">
                  <c:v>-17.290633891095197</c:v>
                </c:pt>
                <c:pt idx="46">
                  <c:v>-17.157102726849338</c:v>
                </c:pt>
                <c:pt idx="47">
                  <c:v>-17.562678018670397</c:v>
                </c:pt>
                <c:pt idx="48">
                  <c:v>-17.791494110715789</c:v>
                </c:pt>
                <c:pt idx="49">
                  <c:v>-17.701339737142163</c:v>
                </c:pt>
                <c:pt idx="50">
                  <c:v>-17.919197303538859</c:v>
                </c:pt>
                <c:pt idx="51">
                  <c:v>-18.020960851140799</c:v>
                </c:pt>
                <c:pt idx="53">
                  <c:v>-17.695917627111868</c:v>
                </c:pt>
                <c:pt idx="54">
                  <c:v>-18.020960900548388</c:v>
                </c:pt>
                <c:pt idx="55">
                  <c:v>-18.148789062895077</c:v>
                </c:pt>
                <c:pt idx="56">
                  <c:v>-18.058240317071927</c:v>
                </c:pt>
                <c:pt idx="58">
                  <c:v>-17.605367694371488</c:v>
                </c:pt>
                <c:pt idx="59">
                  <c:v>-18.197144320159175</c:v>
                </c:pt>
                <c:pt idx="60">
                  <c:v>-18.778228875674152</c:v>
                </c:pt>
                <c:pt idx="61">
                  <c:v>-18.777440164154946</c:v>
                </c:pt>
                <c:pt idx="62">
                  <c:v>-18.782867638531542</c:v>
                </c:pt>
                <c:pt idx="64">
                  <c:v>-18.48498889504846</c:v>
                </c:pt>
                <c:pt idx="81">
                  <c:v>-21.533424160613102</c:v>
                </c:pt>
                <c:pt idx="83">
                  <c:v>-20.972391126627521</c:v>
                </c:pt>
                <c:pt idx="85">
                  <c:v>-21.49352684458794</c:v>
                </c:pt>
                <c:pt idx="86">
                  <c:v>-22.792134062153302</c:v>
                </c:pt>
                <c:pt idx="87">
                  <c:v>-21.648619035142147</c:v>
                </c:pt>
                <c:pt idx="88">
                  <c:v>-20.994370134236995</c:v>
                </c:pt>
                <c:pt idx="89">
                  <c:v>-21.851380375371043</c:v>
                </c:pt>
                <c:pt idx="90">
                  <c:v>-21.56923177141401</c:v>
                </c:pt>
                <c:pt idx="91">
                  <c:v>-23.414696880367458</c:v>
                </c:pt>
                <c:pt idx="92">
                  <c:v>-22.827054168913286</c:v>
                </c:pt>
                <c:pt idx="94">
                  <c:v>-22.42673020863073</c:v>
                </c:pt>
                <c:pt idx="95">
                  <c:v>-22.517124115040588</c:v>
                </c:pt>
                <c:pt idx="96">
                  <c:v>-22.820264571659976</c:v>
                </c:pt>
                <c:pt idx="97">
                  <c:v>-22.559625605234501</c:v>
                </c:pt>
                <c:pt idx="98">
                  <c:v>-22.474556540205803</c:v>
                </c:pt>
                <c:pt idx="99">
                  <c:v>-22.831365332639741</c:v>
                </c:pt>
                <c:pt idx="100">
                  <c:v>-23.90637191013667</c:v>
                </c:pt>
                <c:pt idx="101">
                  <c:v>-23.773413665483467</c:v>
                </c:pt>
                <c:pt idx="102">
                  <c:v>-23.326208142046667</c:v>
                </c:pt>
                <c:pt idx="103">
                  <c:v>-23.145362128889069</c:v>
                </c:pt>
                <c:pt idx="104">
                  <c:v>-24.141041301256827</c:v>
                </c:pt>
                <c:pt idx="105">
                  <c:v>-23.784652199596579</c:v>
                </c:pt>
                <c:pt idx="106">
                  <c:v>-24.008016376557251</c:v>
                </c:pt>
                <c:pt idx="107">
                  <c:v>-24.188983285003296</c:v>
                </c:pt>
                <c:pt idx="108">
                  <c:v>-23.90672683580064</c:v>
                </c:pt>
                <c:pt idx="109">
                  <c:v>-24.045143821582293</c:v>
                </c:pt>
                <c:pt idx="110">
                  <c:v>-30.572326678477424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-0.48933959378505421</c:v>
                </c:pt>
                <c:pt idx="2">
                  <c:v>-0.17325190238093313</c:v>
                </c:pt>
                <c:pt idx="3">
                  <c:v>-3.8351690155202789E-2</c:v>
                </c:pt>
                <c:pt idx="4">
                  <c:v>-1.3304147965653712</c:v>
                </c:pt>
                <c:pt idx="5">
                  <c:v>-4.7277778868162201</c:v>
                </c:pt>
                <c:pt idx="6">
                  <c:v>-7.4136013605858864</c:v>
                </c:pt>
                <c:pt idx="7">
                  <c:v>-9.0532751167371472</c:v>
                </c:pt>
                <c:pt idx="8">
                  <c:v>-8.6567229293326164</c:v>
                </c:pt>
                <c:pt idx="9">
                  <c:v>-10.567755536608381</c:v>
                </c:pt>
                <c:pt idx="10">
                  <c:v>-10.41436190257361</c:v>
                </c:pt>
                <c:pt idx="11">
                  <c:v>-11.460493025420959</c:v>
                </c:pt>
                <c:pt idx="12">
                  <c:v>-11.488017888541258</c:v>
                </c:pt>
                <c:pt idx="13">
                  <c:v>-12.704686606246796</c:v>
                </c:pt>
                <c:pt idx="14">
                  <c:v>-12.46120733606837</c:v>
                </c:pt>
                <c:pt idx="15">
                  <c:v>-13.347184940170287</c:v>
                </c:pt>
                <c:pt idx="16">
                  <c:v>-14.283759279900998</c:v>
                </c:pt>
                <c:pt idx="17">
                  <c:v>-14.292472072209073</c:v>
                </c:pt>
                <c:pt idx="18">
                  <c:v>-15.094056136156553</c:v>
                </c:pt>
                <c:pt idx="19">
                  <c:v>-15.298664061028866</c:v>
                </c:pt>
                <c:pt idx="20">
                  <c:v>-15.55404606384414</c:v>
                </c:pt>
                <c:pt idx="21">
                  <c:v>-15.798556687069976</c:v>
                </c:pt>
                <c:pt idx="22">
                  <c:v>-16.105178162055367</c:v>
                </c:pt>
                <c:pt idx="23">
                  <c:v>-15.767087445441419</c:v>
                </c:pt>
                <c:pt idx="24">
                  <c:v>-17.730598258832053</c:v>
                </c:pt>
                <c:pt idx="25">
                  <c:v>-17.753000121711437</c:v>
                </c:pt>
                <c:pt idx="26">
                  <c:v>-17.625852747660709</c:v>
                </c:pt>
                <c:pt idx="27">
                  <c:v>-17.961500800346641</c:v>
                </c:pt>
                <c:pt idx="28">
                  <c:v>-18.111052033059849</c:v>
                </c:pt>
                <c:pt idx="29">
                  <c:v>-18.344839424210058</c:v>
                </c:pt>
                <c:pt idx="30">
                  <c:v>-19.263758193622138</c:v>
                </c:pt>
                <c:pt idx="31">
                  <c:v>-19.693772613284644</c:v>
                </c:pt>
                <c:pt idx="32">
                  <c:v>-19.759607144915314</c:v>
                </c:pt>
                <c:pt idx="33">
                  <c:v>-19.585617033125224</c:v>
                </c:pt>
                <c:pt idx="34">
                  <c:v>-19.458659461138339</c:v>
                </c:pt>
                <c:pt idx="35">
                  <c:v>-20.132203922862857</c:v>
                </c:pt>
                <c:pt idx="36">
                  <c:v>-20.555243924926359</c:v>
                </c:pt>
                <c:pt idx="37">
                  <c:v>-20.606629781129371</c:v>
                </c:pt>
                <c:pt idx="38">
                  <c:v>-21.656872513905689</c:v>
                </c:pt>
                <c:pt idx="39">
                  <c:v>-21.681516267014977</c:v>
                </c:pt>
                <c:pt idx="40">
                  <c:v>-21.525482687022368</c:v>
                </c:pt>
                <c:pt idx="41">
                  <c:v>-22.054319182745807</c:v>
                </c:pt>
                <c:pt idx="42">
                  <c:v>-22.090405832392968</c:v>
                </c:pt>
                <c:pt idx="43">
                  <c:v>-22.170852575917444</c:v>
                </c:pt>
                <c:pt idx="44">
                  <c:v>-22.094950539148783</c:v>
                </c:pt>
                <c:pt idx="45">
                  <c:v>-22.317047926397215</c:v>
                </c:pt>
                <c:pt idx="46">
                  <c:v>-22.565357123022878</c:v>
                </c:pt>
                <c:pt idx="47">
                  <c:v>-22.609099111124742</c:v>
                </c:pt>
                <c:pt idx="48">
                  <c:v>-22.970018732415554</c:v>
                </c:pt>
                <c:pt idx="49">
                  <c:v>-22.722506786789332</c:v>
                </c:pt>
                <c:pt idx="50">
                  <c:v>-23.349264685115223</c:v>
                </c:pt>
                <c:pt idx="51">
                  <c:v>-23.316527840480106</c:v>
                </c:pt>
                <c:pt idx="52">
                  <c:v>-23.247378682877518</c:v>
                </c:pt>
                <c:pt idx="53">
                  <c:v>-22.970784106245645</c:v>
                </c:pt>
                <c:pt idx="54">
                  <c:v>-23.415261617913963</c:v>
                </c:pt>
                <c:pt idx="55">
                  <c:v>-23.513966860640778</c:v>
                </c:pt>
                <c:pt idx="56">
                  <c:v>-23.605100688777192</c:v>
                </c:pt>
                <c:pt idx="57">
                  <c:v>-23.521858266110307</c:v>
                </c:pt>
                <c:pt idx="58">
                  <c:v>-23.812808371282301</c:v>
                </c:pt>
                <c:pt idx="59">
                  <c:v>-24.100889884200782</c:v>
                </c:pt>
                <c:pt idx="60">
                  <c:v>-24.141417061615655</c:v>
                </c:pt>
                <c:pt idx="61">
                  <c:v>-24.556839033581745</c:v>
                </c:pt>
                <c:pt idx="62">
                  <c:v>-25.099989979714188</c:v>
                </c:pt>
                <c:pt idx="63">
                  <c:v>-25.311613028394575</c:v>
                </c:pt>
                <c:pt idx="64">
                  <c:v>-24.990825906447078</c:v>
                </c:pt>
                <c:pt idx="65">
                  <c:v>-25.049364302708987</c:v>
                </c:pt>
                <c:pt idx="66">
                  <c:v>-25.588894846705124</c:v>
                </c:pt>
                <c:pt idx="67">
                  <c:v>-25.916805609088378</c:v>
                </c:pt>
                <c:pt idx="68">
                  <c:v>-25.753688070119019</c:v>
                </c:pt>
                <c:pt idx="69">
                  <c:v>-27.302439430934911</c:v>
                </c:pt>
                <c:pt idx="70">
                  <c:v>-27.171203160010649</c:v>
                </c:pt>
                <c:pt idx="71">
                  <c:v>-26.795878707932097</c:v>
                </c:pt>
                <c:pt idx="72">
                  <c:v>-27.145721678906831</c:v>
                </c:pt>
                <c:pt idx="73">
                  <c:v>-26.730279230688936</c:v>
                </c:pt>
                <c:pt idx="74">
                  <c:v>-27.572203265212814</c:v>
                </c:pt>
                <c:pt idx="75">
                  <c:v>-27.893187691964805</c:v>
                </c:pt>
                <c:pt idx="76">
                  <c:v>-27.747490599344005</c:v>
                </c:pt>
                <c:pt idx="77">
                  <c:v>-28.159557486440612</c:v>
                </c:pt>
                <c:pt idx="78">
                  <c:v>-29.639343933551388</c:v>
                </c:pt>
                <c:pt idx="79">
                  <c:v>-30.153161475909407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-0.39843061387934142</c:v>
                </c:pt>
                <c:pt idx="2">
                  <c:v>0.10384984744149506</c:v>
                </c:pt>
                <c:pt idx="3">
                  <c:v>0.50220496721031793</c:v>
                </c:pt>
                <c:pt idx="4">
                  <c:v>-1.5314583033738671</c:v>
                </c:pt>
                <c:pt idx="5">
                  <c:v>-6.5854613063223155</c:v>
                </c:pt>
                <c:pt idx="6">
                  <c:v>-8.7233936985686711</c:v>
                </c:pt>
                <c:pt idx="7">
                  <c:v>-9.6298324379908706</c:v>
                </c:pt>
                <c:pt idx="8">
                  <c:v>-8.3033495572326643</c:v>
                </c:pt>
                <c:pt idx="9">
                  <c:v>-10.201101731666995</c:v>
                </c:pt>
                <c:pt idx="10">
                  <c:v>-9.4203170420463778</c:v>
                </c:pt>
                <c:pt idx="11">
                  <c:v>-11.023359047740655</c:v>
                </c:pt>
                <c:pt idx="12">
                  <c:v>-10.664015205009036</c:v>
                </c:pt>
                <c:pt idx="13">
                  <c:v>-12.856971728478328</c:v>
                </c:pt>
                <c:pt idx="14">
                  <c:v>-12.824157679903081</c:v>
                </c:pt>
                <c:pt idx="15">
                  <c:v>-13.773459540837862</c:v>
                </c:pt>
                <c:pt idx="16">
                  <c:v>-14.532036331669218</c:v>
                </c:pt>
                <c:pt idx="17">
                  <c:v>-13.808919156657495</c:v>
                </c:pt>
                <c:pt idx="18">
                  <c:v>-15.092071631864101</c:v>
                </c:pt>
                <c:pt idx="19">
                  <c:v>-14.83566877161735</c:v>
                </c:pt>
                <c:pt idx="20">
                  <c:v>-15.302412758114059</c:v>
                </c:pt>
                <c:pt idx="21">
                  <c:v>-15.512656089947896</c:v>
                </c:pt>
                <c:pt idx="22">
                  <c:v>-15.512729331447872</c:v>
                </c:pt>
                <c:pt idx="23">
                  <c:v>-15.446619961169361</c:v>
                </c:pt>
                <c:pt idx="24">
                  <c:v>-16.818248764220556</c:v>
                </c:pt>
                <c:pt idx="25">
                  <c:v>-16.468468614791121</c:v>
                </c:pt>
                <c:pt idx="26">
                  <c:v>-15.953068910233625</c:v>
                </c:pt>
                <c:pt idx="27">
                  <c:v>-16.127909593322443</c:v>
                </c:pt>
                <c:pt idx="28">
                  <c:v>-16.267228597776295</c:v>
                </c:pt>
                <c:pt idx="29">
                  <c:v>-16.085925569392145</c:v>
                </c:pt>
                <c:pt idx="30">
                  <c:v>-17.021945418996154</c:v>
                </c:pt>
                <c:pt idx="31">
                  <c:v>-17.349243024643357</c:v>
                </c:pt>
                <c:pt idx="32">
                  <c:v>-17.20324717191879</c:v>
                </c:pt>
                <c:pt idx="33">
                  <c:v>-17.26107297116819</c:v>
                </c:pt>
                <c:pt idx="34">
                  <c:v>-16.714394462955084</c:v>
                </c:pt>
                <c:pt idx="35">
                  <c:v>-17.293896073249826</c:v>
                </c:pt>
                <c:pt idx="36">
                  <c:v>-17.433440119621224</c:v>
                </c:pt>
                <c:pt idx="37">
                  <c:v>-17.38477390291493</c:v>
                </c:pt>
                <c:pt idx="38">
                  <c:v>-18.612494079542685</c:v>
                </c:pt>
                <c:pt idx="39">
                  <c:v>-18.176358599207632</c:v>
                </c:pt>
                <c:pt idx="40">
                  <c:v>-17.928969917065274</c:v>
                </c:pt>
                <c:pt idx="41">
                  <c:v>-18.550910166482026</c:v>
                </c:pt>
                <c:pt idx="42">
                  <c:v>-18.340523762272909</c:v>
                </c:pt>
                <c:pt idx="43">
                  <c:v>-18.382587613157142</c:v>
                </c:pt>
                <c:pt idx="44">
                  <c:v>-18.152556092752903</c:v>
                </c:pt>
                <c:pt idx="45">
                  <c:v>-18.369305040762285</c:v>
                </c:pt>
                <c:pt idx="46">
                  <c:v>-18.683694331208756</c:v>
                </c:pt>
                <c:pt idx="47">
                  <c:v>-18.550833324423976</c:v>
                </c:pt>
                <c:pt idx="48">
                  <c:v>-18.738883344900259</c:v>
                </c:pt>
                <c:pt idx="49">
                  <c:v>-18.375988375186836</c:v>
                </c:pt>
                <c:pt idx="50">
                  <c:v>-19.08865331439813</c:v>
                </c:pt>
                <c:pt idx="51">
                  <c:v>-18.920329508411271</c:v>
                </c:pt>
                <c:pt idx="52">
                  <c:v>-18.949261651879823</c:v>
                </c:pt>
                <c:pt idx="53">
                  <c:v>-18.369459912882746</c:v>
                </c:pt>
                <c:pt idx="54">
                  <c:v>-19.004376968199566</c:v>
                </c:pt>
                <c:pt idx="55">
                  <c:v>-18.780945617981715</c:v>
                </c:pt>
                <c:pt idx="56">
                  <c:v>-18.8164013692802</c:v>
                </c:pt>
                <c:pt idx="57">
                  <c:v>-19.314617165379744</c:v>
                </c:pt>
                <c:pt idx="58">
                  <c:v>-18.823006861490299</c:v>
                </c:pt>
                <c:pt idx="59">
                  <c:v>-19.137082908232017</c:v>
                </c:pt>
                <c:pt idx="60">
                  <c:v>-18.949106769062141</c:v>
                </c:pt>
                <c:pt idx="61">
                  <c:v>-19.269868055360462</c:v>
                </c:pt>
                <c:pt idx="64">
                  <c:v>-19.036980567101125</c:v>
                </c:pt>
                <c:pt idx="65">
                  <c:v>-19.44471251362323</c:v>
                </c:pt>
                <c:pt idx="66">
                  <c:v>-20.261308046226389</c:v>
                </c:pt>
                <c:pt idx="67">
                  <c:v>-20.478138384596889</c:v>
                </c:pt>
                <c:pt idx="68">
                  <c:v>-19.159223799155356</c:v>
                </c:pt>
                <c:pt idx="69">
                  <c:v>-21.36540671744136</c:v>
                </c:pt>
                <c:pt idx="70">
                  <c:v>-20.672613580527965</c:v>
                </c:pt>
                <c:pt idx="71">
                  <c:v>-20.723702742365901</c:v>
                </c:pt>
                <c:pt idx="72">
                  <c:v>-20.834103508420299</c:v>
                </c:pt>
                <c:pt idx="73">
                  <c:v>-20.471203682163264</c:v>
                </c:pt>
                <c:pt idx="74">
                  <c:v>-21.135202646529905</c:v>
                </c:pt>
                <c:pt idx="75">
                  <c:v>-21.135118630503769</c:v>
                </c:pt>
                <c:pt idx="76">
                  <c:v>-21.086446600147468</c:v>
                </c:pt>
                <c:pt idx="77">
                  <c:v>-21.135202435290878</c:v>
                </c:pt>
                <c:pt idx="78">
                  <c:v>-22.664064126589167</c:v>
                </c:pt>
                <c:pt idx="79">
                  <c:v>-23.172769493676526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v>Avancement du front</c:v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11560"/>
        <c:axId val="512411952"/>
      </c:scatterChart>
      <c:scatterChart>
        <c:scatterStyle val="lineMarker"/>
        <c:varyColors val="0"/>
        <c:ser>
          <c:idx val="0"/>
          <c:order val="9"/>
          <c:tx>
            <c:strRef>
              <c:f>'Graphiques F(date)'!$AA$75</c:f>
              <c:strCache>
                <c:ptCount val="1"/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12736"/>
        <c:axId val="512412344"/>
      </c:scatterChart>
      <c:valAx>
        <c:axId val="512411560"/>
        <c:scaling>
          <c:orientation val="minMax"/>
          <c:max val="44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1952"/>
        <c:crossesAt val="0"/>
        <c:crossBetween val="midCat"/>
        <c:majorUnit val="50"/>
      </c:valAx>
      <c:valAx>
        <c:axId val="512411952"/>
        <c:scaling>
          <c:orientation val="minMax"/>
          <c:max val="20"/>
          <c:min val="-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1560"/>
        <c:crosses val="autoZero"/>
        <c:crossBetween val="midCat"/>
      </c:valAx>
      <c:valAx>
        <c:axId val="512412344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2736"/>
        <c:crosses val="max"/>
        <c:crossBetween val="midCat"/>
      </c:valAx>
      <c:valAx>
        <c:axId val="5124127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2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1696942756821353"/>
          <c:y val="0.91809230169808298"/>
          <c:w val="0.65214988379363015"/>
          <c:h val="4.9585514849347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186887114712952"/>
          <c:y val="6.331356436165387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0.10000000000331966</c:v>
                </c:pt>
                <c:pt idx="2">
                  <c:v>0.30000000000995897</c:v>
                </c:pt>
                <c:pt idx="3">
                  <c:v>-9.9999999989108801E-2</c:v>
                </c:pt>
                <c:pt idx="4">
                  <c:v>0</c:v>
                </c:pt>
                <c:pt idx="5">
                  <c:v>1.0000000000047748</c:v>
                </c:pt>
                <c:pt idx="6">
                  <c:v>1.0000000000047748</c:v>
                </c:pt>
                <c:pt idx="7">
                  <c:v>0</c:v>
                </c:pt>
                <c:pt idx="8">
                  <c:v>0</c:v>
                </c:pt>
                <c:pt idx="9">
                  <c:v>0.30000000000995897</c:v>
                </c:pt>
                <c:pt idx="10">
                  <c:v>0.79999999999813554</c:v>
                </c:pt>
                <c:pt idx="11">
                  <c:v>0</c:v>
                </c:pt>
                <c:pt idx="12">
                  <c:v>0.30000000000995897</c:v>
                </c:pt>
                <c:pt idx="13">
                  <c:v>0.10000000000331966</c:v>
                </c:pt>
                <c:pt idx="14">
                  <c:v>-0.19999999999242846</c:v>
                </c:pt>
                <c:pt idx="15">
                  <c:v>-0.19999999999242846</c:v>
                </c:pt>
                <c:pt idx="16">
                  <c:v>0</c:v>
                </c:pt>
                <c:pt idx="17">
                  <c:v>-0.49999999998817657</c:v>
                </c:pt>
                <c:pt idx="18">
                  <c:v>0.30000000000995897</c:v>
                </c:pt>
                <c:pt idx="19">
                  <c:v>-0.29999999999574811</c:v>
                </c:pt>
                <c:pt idx="20">
                  <c:v>-0.19999999999242846</c:v>
                </c:pt>
                <c:pt idx="21">
                  <c:v>0.20000000000663931</c:v>
                </c:pt>
                <c:pt idx="22">
                  <c:v>-0.19999999999242846</c:v>
                </c:pt>
                <c:pt idx="23">
                  <c:v>0</c:v>
                </c:pt>
                <c:pt idx="24">
                  <c:v>0.79999999999813554</c:v>
                </c:pt>
                <c:pt idx="25">
                  <c:v>0</c:v>
                </c:pt>
                <c:pt idx="26">
                  <c:v>-9.9999999989108801E-2</c:v>
                </c:pt>
                <c:pt idx="27">
                  <c:v>0</c:v>
                </c:pt>
                <c:pt idx="28">
                  <c:v>-0.19999999999242846</c:v>
                </c:pt>
                <c:pt idx="29">
                  <c:v>0.60000000000570708</c:v>
                </c:pt>
                <c:pt idx="30">
                  <c:v>0.20000000000663931</c:v>
                </c:pt>
                <c:pt idx="31">
                  <c:v>0.70000000000902673</c:v>
                </c:pt>
                <c:pt idx="32">
                  <c:v>0.10000000000331966</c:v>
                </c:pt>
                <c:pt idx="33">
                  <c:v>-0.29999999999574811</c:v>
                </c:pt>
                <c:pt idx="34">
                  <c:v>-0.19999999999242846</c:v>
                </c:pt>
                <c:pt idx="35">
                  <c:v>-9.9999999989108801E-2</c:v>
                </c:pt>
                <c:pt idx="36">
                  <c:v>0.20000000000663931</c:v>
                </c:pt>
                <c:pt idx="37">
                  <c:v>0.20000000000663931</c:v>
                </c:pt>
                <c:pt idx="38">
                  <c:v>3.3333333334439885E-2</c:v>
                </c:pt>
                <c:pt idx="39">
                  <c:v>8.3333333350310568E-2</c:v>
                </c:pt>
                <c:pt idx="40">
                  <c:v>0.60000000000570708</c:v>
                </c:pt>
                <c:pt idx="41">
                  <c:v>-0.29999999999574811</c:v>
                </c:pt>
                <c:pt idx="42">
                  <c:v>-9.9999999989108801E-2</c:v>
                </c:pt>
                <c:pt idx="43">
                  <c:v>0.20000000000663931</c:v>
                </c:pt>
                <c:pt idx="44">
                  <c:v>0.30000000000995897</c:v>
                </c:pt>
                <c:pt idx="45">
                  <c:v>0</c:v>
                </c:pt>
                <c:pt idx="46">
                  <c:v>0.39999999999906777</c:v>
                </c:pt>
                <c:pt idx="47">
                  <c:v>0.30000000000995897</c:v>
                </c:pt>
                <c:pt idx="48">
                  <c:v>0.39999999999906777</c:v>
                </c:pt>
                <c:pt idx="49">
                  <c:v>0.30000000000995897</c:v>
                </c:pt>
                <c:pt idx="50">
                  <c:v>0.60000000000570708</c:v>
                </c:pt>
                <c:pt idx="51">
                  <c:v>0.10000000000331966</c:v>
                </c:pt>
                <c:pt idx="52">
                  <c:v>0.20000000000663931</c:v>
                </c:pt>
                <c:pt idx="53">
                  <c:v>0</c:v>
                </c:pt>
                <c:pt idx="54">
                  <c:v>1.300000000000523</c:v>
                </c:pt>
                <c:pt idx="55">
                  <c:v>0</c:v>
                </c:pt>
                <c:pt idx="56">
                  <c:v>0.60000000000570708</c:v>
                </c:pt>
                <c:pt idx="57">
                  <c:v>-0.29999999999574811</c:v>
                </c:pt>
                <c:pt idx="58">
                  <c:v>0.10000000000331966</c:v>
                </c:pt>
                <c:pt idx="59">
                  <c:v>0</c:v>
                </c:pt>
                <c:pt idx="60">
                  <c:v>0.10000000000331966</c:v>
                </c:pt>
                <c:pt idx="61">
                  <c:v>0.39999999999906777</c:v>
                </c:pt>
                <c:pt idx="62">
                  <c:v>0.20000000000663931</c:v>
                </c:pt>
                <c:pt idx="63">
                  <c:v>-0.29999999999574811</c:v>
                </c:pt>
                <c:pt idx="64">
                  <c:v>0.30000000000995897</c:v>
                </c:pt>
                <c:pt idx="65">
                  <c:v>-0.49999999998817657</c:v>
                </c:pt>
                <c:pt idx="66">
                  <c:v>-9.9999999989108801E-2</c:v>
                </c:pt>
                <c:pt idx="67">
                  <c:v>-9.9999999989108801E-2</c:v>
                </c:pt>
                <c:pt idx="68">
                  <c:v>-0.59999999999149622</c:v>
                </c:pt>
                <c:pt idx="69">
                  <c:v>0.20000000000663931</c:v>
                </c:pt>
                <c:pt idx="70">
                  <c:v>-9.9999999989108801E-2</c:v>
                </c:pt>
                <c:pt idx="71">
                  <c:v>-0.69999999999481588</c:v>
                </c:pt>
                <c:pt idx="72">
                  <c:v>0.60000000000570708</c:v>
                </c:pt>
                <c:pt idx="73">
                  <c:v>0</c:v>
                </c:pt>
                <c:pt idx="74">
                  <c:v>-0.29999999999574811</c:v>
                </c:pt>
                <c:pt idx="75">
                  <c:v>0.39999999999906777</c:v>
                </c:pt>
                <c:pt idx="76">
                  <c:v>-0.69999999999481588</c:v>
                </c:pt>
                <c:pt idx="77">
                  <c:v>-0.29999999999574811</c:v>
                </c:pt>
                <c:pt idx="78">
                  <c:v>-0.59999999999149622</c:v>
                </c:pt>
                <c:pt idx="81">
                  <c:v>0.10000000000331966</c:v>
                </c:pt>
                <c:pt idx="83">
                  <c:v>0.10000000000331966</c:v>
                </c:pt>
                <c:pt idx="85">
                  <c:v>-0.50000000000238742</c:v>
                </c:pt>
                <c:pt idx="86">
                  <c:v>0.70000000000902673</c:v>
                </c:pt>
                <c:pt idx="87">
                  <c:v>-0.50000000000238742</c:v>
                </c:pt>
                <c:pt idx="88">
                  <c:v>0</c:v>
                </c:pt>
                <c:pt idx="89">
                  <c:v>-0.50000000000238742</c:v>
                </c:pt>
                <c:pt idx="90">
                  <c:v>0.10000000000331966</c:v>
                </c:pt>
                <c:pt idx="91">
                  <c:v>-0.29999999999574811</c:v>
                </c:pt>
                <c:pt idx="92">
                  <c:v>0</c:v>
                </c:pt>
                <c:pt idx="93">
                  <c:v>-0.19999999999242846</c:v>
                </c:pt>
                <c:pt idx="94">
                  <c:v>-0.10000000000331966</c:v>
                </c:pt>
                <c:pt idx="95">
                  <c:v>-0.79999999999813554</c:v>
                </c:pt>
                <c:pt idx="96">
                  <c:v>0.50000000000238742</c:v>
                </c:pt>
                <c:pt idx="97">
                  <c:v>0.10000000000331966</c:v>
                </c:pt>
                <c:pt idx="98">
                  <c:v>-0.19999999999242846</c:v>
                </c:pt>
                <c:pt idx="100">
                  <c:v>0.70000000000902673</c:v>
                </c:pt>
                <c:pt idx="101">
                  <c:v>0.10000000000331966</c:v>
                </c:pt>
                <c:pt idx="102">
                  <c:v>-0.29999999999574811</c:v>
                </c:pt>
                <c:pt idx="103">
                  <c:v>-0.29999999999574811</c:v>
                </c:pt>
                <c:pt idx="104">
                  <c:v>0.10000000000331966</c:v>
                </c:pt>
                <c:pt idx="105">
                  <c:v>-0.19999999999242846</c:v>
                </c:pt>
                <c:pt idx="106">
                  <c:v>-0.19999999999242846</c:v>
                </c:pt>
                <c:pt idx="107">
                  <c:v>-0.19999999999242846</c:v>
                </c:pt>
                <c:pt idx="108">
                  <c:v>-0.69999999999481588</c:v>
                </c:pt>
                <c:pt idx="109">
                  <c:v>0.39999999999906777</c:v>
                </c:pt>
                <c:pt idx="110">
                  <c:v>1.1000000000080945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Déplacements!$Q$9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Déplacements!$Q$10:$Q$200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-0.70000000000902673</c:v>
                </c:pt>
                <c:pt idx="2">
                  <c:v>-0.30000000000995897</c:v>
                </c:pt>
                <c:pt idx="3">
                  <c:v>-0.70000000000902673</c:v>
                </c:pt>
                <c:pt idx="4">
                  <c:v>-1.6999999999995907</c:v>
                </c:pt>
                <c:pt idx="5">
                  <c:v>-2.8000000000076852</c:v>
                </c:pt>
                <c:pt idx="6">
                  <c:v>-4.6999999999997044</c:v>
                </c:pt>
                <c:pt idx="7">
                  <c:v>-6.7000000000092541</c:v>
                </c:pt>
                <c:pt idx="8">
                  <c:v>-6.7000000000092541</c:v>
                </c:pt>
                <c:pt idx="9">
                  <c:v>-7.6999999999998181</c:v>
                </c:pt>
                <c:pt idx="10">
                  <c:v>-6.7000000000092541</c:v>
                </c:pt>
                <c:pt idx="11">
                  <c:v>-8.7000000000045929</c:v>
                </c:pt>
                <c:pt idx="12">
                  <c:v>-8.4999999999979536</c:v>
                </c:pt>
                <c:pt idx="13">
                  <c:v>-9.5000000000027285</c:v>
                </c:pt>
                <c:pt idx="14">
                  <c:v>-9.9000000000017963</c:v>
                </c:pt>
                <c:pt idx="15">
                  <c:v>-10.699999999999932</c:v>
                </c:pt>
                <c:pt idx="16">
                  <c:v>-11.099999999999</c:v>
                </c:pt>
                <c:pt idx="17">
                  <c:v>-11.900000000011346</c:v>
                </c:pt>
                <c:pt idx="18">
                  <c:v>-11.700000000004707</c:v>
                </c:pt>
                <c:pt idx="19">
                  <c:v>-12.300000000010414</c:v>
                </c:pt>
                <c:pt idx="20">
                  <c:v>-13.100000000008549</c:v>
                </c:pt>
                <c:pt idx="21">
                  <c:v>-12.79999999999859</c:v>
                </c:pt>
                <c:pt idx="22">
                  <c:v>-13.500000000007617</c:v>
                </c:pt>
                <c:pt idx="23">
                  <c:v>-13.300000000000978</c:v>
                </c:pt>
                <c:pt idx="24">
                  <c:v>-14.200000000002433</c:v>
                </c:pt>
                <c:pt idx="25">
                  <c:v>-14.400000000009072</c:v>
                </c:pt>
                <c:pt idx="26">
                  <c:v>-14.70000000000482</c:v>
                </c:pt>
                <c:pt idx="27">
                  <c:v>-15.000000000000568</c:v>
                </c:pt>
                <c:pt idx="28">
                  <c:v>-15.300000000010527</c:v>
                </c:pt>
                <c:pt idx="29">
                  <c:v>-15.600000000006276</c:v>
                </c:pt>
                <c:pt idx="30">
                  <c:v>-16.199999999997772</c:v>
                </c:pt>
                <c:pt idx="31">
                  <c:v>-16.100000000008663</c:v>
                </c:pt>
                <c:pt idx="32">
                  <c:v>-16.900000000006798</c:v>
                </c:pt>
                <c:pt idx="33">
                  <c:v>-17.400000000009186</c:v>
                </c:pt>
                <c:pt idx="34">
                  <c:v>-17.300000000005866</c:v>
                </c:pt>
                <c:pt idx="35">
                  <c:v>-17.600000000001614</c:v>
                </c:pt>
                <c:pt idx="36">
                  <c:v>-17.600000000001614</c:v>
                </c:pt>
                <c:pt idx="37">
                  <c:v>-17.800000000008254</c:v>
                </c:pt>
                <c:pt idx="38">
                  <c:v>-19.049999999992906</c:v>
                </c:pt>
                <c:pt idx="39">
                  <c:v>-19.133333333329006</c:v>
                </c:pt>
                <c:pt idx="40">
                  <c:v>-18.39999999999975</c:v>
                </c:pt>
                <c:pt idx="41">
                  <c:v>-19.900000000006912</c:v>
                </c:pt>
                <c:pt idx="42">
                  <c:v>-19.500000000007844</c:v>
                </c:pt>
                <c:pt idx="43">
                  <c:v>-19.500000000007844</c:v>
                </c:pt>
                <c:pt idx="44">
                  <c:v>-19.500000000007844</c:v>
                </c:pt>
                <c:pt idx="45">
                  <c:v>-20.099999999999341</c:v>
                </c:pt>
                <c:pt idx="46">
                  <c:v>-20.099999999999341</c:v>
                </c:pt>
                <c:pt idx="47">
                  <c:v>-20.099999999999341</c:v>
                </c:pt>
                <c:pt idx="48">
                  <c:v>-20.499999999998408</c:v>
                </c:pt>
                <c:pt idx="49">
                  <c:v>-20.499999999998408</c:v>
                </c:pt>
                <c:pt idx="50">
                  <c:v>-20.800000000008367</c:v>
                </c:pt>
                <c:pt idx="51">
                  <c:v>-21.200000000007435</c:v>
                </c:pt>
                <c:pt idx="52">
                  <c:v>-21.200000000007435</c:v>
                </c:pt>
                <c:pt idx="53">
                  <c:v>-21.100000000004115</c:v>
                </c:pt>
                <c:pt idx="54">
                  <c:v>-21.200000000007435</c:v>
                </c:pt>
                <c:pt idx="55">
                  <c:v>-21.700000000009823</c:v>
                </c:pt>
                <c:pt idx="56">
                  <c:v>-21.300000000010755</c:v>
                </c:pt>
                <c:pt idx="57">
                  <c:v>-22.500000000007958</c:v>
                </c:pt>
                <c:pt idx="58">
                  <c:v>-21.900000000002251</c:v>
                </c:pt>
                <c:pt idx="59">
                  <c:v>-22.300000000001319</c:v>
                </c:pt>
                <c:pt idx="60">
                  <c:v>-22.400000000004638</c:v>
                </c:pt>
                <c:pt idx="61">
                  <c:v>-22.600000000011278</c:v>
                </c:pt>
                <c:pt idx="62">
                  <c:v>-23.200000000002774</c:v>
                </c:pt>
                <c:pt idx="63">
                  <c:v>-24.100000000004229</c:v>
                </c:pt>
                <c:pt idx="64">
                  <c:v>-23.099999999999454</c:v>
                </c:pt>
                <c:pt idx="65">
                  <c:v>-24.200000000007549</c:v>
                </c:pt>
                <c:pt idx="66">
                  <c:v>-24.300000000010868</c:v>
                </c:pt>
                <c:pt idx="67">
                  <c:v>-24.600000000006617</c:v>
                </c:pt>
                <c:pt idx="68">
                  <c:v>-25.500000000008072</c:v>
                </c:pt>
                <c:pt idx="69">
                  <c:v>-26.099999999999568</c:v>
                </c:pt>
                <c:pt idx="70">
                  <c:v>-25.90000000000714</c:v>
                </c:pt>
                <c:pt idx="71">
                  <c:v>-26.300000000006207</c:v>
                </c:pt>
                <c:pt idx="72">
                  <c:v>-25.300000000001432</c:v>
                </c:pt>
                <c:pt idx="73">
                  <c:v>-25.7000000000005</c:v>
                </c:pt>
                <c:pt idx="74">
                  <c:v>-26.400000000009527</c:v>
                </c:pt>
                <c:pt idx="75">
                  <c:v>-26.200000000002888</c:v>
                </c:pt>
                <c:pt idx="76">
                  <c:v>-27.300000000010982</c:v>
                </c:pt>
                <c:pt idx="77">
                  <c:v>-27.300000000010982</c:v>
                </c:pt>
                <c:pt idx="78">
                  <c:v>-29.099999999999682</c:v>
                </c:pt>
                <c:pt idx="81">
                  <c:v>-28.599999999997294</c:v>
                </c:pt>
                <c:pt idx="83">
                  <c:v>-28.599999999997294</c:v>
                </c:pt>
                <c:pt idx="85">
                  <c:v>-29.29999999999211</c:v>
                </c:pt>
                <c:pt idx="86">
                  <c:v>-30.299999999996885</c:v>
                </c:pt>
                <c:pt idx="87">
                  <c:v>-29.699999999991178</c:v>
                </c:pt>
                <c:pt idx="88">
                  <c:v>-29.799999999994498</c:v>
                </c:pt>
                <c:pt idx="89">
                  <c:v>-31.30000000000166</c:v>
                </c:pt>
                <c:pt idx="90">
                  <c:v>-30.499999999989313</c:v>
                </c:pt>
                <c:pt idx="91">
                  <c:v>-31.799999999989836</c:v>
                </c:pt>
                <c:pt idx="92">
                  <c:v>-31.899999999993156</c:v>
                </c:pt>
                <c:pt idx="93">
                  <c:v>-31.899999999993156</c:v>
                </c:pt>
                <c:pt idx="94">
                  <c:v>-32.600000000002183</c:v>
                </c:pt>
                <c:pt idx="95">
                  <c:v>-32.899999999997931</c:v>
                </c:pt>
                <c:pt idx="96">
                  <c:v>-31.999999999996476</c:v>
                </c:pt>
                <c:pt idx="97">
                  <c:v>-32.200000000003115</c:v>
                </c:pt>
                <c:pt idx="98">
                  <c:v>-32.799999999994611</c:v>
                </c:pt>
                <c:pt idx="99">
                  <c:v>-33.799999999999386</c:v>
                </c:pt>
                <c:pt idx="100">
                  <c:v>-33.099999999990359</c:v>
                </c:pt>
                <c:pt idx="101">
                  <c:v>-33.299999999996999</c:v>
                </c:pt>
                <c:pt idx="102">
                  <c:v>-33.199999999993679</c:v>
                </c:pt>
                <c:pt idx="103">
                  <c:v>-33.299999999996999</c:v>
                </c:pt>
                <c:pt idx="104">
                  <c:v>-33.799999999999386</c:v>
                </c:pt>
                <c:pt idx="105">
                  <c:v>-33.799999999999386</c:v>
                </c:pt>
                <c:pt idx="106">
                  <c:v>-34.300000000001774</c:v>
                </c:pt>
                <c:pt idx="107">
                  <c:v>-34.79999999998995</c:v>
                </c:pt>
                <c:pt idx="108">
                  <c:v>-35.099999999999909</c:v>
                </c:pt>
                <c:pt idx="109">
                  <c:v>-34.499999999994202</c:v>
                </c:pt>
                <c:pt idx="110">
                  <c:v>-43.199999999998795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Déplacements!$AC$9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Déplacements!$AC$10:$AC$200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-0.20000000000663931</c:v>
                </c:pt>
                <c:pt idx="2">
                  <c:v>0.29999999999574811</c:v>
                </c:pt>
                <c:pt idx="3">
                  <c:v>-0.20000000000663931</c:v>
                </c:pt>
                <c:pt idx="4">
                  <c:v>0.19999999999242846</c:v>
                </c:pt>
                <c:pt idx="5">
                  <c:v>-0.10000000000331966</c:v>
                </c:pt>
                <c:pt idx="6">
                  <c:v>2.1999999999877673</c:v>
                </c:pt>
                <c:pt idx="7">
                  <c:v>1.1999999999972033</c:v>
                </c:pt>
                <c:pt idx="8">
                  <c:v>1.1999999999972033</c:v>
                </c:pt>
                <c:pt idx="9">
                  <c:v>1.300000000000523</c:v>
                </c:pt>
                <c:pt idx="10">
                  <c:v>1.5999999999962711</c:v>
                </c:pt>
                <c:pt idx="11">
                  <c:v>1.1999999999972033</c:v>
                </c:pt>
                <c:pt idx="12">
                  <c:v>1.7999999999886995</c:v>
                </c:pt>
                <c:pt idx="13">
                  <c:v>1.6999999999995907</c:v>
                </c:pt>
                <c:pt idx="14">
                  <c:v>1.3999999999896318</c:v>
                </c:pt>
                <c:pt idx="15">
                  <c:v>1.3999999999896318</c:v>
                </c:pt>
                <c:pt idx="16">
                  <c:v>1.5999999999962711</c:v>
                </c:pt>
                <c:pt idx="17">
                  <c:v>1.1999999999972033</c:v>
                </c:pt>
                <c:pt idx="18">
                  <c:v>1.9999999999953388</c:v>
                </c:pt>
                <c:pt idx="19">
                  <c:v>1.6999999999995907</c:v>
                </c:pt>
                <c:pt idx="20">
                  <c:v>1.300000000000523</c:v>
                </c:pt>
                <c:pt idx="21">
                  <c:v>1.9999999999953388</c:v>
                </c:pt>
                <c:pt idx="22">
                  <c:v>1.7999999999886995</c:v>
                </c:pt>
                <c:pt idx="23">
                  <c:v>2.299999999991087</c:v>
                </c:pt>
                <c:pt idx="24">
                  <c:v>2.6999999999901547</c:v>
                </c:pt>
                <c:pt idx="25">
                  <c:v>2.1999999999877673</c:v>
                </c:pt>
                <c:pt idx="26">
                  <c:v>1.8999999999920192</c:v>
                </c:pt>
                <c:pt idx="27">
                  <c:v>1.8999999999920192</c:v>
                </c:pt>
                <c:pt idx="28">
                  <c:v>1.9999999999953388</c:v>
                </c:pt>
                <c:pt idx="29">
                  <c:v>1.7999999999886995</c:v>
                </c:pt>
                <c:pt idx="30">
                  <c:v>2.299999999991087</c:v>
                </c:pt>
                <c:pt idx="31">
                  <c:v>2.7999999999934744</c:v>
                </c:pt>
                <c:pt idx="32">
                  <c:v>2.1999999999877673</c:v>
                </c:pt>
                <c:pt idx="33">
                  <c:v>2.0999999999986585</c:v>
                </c:pt>
                <c:pt idx="34">
                  <c:v>1.9999999999953388</c:v>
                </c:pt>
                <c:pt idx="35">
                  <c:v>2.0999999999986585</c:v>
                </c:pt>
                <c:pt idx="36">
                  <c:v>2.299999999991087</c:v>
                </c:pt>
                <c:pt idx="37">
                  <c:v>2.3999999999944066</c:v>
                </c:pt>
                <c:pt idx="38">
                  <c:v>2.1666666666675383</c:v>
                </c:pt>
                <c:pt idx="40">
                  <c:v>2.7999999999934744</c:v>
                </c:pt>
                <c:pt idx="41">
                  <c:v>1.8999999999920192</c:v>
                </c:pt>
                <c:pt idx="42">
                  <c:v>2.1999999999877673</c:v>
                </c:pt>
                <c:pt idx="43">
                  <c:v>2.3999999999944066</c:v>
                </c:pt>
                <c:pt idx="44">
                  <c:v>2.6000000000010459</c:v>
                </c:pt>
                <c:pt idx="46">
                  <c:v>2.6999999999901547</c:v>
                </c:pt>
                <c:pt idx="47">
                  <c:v>2.6000000000010459</c:v>
                </c:pt>
                <c:pt idx="48">
                  <c:v>2.6000000000010459</c:v>
                </c:pt>
                <c:pt idx="49">
                  <c:v>2.6999999999901547</c:v>
                </c:pt>
                <c:pt idx="50">
                  <c:v>2.7999999999934744</c:v>
                </c:pt>
                <c:pt idx="51">
                  <c:v>2.299999999991087</c:v>
                </c:pt>
                <c:pt idx="52">
                  <c:v>2.3999999999944066</c:v>
                </c:pt>
                <c:pt idx="53">
                  <c:v>2.299999999991087</c:v>
                </c:pt>
                <c:pt idx="54">
                  <c:v>2.6999999999901547</c:v>
                </c:pt>
                <c:pt idx="55">
                  <c:v>2.299999999991087</c:v>
                </c:pt>
                <c:pt idx="56">
                  <c:v>2.899999999996794</c:v>
                </c:pt>
                <c:pt idx="57">
                  <c:v>2.299999999991087</c:v>
                </c:pt>
                <c:pt idx="58">
                  <c:v>2.4999999999977263</c:v>
                </c:pt>
                <c:pt idx="59">
                  <c:v>2.4999999999977263</c:v>
                </c:pt>
                <c:pt idx="60">
                  <c:v>2.6000000000010459</c:v>
                </c:pt>
                <c:pt idx="61">
                  <c:v>2.7999999999934744</c:v>
                </c:pt>
                <c:pt idx="62">
                  <c:v>2.6000000000010459</c:v>
                </c:pt>
                <c:pt idx="64">
                  <c:v>2.6000000000010459</c:v>
                </c:pt>
                <c:pt idx="66">
                  <c:v>2.299999999991087</c:v>
                </c:pt>
                <c:pt idx="67">
                  <c:v>2.299999999991087</c:v>
                </c:pt>
                <c:pt idx="68">
                  <c:v>1.9999999999953388</c:v>
                </c:pt>
                <c:pt idx="69">
                  <c:v>2.6999999999901547</c:v>
                </c:pt>
                <c:pt idx="70">
                  <c:v>2.299999999991087</c:v>
                </c:pt>
                <c:pt idx="71">
                  <c:v>1.9999999999953388</c:v>
                </c:pt>
                <c:pt idx="72">
                  <c:v>3.0999999999892225</c:v>
                </c:pt>
                <c:pt idx="73">
                  <c:v>2.6999999999901547</c:v>
                </c:pt>
                <c:pt idx="74">
                  <c:v>2.6000000000010459</c:v>
                </c:pt>
                <c:pt idx="75">
                  <c:v>3.1999999999925421</c:v>
                </c:pt>
                <c:pt idx="76">
                  <c:v>2.0999999999986585</c:v>
                </c:pt>
                <c:pt idx="77">
                  <c:v>2.4999999999977263</c:v>
                </c:pt>
                <c:pt idx="78">
                  <c:v>2.3999999999944066</c:v>
                </c:pt>
                <c:pt idx="81">
                  <c:v>3.0999999999892225</c:v>
                </c:pt>
                <c:pt idx="83">
                  <c:v>3.0999999999892225</c:v>
                </c:pt>
                <c:pt idx="85">
                  <c:v>2.7999999999934744</c:v>
                </c:pt>
                <c:pt idx="86">
                  <c:v>3.4999999999882903</c:v>
                </c:pt>
                <c:pt idx="87">
                  <c:v>2.8999999999825832</c:v>
                </c:pt>
                <c:pt idx="88">
                  <c:v>2.8999999999825832</c:v>
                </c:pt>
                <c:pt idx="89">
                  <c:v>2.5999999999868351</c:v>
                </c:pt>
                <c:pt idx="90">
                  <c:v>3.3999999999849706</c:v>
                </c:pt>
                <c:pt idx="91">
                  <c:v>3.3999999999849706</c:v>
                </c:pt>
                <c:pt idx="93">
                  <c:v>3.2999999999816509</c:v>
                </c:pt>
                <c:pt idx="94">
                  <c:v>2.9999999999859028</c:v>
                </c:pt>
                <c:pt idx="95">
                  <c:v>2.5999999999868351</c:v>
                </c:pt>
                <c:pt idx="99">
                  <c:v>2.5999999999868351</c:v>
                </c:pt>
                <c:pt idx="100">
                  <c:v>3.7999999999840384</c:v>
                </c:pt>
                <c:pt idx="101">
                  <c:v>3.2999999999816509</c:v>
                </c:pt>
                <c:pt idx="102">
                  <c:v>3.1999999999925421</c:v>
                </c:pt>
                <c:pt idx="105">
                  <c:v>2.9999999999859028</c:v>
                </c:pt>
                <c:pt idx="106">
                  <c:v>3.2999999999816509</c:v>
                </c:pt>
                <c:pt idx="107">
                  <c:v>3.1999999999925421</c:v>
                </c:pt>
                <c:pt idx="108">
                  <c:v>2.8999999999825832</c:v>
                </c:pt>
                <c:pt idx="109">
                  <c:v>3.9999999999906777</c:v>
                </c:pt>
                <c:pt idx="110">
                  <c:v>4.8999999999921329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Déplacements!$M$9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Déplacements!$M$10:$M$200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</c:v>
                </c:pt>
                <c:pt idx="2">
                  <c:v>0.10000000000331966</c:v>
                </c:pt>
                <c:pt idx="3">
                  <c:v>-0.39999999999906777</c:v>
                </c:pt>
                <c:pt idx="4">
                  <c:v>-0.39999999999906777</c:v>
                </c:pt>
                <c:pt idx="5">
                  <c:v>-0.19999999999242846</c:v>
                </c:pt>
                <c:pt idx="6">
                  <c:v>0.60000000000570708</c:v>
                </c:pt>
                <c:pt idx="7">
                  <c:v>-0.39999999999906777</c:v>
                </c:pt>
                <c:pt idx="8">
                  <c:v>-0.39999999999906777</c:v>
                </c:pt>
                <c:pt idx="9">
                  <c:v>-0.39999999999906777</c:v>
                </c:pt>
                <c:pt idx="10">
                  <c:v>0.90000000000145519</c:v>
                </c:pt>
                <c:pt idx="11">
                  <c:v>-0.39999999999906777</c:v>
                </c:pt>
                <c:pt idx="12">
                  <c:v>-0.19999999999242846</c:v>
                </c:pt>
                <c:pt idx="13">
                  <c:v>-0.99999999999056399</c:v>
                </c:pt>
                <c:pt idx="14">
                  <c:v>-1.0999999999938836</c:v>
                </c:pt>
                <c:pt idx="15">
                  <c:v>-1.1999999999972033</c:v>
                </c:pt>
                <c:pt idx="16">
                  <c:v>-1.0999999999938836</c:v>
                </c:pt>
                <c:pt idx="17">
                  <c:v>-1.0999999999938836</c:v>
                </c:pt>
                <c:pt idx="18">
                  <c:v>-0.79999999999813554</c:v>
                </c:pt>
                <c:pt idx="19">
                  <c:v>-1.0999999999938836</c:v>
                </c:pt>
                <c:pt idx="20">
                  <c:v>-1.5999999999962711</c:v>
                </c:pt>
                <c:pt idx="21">
                  <c:v>-1.1999999999972033</c:v>
                </c:pt>
                <c:pt idx="22">
                  <c:v>-1.1999999999972033</c:v>
                </c:pt>
                <c:pt idx="25">
                  <c:v>-1.300000000000523</c:v>
                </c:pt>
                <c:pt idx="26">
                  <c:v>-1.1999999999972033</c:v>
                </c:pt>
                <c:pt idx="27">
                  <c:v>-1.1999999999972033</c:v>
                </c:pt>
                <c:pt idx="28">
                  <c:v>-1.0999999999938836</c:v>
                </c:pt>
                <c:pt idx="29">
                  <c:v>-1.300000000000523</c:v>
                </c:pt>
                <c:pt idx="30">
                  <c:v>-1.3999999999896318</c:v>
                </c:pt>
                <c:pt idx="31">
                  <c:v>-1.300000000000523</c:v>
                </c:pt>
                <c:pt idx="32">
                  <c:v>-1.5999999999962711</c:v>
                </c:pt>
                <c:pt idx="34">
                  <c:v>-1.300000000000523</c:v>
                </c:pt>
                <c:pt idx="35">
                  <c:v>-1.4999999999929514</c:v>
                </c:pt>
                <c:pt idx="36">
                  <c:v>-1.1999999999972033</c:v>
                </c:pt>
                <c:pt idx="37">
                  <c:v>-1.3999999999896318</c:v>
                </c:pt>
                <c:pt idx="38">
                  <c:v>-2.2333333333222072</c:v>
                </c:pt>
                <c:pt idx="39">
                  <c:v>-2.1000000000128694</c:v>
                </c:pt>
                <c:pt idx="40">
                  <c:v>-1.300000000000523</c:v>
                </c:pt>
                <c:pt idx="42">
                  <c:v>-2.299999999991087</c:v>
                </c:pt>
                <c:pt idx="43">
                  <c:v>-2.1999999999877673</c:v>
                </c:pt>
                <c:pt idx="44">
                  <c:v>-1.6999999999995907</c:v>
                </c:pt>
                <c:pt idx="45">
                  <c:v>-2.299999999991087</c:v>
                </c:pt>
                <c:pt idx="46">
                  <c:v>-2.3999999999944066</c:v>
                </c:pt>
                <c:pt idx="47">
                  <c:v>-1.7999999999886995</c:v>
                </c:pt>
                <c:pt idx="48">
                  <c:v>-2.0999999999986585</c:v>
                </c:pt>
                <c:pt idx="49">
                  <c:v>-1.8999999999920192</c:v>
                </c:pt>
                <c:pt idx="50">
                  <c:v>-1.9999999999953388</c:v>
                </c:pt>
                <c:pt idx="51">
                  <c:v>-2.6000000000010459</c:v>
                </c:pt>
                <c:pt idx="54">
                  <c:v>-2.299999999991087</c:v>
                </c:pt>
                <c:pt idx="55">
                  <c:v>-2.3999999999944066</c:v>
                </c:pt>
                <c:pt idx="56">
                  <c:v>-1.8999999999920192</c:v>
                </c:pt>
                <c:pt idx="58">
                  <c:v>-2.4999999999977263</c:v>
                </c:pt>
                <c:pt idx="59">
                  <c:v>-2.3999999999944066</c:v>
                </c:pt>
                <c:pt idx="60">
                  <c:v>-1.4999999999929514</c:v>
                </c:pt>
                <c:pt idx="61">
                  <c:v>-2.1999999999877673</c:v>
                </c:pt>
                <c:pt idx="62">
                  <c:v>-2.7999999999934744</c:v>
                </c:pt>
                <c:pt idx="64">
                  <c:v>-3.0000000000001137</c:v>
                </c:pt>
                <c:pt idx="81">
                  <c:v>-2.6999999999901547</c:v>
                </c:pt>
                <c:pt idx="83">
                  <c:v>-2.6999999999901547</c:v>
                </c:pt>
                <c:pt idx="85">
                  <c:v>-3.0999999999892225</c:v>
                </c:pt>
                <c:pt idx="86">
                  <c:v>-3.5999999999916099</c:v>
                </c:pt>
                <c:pt idx="87">
                  <c:v>-2.9999999999859028</c:v>
                </c:pt>
                <c:pt idx="88">
                  <c:v>-2.9999999999859028</c:v>
                </c:pt>
                <c:pt idx="89">
                  <c:v>-3.9999999999906777</c:v>
                </c:pt>
                <c:pt idx="90">
                  <c:v>-2.9999999999859028</c:v>
                </c:pt>
                <c:pt idx="91">
                  <c:v>-4.2999999999864258</c:v>
                </c:pt>
                <c:pt idx="92">
                  <c:v>-3.7999999999840384</c:v>
                </c:pt>
                <c:pt idx="94">
                  <c:v>-3.899999999987358</c:v>
                </c:pt>
                <c:pt idx="95">
                  <c:v>-4.2999999999864258</c:v>
                </c:pt>
                <c:pt idx="96">
                  <c:v>-3.1999999999925421</c:v>
                </c:pt>
                <c:pt idx="97">
                  <c:v>-3.5999999999916099</c:v>
                </c:pt>
                <c:pt idx="98">
                  <c:v>-4.2999999999864258</c:v>
                </c:pt>
                <c:pt idx="99">
                  <c:v>-4.7999999999888132</c:v>
                </c:pt>
                <c:pt idx="100">
                  <c:v>-4.0999999999797865</c:v>
                </c:pt>
                <c:pt idx="101">
                  <c:v>-4.2999999999864258</c:v>
                </c:pt>
                <c:pt idx="102">
                  <c:v>-4.2999999999864258</c:v>
                </c:pt>
                <c:pt idx="103">
                  <c:v>-4.0999999999797865</c:v>
                </c:pt>
                <c:pt idx="104">
                  <c:v>-4.3999999999897454</c:v>
                </c:pt>
                <c:pt idx="105">
                  <c:v>-4.2999999999864258</c:v>
                </c:pt>
                <c:pt idx="106">
                  <c:v>-4.6999999999854936</c:v>
                </c:pt>
                <c:pt idx="107">
                  <c:v>-4.7999999999888132</c:v>
                </c:pt>
                <c:pt idx="108">
                  <c:v>-5.0999999999845613</c:v>
                </c:pt>
                <c:pt idx="109">
                  <c:v>-4.3999999999897454</c:v>
                </c:pt>
                <c:pt idx="110">
                  <c:v>-7.5999999999822876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Déplacements!$U$9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Déplacements!$U$10:$U$200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-0.10000000000331966</c:v>
                </c:pt>
                <c:pt idx="2">
                  <c:v>0.30000000000995897</c:v>
                </c:pt>
                <c:pt idx="3">
                  <c:v>-0.29999999999574811</c:v>
                </c:pt>
                <c:pt idx="4">
                  <c:v>-0.59999999999149622</c:v>
                </c:pt>
                <c:pt idx="5">
                  <c:v>-0.50000000000238742</c:v>
                </c:pt>
                <c:pt idx="6">
                  <c:v>-0.59999999999149622</c:v>
                </c:pt>
                <c:pt idx="7">
                  <c:v>-1.5999999999962711</c:v>
                </c:pt>
                <c:pt idx="8">
                  <c:v>-1.5999999999962711</c:v>
                </c:pt>
                <c:pt idx="9">
                  <c:v>-1.8000000000029104</c:v>
                </c:pt>
                <c:pt idx="10">
                  <c:v>-1.0999999999938836</c:v>
                </c:pt>
                <c:pt idx="11">
                  <c:v>-1.5999999999962711</c:v>
                </c:pt>
                <c:pt idx="12">
                  <c:v>-1.9999999999953388</c:v>
                </c:pt>
                <c:pt idx="13">
                  <c:v>-2.6999999999901547</c:v>
                </c:pt>
                <c:pt idx="14">
                  <c:v>-3.3999999999991815</c:v>
                </c:pt>
                <c:pt idx="15">
                  <c:v>-3.2999999999958618</c:v>
                </c:pt>
                <c:pt idx="16">
                  <c:v>-3.6999999999949296</c:v>
                </c:pt>
                <c:pt idx="17">
                  <c:v>-4.199999999997317</c:v>
                </c:pt>
                <c:pt idx="18">
                  <c:v>-3.6999999999949296</c:v>
                </c:pt>
                <c:pt idx="19">
                  <c:v>-4.199999999997317</c:v>
                </c:pt>
                <c:pt idx="20">
                  <c:v>-4.6999999999997044</c:v>
                </c:pt>
                <c:pt idx="21">
                  <c:v>-4.3000000000006366</c:v>
                </c:pt>
                <c:pt idx="22">
                  <c:v>-4.8000000000030241</c:v>
                </c:pt>
                <c:pt idx="23">
                  <c:v>-5.2000000000020918</c:v>
                </c:pt>
                <c:pt idx="24">
                  <c:v>-4.8000000000030241</c:v>
                </c:pt>
                <c:pt idx="25">
                  <c:v>-4.8000000000030241</c:v>
                </c:pt>
                <c:pt idx="26">
                  <c:v>-5.2000000000020918</c:v>
                </c:pt>
                <c:pt idx="27">
                  <c:v>-5.2000000000020918</c:v>
                </c:pt>
                <c:pt idx="28">
                  <c:v>-5.49999999999784</c:v>
                </c:pt>
                <c:pt idx="29">
                  <c:v>-5.6000000000011596</c:v>
                </c:pt>
                <c:pt idx="30">
                  <c:v>-5.6999999999902684</c:v>
                </c:pt>
                <c:pt idx="31">
                  <c:v>-5.3999999999945203</c:v>
                </c:pt>
                <c:pt idx="32">
                  <c:v>-6.1999999999926558</c:v>
                </c:pt>
                <c:pt idx="33">
                  <c:v>-6.6999999999950433</c:v>
                </c:pt>
                <c:pt idx="34">
                  <c:v>-6.2999999999959755</c:v>
                </c:pt>
                <c:pt idx="35">
                  <c:v>-6.5000000000026148</c:v>
                </c:pt>
                <c:pt idx="36">
                  <c:v>-6.3999999999992951</c:v>
                </c:pt>
                <c:pt idx="37">
                  <c:v>-6.5000000000026148</c:v>
                </c:pt>
                <c:pt idx="38">
                  <c:v>-7.4166666666570791</c:v>
                </c:pt>
                <c:pt idx="39">
                  <c:v>-7.4833333333259588</c:v>
                </c:pt>
                <c:pt idx="40">
                  <c:v>-6.6999999999950433</c:v>
                </c:pt>
                <c:pt idx="41">
                  <c:v>-7.9999999999955662</c:v>
                </c:pt>
                <c:pt idx="42">
                  <c:v>-7.4999999999931788</c:v>
                </c:pt>
                <c:pt idx="43">
                  <c:v>-7.4999999999931788</c:v>
                </c:pt>
                <c:pt idx="44">
                  <c:v>-7.3000000000007503</c:v>
                </c:pt>
                <c:pt idx="45">
                  <c:v>-7.8999999999922466</c:v>
                </c:pt>
                <c:pt idx="46">
                  <c:v>-7.5999999999964984</c:v>
                </c:pt>
                <c:pt idx="47">
                  <c:v>-7.6999999999998181</c:v>
                </c:pt>
                <c:pt idx="48">
                  <c:v>-7.6999999999998181</c:v>
                </c:pt>
                <c:pt idx="49">
                  <c:v>-7.8000000000031378</c:v>
                </c:pt>
                <c:pt idx="50">
                  <c:v>-7.8999999999922466</c:v>
                </c:pt>
                <c:pt idx="51">
                  <c:v>-8.399999999994634</c:v>
                </c:pt>
                <c:pt idx="52">
                  <c:v>-8.399999999994634</c:v>
                </c:pt>
                <c:pt idx="53">
                  <c:v>-8.2999999999913143</c:v>
                </c:pt>
                <c:pt idx="54">
                  <c:v>-8.0999999999988859</c:v>
                </c:pt>
                <c:pt idx="55">
                  <c:v>-8.6000000000012733</c:v>
                </c:pt>
                <c:pt idx="56">
                  <c:v>-8.0999999999988859</c:v>
                </c:pt>
                <c:pt idx="57">
                  <c:v>-9.3999999999994088</c:v>
                </c:pt>
                <c:pt idx="58">
                  <c:v>-8.6000000000012733</c:v>
                </c:pt>
                <c:pt idx="59">
                  <c:v>-8.7999999999937017</c:v>
                </c:pt>
                <c:pt idx="60">
                  <c:v>-8.7999999999937017</c:v>
                </c:pt>
                <c:pt idx="61">
                  <c:v>-8.7999999999937017</c:v>
                </c:pt>
                <c:pt idx="62">
                  <c:v>-9.1999999999927695</c:v>
                </c:pt>
                <c:pt idx="63">
                  <c:v>-9.9000000000017963</c:v>
                </c:pt>
                <c:pt idx="64">
                  <c:v>-8.7999999999937017</c:v>
                </c:pt>
                <c:pt idx="65">
                  <c:v>-10.099999999994225</c:v>
                </c:pt>
                <c:pt idx="66">
                  <c:v>-9.9999999999909051</c:v>
                </c:pt>
                <c:pt idx="67">
                  <c:v>-10.099999999994225</c:v>
                </c:pt>
                <c:pt idx="68">
                  <c:v>-10.89999999999236</c:v>
                </c:pt>
                <c:pt idx="69">
                  <c:v>-10.89999999999236</c:v>
                </c:pt>
                <c:pt idx="70">
                  <c:v>-10.800000000003251</c:v>
                </c:pt>
                <c:pt idx="71">
                  <c:v>-11.600000000001387</c:v>
                </c:pt>
                <c:pt idx="72">
                  <c:v>-10.499999999993292</c:v>
                </c:pt>
                <c:pt idx="73">
                  <c:v>-10.99999999999568</c:v>
                </c:pt>
                <c:pt idx="74">
                  <c:v>-11.499999999998067</c:v>
                </c:pt>
                <c:pt idx="75">
                  <c:v>-10.99999999999568</c:v>
                </c:pt>
                <c:pt idx="76">
                  <c:v>-12.199999999992883</c:v>
                </c:pt>
                <c:pt idx="77">
                  <c:v>-12.099999999989564</c:v>
                </c:pt>
                <c:pt idx="78">
                  <c:v>-13.199999999997658</c:v>
                </c:pt>
                <c:pt idx="81">
                  <c:v>-12.299999999996203</c:v>
                </c:pt>
                <c:pt idx="83">
                  <c:v>-12.299999999996203</c:v>
                </c:pt>
                <c:pt idx="85">
                  <c:v>-13.00000000000523</c:v>
                </c:pt>
                <c:pt idx="86">
                  <c:v>-13.300000000000978</c:v>
                </c:pt>
                <c:pt idx="87">
                  <c:v>-12.700000000009481</c:v>
                </c:pt>
                <c:pt idx="88">
                  <c:v>-12.399999999999523</c:v>
                </c:pt>
                <c:pt idx="89">
                  <c:v>-13.199999999997658</c:v>
                </c:pt>
                <c:pt idx="90">
                  <c:v>-12.79999999999859</c:v>
                </c:pt>
                <c:pt idx="91">
                  <c:v>-13.999999999995794</c:v>
                </c:pt>
                <c:pt idx="92">
                  <c:v>-13.900000000006685</c:v>
                </c:pt>
                <c:pt idx="93">
                  <c:v>-13.700000000000045</c:v>
                </c:pt>
                <c:pt idx="94">
                  <c:v>-14.200000000002433</c:v>
                </c:pt>
                <c:pt idx="95">
                  <c:v>-14.400000000009072</c:v>
                </c:pt>
                <c:pt idx="96">
                  <c:v>-13.500000000007617</c:v>
                </c:pt>
                <c:pt idx="97">
                  <c:v>-13.700000000000045</c:v>
                </c:pt>
                <c:pt idx="98">
                  <c:v>-14.300000000005753</c:v>
                </c:pt>
                <c:pt idx="99">
                  <c:v>-15.200000000007208</c:v>
                </c:pt>
                <c:pt idx="100">
                  <c:v>-14.200000000002433</c:v>
                </c:pt>
                <c:pt idx="101">
                  <c:v>-14.499999999998181</c:v>
                </c:pt>
                <c:pt idx="102">
                  <c:v>-14.300000000005753</c:v>
                </c:pt>
                <c:pt idx="103">
                  <c:v>-14.400000000009072</c:v>
                </c:pt>
                <c:pt idx="104">
                  <c:v>-14.70000000000482</c:v>
                </c:pt>
                <c:pt idx="105">
                  <c:v>-14.899999999997249</c:v>
                </c:pt>
                <c:pt idx="106">
                  <c:v>-15.000000000000568</c:v>
                </c:pt>
                <c:pt idx="107">
                  <c:v>-15.000000000000568</c:v>
                </c:pt>
                <c:pt idx="108">
                  <c:v>-15.799999999998704</c:v>
                </c:pt>
                <c:pt idx="109">
                  <c:v>-14.899999999997249</c:v>
                </c:pt>
                <c:pt idx="110">
                  <c:v>-19.700000000000273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Déplacements!$I$9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-9.9999999989108801E-2</c:v>
                </c:pt>
                <c:pt idx="2">
                  <c:v>0.39999999999906777</c:v>
                </c:pt>
                <c:pt idx="3">
                  <c:v>-9.9999999989108801E-2</c:v>
                </c:pt>
                <c:pt idx="4">
                  <c:v>0.30000000000995897</c:v>
                </c:pt>
                <c:pt idx="5">
                  <c:v>0.50000000000238742</c:v>
                </c:pt>
                <c:pt idx="6">
                  <c:v>0.30000000000995897</c:v>
                </c:pt>
                <c:pt idx="7">
                  <c:v>-0.69999999999481588</c:v>
                </c:pt>
                <c:pt idx="8">
                  <c:v>0.30000000000995897</c:v>
                </c:pt>
                <c:pt idx="9">
                  <c:v>-0.19999999999242846</c:v>
                </c:pt>
                <c:pt idx="10">
                  <c:v>0.60000000000570708</c:v>
                </c:pt>
                <c:pt idx="11">
                  <c:v>-0.69999999999481588</c:v>
                </c:pt>
                <c:pt idx="12">
                  <c:v>0.20000000000663931</c:v>
                </c:pt>
                <c:pt idx="13">
                  <c:v>-0.19999999999242846</c:v>
                </c:pt>
                <c:pt idx="14">
                  <c:v>-0.49999999998817657</c:v>
                </c:pt>
                <c:pt idx="15">
                  <c:v>-0.59999999999149622</c:v>
                </c:pt>
                <c:pt idx="16">
                  <c:v>-0.49999999998817657</c:v>
                </c:pt>
                <c:pt idx="17">
                  <c:v>-0.69999999999481588</c:v>
                </c:pt>
                <c:pt idx="18">
                  <c:v>-9.9999999989108801E-2</c:v>
                </c:pt>
                <c:pt idx="19">
                  <c:v>-0.29999999999574811</c:v>
                </c:pt>
                <c:pt idx="20">
                  <c:v>-0.89999999998724434</c:v>
                </c:pt>
                <c:pt idx="21">
                  <c:v>-0.29999999999574811</c:v>
                </c:pt>
                <c:pt idx="22">
                  <c:v>-0.59999999999149622</c:v>
                </c:pt>
                <c:pt idx="23">
                  <c:v>-9.9999999989108801E-2</c:v>
                </c:pt>
                <c:pt idx="24">
                  <c:v>-0.29999999999574811</c:v>
                </c:pt>
                <c:pt idx="25">
                  <c:v>-0.29999999999574811</c:v>
                </c:pt>
                <c:pt idx="26">
                  <c:v>-0.49999999998817657</c:v>
                </c:pt>
                <c:pt idx="27">
                  <c:v>-0.39999999999906777</c:v>
                </c:pt>
                <c:pt idx="28">
                  <c:v>-0.59999999999149622</c:v>
                </c:pt>
                <c:pt idx="29">
                  <c:v>-0.49999999998817657</c:v>
                </c:pt>
                <c:pt idx="30">
                  <c:v>-0.29999999999574811</c:v>
                </c:pt>
                <c:pt idx="31">
                  <c:v>0</c:v>
                </c:pt>
                <c:pt idx="32">
                  <c:v>-0.59999999999149622</c:v>
                </c:pt>
                <c:pt idx="33">
                  <c:v>-0.69999999999481588</c:v>
                </c:pt>
                <c:pt idx="34">
                  <c:v>-0.49999999998817657</c:v>
                </c:pt>
                <c:pt idx="35">
                  <c:v>-0.69999999999481588</c:v>
                </c:pt>
                <c:pt idx="36">
                  <c:v>-0.29999999999574811</c:v>
                </c:pt>
                <c:pt idx="37">
                  <c:v>-0.29999999999574811</c:v>
                </c:pt>
                <c:pt idx="38">
                  <c:v>-0.86666666665280445</c:v>
                </c:pt>
                <c:pt idx="39">
                  <c:v>-0.81666666665114462</c:v>
                </c:pt>
                <c:pt idx="40">
                  <c:v>-9.9999999989108801E-2</c:v>
                </c:pt>
                <c:pt idx="41">
                  <c:v>-1.0999999999938836</c:v>
                </c:pt>
                <c:pt idx="42">
                  <c:v>-0.89999999998724434</c:v>
                </c:pt>
                <c:pt idx="43">
                  <c:v>-0.69999999999481588</c:v>
                </c:pt>
                <c:pt idx="44">
                  <c:v>-0.39999999999906777</c:v>
                </c:pt>
                <c:pt idx="45">
                  <c:v>-0.89999999998724434</c:v>
                </c:pt>
                <c:pt idx="46">
                  <c:v>-0.49999999998817657</c:v>
                </c:pt>
                <c:pt idx="47">
                  <c:v>-0.49999999998817657</c:v>
                </c:pt>
                <c:pt idx="48">
                  <c:v>-0.59999999999149622</c:v>
                </c:pt>
                <c:pt idx="49">
                  <c:v>-0.59999999999149622</c:v>
                </c:pt>
                <c:pt idx="50">
                  <c:v>-0.49999999998817657</c:v>
                </c:pt>
                <c:pt idx="51">
                  <c:v>-0.99999999999056399</c:v>
                </c:pt>
                <c:pt idx="52">
                  <c:v>-0.89999999998724434</c:v>
                </c:pt>
                <c:pt idx="53">
                  <c:v>-0.79999999999813554</c:v>
                </c:pt>
                <c:pt idx="54">
                  <c:v>-0.69999999999481588</c:v>
                </c:pt>
                <c:pt idx="55">
                  <c:v>-0.89999999998724434</c:v>
                </c:pt>
                <c:pt idx="56">
                  <c:v>-0.39999999999906777</c:v>
                </c:pt>
                <c:pt idx="57">
                  <c:v>-1.0999999999938836</c:v>
                </c:pt>
                <c:pt idx="58">
                  <c:v>-0.89999999998724434</c:v>
                </c:pt>
                <c:pt idx="59">
                  <c:v>-0.99999999999056399</c:v>
                </c:pt>
                <c:pt idx="60">
                  <c:v>-0.79999999999813554</c:v>
                </c:pt>
                <c:pt idx="61">
                  <c:v>-0.79999999999813554</c:v>
                </c:pt>
                <c:pt idx="62">
                  <c:v>-0.89999999998724434</c:v>
                </c:pt>
                <c:pt idx="63">
                  <c:v>-1.5999999999962711</c:v>
                </c:pt>
                <c:pt idx="64">
                  <c:v>-0.99999999999056399</c:v>
                </c:pt>
                <c:pt idx="65">
                  <c:v>-1.6999999999995907</c:v>
                </c:pt>
                <c:pt idx="66">
                  <c:v>-1.3999999999896318</c:v>
                </c:pt>
                <c:pt idx="67">
                  <c:v>-1.4999999999929514</c:v>
                </c:pt>
                <c:pt idx="68">
                  <c:v>-1.6999999999995907</c:v>
                </c:pt>
                <c:pt idx="69">
                  <c:v>-1.3999999999896318</c:v>
                </c:pt>
                <c:pt idx="70">
                  <c:v>-1.5999999999962711</c:v>
                </c:pt>
                <c:pt idx="71">
                  <c:v>-1.8999999999920192</c:v>
                </c:pt>
                <c:pt idx="72">
                  <c:v>-0.89999999998724434</c:v>
                </c:pt>
                <c:pt idx="73">
                  <c:v>-1.4999999999929514</c:v>
                </c:pt>
                <c:pt idx="74">
                  <c:v>-1.4999999999929514</c:v>
                </c:pt>
                <c:pt idx="75">
                  <c:v>-0.89999999998724434</c:v>
                </c:pt>
                <c:pt idx="76">
                  <c:v>-1.9999999999953388</c:v>
                </c:pt>
                <c:pt idx="77">
                  <c:v>-1.4999999999929514</c:v>
                </c:pt>
                <c:pt idx="78">
                  <c:v>-2.299999999991087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Déplacements!$Y$9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Déplacements!$Y$10:$Y$200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-0.20000000000663931</c:v>
                </c:pt>
                <c:pt idx="2">
                  <c:v>0.29999999999574811</c:v>
                </c:pt>
                <c:pt idx="3">
                  <c:v>-0.20000000000663931</c:v>
                </c:pt>
                <c:pt idx="4">
                  <c:v>0.39999999999906777</c:v>
                </c:pt>
                <c:pt idx="5">
                  <c:v>0.79999999999813554</c:v>
                </c:pt>
                <c:pt idx="6">
                  <c:v>0.39999999999906777</c:v>
                </c:pt>
                <c:pt idx="7">
                  <c:v>0.39999999999906777</c:v>
                </c:pt>
                <c:pt idx="8">
                  <c:v>-0.60000000000570708</c:v>
                </c:pt>
                <c:pt idx="9">
                  <c:v>0</c:v>
                </c:pt>
                <c:pt idx="10">
                  <c:v>0.59999999999149622</c:v>
                </c:pt>
                <c:pt idx="11">
                  <c:v>0.39999999999906777</c:v>
                </c:pt>
                <c:pt idx="12">
                  <c:v>0.29999999999574811</c:v>
                </c:pt>
                <c:pt idx="13">
                  <c:v>0</c:v>
                </c:pt>
                <c:pt idx="14">
                  <c:v>-0.50000000000238742</c:v>
                </c:pt>
                <c:pt idx="15">
                  <c:v>-0.60000000000570708</c:v>
                </c:pt>
                <c:pt idx="16">
                  <c:v>-0.39999999999906777</c:v>
                </c:pt>
                <c:pt idx="17">
                  <c:v>-0.70000000000902673</c:v>
                </c:pt>
                <c:pt idx="18">
                  <c:v>9.9999999989108801E-2</c:v>
                </c:pt>
                <c:pt idx="19">
                  <c:v>-0.20000000000663931</c:v>
                </c:pt>
                <c:pt idx="20">
                  <c:v>-0.70000000000902673</c:v>
                </c:pt>
                <c:pt idx="21">
                  <c:v>0</c:v>
                </c:pt>
                <c:pt idx="22">
                  <c:v>-0.39999999999906777</c:v>
                </c:pt>
                <c:pt idx="23">
                  <c:v>-0.20000000000663931</c:v>
                </c:pt>
                <c:pt idx="24">
                  <c:v>0</c:v>
                </c:pt>
                <c:pt idx="25">
                  <c:v>9.9999999989108801E-2</c:v>
                </c:pt>
                <c:pt idx="26">
                  <c:v>-0.20000000000663931</c:v>
                </c:pt>
                <c:pt idx="27">
                  <c:v>-0.10000000000331966</c:v>
                </c:pt>
                <c:pt idx="28">
                  <c:v>-0.20000000000663931</c:v>
                </c:pt>
                <c:pt idx="29">
                  <c:v>-0.30000000000995897</c:v>
                </c:pt>
                <c:pt idx="30">
                  <c:v>0</c:v>
                </c:pt>
                <c:pt idx="31">
                  <c:v>0.49999999998817657</c:v>
                </c:pt>
                <c:pt idx="32">
                  <c:v>-0.10000000000331966</c:v>
                </c:pt>
                <c:pt idx="33">
                  <c:v>-0.50000000000238742</c:v>
                </c:pt>
                <c:pt idx="34">
                  <c:v>-0.30000000000995897</c:v>
                </c:pt>
                <c:pt idx="35">
                  <c:v>-0.10000000000331966</c:v>
                </c:pt>
                <c:pt idx="36">
                  <c:v>9.9999999989108801E-2</c:v>
                </c:pt>
                <c:pt idx="37">
                  <c:v>9.9999999989108801E-2</c:v>
                </c:pt>
                <c:pt idx="38">
                  <c:v>-0.36666666667883874</c:v>
                </c:pt>
                <c:pt idx="39">
                  <c:v>-0.16666666665798857</c:v>
                </c:pt>
                <c:pt idx="40">
                  <c:v>0.49999999998817657</c:v>
                </c:pt>
                <c:pt idx="41">
                  <c:v>-0.60000000000570708</c:v>
                </c:pt>
                <c:pt idx="42">
                  <c:v>-0.30000000000995897</c:v>
                </c:pt>
                <c:pt idx="43">
                  <c:v>-0.10000000000331966</c:v>
                </c:pt>
                <c:pt idx="44">
                  <c:v>9.9999999989108801E-2</c:v>
                </c:pt>
                <c:pt idx="45">
                  <c:v>-0.20000000000663931</c:v>
                </c:pt>
                <c:pt idx="46">
                  <c:v>0</c:v>
                </c:pt>
                <c:pt idx="47">
                  <c:v>9.9999999989108801E-2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-0.39999999999906777</c:v>
                </c:pt>
                <c:pt idx="52">
                  <c:v>-0.39999999999906777</c:v>
                </c:pt>
                <c:pt idx="53">
                  <c:v>-0.30000000000995897</c:v>
                </c:pt>
                <c:pt idx="54">
                  <c:v>0</c:v>
                </c:pt>
                <c:pt idx="55">
                  <c:v>-0.30000000000995897</c:v>
                </c:pt>
                <c:pt idx="56">
                  <c:v>0.19999999999242846</c:v>
                </c:pt>
                <c:pt idx="57">
                  <c:v>-0.79999999999813554</c:v>
                </c:pt>
                <c:pt idx="58">
                  <c:v>-0.30000000000995897</c:v>
                </c:pt>
                <c:pt idx="59">
                  <c:v>-0.20000000000663931</c:v>
                </c:pt>
                <c:pt idx="60">
                  <c:v>-0.10000000000331966</c:v>
                </c:pt>
                <c:pt idx="61">
                  <c:v>0</c:v>
                </c:pt>
                <c:pt idx="66">
                  <c:v>-0.70000000000902673</c:v>
                </c:pt>
                <c:pt idx="67">
                  <c:v>-0.70000000000902673</c:v>
                </c:pt>
                <c:pt idx="68">
                  <c:v>-0.79999999999813554</c:v>
                </c:pt>
                <c:pt idx="69">
                  <c:v>-0.39999999999906777</c:v>
                </c:pt>
                <c:pt idx="70">
                  <c:v>-0.60000000000570708</c:v>
                </c:pt>
                <c:pt idx="71">
                  <c:v>-0.90000000000145519</c:v>
                </c:pt>
                <c:pt idx="72">
                  <c:v>0.29999999999574811</c:v>
                </c:pt>
                <c:pt idx="73">
                  <c:v>-0.30000000000995897</c:v>
                </c:pt>
                <c:pt idx="74">
                  <c:v>-0.39999999999906777</c:v>
                </c:pt>
                <c:pt idx="75">
                  <c:v>0.29999999999574811</c:v>
                </c:pt>
                <c:pt idx="76">
                  <c:v>-0.79999999999813554</c:v>
                </c:pt>
                <c:pt idx="77">
                  <c:v>-0.39999999999906777</c:v>
                </c:pt>
                <c:pt idx="78">
                  <c:v>-0.90000000000145519</c:v>
                </c:pt>
                <c:pt idx="81">
                  <c:v>0.39999999999906777</c:v>
                </c:pt>
                <c:pt idx="83">
                  <c:v>0.39999999999906777</c:v>
                </c:pt>
                <c:pt idx="85">
                  <c:v>-1.4210854715202004E-11</c:v>
                </c:pt>
                <c:pt idx="86">
                  <c:v>0.49999999998817657</c:v>
                </c:pt>
                <c:pt idx="87">
                  <c:v>0.19999999999242846</c:v>
                </c:pt>
                <c:pt idx="88">
                  <c:v>0.39999999999906777</c:v>
                </c:pt>
                <c:pt idx="89">
                  <c:v>-0.10000000000331966</c:v>
                </c:pt>
                <c:pt idx="90">
                  <c:v>0.69999999999481588</c:v>
                </c:pt>
                <c:pt idx="91">
                  <c:v>-1.4210854715202004E-11</c:v>
                </c:pt>
                <c:pt idx="92">
                  <c:v>9.9999999989108801E-2</c:v>
                </c:pt>
                <c:pt idx="93">
                  <c:v>0.49999999998817657</c:v>
                </c:pt>
                <c:pt idx="94">
                  <c:v>9.9999999989108801E-2</c:v>
                </c:pt>
                <c:pt idx="95">
                  <c:v>-0.30000000000995897</c:v>
                </c:pt>
                <c:pt idx="96">
                  <c:v>0.79999999999813554</c:v>
                </c:pt>
                <c:pt idx="97">
                  <c:v>0.39999999999906777</c:v>
                </c:pt>
                <c:pt idx="98">
                  <c:v>-1.4210854715202004E-11</c:v>
                </c:pt>
                <c:pt idx="99">
                  <c:v>-0.90000000000145519</c:v>
                </c:pt>
                <c:pt idx="100">
                  <c:v>0.59999999999149622</c:v>
                </c:pt>
                <c:pt idx="101">
                  <c:v>0.19999999999242846</c:v>
                </c:pt>
                <c:pt idx="102">
                  <c:v>9.9999999989108801E-2</c:v>
                </c:pt>
                <c:pt idx="104">
                  <c:v>9.9999999989108801E-2</c:v>
                </c:pt>
                <c:pt idx="105">
                  <c:v>-1.4210854715202004E-11</c:v>
                </c:pt>
                <c:pt idx="106">
                  <c:v>0.29999999999574811</c:v>
                </c:pt>
                <c:pt idx="107">
                  <c:v>0.29999999999574811</c:v>
                </c:pt>
                <c:pt idx="108">
                  <c:v>-0.30000000000995897</c:v>
                </c:pt>
                <c:pt idx="109">
                  <c:v>0.69999999999481588</c:v>
                </c:pt>
                <c:pt idx="110">
                  <c:v>-1.4210854715202004E-11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'Graphiques F(date)'!$AC$60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3508-4A33-ADD3-4205AB067ABC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3508-4A33-ADD3-4205AB067ABC}"/>
              </c:ext>
            </c:extLst>
          </c:dPt>
          <c:xVal>
            <c:numRef>
              <c:f>'Graphiques F(date)'!$AE$60:$AE$61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F(date)'!$AD$60:$AD$61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13520"/>
        <c:axId val="512413912"/>
        <c:extLst>
          <c:ext xmlns:c15="http://schemas.microsoft.com/office/drawing/2012/chart" uri="{02D57815-91ED-43cb-92C2-25804820EDAC}">
            <c15:filteredScatterSeries>
              <c15:ser>
                <c:idx val="13"/>
                <c:order val="8"/>
                <c:tx>
                  <c:v>Avancement du front</c:v>
                </c:tx>
                <c:spPr>
                  <a:ln w="158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lumMod val="80000"/>
                            <a:lumOff val="20000"/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lumMod val="80000"/>
                          <a:lumOff val="20000"/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Convergences!$B$10:$B$200</c15:sqref>
                        </c15:formulaRef>
                      </c:ext>
                    </c:extLst>
                    <c:numCache>
                      <c:formatCode>dd\ /\ mm\ /\ yy</c:formatCode>
                      <c:ptCount val="191"/>
                      <c:pt idx="0">
                        <c:v>43599</c:v>
                      </c:pt>
                      <c:pt idx="1">
                        <c:v>43600</c:v>
                      </c:pt>
                      <c:pt idx="2">
                        <c:v>43601</c:v>
                      </c:pt>
                      <c:pt idx="3">
                        <c:v>43605</c:v>
                      </c:pt>
                      <c:pt idx="4">
                        <c:v>43607</c:v>
                      </c:pt>
                      <c:pt idx="5">
                        <c:v>43621</c:v>
                      </c:pt>
                      <c:pt idx="6">
                        <c:v>43637</c:v>
                      </c:pt>
                      <c:pt idx="7">
                        <c:v>43641</c:v>
                      </c:pt>
                      <c:pt idx="8">
                        <c:v>43643</c:v>
                      </c:pt>
                      <c:pt idx="9">
                        <c:v>43647</c:v>
                      </c:pt>
                      <c:pt idx="10">
                        <c:v>43649</c:v>
                      </c:pt>
                      <c:pt idx="11">
                        <c:v>43650</c:v>
                      </c:pt>
                      <c:pt idx="12">
                        <c:v>43655</c:v>
                      </c:pt>
                      <c:pt idx="13">
                        <c:v>43657</c:v>
                      </c:pt>
                      <c:pt idx="14">
                        <c:v>43661</c:v>
                      </c:pt>
                      <c:pt idx="15">
                        <c:v>43664</c:v>
                      </c:pt>
                      <c:pt idx="16">
                        <c:v>43669</c:v>
                      </c:pt>
                      <c:pt idx="17">
                        <c:v>43675</c:v>
                      </c:pt>
                      <c:pt idx="18">
                        <c:v>43679</c:v>
                      </c:pt>
                      <c:pt idx="19">
                        <c:v>43682</c:v>
                      </c:pt>
                      <c:pt idx="20">
                        <c:v>43684</c:v>
                      </c:pt>
                      <c:pt idx="21">
                        <c:v>43685</c:v>
                      </c:pt>
                      <c:pt idx="22">
                        <c:v>43689</c:v>
                      </c:pt>
                      <c:pt idx="23">
                        <c:v>43690</c:v>
                      </c:pt>
                      <c:pt idx="24">
                        <c:v>43696</c:v>
                      </c:pt>
                      <c:pt idx="25">
                        <c:v>43699</c:v>
                      </c:pt>
                      <c:pt idx="26">
                        <c:v>43703</c:v>
                      </c:pt>
                      <c:pt idx="27">
                        <c:v>43706</c:v>
                      </c:pt>
                      <c:pt idx="28">
                        <c:v>43710</c:v>
                      </c:pt>
                      <c:pt idx="29">
                        <c:v>43713</c:v>
                      </c:pt>
                      <c:pt idx="30">
                        <c:v>43718</c:v>
                      </c:pt>
                      <c:pt idx="31">
                        <c:v>43720</c:v>
                      </c:pt>
                      <c:pt idx="32">
                        <c:v>43724</c:v>
                      </c:pt>
                      <c:pt idx="33">
                        <c:v>43727</c:v>
                      </c:pt>
                      <c:pt idx="34">
                        <c:v>43731</c:v>
                      </c:pt>
                      <c:pt idx="35">
                        <c:v>43734</c:v>
                      </c:pt>
                      <c:pt idx="36">
                        <c:v>43738</c:v>
                      </c:pt>
                      <c:pt idx="37">
                        <c:v>43741</c:v>
                      </c:pt>
                      <c:pt idx="38">
                        <c:v>43746</c:v>
                      </c:pt>
                      <c:pt idx="39">
                        <c:v>43753</c:v>
                      </c:pt>
                      <c:pt idx="40">
                        <c:v>43756</c:v>
                      </c:pt>
                      <c:pt idx="41">
                        <c:v>43760</c:v>
                      </c:pt>
                      <c:pt idx="42">
                        <c:v>43762</c:v>
                      </c:pt>
                      <c:pt idx="43">
                        <c:v>43766</c:v>
                      </c:pt>
                      <c:pt idx="44">
                        <c:v>43769</c:v>
                      </c:pt>
                      <c:pt idx="45">
                        <c:v>43774</c:v>
                      </c:pt>
                      <c:pt idx="46">
                        <c:v>43776</c:v>
                      </c:pt>
                      <c:pt idx="47">
                        <c:v>43781</c:v>
                      </c:pt>
                      <c:pt idx="48">
                        <c:v>43783</c:v>
                      </c:pt>
                      <c:pt idx="49">
                        <c:v>43787</c:v>
                      </c:pt>
                      <c:pt idx="50">
                        <c:v>43790</c:v>
                      </c:pt>
                      <c:pt idx="51">
                        <c:v>43795</c:v>
                      </c:pt>
                      <c:pt idx="52">
                        <c:v>43797</c:v>
                      </c:pt>
                      <c:pt idx="53">
                        <c:v>43801</c:v>
                      </c:pt>
                      <c:pt idx="54">
                        <c:v>43803</c:v>
                      </c:pt>
                      <c:pt idx="55">
                        <c:v>43808</c:v>
                      </c:pt>
                      <c:pt idx="56">
                        <c:v>43811</c:v>
                      </c:pt>
                      <c:pt idx="57">
                        <c:v>43815</c:v>
                      </c:pt>
                      <c:pt idx="58">
                        <c:v>43818</c:v>
                      </c:pt>
                      <c:pt idx="59">
                        <c:v>43837</c:v>
                      </c:pt>
                      <c:pt idx="60">
                        <c:v>43843</c:v>
                      </c:pt>
                      <c:pt idx="61">
                        <c:v>43850</c:v>
                      </c:pt>
                      <c:pt idx="62">
                        <c:v>43857</c:v>
                      </c:pt>
                      <c:pt idx="63">
                        <c:v>43865</c:v>
                      </c:pt>
                      <c:pt idx="64">
                        <c:v>43867</c:v>
                      </c:pt>
                      <c:pt idx="65">
                        <c:v>43878</c:v>
                      </c:pt>
                      <c:pt idx="66">
                        <c:v>43886</c:v>
                      </c:pt>
                      <c:pt idx="67">
                        <c:v>43896</c:v>
                      </c:pt>
                      <c:pt idx="68">
                        <c:v>43970</c:v>
                      </c:pt>
                      <c:pt idx="69">
                        <c:v>43977</c:v>
                      </c:pt>
                      <c:pt idx="70">
                        <c:v>43984</c:v>
                      </c:pt>
                      <c:pt idx="71">
                        <c:v>43990</c:v>
                      </c:pt>
                      <c:pt idx="72">
                        <c:v>43997</c:v>
                      </c:pt>
                      <c:pt idx="73">
                        <c:v>44004</c:v>
                      </c:pt>
                      <c:pt idx="74">
                        <c:v>44018</c:v>
                      </c:pt>
                      <c:pt idx="75">
                        <c:v>44027</c:v>
                      </c:pt>
                      <c:pt idx="76">
                        <c:v>44039</c:v>
                      </c:pt>
                      <c:pt idx="77">
                        <c:v>44053</c:v>
                      </c:pt>
                      <c:pt idx="78">
                        <c:v>44075</c:v>
                      </c:pt>
                      <c:pt idx="79">
                        <c:v>44082</c:v>
                      </c:pt>
                      <c:pt idx="80">
                        <c:v>44112</c:v>
                      </c:pt>
                      <c:pt idx="81">
                        <c:v>44134</c:v>
                      </c:pt>
                      <c:pt idx="83">
                        <c:v>44134</c:v>
                      </c:pt>
                      <c:pt idx="85">
                        <c:v>44140</c:v>
                      </c:pt>
                      <c:pt idx="86">
                        <c:v>44172</c:v>
                      </c:pt>
                      <c:pt idx="87">
                        <c:v>44186</c:v>
                      </c:pt>
                      <c:pt idx="88">
                        <c:v>44203</c:v>
                      </c:pt>
                      <c:pt idx="89">
                        <c:v>44229</c:v>
                      </c:pt>
                      <c:pt idx="90">
                        <c:v>44245</c:v>
                      </c:pt>
                      <c:pt idx="91">
                        <c:v>44273</c:v>
                      </c:pt>
                      <c:pt idx="92">
                        <c:v>44287</c:v>
                      </c:pt>
                      <c:pt idx="93">
                        <c:v>44308</c:v>
                      </c:pt>
                      <c:pt idx="94">
                        <c:v>44322</c:v>
                      </c:pt>
                      <c:pt idx="95">
                        <c:v>44337</c:v>
                      </c:pt>
                      <c:pt idx="96">
                        <c:v>44351</c:v>
                      </c:pt>
                      <c:pt idx="97">
                        <c:v>44357</c:v>
                      </c:pt>
                      <c:pt idx="98">
                        <c:v>44362</c:v>
                      </c:pt>
                      <c:pt idx="99">
                        <c:v>44364</c:v>
                      </c:pt>
                      <c:pt idx="100">
                        <c:v>44369</c:v>
                      </c:pt>
                      <c:pt idx="101">
                        <c:v>44376</c:v>
                      </c:pt>
                      <c:pt idx="102">
                        <c:v>44378</c:v>
                      </c:pt>
                      <c:pt idx="103">
                        <c:v>44392</c:v>
                      </c:pt>
                      <c:pt idx="104">
                        <c:v>44400</c:v>
                      </c:pt>
                      <c:pt idx="105">
                        <c:v>44410</c:v>
                      </c:pt>
                      <c:pt idx="106">
                        <c:v>44453</c:v>
                      </c:pt>
                      <c:pt idx="107">
                        <c:v>44470</c:v>
                      </c:pt>
                      <c:pt idx="108">
                        <c:v>44489</c:v>
                      </c:pt>
                      <c:pt idx="109">
                        <c:v>44502</c:v>
                      </c:pt>
                      <c:pt idx="110">
                        <c:v>44915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Convergences!$C$10:$C$200</c15:sqref>
                        </c15:formulaRef>
                      </c:ext>
                    </c:extLst>
                    <c:numCache>
                      <c:formatCode>0.0</c:formatCode>
                      <c:ptCount val="191"/>
                      <c:pt idx="0">
                        <c:v>170.4</c:v>
                      </c:pt>
                      <c:pt idx="1">
                        <c:v>170.4</c:v>
                      </c:pt>
                      <c:pt idx="2">
                        <c:v>170.4</c:v>
                      </c:pt>
                      <c:pt idx="3">
                        <c:v>170.4</c:v>
                      </c:pt>
                      <c:pt idx="4">
                        <c:v>172.28</c:v>
                      </c:pt>
                      <c:pt idx="5">
                        <c:v>176.25</c:v>
                      </c:pt>
                      <c:pt idx="6">
                        <c:v>181.24</c:v>
                      </c:pt>
                      <c:pt idx="7">
                        <c:v>182.12</c:v>
                      </c:pt>
                      <c:pt idx="8">
                        <c:v>183.33</c:v>
                      </c:pt>
                      <c:pt idx="9">
                        <c:v>184.2</c:v>
                      </c:pt>
                      <c:pt idx="10">
                        <c:v>184.2</c:v>
                      </c:pt>
                      <c:pt idx="11">
                        <c:v>184.2</c:v>
                      </c:pt>
                      <c:pt idx="12">
                        <c:v>184.2</c:v>
                      </c:pt>
                      <c:pt idx="13">
                        <c:v>185.03</c:v>
                      </c:pt>
                      <c:pt idx="14">
                        <c:v>187.2</c:v>
                      </c:pt>
                      <c:pt idx="15">
                        <c:v>188.17</c:v>
                      </c:pt>
                      <c:pt idx="16">
                        <c:v>189.2</c:v>
                      </c:pt>
                      <c:pt idx="17">
                        <c:v>191.5</c:v>
                      </c:pt>
                      <c:pt idx="18">
                        <c:v>193.04</c:v>
                      </c:pt>
                      <c:pt idx="19">
                        <c:v>193</c:v>
                      </c:pt>
                      <c:pt idx="20">
                        <c:v>193.66</c:v>
                      </c:pt>
                      <c:pt idx="21">
                        <c:v>193.66</c:v>
                      </c:pt>
                      <c:pt idx="22">
                        <c:v>194.79</c:v>
                      </c:pt>
                      <c:pt idx="23">
                        <c:v>194.79</c:v>
                      </c:pt>
                      <c:pt idx="24">
                        <c:v>195.4</c:v>
                      </c:pt>
                      <c:pt idx="25">
                        <c:v>196.35</c:v>
                      </c:pt>
                      <c:pt idx="26">
                        <c:v>196.35</c:v>
                      </c:pt>
                      <c:pt idx="27">
                        <c:v>198.3</c:v>
                      </c:pt>
                      <c:pt idx="28">
                        <c:v>199.4</c:v>
                      </c:pt>
                      <c:pt idx="29">
                        <c:v>200.6</c:v>
                      </c:pt>
                      <c:pt idx="30">
                        <c:v>202.58</c:v>
                      </c:pt>
                      <c:pt idx="31">
                        <c:v>203.6</c:v>
                      </c:pt>
                      <c:pt idx="32">
                        <c:v>203.6</c:v>
                      </c:pt>
                      <c:pt idx="33">
                        <c:v>206.32</c:v>
                      </c:pt>
                      <c:pt idx="34">
                        <c:v>206.32</c:v>
                      </c:pt>
                      <c:pt idx="35">
                        <c:v>206.32</c:v>
                      </c:pt>
                      <c:pt idx="36">
                        <c:v>206.32</c:v>
                      </c:pt>
                      <c:pt idx="37">
                        <c:v>207.2</c:v>
                      </c:pt>
                      <c:pt idx="38">
                        <c:v>208.3</c:v>
                      </c:pt>
                      <c:pt idx="39">
                        <c:v>211.5</c:v>
                      </c:pt>
                      <c:pt idx="40">
                        <c:v>213.5</c:v>
                      </c:pt>
                      <c:pt idx="41">
                        <c:v>215</c:v>
                      </c:pt>
                      <c:pt idx="42">
                        <c:v>215</c:v>
                      </c:pt>
                      <c:pt idx="43">
                        <c:v>215.55</c:v>
                      </c:pt>
                      <c:pt idx="44">
                        <c:v>216.89</c:v>
                      </c:pt>
                      <c:pt idx="45">
                        <c:v>217.7</c:v>
                      </c:pt>
                      <c:pt idx="46">
                        <c:v>218.7</c:v>
                      </c:pt>
                      <c:pt idx="47">
                        <c:v>218.7</c:v>
                      </c:pt>
                      <c:pt idx="48">
                        <c:v>220.5</c:v>
                      </c:pt>
                      <c:pt idx="49">
                        <c:v>221.7</c:v>
                      </c:pt>
                      <c:pt idx="50">
                        <c:v>222.9</c:v>
                      </c:pt>
                      <c:pt idx="51">
                        <c:v>222.9</c:v>
                      </c:pt>
                      <c:pt idx="52">
                        <c:v>222.9</c:v>
                      </c:pt>
                      <c:pt idx="53">
                        <c:v>222.9</c:v>
                      </c:pt>
                      <c:pt idx="54">
                        <c:v>222.9</c:v>
                      </c:pt>
                      <c:pt idx="55">
                        <c:v>222.9</c:v>
                      </c:pt>
                      <c:pt idx="56">
                        <c:v>222.9</c:v>
                      </c:pt>
                      <c:pt idx="57">
                        <c:v>222.9</c:v>
                      </c:pt>
                      <c:pt idx="58">
                        <c:v>222.9</c:v>
                      </c:pt>
                      <c:pt idx="59">
                        <c:v>222.9</c:v>
                      </c:pt>
                      <c:pt idx="60">
                        <c:v>222.9</c:v>
                      </c:pt>
                      <c:pt idx="61">
                        <c:v>222.9</c:v>
                      </c:pt>
                      <c:pt idx="62">
                        <c:v>222.9</c:v>
                      </c:pt>
                      <c:pt idx="63">
                        <c:v>222.9</c:v>
                      </c:pt>
                      <c:pt idx="64">
                        <c:v>222.9</c:v>
                      </c:pt>
                      <c:pt idx="65">
                        <c:v>222.9</c:v>
                      </c:pt>
                      <c:pt idx="66">
                        <c:v>222.9</c:v>
                      </c:pt>
                      <c:pt idx="67">
                        <c:v>222.9</c:v>
                      </c:pt>
                      <c:pt idx="68">
                        <c:v>222.9</c:v>
                      </c:pt>
                      <c:pt idx="69">
                        <c:v>222.9</c:v>
                      </c:pt>
                      <c:pt idx="70">
                        <c:v>222.9</c:v>
                      </c:pt>
                      <c:pt idx="71">
                        <c:v>222.9</c:v>
                      </c:pt>
                      <c:pt idx="72">
                        <c:v>222.9</c:v>
                      </c:pt>
                      <c:pt idx="73">
                        <c:v>222.9</c:v>
                      </c:pt>
                      <c:pt idx="74">
                        <c:v>222.9</c:v>
                      </c:pt>
                      <c:pt idx="75">
                        <c:v>222.9</c:v>
                      </c:pt>
                      <c:pt idx="76">
                        <c:v>222.9</c:v>
                      </c:pt>
                      <c:pt idx="77">
                        <c:v>222.9</c:v>
                      </c:pt>
                      <c:pt idx="78">
                        <c:v>222.9</c:v>
                      </c:pt>
                      <c:pt idx="79">
                        <c:v>222.9</c:v>
                      </c:pt>
                      <c:pt idx="80">
                        <c:v>222.9</c:v>
                      </c:pt>
                      <c:pt idx="81">
                        <c:v>222.9</c:v>
                      </c:pt>
                      <c:pt idx="83">
                        <c:v>222.9</c:v>
                      </c:pt>
                      <c:pt idx="85">
                        <c:v>222.9</c:v>
                      </c:pt>
                      <c:pt idx="86">
                        <c:v>222.9</c:v>
                      </c:pt>
                      <c:pt idx="87">
                        <c:v>222.9</c:v>
                      </c:pt>
                      <c:pt idx="88">
                        <c:v>222.9</c:v>
                      </c:pt>
                      <c:pt idx="89">
                        <c:v>222.9</c:v>
                      </c:pt>
                      <c:pt idx="90">
                        <c:v>222.9</c:v>
                      </c:pt>
                      <c:pt idx="91">
                        <c:v>222.9</c:v>
                      </c:pt>
                      <c:pt idx="92">
                        <c:v>222.9</c:v>
                      </c:pt>
                      <c:pt idx="93">
                        <c:v>222.9</c:v>
                      </c:pt>
                      <c:pt idx="94">
                        <c:v>222.9</c:v>
                      </c:pt>
                      <c:pt idx="95">
                        <c:v>222.9</c:v>
                      </c:pt>
                      <c:pt idx="96">
                        <c:v>222.9</c:v>
                      </c:pt>
                      <c:pt idx="97">
                        <c:v>222.9</c:v>
                      </c:pt>
                      <c:pt idx="98">
                        <c:v>222.9</c:v>
                      </c:pt>
                      <c:pt idx="99">
                        <c:v>222.9</c:v>
                      </c:pt>
                      <c:pt idx="100">
                        <c:v>222.9</c:v>
                      </c:pt>
                      <c:pt idx="101">
                        <c:v>222.9</c:v>
                      </c:pt>
                      <c:pt idx="102">
                        <c:v>222.9</c:v>
                      </c:pt>
                      <c:pt idx="103">
                        <c:v>222.9</c:v>
                      </c:pt>
                      <c:pt idx="104">
                        <c:v>222.9</c:v>
                      </c:pt>
                      <c:pt idx="105">
                        <c:v>222.9</c:v>
                      </c:pt>
                      <c:pt idx="106">
                        <c:v>222.9</c:v>
                      </c:pt>
                      <c:pt idx="107">
                        <c:v>222.9</c:v>
                      </c:pt>
                      <c:pt idx="108">
                        <c:v>222.9</c:v>
                      </c:pt>
                      <c:pt idx="109">
                        <c:v>222.9</c:v>
                      </c:pt>
                      <c:pt idx="110">
                        <c:v>222.9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9920-4E75-937B-B056BACBF73E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13925456"/>
        <c:axId val="5139250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9"/>
                <c:tx>
                  <c:v>Semaines</c:v>
                </c:tx>
                <c:spPr>
                  <a:ln w="15875" cap="rnd">
                    <a:solidFill>
                      <a:schemeClr val="accent1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tint val="50000"/>
                            <a:satMod val="300000"/>
                          </a:schemeClr>
                        </a:gs>
                        <a:gs pos="35000">
                          <a:schemeClr val="accent1">
                            <a:tint val="37000"/>
                            <a:satMod val="300000"/>
                          </a:schemeClr>
                        </a:gs>
                        <a:gs pos="100000">
                          <a:schemeClr val="accent1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F(date)'!$AC$76:$AC$110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F(date)'!$AD$76:$AD$110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9920-4E75-937B-B056BACBF73E}"/>
                  </c:ext>
                </c:extLst>
              </c15:ser>
            </c15:filteredScatterSeries>
          </c:ext>
        </c:extLst>
      </c:scatterChart>
      <c:valAx>
        <c:axId val="512413520"/>
        <c:scaling>
          <c:orientation val="minMax"/>
          <c:max val="44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3912"/>
        <c:crossesAt val="0"/>
        <c:crossBetween val="midCat"/>
        <c:majorUnit val="60"/>
      </c:valAx>
      <c:valAx>
        <c:axId val="512413912"/>
        <c:scaling>
          <c:orientation val="minMax"/>
          <c:max val="2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413520"/>
        <c:crosses val="autoZero"/>
        <c:crossBetween val="midCat"/>
      </c:valAx>
      <c:valAx>
        <c:axId val="513925064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5456"/>
        <c:crosses val="max"/>
        <c:crossBetween val="midCat"/>
      </c:valAx>
      <c:valAx>
        <c:axId val="5139254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5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7.7022232155491518E-2"/>
          <c:y val="0.89586330931183478"/>
          <c:w val="0.87618735262650482"/>
          <c:h val="8.6900385238212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Déplacements!$C$10:$C$200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-0.79126761750103469</c:v>
                </c:pt>
                <c:pt idx="2">
                  <c:v>0.13289448958175853</c:v>
                </c:pt>
                <c:pt idx="3">
                  <c:v>-0.56774397140202382</c:v>
                </c:pt>
                <c:pt idx="4">
                  <c:v>-1.0444323952469858</c:v>
                </c:pt>
                <c:pt idx="5">
                  <c:v>0.30323447506930279</c:v>
                </c:pt>
                <c:pt idx="6">
                  <c:v>-2.7350221909614447</c:v>
                </c:pt>
                <c:pt idx="7">
                  <c:v>-4.1250221909479023</c:v>
                </c:pt>
                <c:pt idx="8">
                  <c:v>-4.5476221909552805</c:v>
                </c:pt>
                <c:pt idx="9">
                  <c:v>-4.9585221909467236</c:v>
                </c:pt>
                <c:pt idx="10">
                  <c:v>-3.9982221909440341</c:v>
                </c:pt>
                <c:pt idx="11">
                  <c:v>-4.5476244964106627</c:v>
                </c:pt>
                <c:pt idx="12">
                  <c:v>-5.8460745500781286</c:v>
                </c:pt>
                <c:pt idx="13">
                  <c:v>-4.220822190944773</c:v>
                </c:pt>
                <c:pt idx="14">
                  <c:v>-4.1119221267820194</c:v>
                </c:pt>
                <c:pt idx="15">
                  <c:v>-3.646578421552249</c:v>
                </c:pt>
                <c:pt idx="16">
                  <c:v>-4.2692117236242666</c:v>
                </c:pt>
                <c:pt idx="17">
                  <c:v>-4.4195496330416972</c:v>
                </c:pt>
                <c:pt idx="18">
                  <c:v>-4.5829221909627904</c:v>
                </c:pt>
                <c:pt idx="19">
                  <c:v>-4.7820664699145254</c:v>
                </c:pt>
                <c:pt idx="20">
                  <c:v>-4.7820664699145254</c:v>
                </c:pt>
                <c:pt idx="21">
                  <c:v>-3.2836221909633423</c:v>
                </c:pt>
                <c:pt idx="22">
                  <c:v>-4.5524221909545304</c:v>
                </c:pt>
                <c:pt idx="23">
                  <c:v>-3.7424221909532207</c:v>
                </c:pt>
                <c:pt idx="24">
                  <c:v>-3.8556221909686883</c:v>
                </c:pt>
                <c:pt idx="25">
                  <c:v>-4.4556221909601845</c:v>
                </c:pt>
                <c:pt idx="26">
                  <c:v>-4.9556221909483611</c:v>
                </c:pt>
                <c:pt idx="27">
                  <c:v>-4.5556221909635042</c:v>
                </c:pt>
                <c:pt idx="28">
                  <c:v>-4.7556221909701435</c:v>
                </c:pt>
                <c:pt idx="29">
                  <c:v>-5.3556221909616397</c:v>
                </c:pt>
                <c:pt idx="30">
                  <c:v>-4.4556221909601845</c:v>
                </c:pt>
                <c:pt idx="31">
                  <c:v>-4.0556221909469059</c:v>
                </c:pt>
                <c:pt idx="32">
                  <c:v>-4.8556221909450414</c:v>
                </c:pt>
                <c:pt idx="33">
                  <c:v>-3.7556221909653686</c:v>
                </c:pt>
                <c:pt idx="34">
                  <c:v>-5.8556221909498163</c:v>
                </c:pt>
                <c:pt idx="35">
                  <c:v>-5.1556221909550004</c:v>
                </c:pt>
                <c:pt idx="36">
                  <c:v>-5.3556221909616397</c:v>
                </c:pt>
                <c:pt idx="37">
                  <c:v>-5.655622190943177</c:v>
                </c:pt>
                <c:pt idx="38">
                  <c:v>-5.2315944727467922</c:v>
                </c:pt>
                <c:pt idx="39">
                  <c:v>-4.9145344699468296</c:v>
                </c:pt>
                <c:pt idx="40">
                  <c:v>-5.2770512013182724</c:v>
                </c:pt>
                <c:pt idx="41">
                  <c:v>-4.9807684136737862</c:v>
                </c:pt>
                <c:pt idx="42">
                  <c:v>-5.2286872724778277</c:v>
                </c:pt>
                <c:pt idx="43">
                  <c:v>-5.655622190943177</c:v>
                </c:pt>
                <c:pt idx="44">
                  <c:v>-5.2709525001262136</c:v>
                </c:pt>
                <c:pt idx="45">
                  <c:v>-5.2103908593892356</c:v>
                </c:pt>
                <c:pt idx="46">
                  <c:v>-5.3556221909616397</c:v>
                </c:pt>
                <c:pt idx="47">
                  <c:v>-5.555622190968279</c:v>
                </c:pt>
                <c:pt idx="48">
                  <c:v>-5.555622190968279</c:v>
                </c:pt>
                <c:pt idx="49">
                  <c:v>-5.555622190968279</c:v>
                </c:pt>
                <c:pt idx="50">
                  <c:v>-5.4556221909649594</c:v>
                </c:pt>
                <c:pt idx="51">
                  <c:v>-5.4556221909649594</c:v>
                </c:pt>
                <c:pt idx="52">
                  <c:v>-6.0556221909564556</c:v>
                </c:pt>
                <c:pt idx="53">
                  <c:v>-5.4556221909649594</c:v>
                </c:pt>
                <c:pt idx="54">
                  <c:v>-5.655622190943177</c:v>
                </c:pt>
                <c:pt idx="55">
                  <c:v>-5.555622190968279</c:v>
                </c:pt>
                <c:pt idx="56">
                  <c:v>-5.655622190943177</c:v>
                </c:pt>
                <c:pt idx="57">
                  <c:v>-4.9556221909483611</c:v>
                </c:pt>
                <c:pt idx="58">
                  <c:v>-5.655622190943177</c:v>
                </c:pt>
                <c:pt idx="59">
                  <c:v>-6.0556221909564556</c:v>
                </c:pt>
                <c:pt idx="60">
                  <c:v>-6.0556221909564556</c:v>
                </c:pt>
                <c:pt idx="61">
                  <c:v>-5.655622190943177</c:v>
                </c:pt>
                <c:pt idx="62">
                  <c:v>-5.555622190968279</c:v>
                </c:pt>
                <c:pt idx="63">
                  <c:v>-5.655622190943177</c:v>
                </c:pt>
                <c:pt idx="64">
                  <c:v>-6.5998964677476124</c:v>
                </c:pt>
                <c:pt idx="65">
                  <c:v>-5.655622190943177</c:v>
                </c:pt>
                <c:pt idx="66">
                  <c:v>-5.3556221909616397</c:v>
                </c:pt>
                <c:pt idx="67">
                  <c:v>-5.655622190943177</c:v>
                </c:pt>
                <c:pt idx="68">
                  <c:v>-6.0556221909564556</c:v>
                </c:pt>
                <c:pt idx="69">
                  <c:v>-5.2883960254064277</c:v>
                </c:pt>
                <c:pt idx="70">
                  <c:v>-6.2190833232591558</c:v>
                </c:pt>
                <c:pt idx="71">
                  <c:v>-5.8199736743631547</c:v>
                </c:pt>
                <c:pt idx="72">
                  <c:v>-5.7476409238859105</c:v>
                </c:pt>
                <c:pt idx="73">
                  <c:v>-5.8443687815952217</c:v>
                </c:pt>
                <c:pt idx="74">
                  <c:v>-5.6992768895725021</c:v>
                </c:pt>
                <c:pt idx="75">
                  <c:v>-6.2548233601091852</c:v>
                </c:pt>
                <c:pt idx="76">
                  <c:v>-5.6870792831773542</c:v>
                </c:pt>
                <c:pt idx="77">
                  <c:v>-6.1341264768657311</c:v>
                </c:pt>
                <c:pt idx="78">
                  <c:v>-5.1794704558574267</c:v>
                </c:pt>
                <c:pt idx="81">
                  <c:v>-6.3275825017115039</c:v>
                </c:pt>
                <c:pt idx="83">
                  <c:v>-6.3275825017115039</c:v>
                </c:pt>
                <c:pt idx="85">
                  <c:v>-5.3275825017067291</c:v>
                </c:pt>
                <c:pt idx="86">
                  <c:v>-6.4914241426095032</c:v>
                </c:pt>
                <c:pt idx="87">
                  <c:v>-5.5615897254597257</c:v>
                </c:pt>
                <c:pt idx="88">
                  <c:v>-5.7005829162619648</c:v>
                </c:pt>
                <c:pt idx="89">
                  <c:v>-5.4275825017100487</c:v>
                </c:pt>
                <c:pt idx="90">
                  <c:v>-6.0147357188213846</c:v>
                </c:pt>
                <c:pt idx="91">
                  <c:v>-4.6365748361267833</c:v>
                </c:pt>
                <c:pt idx="92">
                  <c:v>-7.2765929604656776</c:v>
                </c:pt>
                <c:pt idx="93">
                  <c:v>-5.8696437283458636</c:v>
                </c:pt>
                <c:pt idx="94">
                  <c:v>-5.8997113495991016</c:v>
                </c:pt>
                <c:pt idx="95">
                  <c:v>-6.2256353673717513</c:v>
                </c:pt>
                <c:pt idx="96">
                  <c:v>-6.449158914989539</c:v>
                </c:pt>
                <c:pt idx="97">
                  <c:v>-5.808655696483811</c:v>
                </c:pt>
                <c:pt idx="98">
                  <c:v>-5.8992849584456053</c:v>
                </c:pt>
                <c:pt idx="100">
                  <c:v>-6.6060221207067116</c:v>
                </c:pt>
                <c:pt idx="101">
                  <c:v>-6.5153928587164955</c:v>
                </c:pt>
                <c:pt idx="102">
                  <c:v>-5.977716508539288</c:v>
                </c:pt>
                <c:pt idx="103">
                  <c:v>-5.6334960847834736</c:v>
                </c:pt>
                <c:pt idx="104">
                  <c:v>-6.8173481603821529</c:v>
                </c:pt>
                <c:pt idx="105">
                  <c:v>-6.1106109981494683</c:v>
                </c:pt>
                <c:pt idx="106">
                  <c:v>-7.1254021632682907</c:v>
                </c:pt>
                <c:pt idx="107">
                  <c:v>-6.3581032618742483</c:v>
                </c:pt>
                <c:pt idx="108">
                  <c:v>-6.8173481603821529</c:v>
                </c:pt>
                <c:pt idx="109">
                  <c:v>-6.5393616803248733</c:v>
                </c:pt>
                <c:pt idx="110">
                  <c:v>-6.1398256331983703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Déplacements!$O$9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Déplacements!$O$10:$O$200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-0.5376764556785929</c:v>
                </c:pt>
                <c:pt idx="2">
                  <c:v>-0.57994168329855711</c:v>
                </c:pt>
                <c:pt idx="3">
                  <c:v>-0.5315776489851487</c:v>
                </c:pt>
                <c:pt idx="4">
                  <c:v>-1.0086924638983419</c:v>
                </c:pt>
                <c:pt idx="5">
                  <c:v>0.32635040889772426</c:v>
                </c:pt>
                <c:pt idx="6">
                  <c:v>-2.3986646198466133</c:v>
                </c:pt>
                <c:pt idx="7">
                  <c:v>-3.7885646198390077</c:v>
                </c:pt>
                <c:pt idx="8">
                  <c:v>-4.2111646198463859</c:v>
                </c:pt>
                <c:pt idx="9">
                  <c:v>-4.3806646198447652</c:v>
                </c:pt>
                <c:pt idx="10">
                  <c:v>-3.5349646198312712</c:v>
                </c:pt>
                <c:pt idx="11">
                  <c:v>-3.365904580419965</c:v>
                </c:pt>
                <c:pt idx="12">
                  <c:v>-3.9698149798255145</c:v>
                </c:pt>
                <c:pt idx="13">
                  <c:v>-3.0090646198459581</c:v>
                </c:pt>
                <c:pt idx="14">
                  <c:v>-2.4713837034653352</c:v>
                </c:pt>
                <c:pt idx="15">
                  <c:v>-2.1088669720654707</c:v>
                </c:pt>
                <c:pt idx="16">
                  <c:v>-2.6831362397672365</c:v>
                </c:pt>
                <c:pt idx="17">
                  <c:v>-3.6914022070391184</c:v>
                </c:pt>
                <c:pt idx="18">
                  <c:v>-3.2025646198405866</c:v>
                </c:pt>
                <c:pt idx="19">
                  <c:v>-3.8970558382231957</c:v>
                </c:pt>
                <c:pt idx="20">
                  <c:v>-3.8970558382231957</c:v>
                </c:pt>
                <c:pt idx="21">
                  <c:v>-2.4530646198570594</c:v>
                </c:pt>
                <c:pt idx="22">
                  <c:v>-3.812564619835257</c:v>
                </c:pt>
                <c:pt idx="23">
                  <c:v>-3.8360646198327686</c:v>
                </c:pt>
                <c:pt idx="24">
                  <c:v>-2.713864619835249</c:v>
                </c:pt>
                <c:pt idx="25">
                  <c:v>-3.1138646198485276</c:v>
                </c:pt>
                <c:pt idx="26">
                  <c:v>-3.9138646198466631</c:v>
                </c:pt>
                <c:pt idx="27">
                  <c:v>-3.8138646198433435</c:v>
                </c:pt>
                <c:pt idx="28">
                  <c:v>-3.8138646198433435</c:v>
                </c:pt>
                <c:pt idx="29">
                  <c:v>-4.0138646198499828</c:v>
                </c:pt>
                <c:pt idx="30">
                  <c:v>-3.6138646198367042</c:v>
                </c:pt>
                <c:pt idx="31">
                  <c:v>-3.4138646198584865</c:v>
                </c:pt>
                <c:pt idx="32">
                  <c:v>-3.9138646198466631</c:v>
                </c:pt>
                <c:pt idx="33">
                  <c:v>-3.7138646198400238</c:v>
                </c:pt>
                <c:pt idx="34">
                  <c:v>-5.1138646198580773</c:v>
                </c:pt>
                <c:pt idx="35">
                  <c:v>-4.4138646198348397</c:v>
                </c:pt>
                <c:pt idx="36">
                  <c:v>-4.613864619841479</c:v>
                </c:pt>
                <c:pt idx="37">
                  <c:v>-4.913864619851438</c:v>
                </c:pt>
                <c:pt idx="38">
                  <c:v>-4.3151230280784603</c:v>
                </c:pt>
                <c:pt idx="39">
                  <c:v>-3.6637939101353822</c:v>
                </c:pt>
                <c:pt idx="40">
                  <c:v>-4.2478014599112157</c:v>
                </c:pt>
                <c:pt idx="42">
                  <c:v>-4.2900666875027582</c:v>
                </c:pt>
                <c:pt idx="43">
                  <c:v>-4.613864619841479</c:v>
                </c:pt>
                <c:pt idx="44">
                  <c:v>-4.3323318166983427</c:v>
                </c:pt>
                <c:pt idx="45">
                  <c:v>-4.4530286999417967</c:v>
                </c:pt>
                <c:pt idx="46">
                  <c:v>-4.5138646198381593</c:v>
                </c:pt>
                <c:pt idx="47">
                  <c:v>-4.7138646198447987</c:v>
                </c:pt>
                <c:pt idx="48">
                  <c:v>-4.8138646198481183</c:v>
                </c:pt>
                <c:pt idx="49">
                  <c:v>-4.8138646198481183</c:v>
                </c:pt>
                <c:pt idx="50">
                  <c:v>-4.8138646198481183</c:v>
                </c:pt>
                <c:pt idx="51">
                  <c:v>-4.4138646198348397</c:v>
                </c:pt>
                <c:pt idx="52">
                  <c:v>-5.3138646198362949</c:v>
                </c:pt>
                <c:pt idx="53">
                  <c:v>-4.8138646198481183</c:v>
                </c:pt>
                <c:pt idx="54">
                  <c:v>-4.5138646198381593</c:v>
                </c:pt>
                <c:pt idx="55">
                  <c:v>-4.913864619851438</c:v>
                </c:pt>
                <c:pt idx="56">
                  <c:v>-5.0138646198547576</c:v>
                </c:pt>
                <c:pt idx="57">
                  <c:v>-5.2138646198329752</c:v>
                </c:pt>
                <c:pt idx="58">
                  <c:v>-5.0138646198547576</c:v>
                </c:pt>
                <c:pt idx="59">
                  <c:v>-5.4138646198396145</c:v>
                </c:pt>
                <c:pt idx="60">
                  <c:v>-5.5138646198429342</c:v>
                </c:pt>
                <c:pt idx="61">
                  <c:v>-5.0138646198547576</c:v>
                </c:pt>
                <c:pt idx="62">
                  <c:v>-5.1138646198580773</c:v>
                </c:pt>
                <c:pt idx="63">
                  <c:v>-4.913864619851438</c:v>
                </c:pt>
                <c:pt idx="64">
                  <c:v>-5.2869879361878702</c:v>
                </c:pt>
                <c:pt idx="65">
                  <c:v>-5.1138646198580773</c:v>
                </c:pt>
                <c:pt idx="66">
                  <c:v>-4.613864619841479</c:v>
                </c:pt>
                <c:pt idx="67">
                  <c:v>-5.1138646198580773</c:v>
                </c:pt>
                <c:pt idx="68">
                  <c:v>-5.9138646198562128</c:v>
                </c:pt>
                <c:pt idx="69">
                  <c:v>-4.9484399208949981</c:v>
                </c:pt>
                <c:pt idx="70">
                  <c:v>-5.2930867429097361</c:v>
                </c:pt>
                <c:pt idx="71">
                  <c:v>-5.6429794767893782</c:v>
                </c:pt>
                <c:pt idx="72">
                  <c:v>-5.1780622681860677</c:v>
                </c:pt>
                <c:pt idx="73">
                  <c:v>-5.4922151762184512</c:v>
                </c:pt>
                <c:pt idx="74">
                  <c:v>-5.3532219853877905</c:v>
                </c:pt>
                <c:pt idx="75">
                  <c:v>-5.7819726675916172</c:v>
                </c:pt>
                <c:pt idx="76">
                  <c:v>-5.2564939237811359</c:v>
                </c:pt>
                <c:pt idx="77">
                  <c:v>-5.8847995359201377</c:v>
                </c:pt>
                <c:pt idx="78">
                  <c:v>-4.779379108839521</c:v>
                </c:pt>
                <c:pt idx="81">
                  <c:v>-6.211149944817862</c:v>
                </c:pt>
                <c:pt idx="83">
                  <c:v>-6.211149944817862</c:v>
                </c:pt>
                <c:pt idx="85">
                  <c:v>-5.3111499448164068</c:v>
                </c:pt>
                <c:pt idx="86">
                  <c:v>-6.3210532962898469</c:v>
                </c:pt>
                <c:pt idx="87">
                  <c:v>-4.8653137442045136</c:v>
                </c:pt>
                <c:pt idx="88">
                  <c:v>-5.3729224731000613</c:v>
                </c:pt>
                <c:pt idx="89">
                  <c:v>-5.611149944797944</c:v>
                </c:pt>
                <c:pt idx="90">
                  <c:v>-5.8561360877149582</c:v>
                </c:pt>
                <c:pt idx="91">
                  <c:v>-5.6687789680438527</c:v>
                </c:pt>
                <c:pt idx="92">
                  <c:v>-6.1214984718276355</c:v>
                </c:pt>
                <c:pt idx="93">
                  <c:v>-5.1132326029517117</c:v>
                </c:pt>
                <c:pt idx="94">
                  <c:v>-5.318459737509329</c:v>
                </c:pt>
                <c:pt idx="95">
                  <c:v>-5.4753228448021218</c:v>
                </c:pt>
                <c:pt idx="96">
                  <c:v>-5.880104909323336</c:v>
                </c:pt>
                <c:pt idx="97">
                  <c:v>-5.4992917648064576</c:v>
                </c:pt>
                <c:pt idx="98">
                  <c:v>-5.3241320476047349</c:v>
                </c:pt>
                <c:pt idx="99">
                  <c:v>-6.308855689894699</c:v>
                </c:pt>
                <c:pt idx="100">
                  <c:v>-5.9162713372984399</c:v>
                </c:pt>
                <c:pt idx="101">
                  <c:v>-5.8256420753082239</c:v>
                </c:pt>
                <c:pt idx="102">
                  <c:v>-5.55375450039719</c:v>
                </c:pt>
                <c:pt idx="103">
                  <c:v>-5.0221768514688847</c:v>
                </c:pt>
                <c:pt idx="104">
                  <c:v>-5.9585365649184041</c:v>
                </c:pt>
                <c:pt idx="105">
                  <c:v>-5.2818668199847707</c:v>
                </c:pt>
                <c:pt idx="106">
                  <c:v>-5.1851388568024959</c:v>
                </c:pt>
                <c:pt idx="107">
                  <c:v>-5.5476556936753241</c:v>
                </c:pt>
                <c:pt idx="108">
                  <c:v>-4.877084853916358</c:v>
                </c:pt>
                <c:pt idx="109">
                  <c:v>-4.5629320513569382</c:v>
                </c:pt>
                <c:pt idx="110">
                  <c:v>-5.4147613095949509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Déplacements!$AA$9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Déplacements!$AA$10:$AA$200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0.23572115404135729</c:v>
                </c:pt>
                <c:pt idx="2">
                  <c:v>6.098806750287622E-3</c:v>
                </c:pt>
                <c:pt idx="3">
                  <c:v>-0.17515961167191563</c:v>
                </c:pt>
                <c:pt idx="4">
                  <c:v>-0.48321361458647516</c:v>
                </c:pt>
                <c:pt idx="5">
                  <c:v>0.3315963278680556</c:v>
                </c:pt>
                <c:pt idx="6">
                  <c:v>-2.417774727973665</c:v>
                </c:pt>
                <c:pt idx="7">
                  <c:v>-3.3240747279705829</c:v>
                </c:pt>
                <c:pt idx="8">
                  <c:v>-3.3240747279705829</c:v>
                </c:pt>
                <c:pt idx="9">
                  <c:v>-3.4451747279717893</c:v>
                </c:pt>
                <c:pt idx="10">
                  <c:v>-2.9981747279634874</c:v>
                </c:pt>
                <c:pt idx="11">
                  <c:v>-2.9014138613661089</c:v>
                </c:pt>
                <c:pt idx="12">
                  <c:v>-3.535818273149971</c:v>
                </c:pt>
                <c:pt idx="13">
                  <c:v>-2.8652747279807045</c:v>
                </c:pt>
                <c:pt idx="14">
                  <c:v>-2.8713462401412926</c:v>
                </c:pt>
                <c:pt idx="15">
                  <c:v>-1.7837958349957717</c:v>
                </c:pt>
                <c:pt idx="16">
                  <c:v>-2.2857322538243352</c:v>
                </c:pt>
                <c:pt idx="17">
                  <c:v>-3.8316746696693826</c:v>
                </c:pt>
                <c:pt idx="18">
                  <c:v>-3.2582747279832347</c:v>
                </c:pt>
                <c:pt idx="19">
                  <c:v>-4.097889941590438</c:v>
                </c:pt>
                <c:pt idx="20">
                  <c:v>-4.097889941590438</c:v>
                </c:pt>
                <c:pt idx="21">
                  <c:v>-3.0586747279812698</c:v>
                </c:pt>
                <c:pt idx="22">
                  <c:v>-4.2791747279693482</c:v>
                </c:pt>
                <c:pt idx="23">
                  <c:v>-5.3963747279794916</c:v>
                </c:pt>
                <c:pt idx="24">
                  <c:v>-3.020274727987271</c:v>
                </c:pt>
                <c:pt idx="25">
                  <c:v>-3.2202747279654886</c:v>
                </c:pt>
                <c:pt idx="26">
                  <c:v>-4.5202747279802225</c:v>
                </c:pt>
                <c:pt idx="27">
                  <c:v>-4.7202747279868618</c:v>
                </c:pt>
                <c:pt idx="28">
                  <c:v>-4.3202747279735831</c:v>
                </c:pt>
                <c:pt idx="29">
                  <c:v>-4.3202747279735831</c:v>
                </c:pt>
                <c:pt idx="30">
                  <c:v>-4.1202747279669438</c:v>
                </c:pt>
                <c:pt idx="31">
                  <c:v>-4.0202747279636242</c:v>
                </c:pt>
                <c:pt idx="32">
                  <c:v>-4.5202747279802225</c:v>
                </c:pt>
                <c:pt idx="33">
                  <c:v>-4.8202747279901814</c:v>
                </c:pt>
                <c:pt idx="34">
                  <c:v>-5.4202747279816776</c:v>
                </c:pt>
                <c:pt idx="35">
                  <c:v>-4.8202747279901814</c:v>
                </c:pt>
                <c:pt idx="36">
                  <c:v>-4.9202747279650794</c:v>
                </c:pt>
                <c:pt idx="37">
                  <c:v>-5.320274727978358</c:v>
                </c:pt>
                <c:pt idx="38">
                  <c:v>-4.5715075756618262</c:v>
                </c:pt>
                <c:pt idx="40">
                  <c:v>-4.5030983972367267</c:v>
                </c:pt>
                <c:pt idx="41">
                  <c:v>-4.4425367564997487</c:v>
                </c:pt>
                <c:pt idx="42">
                  <c:v>-4.7749859721193388</c:v>
                </c:pt>
                <c:pt idx="43">
                  <c:v>-5.020274727968399</c:v>
                </c:pt>
                <c:pt idx="44">
                  <c:v>-4.7266220432788941</c:v>
                </c:pt>
                <c:pt idx="46">
                  <c:v>-4.9202747279650794</c:v>
                </c:pt>
                <c:pt idx="47">
                  <c:v>-5.1202747279717187</c:v>
                </c:pt>
                <c:pt idx="48">
                  <c:v>-5.020274727968399</c:v>
                </c:pt>
                <c:pt idx="49">
                  <c:v>-5.2202747279750383</c:v>
                </c:pt>
                <c:pt idx="50">
                  <c:v>-5.1202747279717187</c:v>
                </c:pt>
                <c:pt idx="51">
                  <c:v>-4.6202747279835421</c:v>
                </c:pt>
                <c:pt idx="52">
                  <c:v>-5.620274727988317</c:v>
                </c:pt>
                <c:pt idx="53">
                  <c:v>-5.2202747279750383</c:v>
                </c:pt>
                <c:pt idx="54">
                  <c:v>-4.9202747279650794</c:v>
                </c:pt>
                <c:pt idx="55">
                  <c:v>-5.1202747279717187</c:v>
                </c:pt>
                <c:pt idx="56">
                  <c:v>-5.2202747279750383</c:v>
                </c:pt>
                <c:pt idx="57">
                  <c:v>-5.9202747279698542</c:v>
                </c:pt>
                <c:pt idx="58">
                  <c:v>-5.2202747279750383</c:v>
                </c:pt>
                <c:pt idx="59">
                  <c:v>-5.4202747279816776</c:v>
                </c:pt>
                <c:pt idx="60">
                  <c:v>-5.620274727988317</c:v>
                </c:pt>
                <c:pt idx="61">
                  <c:v>-5.1202747279717187</c:v>
                </c:pt>
                <c:pt idx="62">
                  <c:v>-5.020274727968399</c:v>
                </c:pt>
                <c:pt idx="64">
                  <c:v>-4.7810847717641991</c:v>
                </c:pt>
                <c:pt idx="66">
                  <c:v>-4.5202747279802225</c:v>
                </c:pt>
                <c:pt idx="67">
                  <c:v>-5.020274727968399</c:v>
                </c:pt>
                <c:pt idx="68">
                  <c:v>-6.0202747279731739</c:v>
                </c:pt>
                <c:pt idx="69">
                  <c:v>-4.9745407965815502</c:v>
                </c:pt>
                <c:pt idx="70">
                  <c:v>-4.9383743757118737</c:v>
                </c:pt>
                <c:pt idx="71">
                  <c:v>-6.0193996884549961</c:v>
                </c:pt>
                <c:pt idx="72">
                  <c:v>-5.4154892890778683</c:v>
                </c:pt>
                <c:pt idx="73">
                  <c:v>-5.8625364827946669</c:v>
                </c:pt>
                <c:pt idx="74">
                  <c:v>-5.8141724484244151</c:v>
                </c:pt>
                <c:pt idx="75">
                  <c:v>-6.2429233345255852</c:v>
                </c:pt>
                <c:pt idx="76">
                  <c:v>-5.4939207407471713</c:v>
                </c:pt>
                <c:pt idx="77">
                  <c:v>-6.0376959960990462</c:v>
                </c:pt>
                <c:pt idx="78">
                  <c:v>-5.2102619506229075</c:v>
                </c:pt>
                <c:pt idx="81">
                  <c:v>-6.7566308631228367</c:v>
                </c:pt>
                <c:pt idx="83">
                  <c:v>-6.7566308631228367</c:v>
                </c:pt>
                <c:pt idx="85">
                  <c:v>-5.5566308631114225</c:v>
                </c:pt>
                <c:pt idx="86">
                  <c:v>-6.0496721871459158</c:v>
                </c:pt>
                <c:pt idx="87">
                  <c:v>-5.1494789016715004</c:v>
                </c:pt>
                <c:pt idx="88">
                  <c:v>-5.6509890277709474</c:v>
                </c:pt>
                <c:pt idx="89">
                  <c:v>-6.2566308631062384</c:v>
                </c:pt>
                <c:pt idx="90">
                  <c:v>-5.8383461474420528</c:v>
                </c:pt>
                <c:pt idx="91">
                  <c:v>-6.732014136645148</c:v>
                </c:pt>
                <c:pt idx="93">
                  <c:v>-4.920282945533927</c:v>
                </c:pt>
                <c:pt idx="94">
                  <c:v>-4.8536225051520887</c:v>
                </c:pt>
                <c:pt idx="95">
                  <c:v>-5.3730025477136678</c:v>
                </c:pt>
                <c:pt idx="99">
                  <c:v>-5.8623149690504306</c:v>
                </c:pt>
                <c:pt idx="100">
                  <c:v>-5.9712405315508477</c:v>
                </c:pt>
                <c:pt idx="101">
                  <c:v>-5.8322473407486086</c:v>
                </c:pt>
                <c:pt idx="102">
                  <c:v>-5.5058969318224626</c:v>
                </c:pt>
                <c:pt idx="105">
                  <c:v>-4.9682204832492971</c:v>
                </c:pt>
                <c:pt idx="106">
                  <c:v>-5.9952093531592254</c:v>
                </c:pt>
                <c:pt idx="107">
                  <c:v>-5.590427288666433</c:v>
                </c:pt>
                <c:pt idx="108">
                  <c:v>-5.6448901226531234</c:v>
                </c:pt>
                <c:pt idx="109">
                  <c:v>-5.5481621594424269</c:v>
                </c:pt>
                <c:pt idx="110">
                  <c:v>-6.7633610368034169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Déplacements!$K$9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-9.0629261961794327E-2</c:v>
                </c:pt>
                <c:pt idx="2">
                  <c:v>-0.48321362169190252</c:v>
                </c:pt>
                <c:pt idx="3">
                  <c:v>-0.52547884928344502</c:v>
                </c:pt>
                <c:pt idx="4">
                  <c:v>-1.5642389344634466</c:v>
                </c:pt>
                <c:pt idx="5">
                  <c:v>-0.16210912463066052</c:v>
                </c:pt>
                <c:pt idx="6">
                  <c:v>-2.8322418708626174</c:v>
                </c:pt>
                <c:pt idx="7">
                  <c:v>-4.64474187086239</c:v>
                </c:pt>
                <c:pt idx="8">
                  <c:v>-5.0674418708638314</c:v>
                </c:pt>
                <c:pt idx="9">
                  <c:v>-5.2970418708753186</c:v>
                </c:pt>
                <c:pt idx="10">
                  <c:v>-4.8199418708634312</c:v>
                </c:pt>
                <c:pt idx="11">
                  <c:v>-5.0674310355987018</c:v>
                </c:pt>
                <c:pt idx="12">
                  <c:v>-4.9463077612585948</c:v>
                </c:pt>
                <c:pt idx="13">
                  <c:v>-3.629141870874264</c:v>
                </c:pt>
                <c:pt idx="14">
                  <c:v>-2.9524652639167925</c:v>
                </c:pt>
                <c:pt idx="15">
                  <c:v>-2.5533556079153641</c:v>
                </c:pt>
                <c:pt idx="16">
                  <c:v>-3.5446044480806904</c:v>
                </c:pt>
                <c:pt idx="17">
                  <c:v>-3.8278368470514579</c:v>
                </c:pt>
                <c:pt idx="18">
                  <c:v>-3.7738418708670451</c:v>
                </c:pt>
                <c:pt idx="19">
                  <c:v>-3.9668301363064984</c:v>
                </c:pt>
                <c:pt idx="20">
                  <c:v>-3.9668301363064984</c:v>
                </c:pt>
                <c:pt idx="21">
                  <c:v>-2.8309418708829526</c:v>
                </c:pt>
                <c:pt idx="22">
                  <c:v>-4.5528418708613572</c:v>
                </c:pt>
                <c:pt idx="25">
                  <c:v>-3.8552418708661662</c:v>
                </c:pt>
                <c:pt idx="26">
                  <c:v>-4.4552418708576624</c:v>
                </c:pt>
                <c:pt idx="27">
                  <c:v>-4.0552418708728055</c:v>
                </c:pt>
                <c:pt idx="28">
                  <c:v>-4.3552418708827645</c:v>
                </c:pt>
                <c:pt idx="29">
                  <c:v>-4.6552418708643017</c:v>
                </c:pt>
                <c:pt idx="30">
                  <c:v>-3.9552418708694859</c:v>
                </c:pt>
                <c:pt idx="31">
                  <c:v>-3.9552418708694859</c:v>
                </c:pt>
                <c:pt idx="32">
                  <c:v>-4.4552418708576624</c:v>
                </c:pt>
                <c:pt idx="34">
                  <c:v>-5.5552418708657569</c:v>
                </c:pt>
                <c:pt idx="35">
                  <c:v>-5.1552418708809</c:v>
                </c:pt>
                <c:pt idx="36">
                  <c:v>-4.8552418708709411</c:v>
                </c:pt>
                <c:pt idx="37">
                  <c:v>-5.4552418708624373</c:v>
                </c:pt>
                <c:pt idx="38">
                  <c:v>-4.4537543804779034</c:v>
                </c:pt>
                <c:pt idx="39">
                  <c:v>-4.5593461546786784</c:v>
                </c:pt>
                <c:pt idx="40">
                  <c:v>-4.6853385137808345</c:v>
                </c:pt>
                <c:pt idx="42">
                  <c:v>-5.0779229719069008</c:v>
                </c:pt>
                <c:pt idx="43">
                  <c:v>-5.3552418708591176</c:v>
                </c:pt>
                <c:pt idx="44">
                  <c:v>-4.9872937099451065</c:v>
                </c:pt>
                <c:pt idx="45">
                  <c:v>-4.7999364918496212</c:v>
                </c:pt>
                <c:pt idx="46">
                  <c:v>-4.8552418708709411</c:v>
                </c:pt>
                <c:pt idx="47">
                  <c:v>-5.1552418708809</c:v>
                </c:pt>
                <c:pt idx="48">
                  <c:v>-5.255241870855798</c:v>
                </c:pt>
                <c:pt idx="49">
                  <c:v>-5.3552418708591176</c:v>
                </c:pt>
                <c:pt idx="50">
                  <c:v>-5.0552418708775804</c:v>
                </c:pt>
                <c:pt idx="51">
                  <c:v>-5.1552418708809</c:v>
                </c:pt>
                <c:pt idx="54">
                  <c:v>-5.3552418708591176</c:v>
                </c:pt>
                <c:pt idx="55">
                  <c:v>-5.3552418708591176</c:v>
                </c:pt>
                <c:pt idx="56">
                  <c:v>-5.3552418708591176</c:v>
                </c:pt>
                <c:pt idx="58">
                  <c:v>-5.5552418708657569</c:v>
                </c:pt>
                <c:pt idx="59">
                  <c:v>-5.9552418708790356</c:v>
                </c:pt>
                <c:pt idx="60">
                  <c:v>-6.0552418708823552</c:v>
                </c:pt>
                <c:pt idx="61">
                  <c:v>-5.4552418708624373</c:v>
                </c:pt>
                <c:pt idx="62">
                  <c:v>-5.4552418708624373</c:v>
                </c:pt>
                <c:pt idx="64">
                  <c:v>-6.1833432935145538</c:v>
                </c:pt>
                <c:pt idx="81">
                  <c:v>-6.7384633729261623</c:v>
                </c:pt>
                <c:pt idx="83">
                  <c:v>-6.7384633729261623</c:v>
                </c:pt>
                <c:pt idx="85">
                  <c:v>-5.5384633729147481</c:v>
                </c:pt>
                <c:pt idx="86">
                  <c:v>-6.1833052913016218</c:v>
                </c:pt>
                <c:pt idx="87">
                  <c:v>-5.7789497234637111</c:v>
                </c:pt>
                <c:pt idx="88">
                  <c:v>-6.5462486248577534</c:v>
                </c:pt>
                <c:pt idx="89">
                  <c:v>-7.0384633729076995</c:v>
                </c:pt>
                <c:pt idx="90">
                  <c:v>-6.5824149473030502</c:v>
                </c:pt>
                <c:pt idx="91">
                  <c:v>-5.814689753208313</c:v>
                </c:pt>
                <c:pt idx="92">
                  <c:v>-7.4760830420075308</c:v>
                </c:pt>
                <c:pt idx="94">
                  <c:v>-5.8935477999568775</c:v>
                </c:pt>
                <c:pt idx="95">
                  <c:v>-6.3101008757655563</c:v>
                </c:pt>
                <c:pt idx="96">
                  <c:v>-5.9959481716305163</c:v>
                </c:pt>
                <c:pt idx="97">
                  <c:v>-6.3763349249938983</c:v>
                </c:pt>
                <c:pt idx="98">
                  <c:v>-6.3340696973739341</c:v>
                </c:pt>
                <c:pt idx="99">
                  <c:v>-6.9140113735670639</c:v>
                </c:pt>
                <c:pt idx="100">
                  <c:v>-6.9985417304110342</c:v>
                </c:pt>
                <c:pt idx="101">
                  <c:v>-6.7266541555000003</c:v>
                </c:pt>
                <c:pt idx="102">
                  <c:v>-6.7750180843404451</c:v>
                </c:pt>
                <c:pt idx="103">
                  <c:v>-6.0260156944877963</c:v>
                </c:pt>
                <c:pt idx="104">
                  <c:v>-7.1192386136260666</c:v>
                </c:pt>
                <c:pt idx="105">
                  <c:v>-6.5453957370493754</c:v>
                </c:pt>
                <c:pt idx="106">
                  <c:v>-7.5118229733561748</c:v>
                </c:pt>
                <c:pt idx="107">
                  <c:v>-7.4150950101454782</c:v>
                </c:pt>
                <c:pt idx="108">
                  <c:v>-7.0286093516358505</c:v>
                </c:pt>
                <c:pt idx="109">
                  <c:v>-6.5270993310377889</c:v>
                </c:pt>
                <c:pt idx="110">
                  <c:v>-8.1933122389443724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Déplacements!$S$9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Déplacements!$S$10:$S$200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-0.13289448958175853</c:v>
                </c:pt>
                <c:pt idx="2">
                  <c:v>-0.13289448958175853</c:v>
                </c:pt>
                <c:pt idx="3">
                  <c:v>-0.26578887369055337</c:v>
                </c:pt>
                <c:pt idx="4">
                  <c:v>-0.3986833632438902</c:v>
                </c:pt>
                <c:pt idx="5">
                  <c:v>1.1354879428324693</c:v>
                </c:pt>
                <c:pt idx="6">
                  <c:v>-1.3659418723648287</c:v>
                </c:pt>
                <c:pt idx="7">
                  <c:v>-1.8496418723543684</c:v>
                </c:pt>
                <c:pt idx="8">
                  <c:v>-1.8496418723543684</c:v>
                </c:pt>
                <c:pt idx="9">
                  <c:v>-2.5868418723575815</c:v>
                </c:pt>
                <c:pt idx="10">
                  <c:v>-2.1397418723552164</c:v>
                </c:pt>
                <c:pt idx="11">
                  <c:v>-2.333243400386209</c:v>
                </c:pt>
                <c:pt idx="12">
                  <c:v>-2.5746370613148883</c:v>
                </c:pt>
                <c:pt idx="13">
                  <c:v>-1.7711418723536099</c:v>
                </c:pt>
                <c:pt idx="14">
                  <c:v>-1.9162638279510702</c:v>
                </c:pt>
                <c:pt idx="15">
                  <c:v>-0.78644819518558506</c:v>
                </c:pt>
                <c:pt idx="16">
                  <c:v>-1.4212789980945217</c:v>
                </c:pt>
                <c:pt idx="17">
                  <c:v>-2.4657113933699293</c:v>
                </c:pt>
                <c:pt idx="18">
                  <c:v>-1.8500418723590428</c:v>
                </c:pt>
                <c:pt idx="19">
                  <c:v>-2.4600390832461017</c:v>
                </c:pt>
                <c:pt idx="20">
                  <c:v>-2.4600390832461017</c:v>
                </c:pt>
                <c:pt idx="21">
                  <c:v>-1.1550418723800249</c:v>
                </c:pt>
                <c:pt idx="22">
                  <c:v>-2.3332418723782666</c:v>
                </c:pt>
                <c:pt idx="23">
                  <c:v>-3.2630418723726962</c:v>
                </c:pt>
                <c:pt idx="24">
                  <c:v>-1.1943418723774357</c:v>
                </c:pt>
                <c:pt idx="25">
                  <c:v>-1.2943418723523337</c:v>
                </c:pt>
                <c:pt idx="26">
                  <c:v>-2.5943418723670675</c:v>
                </c:pt>
                <c:pt idx="27">
                  <c:v>-2.3943418723604282</c:v>
                </c:pt>
                <c:pt idx="28">
                  <c:v>-2.2943418723571085</c:v>
                </c:pt>
                <c:pt idx="29">
                  <c:v>-2.4943418723637478</c:v>
                </c:pt>
                <c:pt idx="30">
                  <c:v>-2.0943418723788909</c:v>
                </c:pt>
                <c:pt idx="31">
                  <c:v>-2.0943418723788909</c:v>
                </c:pt>
                <c:pt idx="32">
                  <c:v>-2.2943418723571085</c:v>
                </c:pt>
                <c:pt idx="33">
                  <c:v>-2.3943418723604282</c:v>
                </c:pt>
                <c:pt idx="34">
                  <c:v>-3.394341872365203</c:v>
                </c:pt>
                <c:pt idx="35">
                  <c:v>-2.7943418723737068</c:v>
                </c:pt>
                <c:pt idx="36">
                  <c:v>-2.9943418723519244</c:v>
                </c:pt>
                <c:pt idx="37">
                  <c:v>-3.394341872365203</c:v>
                </c:pt>
                <c:pt idx="38">
                  <c:v>-2.6386742926547413</c:v>
                </c:pt>
                <c:pt idx="39">
                  <c:v>-2.1142121174193562</c:v>
                </c:pt>
                <c:pt idx="40">
                  <c:v>-2.4665642811214639</c:v>
                </c:pt>
                <c:pt idx="41">
                  <c:v>-2.3153734839524986</c:v>
                </c:pt>
                <c:pt idx="42">
                  <c:v>-2.5088295087698498</c:v>
                </c:pt>
                <c:pt idx="43">
                  <c:v>-2.8943418723770264</c:v>
                </c:pt>
                <c:pt idx="44">
                  <c:v>-2.4182002467796337</c:v>
                </c:pt>
                <c:pt idx="45">
                  <c:v>-2.5872610588635325</c:v>
                </c:pt>
                <c:pt idx="46">
                  <c:v>-2.5943418723670675</c:v>
                </c:pt>
                <c:pt idx="47">
                  <c:v>-2.8943418723770264</c:v>
                </c:pt>
                <c:pt idx="48">
                  <c:v>-2.6943418723703871</c:v>
                </c:pt>
                <c:pt idx="49">
                  <c:v>-2.8943418723770264</c:v>
                </c:pt>
                <c:pt idx="50">
                  <c:v>-2.7943418723737068</c:v>
                </c:pt>
                <c:pt idx="51">
                  <c:v>-2.3943418723604282</c:v>
                </c:pt>
                <c:pt idx="52">
                  <c:v>-3.4943418723685227</c:v>
                </c:pt>
                <c:pt idx="53">
                  <c:v>-2.9943418723519244</c:v>
                </c:pt>
                <c:pt idx="54">
                  <c:v>-2.5943418723670675</c:v>
                </c:pt>
                <c:pt idx="55">
                  <c:v>-2.8943418723770264</c:v>
                </c:pt>
                <c:pt idx="56">
                  <c:v>-2.8943418723770264</c:v>
                </c:pt>
                <c:pt idx="57">
                  <c:v>-3.5943418723718423</c:v>
                </c:pt>
                <c:pt idx="58">
                  <c:v>-3.094341872355244</c:v>
                </c:pt>
                <c:pt idx="59">
                  <c:v>-3.2943418723618834</c:v>
                </c:pt>
                <c:pt idx="60">
                  <c:v>-3.4943418723685227</c:v>
                </c:pt>
                <c:pt idx="61">
                  <c:v>-2.8943418723770264</c:v>
                </c:pt>
                <c:pt idx="62">
                  <c:v>-2.6943418723703871</c:v>
                </c:pt>
                <c:pt idx="63">
                  <c:v>-2.3943418723604282</c:v>
                </c:pt>
                <c:pt idx="64">
                  <c:v>-2.7506494624276456</c:v>
                </c:pt>
                <c:pt idx="65">
                  <c:v>-2.8943418723770264</c:v>
                </c:pt>
                <c:pt idx="66">
                  <c:v>-2.0943418723788909</c:v>
                </c:pt>
                <c:pt idx="67">
                  <c:v>-2.7943418723737068</c:v>
                </c:pt>
                <c:pt idx="68">
                  <c:v>-3.394341872365203</c:v>
                </c:pt>
                <c:pt idx="69">
                  <c:v>-2.3942315306726414</c:v>
                </c:pt>
                <c:pt idx="70">
                  <c:v>-2.6360514843304372</c:v>
                </c:pt>
                <c:pt idx="71">
                  <c:v>-3.3545599602291531</c:v>
                </c:pt>
                <c:pt idx="72">
                  <c:v>-2.6661191055836753</c:v>
                </c:pt>
                <c:pt idx="73">
                  <c:v>-3.0225371428400649</c:v>
                </c:pt>
                <c:pt idx="74">
                  <c:v>-2.9319078808782706</c:v>
                </c:pt>
                <c:pt idx="75">
                  <c:v>-3.3183935393310549</c:v>
                </c:pt>
                <c:pt idx="76">
                  <c:v>-2.7929146900191881</c:v>
                </c:pt>
                <c:pt idx="77">
                  <c:v>-3.2883259110008112</c:v>
                </c:pt>
                <c:pt idx="78">
                  <c:v>-2.0561099065332655</c:v>
                </c:pt>
                <c:pt idx="81">
                  <c:v>-3.2098943609071284</c:v>
                </c:pt>
                <c:pt idx="83">
                  <c:v>-3.2098943609071284</c:v>
                </c:pt>
                <c:pt idx="85">
                  <c:v>-2.7098943609189519</c:v>
                </c:pt>
                <c:pt idx="86">
                  <c:v>-3.2635836438430488</c:v>
                </c:pt>
                <c:pt idx="87">
                  <c:v>-2.2365948723575002</c:v>
                </c:pt>
                <c:pt idx="88">
                  <c:v>-2.1459656103672842</c:v>
                </c:pt>
                <c:pt idx="89">
                  <c:v>-2.4098943609089929</c:v>
                </c:pt>
                <c:pt idx="90">
                  <c:v>-2.4662172196485699</c:v>
                </c:pt>
                <c:pt idx="91">
                  <c:v>-3.0461587974457416</c:v>
                </c:pt>
                <c:pt idx="92">
                  <c:v>-1.3364014813816993</c:v>
                </c:pt>
                <c:pt idx="93">
                  <c:v>-1.9045719494670266</c:v>
                </c:pt>
                <c:pt idx="94">
                  <c:v>-1.4875922785790863</c:v>
                </c:pt>
                <c:pt idx="95">
                  <c:v>-1.8618803306935661</c:v>
                </c:pt>
                <c:pt idx="96">
                  <c:v>-1.9586083923002207</c:v>
                </c:pt>
                <c:pt idx="97">
                  <c:v>-2.018743536382317</c:v>
                </c:pt>
                <c:pt idx="98">
                  <c:v>-1.7952199887361076</c:v>
                </c:pt>
                <c:pt idx="99">
                  <c:v>-2.4296244005199696</c:v>
                </c:pt>
                <c:pt idx="100">
                  <c:v>-2.4540196132818437</c:v>
                </c:pt>
                <c:pt idx="101">
                  <c:v>-2.1337679056045999</c:v>
                </c:pt>
                <c:pt idx="102">
                  <c:v>-2.1699344319756619</c:v>
                </c:pt>
                <c:pt idx="103">
                  <c:v>-1.5054622934371764</c:v>
                </c:pt>
                <c:pt idx="104">
                  <c:v>-2.1337679056045999</c:v>
                </c:pt>
                <c:pt idx="105">
                  <c:v>-1.5054622934371764</c:v>
                </c:pt>
                <c:pt idx="106">
                  <c:v>-2.4779884348617998</c:v>
                </c:pt>
                <c:pt idx="107">
                  <c:v>-2.2967300164680182</c:v>
                </c:pt>
                <c:pt idx="108">
                  <c:v>-2.484087136110702</c:v>
                </c:pt>
                <c:pt idx="109">
                  <c:v>-1.8074175951028337</c:v>
                </c:pt>
                <c:pt idx="110">
                  <c:v>-1.8623067218470624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Déplacements!$G$9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-0.17515951327595758</c:v>
                </c:pt>
                <c:pt idx="2">
                  <c:v>0.21742494482168695</c:v>
                </c:pt>
                <c:pt idx="3">
                  <c:v>0.30805410131051758</c:v>
                </c:pt>
                <c:pt idx="4">
                  <c:v>-0.19912833488433535</c:v>
                </c:pt>
                <c:pt idx="5">
                  <c:v>0.59909087158871444</c:v>
                </c:pt>
                <c:pt idx="6">
                  <c:v>-1.8897291373605185</c:v>
                </c:pt>
                <c:pt idx="7">
                  <c:v>-2.7960291373574364</c:v>
                </c:pt>
                <c:pt idx="8">
                  <c:v>-3.7023291373543543</c:v>
                </c:pt>
                <c:pt idx="9">
                  <c:v>-4.2217291373560784</c:v>
                </c:pt>
                <c:pt idx="10">
                  <c:v>-3.1707291373663793</c:v>
                </c:pt>
                <c:pt idx="11">
                  <c:v>-4.1249725154273165</c:v>
                </c:pt>
                <c:pt idx="12">
                  <c:v>-3.3093096851928294</c:v>
                </c:pt>
                <c:pt idx="13">
                  <c:v>-2.2396291373638633</c:v>
                </c:pt>
                <c:pt idx="14">
                  <c:v>-1.4784290947602585</c:v>
                </c:pt>
                <c:pt idx="15">
                  <c:v>-1.0553507226802594</c:v>
                </c:pt>
                <c:pt idx="16">
                  <c:v>-2.6383123558559873</c:v>
                </c:pt>
                <c:pt idx="17">
                  <c:v>-2.3598995830695912</c:v>
                </c:pt>
                <c:pt idx="18">
                  <c:v>-2.2997291373769713</c:v>
                </c:pt>
                <c:pt idx="19">
                  <c:v>-2.323733155122909</c:v>
                </c:pt>
                <c:pt idx="20">
                  <c:v>-2.323733155122909</c:v>
                </c:pt>
                <c:pt idx="21">
                  <c:v>-1.3085291373613472</c:v>
                </c:pt>
                <c:pt idx="22">
                  <c:v>-2.4021291373799158</c:v>
                </c:pt>
                <c:pt idx="23">
                  <c:v>-1.4109291373642918</c:v>
                </c:pt>
                <c:pt idx="24">
                  <c:v>-1.5902291373777189</c:v>
                </c:pt>
                <c:pt idx="25">
                  <c:v>-1.9902291373625758</c:v>
                </c:pt>
                <c:pt idx="26">
                  <c:v>-2.590229137354072</c:v>
                </c:pt>
                <c:pt idx="27">
                  <c:v>-2.1902291373692151</c:v>
                </c:pt>
                <c:pt idx="28">
                  <c:v>-2.4902291373791741</c:v>
                </c:pt>
                <c:pt idx="29">
                  <c:v>-2.4902291373791741</c:v>
                </c:pt>
                <c:pt idx="30">
                  <c:v>-2.0902291373658954</c:v>
                </c:pt>
                <c:pt idx="31">
                  <c:v>-2.2902291373725348</c:v>
                </c:pt>
                <c:pt idx="32">
                  <c:v>-2.3902291373758544</c:v>
                </c:pt>
                <c:pt idx="33">
                  <c:v>-1.5902291373777189</c:v>
                </c:pt>
                <c:pt idx="34">
                  <c:v>-3.4902291373555272</c:v>
                </c:pt>
                <c:pt idx="35">
                  <c:v>-2.890229137364031</c:v>
                </c:pt>
                <c:pt idx="36">
                  <c:v>-3.0902291373706703</c:v>
                </c:pt>
                <c:pt idx="37">
                  <c:v>-3.3902291373806293</c:v>
                </c:pt>
                <c:pt idx="38">
                  <c:v>-2.8779079186733725</c:v>
                </c:pt>
                <c:pt idx="39">
                  <c:v>-2.4078372192093411</c:v>
                </c:pt>
                <c:pt idx="40">
                  <c:v>-2.7280887300662471</c:v>
                </c:pt>
                <c:pt idx="41">
                  <c:v>-2.6069655541220982</c:v>
                </c:pt>
                <c:pt idx="42">
                  <c:v>-3.205203545007862</c:v>
                </c:pt>
                <c:pt idx="43">
                  <c:v>-3.3902291373806293</c:v>
                </c:pt>
                <c:pt idx="44">
                  <c:v>-2.8548844129261397</c:v>
                </c:pt>
                <c:pt idx="45">
                  <c:v>-2.7459587449243372</c:v>
                </c:pt>
                <c:pt idx="46">
                  <c:v>-2.7902291373607113</c:v>
                </c:pt>
                <c:pt idx="47">
                  <c:v>-3.1902291373739899</c:v>
                </c:pt>
                <c:pt idx="48">
                  <c:v>-3.1902291373739899</c:v>
                </c:pt>
                <c:pt idx="49">
                  <c:v>-3.2902291373773096</c:v>
                </c:pt>
                <c:pt idx="50">
                  <c:v>-3.0902291373706703</c:v>
                </c:pt>
                <c:pt idx="51">
                  <c:v>-3.0902291373706703</c:v>
                </c:pt>
                <c:pt idx="52">
                  <c:v>-3.5902291373588469</c:v>
                </c:pt>
                <c:pt idx="53">
                  <c:v>-3.1902291373739899</c:v>
                </c:pt>
                <c:pt idx="54">
                  <c:v>-2.9902291373673506</c:v>
                </c:pt>
                <c:pt idx="55">
                  <c:v>-3.0902291373706703</c:v>
                </c:pt>
                <c:pt idx="56">
                  <c:v>-3.1902291373739899</c:v>
                </c:pt>
                <c:pt idx="57">
                  <c:v>-2.590229137354072</c:v>
                </c:pt>
                <c:pt idx="58">
                  <c:v>-3.1902291373739899</c:v>
                </c:pt>
                <c:pt idx="59">
                  <c:v>-3.4902291373555272</c:v>
                </c:pt>
                <c:pt idx="60">
                  <c:v>-3.5902291373588469</c:v>
                </c:pt>
                <c:pt idx="61">
                  <c:v>-3.1902291373739899</c:v>
                </c:pt>
                <c:pt idx="62">
                  <c:v>-3.0902291373706703</c:v>
                </c:pt>
                <c:pt idx="63">
                  <c:v>-3.1902291373739899</c:v>
                </c:pt>
                <c:pt idx="64">
                  <c:v>-4.087100424470691</c:v>
                </c:pt>
                <c:pt idx="65">
                  <c:v>-3.0902291373706703</c:v>
                </c:pt>
                <c:pt idx="66">
                  <c:v>-2.7902291373607113</c:v>
                </c:pt>
                <c:pt idx="67">
                  <c:v>-3.2902291373773096</c:v>
                </c:pt>
                <c:pt idx="68">
                  <c:v>-3.5902291373588469</c:v>
                </c:pt>
                <c:pt idx="69">
                  <c:v>-2.648804292192608</c:v>
                </c:pt>
                <c:pt idx="70">
                  <c:v>-3.7062872800106561</c:v>
                </c:pt>
                <c:pt idx="71">
                  <c:v>-3.2649123963608417</c:v>
                </c:pt>
                <c:pt idx="72">
                  <c:v>-3.3254739315964343</c:v>
                </c:pt>
                <c:pt idx="73">
                  <c:v>-3.4705660275449191</c:v>
                </c:pt>
                <c:pt idx="74">
                  <c:v>-3.1381168119253289</c:v>
                </c:pt>
                <c:pt idx="75">
                  <c:v>-3.6091327217206981</c:v>
                </c:pt>
                <c:pt idx="76">
                  <c:v>-2.9991235226987101</c:v>
                </c:pt>
                <c:pt idx="77">
                  <c:v>-3.5790651004958818</c:v>
                </c:pt>
                <c:pt idx="78">
                  <c:v>-2.7573035690409142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Déplacements!$W$9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Déplacements!$W$10:$W$200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-0.32025160928128571</c:v>
                </c:pt>
                <c:pt idx="2">
                  <c:v>-0.27188768041241929</c:v>
                </c:pt>
                <c:pt idx="3">
                  <c:v>-3.6166427975103943E-2</c:v>
                </c:pt>
                <c:pt idx="4">
                  <c:v>-1.3594380855579402</c:v>
                </c:pt>
                <c:pt idx="5">
                  <c:v>0.91153790563680559</c:v>
                </c:pt>
                <c:pt idx="6">
                  <c:v>-1.9040277355202306</c:v>
                </c:pt>
                <c:pt idx="7">
                  <c:v>-2.3877277355097704</c:v>
                </c:pt>
                <c:pt idx="8">
                  <c:v>-2.8103277355171485</c:v>
                </c:pt>
                <c:pt idx="9">
                  <c:v>-2.6234277355001723</c:v>
                </c:pt>
                <c:pt idx="10">
                  <c:v>-2.3092277355090118</c:v>
                </c:pt>
                <c:pt idx="11">
                  <c:v>-1.9650542534748183</c:v>
                </c:pt>
                <c:pt idx="12">
                  <c:v>-2.750223071302571</c:v>
                </c:pt>
                <c:pt idx="13">
                  <c:v>-1.8199277355108734</c:v>
                </c:pt>
                <c:pt idx="14">
                  <c:v>-2.0073193826704028</c:v>
                </c:pt>
                <c:pt idx="15">
                  <c:v>-1.2522181860674664</c:v>
                </c:pt>
                <c:pt idx="16">
                  <c:v>-1.3794401616564755</c:v>
                </c:pt>
                <c:pt idx="17">
                  <c:v>-2.8709197505918382</c:v>
                </c:pt>
                <c:pt idx="18">
                  <c:v>-1.9833277355019163</c:v>
                </c:pt>
                <c:pt idx="19">
                  <c:v>-2.9075126681448182</c:v>
                </c:pt>
                <c:pt idx="20">
                  <c:v>-2.9075126681448182</c:v>
                </c:pt>
                <c:pt idx="21">
                  <c:v>-1.6025277355140588</c:v>
                </c:pt>
                <c:pt idx="22">
                  <c:v>-2.8230277355021371</c:v>
                </c:pt>
                <c:pt idx="23">
                  <c:v>-3.9401277355182174</c:v>
                </c:pt>
                <c:pt idx="24">
                  <c:v>-1.6480277355128692</c:v>
                </c:pt>
                <c:pt idx="25">
                  <c:v>-1.8480277355195085</c:v>
                </c:pt>
                <c:pt idx="26">
                  <c:v>-3.2480277355091403</c:v>
                </c:pt>
                <c:pt idx="27">
                  <c:v>-2.9480277354991813</c:v>
                </c:pt>
                <c:pt idx="28">
                  <c:v>-3.0480277355025009</c:v>
                </c:pt>
                <c:pt idx="29">
                  <c:v>-3.1480277355058206</c:v>
                </c:pt>
                <c:pt idx="30">
                  <c:v>-2.8480277355242833</c:v>
                </c:pt>
                <c:pt idx="31">
                  <c:v>-2.5480277355143244</c:v>
                </c:pt>
                <c:pt idx="32">
                  <c:v>-3.0480277355025009</c:v>
                </c:pt>
                <c:pt idx="33">
                  <c:v>-3.3480277355124599</c:v>
                </c:pt>
                <c:pt idx="34">
                  <c:v>-4.1480277355105954</c:v>
                </c:pt>
                <c:pt idx="35">
                  <c:v>-3.5480277355190992</c:v>
                </c:pt>
                <c:pt idx="36">
                  <c:v>-3.5480277355190992</c:v>
                </c:pt>
                <c:pt idx="37">
                  <c:v>-3.9480277355039561</c:v>
                </c:pt>
                <c:pt idx="38">
                  <c:v>-3.3186777274067936</c:v>
                </c:pt>
                <c:pt idx="39">
                  <c:v>-2.4638701217440939</c:v>
                </c:pt>
                <c:pt idx="40">
                  <c:v>-3.0830986780756575</c:v>
                </c:pt>
                <c:pt idx="41">
                  <c:v>-3.1131662993288955</c:v>
                </c:pt>
                <c:pt idx="42">
                  <c:v>-3.2582582897759949</c:v>
                </c:pt>
                <c:pt idx="43">
                  <c:v>-3.5480277355190992</c:v>
                </c:pt>
                <c:pt idx="44">
                  <c:v>-3.2159930621844524</c:v>
                </c:pt>
                <c:pt idx="45">
                  <c:v>-3.3366899453994847</c:v>
                </c:pt>
                <c:pt idx="46">
                  <c:v>-3.3480277355124599</c:v>
                </c:pt>
                <c:pt idx="47">
                  <c:v>-3.6480277355224189</c:v>
                </c:pt>
                <c:pt idx="48">
                  <c:v>-3.3480277355124599</c:v>
                </c:pt>
                <c:pt idx="49">
                  <c:v>-3.6480277355224189</c:v>
                </c:pt>
                <c:pt idx="50">
                  <c:v>-3.6480277355224189</c:v>
                </c:pt>
                <c:pt idx="51">
                  <c:v>-3.2480277355091403</c:v>
                </c:pt>
                <c:pt idx="52">
                  <c:v>-4.2480277355139151</c:v>
                </c:pt>
                <c:pt idx="53">
                  <c:v>-3.7480277354973168</c:v>
                </c:pt>
                <c:pt idx="54">
                  <c:v>-3.3480277355124599</c:v>
                </c:pt>
                <c:pt idx="55">
                  <c:v>-3.3480277355124599</c:v>
                </c:pt>
                <c:pt idx="56">
                  <c:v>-3.7480277354973168</c:v>
                </c:pt>
                <c:pt idx="57">
                  <c:v>-4.5480277355238741</c:v>
                </c:pt>
                <c:pt idx="58">
                  <c:v>-3.4480277355157796</c:v>
                </c:pt>
                <c:pt idx="59">
                  <c:v>-3.8480277355006365</c:v>
                </c:pt>
                <c:pt idx="60">
                  <c:v>-4.2480277355139151</c:v>
                </c:pt>
                <c:pt idx="61">
                  <c:v>-3.6480277355224189</c:v>
                </c:pt>
                <c:pt idx="66">
                  <c:v>-2.9480277354991813</c:v>
                </c:pt>
                <c:pt idx="67">
                  <c:v>-3.6480277355224189</c:v>
                </c:pt>
                <c:pt idx="68">
                  <c:v>-4.4480277355205544</c:v>
                </c:pt>
                <c:pt idx="69">
                  <c:v>-3.2765547028930087</c:v>
                </c:pt>
                <c:pt idx="70">
                  <c:v>-3.5545410774204811</c:v>
                </c:pt>
                <c:pt idx="71">
                  <c:v>-4.412042744121436</c:v>
                </c:pt>
                <c:pt idx="72">
                  <c:v>-3.7597683174794838</c:v>
                </c:pt>
                <c:pt idx="73">
                  <c:v>-4.0739211199820602</c:v>
                </c:pt>
                <c:pt idx="74">
                  <c:v>-3.983291963550073</c:v>
                </c:pt>
                <c:pt idx="75">
                  <c:v>-4.4543078733454422</c:v>
                </c:pt>
                <c:pt idx="76">
                  <c:v>-3.9771930584038273</c:v>
                </c:pt>
                <c:pt idx="77">
                  <c:v>-4.4242403505450056</c:v>
                </c:pt>
                <c:pt idx="78">
                  <c:v>-3.3310174313783136</c:v>
                </c:pt>
                <c:pt idx="81">
                  <c:v>-4.7867571874178338</c:v>
                </c:pt>
                <c:pt idx="83">
                  <c:v>-4.7867571874178338</c:v>
                </c:pt>
                <c:pt idx="85">
                  <c:v>-3.4867571874031</c:v>
                </c:pt>
                <c:pt idx="86">
                  <c:v>-4.4479606034713015</c:v>
                </c:pt>
                <c:pt idx="87">
                  <c:v>-2.7804685150556452</c:v>
                </c:pt>
                <c:pt idx="88">
                  <c:v>-3.9102840493683289</c:v>
                </c:pt>
                <c:pt idx="89">
                  <c:v>-3.9867571874196983</c:v>
                </c:pt>
                <c:pt idx="90">
                  <c:v>-3.5176996896666424</c:v>
                </c:pt>
                <c:pt idx="91">
                  <c:v>-4.2305357570739943</c:v>
                </c:pt>
                <c:pt idx="92">
                  <c:v>-2.2310208512408281</c:v>
                </c:pt>
                <c:pt idx="93">
                  <c:v>-3.3669353891241371</c:v>
                </c:pt>
                <c:pt idx="94">
                  <c:v>-2.8048637277606758</c:v>
                </c:pt>
                <c:pt idx="95">
                  <c:v>-3.0401584835715312</c:v>
                </c:pt>
                <c:pt idx="96">
                  <c:v>-3.5538661176417463</c:v>
                </c:pt>
                <c:pt idx="97">
                  <c:v>-3.4327428433016394</c:v>
                </c:pt>
                <c:pt idx="98">
                  <c:v>-3.2937496524425569</c:v>
                </c:pt>
                <c:pt idx="99">
                  <c:v>-3.8074572865411938</c:v>
                </c:pt>
                <c:pt idx="100">
                  <c:v>-3.9586481821345387</c:v>
                </c:pt>
                <c:pt idx="101">
                  <c:v>-3.4994032836550559</c:v>
                </c:pt>
                <c:pt idx="102">
                  <c:v>-3.7168281300807848</c:v>
                </c:pt>
                <c:pt idx="104">
                  <c:v>-3.7712908585660898</c:v>
                </c:pt>
                <c:pt idx="105">
                  <c:v>-3.1791516743737702</c:v>
                </c:pt>
                <c:pt idx="106">
                  <c:v>-3.8375249077944318</c:v>
                </c:pt>
                <c:pt idx="107">
                  <c:v>-3.8013585853207132</c:v>
                </c:pt>
                <c:pt idx="108">
                  <c:v>-3.5778349392501241</c:v>
                </c:pt>
                <c:pt idx="109">
                  <c:v>-3.6322977732368145</c:v>
                </c:pt>
                <c:pt idx="110">
                  <c:v>-4.1947958257253504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'Graphiques F(date)'!$AC$60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F(date)'!$AE$60:$AE$61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F(date)'!$AD$60:$AD$61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strRef>
              <c:f>'Graphiques F(date)'!$AC$64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F(date)'!$AE$64:$AE$65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F(date)'!$AD$64:$AD$65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26632"/>
        <c:axId val="513927024"/>
      </c:scatterChart>
      <c:scatterChart>
        <c:scatterStyle val="lineMarker"/>
        <c:varyColors val="0"/>
        <c:ser>
          <c:idx val="0"/>
          <c:order val="9"/>
          <c:tx>
            <c:v>Avancement du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ser>
          <c:idx val="14"/>
          <c:order val="10"/>
          <c:tx>
            <c:strRef>
              <c:f>'Graphiques F(date)'!$AA$75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27808"/>
        <c:axId val="513927416"/>
      </c:scatterChart>
      <c:valAx>
        <c:axId val="513926632"/>
        <c:scaling>
          <c:orientation val="minMax"/>
          <c:max val="44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7024"/>
        <c:crossesAt val="0"/>
        <c:crossBetween val="midCat"/>
        <c:majorUnit val="50"/>
      </c:valAx>
      <c:valAx>
        <c:axId val="513927024"/>
        <c:scaling>
          <c:orientation val="minMax"/>
          <c:max val="2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6632"/>
        <c:crosses val="autoZero"/>
        <c:crossBetween val="midCat"/>
      </c:valAx>
      <c:valAx>
        <c:axId val="513927416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7808"/>
        <c:crosses val="max"/>
        <c:crossBetween val="midCat"/>
      </c:valAx>
      <c:valAx>
        <c:axId val="513927808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7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2987045354516097"/>
          <c:y val="0.57507635148566172"/>
          <c:w val="0.73689183958086979"/>
          <c:h val="9.5000801380368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déport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'Graphiques F(date)'!$AC$64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'Graphiques F(date)'!$AE$64:$AE$65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F(date)'!$AD$64:$AD$65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'Graphiques F(date)'!$AC$60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'Graphiques F(date)'!$AE$60:$AE$61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F(date)'!$AD$60:$AD$61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Déplacements!$D$10:$D$200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0.51370768324510152</c:v>
                </c:pt>
                <c:pt idx="2">
                  <c:v>-4.8364034381798149E-2</c:v>
                </c:pt>
                <c:pt idx="3">
                  <c:v>0.50760882730216395</c:v>
                </c:pt>
                <c:pt idx="4">
                  <c:v>2.7127773151458534</c:v>
                </c:pt>
                <c:pt idx="5">
                  <c:v>4.5550025749343526</c:v>
                </c:pt>
                <c:pt idx="6">
                  <c:v>6.3379451270555442</c:v>
                </c:pt>
                <c:pt idx="7">
                  <c:v>4.5863491270554668</c:v>
                </c:pt>
                <c:pt idx="8">
                  <c:v>5.4926411270557196</c:v>
                </c:pt>
                <c:pt idx="9">
                  <c:v>5.1906861270554217</c:v>
                </c:pt>
                <c:pt idx="10">
                  <c:v>4.3144621270556627</c:v>
                </c:pt>
                <c:pt idx="11">
                  <c:v>5.4926414618088337</c:v>
                </c:pt>
                <c:pt idx="12">
                  <c:v>7.0938996557283751</c:v>
                </c:pt>
                <c:pt idx="13">
                  <c:v>7.6311491270555365</c:v>
                </c:pt>
                <c:pt idx="14">
                  <c:v>8.34398568217809</c:v>
                </c:pt>
                <c:pt idx="15">
                  <c:v>9.0023589647580948</c:v>
                </c:pt>
                <c:pt idx="16">
                  <c:v>7.4982552799092161</c:v>
                </c:pt>
                <c:pt idx="17">
                  <c:v>10.186637382296748</c:v>
                </c:pt>
                <c:pt idx="18">
                  <c:v>9.1173831270556782</c:v>
                </c:pt>
                <c:pt idx="19">
                  <c:v>10.017576570232389</c:v>
                </c:pt>
                <c:pt idx="20">
                  <c:v>10.017576570232389</c:v>
                </c:pt>
                <c:pt idx="21">
                  <c:v>10.826714127055492</c:v>
                </c:pt>
                <c:pt idx="22">
                  <c:v>10.235001127055554</c:v>
                </c:pt>
                <c:pt idx="23">
                  <c:v>12.047159127055451</c:v>
                </c:pt>
                <c:pt idx="24">
                  <c:v>9.6522421270552883</c:v>
                </c:pt>
                <c:pt idx="25">
                  <c:v>9.8522421270557103</c:v>
                </c:pt>
                <c:pt idx="26">
                  <c:v>10.952242127055367</c:v>
                </c:pt>
                <c:pt idx="27">
                  <c:v>10.952242127055367</c:v>
                </c:pt>
                <c:pt idx="28">
                  <c:v>10.8522421270556</c:v>
                </c:pt>
                <c:pt idx="29">
                  <c:v>10.952242127055367</c:v>
                </c:pt>
                <c:pt idx="30">
                  <c:v>11.85224212705549</c:v>
                </c:pt>
                <c:pt idx="31">
                  <c:v>11.85224212705549</c:v>
                </c:pt>
                <c:pt idx="32">
                  <c:v>11.452242127055534</c:v>
                </c:pt>
                <c:pt idx="33">
                  <c:v>13.052242127055358</c:v>
                </c:pt>
                <c:pt idx="34">
                  <c:v>11.052242127055578</c:v>
                </c:pt>
                <c:pt idx="35">
                  <c:v>11.552242127055301</c:v>
                </c:pt>
                <c:pt idx="36">
                  <c:v>11.85224212705549</c:v>
                </c:pt>
                <c:pt idx="37">
                  <c:v>11.85224212705549</c:v>
                </c:pt>
                <c:pt idx="38">
                  <c:v>12.125071624284445</c:v>
                </c:pt>
                <c:pt idx="39">
                  <c:v>11.721234875644804</c:v>
                </c:pt>
                <c:pt idx="40">
                  <c:v>11.55217411278997</c:v>
                </c:pt>
                <c:pt idx="41">
                  <c:v>12.573064183057259</c:v>
                </c:pt>
                <c:pt idx="42">
                  <c:v>11.685068553184852</c:v>
                </c:pt>
                <c:pt idx="43">
                  <c:v>12.252242127055446</c:v>
                </c:pt>
                <c:pt idx="44">
                  <c:v>11.775697815143982</c:v>
                </c:pt>
                <c:pt idx="45">
                  <c:v>12.355639547650288</c:v>
                </c:pt>
                <c:pt idx="46">
                  <c:v>12.452242127055424</c:v>
                </c:pt>
                <c:pt idx="47">
                  <c:v>12.352242127055657</c:v>
                </c:pt>
                <c:pt idx="48">
                  <c:v>12.552242127055635</c:v>
                </c:pt>
                <c:pt idx="49">
                  <c:v>12.152242127055679</c:v>
                </c:pt>
                <c:pt idx="50">
                  <c:v>12.652242127055402</c:v>
                </c:pt>
                <c:pt idx="51">
                  <c:v>12.252242127055446</c:v>
                </c:pt>
                <c:pt idx="52">
                  <c:v>13.452242127055314</c:v>
                </c:pt>
                <c:pt idx="53">
                  <c:v>12.352242127055657</c:v>
                </c:pt>
                <c:pt idx="54">
                  <c:v>10.8522421270556</c:v>
                </c:pt>
                <c:pt idx="55">
                  <c:v>12.752242127055613</c:v>
                </c:pt>
                <c:pt idx="56">
                  <c:v>12.252242127055446</c:v>
                </c:pt>
                <c:pt idx="57">
                  <c:v>13.552242127055525</c:v>
                </c:pt>
                <c:pt idx="58">
                  <c:v>12.552242127055635</c:v>
                </c:pt>
                <c:pt idx="59">
                  <c:v>12.85224212705538</c:v>
                </c:pt>
                <c:pt idx="60">
                  <c:v>12.85224212705538</c:v>
                </c:pt>
                <c:pt idx="61">
                  <c:v>12.652242127055402</c:v>
                </c:pt>
                <c:pt idx="62">
                  <c:v>12.952242127055591</c:v>
                </c:pt>
                <c:pt idx="63">
                  <c:v>12.85224212705538</c:v>
                </c:pt>
                <c:pt idx="64">
                  <c:v>12.259337820911043</c:v>
                </c:pt>
                <c:pt idx="65">
                  <c:v>13.552242127055525</c:v>
                </c:pt>
                <c:pt idx="66">
                  <c:v>13.052242127055358</c:v>
                </c:pt>
                <c:pt idx="67">
                  <c:v>13.452242127055314</c:v>
                </c:pt>
                <c:pt idx="68">
                  <c:v>13.452242127055314</c:v>
                </c:pt>
                <c:pt idx="69">
                  <c:v>14.415715834019682</c:v>
                </c:pt>
                <c:pt idx="70">
                  <c:v>13.098969578242858</c:v>
                </c:pt>
                <c:pt idx="71">
                  <c:v>14.60917185883126</c:v>
                </c:pt>
                <c:pt idx="72">
                  <c:v>13.980866302959249</c:v>
                </c:pt>
                <c:pt idx="73">
                  <c:v>13.715077422213895</c:v>
                </c:pt>
                <c:pt idx="74">
                  <c:v>14.113760792564101</c:v>
                </c:pt>
                <c:pt idx="75">
                  <c:v>15.068416813624808</c:v>
                </c:pt>
                <c:pt idx="76">
                  <c:v>14.560808035486428</c:v>
                </c:pt>
                <c:pt idx="77">
                  <c:v>14.573005536343331</c:v>
                </c:pt>
                <c:pt idx="78">
                  <c:v>15.128552006914653</c:v>
                </c:pt>
                <c:pt idx="81">
                  <c:v>14.041427887427904</c:v>
                </c:pt>
                <c:pt idx="83">
                  <c:v>14.041427887427904</c:v>
                </c:pt>
                <c:pt idx="85">
                  <c:v>12.341427887427869</c:v>
                </c:pt>
                <c:pt idx="86">
                  <c:v>12.897106836188499</c:v>
                </c:pt>
                <c:pt idx="87">
                  <c:v>10.903264338856467</c:v>
                </c:pt>
                <c:pt idx="88">
                  <c:v>10.728104670840288</c:v>
                </c:pt>
                <c:pt idx="89">
                  <c:v>10.441427887427857</c:v>
                </c:pt>
                <c:pt idx="90">
                  <c:v>10.691938348375896</c:v>
                </c:pt>
                <c:pt idx="91">
                  <c:v>13.651781585349632</c:v>
                </c:pt>
                <c:pt idx="92">
                  <c:v>13.634338010820812</c:v>
                </c:pt>
                <c:pt idx="93">
                  <c:v>11.090621507722442</c:v>
                </c:pt>
                <c:pt idx="94">
                  <c:v>11.628298012605232</c:v>
                </c:pt>
                <c:pt idx="95">
                  <c:v>12.800378929294975</c:v>
                </c:pt>
                <c:pt idx="96">
                  <c:v>12.806477574234254</c:v>
                </c:pt>
                <c:pt idx="97">
                  <c:v>13.325857722287449</c:v>
                </c:pt>
                <c:pt idx="98">
                  <c:v>13.283592494660823</c:v>
                </c:pt>
                <c:pt idx="100">
                  <c:v>13.616041653999211</c:v>
                </c:pt>
                <c:pt idx="101">
                  <c:v>13.658306881638715</c:v>
                </c:pt>
                <c:pt idx="102">
                  <c:v>13.68837455917804</c:v>
                </c:pt>
                <c:pt idx="103">
                  <c:v>13.18686437675165</c:v>
                </c:pt>
                <c:pt idx="104">
                  <c:v>14.069187752850265</c:v>
                </c:pt>
                <c:pt idx="105">
                  <c:v>13.736738593550513</c:v>
                </c:pt>
                <c:pt idx="106">
                  <c:v>14.256544921746439</c:v>
                </c:pt>
                <c:pt idx="107">
                  <c:v>14.504037283900484</c:v>
                </c:pt>
                <c:pt idx="108">
                  <c:v>14.069187752850265</c:v>
                </c:pt>
                <c:pt idx="109">
                  <c:v>14.419506877861643</c:v>
                </c:pt>
                <c:pt idx="110">
                  <c:v>17.585003900767671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Déplacements!$P$9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Déplacements!$P$10:$P$200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-3.0067726747767809E-2</c:v>
                </c:pt>
                <c:pt idx="2">
                  <c:v>6.0561535198094818E-2</c:v>
                </c:pt>
                <c:pt idx="3">
                  <c:v>0.19345602480708157</c:v>
                </c:pt>
                <c:pt idx="4">
                  <c:v>0.74333003058890679</c:v>
                </c:pt>
                <c:pt idx="5">
                  <c:v>0.48321356537625593</c:v>
                </c:pt>
                <c:pt idx="6">
                  <c:v>-1.0082657495592839</c:v>
                </c:pt>
                <c:pt idx="7">
                  <c:v>-2.7598617495592781</c:v>
                </c:pt>
                <c:pt idx="8">
                  <c:v>-1.8535697495593029</c:v>
                </c:pt>
                <c:pt idx="9">
                  <c:v>-3.1463477495592973</c:v>
                </c:pt>
                <c:pt idx="10">
                  <c:v>-3.3036377495593019</c:v>
                </c:pt>
                <c:pt idx="11">
                  <c:v>-3.6661541628052738</c:v>
                </c:pt>
                <c:pt idx="12">
                  <c:v>-2.8443925821323157</c:v>
                </c:pt>
                <c:pt idx="13">
                  <c:v>-2.0653227495592841</c:v>
                </c:pt>
                <c:pt idx="14">
                  <c:v>-2.035254893477223</c:v>
                </c:pt>
                <c:pt idx="15">
                  <c:v>-1.8661941306283569</c:v>
                </c:pt>
                <c:pt idx="16">
                  <c:v>-3.2374033258762704</c:v>
                </c:pt>
                <c:pt idx="17">
                  <c:v>-0.83877876404644947</c:v>
                </c:pt>
                <c:pt idx="18">
                  <c:v>-2.5968997495592894</c:v>
                </c:pt>
                <c:pt idx="19">
                  <c:v>-1.8174036559090723</c:v>
                </c:pt>
                <c:pt idx="20">
                  <c:v>-1.8174036559090723</c:v>
                </c:pt>
                <c:pt idx="21">
                  <c:v>-1.3646837495592812</c:v>
                </c:pt>
                <c:pt idx="22">
                  <c:v>-1.9986617495592884</c:v>
                </c:pt>
                <c:pt idx="23">
                  <c:v>0.41783225044070282</c:v>
                </c:pt>
                <c:pt idx="24">
                  <c:v>-3.3351047495592812</c:v>
                </c:pt>
                <c:pt idx="25">
                  <c:v>-3.2351047495592922</c:v>
                </c:pt>
                <c:pt idx="26">
                  <c:v>-1.9351047495592966</c:v>
                </c:pt>
                <c:pt idx="27">
                  <c:v>-2.1351047495593023</c:v>
                </c:pt>
                <c:pt idx="28">
                  <c:v>-2.2351047495592913</c:v>
                </c:pt>
                <c:pt idx="29">
                  <c:v>-2.2351047495592913</c:v>
                </c:pt>
                <c:pt idx="30">
                  <c:v>-1.7351047495592908</c:v>
                </c:pt>
                <c:pt idx="31">
                  <c:v>-2.1351047495593023</c:v>
                </c:pt>
                <c:pt idx="32">
                  <c:v>-2.5351047495592862</c:v>
                </c:pt>
                <c:pt idx="33">
                  <c:v>-0.43510474955929523</c:v>
                </c:pt>
                <c:pt idx="34">
                  <c:v>-2.6351047495593027</c:v>
                </c:pt>
                <c:pt idx="35">
                  <c:v>-2.4351047495592972</c:v>
                </c:pt>
                <c:pt idx="36">
                  <c:v>-2.2351047495592913</c:v>
                </c:pt>
                <c:pt idx="37">
                  <c:v>-2.2351047495592913</c:v>
                </c:pt>
                <c:pt idx="38">
                  <c:v>-2.656018943096222</c:v>
                </c:pt>
                <c:pt idx="39">
                  <c:v>-3.1062575814490287</c:v>
                </c:pt>
                <c:pt idx="40">
                  <c:v>-3.194711707152659</c:v>
                </c:pt>
                <c:pt idx="41">
                  <c:v>-2.3067160772563544</c:v>
                </c:pt>
                <c:pt idx="42">
                  <c:v>-3.1040824451466777</c:v>
                </c:pt>
                <c:pt idx="43">
                  <c:v>-2.7351047495592917</c:v>
                </c:pt>
                <c:pt idx="44">
                  <c:v>-3.0134533941948982</c:v>
                </c:pt>
                <c:pt idx="45">
                  <c:v>-2.5180421169224978</c:v>
                </c:pt>
                <c:pt idx="46">
                  <c:v>-2.5351047495592862</c:v>
                </c:pt>
                <c:pt idx="47">
                  <c:v>-2.6351047495593027</c:v>
                </c:pt>
                <c:pt idx="48">
                  <c:v>-2.5351047495592862</c:v>
                </c:pt>
                <c:pt idx="49">
                  <c:v>-2.6351047495593027</c:v>
                </c:pt>
                <c:pt idx="50">
                  <c:v>-2.6351047495593027</c:v>
                </c:pt>
                <c:pt idx="51">
                  <c:v>-3.1351047495593032</c:v>
                </c:pt>
                <c:pt idx="52">
                  <c:v>-1.9351047495592966</c:v>
                </c:pt>
                <c:pt idx="53">
                  <c:v>-2.4351047495592972</c:v>
                </c:pt>
                <c:pt idx="54">
                  <c:v>-2.5351047495592862</c:v>
                </c:pt>
                <c:pt idx="55">
                  <c:v>-2.5351047495592862</c:v>
                </c:pt>
                <c:pt idx="56">
                  <c:v>-2.9351047495592972</c:v>
                </c:pt>
                <c:pt idx="57">
                  <c:v>-1.2351047495592904</c:v>
                </c:pt>
                <c:pt idx="58">
                  <c:v>-2.7351047495592917</c:v>
                </c:pt>
                <c:pt idx="59">
                  <c:v>-2.6351047495593027</c:v>
                </c:pt>
                <c:pt idx="60">
                  <c:v>-2.5351047495592862</c:v>
                </c:pt>
                <c:pt idx="61">
                  <c:v>-3.0351047495592862</c:v>
                </c:pt>
                <c:pt idx="62">
                  <c:v>-3.0351047495592862</c:v>
                </c:pt>
                <c:pt idx="63">
                  <c:v>-3.2351047495592922</c:v>
                </c:pt>
                <c:pt idx="64">
                  <c:v>-3.5689996537604793</c:v>
                </c:pt>
                <c:pt idx="65">
                  <c:v>-2.3351047495592803</c:v>
                </c:pt>
                <c:pt idx="66">
                  <c:v>-3.1351047495593032</c:v>
                </c:pt>
                <c:pt idx="67">
                  <c:v>-2.7351047495592917</c:v>
                </c:pt>
                <c:pt idx="68">
                  <c:v>-2.5351047495592862</c:v>
                </c:pt>
                <c:pt idx="69">
                  <c:v>-2.6387388454389979</c:v>
                </c:pt>
                <c:pt idx="70">
                  <c:v>-3.792523405313053</c:v>
                </c:pt>
                <c:pt idx="71">
                  <c:v>-1.8592424431851107</c:v>
                </c:pt>
                <c:pt idx="72">
                  <c:v>-2.8561636918468247</c:v>
                </c:pt>
                <c:pt idx="73">
                  <c:v>-2.8923300635540219</c:v>
                </c:pt>
                <c:pt idx="74">
                  <c:v>-2.7171703955498341</c:v>
                </c:pt>
                <c:pt idx="75">
                  <c:v>-2.0344021111739496</c:v>
                </c:pt>
                <c:pt idx="76">
                  <c:v>-2.4513816765550924</c:v>
                </c:pt>
                <c:pt idx="77">
                  <c:v>-2.52371458174383</c:v>
                </c:pt>
                <c:pt idx="78">
                  <c:v>-3.001255682308468</c:v>
                </c:pt>
                <c:pt idx="81">
                  <c:v>-3.0069281471245821</c:v>
                </c:pt>
                <c:pt idx="83">
                  <c:v>-3.0069281471245821</c:v>
                </c:pt>
                <c:pt idx="85">
                  <c:v>-4.706928147124561</c:v>
                </c:pt>
                <c:pt idx="86">
                  <c:v>-5.4738847436409666</c:v>
                </c:pt>
                <c:pt idx="87">
                  <c:v>-6.2294123243015198</c:v>
                </c:pt>
                <c:pt idx="88">
                  <c:v>-6.7971565067044271</c:v>
                </c:pt>
                <c:pt idx="89">
                  <c:v>-7.2069281471245636</c:v>
                </c:pt>
                <c:pt idx="90">
                  <c:v>-6.4708059923413161</c:v>
                </c:pt>
                <c:pt idx="91">
                  <c:v>-6.162751883914769</c:v>
                </c:pt>
                <c:pt idx="92">
                  <c:v>-4.7187836033630859</c:v>
                </c:pt>
                <c:pt idx="93">
                  <c:v>-7.1174079541876374</c:v>
                </c:pt>
                <c:pt idx="94">
                  <c:v>-6.4407383147923873</c:v>
                </c:pt>
                <c:pt idx="95">
                  <c:v>-5.6311744459919817</c:v>
                </c:pt>
                <c:pt idx="96">
                  <c:v>-5.7096059960752283</c:v>
                </c:pt>
                <c:pt idx="97">
                  <c:v>-4.8699742387492968</c:v>
                </c:pt>
                <c:pt idx="98">
                  <c:v>-5.0089675350747926</c:v>
                </c:pt>
                <c:pt idx="99">
                  <c:v>-5.0268375007277708</c:v>
                </c:pt>
                <c:pt idx="100">
                  <c:v>-5.3954532427527564</c:v>
                </c:pt>
                <c:pt idx="101">
                  <c:v>-5.3531880151204412</c:v>
                </c:pt>
                <c:pt idx="102">
                  <c:v>-5.2263924307024974</c:v>
                </c:pt>
                <c:pt idx="103">
                  <c:v>-5.4198484554942024</c:v>
                </c:pt>
                <c:pt idx="104">
                  <c:v>-5.3048239807811921</c:v>
                </c:pt>
                <c:pt idx="105">
                  <c:v>-5.0995967970310083</c:v>
                </c:pt>
                <c:pt idx="106">
                  <c:v>-4.833807867054313</c:v>
                </c:pt>
                <c:pt idx="107">
                  <c:v>-5.0028686791469816</c:v>
                </c:pt>
                <c:pt idx="108">
                  <c:v>-5.0211650359490152</c:v>
                </c:pt>
                <c:pt idx="109">
                  <c:v>-4.9849987134657212</c:v>
                </c:pt>
                <c:pt idx="110">
                  <c:v>-5.0512327626972269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Déplacements!$AB$9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Déplacements!$AB$10:$AB$200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0.44094859798216035</c:v>
                </c:pt>
                <c:pt idx="2">
                  <c:v>0.22352375156309279</c:v>
                </c:pt>
                <c:pt idx="3">
                  <c:v>0.13899334554468012</c:v>
                </c:pt>
                <c:pt idx="4">
                  <c:v>0.32635051442397867</c:v>
                </c:pt>
                <c:pt idx="5">
                  <c:v>-2.603851696377113</c:v>
                </c:pt>
                <c:pt idx="6">
                  <c:v>-4.9894261692520203</c:v>
                </c:pt>
                <c:pt idx="7">
                  <c:v>-5.4120781692521547</c:v>
                </c:pt>
                <c:pt idx="8">
                  <c:v>-5.4120781692521547</c:v>
                </c:pt>
                <c:pt idx="9">
                  <c:v>-6.5719611692522939</c:v>
                </c:pt>
                <c:pt idx="10">
                  <c:v>-6.5841581692520634</c:v>
                </c:pt>
                <c:pt idx="11">
                  <c:v>-6.3183696825075408</c:v>
                </c:pt>
                <c:pt idx="12">
                  <c:v>-6.6142260790353902</c:v>
                </c:pt>
                <c:pt idx="13">
                  <c:v>-6.6325231692521136</c:v>
                </c:pt>
                <c:pt idx="14">
                  <c:v>-6.8560461873956591</c:v>
                </c:pt>
                <c:pt idx="15">
                  <c:v>-6.3488638003965647</c:v>
                </c:pt>
                <c:pt idx="16">
                  <c:v>-8.3483787625469041</c:v>
                </c:pt>
                <c:pt idx="17">
                  <c:v>-5.9798216672271032</c:v>
                </c:pt>
                <c:pt idx="18">
                  <c:v>-7.9192011692521547</c:v>
                </c:pt>
                <c:pt idx="19">
                  <c:v>-7.5383882916231215</c:v>
                </c:pt>
                <c:pt idx="20">
                  <c:v>-7.5383882916231215</c:v>
                </c:pt>
                <c:pt idx="21">
                  <c:v>-7.1641001692519524</c:v>
                </c:pt>
                <c:pt idx="22">
                  <c:v>-7.6229181692522019</c:v>
                </c:pt>
                <c:pt idx="23">
                  <c:v>-5.937130169252125</c:v>
                </c:pt>
                <c:pt idx="24">
                  <c:v>-9.5439951692521952</c:v>
                </c:pt>
                <c:pt idx="25">
                  <c:v>-8.9439951692522612</c:v>
                </c:pt>
                <c:pt idx="26">
                  <c:v>-7.6439951692521824</c:v>
                </c:pt>
                <c:pt idx="27">
                  <c:v>-7.9439951692519273</c:v>
                </c:pt>
                <c:pt idx="28">
                  <c:v>-7.8439951692521603</c:v>
                </c:pt>
                <c:pt idx="29">
                  <c:v>-7.7439951692519493</c:v>
                </c:pt>
                <c:pt idx="30">
                  <c:v>-7.6439951692521824</c:v>
                </c:pt>
                <c:pt idx="31">
                  <c:v>-8.2439951692521163</c:v>
                </c:pt>
                <c:pt idx="32">
                  <c:v>-8.5439951692523053</c:v>
                </c:pt>
                <c:pt idx="33">
                  <c:v>-6.7439951692520594</c:v>
                </c:pt>
                <c:pt idx="34">
                  <c:v>-8.2439951692521163</c:v>
                </c:pt>
                <c:pt idx="35">
                  <c:v>-8.1439951692523493</c:v>
                </c:pt>
                <c:pt idx="36">
                  <c:v>-8.2439951692521163</c:v>
                </c:pt>
                <c:pt idx="37">
                  <c:v>-8.1439951692523493</c:v>
                </c:pt>
                <c:pt idx="38">
                  <c:v>-9.0465575826810252</c:v>
                </c:pt>
                <c:pt idx="40">
                  <c:v>-9.2721143237750603</c:v>
                </c:pt>
                <c:pt idx="41">
                  <c:v>-8.6921725912483261</c:v>
                </c:pt>
                <c:pt idx="42">
                  <c:v>-9.398909908239883</c:v>
                </c:pt>
                <c:pt idx="43">
                  <c:v>-8.9439951692522612</c:v>
                </c:pt>
                <c:pt idx="44">
                  <c:v>-9.2660154678374518</c:v>
                </c:pt>
                <c:pt idx="46">
                  <c:v>-9.1439951692522392</c:v>
                </c:pt>
                <c:pt idx="47">
                  <c:v>-9.1439951692522392</c:v>
                </c:pt>
                <c:pt idx="48">
                  <c:v>-8.9439951692522612</c:v>
                </c:pt>
                <c:pt idx="49">
                  <c:v>-9.1439951692522392</c:v>
                </c:pt>
                <c:pt idx="50">
                  <c:v>-9.1439951692522392</c:v>
                </c:pt>
                <c:pt idx="51">
                  <c:v>-9.6439951692519621</c:v>
                </c:pt>
                <c:pt idx="52">
                  <c:v>-8.4439951692520943</c:v>
                </c:pt>
                <c:pt idx="53">
                  <c:v>-8.8439951692520502</c:v>
                </c:pt>
                <c:pt idx="54">
                  <c:v>-9.2439951692520061</c:v>
                </c:pt>
                <c:pt idx="55">
                  <c:v>-8.9439951692522612</c:v>
                </c:pt>
                <c:pt idx="56">
                  <c:v>-9.3439951692522172</c:v>
                </c:pt>
                <c:pt idx="57">
                  <c:v>-8.3439951692523273</c:v>
                </c:pt>
                <c:pt idx="58">
                  <c:v>-9.3439951692522172</c:v>
                </c:pt>
                <c:pt idx="59">
                  <c:v>-9.1439951692522392</c:v>
                </c:pt>
                <c:pt idx="60">
                  <c:v>-9.1439951692522392</c:v>
                </c:pt>
                <c:pt idx="61">
                  <c:v>-9.6439951692519621</c:v>
                </c:pt>
                <c:pt idx="62">
                  <c:v>-9.6439951692519621</c:v>
                </c:pt>
                <c:pt idx="64">
                  <c:v>-9.6224333995786893</c:v>
                </c:pt>
                <c:pt idx="66">
                  <c:v>-10.24399516925234</c:v>
                </c:pt>
                <c:pt idx="67">
                  <c:v>-9.8439951692519401</c:v>
                </c:pt>
                <c:pt idx="68">
                  <c:v>-9.2439951692520061</c:v>
                </c:pt>
                <c:pt idx="69">
                  <c:v>-10.154011048507439</c:v>
                </c:pt>
                <c:pt idx="70">
                  <c:v>-10.468164062065188</c:v>
                </c:pt>
                <c:pt idx="71">
                  <c:v>-9.0965282646240375</c:v>
                </c:pt>
                <c:pt idx="72">
                  <c:v>-9.918289845291639</c:v>
                </c:pt>
                <c:pt idx="73">
                  <c:v>-9.9060923444342919</c:v>
                </c:pt>
                <c:pt idx="74">
                  <c:v>-9.7731978548347698</c:v>
                </c:pt>
                <c:pt idx="75">
                  <c:v>-9.0904294086744386</c:v>
                </c:pt>
                <c:pt idx="76">
                  <c:v>-9.5135079918082788</c:v>
                </c:pt>
                <c:pt idx="77">
                  <c:v>-9.7670992098985998</c:v>
                </c:pt>
                <c:pt idx="78">
                  <c:v>-10.594959646506474</c:v>
                </c:pt>
                <c:pt idx="81">
                  <c:v>-9.8816970824548989</c:v>
                </c:pt>
                <c:pt idx="83">
                  <c:v>-9.8816970824548989</c:v>
                </c:pt>
                <c:pt idx="85">
                  <c:v>-11.781697082454912</c:v>
                </c:pt>
                <c:pt idx="86">
                  <c:v>-13.07093149668237</c:v>
                </c:pt>
                <c:pt idx="87">
                  <c:v>-12.871803218076572</c:v>
                </c:pt>
                <c:pt idx="88">
                  <c:v>-13.216023487136574</c:v>
                </c:pt>
                <c:pt idx="89">
                  <c:v>-14.08169708245488</c:v>
                </c:pt>
                <c:pt idx="90">
                  <c:v>-13.524077595545858</c:v>
                </c:pt>
                <c:pt idx="91">
                  <c:v>-11.844387851511318</c:v>
                </c:pt>
                <c:pt idx="93">
                  <c:v>-14.309672853719313</c:v>
                </c:pt>
                <c:pt idx="94">
                  <c:v>-13.506207629855105</c:v>
                </c:pt>
                <c:pt idx="95">
                  <c:v>-12.865704362126973</c:v>
                </c:pt>
                <c:pt idx="99">
                  <c:v>-12.762877599273192</c:v>
                </c:pt>
                <c:pt idx="100">
                  <c:v>-13.475713511967857</c:v>
                </c:pt>
                <c:pt idx="101">
                  <c:v>-13.300553843959229</c:v>
                </c:pt>
                <c:pt idx="102">
                  <c:v>-12.817340278584499</c:v>
                </c:pt>
                <c:pt idx="105">
                  <c:v>-12.787272812046613</c:v>
                </c:pt>
                <c:pt idx="106">
                  <c:v>-12.714513515722725</c:v>
                </c:pt>
                <c:pt idx="107">
                  <c:v>-12.636081965634816</c:v>
                </c:pt>
                <c:pt idx="108">
                  <c:v>-12.99249994658247</c:v>
                </c:pt>
                <c:pt idx="109">
                  <c:v>-12.726711016591175</c:v>
                </c:pt>
                <c:pt idx="110">
                  <c:v>-16.272594842042132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Déplacements!$L$9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-4.2265227627513724E-2</c:v>
                </c:pt>
                <c:pt idx="2">
                  <c:v>0.32635025419036623</c:v>
                </c:pt>
                <c:pt idx="3">
                  <c:v>0.41697951616148643</c:v>
                </c:pt>
                <c:pt idx="4">
                  <c:v>1.6979860516217471</c:v>
                </c:pt>
                <c:pt idx="5">
                  <c:v>3.8966293415709785</c:v>
                </c:pt>
                <c:pt idx="6">
                  <c:v>4.4168627160972029</c:v>
                </c:pt>
                <c:pt idx="7">
                  <c:v>3.5715577160972956</c:v>
                </c:pt>
                <c:pt idx="8">
                  <c:v>4.4778497160971042</c:v>
                </c:pt>
                <c:pt idx="9">
                  <c:v>4.2604257160969716</c:v>
                </c:pt>
                <c:pt idx="10">
                  <c:v>3.7105517160971324</c:v>
                </c:pt>
                <c:pt idx="11">
                  <c:v>4.4778501983011587</c:v>
                </c:pt>
                <c:pt idx="12">
                  <c:v>5.6377334030832671</c:v>
                </c:pt>
                <c:pt idx="13">
                  <c:v>6.3623407160973144</c:v>
                </c:pt>
                <c:pt idx="14">
                  <c:v>6.5675678202588017</c:v>
                </c:pt>
                <c:pt idx="15">
                  <c:v>8.0777703610843687</c:v>
                </c:pt>
                <c:pt idx="16">
                  <c:v>6.1810821617633849</c:v>
                </c:pt>
                <c:pt idx="17">
                  <c:v>8.9178282985451496</c:v>
                </c:pt>
                <c:pt idx="18">
                  <c:v>7.6189517160969444</c:v>
                </c:pt>
                <c:pt idx="19">
                  <c:v>8.7426688415344067</c:v>
                </c:pt>
                <c:pt idx="20">
                  <c:v>8.7426688415344067</c:v>
                </c:pt>
                <c:pt idx="21">
                  <c:v>9.3827457160968741</c:v>
                </c:pt>
                <c:pt idx="22">
                  <c:v>8.5797067160973128</c:v>
                </c:pt>
                <c:pt idx="25">
                  <c:v>8.5000867160971438</c:v>
                </c:pt>
                <c:pt idx="26">
                  <c:v>9.5000867160970337</c:v>
                </c:pt>
                <c:pt idx="27">
                  <c:v>9.8000867160972227</c:v>
                </c:pt>
                <c:pt idx="28">
                  <c:v>9.6000867160972447</c:v>
                </c:pt>
                <c:pt idx="29">
                  <c:v>9.7000867160970117</c:v>
                </c:pt>
                <c:pt idx="30">
                  <c:v>10.600086716097135</c:v>
                </c:pt>
                <c:pt idx="31">
                  <c:v>10.400086716097157</c:v>
                </c:pt>
                <c:pt idx="32">
                  <c:v>10.100086716096968</c:v>
                </c:pt>
                <c:pt idx="34">
                  <c:v>10.000086716097201</c:v>
                </c:pt>
                <c:pt idx="35">
                  <c:v>10.200086716097179</c:v>
                </c:pt>
                <c:pt idx="36">
                  <c:v>10.90008671609688</c:v>
                </c:pt>
                <c:pt idx="37">
                  <c:v>10.700086716096902</c:v>
                </c:pt>
                <c:pt idx="38">
                  <c:v>10.29941567906123</c:v>
                </c:pt>
                <c:pt idx="39">
                  <c:v>10.801870755309917</c:v>
                </c:pt>
                <c:pt idx="40">
                  <c:v>10.283365240020714</c:v>
                </c:pt>
                <c:pt idx="42">
                  <c:v>10.65198093284847</c:v>
                </c:pt>
                <c:pt idx="43">
                  <c:v>11.000086716097091</c:v>
                </c:pt>
                <c:pt idx="44">
                  <c:v>10.694246160486198</c:v>
                </c:pt>
                <c:pt idx="45">
                  <c:v>11.002300057843417</c:v>
                </c:pt>
                <c:pt idx="46">
                  <c:v>10.600086716097135</c:v>
                </c:pt>
                <c:pt idx="47">
                  <c:v>11.100086716097302</c:v>
                </c:pt>
                <c:pt idx="48">
                  <c:v>11.500086716097258</c:v>
                </c:pt>
                <c:pt idx="49">
                  <c:v>11.30008671609728</c:v>
                </c:pt>
                <c:pt idx="50">
                  <c:v>11.400086716097046</c:v>
                </c:pt>
                <c:pt idx="51">
                  <c:v>10.90008671609688</c:v>
                </c:pt>
                <c:pt idx="54">
                  <c:v>11.400086716097046</c:v>
                </c:pt>
                <c:pt idx="55">
                  <c:v>11.700086716097235</c:v>
                </c:pt>
                <c:pt idx="56">
                  <c:v>11.30008671609728</c:v>
                </c:pt>
                <c:pt idx="58">
                  <c:v>11.400086716097046</c:v>
                </c:pt>
                <c:pt idx="59">
                  <c:v>11.500086716097258</c:v>
                </c:pt>
                <c:pt idx="60">
                  <c:v>12.100086716097191</c:v>
                </c:pt>
                <c:pt idx="61">
                  <c:v>11.700086716097235</c:v>
                </c:pt>
                <c:pt idx="62">
                  <c:v>11.700086716097235</c:v>
                </c:pt>
                <c:pt idx="64">
                  <c:v>11.12952208263307</c:v>
                </c:pt>
                <c:pt idx="81">
                  <c:v>13.739472585759582</c:v>
                </c:pt>
                <c:pt idx="83">
                  <c:v>13.739472585759582</c:v>
                </c:pt>
                <c:pt idx="85">
                  <c:v>12.139472585759314</c:v>
                </c:pt>
                <c:pt idx="86">
                  <c:v>12.106803677785383</c:v>
                </c:pt>
                <c:pt idx="87">
                  <c:v>10.529940696600626</c:v>
                </c:pt>
                <c:pt idx="88">
                  <c:v>10.282448334424377</c:v>
                </c:pt>
                <c:pt idx="89">
                  <c:v>10.239472585759302</c:v>
                </c:pt>
                <c:pt idx="90">
                  <c:v>10.596601136970918</c:v>
                </c:pt>
                <c:pt idx="91">
                  <c:v>12.499388192196204</c:v>
                </c:pt>
                <c:pt idx="92">
                  <c:v>12.276290831755521</c:v>
                </c:pt>
                <c:pt idx="94">
                  <c:v>11.248875725412333</c:v>
                </c:pt>
                <c:pt idx="95">
                  <c:v>12.378691252660889</c:v>
                </c:pt>
                <c:pt idx="96">
                  <c:v>12.414857786162248</c:v>
                </c:pt>
                <c:pt idx="97">
                  <c:v>13.230520510896682</c:v>
                </c:pt>
                <c:pt idx="98">
                  <c:v>13.139891248921565</c:v>
                </c:pt>
                <c:pt idx="99">
                  <c:v>13.200453044372562</c:v>
                </c:pt>
                <c:pt idx="100">
                  <c:v>13.381711357287607</c:v>
                </c:pt>
                <c:pt idx="101">
                  <c:v>13.508506941738663</c:v>
                </c:pt>
                <c:pt idx="102">
                  <c:v>13.375612501357104</c:v>
                </c:pt>
                <c:pt idx="103">
                  <c:v>12.95253408003294</c:v>
                </c:pt>
                <c:pt idx="104">
                  <c:v>13.877122634565975</c:v>
                </c:pt>
                <c:pt idx="105">
                  <c:v>13.593037347761072</c:v>
                </c:pt>
                <c:pt idx="106">
                  <c:v>14.245738116375417</c:v>
                </c:pt>
                <c:pt idx="107">
                  <c:v>14.511527046359163</c:v>
                </c:pt>
                <c:pt idx="108">
                  <c:v>13.919387862175725</c:v>
                </c:pt>
                <c:pt idx="109">
                  <c:v>14.263608082025758</c:v>
                </c:pt>
                <c:pt idx="110">
                  <c:v>18.782870936694174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Déplacements!$T$9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Déplacements!$T$10:$T$200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4.8364034366699116E-2</c:v>
                </c:pt>
                <c:pt idx="2">
                  <c:v>4.8364034366699116E-2</c:v>
                </c:pt>
                <c:pt idx="3">
                  <c:v>9.6728117925160007E-2</c:v>
                </c:pt>
                <c:pt idx="4">
                  <c:v>0.14509215226343741</c:v>
                </c:pt>
                <c:pt idx="5">
                  <c:v>-1.0152176546980307</c:v>
                </c:pt>
                <c:pt idx="6">
                  <c:v>-2.5127959486628271</c:v>
                </c:pt>
                <c:pt idx="7">
                  <c:v>-3.8417399486627701</c:v>
                </c:pt>
                <c:pt idx="8">
                  <c:v>-3.8417399486627701</c:v>
                </c:pt>
                <c:pt idx="9">
                  <c:v>-4.6269089486625781</c:v>
                </c:pt>
                <c:pt idx="10">
                  <c:v>-4.6391069486628744</c:v>
                </c:pt>
                <c:pt idx="11">
                  <c:v>-5.1706842387950758</c:v>
                </c:pt>
                <c:pt idx="12">
                  <c:v>-4.1798616350749995</c:v>
                </c:pt>
                <c:pt idx="13">
                  <c:v>-4.246521948662707</c:v>
                </c:pt>
                <c:pt idx="14">
                  <c:v>-4.6452052347962791</c:v>
                </c:pt>
                <c:pt idx="15">
                  <c:v>-4.2286521097625318</c:v>
                </c:pt>
                <c:pt idx="16">
                  <c:v>-6.1798029883406436</c:v>
                </c:pt>
                <c:pt idx="17">
                  <c:v>-3.4670256731721416</c:v>
                </c:pt>
                <c:pt idx="18">
                  <c:v>-5.4970349486627157</c:v>
                </c:pt>
                <c:pt idx="19">
                  <c:v>-4.8987964528954819</c:v>
                </c:pt>
                <c:pt idx="20">
                  <c:v>-4.8987964528954819</c:v>
                </c:pt>
                <c:pt idx="21">
                  <c:v>-4.621236948662677</c:v>
                </c:pt>
                <c:pt idx="22">
                  <c:v>-5.1706839486627132</c:v>
                </c:pt>
                <c:pt idx="23">
                  <c:v>-3.1768419486626343</c:v>
                </c:pt>
                <c:pt idx="24">
                  <c:v>-7.0805659486627981</c:v>
                </c:pt>
                <c:pt idx="25">
                  <c:v>-6.5805659486626311</c:v>
                </c:pt>
                <c:pt idx="26">
                  <c:v>-5.1805659486627853</c:v>
                </c:pt>
                <c:pt idx="27">
                  <c:v>-5.2805659486629963</c:v>
                </c:pt>
                <c:pt idx="28">
                  <c:v>-5.3805659486627633</c:v>
                </c:pt>
                <c:pt idx="29">
                  <c:v>-5.3805659486627633</c:v>
                </c:pt>
                <c:pt idx="30">
                  <c:v>-5.1805659486627853</c:v>
                </c:pt>
                <c:pt idx="31">
                  <c:v>-5.6805659486629523</c:v>
                </c:pt>
                <c:pt idx="32">
                  <c:v>-5.9805659486626972</c:v>
                </c:pt>
                <c:pt idx="33">
                  <c:v>-3.9805659486629175</c:v>
                </c:pt>
                <c:pt idx="34">
                  <c:v>-5.6805659486629523</c:v>
                </c:pt>
                <c:pt idx="35">
                  <c:v>-5.7805659486627192</c:v>
                </c:pt>
                <c:pt idx="36">
                  <c:v>-5.6805659486629523</c:v>
                </c:pt>
                <c:pt idx="37">
                  <c:v>-5.6805659486629523</c:v>
                </c:pt>
                <c:pt idx="38">
                  <c:v>-6.5268598872392225</c:v>
                </c:pt>
                <c:pt idx="39">
                  <c:v>-6.981093286897444</c:v>
                </c:pt>
                <c:pt idx="40">
                  <c:v>-6.7776146865337061</c:v>
                </c:pt>
                <c:pt idx="41">
                  <c:v>-6.1554077755729963</c:v>
                </c:pt>
                <c:pt idx="42">
                  <c:v>-6.6869854245372728</c:v>
                </c:pt>
                <c:pt idx="43">
                  <c:v>-6.3805659486626531</c:v>
                </c:pt>
                <c:pt idx="44">
                  <c:v>-6.6447201969461744</c:v>
                </c:pt>
                <c:pt idx="45">
                  <c:v>-6.282203360022276</c:v>
                </c:pt>
                <c:pt idx="46">
                  <c:v>-6.5805659486626311</c:v>
                </c:pt>
                <c:pt idx="47">
                  <c:v>-6.3805659486626531</c:v>
                </c:pt>
                <c:pt idx="48">
                  <c:v>-6.2805659486628862</c:v>
                </c:pt>
                <c:pt idx="49">
                  <c:v>-6.3805659486626531</c:v>
                </c:pt>
                <c:pt idx="50">
                  <c:v>-6.4805659486628642</c:v>
                </c:pt>
                <c:pt idx="51">
                  <c:v>-7.0805659486627981</c:v>
                </c:pt>
                <c:pt idx="52">
                  <c:v>-5.9805659486626972</c:v>
                </c:pt>
                <c:pt idx="53">
                  <c:v>-6.3805659486626531</c:v>
                </c:pt>
                <c:pt idx="54">
                  <c:v>-6.5805659486626311</c:v>
                </c:pt>
                <c:pt idx="55">
                  <c:v>-6.3805659486626531</c:v>
                </c:pt>
                <c:pt idx="56">
                  <c:v>-6.7805659486626091</c:v>
                </c:pt>
                <c:pt idx="57">
                  <c:v>-5.5805659486627412</c:v>
                </c:pt>
                <c:pt idx="58">
                  <c:v>-6.6805659486628421</c:v>
                </c:pt>
                <c:pt idx="59">
                  <c:v>-6.6805659486628421</c:v>
                </c:pt>
                <c:pt idx="60">
                  <c:v>-6.6805659486628421</c:v>
                </c:pt>
                <c:pt idx="61">
                  <c:v>-7.0805659486627981</c:v>
                </c:pt>
                <c:pt idx="62">
                  <c:v>-7.0805659486627981</c:v>
                </c:pt>
                <c:pt idx="63">
                  <c:v>-7.3805659486629871</c:v>
                </c:pt>
                <c:pt idx="64">
                  <c:v>-7.3514575138786675</c:v>
                </c:pt>
                <c:pt idx="65">
                  <c:v>-6.5805659486626311</c:v>
                </c:pt>
                <c:pt idx="66">
                  <c:v>-7.5805659486629651</c:v>
                </c:pt>
                <c:pt idx="67">
                  <c:v>-7.0805659486627981</c:v>
                </c:pt>
                <c:pt idx="68">
                  <c:v>-6.8805659486628201</c:v>
                </c:pt>
                <c:pt idx="69">
                  <c:v>-7.4059202423755188</c:v>
                </c:pt>
                <c:pt idx="70">
                  <c:v>-8.0703923317009263</c:v>
                </c:pt>
                <c:pt idx="71">
                  <c:v>-6.5296957221985252</c:v>
                </c:pt>
                <c:pt idx="72">
                  <c:v>-7.5327158268079231</c:v>
                </c:pt>
                <c:pt idx="73">
                  <c:v>-7.4782531475188208</c:v>
                </c:pt>
                <c:pt idx="74">
                  <c:v>-7.4359879199281664</c:v>
                </c:pt>
                <c:pt idx="75">
                  <c:v>-6.8438487357354028</c:v>
                </c:pt>
                <c:pt idx="76">
                  <c:v>-7.2608282519066591</c:v>
                </c:pt>
                <c:pt idx="77">
                  <c:v>-7.3815249804289884</c:v>
                </c:pt>
                <c:pt idx="78">
                  <c:v>-8.1309539161202871</c:v>
                </c:pt>
                <c:pt idx="81">
                  <c:v>-7.7863070449244454</c:v>
                </c:pt>
                <c:pt idx="83">
                  <c:v>-7.7863070449244454</c:v>
                </c:pt>
                <c:pt idx="85">
                  <c:v>-9.8863070449244361</c:v>
                </c:pt>
                <c:pt idx="86">
                  <c:v>-11.227239537808131</c:v>
                </c:pt>
                <c:pt idx="87">
                  <c:v>-11.299998623095941</c:v>
                </c:pt>
                <c:pt idx="88">
                  <c:v>-11.257733395507064</c:v>
                </c:pt>
                <c:pt idx="89">
                  <c:v>-11.88630704492466</c:v>
                </c:pt>
                <c:pt idx="90">
                  <c:v>-11.517423469526111</c:v>
                </c:pt>
                <c:pt idx="91">
                  <c:v>-11.456861885119185</c:v>
                </c:pt>
                <c:pt idx="92">
                  <c:v>-11.100870295306819</c:v>
                </c:pt>
                <c:pt idx="93">
                  <c:v>-12.248555999264887</c:v>
                </c:pt>
                <c:pt idx="94">
                  <c:v>-11.723077206216903</c:v>
                </c:pt>
                <c:pt idx="95">
                  <c:v>-10.683890779142224</c:v>
                </c:pt>
                <c:pt idx="96">
                  <c:v>-10.949679498138742</c:v>
                </c:pt>
                <c:pt idx="97">
                  <c:v>-9.8743266993661649</c:v>
                </c:pt>
                <c:pt idx="98">
                  <c:v>-9.8804253442841272</c:v>
                </c:pt>
                <c:pt idx="99">
                  <c:v>-10.176281740784887</c:v>
                </c:pt>
                <c:pt idx="100">
                  <c:v>-11.070376226609557</c:v>
                </c:pt>
                <c:pt idx="101">
                  <c:v>-10.810686363609268</c:v>
                </c:pt>
                <c:pt idx="102">
                  <c:v>-10.496533399255714</c:v>
                </c:pt>
                <c:pt idx="103">
                  <c:v>-10.73835345844687</c:v>
                </c:pt>
                <c:pt idx="104">
                  <c:v>-10.810686363609268</c:v>
                </c:pt>
                <c:pt idx="105">
                  <c:v>-10.73835345844687</c:v>
                </c:pt>
                <c:pt idx="106">
                  <c:v>-10.309176230399064</c:v>
                </c:pt>
                <c:pt idx="107">
                  <c:v>-10.224645824349121</c:v>
                </c:pt>
                <c:pt idx="108">
                  <c:v>-10.532699932740641</c:v>
                </c:pt>
                <c:pt idx="109">
                  <c:v>-10.327472587209119</c:v>
                </c:pt>
                <c:pt idx="110">
                  <c:v>-12.339185261235119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Déplacements!$H$9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Déplacements!$H$10:$H$200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0.13899313453080708</c:v>
                </c:pt>
                <c:pt idx="2">
                  <c:v>-0.22962255831515677</c:v>
                </c:pt>
                <c:pt idx="3">
                  <c:v>-0.18735737987363166</c:v>
                </c:pt>
                <c:pt idx="4">
                  <c:v>0.90019313076705743</c:v>
                </c:pt>
                <c:pt idx="5">
                  <c:v>3.9205981631855735</c:v>
                </c:pt>
                <c:pt idx="6">
                  <c:v>4.5253615858849017</c:v>
                </c:pt>
                <c:pt idx="7">
                  <c:v>4.1027095858847673</c:v>
                </c:pt>
                <c:pt idx="8">
                  <c:v>3.6800575858846329</c:v>
                </c:pt>
                <c:pt idx="9">
                  <c:v>4.320560585885147</c:v>
                </c:pt>
                <c:pt idx="10">
                  <c:v>3.4866015858847632</c:v>
                </c:pt>
                <c:pt idx="11">
                  <c:v>4.5863494751445799</c:v>
                </c:pt>
                <c:pt idx="12">
                  <c:v>4.9667362776917301</c:v>
                </c:pt>
                <c:pt idx="13">
                  <c:v>6.4586425858852436</c:v>
                </c:pt>
                <c:pt idx="14">
                  <c:v>6.482611072295974</c:v>
                </c:pt>
                <c:pt idx="15">
                  <c:v>7.2316135676526727</c:v>
                </c:pt>
                <c:pt idx="16">
                  <c:v>6.6037341919464865</c:v>
                </c:pt>
                <c:pt idx="17">
                  <c:v>8.6093480100144504</c:v>
                </c:pt>
                <c:pt idx="18">
                  <c:v>7.5339955858853003</c:v>
                </c:pt>
                <c:pt idx="19">
                  <c:v>8.2951952567018594</c:v>
                </c:pt>
                <c:pt idx="20">
                  <c:v>8.2951952567018594</c:v>
                </c:pt>
                <c:pt idx="21">
                  <c:v>9.4306835858848359</c:v>
                </c:pt>
                <c:pt idx="22">
                  <c:v>8.6999775858851436</c:v>
                </c:pt>
                <c:pt idx="23">
                  <c:v>10.596665585884679</c:v>
                </c:pt>
                <c:pt idx="24">
                  <c:v>8.3591535858849042</c:v>
                </c:pt>
                <c:pt idx="25">
                  <c:v>8.3591535858849042</c:v>
                </c:pt>
                <c:pt idx="26">
                  <c:v>9.3591535858852382</c:v>
                </c:pt>
                <c:pt idx="27">
                  <c:v>9.3591535858852382</c:v>
                </c:pt>
                <c:pt idx="28">
                  <c:v>9.3591535858852382</c:v>
                </c:pt>
                <c:pt idx="29">
                  <c:v>9.3591535858852382</c:v>
                </c:pt>
                <c:pt idx="30">
                  <c:v>10.259153585884917</c:v>
                </c:pt>
                <c:pt idx="31">
                  <c:v>10.259153585884917</c:v>
                </c:pt>
                <c:pt idx="32">
                  <c:v>9.859153585884961</c:v>
                </c:pt>
                <c:pt idx="33">
                  <c:v>11.459153585884785</c:v>
                </c:pt>
                <c:pt idx="34">
                  <c:v>9.3591535858852382</c:v>
                </c:pt>
                <c:pt idx="35">
                  <c:v>10.059153585884495</c:v>
                </c:pt>
                <c:pt idx="36">
                  <c:v>10.359153585884684</c:v>
                </c:pt>
                <c:pt idx="37">
                  <c:v>10.359153585884684</c:v>
                </c:pt>
                <c:pt idx="38">
                  <c:v>10.666517307095447</c:v>
                </c:pt>
                <c:pt idx="39">
                  <c:v>10.131748262716123</c:v>
                </c:pt>
                <c:pt idx="40">
                  <c:v>9.8720579776561124</c:v>
                </c:pt>
                <c:pt idx="41">
                  <c:v>11.031941393474298</c:v>
                </c:pt>
                <c:pt idx="42">
                  <c:v>10.421931983422894</c:v>
                </c:pt>
                <c:pt idx="43">
                  <c:v>10.75915358588464</c:v>
                </c:pt>
                <c:pt idx="44">
                  <c:v>10.143945763589457</c:v>
                </c:pt>
                <c:pt idx="45">
                  <c:v>10.856781725459896</c:v>
                </c:pt>
                <c:pt idx="46">
                  <c:v>10.859153585885295</c:v>
                </c:pt>
                <c:pt idx="47">
                  <c:v>10.75915358588464</c:v>
                </c:pt>
                <c:pt idx="48">
                  <c:v>11.059153585884829</c:v>
                </c:pt>
                <c:pt idx="49">
                  <c:v>10.75915358588464</c:v>
                </c:pt>
                <c:pt idx="50">
                  <c:v>11.259153585885251</c:v>
                </c:pt>
                <c:pt idx="51">
                  <c:v>10.659153585884873</c:v>
                </c:pt>
                <c:pt idx="52">
                  <c:v>11.759153585884974</c:v>
                </c:pt>
                <c:pt idx="53">
                  <c:v>10.859153585885295</c:v>
                </c:pt>
                <c:pt idx="54">
                  <c:v>11.159153585884596</c:v>
                </c:pt>
                <c:pt idx="55">
                  <c:v>11.159153585884596</c:v>
                </c:pt>
                <c:pt idx="56">
                  <c:v>10.75915358588464</c:v>
                </c:pt>
                <c:pt idx="57">
                  <c:v>12.059153585885163</c:v>
                </c:pt>
                <c:pt idx="58">
                  <c:v>10.959153585885062</c:v>
                </c:pt>
                <c:pt idx="59">
                  <c:v>11.359153585885018</c:v>
                </c:pt>
                <c:pt idx="60">
                  <c:v>11.259153585885251</c:v>
                </c:pt>
                <c:pt idx="61">
                  <c:v>11.159153585884596</c:v>
                </c:pt>
                <c:pt idx="62">
                  <c:v>11.459153585884785</c:v>
                </c:pt>
                <c:pt idx="63">
                  <c:v>11.359153585885018</c:v>
                </c:pt>
                <c:pt idx="64">
                  <c:v>10.893374439064907</c:v>
                </c:pt>
                <c:pt idx="65">
                  <c:v>11.859153585884741</c:v>
                </c:pt>
                <c:pt idx="66">
                  <c:v>11.459153585884785</c:v>
                </c:pt>
                <c:pt idx="67">
                  <c:v>12.15915358588493</c:v>
                </c:pt>
                <c:pt idx="68">
                  <c:v>11.859153585884741</c:v>
                </c:pt>
                <c:pt idx="69">
                  <c:v>12.777864926487581</c:v>
                </c:pt>
                <c:pt idx="70">
                  <c:v>11.733006196415374</c:v>
                </c:pt>
                <c:pt idx="71">
                  <c:v>13.152579475264048</c:v>
                </c:pt>
                <c:pt idx="72">
                  <c:v>12.572637791946839</c:v>
                </c:pt>
                <c:pt idx="73">
                  <c:v>12.173954583386326</c:v>
                </c:pt>
                <c:pt idx="74">
                  <c:v>12.880691900344132</c:v>
                </c:pt>
                <c:pt idx="75">
                  <c:v>13.654089446647255</c:v>
                </c:pt>
                <c:pt idx="76">
                  <c:v>13.055851357348658</c:v>
                </c:pt>
                <c:pt idx="77">
                  <c:v>13.116412941742261</c:v>
                </c:pt>
                <c:pt idx="78">
                  <c:v>13.720323446666072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strRef>
              <c:f>Déplacements!$X$9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Déplacements!$X$10:$X$200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-0.25969007404835764</c:v>
                </c:pt>
                <c:pt idx="2">
                  <c:v>-0.12679563364770274</c:v>
                </c:pt>
                <c:pt idx="3">
                  <c:v>0.31415275330726189</c:v>
                </c:pt>
                <c:pt idx="4">
                  <c:v>-0.63397802064457665</c:v>
                </c:pt>
                <c:pt idx="5">
                  <c:v>-2.6644132808453236</c:v>
                </c:pt>
                <c:pt idx="6">
                  <c:v>-4.1981584299932706</c:v>
                </c:pt>
                <c:pt idx="7">
                  <c:v>-5.5271024299932137</c:v>
                </c:pt>
                <c:pt idx="8">
                  <c:v>-4.620810429993405</c:v>
                </c:pt>
                <c:pt idx="9">
                  <c:v>-5.9680504299928216</c:v>
                </c:pt>
                <c:pt idx="10">
                  <c:v>-5.9318844299927065</c:v>
                </c:pt>
                <c:pt idx="11">
                  <c:v>-6.4333942064482841</c:v>
                </c:pt>
                <c:pt idx="12">
                  <c:v>-5.6961630318159706</c:v>
                </c:pt>
                <c:pt idx="13">
                  <c:v>-6.0347114299927895</c:v>
                </c:pt>
                <c:pt idx="14">
                  <c:v>-6.3427651555079123</c:v>
                </c:pt>
                <c:pt idx="15">
                  <c:v>-6.5423198252503312</c:v>
                </c:pt>
                <c:pt idx="16">
                  <c:v>-7.9257267323900038</c:v>
                </c:pt>
                <c:pt idx="17">
                  <c:v>-5.2007519163703719</c:v>
                </c:pt>
                <c:pt idx="18">
                  <c:v>-7.103965429992698</c:v>
                </c:pt>
                <c:pt idx="19">
                  <c:v>-6.5418934340835122</c:v>
                </c:pt>
                <c:pt idx="20">
                  <c:v>-6.5418934340835122</c:v>
                </c:pt>
                <c:pt idx="21">
                  <c:v>-6.2643334299927744</c:v>
                </c:pt>
                <c:pt idx="22">
                  <c:v>-6.7231524299931067</c:v>
                </c:pt>
                <c:pt idx="23">
                  <c:v>-5.0373634299933912</c:v>
                </c:pt>
                <c:pt idx="24">
                  <c:v>-8.5098044299929398</c:v>
                </c:pt>
                <c:pt idx="25">
                  <c:v>-8.1098044299929839</c:v>
                </c:pt>
                <c:pt idx="26">
                  <c:v>-6.6098044299929271</c:v>
                </c:pt>
                <c:pt idx="27">
                  <c:v>-6.8098044299933491</c:v>
                </c:pt>
                <c:pt idx="28">
                  <c:v>-6.9098044299931161</c:v>
                </c:pt>
                <c:pt idx="29">
                  <c:v>-6.709804429992694</c:v>
                </c:pt>
                <c:pt idx="30">
                  <c:v>-6.709804429992694</c:v>
                </c:pt>
                <c:pt idx="31">
                  <c:v>-7.009804429992883</c:v>
                </c:pt>
                <c:pt idx="32">
                  <c:v>-7.4098044299928389</c:v>
                </c:pt>
                <c:pt idx="33">
                  <c:v>-5.8098044299930152</c:v>
                </c:pt>
                <c:pt idx="34">
                  <c:v>-7.2098044299933051</c:v>
                </c:pt>
                <c:pt idx="35">
                  <c:v>-7.309804429993072</c:v>
                </c:pt>
                <c:pt idx="36">
                  <c:v>-7.1098044299935381</c:v>
                </c:pt>
                <c:pt idx="37">
                  <c:v>-7.009804429992883</c:v>
                </c:pt>
                <c:pt idx="38">
                  <c:v>-7.9473782709253982</c:v>
                </c:pt>
                <c:pt idx="39">
                  <c:v>-8.0452650549771576</c:v>
                </c:pt>
                <c:pt idx="40">
                  <c:v>-8.0581948308653395</c:v>
                </c:pt>
                <c:pt idx="41">
                  <c:v>-7.5205183259585695</c:v>
                </c:pt>
                <c:pt idx="42">
                  <c:v>-7.919201485333538</c:v>
                </c:pt>
                <c:pt idx="43">
                  <c:v>-7.609804429993261</c:v>
                </c:pt>
                <c:pt idx="44">
                  <c:v>-8.0098307473095431</c:v>
                </c:pt>
                <c:pt idx="45">
                  <c:v>-7.5144194700182965</c:v>
                </c:pt>
                <c:pt idx="46">
                  <c:v>-7.90980442999345</c:v>
                </c:pt>
                <c:pt idx="47">
                  <c:v>-7.8098044299927949</c:v>
                </c:pt>
                <c:pt idx="48">
                  <c:v>-7.609804429993261</c:v>
                </c:pt>
                <c:pt idx="49">
                  <c:v>-7.609804429993261</c:v>
                </c:pt>
                <c:pt idx="50">
                  <c:v>-7.90980442999345</c:v>
                </c:pt>
                <c:pt idx="51">
                  <c:v>-8.2098044299927508</c:v>
                </c:pt>
                <c:pt idx="52">
                  <c:v>-7.2098044299933051</c:v>
                </c:pt>
                <c:pt idx="53">
                  <c:v>-7.5098044299934941</c:v>
                </c:pt>
                <c:pt idx="54">
                  <c:v>-7.8098044299927949</c:v>
                </c:pt>
                <c:pt idx="55">
                  <c:v>-7.609804429993261</c:v>
                </c:pt>
                <c:pt idx="56">
                  <c:v>-8.009804429993217</c:v>
                </c:pt>
                <c:pt idx="57">
                  <c:v>-7.309804429993072</c:v>
                </c:pt>
                <c:pt idx="58">
                  <c:v>-7.90980442999345</c:v>
                </c:pt>
                <c:pt idx="59">
                  <c:v>-7.8098044299927949</c:v>
                </c:pt>
                <c:pt idx="60">
                  <c:v>-7.709804429993028</c:v>
                </c:pt>
                <c:pt idx="61">
                  <c:v>-8.1098044299929839</c:v>
                </c:pt>
                <c:pt idx="66">
                  <c:v>-8.8098044299931288</c:v>
                </c:pt>
                <c:pt idx="67">
                  <c:v>-8.309804429993406</c:v>
                </c:pt>
                <c:pt idx="68">
                  <c:v>-7.8098044299927949</c:v>
                </c:pt>
                <c:pt idx="69">
                  <c:v>-8.5897724797918684</c:v>
                </c:pt>
                <c:pt idx="70">
                  <c:v>-8.9400915556039351</c:v>
                </c:pt>
                <c:pt idx="71">
                  <c:v>-7.5745546140986164</c:v>
                </c:pt>
                <c:pt idx="72">
                  <c:v>-8.2634219653821006</c:v>
                </c:pt>
                <c:pt idx="73">
                  <c:v>-8.2995882878762473</c:v>
                </c:pt>
                <c:pt idx="74">
                  <c:v>-8.257323109464032</c:v>
                </c:pt>
                <c:pt idx="75">
                  <c:v>-7.4839255631369284</c:v>
                </c:pt>
                <c:pt idx="76">
                  <c:v>-8.0337995688806174</c:v>
                </c:pt>
                <c:pt idx="77">
                  <c:v>-8.021601857013394</c:v>
                </c:pt>
                <c:pt idx="78">
                  <c:v>-8.9461904115308855</c:v>
                </c:pt>
                <c:pt idx="81">
                  <c:v>-8.1906626690662065</c:v>
                </c:pt>
                <c:pt idx="83">
                  <c:v>-8.1906626690662065</c:v>
                </c:pt>
                <c:pt idx="85">
                  <c:v>-10.190662669065986</c:v>
                </c:pt>
                <c:pt idx="86">
                  <c:v>-11.326325502269086</c:v>
                </c:pt>
                <c:pt idx="87">
                  <c:v>-10.87970465049537</c:v>
                </c:pt>
                <c:pt idx="88">
                  <c:v>-11.296257986541214</c:v>
                </c:pt>
                <c:pt idx="89">
                  <c:v>-11.690662669066043</c:v>
                </c:pt>
                <c:pt idx="90">
                  <c:v>-11.66487346833911</c:v>
                </c:pt>
                <c:pt idx="91">
                  <c:v>-11.555947849541504</c:v>
                </c:pt>
                <c:pt idx="92">
                  <c:v>-12.057884423091636</c:v>
                </c:pt>
                <c:pt idx="93">
                  <c:v>-12.69796108868082</c:v>
                </c:pt>
                <c:pt idx="94">
                  <c:v>-11.773799136313379</c:v>
                </c:pt>
                <c:pt idx="95">
                  <c:v>-10.559452992036533</c:v>
                </c:pt>
                <c:pt idx="96">
                  <c:v>-11.35072071501142</c:v>
                </c:pt>
                <c:pt idx="97">
                  <c:v>-10.190837510207551</c:v>
                </c:pt>
                <c:pt idx="98">
                  <c:v>-10.015677842213577</c:v>
                </c:pt>
                <c:pt idx="99">
                  <c:v>-10.806945565198234</c:v>
                </c:pt>
                <c:pt idx="100">
                  <c:v>-11.429152265108655</c:v>
                </c:pt>
                <c:pt idx="101">
                  <c:v>-10.994302734054884</c:v>
                </c:pt>
                <c:pt idx="102">
                  <c:v>-10.7646803867949</c:v>
                </c:pt>
                <c:pt idx="104">
                  <c:v>-11.121098318503719</c:v>
                </c:pt>
                <c:pt idx="105">
                  <c:v>-10.734612660018961</c:v>
                </c:pt>
                <c:pt idx="106">
                  <c:v>-10.269269060305675</c:v>
                </c:pt>
                <c:pt idx="107">
                  <c:v>-10.583421862849107</c:v>
                </c:pt>
                <c:pt idx="108">
                  <c:v>-10.589520718771617</c:v>
                </c:pt>
                <c:pt idx="109">
                  <c:v>-10.945938699715718</c:v>
                </c:pt>
                <c:pt idx="110">
                  <c:v>-13.525395134135643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28592"/>
        <c:axId val="513928984"/>
      </c:scatterChart>
      <c:scatterChart>
        <c:scatterStyle val="lineMarker"/>
        <c:varyColors val="0"/>
        <c:ser>
          <c:idx val="0"/>
          <c:order val="9"/>
          <c:tx>
            <c:v>Avancement du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ser>
          <c:idx val="14"/>
          <c:order val="10"/>
          <c:tx>
            <c:strRef>
              <c:f>'Graphiques F(date)'!$AA$75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29768"/>
        <c:axId val="513929376"/>
      </c:scatterChart>
      <c:valAx>
        <c:axId val="513928592"/>
        <c:scaling>
          <c:orientation val="minMax"/>
          <c:max val="44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8984"/>
        <c:crossesAt val="0"/>
        <c:crossBetween val="midCat"/>
        <c:majorUnit val="50"/>
      </c:valAx>
      <c:valAx>
        <c:axId val="513928984"/>
        <c:scaling>
          <c:orientation val="minMax"/>
          <c:max val="4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8592"/>
        <c:crosses val="autoZero"/>
        <c:crossBetween val="midCat"/>
      </c:valAx>
      <c:valAx>
        <c:axId val="513929376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9768"/>
        <c:crosses val="max"/>
        <c:crossBetween val="midCat"/>
      </c:valAx>
      <c:valAx>
        <c:axId val="513929768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2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2838981721081136"/>
          <c:y val="0.63461930760551211"/>
          <c:w val="0.72987939540263658"/>
          <c:h val="9.483775643865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Norme des déplacements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Déplacements!$F$9</c:f>
              <c:strCache>
                <c:ptCount val="1"/>
                <c:pt idx="0">
                  <c:v>Norme BG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0.9486833119284207</c:v>
                </c:pt>
                <c:pt idx="2">
                  <c:v>0.33166251700916594</c:v>
                </c:pt>
                <c:pt idx="3">
                  <c:v>0.7681145348294367</c:v>
                </c:pt>
                <c:pt idx="4">
                  <c:v>2.9068883345961711</c:v>
                </c:pt>
                <c:pt idx="5">
                  <c:v>4.6733285359087144</c:v>
                </c:pt>
                <c:pt idx="6">
                  <c:v>6.9749476570529341</c:v>
                </c:pt>
                <c:pt idx="7">
                  <c:v>6.1685011462311552</c:v>
                </c:pt>
                <c:pt idx="8">
                  <c:v>7.1309167813327363</c:v>
                </c:pt>
                <c:pt idx="9">
                  <c:v>7.1847174466169985</c:v>
                </c:pt>
                <c:pt idx="10">
                  <c:v>5.9363595017444828</c:v>
                </c:pt>
                <c:pt idx="11">
                  <c:v>7.1309185094443341</c:v>
                </c:pt>
                <c:pt idx="12">
                  <c:v>9.1972822056638197</c:v>
                </c:pt>
                <c:pt idx="13">
                  <c:v>8.7212256573794136</c:v>
                </c:pt>
                <c:pt idx="14">
                  <c:v>9.3043001155975986</c:v>
                </c:pt>
                <c:pt idx="15">
                  <c:v>9.7149370103407193</c:v>
                </c:pt>
                <c:pt idx="16">
                  <c:v>8.6284413994543261</c:v>
                </c:pt>
                <c:pt idx="17">
                  <c:v>11.115304769429974</c:v>
                </c:pt>
                <c:pt idx="18">
                  <c:v>10.208812413495741</c:v>
                </c:pt>
                <c:pt idx="19">
                  <c:v>11.104503593729309</c:v>
                </c:pt>
                <c:pt idx="20">
                  <c:v>11.102252026645164</c:v>
                </c:pt>
                <c:pt idx="21">
                  <c:v>11.315472304856414</c:v>
                </c:pt>
                <c:pt idx="22">
                  <c:v>11.203561749529507</c:v>
                </c:pt>
                <c:pt idx="23">
                  <c:v>12.61506111312722</c:v>
                </c:pt>
                <c:pt idx="24">
                  <c:v>10.424567164097894</c:v>
                </c:pt>
                <c:pt idx="25">
                  <c:v>10.812920236398124</c:v>
                </c:pt>
                <c:pt idx="26">
                  <c:v>12.021638778014582</c:v>
                </c:pt>
                <c:pt idx="27">
                  <c:v>11.861926536463011</c:v>
                </c:pt>
                <c:pt idx="28">
                  <c:v>11.850194159062749</c:v>
                </c:pt>
                <c:pt idx="29">
                  <c:v>12.20632199566986</c:v>
                </c:pt>
                <c:pt idx="30">
                  <c:v>12.663657155297924</c:v>
                </c:pt>
                <c:pt idx="31">
                  <c:v>12.546462242164619</c:v>
                </c:pt>
                <c:pt idx="32">
                  <c:v>12.439490206511843</c:v>
                </c:pt>
                <c:pt idx="33">
                  <c:v>13.585128729038512</c:v>
                </c:pt>
                <c:pt idx="34">
                  <c:v>12.509211297208266</c:v>
                </c:pt>
                <c:pt idx="35">
                  <c:v>12.650878955154724</c:v>
                </c:pt>
                <c:pt idx="36">
                  <c:v>13.00762593599125</c:v>
                </c:pt>
                <c:pt idx="37">
                  <c:v>13.133990475291217</c:v>
                </c:pt>
                <c:pt idx="38">
                  <c:v>13.205606905114728</c:v>
                </c:pt>
                <c:pt idx="39">
                  <c:v>12.710111742654934</c:v>
                </c:pt>
                <c:pt idx="40">
                  <c:v>12.714558431717407</c:v>
                </c:pt>
                <c:pt idx="41">
                  <c:v>13.527009903963448</c:v>
                </c:pt>
                <c:pt idx="42">
                  <c:v>12.801952885634245</c:v>
                </c:pt>
                <c:pt idx="43">
                  <c:v>13.496054960864813</c:v>
                </c:pt>
                <c:pt idx="44">
                  <c:v>12.90503774857631</c:v>
                </c:pt>
                <c:pt idx="45">
                  <c:v>13.40932517090501</c:v>
                </c:pt>
                <c:pt idx="46">
                  <c:v>13.561011136457848</c:v>
                </c:pt>
                <c:pt idx="47">
                  <c:v>13.547428667248763</c:v>
                </c:pt>
                <c:pt idx="48">
                  <c:v>13.732578794421993</c:v>
                </c:pt>
                <c:pt idx="49">
                  <c:v>13.365325534508012</c:v>
                </c:pt>
                <c:pt idx="50">
                  <c:v>13.791411977465959</c:v>
                </c:pt>
                <c:pt idx="51">
                  <c:v>13.412354402957824</c:v>
                </c:pt>
                <c:pt idx="52">
                  <c:v>14.753758109869112</c:v>
                </c:pt>
                <c:pt idx="53">
                  <c:v>13.503395834232133</c:v>
                </c:pt>
                <c:pt idx="54">
                  <c:v>12.306389460395382</c:v>
                </c:pt>
                <c:pt idx="55">
                  <c:v>13.909874808776355</c:v>
                </c:pt>
                <c:pt idx="56">
                  <c:v>13.507905074684523</c:v>
                </c:pt>
                <c:pt idx="57">
                  <c:v>14.432998925024409</c:v>
                </c:pt>
                <c:pt idx="58">
                  <c:v>13.767891806043501</c:v>
                </c:pt>
                <c:pt idx="59">
                  <c:v>14.207416648077203</c:v>
                </c:pt>
                <c:pt idx="60">
                  <c:v>14.207768572582463</c:v>
                </c:pt>
                <c:pt idx="61">
                  <c:v>13.864533645540465</c:v>
                </c:pt>
                <c:pt idx="62">
                  <c:v>14.094875453392817</c:v>
                </c:pt>
                <c:pt idx="63">
                  <c:v>14.04479227540028</c:v>
                </c:pt>
                <c:pt idx="64">
                  <c:v>13.926234135336562</c:v>
                </c:pt>
                <c:pt idx="65">
                  <c:v>14.693513161834904</c:v>
                </c:pt>
                <c:pt idx="66">
                  <c:v>14.108639679132683</c:v>
                </c:pt>
                <c:pt idx="67">
                  <c:v>14.593110724297558</c:v>
                </c:pt>
                <c:pt idx="68">
                  <c:v>14.764598821658369</c:v>
                </c:pt>
                <c:pt idx="69">
                  <c:v>15.356431731647262</c:v>
                </c:pt>
                <c:pt idx="70">
                  <c:v>14.500689686817308</c:v>
                </c:pt>
                <c:pt idx="71">
                  <c:v>15.741346701319431</c:v>
                </c:pt>
                <c:pt idx="72">
                  <c:v>15.128119472398291</c:v>
                </c:pt>
                <c:pt idx="73">
                  <c:v>14.90838673876574</c:v>
                </c:pt>
                <c:pt idx="74">
                  <c:v>15.223994245063688</c:v>
                </c:pt>
                <c:pt idx="75">
                  <c:v>16.319926486822713</c:v>
                </c:pt>
                <c:pt idx="76">
                  <c:v>15.64768357998793</c:v>
                </c:pt>
                <c:pt idx="77">
                  <c:v>15.814234031292063</c:v>
                </c:pt>
                <c:pt idx="78">
                  <c:v>16.001874891056083</c:v>
                </c:pt>
                <c:pt idx="81">
                  <c:v>15.401623207759769</c:v>
                </c:pt>
                <c:pt idx="83">
                  <c:v>15.401623207759769</c:v>
                </c:pt>
                <c:pt idx="85">
                  <c:v>13.451541830328464</c:v>
                </c:pt>
                <c:pt idx="86">
                  <c:v>14.455585499844904</c:v>
                </c:pt>
                <c:pt idx="87">
                  <c:v>12.249998102747638</c:v>
                </c:pt>
                <c:pt idx="88">
                  <c:v>12.148616193364699</c:v>
                </c:pt>
                <c:pt idx="89">
                  <c:v>11.778457799781245</c:v>
                </c:pt>
                <c:pt idx="90">
                  <c:v>12.268031276970952</c:v>
                </c:pt>
                <c:pt idx="91">
                  <c:v>14.42078245675639</c:v>
                </c:pt>
                <c:pt idx="92">
                  <c:v>15.454577901243757</c:v>
                </c:pt>
                <c:pt idx="93">
                  <c:v>12.5496853715646</c:v>
                </c:pt>
                <c:pt idx="94">
                  <c:v>13.039705084032686</c:v>
                </c:pt>
                <c:pt idx="95">
                  <c:v>14.256515579236247</c:v>
                </c:pt>
                <c:pt idx="96">
                  <c:v>14.347387168755024</c:v>
                </c:pt>
                <c:pt idx="97">
                  <c:v>14.537158079725987</c:v>
                </c:pt>
                <c:pt idx="98">
                  <c:v>14.536003322273592</c:v>
                </c:pt>
                <c:pt idx="100">
                  <c:v>15.150119424701597</c:v>
                </c:pt>
                <c:pt idx="101">
                  <c:v>15.13306614590824</c:v>
                </c:pt>
                <c:pt idx="102">
                  <c:v>14.939701895580553</c:v>
                </c:pt>
                <c:pt idx="103">
                  <c:v>14.342931019429392</c:v>
                </c:pt>
                <c:pt idx="104">
                  <c:v>15.634202249069777</c:v>
                </c:pt>
                <c:pt idx="105">
                  <c:v>15.035875563406421</c:v>
                </c:pt>
                <c:pt idx="106">
                  <c:v>15.939273167057513</c:v>
                </c:pt>
                <c:pt idx="107">
                  <c:v>15.83769473823221</c:v>
                </c:pt>
                <c:pt idx="108">
                  <c:v>15.649545679182209</c:v>
                </c:pt>
                <c:pt idx="109">
                  <c:v>15.838100573831442</c:v>
                </c:pt>
                <c:pt idx="110">
                  <c:v>18.658505325885884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66CCFF"/>
              </a:soli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0.88317610882287212</c:v>
                </c:pt>
                <c:pt idx="2">
                  <c:v>0.655743894808552</c:v>
                </c:pt>
                <c:pt idx="3">
                  <c:v>0.90000001691520737</c:v>
                </c:pt>
                <c:pt idx="4">
                  <c:v>2.1118712131896729</c:v>
                </c:pt>
                <c:pt idx="5">
                  <c:v>2.8600699185849257</c:v>
                </c:pt>
                <c:pt idx="6">
                  <c:v>5.3721682568805926</c:v>
                </c:pt>
                <c:pt idx="7">
                  <c:v>8.176800031522129</c:v>
                </c:pt>
                <c:pt idx="8">
                  <c:v>8.1277074425726781</c:v>
                </c:pt>
                <c:pt idx="9">
                  <c:v>9.4010492325438726</c:v>
                </c:pt>
                <c:pt idx="10">
                  <c:v>8.2643812378118238</c:v>
                </c:pt>
                <c:pt idx="11">
                  <c:v>10.022973610163127</c:v>
                </c:pt>
                <c:pt idx="12">
                  <c:v>9.8030607534229635</c:v>
                </c:pt>
                <c:pt idx="13">
                  <c:v>10.176936078521258</c:v>
                </c:pt>
                <c:pt idx="14">
                  <c:v>10.404806576347903</c:v>
                </c:pt>
                <c:pt idx="15">
                  <c:v>11.06435720858012</c:v>
                </c:pt>
                <c:pt idx="16">
                  <c:v>11.869709363565933</c:v>
                </c:pt>
                <c:pt idx="17">
                  <c:v>12.487593846270729</c:v>
                </c:pt>
                <c:pt idx="18">
                  <c:v>12.405253260358126</c:v>
                </c:pt>
                <c:pt idx="19">
                  <c:v>13.029965474052391</c:v>
                </c:pt>
                <c:pt idx="20">
                  <c:v>13.78767566542545</c:v>
                </c:pt>
                <c:pt idx="21">
                  <c:v>13.104193518315789</c:v>
                </c:pt>
                <c:pt idx="22">
                  <c:v>14.169696460043758</c:v>
                </c:pt>
                <c:pt idx="23">
                  <c:v>13.848464736463283</c:v>
                </c:pt>
                <c:pt idx="24">
                  <c:v>14.836710715835753</c:v>
                </c:pt>
                <c:pt idx="25">
                  <c:v>15.083834247684731</c:v>
                </c:pt>
                <c:pt idx="26">
                  <c:v>15.334698127266677</c:v>
                </c:pt>
                <c:pt idx="27">
                  <c:v>15.623835496769049</c:v>
                </c:pt>
                <c:pt idx="28">
                  <c:v>15.925804738860686</c:v>
                </c:pt>
                <c:pt idx="29">
                  <c:v>16.262435316648663</c:v>
                </c:pt>
                <c:pt idx="30">
                  <c:v>16.688637031896238</c:v>
                </c:pt>
                <c:pt idx="31">
                  <c:v>16.595877317412032</c:v>
                </c:pt>
                <c:pt idx="32">
                  <c:v>17.531545635053266</c:v>
                </c:pt>
                <c:pt idx="33">
                  <c:v>17.797249971776772</c:v>
                </c:pt>
                <c:pt idx="34">
                  <c:v>18.231439558948413</c:v>
                </c:pt>
                <c:pt idx="35">
                  <c:v>18.307701549446694</c:v>
                </c:pt>
                <c:pt idx="36">
                  <c:v>18.331487663901811</c:v>
                </c:pt>
                <c:pt idx="37">
                  <c:v>18.600584903277213</c:v>
                </c:pt>
                <c:pt idx="38">
                  <c:v>19.71236219668431</c:v>
                </c:pt>
                <c:pt idx="39">
                  <c:v>19.72705417497842</c:v>
                </c:pt>
                <c:pt idx="40">
                  <c:v>19.15228446255519</c:v>
                </c:pt>
                <c:pt idx="41">
                  <c:v>20.03324584437949</c:v>
                </c:pt>
                <c:pt idx="42">
                  <c:v>20.20618717150256</c:v>
                </c:pt>
                <c:pt idx="43">
                  <c:v>20.224206899693066</c:v>
                </c:pt>
                <c:pt idx="44">
                  <c:v>20.201485102072755</c:v>
                </c:pt>
                <c:pt idx="45">
                  <c:v>20.740781101614143</c:v>
                </c:pt>
                <c:pt idx="46">
                  <c:v>20.756004670876287</c:v>
                </c:pt>
                <c:pt idx="47">
                  <c:v>20.812839707626349</c:v>
                </c:pt>
                <c:pt idx="48">
                  <c:v>21.20966875435348</c:v>
                </c:pt>
                <c:pt idx="49">
                  <c:v>21.221853585851314</c:v>
                </c:pt>
                <c:pt idx="50">
                  <c:v>21.511789084586237</c:v>
                </c:pt>
                <c:pt idx="51">
                  <c:v>21.880381227786099</c:v>
                </c:pt>
                <c:pt idx="52">
                  <c:v>21.941326021688621</c:v>
                </c:pt>
                <c:pt idx="53">
                  <c:v>21.778728790260587</c:v>
                </c:pt>
                <c:pt idx="54">
                  <c:v>21.822963361967595</c:v>
                </c:pt>
                <c:pt idx="55">
                  <c:v>22.39336557094293</c:v>
                </c:pt>
                <c:pt idx="56">
                  <c:v>22.078126694028526</c:v>
                </c:pt>
                <c:pt idx="57">
                  <c:v>23.129199467700737</c:v>
                </c:pt>
                <c:pt idx="58">
                  <c:v>22.63249072500399</c:v>
                </c:pt>
                <c:pt idx="59">
                  <c:v>23.098565045542546</c:v>
                </c:pt>
                <c:pt idx="60">
                  <c:v>23.20753022485162</c:v>
                </c:pt>
                <c:pt idx="61">
                  <c:v>23.347605857293772</c:v>
                </c:pt>
                <c:pt idx="62">
                  <c:v>23.950020296257836</c:v>
                </c:pt>
                <c:pt idx="63">
                  <c:v>24.807699777348418</c:v>
                </c:pt>
                <c:pt idx="64">
                  <c:v>23.96455716189876</c:v>
                </c:pt>
                <c:pt idx="65">
                  <c:v>24.844402297942608</c:v>
                </c:pt>
                <c:pt idx="66">
                  <c:v>24.932040199740221</c:v>
                </c:pt>
                <c:pt idx="67">
                  <c:v>25.274342906228512</c:v>
                </c:pt>
                <c:pt idx="68">
                  <c:v>26.299250005154839</c:v>
                </c:pt>
                <c:pt idx="69">
                  <c:v>26.695692542901249</c:v>
                </c:pt>
                <c:pt idx="70">
                  <c:v>26.70599185666363</c:v>
                </c:pt>
                <c:pt idx="71">
                  <c:v>26.962752082054486</c:v>
                </c:pt>
                <c:pt idx="72">
                  <c:v>25.981916786255567</c:v>
                </c:pt>
                <c:pt idx="73">
                  <c:v>26.438986378801445</c:v>
                </c:pt>
                <c:pt idx="74">
                  <c:v>27.073972752143241</c:v>
                </c:pt>
                <c:pt idx="75">
                  <c:v>26.907433914791593</c:v>
                </c:pt>
                <c:pt idx="76">
                  <c:v>27.909317449473711</c:v>
                </c:pt>
                <c:pt idx="77">
                  <c:v>28.040863054989444</c:v>
                </c:pt>
                <c:pt idx="78">
                  <c:v>29.642199654151547</c:v>
                </c:pt>
                <c:pt idx="81">
                  <c:v>29.420740992008106</c:v>
                </c:pt>
                <c:pt idx="83">
                  <c:v>29.420740992008106</c:v>
                </c:pt>
                <c:pt idx="85">
                  <c:v>30.147196989406069</c:v>
                </c:pt>
                <c:pt idx="86">
                  <c:v>31.432612506137847</c:v>
                </c:pt>
                <c:pt idx="87">
                  <c:v>30.733806398413797</c:v>
                </c:pt>
                <c:pt idx="88">
                  <c:v>31.034007676712495</c:v>
                </c:pt>
                <c:pt idx="89">
                  <c:v>32.605441524704524</c:v>
                </c:pt>
                <c:pt idx="90">
                  <c:v>31.724054912127894</c:v>
                </c:pt>
                <c:pt idx="91">
                  <c:v>32.88395605413961</c:v>
                </c:pt>
                <c:pt idx="92">
                  <c:v>32.823005076249792</c:v>
                </c:pt>
                <c:pt idx="93">
                  <c:v>33.081908101525599</c:v>
                </c:pt>
                <c:pt idx="94">
                  <c:v>33.653070053403518</c:v>
                </c:pt>
                <c:pt idx="95">
                  <c:v>33.824536743255905</c:v>
                </c:pt>
                <c:pt idx="96">
                  <c:v>33.032941654882038</c:v>
                </c:pt>
                <c:pt idx="97">
                  <c:v>33.027244193252798</c:v>
                </c:pt>
                <c:pt idx="98">
                  <c:v>33.604704102661152</c:v>
                </c:pt>
                <c:pt idx="99">
                  <c:v>34.749255465039795</c:v>
                </c:pt>
                <c:pt idx="100">
                  <c:v>34.054708664597797</c:v>
                </c:pt>
                <c:pt idx="101">
                  <c:v>34.226959074896364</c:v>
                </c:pt>
                <c:pt idx="102">
                  <c:v>34.064635135136363</c:v>
                </c:pt>
                <c:pt idx="103">
                  <c:v>34.109925499885705</c:v>
                </c:pt>
                <c:pt idx="104">
                  <c:v>34.728739042218322</c:v>
                </c:pt>
                <c:pt idx="105">
                  <c:v>34.588206148863854</c:v>
                </c:pt>
                <c:pt idx="106">
                  <c:v>35.024867786474815</c:v>
                </c:pt>
                <c:pt idx="107">
                  <c:v>35.592768629535669</c:v>
                </c:pt>
                <c:pt idx="108">
                  <c:v>35.791172864136918</c:v>
                </c:pt>
                <c:pt idx="109">
                  <c:v>35.155661863747568</c:v>
                </c:pt>
                <c:pt idx="110">
                  <c:v>43.830064937925066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Déplacements!$AD$9</c:f>
              <c:strCache>
                <c:ptCount val="1"/>
                <c:pt idx="0">
                  <c:v>Norme BD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Déplacements!$AD$10:$AD$200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0.5385166000483903</c:v>
                </c:pt>
                <c:pt idx="2">
                  <c:v>0.37416582280329325</c:v>
                </c:pt>
                <c:pt idx="3">
                  <c:v>0.30000006611568414</c:v>
                </c:pt>
                <c:pt idx="4">
                  <c:v>0.61644144538106249</c:v>
                </c:pt>
                <c:pt idx="5">
                  <c:v>2.6267850656995542</c:v>
                </c:pt>
                <c:pt idx="6">
                  <c:v>5.964897998590688</c:v>
                </c:pt>
                <c:pt idx="7">
                  <c:v>6.4637499106340544</c:v>
                </c:pt>
                <c:pt idx="8">
                  <c:v>6.4637499106340544</c:v>
                </c:pt>
                <c:pt idx="9">
                  <c:v>7.5332531164442385</c:v>
                </c:pt>
                <c:pt idx="10">
                  <c:v>7.4094662761305337</c:v>
                </c:pt>
                <c:pt idx="11">
                  <c:v>7.055494159855221</c:v>
                </c:pt>
                <c:pt idx="12">
                  <c:v>7.7129759162914828</c:v>
                </c:pt>
                <c:pt idx="13">
                  <c:v>7.422274776473154</c:v>
                </c:pt>
                <c:pt idx="14">
                  <c:v>7.5637291433820568</c:v>
                </c:pt>
                <c:pt idx="15">
                  <c:v>6.7416614522612406</c:v>
                </c:pt>
                <c:pt idx="16">
                  <c:v>8.8022724281349713</c:v>
                </c:pt>
                <c:pt idx="17">
                  <c:v>7.202777099565</c:v>
                </c:pt>
                <c:pt idx="18">
                  <c:v>8.7937535422639783</c:v>
                </c:pt>
                <c:pt idx="19">
                  <c:v>8.7469994860333262</c:v>
                </c:pt>
                <c:pt idx="20">
                  <c:v>8.6781334403585895</c:v>
                </c:pt>
                <c:pt idx="21">
                  <c:v>8.0423766590883137</c:v>
                </c:pt>
                <c:pt idx="22">
                  <c:v>8.9252572941941679</c:v>
                </c:pt>
                <c:pt idx="23">
                  <c:v>8.3462791021735239</c:v>
                </c:pt>
                <c:pt idx="24">
                  <c:v>10.368216009669872</c:v>
                </c:pt>
                <c:pt idx="25">
                  <c:v>9.7573161735759673</c:v>
                </c:pt>
                <c:pt idx="26">
                  <c:v>9.0814946877668241</c:v>
                </c:pt>
                <c:pt idx="27">
                  <c:v>9.433877927805673</c:v>
                </c:pt>
                <c:pt idx="28">
                  <c:v>9.17567621161513</c:v>
                </c:pt>
                <c:pt idx="29">
                  <c:v>9.0484382578721316</c:v>
                </c:pt>
                <c:pt idx="30">
                  <c:v>8.9831690388989553</c:v>
                </c:pt>
                <c:pt idx="31">
                  <c:v>9.5898939117655875</c:v>
                </c:pt>
                <c:pt idx="32">
                  <c:v>9.9132606678413122</c:v>
                </c:pt>
                <c:pt idx="33">
                  <c:v>8.5514045218426133</c:v>
                </c:pt>
                <c:pt idx="34">
                  <c:v>10.066917824112325</c:v>
                </c:pt>
                <c:pt idx="35">
                  <c:v>9.6937972833199257</c:v>
                </c:pt>
                <c:pt idx="36">
                  <c:v>9.8723127862352023</c:v>
                </c:pt>
                <c:pt idx="37">
                  <c:v>10.019480051277309</c:v>
                </c:pt>
                <c:pt idx="38">
                  <c:v>10.365005067801233</c:v>
                </c:pt>
                <c:pt idx="40">
                  <c:v>10.681292019616077</c:v>
                </c:pt>
                <c:pt idx="41">
                  <c:v>9.9448477710254384</c:v>
                </c:pt>
                <c:pt idx="42">
                  <c:v>10.769401027777379</c:v>
                </c:pt>
                <c:pt idx="43">
                  <c:v>10.533670202349183</c:v>
                </c:pt>
                <c:pt idx="44">
                  <c:v>10.721940057201323</c:v>
                </c:pt>
                <c:pt idx="46">
                  <c:v>10.729014449328837</c:v>
                </c:pt>
                <c:pt idx="47">
                  <c:v>10.797678497955919</c:v>
                </c:pt>
                <c:pt idx="48">
                  <c:v>10.581030570407185</c:v>
                </c:pt>
                <c:pt idx="49">
                  <c:v>10.869862735600206</c:v>
                </c:pt>
                <c:pt idx="50">
                  <c:v>10.847573965877237</c:v>
                </c:pt>
                <c:pt idx="51">
                  <c:v>10.938170842812685</c:v>
                </c:pt>
                <c:pt idx="52">
                  <c:v>10.42346115435703</c:v>
                </c:pt>
                <c:pt idx="53">
                  <c:v>10.524139812319458</c:v>
                </c:pt>
                <c:pt idx="54">
                  <c:v>10.814367761813591</c:v>
                </c:pt>
                <c:pt idx="55">
                  <c:v>10.559463190781653</c:v>
                </c:pt>
                <c:pt idx="56">
                  <c:v>11.089252182114222</c:v>
                </c:pt>
                <c:pt idx="57">
                  <c:v>10.486272371014577</c:v>
                </c:pt>
                <c:pt idx="58">
                  <c:v>10.991429113565363</c:v>
                </c:pt>
                <c:pt idx="59">
                  <c:v>10.919799713460581</c:v>
                </c:pt>
                <c:pt idx="60">
                  <c:v>11.043556296473428</c:v>
                </c:pt>
                <c:pt idx="61">
                  <c:v>11.272260470483483</c:v>
                </c:pt>
                <c:pt idx="62">
                  <c:v>11.178989273133721</c:v>
                </c:pt>
                <c:pt idx="64">
                  <c:v>11.054863007931326</c:v>
                </c:pt>
                <c:pt idx="66">
                  <c:v>11.430762032517384</c:v>
                </c:pt>
                <c:pt idx="67">
                  <c:v>11.287045638097362</c:v>
                </c:pt>
                <c:pt idx="68">
                  <c:v>11.211385038852615</c:v>
                </c:pt>
                <c:pt idx="69">
                  <c:v>11.624972968141137</c:v>
                </c:pt>
                <c:pt idx="70">
                  <c:v>11.800847440118858</c:v>
                </c:pt>
                <c:pt idx="71">
                  <c:v>11.089634758568808</c:v>
                </c:pt>
                <c:pt idx="72">
                  <c:v>11.717934873315585</c:v>
                </c:pt>
                <c:pt idx="73">
                  <c:v>11.823282097138044</c:v>
                </c:pt>
                <c:pt idx="74">
                  <c:v>11.665333152969525</c:v>
                </c:pt>
                <c:pt idx="75">
                  <c:v>11.482595464214937</c:v>
                </c:pt>
                <c:pt idx="76">
                  <c:v>11.184811103268856</c:v>
                </c:pt>
                <c:pt idx="77">
                  <c:v>11.751595632819441</c:v>
                </c:pt>
                <c:pt idx="78">
                  <c:v>12.048236364928378</c:v>
                </c:pt>
                <c:pt idx="81">
                  <c:v>12.365678220374122</c:v>
                </c:pt>
                <c:pt idx="83">
                  <c:v>12.365678220374122</c:v>
                </c:pt>
                <c:pt idx="85">
                  <c:v>13.32383325817208</c:v>
                </c:pt>
                <c:pt idx="86">
                  <c:v>14.822205765769414</c:v>
                </c:pt>
                <c:pt idx="87">
                  <c:v>14.163701883460599</c:v>
                </c:pt>
                <c:pt idx="88">
                  <c:v>14.663115419460906</c:v>
                </c:pt>
                <c:pt idx="89">
                  <c:v>15.626887805290066</c:v>
                </c:pt>
                <c:pt idx="90">
                  <c:v>15.117769694885377</c:v>
                </c:pt>
                <c:pt idx="91">
                  <c:v>14.041707086850829</c:v>
                </c:pt>
                <c:pt idx="93">
                  <c:v>15.487605413506063</c:v>
                </c:pt>
                <c:pt idx="94">
                  <c:v>14.662035873751996</c:v>
                </c:pt>
                <c:pt idx="95">
                  <c:v>14.182930060862676</c:v>
                </c:pt>
                <c:pt idx="99">
                  <c:v>14.283479317390206</c:v>
                </c:pt>
                <c:pt idx="100">
                  <c:v>15.221385224155764</c:v>
                </c:pt>
                <c:pt idx="101">
                  <c:v>14.89328176056596</c:v>
                </c:pt>
                <c:pt idx="102">
                  <c:v>14.312201537178996</c:v>
                </c:pt>
                <c:pt idx="105">
                  <c:v>14.042704893993884</c:v>
                </c:pt>
                <c:pt idx="106">
                  <c:v>14.439230905058018</c:v>
                </c:pt>
                <c:pt idx="107">
                  <c:v>14.183209957977073</c:v>
                </c:pt>
                <c:pt idx="108">
                  <c:v>14.459593333101427</c:v>
                </c:pt>
                <c:pt idx="109">
                  <c:v>14.44822745693109</c:v>
                </c:pt>
                <c:pt idx="110">
                  <c:v>18.290718832438753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Déplacements!$N$9</c:f>
              <c:strCache>
                <c:ptCount val="1"/>
                <c:pt idx="0">
                  <c:v>Norme HG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Déplacements!$N$10:$N$200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0.10000006295070564</c:v>
                </c:pt>
                <c:pt idx="2">
                  <c:v>0.59160788753986848</c:v>
                </c:pt>
                <c:pt idx="3">
                  <c:v>0.78102492786195699</c:v>
                </c:pt>
                <c:pt idx="4">
                  <c:v>2.3430749189030644</c:v>
                </c:pt>
                <c:pt idx="5">
                  <c:v>3.9051247859546523</c:v>
                </c:pt>
                <c:pt idx="6">
                  <c:v>5.2811239587727714</c:v>
                </c:pt>
                <c:pt idx="7">
                  <c:v>5.8727890789943791</c:v>
                </c:pt>
                <c:pt idx="8">
                  <c:v>6.77422358610447</c:v>
                </c:pt>
                <c:pt idx="9">
                  <c:v>6.8095432933630686</c:v>
                </c:pt>
                <c:pt idx="10">
                  <c:v>6.1489863942227476</c:v>
                </c:pt>
                <c:pt idx="11">
                  <c:v>6.7742157995574592</c:v>
                </c:pt>
                <c:pt idx="12">
                  <c:v>7.5026660856874612</c:v>
                </c:pt>
                <c:pt idx="13">
                  <c:v>7.3925672202979369</c:v>
                </c:pt>
                <c:pt idx="14">
                  <c:v>7.2842294176062818</c:v>
                </c:pt>
                <c:pt idx="15">
                  <c:v>8.556284174037188</c:v>
                </c:pt>
                <c:pt idx="16">
                  <c:v>7.2097154856353027</c:v>
                </c:pt>
                <c:pt idx="17">
                  <c:v>9.7667802519542786</c:v>
                </c:pt>
                <c:pt idx="18">
                  <c:v>8.5399243391568103</c:v>
                </c:pt>
                <c:pt idx="19">
                  <c:v>9.6633327482309408</c:v>
                </c:pt>
                <c:pt idx="20">
                  <c:v>9.7329337716350484</c:v>
                </c:pt>
                <c:pt idx="21">
                  <c:v>9.8737099941838391</c:v>
                </c:pt>
                <c:pt idx="22">
                  <c:v>9.7867122383008152</c:v>
                </c:pt>
                <c:pt idx="25">
                  <c:v>9.4236067439198745</c:v>
                </c:pt>
                <c:pt idx="26">
                  <c:v>10.561289113607291</c:v>
                </c:pt>
                <c:pt idx="27">
                  <c:v>10.673644470109471</c:v>
                </c:pt>
                <c:pt idx="28">
                  <c:v>10.599046971801933</c:v>
                </c:pt>
                <c:pt idx="29">
                  <c:v>10.837571645717098</c:v>
                </c:pt>
                <c:pt idx="30">
                  <c:v>11.400253358843786</c:v>
                </c:pt>
                <c:pt idx="31">
                  <c:v>11.202488203940277</c:v>
                </c:pt>
                <c:pt idx="32">
                  <c:v>11.154413108743542</c:v>
                </c:pt>
                <c:pt idx="34">
                  <c:v>11.513142341397726</c:v>
                </c:pt>
                <c:pt idx="35">
                  <c:v>11.526850730497232</c:v>
                </c:pt>
                <c:pt idx="36">
                  <c:v>11.992717125117364</c:v>
                </c:pt>
                <c:pt idx="37">
                  <c:v>12.091795549114078</c:v>
                </c:pt>
                <c:pt idx="38">
                  <c:v>11.441226734465431</c:v>
                </c:pt>
                <c:pt idx="39">
                  <c:v>11.911257245675493</c:v>
                </c:pt>
                <c:pt idx="40">
                  <c:v>11.374972424071437</c:v>
                </c:pt>
                <c:pt idx="42">
                  <c:v>12.022478925011523</c:v>
                </c:pt>
                <c:pt idx="43">
                  <c:v>12.430628433711808</c:v>
                </c:pt>
                <c:pt idx="44">
                  <c:v>11.921828697407561</c:v>
                </c:pt>
                <c:pt idx="45">
                  <c:v>12.222110983319121</c:v>
                </c:pt>
                <c:pt idx="46">
                  <c:v>11.903579798254407</c:v>
                </c:pt>
                <c:pt idx="47">
                  <c:v>12.370466597995515</c:v>
                </c:pt>
                <c:pt idx="48">
                  <c:v>12.817158873905983</c:v>
                </c:pt>
                <c:pt idx="49">
                  <c:v>12.648342788155707</c:v>
                </c:pt>
                <c:pt idx="50">
                  <c:v>12.630021674866102</c:v>
                </c:pt>
                <c:pt idx="51">
                  <c:v>12.334845323947954</c:v>
                </c:pt>
                <c:pt idx="54">
                  <c:v>12.803538285563643</c:v>
                </c:pt>
                <c:pt idx="55">
                  <c:v>13.089333239686841</c:v>
                </c:pt>
                <c:pt idx="56">
                  <c:v>12.648342788155707</c:v>
                </c:pt>
                <c:pt idx="58">
                  <c:v>12.925660113833299</c:v>
                </c:pt>
                <c:pt idx="59">
                  <c:v>13.171062987412999</c:v>
                </c:pt>
                <c:pt idx="60">
                  <c:v>13.613524622666144</c:v>
                </c:pt>
                <c:pt idx="61">
                  <c:v>13.095483688422961</c:v>
                </c:pt>
                <c:pt idx="62">
                  <c:v>13.209530386572006</c:v>
                </c:pt>
                <c:pt idx="64">
                  <c:v>13.0805197172463</c:v>
                </c:pt>
                <c:pt idx="81">
                  <c:v>15.539304860998557</c:v>
                </c:pt>
                <c:pt idx="83">
                  <c:v>15.539304860998557</c:v>
                </c:pt>
                <c:pt idx="85">
                  <c:v>13.698590116995739</c:v>
                </c:pt>
                <c:pt idx="86">
                  <c:v>14.062999666423087</c:v>
                </c:pt>
                <c:pt idx="87">
                  <c:v>12.38046489353945</c:v>
                </c:pt>
                <c:pt idx="88">
                  <c:v>12.553171503985521</c:v>
                </c:pt>
                <c:pt idx="89">
                  <c:v>13.053228163416318</c:v>
                </c:pt>
                <c:pt idx="90">
                  <c:v>12.83028223362399</c:v>
                </c:pt>
                <c:pt idx="91">
                  <c:v>14.4407521308678</c:v>
                </c:pt>
                <c:pt idx="92">
                  <c:v>14.867384915872593</c:v>
                </c:pt>
                <c:pt idx="94">
                  <c:v>13.284619330490759</c:v>
                </c:pt>
                <c:pt idx="95">
                  <c:v>14.54439308430997</c:v>
                </c:pt>
                <c:pt idx="96">
                  <c:v>14.153447930715151</c:v>
                </c:pt>
                <c:pt idx="97">
                  <c:v>15.121650705689982</c:v>
                </c:pt>
                <c:pt idx="98">
                  <c:v>15.207471221888255</c:v>
                </c:pt>
                <c:pt idx="99">
                  <c:v>15.655526623221339</c:v>
                </c:pt>
                <c:pt idx="100">
                  <c:v>15.647996204047949</c:v>
                </c:pt>
                <c:pt idx="101">
                  <c:v>15.691323587339289</c:v>
                </c:pt>
                <c:pt idx="102">
                  <c:v>15.598008841819643</c:v>
                </c:pt>
                <c:pt idx="103">
                  <c:v>14.862402371234008</c:v>
                </c:pt>
                <c:pt idx="104">
                  <c:v>16.205495705236462</c:v>
                </c:pt>
                <c:pt idx="105">
                  <c:v>15.687666164605069</c:v>
                </c:pt>
                <c:pt idx="106">
                  <c:v>16.776726106820028</c:v>
                </c:pt>
                <c:pt idx="107">
                  <c:v>16.988468183641231</c:v>
                </c:pt>
                <c:pt idx="108">
                  <c:v>16.406118001386872</c:v>
                </c:pt>
                <c:pt idx="109">
                  <c:v>16.291517461389969</c:v>
                </c:pt>
                <c:pt idx="110">
                  <c:v>21.85604278155305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Déplacements!$V$9</c:f>
              <c:strCache>
                <c:ptCount val="1"/>
                <c:pt idx="0">
                  <c:v>Norme HD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Déplacements!$V$10:$V$200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0.17320515345128537</c:v>
                </c:pt>
                <c:pt idx="2">
                  <c:v>0.33166251700696414</c:v>
                </c:pt>
                <c:pt idx="3">
                  <c:v>0.41231062825554893</c:v>
                </c:pt>
                <c:pt idx="4">
                  <c:v>0.73484702950048841</c:v>
                </c:pt>
                <c:pt idx="5">
                  <c:v>1.6031218776907983</c:v>
                </c:pt>
                <c:pt idx="6">
                  <c:v>2.922317689486488</c:v>
                </c:pt>
                <c:pt idx="7">
                  <c:v>4.5541344829842325</c:v>
                </c:pt>
                <c:pt idx="8">
                  <c:v>4.5541344829842325</c:v>
                </c:pt>
                <c:pt idx="9">
                  <c:v>5.5982173315982298</c:v>
                </c:pt>
                <c:pt idx="10">
                  <c:v>5.2258787358136161</c:v>
                </c:pt>
                <c:pt idx="11">
                  <c:v>5.8940648336065724</c:v>
                </c:pt>
                <c:pt idx="12">
                  <c:v>5.3009432449187157</c:v>
                </c:pt>
                <c:pt idx="13">
                  <c:v>5.3347813631324383</c:v>
                </c:pt>
                <c:pt idx="14">
                  <c:v>6.0671244203235917</c:v>
                </c:pt>
                <c:pt idx="15">
                  <c:v>5.4212544147164374</c:v>
                </c:pt>
                <c:pt idx="16">
                  <c:v>7.3416618667091305</c:v>
                </c:pt>
                <c:pt idx="17">
                  <c:v>5.9782940454452795</c:v>
                </c:pt>
                <c:pt idx="18">
                  <c:v>6.8796837250169816</c:v>
                </c:pt>
                <c:pt idx="19">
                  <c:v>6.9057945942503345</c:v>
                </c:pt>
                <c:pt idx="20">
                  <c:v>7.2208032086463136</c:v>
                </c:pt>
                <c:pt idx="21">
                  <c:v>6.4171607945135491</c:v>
                </c:pt>
                <c:pt idx="22">
                  <c:v>7.4310154172903244</c:v>
                </c:pt>
                <c:pt idx="23">
                  <c:v>6.9122910114998684</c:v>
                </c:pt>
                <c:pt idx="24">
                  <c:v>8.6371793232227265</c:v>
                </c:pt>
                <c:pt idx="25">
                  <c:v>8.2473734659739826</c:v>
                </c:pt>
                <c:pt idx="26">
                  <c:v>7.7851700880059882</c:v>
                </c:pt>
                <c:pt idx="27">
                  <c:v>7.7882764293481088</c:v>
                </c:pt>
                <c:pt idx="28">
                  <c:v>8.0289784253749605</c:v>
                </c:pt>
                <c:pt idx="29">
                  <c:v>8.1567292038015644</c:v>
                </c:pt>
                <c:pt idx="30">
                  <c:v>7.9821382740925326</c:v>
                </c:pt>
                <c:pt idx="31">
                  <c:v>8.1126504531780093</c:v>
                </c:pt>
                <c:pt idx="32">
                  <c:v>8.914660604502215</c:v>
                </c:pt>
                <c:pt idx="33">
                  <c:v>8.1527773349532087</c:v>
                </c:pt>
                <c:pt idx="34">
                  <c:v>9.1367601612141502</c:v>
                </c:pt>
                <c:pt idx="35">
                  <c:v>9.1363717736623382</c:v>
                </c:pt>
                <c:pt idx="36">
                  <c:v>9.066141006272737</c:v>
                </c:pt>
                <c:pt idx="37">
                  <c:v>9.275795720240648</c:v>
                </c:pt>
                <c:pt idx="38">
                  <c:v>10.22592032311379</c:v>
                </c:pt>
                <c:pt idx="39">
                  <c:v>10.450159526795503</c:v>
                </c:pt>
                <c:pt idx="40">
                  <c:v>9.8442876934776358</c:v>
                </c:pt>
                <c:pt idx="41">
                  <c:v>10.356157552572475</c:v>
                </c:pt>
                <c:pt idx="42">
                  <c:v>10.356640361234234</c:v>
                </c:pt>
                <c:pt idx="43">
                  <c:v>10.263470986918898</c:v>
                </c:pt>
                <c:pt idx="44">
                  <c:v>10.16316874450289</c:v>
                </c:pt>
                <c:pt idx="45">
                  <c:v>10.41969283823973</c:v>
                </c:pt>
                <c:pt idx="46">
                  <c:v>10.382410989522711</c:v>
                </c:pt>
                <c:pt idx="47">
                  <c:v>10.410515678842499</c:v>
                </c:pt>
                <c:pt idx="48">
                  <c:v>10.295386673685904</c:v>
                </c:pt>
                <c:pt idx="49">
                  <c:v>10.48469535558746</c:v>
                </c:pt>
                <c:pt idx="50">
                  <c:v>10.59320921697231</c:v>
                </c:pt>
                <c:pt idx="51">
                  <c:v>11.243988934315588</c:v>
                </c:pt>
                <c:pt idx="52">
                  <c:v>10.887497149813704</c:v>
                </c:pt>
                <c:pt idx="53">
                  <c:v>10.888879881494201</c:v>
                </c:pt>
                <c:pt idx="54">
                  <c:v>10.75381132228928</c:v>
                </c:pt>
                <c:pt idx="55">
                  <c:v>11.092738016353321</c:v>
                </c:pt>
                <c:pt idx="56">
                  <c:v>10.952775422619592</c:v>
                </c:pt>
                <c:pt idx="57">
                  <c:v>11.507476256888323</c:v>
                </c:pt>
                <c:pt idx="58">
                  <c:v>11.320994347559154</c:v>
                </c:pt>
                <c:pt idx="59">
                  <c:v>11.529208548999337</c:v>
                </c:pt>
                <c:pt idx="60">
                  <c:v>11.587941426988253</c:v>
                </c:pt>
                <c:pt idx="61">
                  <c:v>11.659829716914704</c:v>
                </c:pt>
                <c:pt idx="62">
                  <c:v>11.917797291380586</c:v>
                </c:pt>
                <c:pt idx="63">
                  <c:v>12.578379336160028</c:v>
                </c:pt>
                <c:pt idx="64">
                  <c:v>11.79194640606061</c:v>
                </c:pt>
                <c:pt idx="65">
                  <c:v>12.397219973799626</c:v>
                </c:pt>
                <c:pt idx="66">
                  <c:v>12.722077188110676</c:v>
                </c:pt>
                <c:pt idx="67">
                  <c:v>12.647243203676737</c:v>
                </c:pt>
                <c:pt idx="68">
                  <c:v>13.329431515268139</c:v>
                </c:pt>
                <c:pt idx="69">
                  <c:v>13.393655186644457</c:v>
                </c:pt>
                <c:pt idx="70">
                  <c:v>13.737539802151185</c:v>
                </c:pt>
                <c:pt idx="71">
                  <c:v>13.727709158898382</c:v>
                </c:pt>
                <c:pt idx="72">
                  <c:v>13.194695859035933</c:v>
                </c:pt>
                <c:pt idx="73">
                  <c:v>13.640381259998852</c:v>
                </c:pt>
                <c:pt idx="74">
                  <c:v>14.004999113431936</c:v>
                </c:pt>
                <c:pt idx="75">
                  <c:v>13.373481267022663</c:v>
                </c:pt>
                <c:pt idx="76">
                  <c:v>14.469277776352117</c:v>
                </c:pt>
                <c:pt idx="77">
                  <c:v>14.550257672405802</c:v>
                </c:pt>
                <c:pt idx="78">
                  <c:v>15.639053664904223</c:v>
                </c:pt>
                <c:pt idx="81">
                  <c:v>14.907045287578958</c:v>
                </c:pt>
                <c:pt idx="83">
                  <c:v>14.907045287578958</c:v>
                </c:pt>
                <c:pt idx="85">
                  <c:v>16.555440025381351</c:v>
                </c:pt>
                <c:pt idx="86">
                  <c:v>17.708525795212545</c:v>
                </c:pt>
                <c:pt idx="87">
                  <c:v>17.145912793003085</c:v>
                </c:pt>
                <c:pt idx="88">
                  <c:v>16.884955718188372</c:v>
                </c:pt>
                <c:pt idx="89">
                  <c:v>17.925732509353828</c:v>
                </c:pt>
                <c:pt idx="90">
                  <c:v>17.394633389377482</c:v>
                </c:pt>
                <c:pt idx="91">
                  <c:v>18.344992986475493</c:v>
                </c:pt>
                <c:pt idx="92">
                  <c:v>17.838870206177585</c:v>
                </c:pt>
                <c:pt idx="93">
                  <c:v>18.475511315734288</c:v>
                </c:pt>
                <c:pt idx="94">
                  <c:v>18.473859097932937</c:v>
                </c:pt>
                <c:pt idx="95">
                  <c:v>18.02698312382649</c:v>
                </c:pt>
                <c:pt idx="96">
                  <c:v>17.492330546458195</c:v>
                </c:pt>
                <c:pt idx="97">
                  <c:v>17.007870332040461</c:v>
                </c:pt>
                <c:pt idx="98">
                  <c:v>17.473855321367814</c:v>
                </c:pt>
                <c:pt idx="99">
                  <c:v>18.45263625598394</c:v>
                </c:pt>
                <c:pt idx="100">
                  <c:v>18.171831004638008</c:v>
                </c:pt>
                <c:pt idx="101">
                  <c:v>18.211916569303266</c:v>
                </c:pt>
                <c:pt idx="102">
                  <c:v>17.871089190111743</c:v>
                </c:pt>
                <c:pt idx="103">
                  <c:v>18.02605480175183</c:v>
                </c:pt>
                <c:pt idx="104">
                  <c:v>18.371551516610058</c:v>
                </c:pt>
                <c:pt idx="105">
                  <c:v>18.427931292345786</c:v>
                </c:pt>
                <c:pt idx="106">
                  <c:v>18.368983130068766</c:v>
                </c:pt>
                <c:pt idx="107">
                  <c:v>18.298042272383736</c:v>
                </c:pt>
                <c:pt idx="108">
                  <c:v>19.150677710538194</c:v>
                </c:pt>
                <c:pt idx="109">
                  <c:v>18.21904082004761</c:v>
                </c:pt>
                <c:pt idx="110">
                  <c:v>23.319813018918687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Déplacements!$J$9</c:f>
              <c:strCache>
                <c:ptCount val="1"/>
                <c:pt idx="0">
                  <c:v>Norme IG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0.24494886514452593</c:v>
                </c:pt>
                <c:pt idx="2">
                  <c:v>0.50990207483120265</c:v>
                </c:pt>
                <c:pt idx="3">
                  <c:v>0.37416589519244625</c:v>
                </c:pt>
                <c:pt idx="4">
                  <c:v>0.96953585103387485</c:v>
                </c:pt>
                <c:pt idx="5">
                  <c:v>3.9974991969476874</c:v>
                </c:pt>
                <c:pt idx="6">
                  <c:v>4.9132447217290141</c:v>
                </c:pt>
                <c:pt idx="7">
                  <c:v>5.0139809416326342</c:v>
                </c:pt>
                <c:pt idx="8">
                  <c:v>5.2287727887847684</c:v>
                </c:pt>
                <c:pt idx="9">
                  <c:v>6.044025205564787</c:v>
                </c:pt>
                <c:pt idx="10">
                  <c:v>4.7507803444534389</c:v>
                </c:pt>
                <c:pt idx="11">
                  <c:v>6.2080592588330266</c:v>
                </c:pt>
                <c:pt idx="12">
                  <c:v>5.9715994377262795</c:v>
                </c:pt>
                <c:pt idx="13">
                  <c:v>6.8388597532875757</c:v>
                </c:pt>
                <c:pt idx="14">
                  <c:v>6.6678331489979694</c:v>
                </c:pt>
                <c:pt idx="15">
                  <c:v>7.3328030070164685</c:v>
                </c:pt>
                <c:pt idx="16">
                  <c:v>7.1288145834306604</c:v>
                </c:pt>
                <c:pt idx="17">
                  <c:v>8.954328517521823</c:v>
                </c:pt>
                <c:pt idx="18">
                  <c:v>7.8778070294617928</c:v>
                </c:pt>
                <c:pt idx="19">
                  <c:v>8.6197447829401508</c:v>
                </c:pt>
                <c:pt idx="20">
                  <c:v>8.6614086685136567</c:v>
                </c:pt>
                <c:pt idx="21">
                  <c:v>9.5257567363647677</c:v>
                </c:pt>
                <c:pt idx="22">
                  <c:v>9.0454316860801764</c:v>
                </c:pt>
                <c:pt idx="23">
                  <c:v>10.690652111528747</c:v>
                </c:pt>
                <c:pt idx="24">
                  <c:v>8.5143571326187022</c:v>
                </c:pt>
                <c:pt idx="25">
                  <c:v>8.5980498190936796</c:v>
                </c:pt>
                <c:pt idx="26">
                  <c:v>9.7238388935736033</c:v>
                </c:pt>
                <c:pt idx="27">
                  <c:v>9.6203357279446777</c:v>
                </c:pt>
                <c:pt idx="28">
                  <c:v>9.7033497824632988</c:v>
                </c:pt>
                <c:pt idx="29">
                  <c:v>9.6976799803266811</c:v>
                </c:pt>
                <c:pt idx="30">
                  <c:v>10.474220264318779</c:v>
                </c:pt>
                <c:pt idx="31">
                  <c:v>10.511678353167275</c:v>
                </c:pt>
                <c:pt idx="32">
                  <c:v>10.162485166494395</c:v>
                </c:pt>
                <c:pt idx="33">
                  <c:v>11.59012638474033</c:v>
                </c:pt>
                <c:pt idx="34">
                  <c:v>10.001272682785036</c:v>
                </c:pt>
                <c:pt idx="35">
                  <c:v>10.48951835552394</c:v>
                </c:pt>
                <c:pt idx="36">
                  <c:v>10.814415339601101</c:v>
                </c:pt>
                <c:pt idx="37">
                  <c:v>10.903931246109797</c:v>
                </c:pt>
                <c:pt idx="38">
                  <c:v>11.081879649320177</c:v>
                </c:pt>
                <c:pt idx="39">
                  <c:v>10.445905771051166</c:v>
                </c:pt>
                <c:pt idx="40">
                  <c:v>10.242558119596685</c:v>
                </c:pt>
                <c:pt idx="41">
                  <c:v>11.389029823010269</c:v>
                </c:pt>
                <c:pt idx="42">
                  <c:v>10.940749335945918</c:v>
                </c:pt>
                <c:pt idx="43">
                  <c:v>11.302346636366789</c:v>
                </c:pt>
                <c:pt idx="44">
                  <c:v>10.545615234106181</c:v>
                </c:pt>
                <c:pt idx="45">
                  <c:v>11.234767414730198</c:v>
                </c:pt>
                <c:pt idx="46">
                  <c:v>11.223038592146528</c:v>
                </c:pt>
                <c:pt idx="47">
                  <c:v>11.233296392136747</c:v>
                </c:pt>
                <c:pt idx="48">
                  <c:v>11.525729477353224</c:v>
                </c:pt>
                <c:pt idx="49">
                  <c:v>11.266986893623811</c:v>
                </c:pt>
                <c:pt idx="50">
                  <c:v>11.686233593078464</c:v>
                </c:pt>
                <c:pt idx="51">
                  <c:v>11.143027922827715</c:v>
                </c:pt>
                <c:pt idx="52">
                  <c:v>12.327912974836776</c:v>
                </c:pt>
                <c:pt idx="53">
                  <c:v>11.346311231003337</c:v>
                </c:pt>
                <c:pt idx="54">
                  <c:v>11.574030371798514</c:v>
                </c:pt>
                <c:pt idx="55">
                  <c:v>11.61405290476984</c:v>
                </c:pt>
                <c:pt idx="56">
                  <c:v>11.229289729702566</c:v>
                </c:pt>
                <c:pt idx="57">
                  <c:v>12.383152756545948</c:v>
                </c:pt>
                <c:pt idx="58">
                  <c:v>11.449480742284535</c:v>
                </c:pt>
                <c:pt idx="59">
                  <c:v>11.925270211569677</c:v>
                </c:pt>
                <c:pt idx="60">
                  <c:v>11.844757689766819</c:v>
                </c:pt>
                <c:pt idx="61">
                  <c:v>11.633755657667392</c:v>
                </c:pt>
                <c:pt idx="62">
                  <c:v>11.902592869888805</c:v>
                </c:pt>
                <c:pt idx="63">
                  <c:v>11.906633954928761</c:v>
                </c:pt>
                <c:pt idx="64">
                  <c:v>11.677756486130471</c:v>
                </c:pt>
                <c:pt idx="65">
                  <c:v>12.372511462716703</c:v>
                </c:pt>
                <c:pt idx="66">
                  <c:v>11.876766375737287</c:v>
                </c:pt>
                <c:pt idx="67">
                  <c:v>12.68544929048884</c:v>
                </c:pt>
                <c:pt idx="68">
                  <c:v>12.506768928557927</c:v>
                </c:pt>
                <c:pt idx="69">
                  <c:v>13.124404605842905</c:v>
                </c:pt>
                <c:pt idx="70">
                  <c:v>12.408061887622837</c:v>
                </c:pt>
                <c:pt idx="71">
                  <c:v>13.684297563595198</c:v>
                </c:pt>
                <c:pt idx="72">
                  <c:v>13.036103632496728</c:v>
                </c:pt>
                <c:pt idx="73">
                  <c:v>12.74754873494825</c:v>
                </c:pt>
                <c:pt idx="74">
                  <c:v>13.342038860566182</c:v>
                </c:pt>
                <c:pt idx="75">
                  <c:v>14.151678261606149</c:v>
                </c:pt>
                <c:pt idx="76">
                  <c:v>13.54437139809629</c:v>
                </c:pt>
                <c:pt idx="77">
                  <c:v>13.678450038358525</c:v>
                </c:pt>
                <c:pt idx="78">
                  <c:v>14.182383384076864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Déplacements!$Z$9</c:f>
              <c:strCache>
                <c:ptCount val="1"/>
                <c:pt idx="0">
                  <c:v>Norme ID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Déplacements!$Z$10:$Z$300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0.45825759983785375</c:v>
                </c:pt>
                <c:pt idx="2">
                  <c:v>0.42426411994136054</c:v>
                </c:pt>
                <c:pt idx="3">
                  <c:v>0.37416568913473003</c:v>
                </c:pt>
                <c:pt idx="4">
                  <c:v>1.5524174822273507</c:v>
                </c:pt>
                <c:pt idx="5">
                  <c:v>2.9274561456245065</c:v>
                </c:pt>
                <c:pt idx="6">
                  <c:v>4.6270785406077897</c:v>
                </c:pt>
                <c:pt idx="7">
                  <c:v>6.0340786380821028</c:v>
                </c:pt>
                <c:pt idx="8">
                  <c:v>5.4414916163639937</c:v>
                </c:pt>
                <c:pt idx="9">
                  <c:v>6.5192023299119244</c:v>
                </c:pt>
                <c:pt idx="10">
                  <c:v>6.3937301808274469</c:v>
                </c:pt>
                <c:pt idx="11">
                  <c:v>6.7386941787456918</c:v>
                </c:pt>
                <c:pt idx="12">
                  <c:v>6.3324560975145578</c:v>
                </c:pt>
                <c:pt idx="13">
                  <c:v>6.3031642058387911</c:v>
                </c:pt>
                <c:pt idx="14">
                  <c:v>6.6715815907453297</c:v>
                </c:pt>
                <c:pt idx="15">
                  <c:v>6.6880489742067883</c:v>
                </c:pt>
                <c:pt idx="16">
                  <c:v>8.0548121887547222</c:v>
                </c:pt>
                <c:pt idx="17">
                  <c:v>5.9816386308419727</c:v>
                </c:pt>
                <c:pt idx="18">
                  <c:v>7.376307595060033</c:v>
                </c:pt>
                <c:pt idx="19">
                  <c:v>7.161703681270974</c:v>
                </c:pt>
                <c:pt idx="20">
                  <c:v>7.1930521768120244</c:v>
                </c:pt>
                <c:pt idx="21">
                  <c:v>6.4660628256472155</c:v>
                </c:pt>
                <c:pt idx="22">
                  <c:v>7.3027573006595112</c:v>
                </c:pt>
                <c:pt idx="23">
                  <c:v>6.3984089348866533</c:v>
                </c:pt>
                <c:pt idx="24">
                  <c:v>8.6679159463937534</c:v>
                </c:pt>
                <c:pt idx="25">
                  <c:v>8.3183011729547882</c:v>
                </c:pt>
                <c:pt idx="26">
                  <c:v>7.3674418065834368</c:v>
                </c:pt>
                <c:pt idx="27">
                  <c:v>7.4212063644686594</c:v>
                </c:pt>
                <c:pt idx="28">
                  <c:v>7.5548574001861644</c:v>
                </c:pt>
                <c:pt idx="29">
                  <c:v>7.4176515227037632</c:v>
                </c:pt>
                <c:pt idx="30">
                  <c:v>7.2892206353673474</c:v>
                </c:pt>
                <c:pt idx="31">
                  <c:v>7.4752794922789532</c:v>
                </c:pt>
                <c:pt idx="32">
                  <c:v>8.0128443618439675</c:v>
                </c:pt>
                <c:pt idx="33">
                  <c:v>6.7240699901569689</c:v>
                </c:pt>
                <c:pt idx="34">
                  <c:v>8.3233054739882171</c:v>
                </c:pt>
                <c:pt idx="35">
                  <c:v>8.1259917312756222</c:v>
                </c:pt>
                <c:pt idx="36">
                  <c:v>7.9465602523838168</c:v>
                </c:pt>
                <c:pt idx="37">
                  <c:v>8.0457616884328704</c:v>
                </c:pt>
                <c:pt idx="38">
                  <c:v>8.6202603025672282</c:v>
                </c:pt>
                <c:pt idx="39">
                  <c:v>8.4157426029694342</c:v>
                </c:pt>
                <c:pt idx="40">
                  <c:v>8.6423377271965549</c:v>
                </c:pt>
                <c:pt idx="41">
                  <c:v>8.1614949793749609</c:v>
                </c:pt>
                <c:pt idx="42">
                  <c:v>8.568547090855537</c:v>
                </c:pt>
                <c:pt idx="43">
                  <c:v>8.3968818185537479</c:v>
                </c:pt>
                <c:pt idx="44">
                  <c:v>8.6319175144669735</c:v>
                </c:pt>
                <c:pt idx="45">
                  <c:v>8.2243540635798702</c:v>
                </c:pt>
                <c:pt idx="46">
                  <c:v>8.5891964605837661</c:v>
                </c:pt>
                <c:pt idx="47">
                  <c:v>8.6203916148788586</c:v>
                </c:pt>
                <c:pt idx="48">
                  <c:v>8.3137484434222415</c:v>
                </c:pt>
                <c:pt idx="49">
                  <c:v>8.43903014699473</c:v>
                </c:pt>
                <c:pt idx="50">
                  <c:v>8.7105173485783745</c:v>
                </c:pt>
                <c:pt idx="51">
                  <c:v>8.8380186099240881</c:v>
                </c:pt>
                <c:pt idx="52">
                  <c:v>8.3777693666301065</c:v>
                </c:pt>
                <c:pt idx="53">
                  <c:v>8.3985043003390203</c:v>
                </c:pt>
                <c:pt idx="54">
                  <c:v>8.4971957110858511</c:v>
                </c:pt>
                <c:pt idx="55">
                  <c:v>8.3191594034801195</c:v>
                </c:pt>
                <c:pt idx="56">
                  <c:v>8.8456022357323452</c:v>
                </c:pt>
                <c:pt idx="57">
                  <c:v>8.6462591383694818</c:v>
                </c:pt>
                <c:pt idx="58">
                  <c:v>8.6338810152582059</c:v>
                </c:pt>
                <c:pt idx="59">
                  <c:v>8.7086372463158597</c:v>
                </c:pt>
                <c:pt idx="60">
                  <c:v>8.8032280437596437</c:v>
                </c:pt>
                <c:pt idx="61">
                  <c:v>8.8925268766461798</c:v>
                </c:pt>
                <c:pt idx="66">
                  <c:v>9.3163040753300681</c:v>
                </c:pt>
                <c:pt idx="67">
                  <c:v>9.1022500528106516</c:v>
                </c:pt>
                <c:pt idx="68">
                  <c:v>9.0231921164681079</c:v>
                </c:pt>
                <c:pt idx="69">
                  <c:v>9.2021737636082115</c:v>
                </c:pt>
                <c:pt idx="70">
                  <c:v>9.639502025190783</c:v>
                </c:pt>
                <c:pt idx="71">
                  <c:v>8.8119236706816668</c:v>
                </c:pt>
                <c:pt idx="72">
                  <c:v>9.083501548361145</c:v>
                </c:pt>
                <c:pt idx="73">
                  <c:v>9.250405344637306</c:v>
                </c:pt>
                <c:pt idx="74">
                  <c:v>9.1766006669665323</c:v>
                </c:pt>
                <c:pt idx="75">
                  <c:v>8.7143559983006789</c:v>
                </c:pt>
                <c:pt idx="76">
                  <c:v>9.0000000075977216</c:v>
                </c:pt>
                <c:pt idx="77">
                  <c:v>9.1695146562852816</c:v>
                </c:pt>
                <c:pt idx="78">
                  <c:v>9.5885348206864194</c:v>
                </c:pt>
                <c:pt idx="81">
                  <c:v>9.49526194108042</c:v>
                </c:pt>
                <c:pt idx="83">
                  <c:v>9.49526194108042</c:v>
                </c:pt>
                <c:pt idx="85">
                  <c:v>10.770658351215225</c:v>
                </c:pt>
                <c:pt idx="86">
                  <c:v>12.178669997720277</c:v>
                </c:pt>
                <c:pt idx="87">
                  <c:v>11.231161046179656</c:v>
                </c:pt>
                <c:pt idx="88">
                  <c:v>11.960592202948806</c:v>
                </c:pt>
                <c:pt idx="89">
                  <c:v>12.352158779474044</c:v>
                </c:pt>
                <c:pt idx="90">
                  <c:v>12.203830715764424</c:v>
                </c:pt>
                <c:pt idx="91">
                  <c:v>12.305988927884039</c:v>
                </c:pt>
                <c:pt idx="92">
                  <c:v>12.262953591990188</c:v>
                </c:pt>
                <c:pt idx="93">
                  <c:v>13.146272084670121</c:v>
                </c:pt>
                <c:pt idx="94">
                  <c:v>12.103702187081398</c:v>
                </c:pt>
                <c:pt idx="95">
                  <c:v>10.992479751915271</c:v>
                </c:pt>
                <c:pt idx="96">
                  <c:v>11.920940614410776</c:v>
                </c:pt>
                <c:pt idx="97">
                  <c:v>10.760896458366798</c:v>
                </c:pt>
                <c:pt idx="98">
                  <c:v>10.543367081344247</c:v>
                </c:pt>
                <c:pt idx="99">
                  <c:v>11.493337349873448</c:v>
                </c:pt>
                <c:pt idx="100">
                  <c:v>12.110178236877655</c:v>
                </c:pt>
                <c:pt idx="101">
                  <c:v>11.539519745193015</c:v>
                </c:pt>
                <c:pt idx="102">
                  <c:v>11.388729304817305</c:v>
                </c:pt>
                <c:pt idx="104">
                  <c:v>11.743571115709575</c:v>
                </c:pt>
                <c:pt idx="105">
                  <c:v>11.195486337328669</c:v>
                </c:pt>
                <c:pt idx="106">
                  <c:v>10.966972437773858</c:v>
                </c:pt>
                <c:pt idx="107">
                  <c:v>11.249406447507415</c:v>
                </c:pt>
                <c:pt idx="108">
                  <c:v>11.181630109506317</c:v>
                </c:pt>
                <c:pt idx="109">
                  <c:v>11.554097157778624</c:v>
                </c:pt>
                <c:pt idx="110">
                  <c:v>14.160954260007443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'Graphiques F(date)'!$AC$64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F(date)'!$AE$64:$AE$65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F(date)'!$AD$64:$AD$65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"/>
          <c:order val="11"/>
          <c:tx>
            <c:v>Semaines</c:v>
          </c:tx>
          <c:spPr>
            <a:ln w="19050" cap="rnd">
              <a:solidFill>
                <a:srgbClr val="000080"/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B-46C0-8594-A880439CA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30552"/>
        <c:axId val="513930944"/>
        <c:extLst>
          <c:ext xmlns:c15="http://schemas.microsoft.com/office/drawing/2012/chart" uri="{02D57815-91ED-43cb-92C2-25804820EDAC}">
            <c15:filteredScatterSeries>
              <c15:ser>
                <c:idx val="14"/>
                <c:order val="10"/>
                <c:tx>
                  <c:strRef>
                    <c:extLst>
                      <c:ext uri="{02D57815-91ED-43cb-92C2-25804820EDAC}">
                        <c15:formulaRef>
                          <c15:sqref>'Graphiques F(date)'!$AA$51</c15:sqref>
                        </c15:formulaRef>
                      </c:ext>
                    </c:extLst>
                    <c:strCache>
                      <c:ptCount val="1"/>
                      <c:pt idx="0">
                        <c:v>Fin du confortement du tympan GVA3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F(date)'!$AA$52:$AA$54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43655</c:v>
                      </c:pt>
                      <c:pt idx="1">
                        <c:v>43655</c:v>
                      </c:pt>
                      <c:pt idx="2">
                        <c:v>43655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F(date)'!$AB$52:$AB$54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168</c:v>
                      </c:pt>
                      <c:pt idx="2">
                        <c:v>230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920-4E75-937B-B056BACBF73E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3"/>
          <c:order val="8"/>
          <c:tx>
            <c:v>Avancement du front</c:v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31728"/>
        <c:axId val="5139313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9"/>
                <c:tx>
                  <c:strRef>
                    <c:extLst>
                      <c:ext uri="{02D57815-91ED-43cb-92C2-25804820EDAC}">
                        <c15:formulaRef>
                          <c15:sqref>'Graphiques F(date)'!$AA$45</c15:sqref>
                        </c15:formulaRef>
                      </c:ext>
                    </c:extLst>
                    <c:strCache>
                      <c:ptCount val="1"/>
                      <c:pt idx="0">
                        <c:v>Début creusement</c:v>
                      </c:pt>
                    </c:strCache>
                  </c:strRef>
                </c:tx>
                <c:spPr>
                  <a:ln w="15875" cap="rnd">
                    <a:solidFill>
                      <a:schemeClr val="accent1"/>
                    </a:solidFill>
                    <a:prstDash val="sysDot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F(date)'!$AA$46:$AA$48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43605</c:v>
                      </c:pt>
                      <c:pt idx="1">
                        <c:v>43605</c:v>
                      </c:pt>
                      <c:pt idx="2">
                        <c:v>43605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F(date)'!$AB$46:$AB$48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167</c:v>
                      </c:pt>
                      <c:pt idx="2">
                        <c:v>230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9920-4E75-937B-B056BACBF73E}"/>
                  </c:ext>
                </c:extLst>
              </c15:ser>
            </c15:filteredScatterSeries>
          </c:ext>
        </c:extLst>
      </c:scatterChart>
      <c:valAx>
        <c:axId val="513930552"/>
        <c:scaling>
          <c:orientation val="minMax"/>
          <c:max val="44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30944"/>
        <c:crossesAt val="0"/>
        <c:crossBetween val="midCat"/>
        <c:majorUnit val="50"/>
      </c:valAx>
      <c:valAx>
        <c:axId val="513930944"/>
        <c:scaling>
          <c:orientation val="minMax"/>
          <c:max val="6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30552"/>
        <c:crosses val="autoZero"/>
        <c:crossBetween val="midCat"/>
      </c:valAx>
      <c:valAx>
        <c:axId val="513931336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31728"/>
        <c:crosses val="max"/>
        <c:crossBetween val="midCat"/>
      </c:valAx>
      <c:valAx>
        <c:axId val="513931728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3931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30795750721461113"/>
          <c:y val="0.60209862065367548"/>
          <c:w val="0.54755312648908894"/>
          <c:h val="0.14151671388487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Convergences!$D$10:$D$100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-0.98041206640786527</c:v>
                </c:pt>
                <c:pt idx="2">
                  <c:v>-0.37805926302070247</c:v>
                </c:pt>
                <c:pt idx="3">
                  <c:v>-0.67114094449216566</c:v>
                </c:pt>
                <c:pt idx="4">
                  <c:v>-2.5297503242462938</c:v>
                </c:pt>
                <c:pt idx="5">
                  <c:v>-5.4576835852691019</c:v>
                </c:pt>
                <c:pt idx="6">
                  <c:v>-8.9298504498804832</c:v>
                </c:pt>
                <c:pt idx="7">
                  <c:v>-9.7382832239913952</c:v>
                </c:pt>
                <c:pt idx="8">
                  <c:v>-9.7382830944976462</c:v>
                </c:pt>
                <c:pt idx="9">
                  <c:v>-11.383933061177132</c:v>
                </c:pt>
                <c:pt idx="10">
                  <c:v>-10.941169514098625</c:v>
                </c:pt>
                <c:pt idx="11">
                  <c:v>-12.467406508463341</c:v>
                </c:pt>
                <c:pt idx="12">
                  <c:v>-13.046453852797235</c:v>
                </c:pt>
                <c:pt idx="13">
                  <c:v>-13.789659592679193</c:v>
                </c:pt>
                <c:pt idx="14">
                  <c:v>-14.018038824675116</c:v>
                </c:pt>
                <c:pt idx="15">
                  <c:v>-14.945085260211322</c:v>
                </c:pt>
                <c:pt idx="16">
                  <c:v>-15.355261863308378</c:v>
                </c:pt>
                <c:pt idx="17">
                  <c:v>-15.715688987077314</c:v>
                </c:pt>
                <c:pt idx="18">
                  <c:v>-16.420985695875245</c:v>
                </c:pt>
                <c:pt idx="19">
                  <c:v>-16.684202584627883</c:v>
                </c:pt>
                <c:pt idx="20">
                  <c:v>-17.762529514214975</c:v>
                </c:pt>
                <c:pt idx="21">
                  <c:v>-17.364319337995759</c:v>
                </c:pt>
                <c:pt idx="22">
                  <c:v>-17.626104973214929</c:v>
                </c:pt>
                <c:pt idx="23">
                  <c:v>-17.722442544582329</c:v>
                </c:pt>
                <c:pt idx="24">
                  <c:v>-19.834669703858943</c:v>
                </c:pt>
                <c:pt idx="25">
                  <c:v>-19.366688162059553</c:v>
                </c:pt>
                <c:pt idx="26">
                  <c:v>-19.400075713133624</c:v>
                </c:pt>
                <c:pt idx="27">
                  <c:v>-19.836875030055268</c:v>
                </c:pt>
                <c:pt idx="28">
                  <c:v>-19.898439656867772</c:v>
                </c:pt>
                <c:pt idx="29">
                  <c:v>-20.896668317528899</c:v>
                </c:pt>
                <c:pt idx="30">
                  <c:v>-21.285254977041923</c:v>
                </c:pt>
                <c:pt idx="31">
                  <c:v>-21.811819055194803</c:v>
                </c:pt>
                <c:pt idx="32">
                  <c:v>-21.992766101980976</c:v>
                </c:pt>
                <c:pt idx="33">
                  <c:v>-21.688551855206128</c:v>
                </c:pt>
                <c:pt idx="34">
                  <c:v>-21.925994145593819</c:v>
                </c:pt>
                <c:pt idx="35">
                  <c:v>-22.324226601667441</c:v>
                </c:pt>
                <c:pt idx="36">
                  <c:v>-22.697256660304532</c:v>
                </c:pt>
                <c:pt idx="37">
                  <c:v>-22.803285887204261</c:v>
                </c:pt>
                <c:pt idx="38">
                  <c:v>-24.137220656538005</c:v>
                </c:pt>
                <c:pt idx="39">
                  <c:v>-24.292363321151811</c:v>
                </c:pt>
                <c:pt idx="40">
                  <c:v>-24.05664474624114</c:v>
                </c:pt>
                <c:pt idx="41">
                  <c:v>-24.616529316615399</c:v>
                </c:pt>
                <c:pt idx="42">
                  <c:v>-24.399238549746904</c:v>
                </c:pt>
                <c:pt idx="43">
                  <c:v>-24.752991922367684</c:v>
                </c:pt>
                <c:pt idx="44">
                  <c:v>-24.722547539608009</c:v>
                </c:pt>
                <c:pt idx="45">
                  <c:v>-25.003578218139033</c:v>
                </c:pt>
                <c:pt idx="46">
                  <c:v>-25.38251605888675</c:v>
                </c:pt>
                <c:pt idx="47">
                  <c:v>-25.301692062034142</c:v>
                </c:pt>
                <c:pt idx="48">
                  <c:v>-25.780727384450586</c:v>
                </c:pt>
                <c:pt idx="49">
                  <c:v>-25.51369694465766</c:v>
                </c:pt>
                <c:pt idx="50">
                  <c:v>-26.279032255166257</c:v>
                </c:pt>
                <c:pt idx="51">
                  <c:v>-26.288028548798081</c:v>
                </c:pt>
                <c:pt idx="52">
                  <c:v>-26.315401403851801</c:v>
                </c:pt>
                <c:pt idx="53">
                  <c:v>-25.775434379459838</c:v>
                </c:pt>
                <c:pt idx="54">
                  <c:v>-26.101725307340118</c:v>
                </c:pt>
                <c:pt idx="55">
                  <c:v>-26.521493432761112</c:v>
                </c:pt>
                <c:pt idx="56">
                  <c:v>-26.627482513290168</c:v>
                </c:pt>
                <c:pt idx="57">
                  <c:v>-26.595974513049292</c:v>
                </c:pt>
                <c:pt idx="58">
                  <c:v>-27.153471173232191</c:v>
                </c:pt>
                <c:pt idx="59">
                  <c:v>-27.117702874400074</c:v>
                </c:pt>
                <c:pt idx="60">
                  <c:v>-27.242963313499402</c:v>
                </c:pt>
                <c:pt idx="61">
                  <c:v>-27.814000048149268</c:v>
                </c:pt>
                <c:pt idx="62">
                  <c:v>-28.325672040240057</c:v>
                </c:pt>
                <c:pt idx="63">
                  <c:v>-28.702411993428711</c:v>
                </c:pt>
                <c:pt idx="64">
                  <c:v>-28.263455699020668</c:v>
                </c:pt>
                <c:pt idx="65">
                  <c:v>-28.64087490731837</c:v>
                </c:pt>
                <c:pt idx="66">
                  <c:v>-29.100601473408538</c:v>
                </c:pt>
                <c:pt idx="67">
                  <c:v>-29.325937077305575</c:v>
                </c:pt>
                <c:pt idx="68">
                  <c:v>-29.632069417149687</c:v>
                </c:pt>
                <c:pt idx="69">
                  <c:v>-31.266524853579725</c:v>
                </c:pt>
                <c:pt idx="70">
                  <c:v>-30.80247130539604</c:v>
                </c:pt>
                <c:pt idx="71">
                  <c:v>-30.347605429192903</c:v>
                </c:pt>
                <c:pt idx="72">
                  <c:v>-30.829798983100787</c:v>
                </c:pt>
                <c:pt idx="73">
                  <c:v>-30.520468736473738</c:v>
                </c:pt>
                <c:pt idx="74">
                  <c:v>-30.974304997086755</c:v>
                </c:pt>
                <c:pt idx="75">
                  <c:v>-31.545337525693107</c:v>
                </c:pt>
                <c:pt idx="76">
                  <c:v>-31.489671948949471</c:v>
                </c:pt>
                <c:pt idx="77">
                  <c:v>-31.851446222947999</c:v>
                </c:pt>
                <c:pt idx="78">
                  <c:v>-33.67803509714129</c:v>
                </c:pt>
                <c:pt idx="79">
                  <c:v>-34.252282911398702</c:v>
                </c:pt>
                <c:pt idx="81">
                  <c:v>-33.18865406892435</c:v>
                </c:pt>
                <c:pt idx="83">
                  <c:v>-32.891303419863682</c:v>
                </c:pt>
                <c:pt idx="85">
                  <c:v>-32.935720289818171</c:v>
                </c:pt>
                <c:pt idx="86">
                  <c:v>-35.514172308221958</c:v>
                </c:pt>
                <c:pt idx="87">
                  <c:v>-33.271469853380253</c:v>
                </c:pt>
                <c:pt idx="88">
                  <c:v>-34.058408573060639</c:v>
                </c:pt>
                <c:pt idx="89">
                  <c:v>-34.72076302632221</c:v>
                </c:pt>
                <c:pt idx="90">
                  <c:v>-34.481981476687906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-0.11729645286617796</c:v>
                </c:pt>
                <c:pt idx="2">
                  <c:v>-0.38031175937636164</c:v>
                </c:pt>
                <c:pt idx="3">
                  <c:v>-0.42888979103139491</c:v>
                </c:pt>
                <c:pt idx="4">
                  <c:v>-1.7840822959556135</c:v>
                </c:pt>
                <c:pt idx="5">
                  <c:v>-3.9584360345088498</c:v>
                </c:pt>
                <c:pt idx="6">
                  <c:v>-7.9403648755125289</c:v>
                </c:pt>
                <c:pt idx="7">
                  <c:v>-8.007005682960866</c:v>
                </c:pt>
                <c:pt idx="8">
                  <c:v>-8.4930544611143688</c:v>
                </c:pt>
                <c:pt idx="9">
                  <c:v>-9.3773462920081485</c:v>
                </c:pt>
                <c:pt idx="10">
                  <c:v>-8.3939027121378018</c:v>
                </c:pt>
                <c:pt idx="11">
                  <c:v>-9.6649258753904732</c:v>
                </c:pt>
                <c:pt idx="12">
                  <c:v>-10.620962277164914</c:v>
                </c:pt>
                <c:pt idx="13">
                  <c:v>-11.532925074419609</c:v>
                </c:pt>
                <c:pt idx="14">
                  <c:v>-12.073398079223807</c:v>
                </c:pt>
                <c:pt idx="15">
                  <c:v>-12.515397427581121</c:v>
                </c:pt>
                <c:pt idx="16">
                  <c:v>-13.359782965758349</c:v>
                </c:pt>
                <c:pt idx="17">
                  <c:v>-13.732379764705094</c:v>
                </c:pt>
                <c:pt idx="18">
                  <c:v>-14.229734282960038</c:v>
                </c:pt>
                <c:pt idx="19">
                  <c:v>-14.804483607910868</c:v>
                </c:pt>
                <c:pt idx="20">
                  <c:v>-14.892912600041441</c:v>
                </c:pt>
                <c:pt idx="21">
                  <c:v>-15.821341034723879</c:v>
                </c:pt>
                <c:pt idx="22">
                  <c:v>-16.18050691954398</c:v>
                </c:pt>
                <c:pt idx="23">
                  <c:v>-16.788539767324195</c:v>
                </c:pt>
                <c:pt idx="24">
                  <c:v>-17.485725577454758</c:v>
                </c:pt>
                <c:pt idx="25">
                  <c:v>-16.931899163493469</c:v>
                </c:pt>
                <c:pt idx="26">
                  <c:v>-16.9452426101806</c:v>
                </c:pt>
                <c:pt idx="27">
                  <c:v>-17.166228857351307</c:v>
                </c:pt>
                <c:pt idx="28">
                  <c:v>-17.497742162323249</c:v>
                </c:pt>
                <c:pt idx="29">
                  <c:v>-17.525302005702237</c:v>
                </c:pt>
                <c:pt idx="30">
                  <c:v>-18.644860699811971</c:v>
                </c:pt>
                <c:pt idx="31">
                  <c:v>-19.101316576577432</c:v>
                </c:pt>
                <c:pt idx="32">
                  <c:v>-19.169753564949765</c:v>
                </c:pt>
                <c:pt idx="33">
                  <c:v>-19.764488907140887</c:v>
                </c:pt>
                <c:pt idx="34">
                  <c:v>-19.468107872081752</c:v>
                </c:pt>
                <c:pt idx="35">
                  <c:v>-19.583980360063258</c:v>
                </c:pt>
                <c:pt idx="36">
                  <c:v>-19.847030716723779</c:v>
                </c:pt>
                <c:pt idx="37">
                  <c:v>-20.074637866469125</c:v>
                </c:pt>
                <c:pt idx="38">
                  <c:v>-21.161513897273387</c:v>
                </c:pt>
                <c:pt idx="40">
                  <c:v>-20.972931006942197</c:v>
                </c:pt>
                <c:pt idx="41">
                  <c:v>-21.65044243340386</c:v>
                </c:pt>
                <c:pt idx="42">
                  <c:v>-21.518914871758277</c:v>
                </c:pt>
                <c:pt idx="43">
                  <c:v>-21.656965137325734</c:v>
                </c:pt>
                <c:pt idx="44">
                  <c:v>-21.82268365395057</c:v>
                </c:pt>
                <c:pt idx="46">
                  <c:v>-22.576372749631091</c:v>
                </c:pt>
                <c:pt idx="47">
                  <c:v>-22.44484480149822</c:v>
                </c:pt>
                <c:pt idx="48">
                  <c:v>-22.720918769048026</c:v>
                </c:pt>
                <c:pt idx="49">
                  <c:v>-22.907799341896684</c:v>
                </c:pt>
                <c:pt idx="50">
                  <c:v>-23.211540983278489</c:v>
                </c:pt>
                <c:pt idx="51">
                  <c:v>-23.128687292355288</c:v>
                </c:pt>
                <c:pt idx="52">
                  <c:v>-23.239218258855665</c:v>
                </c:pt>
                <c:pt idx="53">
                  <c:v>-22.976159864458445</c:v>
                </c:pt>
                <c:pt idx="54">
                  <c:v>-23.564130868936495</c:v>
                </c:pt>
                <c:pt idx="55">
                  <c:v>-23.515270695396495</c:v>
                </c:pt>
                <c:pt idx="56">
                  <c:v>-23.680972032749992</c:v>
                </c:pt>
                <c:pt idx="57">
                  <c:v>-24.594213690244615</c:v>
                </c:pt>
                <c:pt idx="58">
                  <c:v>-23.77699103891473</c:v>
                </c:pt>
                <c:pt idx="59">
                  <c:v>-24.199061342371486</c:v>
                </c:pt>
                <c:pt idx="60">
                  <c:v>-24.392440900292911</c:v>
                </c:pt>
                <c:pt idx="61">
                  <c:v>-24.772508942069393</c:v>
                </c:pt>
                <c:pt idx="62">
                  <c:v>-25.048509835121635</c:v>
                </c:pt>
                <c:pt idx="64">
                  <c:v>-24.653444826000737</c:v>
                </c:pt>
                <c:pt idx="66">
                  <c:v>-26.010061714025312</c:v>
                </c:pt>
                <c:pt idx="67">
                  <c:v>-26.258588517239723</c:v>
                </c:pt>
                <c:pt idx="68">
                  <c:v>-26.34505911854923</c:v>
                </c:pt>
                <c:pt idx="69">
                  <c:v>-28.061674422192873</c:v>
                </c:pt>
                <c:pt idx="70">
                  <c:v>-27.078601385706058</c:v>
                </c:pt>
                <c:pt idx="71">
                  <c:v>-27.508095120043485</c:v>
                </c:pt>
                <c:pt idx="72">
                  <c:v>-27.486848653127893</c:v>
                </c:pt>
                <c:pt idx="73">
                  <c:v>-27.465841234215027</c:v>
                </c:pt>
                <c:pt idx="74">
                  <c:v>-27.990528758086164</c:v>
                </c:pt>
                <c:pt idx="75">
                  <c:v>-28.32185027101719</c:v>
                </c:pt>
                <c:pt idx="76">
                  <c:v>-28.315166292347094</c:v>
                </c:pt>
                <c:pt idx="77">
                  <c:v>-28.743892851694319</c:v>
                </c:pt>
                <c:pt idx="78">
                  <c:v>-30.360147891521194</c:v>
                </c:pt>
                <c:pt idx="79">
                  <c:v>-30.66494794468877</c:v>
                </c:pt>
                <c:pt idx="81">
                  <c:v>-30.129355772430699</c:v>
                </c:pt>
                <c:pt idx="83">
                  <c:v>-29.957265376894249</c:v>
                </c:pt>
                <c:pt idx="85">
                  <c:v>-30.379212896069596</c:v>
                </c:pt>
                <c:pt idx="86">
                  <c:v>-32.07254577688623</c:v>
                </c:pt>
                <c:pt idx="87">
                  <c:v>-30.570674401118048</c:v>
                </c:pt>
                <c:pt idx="88">
                  <c:v>-30.528307044780156</c:v>
                </c:pt>
                <c:pt idx="89">
                  <c:v>-32.259545481969631</c:v>
                </c:pt>
                <c:pt idx="90">
                  <c:v>-31.863041199313713</c:v>
                </c:pt>
                <c:pt idx="91">
                  <c:v>-32.221826590581593</c:v>
                </c:pt>
                <c:pt idx="93">
                  <c:v>-33.009186482630071</c:v>
                </c:pt>
                <c:pt idx="94">
                  <c:v>-33.257140014613995</c:v>
                </c:pt>
                <c:pt idx="95">
                  <c:v>-33.285328794974589</c:v>
                </c:pt>
                <c:pt idx="99">
                  <c:v>-34.295143852216547</c:v>
                </c:pt>
                <c:pt idx="100">
                  <c:v>-34.924342110342899</c:v>
                </c:pt>
                <c:pt idx="101">
                  <c:v>-34.599472257722752</c:v>
                </c:pt>
                <c:pt idx="102">
                  <c:v>-34.232193644021081</c:v>
                </c:pt>
                <c:pt idx="105">
                  <c:v>-34.605350434699034</c:v>
                </c:pt>
                <c:pt idx="106">
                  <c:v>-35.426665621672626</c:v>
                </c:pt>
                <c:pt idx="107">
                  <c:v>-35.584636521597268</c:v>
                </c:pt>
                <c:pt idx="108">
                  <c:v>-35.80658245003665</c:v>
                </c:pt>
                <c:pt idx="109">
                  <c:v>-36.102030050711775</c:v>
                </c:pt>
                <c:pt idx="110">
                  <c:v>-46.011075376480193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-9.11109428498591E-2</c:v>
                </c:pt>
                <c:pt idx="2">
                  <c:v>0.27377404146022855</c:v>
                </c:pt>
                <c:pt idx="3">
                  <c:v>-0.37545666593441496</c:v>
                </c:pt>
                <c:pt idx="4">
                  <c:v>-2.3926834554677257</c:v>
                </c:pt>
                <c:pt idx="5">
                  <c:v>-7.1683985550565765</c:v>
                </c:pt>
                <c:pt idx="6">
                  <c:v>-11.319008638455585</c:v>
                </c:pt>
                <c:pt idx="7">
                  <c:v>-9.9976096394769343</c:v>
                </c:pt>
                <c:pt idx="8">
                  <c:v>-10.91013872002744</c:v>
                </c:pt>
                <c:pt idx="9">
                  <c:v>-11.8654520406416</c:v>
                </c:pt>
                <c:pt idx="10">
                  <c:v>-10.995734431225479</c:v>
                </c:pt>
                <c:pt idx="11">
                  <c:v>-11.82264589300086</c:v>
                </c:pt>
                <c:pt idx="12">
                  <c:v>-13.726532199647146</c:v>
                </c:pt>
                <c:pt idx="13">
                  <c:v>-14.175459344976105</c:v>
                </c:pt>
                <c:pt idx="14">
                  <c:v>-15.201187403160787</c:v>
                </c:pt>
                <c:pt idx="15">
                  <c:v>-15.361711164024072</c:v>
                </c:pt>
                <c:pt idx="16">
                  <c:v>-15.858853148861485</c:v>
                </c:pt>
                <c:pt idx="17">
                  <c:v>-16.156626396315765</c:v>
                </c:pt>
                <c:pt idx="18">
                  <c:v>-16.490237841364497</c:v>
                </c:pt>
                <c:pt idx="19">
                  <c:v>-17.54447248028157</c:v>
                </c:pt>
                <c:pt idx="20">
                  <c:v>-17.650028107124349</c:v>
                </c:pt>
                <c:pt idx="21">
                  <c:v>-17.974208799843794</c:v>
                </c:pt>
                <c:pt idx="22">
                  <c:v>-17.931397166653262</c:v>
                </c:pt>
                <c:pt idx="23">
                  <c:v>-18.664157344319143</c:v>
                </c:pt>
                <c:pt idx="24">
                  <c:v>-19.250829333945951</c:v>
                </c:pt>
                <c:pt idx="25">
                  <c:v>-18.728833495603503</c:v>
                </c:pt>
                <c:pt idx="26">
                  <c:v>-18.519818745727612</c:v>
                </c:pt>
                <c:pt idx="27">
                  <c:v>-18.693804706970241</c:v>
                </c:pt>
                <c:pt idx="28">
                  <c:v>-18.650019850153576</c:v>
                </c:pt>
                <c:pt idx="29">
                  <c:v>-18.728993959850726</c:v>
                </c:pt>
                <c:pt idx="30">
                  <c:v>-19.494190810157797</c:v>
                </c:pt>
                <c:pt idx="31">
                  <c:v>-20.041731928289508</c:v>
                </c:pt>
                <c:pt idx="32">
                  <c:v>-19.900099916199565</c:v>
                </c:pt>
                <c:pt idx="33">
                  <c:v>-19.748826928947416</c:v>
                </c:pt>
                <c:pt idx="34">
                  <c:v>-19.958995489267828</c:v>
                </c:pt>
                <c:pt idx="35">
                  <c:v>-19.675736068536231</c:v>
                </c:pt>
                <c:pt idx="36">
                  <c:v>-20.082613810234129</c:v>
                </c:pt>
                <c:pt idx="37">
                  <c:v>-19.940010283364451</c:v>
                </c:pt>
                <c:pt idx="38">
                  <c:v>-21.15789543026203</c:v>
                </c:pt>
                <c:pt idx="40">
                  <c:v>-20.811690471427724</c:v>
                </c:pt>
                <c:pt idx="41">
                  <c:v>-21.248992125439514</c:v>
                </c:pt>
                <c:pt idx="42">
                  <c:v>-21.065508478421258</c:v>
                </c:pt>
                <c:pt idx="43">
                  <c:v>-21.20810928362804</c:v>
                </c:pt>
                <c:pt idx="44">
                  <c:v>-21.024626620134157</c:v>
                </c:pt>
                <c:pt idx="46">
                  <c:v>-21.51229766484164</c:v>
                </c:pt>
                <c:pt idx="47">
                  <c:v>-21.421040766021804</c:v>
                </c:pt>
                <c:pt idx="48">
                  <c:v>-21.472386984616065</c:v>
                </c:pt>
                <c:pt idx="49">
                  <c:v>-21.328811616747601</c:v>
                </c:pt>
                <c:pt idx="50">
                  <c:v>-21.77754357148487</c:v>
                </c:pt>
                <c:pt idx="51">
                  <c:v>-21.887780367442211</c:v>
                </c:pt>
                <c:pt idx="52">
                  <c:v>-21.868800802494981</c:v>
                </c:pt>
                <c:pt idx="53">
                  <c:v>-21.188147596327589</c:v>
                </c:pt>
                <c:pt idx="54">
                  <c:v>-20.098854186104909</c:v>
                </c:pt>
                <c:pt idx="55">
                  <c:v>-21.735692109360549</c:v>
                </c:pt>
                <c:pt idx="56">
                  <c:v>-21.644435419954533</c:v>
                </c:pt>
                <c:pt idx="57">
                  <c:v>-21.93994202537386</c:v>
                </c:pt>
                <c:pt idx="58">
                  <c:v>-22.231883914924921</c:v>
                </c:pt>
                <c:pt idx="59">
                  <c:v>-21.966632483499282</c:v>
                </c:pt>
                <c:pt idx="60">
                  <c:v>-21.957140842530087</c:v>
                </c:pt>
                <c:pt idx="61">
                  <c:v>-22.323140026272448</c:v>
                </c:pt>
                <c:pt idx="62">
                  <c:v>-22.587417029281021</c:v>
                </c:pt>
                <c:pt idx="64">
                  <c:v>-21.883792574111105</c:v>
                </c:pt>
                <c:pt idx="66">
                  <c:v>-23.317461871112499</c:v>
                </c:pt>
                <c:pt idx="67">
                  <c:v>-23.307974728814074</c:v>
                </c:pt>
                <c:pt idx="68">
                  <c:v>-22.51608481270484</c:v>
                </c:pt>
                <c:pt idx="69">
                  <c:v>-24.54661608791131</c:v>
                </c:pt>
                <c:pt idx="70">
                  <c:v>-23.559811711559853</c:v>
                </c:pt>
                <c:pt idx="71">
                  <c:v>-23.672950771996604</c:v>
                </c:pt>
                <c:pt idx="72">
                  <c:v>-23.876433265514585</c:v>
                </c:pt>
                <c:pt idx="73">
                  <c:v>-23.591202594556826</c:v>
                </c:pt>
                <c:pt idx="74">
                  <c:v>-23.853514104195561</c:v>
                </c:pt>
                <c:pt idx="75">
                  <c:v>-24.12827173811749</c:v>
                </c:pt>
                <c:pt idx="76">
                  <c:v>-24.046518843379161</c:v>
                </c:pt>
                <c:pt idx="77">
                  <c:v>-24.310789790185972</c:v>
                </c:pt>
                <c:pt idx="78">
                  <c:v>-25.69006840178556</c:v>
                </c:pt>
                <c:pt idx="79">
                  <c:v>-26.366834626462499</c:v>
                </c:pt>
                <c:pt idx="81">
                  <c:v>-23.883889220279286</c:v>
                </c:pt>
                <c:pt idx="83">
                  <c:v>-23.213217005412901</c:v>
                </c:pt>
                <c:pt idx="85">
                  <c:v>-23.351842228660935</c:v>
                </c:pt>
                <c:pt idx="86">
                  <c:v>-25.263419800558573</c:v>
                </c:pt>
                <c:pt idx="87">
                  <c:v>-22.891376258502127</c:v>
                </c:pt>
                <c:pt idx="88">
                  <c:v>-23.233039728021154</c:v>
                </c:pt>
                <c:pt idx="89">
                  <c:v>-24.38897642872373</c:v>
                </c:pt>
                <c:pt idx="90">
                  <c:v>-23.502829980944995</c:v>
                </c:pt>
                <c:pt idx="91">
                  <c:v>-24.744811898377073</c:v>
                </c:pt>
                <c:pt idx="93">
                  <c:v>-24.696363141327282</c:v>
                </c:pt>
                <c:pt idx="94">
                  <c:v>-24.435985127739812</c:v>
                </c:pt>
                <c:pt idx="95">
                  <c:v>-24.961674137373713</c:v>
                </c:pt>
                <c:pt idx="100">
                  <c:v>-26.386866136424381</c:v>
                </c:pt>
                <c:pt idx="101">
                  <c:v>-26.253721883227499</c:v>
                </c:pt>
                <c:pt idx="102">
                  <c:v>-25.794563959355088</c:v>
                </c:pt>
                <c:pt idx="105">
                  <c:v>-25.825704702771901</c:v>
                </c:pt>
                <c:pt idx="106">
                  <c:v>-26.269540522385171</c:v>
                </c:pt>
                <c:pt idx="107">
                  <c:v>-26.434225646724485</c:v>
                </c:pt>
                <c:pt idx="108">
                  <c:v>-26.359786808886732</c:v>
                </c:pt>
                <c:pt idx="109">
                  <c:v>-26.441637992641098</c:v>
                </c:pt>
                <c:pt idx="110">
                  <c:v>-33.126017051179346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-0.22036813966064273</c:v>
                </c:pt>
                <c:pt idx="2">
                  <c:v>-0.38849706982047039</c:v>
                </c:pt>
                <c:pt idx="3">
                  <c:v>-0.31784918112487404</c:v>
                </c:pt>
                <c:pt idx="4">
                  <c:v>-1.3998390620022505</c:v>
                </c:pt>
                <c:pt idx="5">
                  <c:v>-4.1560391960451248</c:v>
                </c:pt>
                <c:pt idx="6">
                  <c:v>-7.0157770916399187</c:v>
                </c:pt>
                <c:pt idx="7">
                  <c:v>-8.2512493754656191</c:v>
                </c:pt>
                <c:pt idx="8">
                  <c:v>-8.2512491737856131</c:v>
                </c:pt>
                <c:pt idx="9">
                  <c:v>-9.6213038989536592</c:v>
                </c:pt>
                <c:pt idx="10">
                  <c:v>-9.5636154813698582</c:v>
                </c:pt>
                <c:pt idx="11">
                  <c:v>-10.721811782400614</c:v>
                </c:pt>
                <c:pt idx="12">
                  <c:v>-10.991282313411954</c:v>
                </c:pt>
                <c:pt idx="13">
                  <c:v>-11.166078612303565</c:v>
                </c:pt>
                <c:pt idx="14">
                  <c:v>-11.257430674271873</c:v>
                </c:pt>
                <c:pt idx="15">
                  <c:v>-12.757260933178749</c:v>
                </c:pt>
                <c:pt idx="16">
                  <c:v>-12.479678536851946</c:v>
                </c:pt>
                <c:pt idx="17">
                  <c:v>-13.043843407909872</c:v>
                </c:pt>
                <c:pt idx="18">
                  <c:v>-13.18667937870055</c:v>
                </c:pt>
                <c:pt idx="19">
                  <c:v>-13.932459355040727</c:v>
                </c:pt>
                <c:pt idx="20">
                  <c:v>-14.307952378636468</c:v>
                </c:pt>
                <c:pt idx="21">
                  <c:v>-13.579187851094243</c:v>
                </c:pt>
                <c:pt idx="22">
                  <c:v>-13.702285240055456</c:v>
                </c:pt>
                <c:pt idx="25">
                  <c:v>-15.725137899440966</c:v>
                </c:pt>
                <c:pt idx="26">
                  <c:v>-15.646025010602305</c:v>
                </c:pt>
                <c:pt idx="27">
                  <c:v>-16.151112024099579</c:v>
                </c:pt>
                <c:pt idx="28">
                  <c:v>-16.283948200856546</c:v>
                </c:pt>
                <c:pt idx="29">
                  <c:v>-16.320734207109222</c:v>
                </c:pt>
                <c:pt idx="30">
                  <c:v>-16.986046496946017</c:v>
                </c:pt>
                <c:pt idx="31">
                  <c:v>-17.125736876155706</c:v>
                </c:pt>
                <c:pt idx="32">
                  <c:v>-17.396288143199712</c:v>
                </c:pt>
                <c:pt idx="34">
                  <c:v>-17.16713478631382</c:v>
                </c:pt>
                <c:pt idx="35">
                  <c:v>-17.623000510635922</c:v>
                </c:pt>
                <c:pt idx="36">
                  <c:v>-18.229056460409065</c:v>
                </c:pt>
                <c:pt idx="37">
                  <c:v>-18.041343193977877</c:v>
                </c:pt>
                <c:pt idx="38">
                  <c:v>-18.22558642797345</c:v>
                </c:pt>
                <c:pt idx="39">
                  <c:v>-19.235668796127481</c:v>
                </c:pt>
                <c:pt idx="40">
                  <c:v>-18.833027489010057</c:v>
                </c:pt>
                <c:pt idx="42">
                  <c:v>-19.149188589818955</c:v>
                </c:pt>
                <c:pt idx="43">
                  <c:v>-19.099226491933408</c:v>
                </c:pt>
                <c:pt idx="44">
                  <c:v>-19.316538897101054</c:v>
                </c:pt>
                <c:pt idx="45">
                  <c:v>-19.123787271498216</c:v>
                </c:pt>
                <c:pt idx="46">
                  <c:v>-18.70657326640135</c:v>
                </c:pt>
                <c:pt idx="47">
                  <c:v>-19.56747435844175</c:v>
                </c:pt>
                <c:pt idx="48">
                  <c:v>-19.811277306835962</c:v>
                </c:pt>
                <c:pt idx="49">
                  <c:v>-19.764301111459215</c:v>
                </c:pt>
                <c:pt idx="50">
                  <c:v>-19.93873741631047</c:v>
                </c:pt>
                <c:pt idx="51">
                  <c:v>-19.957053506367117</c:v>
                </c:pt>
                <c:pt idx="53">
                  <c:v>-19.787688077938625</c:v>
                </c:pt>
                <c:pt idx="54">
                  <c:v>-19.980449930466104</c:v>
                </c:pt>
                <c:pt idx="55">
                  <c:v>-20.348675013682094</c:v>
                </c:pt>
                <c:pt idx="56">
                  <c:v>-20.332327666179761</c:v>
                </c:pt>
                <c:pt idx="58">
                  <c:v>-20.351681557290391</c:v>
                </c:pt>
                <c:pt idx="59">
                  <c:v>-20.448370050676345</c:v>
                </c:pt>
                <c:pt idx="60">
                  <c:v>-21.316013963745828</c:v>
                </c:pt>
                <c:pt idx="61">
                  <c:v>-21.166386527397663</c:v>
                </c:pt>
                <c:pt idx="62">
                  <c:v>-21.200068395476279</c:v>
                </c:pt>
                <c:pt idx="64">
                  <c:v>-21.095056097766296</c:v>
                </c:pt>
                <c:pt idx="81">
                  <c:v>-25.097789665418979</c:v>
                </c:pt>
                <c:pt idx="83">
                  <c:v>-24.79929828971672</c:v>
                </c:pt>
                <c:pt idx="85">
                  <c:v>-25.010145133379957</c:v>
                </c:pt>
                <c:pt idx="86">
                  <c:v>-25.829007555768779</c:v>
                </c:pt>
                <c:pt idx="87">
                  <c:v>-25.477231045320181</c:v>
                </c:pt>
                <c:pt idx="88">
                  <c:v>-25.480020508464207</c:v>
                </c:pt>
                <c:pt idx="89">
                  <c:v>-25.643429170914889</c:v>
                </c:pt>
                <c:pt idx="90">
                  <c:v>-25.697209172096613</c:v>
                </c:pt>
                <c:pt idx="91">
                  <c:v>-27.143158524991939</c:v>
                </c:pt>
                <c:pt idx="92">
                  <c:v>-25.887306588474157</c:v>
                </c:pt>
                <c:pt idx="94">
                  <c:v>-26.704138054837401</c:v>
                </c:pt>
                <c:pt idx="95">
                  <c:v>-26.98096966882968</c:v>
                </c:pt>
                <c:pt idx="96">
                  <c:v>-27.116597384741148</c:v>
                </c:pt>
                <c:pt idx="97">
                  <c:v>-27.06773646793037</c:v>
                </c:pt>
                <c:pt idx="98">
                  <c:v>-27.084245970300014</c:v>
                </c:pt>
                <c:pt idx="99">
                  <c:v>-27.314976180827344</c:v>
                </c:pt>
                <c:pt idx="100">
                  <c:v>-27.854867478420697</c:v>
                </c:pt>
                <c:pt idx="101">
                  <c:v>-27.922366639492768</c:v>
                </c:pt>
                <c:pt idx="102">
                  <c:v>-27.664091528269097</c:v>
                </c:pt>
                <c:pt idx="103">
                  <c:v>-27.547040428681058</c:v>
                </c:pt>
                <c:pt idx="104">
                  <c:v>-28.381687289741997</c:v>
                </c:pt>
                <c:pt idx="105">
                  <c:v>-27.969838961768634</c:v>
                </c:pt>
                <c:pt idx="106">
                  <c:v>-28.430266765801182</c:v>
                </c:pt>
                <c:pt idx="107">
                  <c:v>-28.952417725255142</c:v>
                </c:pt>
                <c:pt idx="108">
                  <c:v>-28.436474879145912</c:v>
                </c:pt>
                <c:pt idx="109">
                  <c:v>-28.747822185600125</c:v>
                </c:pt>
                <c:pt idx="110">
                  <c:v>-35.062447863706936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-0.14834800005658622</c:v>
                </c:pt>
                <c:pt idx="2">
                  <c:v>-0.2275186139013563</c:v>
                </c:pt>
                <c:pt idx="3">
                  <c:v>-0.23439664401925242</c:v>
                </c:pt>
                <c:pt idx="4">
                  <c:v>-0.95461562133802857</c:v>
                </c:pt>
                <c:pt idx="5">
                  <c:v>-2.2540529924657271</c:v>
                </c:pt>
                <c:pt idx="6">
                  <c:v>-2.9884674323503724</c:v>
                </c:pt>
                <c:pt idx="7">
                  <c:v>-2.9526523798040216</c:v>
                </c:pt>
                <c:pt idx="8">
                  <c:v>-3.7444650859845829</c:v>
                </c:pt>
                <c:pt idx="9">
                  <c:v>-3.4181352138800136</c:v>
                </c:pt>
                <c:pt idx="10">
                  <c:v>-3.428990658921105</c:v>
                </c:pt>
                <c:pt idx="11">
                  <c:v>-4.2284189850212428</c:v>
                </c:pt>
                <c:pt idx="12">
                  <c:v>-3.8008537238884976</c:v>
                </c:pt>
                <c:pt idx="13">
                  <c:v>-4.1494602174600992</c:v>
                </c:pt>
                <c:pt idx="14">
                  <c:v>-5.0186537038445778</c:v>
                </c:pt>
                <c:pt idx="15">
                  <c:v>-5.1101764761596336</c:v>
                </c:pt>
                <c:pt idx="16">
                  <c:v>-5.6410646621127825</c:v>
                </c:pt>
                <c:pt idx="17">
                  <c:v>-5.4823755227335624</c:v>
                </c:pt>
                <c:pt idx="18">
                  <c:v>-6.3191486260425478</c:v>
                </c:pt>
                <c:pt idx="19">
                  <c:v>-6.0435985683175986</c:v>
                </c:pt>
                <c:pt idx="20">
                  <c:v>-6.4842998774561345</c:v>
                </c:pt>
                <c:pt idx="21">
                  <c:v>-6.6154962405540196</c:v>
                </c:pt>
                <c:pt idx="22">
                  <c:v>-6.6081369431301162</c:v>
                </c:pt>
                <c:pt idx="23">
                  <c:v>-6.8098943270697987</c:v>
                </c:pt>
                <c:pt idx="24">
                  <c:v>-7.1453705296842251</c:v>
                </c:pt>
                <c:pt idx="25">
                  <c:v>-6.8446025097750329</c:v>
                </c:pt>
                <c:pt idx="26">
                  <c:v>-6.7455474455613285</c:v>
                </c:pt>
                <c:pt idx="27">
                  <c:v>-6.8692939311825185</c:v>
                </c:pt>
                <c:pt idx="28">
                  <c:v>-6.8243312974964887</c:v>
                </c:pt>
                <c:pt idx="29">
                  <c:v>-6.8618489811935746</c:v>
                </c:pt>
                <c:pt idx="30">
                  <c:v>-7.3164179759364067</c:v>
                </c:pt>
                <c:pt idx="31">
                  <c:v>-7.5680420324832909</c:v>
                </c:pt>
                <c:pt idx="32">
                  <c:v>-7.3539020501343089</c:v>
                </c:pt>
                <c:pt idx="33">
                  <c:v>-7.6130059483427992</c:v>
                </c:pt>
                <c:pt idx="34">
                  <c:v>-7.4668469462326748</c:v>
                </c:pt>
                <c:pt idx="35">
                  <c:v>-7.598015253145185</c:v>
                </c:pt>
                <c:pt idx="36">
                  <c:v>-7.6392286602851023</c:v>
                </c:pt>
                <c:pt idx="37">
                  <c:v>-7.7254141148359601</c:v>
                </c:pt>
                <c:pt idx="38">
                  <c:v>-8.2004387278589164</c:v>
                </c:pt>
                <c:pt idx="39">
                  <c:v>-8.2201597137898652</c:v>
                </c:pt>
                <c:pt idx="40">
                  <c:v>-7.9587622870884722</c:v>
                </c:pt>
                <c:pt idx="41">
                  <c:v>-8.2896084254091562</c:v>
                </c:pt>
                <c:pt idx="42">
                  <c:v>-8.0823537788119459</c:v>
                </c:pt>
                <c:pt idx="43">
                  <c:v>-8.2065805537228087</c:v>
                </c:pt>
                <c:pt idx="44">
                  <c:v>-8.1989927377850158</c:v>
                </c:pt>
                <c:pt idx="45">
                  <c:v>-8.3232241022170861</c:v>
                </c:pt>
                <c:pt idx="46">
                  <c:v>-8.6845172793128533</c:v>
                </c:pt>
                <c:pt idx="47">
                  <c:v>-8.4055997343579492</c:v>
                </c:pt>
                <c:pt idx="48">
                  <c:v>-8.5595807025100612</c:v>
                </c:pt>
                <c:pt idx="49">
                  <c:v>-8.5633993729792302</c:v>
                </c:pt>
                <c:pt idx="50">
                  <c:v>-8.7249980240953207</c:v>
                </c:pt>
                <c:pt idx="51">
                  <c:v>-8.7288167818622142</c:v>
                </c:pt>
                <c:pt idx="52">
                  <c:v>-8.8187978822640289</c:v>
                </c:pt>
                <c:pt idx="53">
                  <c:v>-8.6945599085042069</c:v>
                </c:pt>
                <c:pt idx="54">
                  <c:v>-8.9315861373111538</c:v>
                </c:pt>
                <c:pt idx="55">
                  <c:v>-8.8073410993030343</c:v>
                </c:pt>
                <c:pt idx="56">
                  <c:v>-8.8035097989065392</c:v>
                </c:pt>
                <c:pt idx="57">
                  <c:v>-9.3150406553110798</c:v>
                </c:pt>
                <c:pt idx="58">
                  <c:v>-8.4591391760091561</c:v>
                </c:pt>
                <c:pt idx="59">
                  <c:v>-9.1305001404675679</c:v>
                </c:pt>
                <c:pt idx="60">
                  <c:v>-9.2166606347738878</c:v>
                </c:pt>
                <c:pt idx="61">
                  <c:v>-9.2539716430768415</c:v>
                </c:pt>
                <c:pt idx="62">
                  <c:v>-9.2805009738716748</c:v>
                </c:pt>
                <c:pt idx="63">
                  <c:v>-9.44204344788524</c:v>
                </c:pt>
                <c:pt idx="64">
                  <c:v>-9.1553927521079714</c:v>
                </c:pt>
                <c:pt idx="65">
                  <c:v>-9.4566760131682415</c:v>
                </c:pt>
                <c:pt idx="66">
                  <c:v>-9.6867058534817474</c:v>
                </c:pt>
                <c:pt idx="67">
                  <c:v>-9.8140029222171243</c:v>
                </c:pt>
                <c:pt idx="68">
                  <c:v>-9.6516133334199061</c:v>
                </c:pt>
                <c:pt idx="69">
                  <c:v>-10.418952374385615</c:v>
                </c:pt>
                <c:pt idx="70">
                  <c:v>-9.9257289341658783</c:v>
                </c:pt>
                <c:pt idx="71">
                  <c:v>-10.144816756575192</c:v>
                </c:pt>
                <c:pt idx="72">
                  <c:v>-10.175176992872625</c:v>
                </c:pt>
                <c:pt idx="73">
                  <c:v>-10.054787433740664</c:v>
                </c:pt>
                <c:pt idx="74">
                  <c:v>-10.26132849663286</c:v>
                </c:pt>
                <c:pt idx="75">
                  <c:v>-10.463973353921574</c:v>
                </c:pt>
                <c:pt idx="76">
                  <c:v>-10.422846161400656</c:v>
                </c:pt>
                <c:pt idx="77">
                  <c:v>-10.498208882496307</c:v>
                </c:pt>
                <c:pt idx="78">
                  <c:v>-11.023815405764914</c:v>
                </c:pt>
                <c:pt idx="79">
                  <c:v>-11.184307209756827</c:v>
                </c:pt>
                <c:pt idx="81">
                  <c:v>-10.849570331924685</c:v>
                </c:pt>
                <c:pt idx="83">
                  <c:v>-10.625898041932924</c:v>
                </c:pt>
                <c:pt idx="85">
                  <c:v>-11.009732789089899</c:v>
                </c:pt>
                <c:pt idx="86">
                  <c:v>-11.807039993132484</c:v>
                </c:pt>
                <c:pt idx="87">
                  <c:v>-11.218110772339696</c:v>
                </c:pt>
                <c:pt idx="88">
                  <c:v>-10.784027682090969</c:v>
                </c:pt>
                <c:pt idx="89">
                  <c:v>-11.818857118780279</c:v>
                </c:pt>
                <c:pt idx="90">
                  <c:v>-11.427818080042229</c:v>
                </c:pt>
                <c:pt idx="91">
                  <c:v>-11.750270354408787</c:v>
                </c:pt>
                <c:pt idx="92">
                  <c:v>-12.661539593199933</c:v>
                </c:pt>
                <c:pt idx="93">
                  <c:v>-11.723278213700006</c:v>
                </c:pt>
                <c:pt idx="94">
                  <c:v>-11.896904557968213</c:v>
                </c:pt>
                <c:pt idx="95">
                  <c:v>-11.745293035435811</c:v>
                </c:pt>
                <c:pt idx="96">
                  <c:v>-11.892841452507685</c:v>
                </c:pt>
                <c:pt idx="97">
                  <c:v>-11.711135705996689</c:v>
                </c:pt>
                <c:pt idx="98">
                  <c:v>-11.586779119937773</c:v>
                </c:pt>
                <c:pt idx="99">
                  <c:v>-11.854631704497187</c:v>
                </c:pt>
                <c:pt idx="100">
                  <c:v>-12.486139284287212</c:v>
                </c:pt>
                <c:pt idx="101">
                  <c:v>-12.230538055321816</c:v>
                </c:pt>
                <c:pt idx="102">
                  <c:v>-12.124000464728724</c:v>
                </c:pt>
                <c:pt idx="103">
                  <c:v>-12.158162218490087</c:v>
                </c:pt>
                <c:pt idx="104">
                  <c:v>-12.387790834194501</c:v>
                </c:pt>
                <c:pt idx="105">
                  <c:v>-12.430085450987782</c:v>
                </c:pt>
                <c:pt idx="106">
                  <c:v>-12.524479793886822</c:v>
                </c:pt>
                <c:pt idx="107">
                  <c:v>-12.459033173140011</c:v>
                </c:pt>
                <c:pt idx="108">
                  <c:v>-12.58043496911343</c:v>
                </c:pt>
                <c:pt idx="109">
                  <c:v>-12.523187543023173</c:v>
                </c:pt>
                <c:pt idx="110">
                  <c:v>-15.831470632551969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9.0345954278703289E-2</c:v>
                </c:pt>
                <c:pt idx="2">
                  <c:v>-0.27700354708670716</c:v>
                </c:pt>
                <c:pt idx="3">
                  <c:v>-0.31963210679908372</c:v>
                </c:pt>
                <c:pt idx="4">
                  <c:v>-1.5514603596828991</c:v>
                </c:pt>
                <c:pt idx="5">
                  <c:v>-4.9103924253461884</c:v>
                </c:pt>
                <c:pt idx="6">
                  <c:v>-6.9297833423442867</c:v>
                </c:pt>
                <c:pt idx="7">
                  <c:v>-7.4109738000407432</c:v>
                </c:pt>
                <c:pt idx="8">
                  <c:v>-8.3164261709640641</c:v>
                </c:pt>
                <c:pt idx="9">
                  <c:v>-8.6139263636564323</c:v>
                </c:pt>
                <c:pt idx="10">
                  <c:v>-8.5302113201297658</c:v>
                </c:pt>
                <c:pt idx="11">
                  <c:v>-9.6463195629379328</c:v>
                </c:pt>
                <c:pt idx="12">
                  <c:v>-9.8172541484968789</c:v>
                </c:pt>
                <c:pt idx="13">
                  <c:v>-10.156503623909074</c:v>
                </c:pt>
                <c:pt idx="14">
                  <c:v>-11.215743190087224</c:v>
                </c:pt>
                <c:pt idx="15">
                  <c:v>-12.307752298305275</c:v>
                </c:pt>
                <c:pt idx="16">
                  <c:v>-12.362488201624444</c:v>
                </c:pt>
                <c:pt idx="17">
                  <c:v>-12.388695564855112</c:v>
                </c:pt>
                <c:pt idx="18">
                  <c:v>-13.299589234361697</c:v>
                </c:pt>
                <c:pt idx="19">
                  <c:v>-13.645052074396702</c:v>
                </c:pt>
                <c:pt idx="20">
                  <c:v>-14.247877074615722</c:v>
                </c:pt>
                <c:pt idx="21">
                  <c:v>-13.554496985791253</c:v>
                </c:pt>
                <c:pt idx="22">
                  <c:v>-13.30077992682277</c:v>
                </c:pt>
                <c:pt idx="25">
                  <c:v>-15.015381379004822</c:v>
                </c:pt>
                <c:pt idx="26">
                  <c:v>-14.685059689131919</c:v>
                </c:pt>
                <c:pt idx="27">
                  <c:v>-15.126428049990537</c:v>
                </c:pt>
                <c:pt idx="28">
                  <c:v>-15.047889497790123</c:v>
                </c:pt>
                <c:pt idx="29">
                  <c:v>-15.005304724778235</c:v>
                </c:pt>
                <c:pt idx="30">
                  <c:v>-15.803197900976507</c:v>
                </c:pt>
                <c:pt idx="31">
                  <c:v>-16.116973973355542</c:v>
                </c:pt>
                <c:pt idx="32">
                  <c:v>-15.990447169558664</c:v>
                </c:pt>
                <c:pt idx="34">
                  <c:v>-15.495843432153045</c:v>
                </c:pt>
                <c:pt idx="35">
                  <c:v>-15.996712879553066</c:v>
                </c:pt>
                <c:pt idx="36">
                  <c:v>-16.565674268722574</c:v>
                </c:pt>
                <c:pt idx="37">
                  <c:v>-16.390122293046261</c:v>
                </c:pt>
                <c:pt idx="38">
                  <c:v>-16.832563078549967</c:v>
                </c:pt>
                <c:pt idx="39">
                  <c:v>-17.788363920126393</c:v>
                </c:pt>
                <c:pt idx="40">
                  <c:v>-17.06682923820324</c:v>
                </c:pt>
                <c:pt idx="42">
                  <c:v>-17.343877690587206</c:v>
                </c:pt>
                <c:pt idx="43">
                  <c:v>-17.386454628543824</c:v>
                </c:pt>
                <c:pt idx="44">
                  <c:v>-17.344424762089083</c:v>
                </c:pt>
                <c:pt idx="45">
                  <c:v>-17.290633891095197</c:v>
                </c:pt>
                <c:pt idx="46">
                  <c:v>-17.157102726849338</c:v>
                </c:pt>
                <c:pt idx="47">
                  <c:v>-17.562678018670397</c:v>
                </c:pt>
                <c:pt idx="48">
                  <c:v>-17.791494110715789</c:v>
                </c:pt>
                <c:pt idx="49">
                  <c:v>-17.701339737142163</c:v>
                </c:pt>
                <c:pt idx="50">
                  <c:v>-17.919197303538859</c:v>
                </c:pt>
                <c:pt idx="51">
                  <c:v>-18.020960851140799</c:v>
                </c:pt>
                <c:pt idx="53">
                  <c:v>-17.695917627111868</c:v>
                </c:pt>
                <c:pt idx="54">
                  <c:v>-18.020960900548388</c:v>
                </c:pt>
                <c:pt idx="55">
                  <c:v>-18.148789062895077</c:v>
                </c:pt>
                <c:pt idx="56">
                  <c:v>-18.058240317071927</c:v>
                </c:pt>
                <c:pt idx="58">
                  <c:v>-17.605367694371488</c:v>
                </c:pt>
                <c:pt idx="59">
                  <c:v>-18.197144320159175</c:v>
                </c:pt>
                <c:pt idx="60">
                  <c:v>-18.778228875674152</c:v>
                </c:pt>
                <c:pt idx="61">
                  <c:v>-18.777440164154946</c:v>
                </c:pt>
                <c:pt idx="62">
                  <c:v>-18.782867638531542</c:v>
                </c:pt>
                <c:pt idx="64">
                  <c:v>-18.48498889504846</c:v>
                </c:pt>
                <c:pt idx="81">
                  <c:v>-21.533424160613102</c:v>
                </c:pt>
                <c:pt idx="83">
                  <c:v>-20.972391126627521</c:v>
                </c:pt>
                <c:pt idx="85">
                  <c:v>-21.49352684458794</c:v>
                </c:pt>
                <c:pt idx="86">
                  <c:v>-22.792134062153302</c:v>
                </c:pt>
                <c:pt idx="87">
                  <c:v>-21.648619035142147</c:v>
                </c:pt>
                <c:pt idx="88">
                  <c:v>-20.994370134236995</c:v>
                </c:pt>
                <c:pt idx="89">
                  <c:v>-21.851380375371043</c:v>
                </c:pt>
                <c:pt idx="90">
                  <c:v>-21.56923177141401</c:v>
                </c:pt>
                <c:pt idx="91">
                  <c:v>-23.414696880367458</c:v>
                </c:pt>
                <c:pt idx="92">
                  <c:v>-22.827054168913286</c:v>
                </c:pt>
                <c:pt idx="94">
                  <c:v>-22.42673020863073</c:v>
                </c:pt>
                <c:pt idx="95">
                  <c:v>-22.517124115040588</c:v>
                </c:pt>
                <c:pt idx="96">
                  <c:v>-22.820264571659976</c:v>
                </c:pt>
                <c:pt idx="97">
                  <c:v>-22.559625605234501</c:v>
                </c:pt>
                <c:pt idx="98">
                  <c:v>-22.474556540205803</c:v>
                </c:pt>
                <c:pt idx="99">
                  <c:v>-22.831365332639741</c:v>
                </c:pt>
                <c:pt idx="100">
                  <c:v>-23.90637191013667</c:v>
                </c:pt>
                <c:pt idx="101">
                  <c:v>-23.773413665483467</c:v>
                </c:pt>
                <c:pt idx="102">
                  <c:v>-23.326208142046667</c:v>
                </c:pt>
                <c:pt idx="103">
                  <c:v>-23.145362128889069</c:v>
                </c:pt>
                <c:pt idx="104">
                  <c:v>-24.141041301256827</c:v>
                </c:pt>
                <c:pt idx="105">
                  <c:v>-23.784652199596579</c:v>
                </c:pt>
                <c:pt idx="106">
                  <c:v>-24.008016376557251</c:v>
                </c:pt>
                <c:pt idx="107">
                  <c:v>-24.188983285003296</c:v>
                </c:pt>
                <c:pt idx="108">
                  <c:v>-23.90672683580064</c:v>
                </c:pt>
                <c:pt idx="109">
                  <c:v>-24.045143821582293</c:v>
                </c:pt>
                <c:pt idx="110">
                  <c:v>-30.572326678477424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-0.48933959378505421</c:v>
                </c:pt>
                <c:pt idx="2">
                  <c:v>-0.17325190238093313</c:v>
                </c:pt>
                <c:pt idx="3">
                  <c:v>-3.8351690155202789E-2</c:v>
                </c:pt>
                <c:pt idx="4">
                  <c:v>-1.3304147965653712</c:v>
                </c:pt>
                <c:pt idx="5">
                  <c:v>-4.7277778868162201</c:v>
                </c:pt>
                <c:pt idx="6">
                  <c:v>-7.4136013605858864</c:v>
                </c:pt>
                <c:pt idx="7">
                  <c:v>-9.0532751167371472</c:v>
                </c:pt>
                <c:pt idx="8">
                  <c:v>-8.6567229293326164</c:v>
                </c:pt>
                <c:pt idx="9">
                  <c:v>-10.567755536608381</c:v>
                </c:pt>
                <c:pt idx="10">
                  <c:v>-10.41436190257361</c:v>
                </c:pt>
                <c:pt idx="11">
                  <c:v>-11.460493025420959</c:v>
                </c:pt>
                <c:pt idx="12">
                  <c:v>-11.488017888541258</c:v>
                </c:pt>
                <c:pt idx="13">
                  <c:v>-12.704686606246796</c:v>
                </c:pt>
                <c:pt idx="14">
                  <c:v>-12.46120733606837</c:v>
                </c:pt>
                <c:pt idx="15">
                  <c:v>-13.347184940170287</c:v>
                </c:pt>
                <c:pt idx="16">
                  <c:v>-14.283759279900998</c:v>
                </c:pt>
                <c:pt idx="17">
                  <c:v>-14.292472072209073</c:v>
                </c:pt>
                <c:pt idx="18">
                  <c:v>-15.094056136156553</c:v>
                </c:pt>
                <c:pt idx="19">
                  <c:v>-15.298664061028866</c:v>
                </c:pt>
                <c:pt idx="20">
                  <c:v>-15.55404606384414</c:v>
                </c:pt>
                <c:pt idx="21">
                  <c:v>-15.798556687069976</c:v>
                </c:pt>
                <c:pt idx="22">
                  <c:v>-16.105178162055367</c:v>
                </c:pt>
                <c:pt idx="23">
                  <c:v>-15.767087445441419</c:v>
                </c:pt>
                <c:pt idx="24">
                  <c:v>-17.730598258832053</c:v>
                </c:pt>
                <c:pt idx="25">
                  <c:v>-17.753000121711437</c:v>
                </c:pt>
                <c:pt idx="26">
                  <c:v>-17.625852747660709</c:v>
                </c:pt>
                <c:pt idx="27">
                  <c:v>-17.961500800346641</c:v>
                </c:pt>
                <c:pt idx="28">
                  <c:v>-18.111052033059849</c:v>
                </c:pt>
                <c:pt idx="29">
                  <c:v>-18.344839424210058</c:v>
                </c:pt>
                <c:pt idx="30">
                  <c:v>-19.263758193622138</c:v>
                </c:pt>
                <c:pt idx="31">
                  <c:v>-19.693772613284644</c:v>
                </c:pt>
                <c:pt idx="32">
                  <c:v>-19.759607144915314</c:v>
                </c:pt>
                <c:pt idx="33">
                  <c:v>-19.585617033125224</c:v>
                </c:pt>
                <c:pt idx="34">
                  <c:v>-19.458659461138339</c:v>
                </c:pt>
                <c:pt idx="35">
                  <c:v>-20.132203922862857</c:v>
                </c:pt>
                <c:pt idx="36">
                  <c:v>-20.555243924926359</c:v>
                </c:pt>
                <c:pt idx="37">
                  <c:v>-20.606629781129371</c:v>
                </c:pt>
                <c:pt idx="38">
                  <c:v>-21.656872513905689</c:v>
                </c:pt>
                <c:pt idx="39">
                  <c:v>-21.681516267014977</c:v>
                </c:pt>
                <c:pt idx="40">
                  <c:v>-21.525482687022368</c:v>
                </c:pt>
                <c:pt idx="41">
                  <c:v>-22.054319182745807</c:v>
                </c:pt>
                <c:pt idx="42">
                  <c:v>-22.090405832392968</c:v>
                </c:pt>
                <c:pt idx="43">
                  <c:v>-22.170852575917444</c:v>
                </c:pt>
                <c:pt idx="44">
                  <c:v>-22.094950539148783</c:v>
                </c:pt>
                <c:pt idx="45">
                  <c:v>-22.317047926397215</c:v>
                </c:pt>
                <c:pt idx="46">
                  <c:v>-22.565357123022878</c:v>
                </c:pt>
                <c:pt idx="47">
                  <c:v>-22.609099111124742</c:v>
                </c:pt>
                <c:pt idx="48">
                  <c:v>-22.970018732415554</c:v>
                </c:pt>
                <c:pt idx="49">
                  <c:v>-22.722506786789332</c:v>
                </c:pt>
                <c:pt idx="50">
                  <c:v>-23.349264685115223</c:v>
                </c:pt>
                <c:pt idx="51">
                  <c:v>-23.316527840480106</c:v>
                </c:pt>
                <c:pt idx="52">
                  <c:v>-23.247378682877518</c:v>
                </c:pt>
                <c:pt idx="53">
                  <c:v>-22.970784106245645</c:v>
                </c:pt>
                <c:pt idx="54">
                  <c:v>-23.415261617913963</c:v>
                </c:pt>
                <c:pt idx="55">
                  <c:v>-23.513966860640778</c:v>
                </c:pt>
                <c:pt idx="56">
                  <c:v>-23.605100688777192</c:v>
                </c:pt>
                <c:pt idx="57">
                  <c:v>-23.521858266110307</c:v>
                </c:pt>
                <c:pt idx="58">
                  <c:v>-23.812808371282301</c:v>
                </c:pt>
                <c:pt idx="59">
                  <c:v>-24.100889884200782</c:v>
                </c:pt>
                <c:pt idx="60">
                  <c:v>-24.141417061615655</c:v>
                </c:pt>
                <c:pt idx="61">
                  <c:v>-24.556839033581745</c:v>
                </c:pt>
                <c:pt idx="62">
                  <c:v>-25.099989979714188</c:v>
                </c:pt>
                <c:pt idx="63">
                  <c:v>-25.311613028394575</c:v>
                </c:pt>
                <c:pt idx="64">
                  <c:v>-24.990825906447078</c:v>
                </c:pt>
                <c:pt idx="65">
                  <c:v>-25.049364302708987</c:v>
                </c:pt>
                <c:pt idx="66">
                  <c:v>-25.588894846705124</c:v>
                </c:pt>
                <c:pt idx="67">
                  <c:v>-25.916805609088378</c:v>
                </c:pt>
                <c:pt idx="68">
                  <c:v>-25.753688070119019</c:v>
                </c:pt>
                <c:pt idx="69">
                  <c:v>-27.302439430934911</c:v>
                </c:pt>
                <c:pt idx="70">
                  <c:v>-27.171203160010649</c:v>
                </c:pt>
                <c:pt idx="71">
                  <c:v>-26.795878707932097</c:v>
                </c:pt>
                <c:pt idx="72">
                  <c:v>-27.145721678906831</c:v>
                </c:pt>
                <c:pt idx="73">
                  <c:v>-26.730279230688936</c:v>
                </c:pt>
                <c:pt idx="74">
                  <c:v>-27.572203265212814</c:v>
                </c:pt>
                <c:pt idx="75">
                  <c:v>-27.893187691964805</c:v>
                </c:pt>
                <c:pt idx="76">
                  <c:v>-27.747490599344005</c:v>
                </c:pt>
                <c:pt idx="77">
                  <c:v>-28.159557486440612</c:v>
                </c:pt>
                <c:pt idx="78">
                  <c:v>-29.639343933551388</c:v>
                </c:pt>
                <c:pt idx="79">
                  <c:v>-30.153161475909407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-0.39843061387934142</c:v>
                </c:pt>
                <c:pt idx="2">
                  <c:v>0.10384984744149506</c:v>
                </c:pt>
                <c:pt idx="3">
                  <c:v>0.50220496721031793</c:v>
                </c:pt>
                <c:pt idx="4">
                  <c:v>-1.5314583033738671</c:v>
                </c:pt>
                <c:pt idx="5">
                  <c:v>-6.5854613063223155</c:v>
                </c:pt>
                <c:pt idx="6">
                  <c:v>-8.7233936985686711</c:v>
                </c:pt>
                <c:pt idx="7">
                  <c:v>-9.6298324379908706</c:v>
                </c:pt>
                <c:pt idx="8">
                  <c:v>-8.3033495572326643</c:v>
                </c:pt>
                <c:pt idx="9">
                  <c:v>-10.201101731666995</c:v>
                </c:pt>
                <c:pt idx="10">
                  <c:v>-9.4203170420463778</c:v>
                </c:pt>
                <c:pt idx="11">
                  <c:v>-11.023359047740655</c:v>
                </c:pt>
                <c:pt idx="12">
                  <c:v>-10.664015205009036</c:v>
                </c:pt>
                <c:pt idx="13">
                  <c:v>-12.856971728478328</c:v>
                </c:pt>
                <c:pt idx="14">
                  <c:v>-12.824157679903081</c:v>
                </c:pt>
                <c:pt idx="15">
                  <c:v>-13.773459540837862</c:v>
                </c:pt>
                <c:pt idx="16">
                  <c:v>-14.532036331669218</c:v>
                </c:pt>
                <c:pt idx="17">
                  <c:v>-13.808919156657495</c:v>
                </c:pt>
                <c:pt idx="18">
                  <c:v>-15.092071631864101</c:v>
                </c:pt>
                <c:pt idx="19">
                  <c:v>-14.83566877161735</c:v>
                </c:pt>
                <c:pt idx="20">
                  <c:v>-15.302412758114059</c:v>
                </c:pt>
                <c:pt idx="21">
                  <c:v>-15.512656089947896</c:v>
                </c:pt>
                <c:pt idx="22">
                  <c:v>-15.512729331447872</c:v>
                </c:pt>
                <c:pt idx="23">
                  <c:v>-15.446619961169361</c:v>
                </c:pt>
                <c:pt idx="24">
                  <c:v>-16.818248764220556</c:v>
                </c:pt>
                <c:pt idx="25">
                  <c:v>-16.468468614791121</c:v>
                </c:pt>
                <c:pt idx="26">
                  <c:v>-15.953068910233625</c:v>
                </c:pt>
                <c:pt idx="27">
                  <c:v>-16.127909593322443</c:v>
                </c:pt>
                <c:pt idx="28">
                  <c:v>-16.267228597776295</c:v>
                </c:pt>
                <c:pt idx="29">
                  <c:v>-16.085925569392145</c:v>
                </c:pt>
                <c:pt idx="30">
                  <c:v>-17.021945418996154</c:v>
                </c:pt>
                <c:pt idx="31">
                  <c:v>-17.349243024643357</c:v>
                </c:pt>
                <c:pt idx="32">
                  <c:v>-17.20324717191879</c:v>
                </c:pt>
                <c:pt idx="33">
                  <c:v>-17.26107297116819</c:v>
                </c:pt>
                <c:pt idx="34">
                  <c:v>-16.714394462955084</c:v>
                </c:pt>
                <c:pt idx="35">
                  <c:v>-17.293896073249826</c:v>
                </c:pt>
                <c:pt idx="36">
                  <c:v>-17.433440119621224</c:v>
                </c:pt>
                <c:pt idx="37">
                  <c:v>-17.38477390291493</c:v>
                </c:pt>
                <c:pt idx="38">
                  <c:v>-18.612494079542685</c:v>
                </c:pt>
                <c:pt idx="39">
                  <c:v>-18.176358599207632</c:v>
                </c:pt>
                <c:pt idx="40">
                  <c:v>-17.928969917065274</c:v>
                </c:pt>
                <c:pt idx="41">
                  <c:v>-18.550910166482026</c:v>
                </c:pt>
                <c:pt idx="42">
                  <c:v>-18.340523762272909</c:v>
                </c:pt>
                <c:pt idx="43">
                  <c:v>-18.382587613157142</c:v>
                </c:pt>
                <c:pt idx="44">
                  <c:v>-18.152556092752903</c:v>
                </c:pt>
                <c:pt idx="45">
                  <c:v>-18.369305040762285</c:v>
                </c:pt>
                <c:pt idx="46">
                  <c:v>-18.683694331208756</c:v>
                </c:pt>
                <c:pt idx="47">
                  <c:v>-18.550833324423976</c:v>
                </c:pt>
                <c:pt idx="48">
                  <c:v>-18.738883344900259</c:v>
                </c:pt>
                <c:pt idx="49">
                  <c:v>-18.375988375186836</c:v>
                </c:pt>
                <c:pt idx="50">
                  <c:v>-19.08865331439813</c:v>
                </c:pt>
                <c:pt idx="51">
                  <c:v>-18.920329508411271</c:v>
                </c:pt>
                <c:pt idx="52">
                  <c:v>-18.949261651879823</c:v>
                </c:pt>
                <c:pt idx="53">
                  <c:v>-18.369459912882746</c:v>
                </c:pt>
                <c:pt idx="54">
                  <c:v>-19.004376968199566</c:v>
                </c:pt>
                <c:pt idx="55">
                  <c:v>-18.780945617981715</c:v>
                </c:pt>
                <c:pt idx="56">
                  <c:v>-18.8164013692802</c:v>
                </c:pt>
                <c:pt idx="57">
                  <c:v>-19.314617165379744</c:v>
                </c:pt>
                <c:pt idx="58">
                  <c:v>-18.823006861490299</c:v>
                </c:pt>
                <c:pt idx="59">
                  <c:v>-19.137082908232017</c:v>
                </c:pt>
                <c:pt idx="60">
                  <c:v>-18.949106769062141</c:v>
                </c:pt>
                <c:pt idx="61">
                  <c:v>-19.269868055360462</c:v>
                </c:pt>
                <c:pt idx="64">
                  <c:v>-19.036980567101125</c:v>
                </c:pt>
                <c:pt idx="65">
                  <c:v>-19.44471251362323</c:v>
                </c:pt>
                <c:pt idx="66">
                  <c:v>-20.261308046226389</c:v>
                </c:pt>
                <c:pt idx="67">
                  <c:v>-20.478138384596889</c:v>
                </c:pt>
                <c:pt idx="68">
                  <c:v>-19.159223799155356</c:v>
                </c:pt>
                <c:pt idx="69">
                  <c:v>-21.36540671744136</c:v>
                </c:pt>
                <c:pt idx="70">
                  <c:v>-20.672613580527965</c:v>
                </c:pt>
                <c:pt idx="71">
                  <c:v>-20.723702742365901</c:v>
                </c:pt>
                <c:pt idx="72">
                  <c:v>-20.834103508420299</c:v>
                </c:pt>
                <c:pt idx="73">
                  <c:v>-20.471203682163264</c:v>
                </c:pt>
                <c:pt idx="74">
                  <c:v>-21.135202646529905</c:v>
                </c:pt>
                <c:pt idx="75">
                  <c:v>-21.135118630503769</c:v>
                </c:pt>
                <c:pt idx="76">
                  <c:v>-21.086446600147468</c:v>
                </c:pt>
                <c:pt idx="77">
                  <c:v>-21.135202435290878</c:v>
                </c:pt>
                <c:pt idx="78">
                  <c:v>-22.664064126589167</c:v>
                </c:pt>
                <c:pt idx="79">
                  <c:v>-23.172769493676526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v>Avancement du front</c:v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932512"/>
        <c:axId val="514613048"/>
      </c:scatterChart>
      <c:scatterChart>
        <c:scatterStyle val="lineMarker"/>
        <c:varyColors val="0"/>
        <c:ser>
          <c:idx val="0"/>
          <c:order val="9"/>
          <c:tx>
            <c:strRef>
              <c:f>'Graphiques F(date) (100j)'!$AA$75</c:f>
              <c:strCache>
                <c:ptCount val="1"/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 (100j)'!$AC$76:$AC$110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 (100j)'!$AD$76:$AD$110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13832"/>
        <c:axId val="514613440"/>
      </c:scatterChart>
      <c:valAx>
        <c:axId val="513932512"/>
        <c:scaling>
          <c:orientation val="minMax"/>
          <c:max val="44926"/>
          <c:min val="442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3048"/>
        <c:crossesAt val="0"/>
        <c:crossBetween val="midCat"/>
        <c:majorUnit val="30"/>
      </c:valAx>
      <c:valAx>
        <c:axId val="514613048"/>
        <c:scaling>
          <c:orientation val="minMax"/>
          <c:max val="2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3932512"/>
        <c:crosses val="autoZero"/>
        <c:crossBetween val="midCat"/>
      </c:valAx>
      <c:valAx>
        <c:axId val="514613440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3832"/>
        <c:crosses val="max"/>
        <c:crossBetween val="midCat"/>
      </c:valAx>
      <c:valAx>
        <c:axId val="5146138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5214790525157823"/>
          <c:y val="0.72122082066879845"/>
          <c:w val="0.65214988379363015"/>
          <c:h val="4.9585514849347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0.10000000000331966</c:v>
                </c:pt>
                <c:pt idx="2">
                  <c:v>0.30000000000995897</c:v>
                </c:pt>
                <c:pt idx="3">
                  <c:v>-9.9999999989108801E-2</c:v>
                </c:pt>
                <c:pt idx="4">
                  <c:v>0</c:v>
                </c:pt>
                <c:pt idx="5">
                  <c:v>1.0000000000047748</c:v>
                </c:pt>
                <c:pt idx="6">
                  <c:v>1.0000000000047748</c:v>
                </c:pt>
                <c:pt idx="7">
                  <c:v>0</c:v>
                </c:pt>
                <c:pt idx="8">
                  <c:v>0</c:v>
                </c:pt>
                <c:pt idx="9">
                  <c:v>0.30000000000995897</c:v>
                </c:pt>
                <c:pt idx="10">
                  <c:v>0.79999999999813554</c:v>
                </c:pt>
                <c:pt idx="11">
                  <c:v>0</c:v>
                </c:pt>
                <c:pt idx="12">
                  <c:v>0.30000000000995897</c:v>
                </c:pt>
                <c:pt idx="13">
                  <c:v>0.10000000000331966</c:v>
                </c:pt>
                <c:pt idx="14">
                  <c:v>-0.19999999999242846</c:v>
                </c:pt>
                <c:pt idx="15">
                  <c:v>-0.19999999999242846</c:v>
                </c:pt>
                <c:pt idx="16">
                  <c:v>0</c:v>
                </c:pt>
                <c:pt idx="17">
                  <c:v>-0.49999999998817657</c:v>
                </c:pt>
                <c:pt idx="18">
                  <c:v>0.30000000000995897</c:v>
                </c:pt>
                <c:pt idx="19">
                  <c:v>-0.29999999999574811</c:v>
                </c:pt>
                <c:pt idx="20">
                  <c:v>-0.19999999999242846</c:v>
                </c:pt>
                <c:pt idx="21">
                  <c:v>0.20000000000663931</c:v>
                </c:pt>
                <c:pt idx="22">
                  <c:v>-0.19999999999242846</c:v>
                </c:pt>
                <c:pt idx="23">
                  <c:v>0</c:v>
                </c:pt>
                <c:pt idx="24">
                  <c:v>0.79999999999813554</c:v>
                </c:pt>
                <c:pt idx="25">
                  <c:v>0</c:v>
                </c:pt>
                <c:pt idx="26">
                  <c:v>-9.9999999989108801E-2</c:v>
                </c:pt>
                <c:pt idx="27">
                  <c:v>0</c:v>
                </c:pt>
                <c:pt idx="28">
                  <c:v>-0.19999999999242846</c:v>
                </c:pt>
                <c:pt idx="29">
                  <c:v>0.60000000000570708</c:v>
                </c:pt>
                <c:pt idx="30">
                  <c:v>0.20000000000663931</c:v>
                </c:pt>
                <c:pt idx="31">
                  <c:v>0.70000000000902673</c:v>
                </c:pt>
                <c:pt idx="32">
                  <c:v>0.10000000000331966</c:v>
                </c:pt>
                <c:pt idx="33">
                  <c:v>-0.29999999999574811</c:v>
                </c:pt>
                <c:pt idx="34">
                  <c:v>-0.19999999999242846</c:v>
                </c:pt>
                <c:pt idx="35">
                  <c:v>-9.9999999989108801E-2</c:v>
                </c:pt>
                <c:pt idx="36">
                  <c:v>0.20000000000663931</c:v>
                </c:pt>
                <c:pt idx="37">
                  <c:v>0.20000000000663931</c:v>
                </c:pt>
                <c:pt idx="38">
                  <c:v>3.3333333334439885E-2</c:v>
                </c:pt>
                <c:pt idx="39">
                  <c:v>8.3333333350310568E-2</c:v>
                </c:pt>
                <c:pt idx="40">
                  <c:v>0.60000000000570708</c:v>
                </c:pt>
                <c:pt idx="41">
                  <c:v>-0.29999999999574811</c:v>
                </c:pt>
                <c:pt idx="42">
                  <c:v>-9.9999999989108801E-2</c:v>
                </c:pt>
                <c:pt idx="43">
                  <c:v>0.20000000000663931</c:v>
                </c:pt>
                <c:pt idx="44">
                  <c:v>0.30000000000995897</c:v>
                </c:pt>
                <c:pt idx="45">
                  <c:v>0</c:v>
                </c:pt>
                <c:pt idx="46">
                  <c:v>0.39999999999906777</c:v>
                </c:pt>
                <c:pt idx="47">
                  <c:v>0.30000000000995897</c:v>
                </c:pt>
                <c:pt idx="48">
                  <c:v>0.39999999999906777</c:v>
                </c:pt>
                <c:pt idx="49">
                  <c:v>0.30000000000995897</c:v>
                </c:pt>
                <c:pt idx="50">
                  <c:v>0.60000000000570708</c:v>
                </c:pt>
                <c:pt idx="51">
                  <c:v>0.10000000000331966</c:v>
                </c:pt>
                <c:pt idx="52">
                  <c:v>0.20000000000663931</c:v>
                </c:pt>
                <c:pt idx="53">
                  <c:v>0</c:v>
                </c:pt>
                <c:pt idx="54">
                  <c:v>1.300000000000523</c:v>
                </c:pt>
                <c:pt idx="55">
                  <c:v>0</c:v>
                </c:pt>
                <c:pt idx="56">
                  <c:v>0.60000000000570708</c:v>
                </c:pt>
                <c:pt idx="57">
                  <c:v>-0.29999999999574811</c:v>
                </c:pt>
                <c:pt idx="58">
                  <c:v>0.10000000000331966</c:v>
                </c:pt>
                <c:pt idx="59">
                  <c:v>0</c:v>
                </c:pt>
                <c:pt idx="60">
                  <c:v>0.10000000000331966</c:v>
                </c:pt>
                <c:pt idx="61">
                  <c:v>0.39999999999906777</c:v>
                </c:pt>
                <c:pt idx="62">
                  <c:v>0.20000000000663931</c:v>
                </c:pt>
                <c:pt idx="63">
                  <c:v>-0.29999999999574811</c:v>
                </c:pt>
                <c:pt idx="64">
                  <c:v>0.30000000000995897</c:v>
                </c:pt>
                <c:pt idx="65">
                  <c:v>-0.49999999998817657</c:v>
                </c:pt>
                <c:pt idx="66">
                  <c:v>-9.9999999989108801E-2</c:v>
                </c:pt>
                <c:pt idx="67">
                  <c:v>-9.9999999989108801E-2</c:v>
                </c:pt>
                <c:pt idx="68">
                  <c:v>-0.59999999999149622</c:v>
                </c:pt>
                <c:pt idx="69">
                  <c:v>0.20000000000663931</c:v>
                </c:pt>
                <c:pt idx="70">
                  <c:v>-9.9999999989108801E-2</c:v>
                </c:pt>
                <c:pt idx="71">
                  <c:v>-0.69999999999481588</c:v>
                </c:pt>
                <c:pt idx="72">
                  <c:v>0.60000000000570708</c:v>
                </c:pt>
                <c:pt idx="73">
                  <c:v>0</c:v>
                </c:pt>
                <c:pt idx="74">
                  <c:v>-0.29999999999574811</c:v>
                </c:pt>
                <c:pt idx="75">
                  <c:v>0.39999999999906777</c:v>
                </c:pt>
                <c:pt idx="76">
                  <c:v>-0.69999999999481588</c:v>
                </c:pt>
                <c:pt idx="77">
                  <c:v>-0.29999999999574811</c:v>
                </c:pt>
                <c:pt idx="78">
                  <c:v>-0.59999999999149622</c:v>
                </c:pt>
                <c:pt idx="81">
                  <c:v>0.10000000000331966</c:v>
                </c:pt>
                <c:pt idx="83">
                  <c:v>0.10000000000331966</c:v>
                </c:pt>
                <c:pt idx="85">
                  <c:v>-0.50000000000238742</c:v>
                </c:pt>
                <c:pt idx="86">
                  <c:v>0.70000000000902673</c:v>
                </c:pt>
                <c:pt idx="87">
                  <c:v>-0.50000000000238742</c:v>
                </c:pt>
                <c:pt idx="88">
                  <c:v>0</c:v>
                </c:pt>
                <c:pt idx="89">
                  <c:v>-0.50000000000238742</c:v>
                </c:pt>
                <c:pt idx="90">
                  <c:v>0.10000000000331966</c:v>
                </c:pt>
                <c:pt idx="91">
                  <c:v>-0.29999999999574811</c:v>
                </c:pt>
                <c:pt idx="92">
                  <c:v>0</c:v>
                </c:pt>
                <c:pt idx="93">
                  <c:v>-0.19999999999242846</c:v>
                </c:pt>
                <c:pt idx="94">
                  <c:v>-0.10000000000331966</c:v>
                </c:pt>
                <c:pt idx="95">
                  <c:v>-0.79999999999813554</c:v>
                </c:pt>
                <c:pt idx="96">
                  <c:v>0.50000000000238742</c:v>
                </c:pt>
                <c:pt idx="97">
                  <c:v>0.10000000000331966</c:v>
                </c:pt>
                <c:pt idx="98">
                  <c:v>-0.19999999999242846</c:v>
                </c:pt>
                <c:pt idx="100">
                  <c:v>0.70000000000902673</c:v>
                </c:pt>
                <c:pt idx="101">
                  <c:v>0.10000000000331966</c:v>
                </c:pt>
                <c:pt idx="102">
                  <c:v>-0.29999999999574811</c:v>
                </c:pt>
                <c:pt idx="103">
                  <c:v>-0.29999999999574811</c:v>
                </c:pt>
                <c:pt idx="104">
                  <c:v>0.10000000000331966</c:v>
                </c:pt>
                <c:pt idx="105">
                  <c:v>-0.19999999999242846</c:v>
                </c:pt>
                <c:pt idx="106">
                  <c:v>-0.19999999999242846</c:v>
                </c:pt>
                <c:pt idx="107">
                  <c:v>-0.19999999999242846</c:v>
                </c:pt>
                <c:pt idx="108">
                  <c:v>-0.69999999999481588</c:v>
                </c:pt>
                <c:pt idx="109">
                  <c:v>0.39999999999906777</c:v>
                </c:pt>
                <c:pt idx="110">
                  <c:v>1.1000000000080945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Déplacements!$Q$9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Déplacements!$Q$10:$Q$200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-0.70000000000902673</c:v>
                </c:pt>
                <c:pt idx="2">
                  <c:v>-0.30000000000995897</c:v>
                </c:pt>
                <c:pt idx="3">
                  <c:v>-0.70000000000902673</c:v>
                </c:pt>
                <c:pt idx="4">
                  <c:v>-1.6999999999995907</c:v>
                </c:pt>
                <c:pt idx="5">
                  <c:v>-2.8000000000076852</c:v>
                </c:pt>
                <c:pt idx="6">
                  <c:v>-4.6999999999997044</c:v>
                </c:pt>
                <c:pt idx="7">
                  <c:v>-6.7000000000092541</c:v>
                </c:pt>
                <c:pt idx="8">
                  <c:v>-6.7000000000092541</c:v>
                </c:pt>
                <c:pt idx="9">
                  <c:v>-7.6999999999998181</c:v>
                </c:pt>
                <c:pt idx="10">
                  <c:v>-6.7000000000092541</c:v>
                </c:pt>
                <c:pt idx="11">
                  <c:v>-8.7000000000045929</c:v>
                </c:pt>
                <c:pt idx="12">
                  <c:v>-8.4999999999979536</c:v>
                </c:pt>
                <c:pt idx="13">
                  <c:v>-9.5000000000027285</c:v>
                </c:pt>
                <c:pt idx="14">
                  <c:v>-9.9000000000017963</c:v>
                </c:pt>
                <c:pt idx="15">
                  <c:v>-10.699999999999932</c:v>
                </c:pt>
                <c:pt idx="16">
                  <c:v>-11.099999999999</c:v>
                </c:pt>
                <c:pt idx="17">
                  <c:v>-11.900000000011346</c:v>
                </c:pt>
                <c:pt idx="18">
                  <c:v>-11.700000000004707</c:v>
                </c:pt>
                <c:pt idx="19">
                  <c:v>-12.300000000010414</c:v>
                </c:pt>
                <c:pt idx="20">
                  <c:v>-13.100000000008549</c:v>
                </c:pt>
                <c:pt idx="21">
                  <c:v>-12.79999999999859</c:v>
                </c:pt>
                <c:pt idx="22">
                  <c:v>-13.500000000007617</c:v>
                </c:pt>
                <c:pt idx="23">
                  <c:v>-13.300000000000978</c:v>
                </c:pt>
                <c:pt idx="24">
                  <c:v>-14.200000000002433</c:v>
                </c:pt>
                <c:pt idx="25">
                  <c:v>-14.400000000009072</c:v>
                </c:pt>
                <c:pt idx="26">
                  <c:v>-14.70000000000482</c:v>
                </c:pt>
                <c:pt idx="27">
                  <c:v>-15.000000000000568</c:v>
                </c:pt>
                <c:pt idx="28">
                  <c:v>-15.300000000010527</c:v>
                </c:pt>
                <c:pt idx="29">
                  <c:v>-15.600000000006276</c:v>
                </c:pt>
                <c:pt idx="30">
                  <c:v>-16.199999999997772</c:v>
                </c:pt>
                <c:pt idx="31">
                  <c:v>-16.100000000008663</c:v>
                </c:pt>
                <c:pt idx="32">
                  <c:v>-16.900000000006798</c:v>
                </c:pt>
                <c:pt idx="33">
                  <c:v>-17.400000000009186</c:v>
                </c:pt>
                <c:pt idx="34">
                  <c:v>-17.300000000005866</c:v>
                </c:pt>
                <c:pt idx="35">
                  <c:v>-17.600000000001614</c:v>
                </c:pt>
                <c:pt idx="36">
                  <c:v>-17.600000000001614</c:v>
                </c:pt>
                <c:pt idx="37">
                  <c:v>-17.800000000008254</c:v>
                </c:pt>
                <c:pt idx="38">
                  <c:v>-19.049999999992906</c:v>
                </c:pt>
                <c:pt idx="39">
                  <c:v>-19.133333333329006</c:v>
                </c:pt>
                <c:pt idx="40">
                  <c:v>-18.39999999999975</c:v>
                </c:pt>
                <c:pt idx="41">
                  <c:v>-19.900000000006912</c:v>
                </c:pt>
                <c:pt idx="42">
                  <c:v>-19.500000000007844</c:v>
                </c:pt>
                <c:pt idx="43">
                  <c:v>-19.500000000007844</c:v>
                </c:pt>
                <c:pt idx="44">
                  <c:v>-19.500000000007844</c:v>
                </c:pt>
                <c:pt idx="45">
                  <c:v>-20.099999999999341</c:v>
                </c:pt>
                <c:pt idx="46">
                  <c:v>-20.099999999999341</c:v>
                </c:pt>
                <c:pt idx="47">
                  <c:v>-20.099999999999341</c:v>
                </c:pt>
                <c:pt idx="48">
                  <c:v>-20.499999999998408</c:v>
                </c:pt>
                <c:pt idx="49">
                  <c:v>-20.499999999998408</c:v>
                </c:pt>
                <c:pt idx="50">
                  <c:v>-20.800000000008367</c:v>
                </c:pt>
                <c:pt idx="51">
                  <c:v>-21.200000000007435</c:v>
                </c:pt>
                <c:pt idx="52">
                  <c:v>-21.200000000007435</c:v>
                </c:pt>
                <c:pt idx="53">
                  <c:v>-21.100000000004115</c:v>
                </c:pt>
                <c:pt idx="54">
                  <c:v>-21.200000000007435</c:v>
                </c:pt>
                <c:pt idx="55">
                  <c:v>-21.700000000009823</c:v>
                </c:pt>
                <c:pt idx="56">
                  <c:v>-21.300000000010755</c:v>
                </c:pt>
                <c:pt idx="57">
                  <c:v>-22.500000000007958</c:v>
                </c:pt>
                <c:pt idx="58">
                  <c:v>-21.900000000002251</c:v>
                </c:pt>
                <c:pt idx="59">
                  <c:v>-22.300000000001319</c:v>
                </c:pt>
                <c:pt idx="60">
                  <c:v>-22.400000000004638</c:v>
                </c:pt>
                <c:pt idx="61">
                  <c:v>-22.600000000011278</c:v>
                </c:pt>
                <c:pt idx="62">
                  <c:v>-23.200000000002774</c:v>
                </c:pt>
                <c:pt idx="63">
                  <c:v>-24.100000000004229</c:v>
                </c:pt>
                <c:pt idx="64">
                  <c:v>-23.099999999999454</c:v>
                </c:pt>
                <c:pt idx="65">
                  <c:v>-24.200000000007549</c:v>
                </c:pt>
                <c:pt idx="66">
                  <c:v>-24.300000000010868</c:v>
                </c:pt>
                <c:pt idx="67">
                  <c:v>-24.600000000006617</c:v>
                </c:pt>
                <c:pt idx="68">
                  <c:v>-25.500000000008072</c:v>
                </c:pt>
                <c:pt idx="69">
                  <c:v>-26.099999999999568</c:v>
                </c:pt>
                <c:pt idx="70">
                  <c:v>-25.90000000000714</c:v>
                </c:pt>
                <c:pt idx="71">
                  <c:v>-26.300000000006207</c:v>
                </c:pt>
                <c:pt idx="72">
                  <c:v>-25.300000000001432</c:v>
                </c:pt>
                <c:pt idx="73">
                  <c:v>-25.7000000000005</c:v>
                </c:pt>
                <c:pt idx="74">
                  <c:v>-26.400000000009527</c:v>
                </c:pt>
                <c:pt idx="75">
                  <c:v>-26.200000000002888</c:v>
                </c:pt>
                <c:pt idx="76">
                  <c:v>-27.300000000010982</c:v>
                </c:pt>
                <c:pt idx="77">
                  <c:v>-27.300000000010982</c:v>
                </c:pt>
                <c:pt idx="78">
                  <c:v>-29.099999999999682</c:v>
                </c:pt>
                <c:pt idx="81">
                  <c:v>-28.599999999997294</c:v>
                </c:pt>
                <c:pt idx="83">
                  <c:v>-28.599999999997294</c:v>
                </c:pt>
                <c:pt idx="85">
                  <c:v>-29.29999999999211</c:v>
                </c:pt>
                <c:pt idx="86">
                  <c:v>-30.299999999996885</c:v>
                </c:pt>
                <c:pt idx="87">
                  <c:v>-29.699999999991178</c:v>
                </c:pt>
                <c:pt idx="88">
                  <c:v>-29.799999999994498</c:v>
                </c:pt>
                <c:pt idx="89">
                  <c:v>-31.30000000000166</c:v>
                </c:pt>
                <c:pt idx="90">
                  <c:v>-30.499999999989313</c:v>
                </c:pt>
                <c:pt idx="91">
                  <c:v>-31.799999999989836</c:v>
                </c:pt>
                <c:pt idx="92">
                  <c:v>-31.899999999993156</c:v>
                </c:pt>
                <c:pt idx="93">
                  <c:v>-31.899999999993156</c:v>
                </c:pt>
                <c:pt idx="94">
                  <c:v>-32.600000000002183</c:v>
                </c:pt>
                <c:pt idx="95">
                  <c:v>-32.899999999997931</c:v>
                </c:pt>
                <c:pt idx="96">
                  <c:v>-31.999999999996476</c:v>
                </c:pt>
                <c:pt idx="97">
                  <c:v>-32.200000000003115</c:v>
                </c:pt>
                <c:pt idx="98">
                  <c:v>-32.799999999994611</c:v>
                </c:pt>
                <c:pt idx="99">
                  <c:v>-33.799999999999386</c:v>
                </c:pt>
                <c:pt idx="100">
                  <c:v>-33.099999999990359</c:v>
                </c:pt>
                <c:pt idx="101">
                  <c:v>-33.299999999996999</c:v>
                </c:pt>
                <c:pt idx="102">
                  <c:v>-33.199999999993679</c:v>
                </c:pt>
                <c:pt idx="103">
                  <c:v>-33.299999999996999</c:v>
                </c:pt>
                <c:pt idx="104">
                  <c:v>-33.799999999999386</c:v>
                </c:pt>
                <c:pt idx="105">
                  <c:v>-33.799999999999386</c:v>
                </c:pt>
                <c:pt idx="106">
                  <c:v>-34.300000000001774</c:v>
                </c:pt>
                <c:pt idx="107">
                  <c:v>-34.79999999998995</c:v>
                </c:pt>
                <c:pt idx="108">
                  <c:v>-35.099999999999909</c:v>
                </c:pt>
                <c:pt idx="109">
                  <c:v>-34.499999999994202</c:v>
                </c:pt>
                <c:pt idx="110">
                  <c:v>-43.199999999998795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Déplacements!$AC$9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Déplacements!$AC$10:$AC$200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-0.20000000000663931</c:v>
                </c:pt>
                <c:pt idx="2">
                  <c:v>0.29999999999574811</c:v>
                </c:pt>
                <c:pt idx="3">
                  <c:v>-0.20000000000663931</c:v>
                </c:pt>
                <c:pt idx="4">
                  <c:v>0.19999999999242846</c:v>
                </c:pt>
                <c:pt idx="5">
                  <c:v>-0.10000000000331966</c:v>
                </c:pt>
                <c:pt idx="6">
                  <c:v>2.1999999999877673</c:v>
                </c:pt>
                <c:pt idx="7">
                  <c:v>1.1999999999972033</c:v>
                </c:pt>
                <c:pt idx="8">
                  <c:v>1.1999999999972033</c:v>
                </c:pt>
                <c:pt idx="9">
                  <c:v>1.300000000000523</c:v>
                </c:pt>
                <c:pt idx="10">
                  <c:v>1.5999999999962711</c:v>
                </c:pt>
                <c:pt idx="11">
                  <c:v>1.1999999999972033</c:v>
                </c:pt>
                <c:pt idx="12">
                  <c:v>1.7999999999886995</c:v>
                </c:pt>
                <c:pt idx="13">
                  <c:v>1.6999999999995907</c:v>
                </c:pt>
                <c:pt idx="14">
                  <c:v>1.3999999999896318</c:v>
                </c:pt>
                <c:pt idx="15">
                  <c:v>1.3999999999896318</c:v>
                </c:pt>
                <c:pt idx="16">
                  <c:v>1.5999999999962711</c:v>
                </c:pt>
                <c:pt idx="17">
                  <c:v>1.1999999999972033</c:v>
                </c:pt>
                <c:pt idx="18">
                  <c:v>1.9999999999953388</c:v>
                </c:pt>
                <c:pt idx="19">
                  <c:v>1.6999999999995907</c:v>
                </c:pt>
                <c:pt idx="20">
                  <c:v>1.300000000000523</c:v>
                </c:pt>
                <c:pt idx="21">
                  <c:v>1.9999999999953388</c:v>
                </c:pt>
                <c:pt idx="22">
                  <c:v>1.7999999999886995</c:v>
                </c:pt>
                <c:pt idx="23">
                  <c:v>2.299999999991087</c:v>
                </c:pt>
                <c:pt idx="24">
                  <c:v>2.6999999999901547</c:v>
                </c:pt>
                <c:pt idx="25">
                  <c:v>2.1999999999877673</c:v>
                </c:pt>
                <c:pt idx="26">
                  <c:v>1.8999999999920192</c:v>
                </c:pt>
                <c:pt idx="27">
                  <c:v>1.8999999999920192</c:v>
                </c:pt>
                <c:pt idx="28">
                  <c:v>1.9999999999953388</c:v>
                </c:pt>
                <c:pt idx="29">
                  <c:v>1.7999999999886995</c:v>
                </c:pt>
                <c:pt idx="30">
                  <c:v>2.299999999991087</c:v>
                </c:pt>
                <c:pt idx="31">
                  <c:v>2.7999999999934744</c:v>
                </c:pt>
                <c:pt idx="32">
                  <c:v>2.1999999999877673</c:v>
                </c:pt>
                <c:pt idx="33">
                  <c:v>2.0999999999986585</c:v>
                </c:pt>
                <c:pt idx="34">
                  <c:v>1.9999999999953388</c:v>
                </c:pt>
                <c:pt idx="35">
                  <c:v>2.0999999999986585</c:v>
                </c:pt>
                <c:pt idx="36">
                  <c:v>2.299999999991087</c:v>
                </c:pt>
                <c:pt idx="37">
                  <c:v>2.3999999999944066</c:v>
                </c:pt>
                <c:pt idx="38">
                  <c:v>2.1666666666675383</c:v>
                </c:pt>
                <c:pt idx="40">
                  <c:v>2.7999999999934744</c:v>
                </c:pt>
                <c:pt idx="41">
                  <c:v>1.8999999999920192</c:v>
                </c:pt>
                <c:pt idx="42">
                  <c:v>2.1999999999877673</c:v>
                </c:pt>
                <c:pt idx="43">
                  <c:v>2.3999999999944066</c:v>
                </c:pt>
                <c:pt idx="44">
                  <c:v>2.6000000000010459</c:v>
                </c:pt>
                <c:pt idx="46">
                  <c:v>2.6999999999901547</c:v>
                </c:pt>
                <c:pt idx="47">
                  <c:v>2.6000000000010459</c:v>
                </c:pt>
                <c:pt idx="48">
                  <c:v>2.6000000000010459</c:v>
                </c:pt>
                <c:pt idx="49">
                  <c:v>2.6999999999901547</c:v>
                </c:pt>
                <c:pt idx="50">
                  <c:v>2.7999999999934744</c:v>
                </c:pt>
                <c:pt idx="51">
                  <c:v>2.299999999991087</c:v>
                </c:pt>
                <c:pt idx="52">
                  <c:v>2.3999999999944066</c:v>
                </c:pt>
                <c:pt idx="53">
                  <c:v>2.299999999991087</c:v>
                </c:pt>
                <c:pt idx="54">
                  <c:v>2.6999999999901547</c:v>
                </c:pt>
                <c:pt idx="55">
                  <c:v>2.299999999991087</c:v>
                </c:pt>
                <c:pt idx="56">
                  <c:v>2.899999999996794</c:v>
                </c:pt>
                <c:pt idx="57">
                  <c:v>2.299999999991087</c:v>
                </c:pt>
                <c:pt idx="58">
                  <c:v>2.4999999999977263</c:v>
                </c:pt>
                <c:pt idx="59">
                  <c:v>2.4999999999977263</c:v>
                </c:pt>
                <c:pt idx="60">
                  <c:v>2.6000000000010459</c:v>
                </c:pt>
                <c:pt idx="61">
                  <c:v>2.7999999999934744</c:v>
                </c:pt>
                <c:pt idx="62">
                  <c:v>2.6000000000010459</c:v>
                </c:pt>
                <c:pt idx="64">
                  <c:v>2.6000000000010459</c:v>
                </c:pt>
                <c:pt idx="66">
                  <c:v>2.299999999991087</c:v>
                </c:pt>
                <c:pt idx="67">
                  <c:v>2.299999999991087</c:v>
                </c:pt>
                <c:pt idx="68">
                  <c:v>1.9999999999953388</c:v>
                </c:pt>
                <c:pt idx="69">
                  <c:v>2.6999999999901547</c:v>
                </c:pt>
                <c:pt idx="70">
                  <c:v>2.299999999991087</c:v>
                </c:pt>
                <c:pt idx="71">
                  <c:v>1.9999999999953388</c:v>
                </c:pt>
                <c:pt idx="72">
                  <c:v>3.0999999999892225</c:v>
                </c:pt>
                <c:pt idx="73">
                  <c:v>2.6999999999901547</c:v>
                </c:pt>
                <c:pt idx="74">
                  <c:v>2.6000000000010459</c:v>
                </c:pt>
                <c:pt idx="75">
                  <c:v>3.1999999999925421</c:v>
                </c:pt>
                <c:pt idx="76">
                  <c:v>2.0999999999986585</c:v>
                </c:pt>
                <c:pt idx="77">
                  <c:v>2.4999999999977263</c:v>
                </c:pt>
                <c:pt idx="78">
                  <c:v>2.3999999999944066</c:v>
                </c:pt>
                <c:pt idx="81">
                  <c:v>3.0999999999892225</c:v>
                </c:pt>
                <c:pt idx="83">
                  <c:v>3.0999999999892225</c:v>
                </c:pt>
                <c:pt idx="85">
                  <c:v>2.7999999999934744</c:v>
                </c:pt>
                <c:pt idx="86">
                  <c:v>3.4999999999882903</c:v>
                </c:pt>
                <c:pt idx="87">
                  <c:v>2.8999999999825832</c:v>
                </c:pt>
                <c:pt idx="88">
                  <c:v>2.8999999999825832</c:v>
                </c:pt>
                <c:pt idx="89">
                  <c:v>2.5999999999868351</c:v>
                </c:pt>
                <c:pt idx="90">
                  <c:v>3.3999999999849706</c:v>
                </c:pt>
                <c:pt idx="91">
                  <c:v>3.3999999999849706</c:v>
                </c:pt>
                <c:pt idx="93">
                  <c:v>3.2999999999816509</c:v>
                </c:pt>
                <c:pt idx="94">
                  <c:v>2.9999999999859028</c:v>
                </c:pt>
                <c:pt idx="95">
                  <c:v>2.5999999999868351</c:v>
                </c:pt>
                <c:pt idx="99">
                  <c:v>2.5999999999868351</c:v>
                </c:pt>
                <c:pt idx="100">
                  <c:v>3.7999999999840384</c:v>
                </c:pt>
                <c:pt idx="101">
                  <c:v>3.2999999999816509</c:v>
                </c:pt>
                <c:pt idx="102">
                  <c:v>3.1999999999925421</c:v>
                </c:pt>
                <c:pt idx="105">
                  <c:v>2.9999999999859028</c:v>
                </c:pt>
                <c:pt idx="106">
                  <c:v>3.2999999999816509</c:v>
                </c:pt>
                <c:pt idx="107">
                  <c:v>3.1999999999925421</c:v>
                </c:pt>
                <c:pt idx="108">
                  <c:v>2.8999999999825832</c:v>
                </c:pt>
                <c:pt idx="109">
                  <c:v>3.9999999999906777</c:v>
                </c:pt>
                <c:pt idx="110">
                  <c:v>4.8999999999921329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Déplacements!$M$9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Déplacements!$M$10:$M$200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</c:v>
                </c:pt>
                <c:pt idx="2">
                  <c:v>0.10000000000331966</c:v>
                </c:pt>
                <c:pt idx="3">
                  <c:v>-0.39999999999906777</c:v>
                </c:pt>
                <c:pt idx="4">
                  <c:v>-0.39999999999906777</c:v>
                </c:pt>
                <c:pt idx="5">
                  <c:v>-0.19999999999242846</c:v>
                </c:pt>
                <c:pt idx="6">
                  <c:v>0.60000000000570708</c:v>
                </c:pt>
                <c:pt idx="7">
                  <c:v>-0.39999999999906777</c:v>
                </c:pt>
                <c:pt idx="8">
                  <c:v>-0.39999999999906777</c:v>
                </c:pt>
                <c:pt idx="9">
                  <c:v>-0.39999999999906777</c:v>
                </c:pt>
                <c:pt idx="10">
                  <c:v>0.90000000000145519</c:v>
                </c:pt>
                <c:pt idx="11">
                  <c:v>-0.39999999999906777</c:v>
                </c:pt>
                <c:pt idx="12">
                  <c:v>-0.19999999999242846</c:v>
                </c:pt>
                <c:pt idx="13">
                  <c:v>-0.99999999999056399</c:v>
                </c:pt>
                <c:pt idx="14">
                  <c:v>-1.0999999999938836</c:v>
                </c:pt>
                <c:pt idx="15">
                  <c:v>-1.1999999999972033</c:v>
                </c:pt>
                <c:pt idx="16">
                  <c:v>-1.0999999999938836</c:v>
                </c:pt>
                <c:pt idx="17">
                  <c:v>-1.0999999999938836</c:v>
                </c:pt>
                <c:pt idx="18">
                  <c:v>-0.79999999999813554</c:v>
                </c:pt>
                <c:pt idx="19">
                  <c:v>-1.0999999999938836</c:v>
                </c:pt>
                <c:pt idx="20">
                  <c:v>-1.5999999999962711</c:v>
                </c:pt>
                <c:pt idx="21">
                  <c:v>-1.1999999999972033</c:v>
                </c:pt>
                <c:pt idx="22">
                  <c:v>-1.1999999999972033</c:v>
                </c:pt>
                <c:pt idx="25">
                  <c:v>-1.300000000000523</c:v>
                </c:pt>
                <c:pt idx="26">
                  <c:v>-1.1999999999972033</c:v>
                </c:pt>
                <c:pt idx="27">
                  <c:v>-1.1999999999972033</c:v>
                </c:pt>
                <c:pt idx="28">
                  <c:v>-1.0999999999938836</c:v>
                </c:pt>
                <c:pt idx="29">
                  <c:v>-1.300000000000523</c:v>
                </c:pt>
                <c:pt idx="30">
                  <c:v>-1.3999999999896318</c:v>
                </c:pt>
                <c:pt idx="31">
                  <c:v>-1.300000000000523</c:v>
                </c:pt>
                <c:pt idx="32">
                  <c:v>-1.5999999999962711</c:v>
                </c:pt>
                <c:pt idx="34">
                  <c:v>-1.300000000000523</c:v>
                </c:pt>
                <c:pt idx="35">
                  <c:v>-1.4999999999929514</c:v>
                </c:pt>
                <c:pt idx="36">
                  <c:v>-1.1999999999972033</c:v>
                </c:pt>
                <c:pt idx="37">
                  <c:v>-1.3999999999896318</c:v>
                </c:pt>
                <c:pt idx="38">
                  <c:v>-2.2333333333222072</c:v>
                </c:pt>
                <c:pt idx="39">
                  <c:v>-2.1000000000128694</c:v>
                </c:pt>
                <c:pt idx="40">
                  <c:v>-1.300000000000523</c:v>
                </c:pt>
                <c:pt idx="42">
                  <c:v>-2.299999999991087</c:v>
                </c:pt>
                <c:pt idx="43">
                  <c:v>-2.1999999999877673</c:v>
                </c:pt>
                <c:pt idx="44">
                  <c:v>-1.6999999999995907</c:v>
                </c:pt>
                <c:pt idx="45">
                  <c:v>-2.299999999991087</c:v>
                </c:pt>
                <c:pt idx="46">
                  <c:v>-2.3999999999944066</c:v>
                </c:pt>
                <c:pt idx="47">
                  <c:v>-1.7999999999886995</c:v>
                </c:pt>
                <c:pt idx="48">
                  <c:v>-2.0999999999986585</c:v>
                </c:pt>
                <c:pt idx="49">
                  <c:v>-1.8999999999920192</c:v>
                </c:pt>
                <c:pt idx="50">
                  <c:v>-1.9999999999953388</c:v>
                </c:pt>
                <c:pt idx="51">
                  <c:v>-2.6000000000010459</c:v>
                </c:pt>
                <c:pt idx="54">
                  <c:v>-2.299999999991087</c:v>
                </c:pt>
                <c:pt idx="55">
                  <c:v>-2.3999999999944066</c:v>
                </c:pt>
                <c:pt idx="56">
                  <c:v>-1.8999999999920192</c:v>
                </c:pt>
                <c:pt idx="58">
                  <c:v>-2.4999999999977263</c:v>
                </c:pt>
                <c:pt idx="59">
                  <c:v>-2.3999999999944066</c:v>
                </c:pt>
                <c:pt idx="60">
                  <c:v>-1.4999999999929514</c:v>
                </c:pt>
                <c:pt idx="61">
                  <c:v>-2.1999999999877673</c:v>
                </c:pt>
                <c:pt idx="62">
                  <c:v>-2.7999999999934744</c:v>
                </c:pt>
                <c:pt idx="64">
                  <c:v>-3.0000000000001137</c:v>
                </c:pt>
                <c:pt idx="81">
                  <c:v>-2.6999999999901547</c:v>
                </c:pt>
                <c:pt idx="83">
                  <c:v>-2.6999999999901547</c:v>
                </c:pt>
                <c:pt idx="85">
                  <c:v>-3.0999999999892225</c:v>
                </c:pt>
                <c:pt idx="86">
                  <c:v>-3.5999999999916099</c:v>
                </c:pt>
                <c:pt idx="87">
                  <c:v>-2.9999999999859028</c:v>
                </c:pt>
                <c:pt idx="88">
                  <c:v>-2.9999999999859028</c:v>
                </c:pt>
                <c:pt idx="89">
                  <c:v>-3.9999999999906777</c:v>
                </c:pt>
                <c:pt idx="90">
                  <c:v>-2.9999999999859028</c:v>
                </c:pt>
                <c:pt idx="91">
                  <c:v>-4.2999999999864258</c:v>
                </c:pt>
                <c:pt idx="92">
                  <c:v>-3.7999999999840384</c:v>
                </c:pt>
                <c:pt idx="94">
                  <c:v>-3.899999999987358</c:v>
                </c:pt>
                <c:pt idx="95">
                  <c:v>-4.2999999999864258</c:v>
                </c:pt>
                <c:pt idx="96">
                  <c:v>-3.1999999999925421</c:v>
                </c:pt>
                <c:pt idx="97">
                  <c:v>-3.5999999999916099</c:v>
                </c:pt>
                <c:pt idx="98">
                  <c:v>-4.2999999999864258</c:v>
                </c:pt>
                <c:pt idx="99">
                  <c:v>-4.7999999999888132</c:v>
                </c:pt>
                <c:pt idx="100">
                  <c:v>-4.0999999999797865</c:v>
                </c:pt>
                <c:pt idx="101">
                  <c:v>-4.2999999999864258</c:v>
                </c:pt>
                <c:pt idx="102">
                  <c:v>-4.2999999999864258</c:v>
                </c:pt>
                <c:pt idx="103">
                  <c:v>-4.0999999999797865</c:v>
                </c:pt>
                <c:pt idx="104">
                  <c:v>-4.3999999999897454</c:v>
                </c:pt>
                <c:pt idx="105">
                  <c:v>-4.2999999999864258</c:v>
                </c:pt>
                <c:pt idx="106">
                  <c:v>-4.6999999999854936</c:v>
                </c:pt>
                <c:pt idx="107">
                  <c:v>-4.7999999999888132</c:v>
                </c:pt>
                <c:pt idx="108">
                  <c:v>-5.0999999999845613</c:v>
                </c:pt>
                <c:pt idx="109">
                  <c:v>-4.3999999999897454</c:v>
                </c:pt>
                <c:pt idx="110">
                  <c:v>-7.5999999999822876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Déplacements!$U$9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Déplacements!$U$10:$U$200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-0.10000000000331966</c:v>
                </c:pt>
                <c:pt idx="2">
                  <c:v>0.30000000000995897</c:v>
                </c:pt>
                <c:pt idx="3">
                  <c:v>-0.29999999999574811</c:v>
                </c:pt>
                <c:pt idx="4">
                  <c:v>-0.59999999999149622</c:v>
                </c:pt>
                <c:pt idx="5">
                  <c:v>-0.50000000000238742</c:v>
                </c:pt>
                <c:pt idx="6">
                  <c:v>-0.59999999999149622</c:v>
                </c:pt>
                <c:pt idx="7">
                  <c:v>-1.5999999999962711</c:v>
                </c:pt>
                <c:pt idx="8">
                  <c:v>-1.5999999999962711</c:v>
                </c:pt>
                <c:pt idx="9">
                  <c:v>-1.8000000000029104</c:v>
                </c:pt>
                <c:pt idx="10">
                  <c:v>-1.0999999999938836</c:v>
                </c:pt>
                <c:pt idx="11">
                  <c:v>-1.5999999999962711</c:v>
                </c:pt>
                <c:pt idx="12">
                  <c:v>-1.9999999999953388</c:v>
                </c:pt>
                <c:pt idx="13">
                  <c:v>-2.6999999999901547</c:v>
                </c:pt>
                <c:pt idx="14">
                  <c:v>-3.3999999999991815</c:v>
                </c:pt>
                <c:pt idx="15">
                  <c:v>-3.2999999999958618</c:v>
                </c:pt>
                <c:pt idx="16">
                  <c:v>-3.6999999999949296</c:v>
                </c:pt>
                <c:pt idx="17">
                  <c:v>-4.199999999997317</c:v>
                </c:pt>
                <c:pt idx="18">
                  <c:v>-3.6999999999949296</c:v>
                </c:pt>
                <c:pt idx="19">
                  <c:v>-4.199999999997317</c:v>
                </c:pt>
                <c:pt idx="20">
                  <c:v>-4.6999999999997044</c:v>
                </c:pt>
                <c:pt idx="21">
                  <c:v>-4.3000000000006366</c:v>
                </c:pt>
                <c:pt idx="22">
                  <c:v>-4.8000000000030241</c:v>
                </c:pt>
                <c:pt idx="23">
                  <c:v>-5.2000000000020918</c:v>
                </c:pt>
                <c:pt idx="24">
                  <c:v>-4.8000000000030241</c:v>
                </c:pt>
                <c:pt idx="25">
                  <c:v>-4.8000000000030241</c:v>
                </c:pt>
                <c:pt idx="26">
                  <c:v>-5.2000000000020918</c:v>
                </c:pt>
                <c:pt idx="27">
                  <c:v>-5.2000000000020918</c:v>
                </c:pt>
                <c:pt idx="28">
                  <c:v>-5.49999999999784</c:v>
                </c:pt>
                <c:pt idx="29">
                  <c:v>-5.6000000000011596</c:v>
                </c:pt>
                <c:pt idx="30">
                  <c:v>-5.6999999999902684</c:v>
                </c:pt>
                <c:pt idx="31">
                  <c:v>-5.3999999999945203</c:v>
                </c:pt>
                <c:pt idx="32">
                  <c:v>-6.1999999999926558</c:v>
                </c:pt>
                <c:pt idx="33">
                  <c:v>-6.6999999999950433</c:v>
                </c:pt>
                <c:pt idx="34">
                  <c:v>-6.2999999999959755</c:v>
                </c:pt>
                <c:pt idx="35">
                  <c:v>-6.5000000000026148</c:v>
                </c:pt>
                <c:pt idx="36">
                  <c:v>-6.3999999999992951</c:v>
                </c:pt>
                <c:pt idx="37">
                  <c:v>-6.5000000000026148</c:v>
                </c:pt>
                <c:pt idx="38">
                  <c:v>-7.4166666666570791</c:v>
                </c:pt>
                <c:pt idx="39">
                  <c:v>-7.4833333333259588</c:v>
                </c:pt>
                <c:pt idx="40">
                  <c:v>-6.6999999999950433</c:v>
                </c:pt>
                <c:pt idx="41">
                  <c:v>-7.9999999999955662</c:v>
                </c:pt>
                <c:pt idx="42">
                  <c:v>-7.4999999999931788</c:v>
                </c:pt>
                <c:pt idx="43">
                  <c:v>-7.4999999999931788</c:v>
                </c:pt>
                <c:pt idx="44">
                  <c:v>-7.3000000000007503</c:v>
                </c:pt>
                <c:pt idx="45">
                  <c:v>-7.8999999999922466</c:v>
                </c:pt>
                <c:pt idx="46">
                  <c:v>-7.5999999999964984</c:v>
                </c:pt>
                <c:pt idx="47">
                  <c:v>-7.6999999999998181</c:v>
                </c:pt>
                <c:pt idx="48">
                  <c:v>-7.6999999999998181</c:v>
                </c:pt>
                <c:pt idx="49">
                  <c:v>-7.8000000000031378</c:v>
                </c:pt>
                <c:pt idx="50">
                  <c:v>-7.8999999999922466</c:v>
                </c:pt>
                <c:pt idx="51">
                  <c:v>-8.399999999994634</c:v>
                </c:pt>
                <c:pt idx="52">
                  <c:v>-8.399999999994634</c:v>
                </c:pt>
                <c:pt idx="53">
                  <c:v>-8.2999999999913143</c:v>
                </c:pt>
                <c:pt idx="54">
                  <c:v>-8.0999999999988859</c:v>
                </c:pt>
                <c:pt idx="55">
                  <c:v>-8.6000000000012733</c:v>
                </c:pt>
                <c:pt idx="56">
                  <c:v>-8.0999999999988859</c:v>
                </c:pt>
                <c:pt idx="57">
                  <c:v>-9.3999999999994088</c:v>
                </c:pt>
                <c:pt idx="58">
                  <c:v>-8.6000000000012733</c:v>
                </c:pt>
                <c:pt idx="59">
                  <c:v>-8.7999999999937017</c:v>
                </c:pt>
                <c:pt idx="60">
                  <c:v>-8.7999999999937017</c:v>
                </c:pt>
                <c:pt idx="61">
                  <c:v>-8.7999999999937017</c:v>
                </c:pt>
                <c:pt idx="62">
                  <c:v>-9.1999999999927695</c:v>
                </c:pt>
                <c:pt idx="63">
                  <c:v>-9.9000000000017963</c:v>
                </c:pt>
                <c:pt idx="64">
                  <c:v>-8.7999999999937017</c:v>
                </c:pt>
                <c:pt idx="65">
                  <c:v>-10.099999999994225</c:v>
                </c:pt>
                <c:pt idx="66">
                  <c:v>-9.9999999999909051</c:v>
                </c:pt>
                <c:pt idx="67">
                  <c:v>-10.099999999994225</c:v>
                </c:pt>
                <c:pt idx="68">
                  <c:v>-10.89999999999236</c:v>
                </c:pt>
                <c:pt idx="69">
                  <c:v>-10.89999999999236</c:v>
                </c:pt>
                <c:pt idx="70">
                  <c:v>-10.800000000003251</c:v>
                </c:pt>
                <c:pt idx="71">
                  <c:v>-11.600000000001387</c:v>
                </c:pt>
                <c:pt idx="72">
                  <c:v>-10.499999999993292</c:v>
                </c:pt>
                <c:pt idx="73">
                  <c:v>-10.99999999999568</c:v>
                </c:pt>
                <c:pt idx="74">
                  <c:v>-11.499999999998067</c:v>
                </c:pt>
                <c:pt idx="75">
                  <c:v>-10.99999999999568</c:v>
                </c:pt>
                <c:pt idx="76">
                  <c:v>-12.199999999992883</c:v>
                </c:pt>
                <c:pt idx="77">
                  <c:v>-12.099999999989564</c:v>
                </c:pt>
                <c:pt idx="78">
                  <c:v>-13.199999999997658</c:v>
                </c:pt>
                <c:pt idx="81">
                  <c:v>-12.299999999996203</c:v>
                </c:pt>
                <c:pt idx="83">
                  <c:v>-12.299999999996203</c:v>
                </c:pt>
                <c:pt idx="85">
                  <c:v>-13.00000000000523</c:v>
                </c:pt>
                <c:pt idx="86">
                  <c:v>-13.300000000000978</c:v>
                </c:pt>
                <c:pt idx="87">
                  <c:v>-12.700000000009481</c:v>
                </c:pt>
                <c:pt idx="88">
                  <c:v>-12.399999999999523</c:v>
                </c:pt>
                <c:pt idx="89">
                  <c:v>-13.199999999997658</c:v>
                </c:pt>
                <c:pt idx="90">
                  <c:v>-12.79999999999859</c:v>
                </c:pt>
                <c:pt idx="91">
                  <c:v>-13.999999999995794</c:v>
                </c:pt>
                <c:pt idx="92">
                  <c:v>-13.900000000006685</c:v>
                </c:pt>
                <c:pt idx="93">
                  <c:v>-13.700000000000045</c:v>
                </c:pt>
                <c:pt idx="94">
                  <c:v>-14.200000000002433</c:v>
                </c:pt>
                <c:pt idx="95">
                  <c:v>-14.400000000009072</c:v>
                </c:pt>
                <c:pt idx="96">
                  <c:v>-13.500000000007617</c:v>
                </c:pt>
                <c:pt idx="97">
                  <c:v>-13.700000000000045</c:v>
                </c:pt>
                <c:pt idx="98">
                  <c:v>-14.300000000005753</c:v>
                </c:pt>
                <c:pt idx="99">
                  <c:v>-15.200000000007208</c:v>
                </c:pt>
                <c:pt idx="100">
                  <c:v>-14.200000000002433</c:v>
                </c:pt>
                <c:pt idx="101">
                  <c:v>-14.499999999998181</c:v>
                </c:pt>
                <c:pt idx="102">
                  <c:v>-14.300000000005753</c:v>
                </c:pt>
                <c:pt idx="103">
                  <c:v>-14.400000000009072</c:v>
                </c:pt>
                <c:pt idx="104">
                  <c:v>-14.70000000000482</c:v>
                </c:pt>
                <c:pt idx="105">
                  <c:v>-14.899999999997249</c:v>
                </c:pt>
                <c:pt idx="106">
                  <c:v>-15.000000000000568</c:v>
                </c:pt>
                <c:pt idx="107">
                  <c:v>-15.000000000000568</c:v>
                </c:pt>
                <c:pt idx="108">
                  <c:v>-15.799999999998704</c:v>
                </c:pt>
                <c:pt idx="109">
                  <c:v>-14.899999999997249</c:v>
                </c:pt>
                <c:pt idx="110">
                  <c:v>-19.700000000000273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Déplacements!$I$9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-9.9999999989108801E-2</c:v>
                </c:pt>
                <c:pt idx="2">
                  <c:v>0.39999999999906777</c:v>
                </c:pt>
                <c:pt idx="3">
                  <c:v>-9.9999999989108801E-2</c:v>
                </c:pt>
                <c:pt idx="4">
                  <c:v>0.30000000000995897</c:v>
                </c:pt>
                <c:pt idx="5">
                  <c:v>0.50000000000238742</c:v>
                </c:pt>
                <c:pt idx="6">
                  <c:v>0.30000000000995897</c:v>
                </c:pt>
                <c:pt idx="7">
                  <c:v>-0.69999999999481588</c:v>
                </c:pt>
                <c:pt idx="8">
                  <c:v>0.30000000000995897</c:v>
                </c:pt>
                <c:pt idx="9">
                  <c:v>-0.19999999999242846</c:v>
                </c:pt>
                <c:pt idx="10">
                  <c:v>0.60000000000570708</c:v>
                </c:pt>
                <c:pt idx="11">
                  <c:v>-0.69999999999481588</c:v>
                </c:pt>
                <c:pt idx="12">
                  <c:v>0.20000000000663931</c:v>
                </c:pt>
                <c:pt idx="13">
                  <c:v>-0.19999999999242846</c:v>
                </c:pt>
                <c:pt idx="14">
                  <c:v>-0.49999999998817657</c:v>
                </c:pt>
                <c:pt idx="15">
                  <c:v>-0.59999999999149622</c:v>
                </c:pt>
                <c:pt idx="16">
                  <c:v>-0.49999999998817657</c:v>
                </c:pt>
                <c:pt idx="17">
                  <c:v>-0.69999999999481588</c:v>
                </c:pt>
                <c:pt idx="18">
                  <c:v>-9.9999999989108801E-2</c:v>
                </c:pt>
                <c:pt idx="19">
                  <c:v>-0.29999999999574811</c:v>
                </c:pt>
                <c:pt idx="20">
                  <c:v>-0.89999999998724434</c:v>
                </c:pt>
                <c:pt idx="21">
                  <c:v>-0.29999999999574811</c:v>
                </c:pt>
                <c:pt idx="22">
                  <c:v>-0.59999999999149622</c:v>
                </c:pt>
                <c:pt idx="23">
                  <c:v>-9.9999999989108801E-2</c:v>
                </c:pt>
                <c:pt idx="24">
                  <c:v>-0.29999999999574811</c:v>
                </c:pt>
                <c:pt idx="25">
                  <c:v>-0.29999999999574811</c:v>
                </c:pt>
                <c:pt idx="26">
                  <c:v>-0.49999999998817657</c:v>
                </c:pt>
                <c:pt idx="27">
                  <c:v>-0.39999999999906777</c:v>
                </c:pt>
                <c:pt idx="28">
                  <c:v>-0.59999999999149622</c:v>
                </c:pt>
                <c:pt idx="29">
                  <c:v>-0.49999999998817657</c:v>
                </c:pt>
                <c:pt idx="30">
                  <c:v>-0.29999999999574811</c:v>
                </c:pt>
                <c:pt idx="31">
                  <c:v>0</c:v>
                </c:pt>
                <c:pt idx="32">
                  <c:v>-0.59999999999149622</c:v>
                </c:pt>
                <c:pt idx="33">
                  <c:v>-0.69999999999481588</c:v>
                </c:pt>
                <c:pt idx="34">
                  <c:v>-0.49999999998817657</c:v>
                </c:pt>
                <c:pt idx="35">
                  <c:v>-0.69999999999481588</c:v>
                </c:pt>
                <c:pt idx="36">
                  <c:v>-0.29999999999574811</c:v>
                </c:pt>
                <c:pt idx="37">
                  <c:v>-0.29999999999574811</c:v>
                </c:pt>
                <c:pt idx="38">
                  <c:v>-0.86666666665280445</c:v>
                </c:pt>
                <c:pt idx="39">
                  <c:v>-0.81666666665114462</c:v>
                </c:pt>
                <c:pt idx="40">
                  <c:v>-9.9999999989108801E-2</c:v>
                </c:pt>
                <c:pt idx="41">
                  <c:v>-1.0999999999938836</c:v>
                </c:pt>
                <c:pt idx="42">
                  <c:v>-0.89999999998724434</c:v>
                </c:pt>
                <c:pt idx="43">
                  <c:v>-0.69999999999481588</c:v>
                </c:pt>
                <c:pt idx="44">
                  <c:v>-0.39999999999906777</c:v>
                </c:pt>
                <c:pt idx="45">
                  <c:v>-0.89999999998724434</c:v>
                </c:pt>
                <c:pt idx="46">
                  <c:v>-0.49999999998817657</c:v>
                </c:pt>
                <c:pt idx="47">
                  <c:v>-0.49999999998817657</c:v>
                </c:pt>
                <c:pt idx="48">
                  <c:v>-0.59999999999149622</c:v>
                </c:pt>
                <c:pt idx="49">
                  <c:v>-0.59999999999149622</c:v>
                </c:pt>
                <c:pt idx="50">
                  <c:v>-0.49999999998817657</c:v>
                </c:pt>
                <c:pt idx="51">
                  <c:v>-0.99999999999056399</c:v>
                </c:pt>
                <c:pt idx="52">
                  <c:v>-0.89999999998724434</c:v>
                </c:pt>
                <c:pt idx="53">
                  <c:v>-0.79999999999813554</c:v>
                </c:pt>
                <c:pt idx="54">
                  <c:v>-0.69999999999481588</c:v>
                </c:pt>
                <c:pt idx="55">
                  <c:v>-0.89999999998724434</c:v>
                </c:pt>
                <c:pt idx="56">
                  <c:v>-0.39999999999906777</c:v>
                </c:pt>
                <c:pt idx="57">
                  <c:v>-1.0999999999938836</c:v>
                </c:pt>
                <c:pt idx="58">
                  <c:v>-0.89999999998724434</c:v>
                </c:pt>
                <c:pt idx="59">
                  <c:v>-0.99999999999056399</c:v>
                </c:pt>
                <c:pt idx="60">
                  <c:v>-0.79999999999813554</c:v>
                </c:pt>
                <c:pt idx="61">
                  <c:v>-0.79999999999813554</c:v>
                </c:pt>
                <c:pt idx="62">
                  <c:v>-0.89999999998724434</c:v>
                </c:pt>
                <c:pt idx="63">
                  <c:v>-1.5999999999962711</c:v>
                </c:pt>
                <c:pt idx="64">
                  <c:v>-0.99999999999056399</c:v>
                </c:pt>
                <c:pt idx="65">
                  <c:v>-1.6999999999995907</c:v>
                </c:pt>
                <c:pt idx="66">
                  <c:v>-1.3999999999896318</c:v>
                </c:pt>
                <c:pt idx="67">
                  <c:v>-1.4999999999929514</c:v>
                </c:pt>
                <c:pt idx="68">
                  <c:v>-1.6999999999995907</c:v>
                </c:pt>
                <c:pt idx="69">
                  <c:v>-1.3999999999896318</c:v>
                </c:pt>
                <c:pt idx="70">
                  <c:v>-1.5999999999962711</c:v>
                </c:pt>
                <c:pt idx="71">
                  <c:v>-1.8999999999920192</c:v>
                </c:pt>
                <c:pt idx="72">
                  <c:v>-0.89999999998724434</c:v>
                </c:pt>
                <c:pt idx="73">
                  <c:v>-1.4999999999929514</c:v>
                </c:pt>
                <c:pt idx="74">
                  <c:v>-1.4999999999929514</c:v>
                </c:pt>
                <c:pt idx="75">
                  <c:v>-0.89999999998724434</c:v>
                </c:pt>
                <c:pt idx="76">
                  <c:v>-1.9999999999953388</c:v>
                </c:pt>
                <c:pt idx="77">
                  <c:v>-1.4999999999929514</c:v>
                </c:pt>
                <c:pt idx="78">
                  <c:v>-2.299999999991087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Déplacements!$Y$9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Déplacements!$Y$10:$Y$200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-0.20000000000663931</c:v>
                </c:pt>
                <c:pt idx="2">
                  <c:v>0.29999999999574811</c:v>
                </c:pt>
                <c:pt idx="3">
                  <c:v>-0.20000000000663931</c:v>
                </c:pt>
                <c:pt idx="4">
                  <c:v>0.39999999999906777</c:v>
                </c:pt>
                <c:pt idx="5">
                  <c:v>0.79999999999813554</c:v>
                </c:pt>
                <c:pt idx="6">
                  <c:v>0.39999999999906777</c:v>
                </c:pt>
                <c:pt idx="7">
                  <c:v>0.39999999999906777</c:v>
                </c:pt>
                <c:pt idx="8">
                  <c:v>-0.60000000000570708</c:v>
                </c:pt>
                <c:pt idx="9">
                  <c:v>0</c:v>
                </c:pt>
                <c:pt idx="10">
                  <c:v>0.59999999999149622</c:v>
                </c:pt>
                <c:pt idx="11">
                  <c:v>0.39999999999906777</c:v>
                </c:pt>
                <c:pt idx="12">
                  <c:v>0.29999999999574811</c:v>
                </c:pt>
                <c:pt idx="13">
                  <c:v>0</c:v>
                </c:pt>
                <c:pt idx="14">
                  <c:v>-0.50000000000238742</c:v>
                </c:pt>
                <c:pt idx="15">
                  <c:v>-0.60000000000570708</c:v>
                </c:pt>
                <c:pt idx="16">
                  <c:v>-0.39999999999906777</c:v>
                </c:pt>
                <c:pt idx="17">
                  <c:v>-0.70000000000902673</c:v>
                </c:pt>
                <c:pt idx="18">
                  <c:v>9.9999999989108801E-2</c:v>
                </c:pt>
                <c:pt idx="19">
                  <c:v>-0.20000000000663931</c:v>
                </c:pt>
                <c:pt idx="20">
                  <c:v>-0.70000000000902673</c:v>
                </c:pt>
                <c:pt idx="21">
                  <c:v>0</c:v>
                </c:pt>
                <c:pt idx="22">
                  <c:v>-0.39999999999906777</c:v>
                </c:pt>
                <c:pt idx="23">
                  <c:v>-0.20000000000663931</c:v>
                </c:pt>
                <c:pt idx="24">
                  <c:v>0</c:v>
                </c:pt>
                <c:pt idx="25">
                  <c:v>9.9999999989108801E-2</c:v>
                </c:pt>
                <c:pt idx="26">
                  <c:v>-0.20000000000663931</c:v>
                </c:pt>
                <c:pt idx="27">
                  <c:v>-0.10000000000331966</c:v>
                </c:pt>
                <c:pt idx="28">
                  <c:v>-0.20000000000663931</c:v>
                </c:pt>
                <c:pt idx="29">
                  <c:v>-0.30000000000995897</c:v>
                </c:pt>
                <c:pt idx="30">
                  <c:v>0</c:v>
                </c:pt>
                <c:pt idx="31">
                  <c:v>0.49999999998817657</c:v>
                </c:pt>
                <c:pt idx="32">
                  <c:v>-0.10000000000331966</c:v>
                </c:pt>
                <c:pt idx="33">
                  <c:v>-0.50000000000238742</c:v>
                </c:pt>
                <c:pt idx="34">
                  <c:v>-0.30000000000995897</c:v>
                </c:pt>
                <c:pt idx="35">
                  <c:v>-0.10000000000331966</c:v>
                </c:pt>
                <c:pt idx="36">
                  <c:v>9.9999999989108801E-2</c:v>
                </c:pt>
                <c:pt idx="37">
                  <c:v>9.9999999989108801E-2</c:v>
                </c:pt>
                <c:pt idx="38">
                  <c:v>-0.36666666667883874</c:v>
                </c:pt>
                <c:pt idx="39">
                  <c:v>-0.16666666665798857</c:v>
                </c:pt>
                <c:pt idx="40">
                  <c:v>0.49999999998817657</c:v>
                </c:pt>
                <c:pt idx="41">
                  <c:v>-0.60000000000570708</c:v>
                </c:pt>
                <c:pt idx="42">
                  <c:v>-0.30000000000995897</c:v>
                </c:pt>
                <c:pt idx="43">
                  <c:v>-0.10000000000331966</c:v>
                </c:pt>
                <c:pt idx="44">
                  <c:v>9.9999999989108801E-2</c:v>
                </c:pt>
                <c:pt idx="45">
                  <c:v>-0.20000000000663931</c:v>
                </c:pt>
                <c:pt idx="46">
                  <c:v>0</c:v>
                </c:pt>
                <c:pt idx="47">
                  <c:v>9.9999999989108801E-2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-0.39999999999906777</c:v>
                </c:pt>
                <c:pt idx="52">
                  <c:v>-0.39999999999906777</c:v>
                </c:pt>
                <c:pt idx="53">
                  <c:v>-0.30000000000995897</c:v>
                </c:pt>
                <c:pt idx="54">
                  <c:v>0</c:v>
                </c:pt>
                <c:pt idx="55">
                  <c:v>-0.30000000000995897</c:v>
                </c:pt>
                <c:pt idx="56">
                  <c:v>0.19999999999242846</c:v>
                </c:pt>
                <c:pt idx="57">
                  <c:v>-0.79999999999813554</c:v>
                </c:pt>
                <c:pt idx="58">
                  <c:v>-0.30000000000995897</c:v>
                </c:pt>
                <c:pt idx="59">
                  <c:v>-0.20000000000663931</c:v>
                </c:pt>
                <c:pt idx="60">
                  <c:v>-0.10000000000331966</c:v>
                </c:pt>
                <c:pt idx="61">
                  <c:v>0</c:v>
                </c:pt>
                <c:pt idx="66">
                  <c:v>-0.70000000000902673</c:v>
                </c:pt>
                <c:pt idx="67">
                  <c:v>-0.70000000000902673</c:v>
                </c:pt>
                <c:pt idx="68">
                  <c:v>-0.79999999999813554</c:v>
                </c:pt>
                <c:pt idx="69">
                  <c:v>-0.39999999999906777</c:v>
                </c:pt>
                <c:pt idx="70">
                  <c:v>-0.60000000000570708</c:v>
                </c:pt>
                <c:pt idx="71">
                  <c:v>-0.90000000000145519</c:v>
                </c:pt>
                <c:pt idx="72">
                  <c:v>0.29999999999574811</c:v>
                </c:pt>
                <c:pt idx="73">
                  <c:v>-0.30000000000995897</c:v>
                </c:pt>
                <c:pt idx="74">
                  <c:v>-0.39999999999906777</c:v>
                </c:pt>
                <c:pt idx="75">
                  <c:v>0.29999999999574811</c:v>
                </c:pt>
                <c:pt idx="76">
                  <c:v>-0.79999999999813554</c:v>
                </c:pt>
                <c:pt idx="77">
                  <c:v>-0.39999999999906777</c:v>
                </c:pt>
                <c:pt idx="78">
                  <c:v>-0.90000000000145519</c:v>
                </c:pt>
                <c:pt idx="81">
                  <c:v>0.39999999999906777</c:v>
                </c:pt>
                <c:pt idx="83">
                  <c:v>0.39999999999906777</c:v>
                </c:pt>
                <c:pt idx="85">
                  <c:v>-1.4210854715202004E-11</c:v>
                </c:pt>
                <c:pt idx="86">
                  <c:v>0.49999999998817657</c:v>
                </c:pt>
                <c:pt idx="87">
                  <c:v>0.19999999999242846</c:v>
                </c:pt>
                <c:pt idx="88">
                  <c:v>0.39999999999906777</c:v>
                </c:pt>
                <c:pt idx="89">
                  <c:v>-0.10000000000331966</c:v>
                </c:pt>
                <c:pt idx="90">
                  <c:v>0.69999999999481588</c:v>
                </c:pt>
                <c:pt idx="91">
                  <c:v>-1.4210854715202004E-11</c:v>
                </c:pt>
                <c:pt idx="92">
                  <c:v>9.9999999989108801E-2</c:v>
                </c:pt>
                <c:pt idx="93">
                  <c:v>0.49999999998817657</c:v>
                </c:pt>
                <c:pt idx="94">
                  <c:v>9.9999999989108801E-2</c:v>
                </c:pt>
                <c:pt idx="95">
                  <c:v>-0.30000000000995897</c:v>
                </c:pt>
                <c:pt idx="96">
                  <c:v>0.79999999999813554</c:v>
                </c:pt>
                <c:pt idx="97">
                  <c:v>0.39999999999906777</c:v>
                </c:pt>
                <c:pt idx="98">
                  <c:v>-1.4210854715202004E-11</c:v>
                </c:pt>
                <c:pt idx="99">
                  <c:v>-0.90000000000145519</c:v>
                </c:pt>
                <c:pt idx="100">
                  <c:v>0.59999999999149622</c:v>
                </c:pt>
                <c:pt idx="101">
                  <c:v>0.19999999999242846</c:v>
                </c:pt>
                <c:pt idx="102">
                  <c:v>9.9999999989108801E-2</c:v>
                </c:pt>
                <c:pt idx="104">
                  <c:v>9.9999999989108801E-2</c:v>
                </c:pt>
                <c:pt idx="105">
                  <c:v>-1.4210854715202004E-11</c:v>
                </c:pt>
                <c:pt idx="106">
                  <c:v>0.29999999999574811</c:v>
                </c:pt>
                <c:pt idx="107">
                  <c:v>0.29999999999574811</c:v>
                </c:pt>
                <c:pt idx="108">
                  <c:v>-0.30000000000995897</c:v>
                </c:pt>
                <c:pt idx="109">
                  <c:v>0.69999999999481588</c:v>
                </c:pt>
                <c:pt idx="110">
                  <c:v>-1.4210854715202004E-11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'Graphiques F(date) (100j)'!$AC$60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078-4174-9210-5C81AAB2E448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078-4174-9210-5C81AAB2E448}"/>
              </c:ext>
            </c:extLst>
          </c:dPt>
          <c:xVal>
            <c:numRef>
              <c:f>'Graphiques F(date) (100j)'!$AE$60:$AE$61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 (100j)'!$AD$60:$AD$61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v>Avancement du front</c:v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14616"/>
        <c:axId val="514615008"/>
      </c:scatterChart>
      <c:scatterChart>
        <c:scatterStyle val="lineMarker"/>
        <c:varyColors val="0"/>
        <c:ser>
          <c:idx val="0"/>
          <c:order val="9"/>
          <c:tx>
            <c:v>Semaines</c:v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 (100j)'!$AC$76:$AC$110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 (100j)'!$AD$76:$AD$110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15792"/>
        <c:axId val="514615400"/>
      </c:scatterChart>
      <c:valAx>
        <c:axId val="514614616"/>
        <c:scaling>
          <c:orientation val="minMax"/>
          <c:max val="44926"/>
          <c:min val="442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5008"/>
        <c:crossesAt val="0"/>
        <c:crossBetween val="midCat"/>
        <c:majorUnit val="30"/>
      </c:valAx>
      <c:valAx>
        <c:axId val="514615008"/>
        <c:scaling>
          <c:orientation val="minMax"/>
          <c:max val="20"/>
          <c:min val="-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4616"/>
        <c:crosses val="autoZero"/>
        <c:crossBetween val="midCat"/>
      </c:valAx>
      <c:valAx>
        <c:axId val="514615400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5792"/>
        <c:crosses val="max"/>
        <c:crossBetween val="midCat"/>
      </c:valAx>
      <c:valAx>
        <c:axId val="51461579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5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Déplacements!$C$10:$C$200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-0.79126761750103469</c:v>
                </c:pt>
                <c:pt idx="2">
                  <c:v>0.13289448958175853</c:v>
                </c:pt>
                <c:pt idx="3">
                  <c:v>-0.56774397140202382</c:v>
                </c:pt>
                <c:pt idx="4">
                  <c:v>-1.0444323952469858</c:v>
                </c:pt>
                <c:pt idx="5">
                  <c:v>0.30323447506930279</c:v>
                </c:pt>
                <c:pt idx="6">
                  <c:v>-2.7350221909614447</c:v>
                </c:pt>
                <c:pt idx="7">
                  <c:v>-4.1250221909479023</c:v>
                </c:pt>
                <c:pt idx="8">
                  <c:v>-4.5476221909552805</c:v>
                </c:pt>
                <c:pt idx="9">
                  <c:v>-4.9585221909467236</c:v>
                </c:pt>
                <c:pt idx="10">
                  <c:v>-3.9982221909440341</c:v>
                </c:pt>
                <c:pt idx="11">
                  <c:v>-4.5476244964106627</c:v>
                </c:pt>
                <c:pt idx="12">
                  <c:v>-5.8460745500781286</c:v>
                </c:pt>
                <c:pt idx="13">
                  <c:v>-4.220822190944773</c:v>
                </c:pt>
                <c:pt idx="14">
                  <c:v>-4.1119221267820194</c:v>
                </c:pt>
                <c:pt idx="15">
                  <c:v>-3.646578421552249</c:v>
                </c:pt>
                <c:pt idx="16">
                  <c:v>-4.2692117236242666</c:v>
                </c:pt>
                <c:pt idx="17">
                  <c:v>-4.4195496330416972</c:v>
                </c:pt>
                <c:pt idx="18">
                  <c:v>-4.5829221909627904</c:v>
                </c:pt>
                <c:pt idx="19">
                  <c:v>-4.7820664699145254</c:v>
                </c:pt>
                <c:pt idx="20">
                  <c:v>-4.7820664699145254</c:v>
                </c:pt>
                <c:pt idx="21">
                  <c:v>-3.2836221909633423</c:v>
                </c:pt>
                <c:pt idx="22">
                  <c:v>-4.5524221909545304</c:v>
                </c:pt>
                <c:pt idx="23">
                  <c:v>-3.7424221909532207</c:v>
                </c:pt>
                <c:pt idx="24">
                  <c:v>-3.8556221909686883</c:v>
                </c:pt>
                <c:pt idx="25">
                  <c:v>-4.4556221909601845</c:v>
                </c:pt>
                <c:pt idx="26">
                  <c:v>-4.9556221909483611</c:v>
                </c:pt>
                <c:pt idx="27">
                  <c:v>-4.5556221909635042</c:v>
                </c:pt>
                <c:pt idx="28">
                  <c:v>-4.7556221909701435</c:v>
                </c:pt>
                <c:pt idx="29">
                  <c:v>-5.3556221909616397</c:v>
                </c:pt>
                <c:pt idx="30">
                  <c:v>-4.4556221909601845</c:v>
                </c:pt>
                <c:pt idx="31">
                  <c:v>-4.0556221909469059</c:v>
                </c:pt>
                <c:pt idx="32">
                  <c:v>-4.8556221909450414</c:v>
                </c:pt>
                <c:pt idx="33">
                  <c:v>-3.7556221909653686</c:v>
                </c:pt>
                <c:pt idx="34">
                  <c:v>-5.8556221909498163</c:v>
                </c:pt>
                <c:pt idx="35">
                  <c:v>-5.1556221909550004</c:v>
                </c:pt>
                <c:pt idx="36">
                  <c:v>-5.3556221909616397</c:v>
                </c:pt>
                <c:pt idx="37">
                  <c:v>-5.655622190943177</c:v>
                </c:pt>
                <c:pt idx="38">
                  <c:v>-5.2315944727467922</c:v>
                </c:pt>
                <c:pt idx="39">
                  <c:v>-4.9145344699468296</c:v>
                </c:pt>
                <c:pt idx="40">
                  <c:v>-5.2770512013182724</c:v>
                </c:pt>
                <c:pt idx="41">
                  <c:v>-4.9807684136737862</c:v>
                </c:pt>
                <c:pt idx="42">
                  <c:v>-5.2286872724778277</c:v>
                </c:pt>
                <c:pt idx="43">
                  <c:v>-5.655622190943177</c:v>
                </c:pt>
                <c:pt idx="44">
                  <c:v>-5.2709525001262136</c:v>
                </c:pt>
                <c:pt idx="45">
                  <c:v>-5.2103908593892356</c:v>
                </c:pt>
                <c:pt idx="46">
                  <c:v>-5.3556221909616397</c:v>
                </c:pt>
                <c:pt idx="47">
                  <c:v>-5.555622190968279</c:v>
                </c:pt>
                <c:pt idx="48">
                  <c:v>-5.555622190968279</c:v>
                </c:pt>
                <c:pt idx="49">
                  <c:v>-5.555622190968279</c:v>
                </c:pt>
                <c:pt idx="50">
                  <c:v>-5.4556221909649594</c:v>
                </c:pt>
                <c:pt idx="51">
                  <c:v>-5.4556221909649594</c:v>
                </c:pt>
                <c:pt idx="52">
                  <c:v>-6.0556221909564556</c:v>
                </c:pt>
                <c:pt idx="53">
                  <c:v>-5.4556221909649594</c:v>
                </c:pt>
                <c:pt idx="54">
                  <c:v>-5.655622190943177</c:v>
                </c:pt>
                <c:pt idx="55">
                  <c:v>-5.555622190968279</c:v>
                </c:pt>
                <c:pt idx="56">
                  <c:v>-5.655622190943177</c:v>
                </c:pt>
                <c:pt idx="57">
                  <c:v>-4.9556221909483611</c:v>
                </c:pt>
                <c:pt idx="58">
                  <c:v>-5.655622190943177</c:v>
                </c:pt>
                <c:pt idx="59">
                  <c:v>-6.0556221909564556</c:v>
                </c:pt>
                <c:pt idx="60">
                  <c:v>-6.0556221909564556</c:v>
                </c:pt>
                <c:pt idx="61">
                  <c:v>-5.655622190943177</c:v>
                </c:pt>
                <c:pt idx="62">
                  <c:v>-5.555622190968279</c:v>
                </c:pt>
                <c:pt idx="63">
                  <c:v>-5.655622190943177</c:v>
                </c:pt>
                <c:pt idx="64">
                  <c:v>-6.5998964677476124</c:v>
                </c:pt>
                <c:pt idx="65">
                  <c:v>-5.655622190943177</c:v>
                </c:pt>
                <c:pt idx="66">
                  <c:v>-5.3556221909616397</c:v>
                </c:pt>
                <c:pt idx="67">
                  <c:v>-5.655622190943177</c:v>
                </c:pt>
                <c:pt idx="68">
                  <c:v>-6.0556221909564556</c:v>
                </c:pt>
                <c:pt idx="69">
                  <c:v>-5.2883960254064277</c:v>
                </c:pt>
                <c:pt idx="70">
                  <c:v>-6.2190833232591558</c:v>
                </c:pt>
                <c:pt idx="71">
                  <c:v>-5.8199736743631547</c:v>
                </c:pt>
                <c:pt idx="72">
                  <c:v>-5.7476409238859105</c:v>
                </c:pt>
                <c:pt idx="73">
                  <c:v>-5.8443687815952217</c:v>
                </c:pt>
                <c:pt idx="74">
                  <c:v>-5.6992768895725021</c:v>
                </c:pt>
                <c:pt idx="75">
                  <c:v>-6.2548233601091852</c:v>
                </c:pt>
                <c:pt idx="76">
                  <c:v>-5.6870792831773542</c:v>
                </c:pt>
                <c:pt idx="77">
                  <c:v>-6.1341264768657311</c:v>
                </c:pt>
                <c:pt idx="78">
                  <c:v>-5.1794704558574267</c:v>
                </c:pt>
                <c:pt idx="81">
                  <c:v>-6.3275825017115039</c:v>
                </c:pt>
                <c:pt idx="83">
                  <c:v>-6.3275825017115039</c:v>
                </c:pt>
                <c:pt idx="85">
                  <c:v>-5.3275825017067291</c:v>
                </c:pt>
                <c:pt idx="86">
                  <c:v>-6.4914241426095032</c:v>
                </c:pt>
                <c:pt idx="87">
                  <c:v>-5.5615897254597257</c:v>
                </c:pt>
                <c:pt idx="88">
                  <c:v>-5.7005829162619648</c:v>
                </c:pt>
                <c:pt idx="89">
                  <c:v>-5.4275825017100487</c:v>
                </c:pt>
                <c:pt idx="90">
                  <c:v>-6.0147357188213846</c:v>
                </c:pt>
                <c:pt idx="91">
                  <c:v>-4.6365748361267833</c:v>
                </c:pt>
                <c:pt idx="92">
                  <c:v>-7.2765929604656776</c:v>
                </c:pt>
                <c:pt idx="93">
                  <c:v>-5.8696437283458636</c:v>
                </c:pt>
                <c:pt idx="94">
                  <c:v>-5.8997113495991016</c:v>
                </c:pt>
                <c:pt idx="95">
                  <c:v>-6.2256353673717513</c:v>
                </c:pt>
                <c:pt idx="96">
                  <c:v>-6.449158914989539</c:v>
                </c:pt>
                <c:pt idx="97">
                  <c:v>-5.808655696483811</c:v>
                </c:pt>
                <c:pt idx="98">
                  <c:v>-5.8992849584456053</c:v>
                </c:pt>
                <c:pt idx="100">
                  <c:v>-6.6060221207067116</c:v>
                </c:pt>
                <c:pt idx="101">
                  <c:v>-6.5153928587164955</c:v>
                </c:pt>
                <c:pt idx="102">
                  <c:v>-5.977716508539288</c:v>
                </c:pt>
                <c:pt idx="103">
                  <c:v>-5.6334960847834736</c:v>
                </c:pt>
                <c:pt idx="104">
                  <c:v>-6.8173481603821529</c:v>
                </c:pt>
                <c:pt idx="105">
                  <c:v>-6.1106109981494683</c:v>
                </c:pt>
                <c:pt idx="106">
                  <c:v>-7.1254021632682907</c:v>
                </c:pt>
                <c:pt idx="107">
                  <c:v>-6.3581032618742483</c:v>
                </c:pt>
                <c:pt idx="108">
                  <c:v>-6.8173481603821529</c:v>
                </c:pt>
                <c:pt idx="109">
                  <c:v>-6.5393616803248733</c:v>
                </c:pt>
                <c:pt idx="110">
                  <c:v>-6.1398256331983703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Déplacements!$O$9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Déplacements!$O$10:$O$200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-0.5376764556785929</c:v>
                </c:pt>
                <c:pt idx="2">
                  <c:v>-0.57994168329855711</c:v>
                </c:pt>
                <c:pt idx="3">
                  <c:v>-0.5315776489851487</c:v>
                </c:pt>
                <c:pt idx="4">
                  <c:v>-1.0086924638983419</c:v>
                </c:pt>
                <c:pt idx="5">
                  <c:v>0.32635040889772426</c:v>
                </c:pt>
                <c:pt idx="6">
                  <c:v>-2.3986646198466133</c:v>
                </c:pt>
                <c:pt idx="7">
                  <c:v>-3.7885646198390077</c:v>
                </c:pt>
                <c:pt idx="8">
                  <c:v>-4.2111646198463859</c:v>
                </c:pt>
                <c:pt idx="9">
                  <c:v>-4.3806646198447652</c:v>
                </c:pt>
                <c:pt idx="10">
                  <c:v>-3.5349646198312712</c:v>
                </c:pt>
                <c:pt idx="11">
                  <c:v>-3.365904580419965</c:v>
                </c:pt>
                <c:pt idx="12">
                  <c:v>-3.9698149798255145</c:v>
                </c:pt>
                <c:pt idx="13">
                  <c:v>-3.0090646198459581</c:v>
                </c:pt>
                <c:pt idx="14">
                  <c:v>-2.4713837034653352</c:v>
                </c:pt>
                <c:pt idx="15">
                  <c:v>-2.1088669720654707</c:v>
                </c:pt>
                <c:pt idx="16">
                  <c:v>-2.6831362397672365</c:v>
                </c:pt>
                <c:pt idx="17">
                  <c:v>-3.6914022070391184</c:v>
                </c:pt>
                <c:pt idx="18">
                  <c:v>-3.2025646198405866</c:v>
                </c:pt>
                <c:pt idx="19">
                  <c:v>-3.8970558382231957</c:v>
                </c:pt>
                <c:pt idx="20">
                  <c:v>-3.8970558382231957</c:v>
                </c:pt>
                <c:pt idx="21">
                  <c:v>-2.4530646198570594</c:v>
                </c:pt>
                <c:pt idx="22">
                  <c:v>-3.812564619835257</c:v>
                </c:pt>
                <c:pt idx="23">
                  <c:v>-3.8360646198327686</c:v>
                </c:pt>
                <c:pt idx="24">
                  <c:v>-2.713864619835249</c:v>
                </c:pt>
                <c:pt idx="25">
                  <c:v>-3.1138646198485276</c:v>
                </c:pt>
                <c:pt idx="26">
                  <c:v>-3.9138646198466631</c:v>
                </c:pt>
                <c:pt idx="27">
                  <c:v>-3.8138646198433435</c:v>
                </c:pt>
                <c:pt idx="28">
                  <c:v>-3.8138646198433435</c:v>
                </c:pt>
                <c:pt idx="29">
                  <c:v>-4.0138646198499828</c:v>
                </c:pt>
                <c:pt idx="30">
                  <c:v>-3.6138646198367042</c:v>
                </c:pt>
                <c:pt idx="31">
                  <c:v>-3.4138646198584865</c:v>
                </c:pt>
                <c:pt idx="32">
                  <c:v>-3.9138646198466631</c:v>
                </c:pt>
                <c:pt idx="33">
                  <c:v>-3.7138646198400238</c:v>
                </c:pt>
                <c:pt idx="34">
                  <c:v>-5.1138646198580773</c:v>
                </c:pt>
                <c:pt idx="35">
                  <c:v>-4.4138646198348397</c:v>
                </c:pt>
                <c:pt idx="36">
                  <c:v>-4.613864619841479</c:v>
                </c:pt>
                <c:pt idx="37">
                  <c:v>-4.913864619851438</c:v>
                </c:pt>
                <c:pt idx="38">
                  <c:v>-4.3151230280784603</c:v>
                </c:pt>
                <c:pt idx="39">
                  <c:v>-3.6637939101353822</c:v>
                </c:pt>
                <c:pt idx="40">
                  <c:v>-4.2478014599112157</c:v>
                </c:pt>
                <c:pt idx="42">
                  <c:v>-4.2900666875027582</c:v>
                </c:pt>
                <c:pt idx="43">
                  <c:v>-4.613864619841479</c:v>
                </c:pt>
                <c:pt idx="44">
                  <c:v>-4.3323318166983427</c:v>
                </c:pt>
                <c:pt idx="45">
                  <c:v>-4.4530286999417967</c:v>
                </c:pt>
                <c:pt idx="46">
                  <c:v>-4.5138646198381593</c:v>
                </c:pt>
                <c:pt idx="47">
                  <c:v>-4.7138646198447987</c:v>
                </c:pt>
                <c:pt idx="48">
                  <c:v>-4.8138646198481183</c:v>
                </c:pt>
                <c:pt idx="49">
                  <c:v>-4.8138646198481183</c:v>
                </c:pt>
                <c:pt idx="50">
                  <c:v>-4.8138646198481183</c:v>
                </c:pt>
                <c:pt idx="51">
                  <c:v>-4.4138646198348397</c:v>
                </c:pt>
                <c:pt idx="52">
                  <c:v>-5.3138646198362949</c:v>
                </c:pt>
                <c:pt idx="53">
                  <c:v>-4.8138646198481183</c:v>
                </c:pt>
                <c:pt idx="54">
                  <c:v>-4.5138646198381593</c:v>
                </c:pt>
                <c:pt idx="55">
                  <c:v>-4.913864619851438</c:v>
                </c:pt>
                <c:pt idx="56">
                  <c:v>-5.0138646198547576</c:v>
                </c:pt>
                <c:pt idx="57">
                  <c:v>-5.2138646198329752</c:v>
                </c:pt>
                <c:pt idx="58">
                  <c:v>-5.0138646198547576</c:v>
                </c:pt>
                <c:pt idx="59">
                  <c:v>-5.4138646198396145</c:v>
                </c:pt>
                <c:pt idx="60">
                  <c:v>-5.5138646198429342</c:v>
                </c:pt>
                <c:pt idx="61">
                  <c:v>-5.0138646198547576</c:v>
                </c:pt>
                <c:pt idx="62">
                  <c:v>-5.1138646198580773</c:v>
                </c:pt>
                <c:pt idx="63">
                  <c:v>-4.913864619851438</c:v>
                </c:pt>
                <c:pt idx="64">
                  <c:v>-5.2869879361878702</c:v>
                </c:pt>
                <c:pt idx="65">
                  <c:v>-5.1138646198580773</c:v>
                </c:pt>
                <c:pt idx="66">
                  <c:v>-4.613864619841479</c:v>
                </c:pt>
                <c:pt idx="67">
                  <c:v>-5.1138646198580773</c:v>
                </c:pt>
                <c:pt idx="68">
                  <c:v>-5.9138646198562128</c:v>
                </c:pt>
                <c:pt idx="69">
                  <c:v>-4.9484399208949981</c:v>
                </c:pt>
                <c:pt idx="70">
                  <c:v>-5.2930867429097361</c:v>
                </c:pt>
                <c:pt idx="71">
                  <c:v>-5.6429794767893782</c:v>
                </c:pt>
                <c:pt idx="72">
                  <c:v>-5.1780622681860677</c:v>
                </c:pt>
                <c:pt idx="73">
                  <c:v>-5.4922151762184512</c:v>
                </c:pt>
                <c:pt idx="74">
                  <c:v>-5.3532219853877905</c:v>
                </c:pt>
                <c:pt idx="75">
                  <c:v>-5.7819726675916172</c:v>
                </c:pt>
                <c:pt idx="76">
                  <c:v>-5.2564939237811359</c:v>
                </c:pt>
                <c:pt idx="77">
                  <c:v>-5.8847995359201377</c:v>
                </c:pt>
                <c:pt idx="78">
                  <c:v>-4.779379108839521</c:v>
                </c:pt>
                <c:pt idx="81">
                  <c:v>-6.211149944817862</c:v>
                </c:pt>
                <c:pt idx="83">
                  <c:v>-6.211149944817862</c:v>
                </c:pt>
                <c:pt idx="85">
                  <c:v>-5.3111499448164068</c:v>
                </c:pt>
                <c:pt idx="86">
                  <c:v>-6.3210532962898469</c:v>
                </c:pt>
                <c:pt idx="87">
                  <c:v>-4.8653137442045136</c:v>
                </c:pt>
                <c:pt idx="88">
                  <c:v>-5.3729224731000613</c:v>
                </c:pt>
                <c:pt idx="89">
                  <c:v>-5.611149944797944</c:v>
                </c:pt>
                <c:pt idx="90">
                  <c:v>-5.8561360877149582</c:v>
                </c:pt>
                <c:pt idx="91">
                  <c:v>-5.6687789680438527</c:v>
                </c:pt>
                <c:pt idx="92">
                  <c:v>-6.1214984718276355</c:v>
                </c:pt>
                <c:pt idx="93">
                  <c:v>-5.1132326029517117</c:v>
                </c:pt>
                <c:pt idx="94">
                  <c:v>-5.318459737509329</c:v>
                </c:pt>
                <c:pt idx="95">
                  <c:v>-5.4753228448021218</c:v>
                </c:pt>
                <c:pt idx="96">
                  <c:v>-5.880104909323336</c:v>
                </c:pt>
                <c:pt idx="97">
                  <c:v>-5.4992917648064576</c:v>
                </c:pt>
                <c:pt idx="98">
                  <c:v>-5.3241320476047349</c:v>
                </c:pt>
                <c:pt idx="99">
                  <c:v>-6.308855689894699</c:v>
                </c:pt>
                <c:pt idx="100">
                  <c:v>-5.9162713372984399</c:v>
                </c:pt>
                <c:pt idx="101">
                  <c:v>-5.8256420753082239</c:v>
                </c:pt>
                <c:pt idx="102">
                  <c:v>-5.55375450039719</c:v>
                </c:pt>
                <c:pt idx="103">
                  <c:v>-5.0221768514688847</c:v>
                </c:pt>
                <c:pt idx="104">
                  <c:v>-5.9585365649184041</c:v>
                </c:pt>
                <c:pt idx="105">
                  <c:v>-5.2818668199847707</c:v>
                </c:pt>
                <c:pt idx="106">
                  <c:v>-5.1851388568024959</c:v>
                </c:pt>
                <c:pt idx="107">
                  <c:v>-5.5476556936753241</c:v>
                </c:pt>
                <c:pt idx="108">
                  <c:v>-4.877084853916358</c:v>
                </c:pt>
                <c:pt idx="109">
                  <c:v>-4.5629320513569382</c:v>
                </c:pt>
                <c:pt idx="110">
                  <c:v>-5.4147613095949509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Déplacements!$AA$9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Déplacements!$AA$10:$AA$200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0.23572115404135729</c:v>
                </c:pt>
                <c:pt idx="2">
                  <c:v>6.098806750287622E-3</c:v>
                </c:pt>
                <c:pt idx="3">
                  <c:v>-0.17515961167191563</c:v>
                </c:pt>
                <c:pt idx="4">
                  <c:v>-0.48321361458647516</c:v>
                </c:pt>
                <c:pt idx="5">
                  <c:v>0.3315963278680556</c:v>
                </c:pt>
                <c:pt idx="6">
                  <c:v>-2.417774727973665</c:v>
                </c:pt>
                <c:pt idx="7">
                  <c:v>-3.3240747279705829</c:v>
                </c:pt>
                <c:pt idx="8">
                  <c:v>-3.3240747279705829</c:v>
                </c:pt>
                <c:pt idx="9">
                  <c:v>-3.4451747279717893</c:v>
                </c:pt>
                <c:pt idx="10">
                  <c:v>-2.9981747279634874</c:v>
                </c:pt>
                <c:pt idx="11">
                  <c:v>-2.9014138613661089</c:v>
                </c:pt>
                <c:pt idx="12">
                  <c:v>-3.535818273149971</c:v>
                </c:pt>
                <c:pt idx="13">
                  <c:v>-2.8652747279807045</c:v>
                </c:pt>
                <c:pt idx="14">
                  <c:v>-2.8713462401412926</c:v>
                </c:pt>
                <c:pt idx="15">
                  <c:v>-1.7837958349957717</c:v>
                </c:pt>
                <c:pt idx="16">
                  <c:v>-2.2857322538243352</c:v>
                </c:pt>
                <c:pt idx="17">
                  <c:v>-3.8316746696693826</c:v>
                </c:pt>
                <c:pt idx="18">
                  <c:v>-3.2582747279832347</c:v>
                </c:pt>
                <c:pt idx="19">
                  <c:v>-4.097889941590438</c:v>
                </c:pt>
                <c:pt idx="20">
                  <c:v>-4.097889941590438</c:v>
                </c:pt>
                <c:pt idx="21">
                  <c:v>-3.0586747279812698</c:v>
                </c:pt>
                <c:pt idx="22">
                  <c:v>-4.2791747279693482</c:v>
                </c:pt>
                <c:pt idx="23">
                  <c:v>-5.3963747279794916</c:v>
                </c:pt>
                <c:pt idx="24">
                  <c:v>-3.020274727987271</c:v>
                </c:pt>
                <c:pt idx="25">
                  <c:v>-3.2202747279654886</c:v>
                </c:pt>
                <c:pt idx="26">
                  <c:v>-4.5202747279802225</c:v>
                </c:pt>
                <c:pt idx="27">
                  <c:v>-4.7202747279868618</c:v>
                </c:pt>
                <c:pt idx="28">
                  <c:v>-4.3202747279735831</c:v>
                </c:pt>
                <c:pt idx="29">
                  <c:v>-4.3202747279735831</c:v>
                </c:pt>
                <c:pt idx="30">
                  <c:v>-4.1202747279669438</c:v>
                </c:pt>
                <c:pt idx="31">
                  <c:v>-4.0202747279636242</c:v>
                </c:pt>
                <c:pt idx="32">
                  <c:v>-4.5202747279802225</c:v>
                </c:pt>
                <c:pt idx="33">
                  <c:v>-4.8202747279901814</c:v>
                </c:pt>
                <c:pt idx="34">
                  <c:v>-5.4202747279816776</c:v>
                </c:pt>
                <c:pt idx="35">
                  <c:v>-4.8202747279901814</c:v>
                </c:pt>
                <c:pt idx="36">
                  <c:v>-4.9202747279650794</c:v>
                </c:pt>
                <c:pt idx="37">
                  <c:v>-5.320274727978358</c:v>
                </c:pt>
                <c:pt idx="38">
                  <c:v>-4.5715075756618262</c:v>
                </c:pt>
                <c:pt idx="40">
                  <c:v>-4.5030983972367267</c:v>
                </c:pt>
                <c:pt idx="41">
                  <c:v>-4.4425367564997487</c:v>
                </c:pt>
                <c:pt idx="42">
                  <c:v>-4.7749859721193388</c:v>
                </c:pt>
                <c:pt idx="43">
                  <c:v>-5.020274727968399</c:v>
                </c:pt>
                <c:pt idx="44">
                  <c:v>-4.7266220432788941</c:v>
                </c:pt>
                <c:pt idx="46">
                  <c:v>-4.9202747279650794</c:v>
                </c:pt>
                <c:pt idx="47">
                  <c:v>-5.1202747279717187</c:v>
                </c:pt>
                <c:pt idx="48">
                  <c:v>-5.020274727968399</c:v>
                </c:pt>
                <c:pt idx="49">
                  <c:v>-5.2202747279750383</c:v>
                </c:pt>
                <c:pt idx="50">
                  <c:v>-5.1202747279717187</c:v>
                </c:pt>
                <c:pt idx="51">
                  <c:v>-4.6202747279835421</c:v>
                </c:pt>
                <c:pt idx="52">
                  <c:v>-5.620274727988317</c:v>
                </c:pt>
                <c:pt idx="53">
                  <c:v>-5.2202747279750383</c:v>
                </c:pt>
                <c:pt idx="54">
                  <c:v>-4.9202747279650794</c:v>
                </c:pt>
                <c:pt idx="55">
                  <c:v>-5.1202747279717187</c:v>
                </c:pt>
                <c:pt idx="56">
                  <c:v>-5.2202747279750383</c:v>
                </c:pt>
                <c:pt idx="57">
                  <c:v>-5.9202747279698542</c:v>
                </c:pt>
                <c:pt idx="58">
                  <c:v>-5.2202747279750383</c:v>
                </c:pt>
                <c:pt idx="59">
                  <c:v>-5.4202747279816776</c:v>
                </c:pt>
                <c:pt idx="60">
                  <c:v>-5.620274727988317</c:v>
                </c:pt>
                <c:pt idx="61">
                  <c:v>-5.1202747279717187</c:v>
                </c:pt>
                <c:pt idx="62">
                  <c:v>-5.020274727968399</c:v>
                </c:pt>
                <c:pt idx="64">
                  <c:v>-4.7810847717641991</c:v>
                </c:pt>
                <c:pt idx="66">
                  <c:v>-4.5202747279802225</c:v>
                </c:pt>
                <c:pt idx="67">
                  <c:v>-5.020274727968399</c:v>
                </c:pt>
                <c:pt idx="68">
                  <c:v>-6.0202747279731739</c:v>
                </c:pt>
                <c:pt idx="69">
                  <c:v>-4.9745407965815502</c:v>
                </c:pt>
                <c:pt idx="70">
                  <c:v>-4.9383743757118737</c:v>
                </c:pt>
                <c:pt idx="71">
                  <c:v>-6.0193996884549961</c:v>
                </c:pt>
                <c:pt idx="72">
                  <c:v>-5.4154892890778683</c:v>
                </c:pt>
                <c:pt idx="73">
                  <c:v>-5.8625364827946669</c:v>
                </c:pt>
                <c:pt idx="74">
                  <c:v>-5.8141724484244151</c:v>
                </c:pt>
                <c:pt idx="75">
                  <c:v>-6.2429233345255852</c:v>
                </c:pt>
                <c:pt idx="76">
                  <c:v>-5.4939207407471713</c:v>
                </c:pt>
                <c:pt idx="77">
                  <c:v>-6.0376959960990462</c:v>
                </c:pt>
                <c:pt idx="78">
                  <c:v>-5.2102619506229075</c:v>
                </c:pt>
                <c:pt idx="81">
                  <c:v>-6.7566308631228367</c:v>
                </c:pt>
                <c:pt idx="83">
                  <c:v>-6.7566308631228367</c:v>
                </c:pt>
                <c:pt idx="85">
                  <c:v>-5.5566308631114225</c:v>
                </c:pt>
                <c:pt idx="86">
                  <c:v>-6.0496721871459158</c:v>
                </c:pt>
                <c:pt idx="87">
                  <c:v>-5.1494789016715004</c:v>
                </c:pt>
                <c:pt idx="88">
                  <c:v>-5.6509890277709474</c:v>
                </c:pt>
                <c:pt idx="89">
                  <c:v>-6.2566308631062384</c:v>
                </c:pt>
                <c:pt idx="90">
                  <c:v>-5.8383461474420528</c:v>
                </c:pt>
                <c:pt idx="91">
                  <c:v>-6.732014136645148</c:v>
                </c:pt>
                <c:pt idx="93">
                  <c:v>-4.920282945533927</c:v>
                </c:pt>
                <c:pt idx="94">
                  <c:v>-4.8536225051520887</c:v>
                </c:pt>
                <c:pt idx="95">
                  <c:v>-5.3730025477136678</c:v>
                </c:pt>
                <c:pt idx="99">
                  <c:v>-5.8623149690504306</c:v>
                </c:pt>
                <c:pt idx="100">
                  <c:v>-5.9712405315508477</c:v>
                </c:pt>
                <c:pt idx="101">
                  <c:v>-5.8322473407486086</c:v>
                </c:pt>
                <c:pt idx="102">
                  <c:v>-5.5058969318224626</c:v>
                </c:pt>
                <c:pt idx="105">
                  <c:v>-4.9682204832492971</c:v>
                </c:pt>
                <c:pt idx="106">
                  <c:v>-5.9952093531592254</c:v>
                </c:pt>
                <c:pt idx="107">
                  <c:v>-5.590427288666433</c:v>
                </c:pt>
                <c:pt idx="108">
                  <c:v>-5.6448901226531234</c:v>
                </c:pt>
                <c:pt idx="109">
                  <c:v>-5.5481621594424269</c:v>
                </c:pt>
                <c:pt idx="110">
                  <c:v>-6.7633610368034169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Déplacements!$K$9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-9.0629261961794327E-2</c:v>
                </c:pt>
                <c:pt idx="2">
                  <c:v>-0.48321362169190252</c:v>
                </c:pt>
                <c:pt idx="3">
                  <c:v>-0.52547884928344502</c:v>
                </c:pt>
                <c:pt idx="4">
                  <c:v>-1.5642389344634466</c:v>
                </c:pt>
                <c:pt idx="5">
                  <c:v>-0.16210912463066052</c:v>
                </c:pt>
                <c:pt idx="6">
                  <c:v>-2.8322418708626174</c:v>
                </c:pt>
                <c:pt idx="7">
                  <c:v>-4.64474187086239</c:v>
                </c:pt>
                <c:pt idx="8">
                  <c:v>-5.0674418708638314</c:v>
                </c:pt>
                <c:pt idx="9">
                  <c:v>-5.2970418708753186</c:v>
                </c:pt>
                <c:pt idx="10">
                  <c:v>-4.8199418708634312</c:v>
                </c:pt>
                <c:pt idx="11">
                  <c:v>-5.0674310355987018</c:v>
                </c:pt>
                <c:pt idx="12">
                  <c:v>-4.9463077612585948</c:v>
                </c:pt>
                <c:pt idx="13">
                  <c:v>-3.629141870874264</c:v>
                </c:pt>
                <c:pt idx="14">
                  <c:v>-2.9524652639167925</c:v>
                </c:pt>
                <c:pt idx="15">
                  <c:v>-2.5533556079153641</c:v>
                </c:pt>
                <c:pt idx="16">
                  <c:v>-3.5446044480806904</c:v>
                </c:pt>
                <c:pt idx="17">
                  <c:v>-3.8278368470514579</c:v>
                </c:pt>
                <c:pt idx="18">
                  <c:v>-3.7738418708670451</c:v>
                </c:pt>
                <c:pt idx="19">
                  <c:v>-3.9668301363064984</c:v>
                </c:pt>
                <c:pt idx="20">
                  <c:v>-3.9668301363064984</c:v>
                </c:pt>
                <c:pt idx="21">
                  <c:v>-2.8309418708829526</c:v>
                </c:pt>
                <c:pt idx="22">
                  <c:v>-4.5528418708613572</c:v>
                </c:pt>
                <c:pt idx="25">
                  <c:v>-3.8552418708661662</c:v>
                </c:pt>
                <c:pt idx="26">
                  <c:v>-4.4552418708576624</c:v>
                </c:pt>
                <c:pt idx="27">
                  <c:v>-4.0552418708728055</c:v>
                </c:pt>
                <c:pt idx="28">
                  <c:v>-4.3552418708827645</c:v>
                </c:pt>
                <c:pt idx="29">
                  <c:v>-4.6552418708643017</c:v>
                </c:pt>
                <c:pt idx="30">
                  <c:v>-3.9552418708694859</c:v>
                </c:pt>
                <c:pt idx="31">
                  <c:v>-3.9552418708694859</c:v>
                </c:pt>
                <c:pt idx="32">
                  <c:v>-4.4552418708576624</c:v>
                </c:pt>
                <c:pt idx="34">
                  <c:v>-5.5552418708657569</c:v>
                </c:pt>
                <c:pt idx="35">
                  <c:v>-5.1552418708809</c:v>
                </c:pt>
                <c:pt idx="36">
                  <c:v>-4.8552418708709411</c:v>
                </c:pt>
                <c:pt idx="37">
                  <c:v>-5.4552418708624373</c:v>
                </c:pt>
                <c:pt idx="38">
                  <c:v>-4.4537543804779034</c:v>
                </c:pt>
                <c:pt idx="39">
                  <c:v>-4.5593461546786784</c:v>
                </c:pt>
                <c:pt idx="40">
                  <c:v>-4.6853385137808345</c:v>
                </c:pt>
                <c:pt idx="42">
                  <c:v>-5.0779229719069008</c:v>
                </c:pt>
                <c:pt idx="43">
                  <c:v>-5.3552418708591176</c:v>
                </c:pt>
                <c:pt idx="44">
                  <c:v>-4.9872937099451065</c:v>
                </c:pt>
                <c:pt idx="45">
                  <c:v>-4.7999364918496212</c:v>
                </c:pt>
                <c:pt idx="46">
                  <c:v>-4.8552418708709411</c:v>
                </c:pt>
                <c:pt idx="47">
                  <c:v>-5.1552418708809</c:v>
                </c:pt>
                <c:pt idx="48">
                  <c:v>-5.255241870855798</c:v>
                </c:pt>
                <c:pt idx="49">
                  <c:v>-5.3552418708591176</c:v>
                </c:pt>
                <c:pt idx="50">
                  <c:v>-5.0552418708775804</c:v>
                </c:pt>
                <c:pt idx="51">
                  <c:v>-5.1552418708809</c:v>
                </c:pt>
                <c:pt idx="54">
                  <c:v>-5.3552418708591176</c:v>
                </c:pt>
                <c:pt idx="55">
                  <c:v>-5.3552418708591176</c:v>
                </c:pt>
                <c:pt idx="56">
                  <c:v>-5.3552418708591176</c:v>
                </c:pt>
                <c:pt idx="58">
                  <c:v>-5.5552418708657569</c:v>
                </c:pt>
                <c:pt idx="59">
                  <c:v>-5.9552418708790356</c:v>
                </c:pt>
                <c:pt idx="60">
                  <c:v>-6.0552418708823552</c:v>
                </c:pt>
                <c:pt idx="61">
                  <c:v>-5.4552418708624373</c:v>
                </c:pt>
                <c:pt idx="62">
                  <c:v>-5.4552418708624373</c:v>
                </c:pt>
                <c:pt idx="64">
                  <c:v>-6.1833432935145538</c:v>
                </c:pt>
                <c:pt idx="81">
                  <c:v>-6.7384633729261623</c:v>
                </c:pt>
                <c:pt idx="83">
                  <c:v>-6.7384633729261623</c:v>
                </c:pt>
                <c:pt idx="85">
                  <c:v>-5.5384633729147481</c:v>
                </c:pt>
                <c:pt idx="86">
                  <c:v>-6.1833052913016218</c:v>
                </c:pt>
                <c:pt idx="87">
                  <c:v>-5.7789497234637111</c:v>
                </c:pt>
                <c:pt idx="88">
                  <c:v>-6.5462486248577534</c:v>
                </c:pt>
                <c:pt idx="89">
                  <c:v>-7.0384633729076995</c:v>
                </c:pt>
                <c:pt idx="90">
                  <c:v>-6.5824149473030502</c:v>
                </c:pt>
                <c:pt idx="91">
                  <c:v>-5.814689753208313</c:v>
                </c:pt>
                <c:pt idx="92">
                  <c:v>-7.4760830420075308</c:v>
                </c:pt>
                <c:pt idx="94">
                  <c:v>-5.8935477999568775</c:v>
                </c:pt>
                <c:pt idx="95">
                  <c:v>-6.3101008757655563</c:v>
                </c:pt>
                <c:pt idx="96">
                  <c:v>-5.9959481716305163</c:v>
                </c:pt>
                <c:pt idx="97">
                  <c:v>-6.3763349249938983</c:v>
                </c:pt>
                <c:pt idx="98">
                  <c:v>-6.3340696973739341</c:v>
                </c:pt>
                <c:pt idx="99">
                  <c:v>-6.9140113735670639</c:v>
                </c:pt>
                <c:pt idx="100">
                  <c:v>-6.9985417304110342</c:v>
                </c:pt>
                <c:pt idx="101">
                  <c:v>-6.7266541555000003</c:v>
                </c:pt>
                <c:pt idx="102">
                  <c:v>-6.7750180843404451</c:v>
                </c:pt>
                <c:pt idx="103">
                  <c:v>-6.0260156944877963</c:v>
                </c:pt>
                <c:pt idx="104">
                  <c:v>-7.1192386136260666</c:v>
                </c:pt>
                <c:pt idx="105">
                  <c:v>-6.5453957370493754</c:v>
                </c:pt>
                <c:pt idx="106">
                  <c:v>-7.5118229733561748</c:v>
                </c:pt>
                <c:pt idx="107">
                  <c:v>-7.4150950101454782</c:v>
                </c:pt>
                <c:pt idx="108">
                  <c:v>-7.0286093516358505</c:v>
                </c:pt>
                <c:pt idx="109">
                  <c:v>-6.5270993310377889</c:v>
                </c:pt>
                <c:pt idx="110">
                  <c:v>-8.1933122389443724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Déplacements!$S$9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Déplacements!$S$10:$S$200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-0.13289448958175853</c:v>
                </c:pt>
                <c:pt idx="2">
                  <c:v>-0.13289448958175853</c:v>
                </c:pt>
                <c:pt idx="3">
                  <c:v>-0.26578887369055337</c:v>
                </c:pt>
                <c:pt idx="4">
                  <c:v>-0.3986833632438902</c:v>
                </c:pt>
                <c:pt idx="5">
                  <c:v>1.1354879428324693</c:v>
                </c:pt>
                <c:pt idx="6">
                  <c:v>-1.3659418723648287</c:v>
                </c:pt>
                <c:pt idx="7">
                  <c:v>-1.8496418723543684</c:v>
                </c:pt>
                <c:pt idx="8">
                  <c:v>-1.8496418723543684</c:v>
                </c:pt>
                <c:pt idx="9">
                  <c:v>-2.5868418723575815</c:v>
                </c:pt>
                <c:pt idx="10">
                  <c:v>-2.1397418723552164</c:v>
                </c:pt>
                <c:pt idx="11">
                  <c:v>-2.333243400386209</c:v>
                </c:pt>
                <c:pt idx="12">
                  <c:v>-2.5746370613148883</c:v>
                </c:pt>
                <c:pt idx="13">
                  <c:v>-1.7711418723536099</c:v>
                </c:pt>
                <c:pt idx="14">
                  <c:v>-1.9162638279510702</c:v>
                </c:pt>
                <c:pt idx="15">
                  <c:v>-0.78644819518558506</c:v>
                </c:pt>
                <c:pt idx="16">
                  <c:v>-1.4212789980945217</c:v>
                </c:pt>
                <c:pt idx="17">
                  <c:v>-2.4657113933699293</c:v>
                </c:pt>
                <c:pt idx="18">
                  <c:v>-1.8500418723590428</c:v>
                </c:pt>
                <c:pt idx="19">
                  <c:v>-2.4600390832461017</c:v>
                </c:pt>
                <c:pt idx="20">
                  <c:v>-2.4600390832461017</c:v>
                </c:pt>
                <c:pt idx="21">
                  <c:v>-1.1550418723800249</c:v>
                </c:pt>
                <c:pt idx="22">
                  <c:v>-2.3332418723782666</c:v>
                </c:pt>
                <c:pt idx="23">
                  <c:v>-3.2630418723726962</c:v>
                </c:pt>
                <c:pt idx="24">
                  <c:v>-1.1943418723774357</c:v>
                </c:pt>
                <c:pt idx="25">
                  <c:v>-1.2943418723523337</c:v>
                </c:pt>
                <c:pt idx="26">
                  <c:v>-2.5943418723670675</c:v>
                </c:pt>
                <c:pt idx="27">
                  <c:v>-2.3943418723604282</c:v>
                </c:pt>
                <c:pt idx="28">
                  <c:v>-2.2943418723571085</c:v>
                </c:pt>
                <c:pt idx="29">
                  <c:v>-2.4943418723637478</c:v>
                </c:pt>
                <c:pt idx="30">
                  <c:v>-2.0943418723788909</c:v>
                </c:pt>
                <c:pt idx="31">
                  <c:v>-2.0943418723788909</c:v>
                </c:pt>
                <c:pt idx="32">
                  <c:v>-2.2943418723571085</c:v>
                </c:pt>
                <c:pt idx="33">
                  <c:v>-2.3943418723604282</c:v>
                </c:pt>
                <c:pt idx="34">
                  <c:v>-3.394341872365203</c:v>
                </c:pt>
                <c:pt idx="35">
                  <c:v>-2.7943418723737068</c:v>
                </c:pt>
                <c:pt idx="36">
                  <c:v>-2.9943418723519244</c:v>
                </c:pt>
                <c:pt idx="37">
                  <c:v>-3.394341872365203</c:v>
                </c:pt>
                <c:pt idx="38">
                  <c:v>-2.6386742926547413</c:v>
                </c:pt>
                <c:pt idx="39">
                  <c:v>-2.1142121174193562</c:v>
                </c:pt>
                <c:pt idx="40">
                  <c:v>-2.4665642811214639</c:v>
                </c:pt>
                <c:pt idx="41">
                  <c:v>-2.3153734839524986</c:v>
                </c:pt>
                <c:pt idx="42">
                  <c:v>-2.5088295087698498</c:v>
                </c:pt>
                <c:pt idx="43">
                  <c:v>-2.8943418723770264</c:v>
                </c:pt>
                <c:pt idx="44">
                  <c:v>-2.4182002467796337</c:v>
                </c:pt>
                <c:pt idx="45">
                  <c:v>-2.5872610588635325</c:v>
                </c:pt>
                <c:pt idx="46">
                  <c:v>-2.5943418723670675</c:v>
                </c:pt>
                <c:pt idx="47">
                  <c:v>-2.8943418723770264</c:v>
                </c:pt>
                <c:pt idx="48">
                  <c:v>-2.6943418723703871</c:v>
                </c:pt>
                <c:pt idx="49">
                  <c:v>-2.8943418723770264</c:v>
                </c:pt>
                <c:pt idx="50">
                  <c:v>-2.7943418723737068</c:v>
                </c:pt>
                <c:pt idx="51">
                  <c:v>-2.3943418723604282</c:v>
                </c:pt>
                <c:pt idx="52">
                  <c:v>-3.4943418723685227</c:v>
                </c:pt>
                <c:pt idx="53">
                  <c:v>-2.9943418723519244</c:v>
                </c:pt>
                <c:pt idx="54">
                  <c:v>-2.5943418723670675</c:v>
                </c:pt>
                <c:pt idx="55">
                  <c:v>-2.8943418723770264</c:v>
                </c:pt>
                <c:pt idx="56">
                  <c:v>-2.8943418723770264</c:v>
                </c:pt>
                <c:pt idx="57">
                  <c:v>-3.5943418723718423</c:v>
                </c:pt>
                <c:pt idx="58">
                  <c:v>-3.094341872355244</c:v>
                </c:pt>
                <c:pt idx="59">
                  <c:v>-3.2943418723618834</c:v>
                </c:pt>
                <c:pt idx="60">
                  <c:v>-3.4943418723685227</c:v>
                </c:pt>
                <c:pt idx="61">
                  <c:v>-2.8943418723770264</c:v>
                </c:pt>
                <c:pt idx="62">
                  <c:v>-2.6943418723703871</c:v>
                </c:pt>
                <c:pt idx="63">
                  <c:v>-2.3943418723604282</c:v>
                </c:pt>
                <c:pt idx="64">
                  <c:v>-2.7506494624276456</c:v>
                </c:pt>
                <c:pt idx="65">
                  <c:v>-2.8943418723770264</c:v>
                </c:pt>
                <c:pt idx="66">
                  <c:v>-2.0943418723788909</c:v>
                </c:pt>
                <c:pt idx="67">
                  <c:v>-2.7943418723737068</c:v>
                </c:pt>
                <c:pt idx="68">
                  <c:v>-3.394341872365203</c:v>
                </c:pt>
                <c:pt idx="69">
                  <c:v>-2.3942315306726414</c:v>
                </c:pt>
                <c:pt idx="70">
                  <c:v>-2.6360514843304372</c:v>
                </c:pt>
                <c:pt idx="71">
                  <c:v>-3.3545599602291531</c:v>
                </c:pt>
                <c:pt idx="72">
                  <c:v>-2.6661191055836753</c:v>
                </c:pt>
                <c:pt idx="73">
                  <c:v>-3.0225371428400649</c:v>
                </c:pt>
                <c:pt idx="74">
                  <c:v>-2.9319078808782706</c:v>
                </c:pt>
                <c:pt idx="75">
                  <c:v>-3.3183935393310549</c:v>
                </c:pt>
                <c:pt idx="76">
                  <c:v>-2.7929146900191881</c:v>
                </c:pt>
                <c:pt idx="77">
                  <c:v>-3.2883259110008112</c:v>
                </c:pt>
                <c:pt idx="78">
                  <c:v>-2.0561099065332655</c:v>
                </c:pt>
                <c:pt idx="81">
                  <c:v>-3.2098943609071284</c:v>
                </c:pt>
                <c:pt idx="83">
                  <c:v>-3.2098943609071284</c:v>
                </c:pt>
                <c:pt idx="85">
                  <c:v>-2.7098943609189519</c:v>
                </c:pt>
                <c:pt idx="86">
                  <c:v>-3.2635836438430488</c:v>
                </c:pt>
                <c:pt idx="87">
                  <c:v>-2.2365948723575002</c:v>
                </c:pt>
                <c:pt idx="88">
                  <c:v>-2.1459656103672842</c:v>
                </c:pt>
                <c:pt idx="89">
                  <c:v>-2.4098943609089929</c:v>
                </c:pt>
                <c:pt idx="90">
                  <c:v>-2.4662172196485699</c:v>
                </c:pt>
                <c:pt idx="91">
                  <c:v>-3.0461587974457416</c:v>
                </c:pt>
                <c:pt idx="92">
                  <c:v>-1.3364014813816993</c:v>
                </c:pt>
                <c:pt idx="93">
                  <c:v>-1.9045719494670266</c:v>
                </c:pt>
                <c:pt idx="94">
                  <c:v>-1.4875922785790863</c:v>
                </c:pt>
                <c:pt idx="95">
                  <c:v>-1.8618803306935661</c:v>
                </c:pt>
                <c:pt idx="96">
                  <c:v>-1.9586083923002207</c:v>
                </c:pt>
                <c:pt idx="97">
                  <c:v>-2.018743536382317</c:v>
                </c:pt>
                <c:pt idx="98">
                  <c:v>-1.7952199887361076</c:v>
                </c:pt>
                <c:pt idx="99">
                  <c:v>-2.4296244005199696</c:v>
                </c:pt>
                <c:pt idx="100">
                  <c:v>-2.4540196132818437</c:v>
                </c:pt>
                <c:pt idx="101">
                  <c:v>-2.1337679056045999</c:v>
                </c:pt>
                <c:pt idx="102">
                  <c:v>-2.1699344319756619</c:v>
                </c:pt>
                <c:pt idx="103">
                  <c:v>-1.5054622934371764</c:v>
                </c:pt>
                <c:pt idx="104">
                  <c:v>-2.1337679056045999</c:v>
                </c:pt>
                <c:pt idx="105">
                  <c:v>-1.5054622934371764</c:v>
                </c:pt>
                <c:pt idx="106">
                  <c:v>-2.4779884348617998</c:v>
                </c:pt>
                <c:pt idx="107">
                  <c:v>-2.2967300164680182</c:v>
                </c:pt>
                <c:pt idx="108">
                  <c:v>-2.484087136110702</c:v>
                </c:pt>
                <c:pt idx="109">
                  <c:v>-1.8074175951028337</c:v>
                </c:pt>
                <c:pt idx="110">
                  <c:v>-1.8623067218470624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Déplacements!$G$9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-0.17515951327595758</c:v>
                </c:pt>
                <c:pt idx="2">
                  <c:v>0.21742494482168695</c:v>
                </c:pt>
                <c:pt idx="3">
                  <c:v>0.30805410131051758</c:v>
                </c:pt>
                <c:pt idx="4">
                  <c:v>-0.19912833488433535</c:v>
                </c:pt>
                <c:pt idx="5">
                  <c:v>0.59909087158871444</c:v>
                </c:pt>
                <c:pt idx="6">
                  <c:v>-1.8897291373605185</c:v>
                </c:pt>
                <c:pt idx="7">
                  <c:v>-2.7960291373574364</c:v>
                </c:pt>
                <c:pt idx="8">
                  <c:v>-3.7023291373543543</c:v>
                </c:pt>
                <c:pt idx="9">
                  <c:v>-4.2217291373560784</c:v>
                </c:pt>
                <c:pt idx="10">
                  <c:v>-3.1707291373663793</c:v>
                </c:pt>
                <c:pt idx="11">
                  <c:v>-4.1249725154273165</c:v>
                </c:pt>
                <c:pt idx="12">
                  <c:v>-3.3093096851928294</c:v>
                </c:pt>
                <c:pt idx="13">
                  <c:v>-2.2396291373638633</c:v>
                </c:pt>
                <c:pt idx="14">
                  <c:v>-1.4784290947602585</c:v>
                </c:pt>
                <c:pt idx="15">
                  <c:v>-1.0553507226802594</c:v>
                </c:pt>
                <c:pt idx="16">
                  <c:v>-2.6383123558559873</c:v>
                </c:pt>
                <c:pt idx="17">
                  <c:v>-2.3598995830695912</c:v>
                </c:pt>
                <c:pt idx="18">
                  <c:v>-2.2997291373769713</c:v>
                </c:pt>
                <c:pt idx="19">
                  <c:v>-2.323733155122909</c:v>
                </c:pt>
                <c:pt idx="20">
                  <c:v>-2.323733155122909</c:v>
                </c:pt>
                <c:pt idx="21">
                  <c:v>-1.3085291373613472</c:v>
                </c:pt>
                <c:pt idx="22">
                  <c:v>-2.4021291373799158</c:v>
                </c:pt>
                <c:pt idx="23">
                  <c:v>-1.4109291373642918</c:v>
                </c:pt>
                <c:pt idx="24">
                  <c:v>-1.5902291373777189</c:v>
                </c:pt>
                <c:pt idx="25">
                  <c:v>-1.9902291373625758</c:v>
                </c:pt>
                <c:pt idx="26">
                  <c:v>-2.590229137354072</c:v>
                </c:pt>
                <c:pt idx="27">
                  <c:v>-2.1902291373692151</c:v>
                </c:pt>
                <c:pt idx="28">
                  <c:v>-2.4902291373791741</c:v>
                </c:pt>
                <c:pt idx="29">
                  <c:v>-2.4902291373791741</c:v>
                </c:pt>
                <c:pt idx="30">
                  <c:v>-2.0902291373658954</c:v>
                </c:pt>
                <c:pt idx="31">
                  <c:v>-2.2902291373725348</c:v>
                </c:pt>
                <c:pt idx="32">
                  <c:v>-2.3902291373758544</c:v>
                </c:pt>
                <c:pt idx="33">
                  <c:v>-1.5902291373777189</c:v>
                </c:pt>
                <c:pt idx="34">
                  <c:v>-3.4902291373555272</c:v>
                </c:pt>
                <c:pt idx="35">
                  <c:v>-2.890229137364031</c:v>
                </c:pt>
                <c:pt idx="36">
                  <c:v>-3.0902291373706703</c:v>
                </c:pt>
                <c:pt idx="37">
                  <c:v>-3.3902291373806293</c:v>
                </c:pt>
                <c:pt idx="38">
                  <c:v>-2.8779079186733725</c:v>
                </c:pt>
                <c:pt idx="39">
                  <c:v>-2.4078372192093411</c:v>
                </c:pt>
                <c:pt idx="40">
                  <c:v>-2.7280887300662471</c:v>
                </c:pt>
                <c:pt idx="41">
                  <c:v>-2.6069655541220982</c:v>
                </c:pt>
                <c:pt idx="42">
                  <c:v>-3.205203545007862</c:v>
                </c:pt>
                <c:pt idx="43">
                  <c:v>-3.3902291373806293</c:v>
                </c:pt>
                <c:pt idx="44">
                  <c:v>-2.8548844129261397</c:v>
                </c:pt>
                <c:pt idx="45">
                  <c:v>-2.7459587449243372</c:v>
                </c:pt>
                <c:pt idx="46">
                  <c:v>-2.7902291373607113</c:v>
                </c:pt>
                <c:pt idx="47">
                  <c:v>-3.1902291373739899</c:v>
                </c:pt>
                <c:pt idx="48">
                  <c:v>-3.1902291373739899</c:v>
                </c:pt>
                <c:pt idx="49">
                  <c:v>-3.2902291373773096</c:v>
                </c:pt>
                <c:pt idx="50">
                  <c:v>-3.0902291373706703</c:v>
                </c:pt>
                <c:pt idx="51">
                  <c:v>-3.0902291373706703</c:v>
                </c:pt>
                <c:pt idx="52">
                  <c:v>-3.5902291373588469</c:v>
                </c:pt>
                <c:pt idx="53">
                  <c:v>-3.1902291373739899</c:v>
                </c:pt>
                <c:pt idx="54">
                  <c:v>-2.9902291373673506</c:v>
                </c:pt>
                <c:pt idx="55">
                  <c:v>-3.0902291373706703</c:v>
                </c:pt>
                <c:pt idx="56">
                  <c:v>-3.1902291373739899</c:v>
                </c:pt>
                <c:pt idx="57">
                  <c:v>-2.590229137354072</c:v>
                </c:pt>
                <c:pt idx="58">
                  <c:v>-3.1902291373739899</c:v>
                </c:pt>
                <c:pt idx="59">
                  <c:v>-3.4902291373555272</c:v>
                </c:pt>
                <c:pt idx="60">
                  <c:v>-3.5902291373588469</c:v>
                </c:pt>
                <c:pt idx="61">
                  <c:v>-3.1902291373739899</c:v>
                </c:pt>
                <c:pt idx="62">
                  <c:v>-3.0902291373706703</c:v>
                </c:pt>
                <c:pt idx="63">
                  <c:v>-3.1902291373739899</c:v>
                </c:pt>
                <c:pt idx="64">
                  <c:v>-4.087100424470691</c:v>
                </c:pt>
                <c:pt idx="65">
                  <c:v>-3.0902291373706703</c:v>
                </c:pt>
                <c:pt idx="66">
                  <c:v>-2.7902291373607113</c:v>
                </c:pt>
                <c:pt idx="67">
                  <c:v>-3.2902291373773096</c:v>
                </c:pt>
                <c:pt idx="68">
                  <c:v>-3.5902291373588469</c:v>
                </c:pt>
                <c:pt idx="69">
                  <c:v>-2.648804292192608</c:v>
                </c:pt>
                <c:pt idx="70">
                  <c:v>-3.7062872800106561</c:v>
                </c:pt>
                <c:pt idx="71">
                  <c:v>-3.2649123963608417</c:v>
                </c:pt>
                <c:pt idx="72">
                  <c:v>-3.3254739315964343</c:v>
                </c:pt>
                <c:pt idx="73">
                  <c:v>-3.4705660275449191</c:v>
                </c:pt>
                <c:pt idx="74">
                  <c:v>-3.1381168119253289</c:v>
                </c:pt>
                <c:pt idx="75">
                  <c:v>-3.6091327217206981</c:v>
                </c:pt>
                <c:pt idx="76">
                  <c:v>-2.9991235226987101</c:v>
                </c:pt>
                <c:pt idx="77">
                  <c:v>-3.5790651004958818</c:v>
                </c:pt>
                <c:pt idx="78">
                  <c:v>-2.7573035690409142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Déplacements!$W$9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Déplacements!$W$10:$W$200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-0.32025160928128571</c:v>
                </c:pt>
                <c:pt idx="2">
                  <c:v>-0.27188768041241929</c:v>
                </c:pt>
                <c:pt idx="3">
                  <c:v>-3.6166427975103943E-2</c:v>
                </c:pt>
                <c:pt idx="4">
                  <c:v>-1.3594380855579402</c:v>
                </c:pt>
                <c:pt idx="5">
                  <c:v>0.91153790563680559</c:v>
                </c:pt>
                <c:pt idx="6">
                  <c:v>-1.9040277355202306</c:v>
                </c:pt>
                <c:pt idx="7">
                  <c:v>-2.3877277355097704</c:v>
                </c:pt>
                <c:pt idx="8">
                  <c:v>-2.8103277355171485</c:v>
                </c:pt>
                <c:pt idx="9">
                  <c:v>-2.6234277355001723</c:v>
                </c:pt>
                <c:pt idx="10">
                  <c:v>-2.3092277355090118</c:v>
                </c:pt>
                <c:pt idx="11">
                  <c:v>-1.9650542534748183</c:v>
                </c:pt>
                <c:pt idx="12">
                  <c:v>-2.750223071302571</c:v>
                </c:pt>
                <c:pt idx="13">
                  <c:v>-1.8199277355108734</c:v>
                </c:pt>
                <c:pt idx="14">
                  <c:v>-2.0073193826704028</c:v>
                </c:pt>
                <c:pt idx="15">
                  <c:v>-1.2522181860674664</c:v>
                </c:pt>
                <c:pt idx="16">
                  <c:v>-1.3794401616564755</c:v>
                </c:pt>
                <c:pt idx="17">
                  <c:v>-2.8709197505918382</c:v>
                </c:pt>
                <c:pt idx="18">
                  <c:v>-1.9833277355019163</c:v>
                </c:pt>
                <c:pt idx="19">
                  <c:v>-2.9075126681448182</c:v>
                </c:pt>
                <c:pt idx="20">
                  <c:v>-2.9075126681448182</c:v>
                </c:pt>
                <c:pt idx="21">
                  <c:v>-1.6025277355140588</c:v>
                </c:pt>
                <c:pt idx="22">
                  <c:v>-2.8230277355021371</c:v>
                </c:pt>
                <c:pt idx="23">
                  <c:v>-3.9401277355182174</c:v>
                </c:pt>
                <c:pt idx="24">
                  <c:v>-1.6480277355128692</c:v>
                </c:pt>
                <c:pt idx="25">
                  <c:v>-1.8480277355195085</c:v>
                </c:pt>
                <c:pt idx="26">
                  <c:v>-3.2480277355091403</c:v>
                </c:pt>
                <c:pt idx="27">
                  <c:v>-2.9480277354991813</c:v>
                </c:pt>
                <c:pt idx="28">
                  <c:v>-3.0480277355025009</c:v>
                </c:pt>
                <c:pt idx="29">
                  <c:v>-3.1480277355058206</c:v>
                </c:pt>
                <c:pt idx="30">
                  <c:v>-2.8480277355242833</c:v>
                </c:pt>
                <c:pt idx="31">
                  <c:v>-2.5480277355143244</c:v>
                </c:pt>
                <c:pt idx="32">
                  <c:v>-3.0480277355025009</c:v>
                </c:pt>
                <c:pt idx="33">
                  <c:v>-3.3480277355124599</c:v>
                </c:pt>
                <c:pt idx="34">
                  <c:v>-4.1480277355105954</c:v>
                </c:pt>
                <c:pt idx="35">
                  <c:v>-3.5480277355190992</c:v>
                </c:pt>
                <c:pt idx="36">
                  <c:v>-3.5480277355190992</c:v>
                </c:pt>
                <c:pt idx="37">
                  <c:v>-3.9480277355039561</c:v>
                </c:pt>
                <c:pt idx="38">
                  <c:v>-3.3186777274067936</c:v>
                </c:pt>
                <c:pt idx="39">
                  <c:v>-2.4638701217440939</c:v>
                </c:pt>
                <c:pt idx="40">
                  <c:v>-3.0830986780756575</c:v>
                </c:pt>
                <c:pt idx="41">
                  <c:v>-3.1131662993288955</c:v>
                </c:pt>
                <c:pt idx="42">
                  <c:v>-3.2582582897759949</c:v>
                </c:pt>
                <c:pt idx="43">
                  <c:v>-3.5480277355190992</c:v>
                </c:pt>
                <c:pt idx="44">
                  <c:v>-3.2159930621844524</c:v>
                </c:pt>
                <c:pt idx="45">
                  <c:v>-3.3366899453994847</c:v>
                </c:pt>
                <c:pt idx="46">
                  <c:v>-3.3480277355124599</c:v>
                </c:pt>
                <c:pt idx="47">
                  <c:v>-3.6480277355224189</c:v>
                </c:pt>
                <c:pt idx="48">
                  <c:v>-3.3480277355124599</c:v>
                </c:pt>
                <c:pt idx="49">
                  <c:v>-3.6480277355224189</c:v>
                </c:pt>
                <c:pt idx="50">
                  <c:v>-3.6480277355224189</c:v>
                </c:pt>
                <c:pt idx="51">
                  <c:v>-3.2480277355091403</c:v>
                </c:pt>
                <c:pt idx="52">
                  <c:v>-4.2480277355139151</c:v>
                </c:pt>
                <c:pt idx="53">
                  <c:v>-3.7480277354973168</c:v>
                </c:pt>
                <c:pt idx="54">
                  <c:v>-3.3480277355124599</c:v>
                </c:pt>
                <c:pt idx="55">
                  <c:v>-3.3480277355124599</c:v>
                </c:pt>
                <c:pt idx="56">
                  <c:v>-3.7480277354973168</c:v>
                </c:pt>
                <c:pt idx="57">
                  <c:v>-4.5480277355238741</c:v>
                </c:pt>
                <c:pt idx="58">
                  <c:v>-3.4480277355157796</c:v>
                </c:pt>
                <c:pt idx="59">
                  <c:v>-3.8480277355006365</c:v>
                </c:pt>
                <c:pt idx="60">
                  <c:v>-4.2480277355139151</c:v>
                </c:pt>
                <c:pt idx="61">
                  <c:v>-3.6480277355224189</c:v>
                </c:pt>
                <c:pt idx="66">
                  <c:v>-2.9480277354991813</c:v>
                </c:pt>
                <c:pt idx="67">
                  <c:v>-3.6480277355224189</c:v>
                </c:pt>
                <c:pt idx="68">
                  <c:v>-4.4480277355205544</c:v>
                </c:pt>
                <c:pt idx="69">
                  <c:v>-3.2765547028930087</c:v>
                </c:pt>
                <c:pt idx="70">
                  <c:v>-3.5545410774204811</c:v>
                </c:pt>
                <c:pt idx="71">
                  <c:v>-4.412042744121436</c:v>
                </c:pt>
                <c:pt idx="72">
                  <c:v>-3.7597683174794838</c:v>
                </c:pt>
                <c:pt idx="73">
                  <c:v>-4.0739211199820602</c:v>
                </c:pt>
                <c:pt idx="74">
                  <c:v>-3.983291963550073</c:v>
                </c:pt>
                <c:pt idx="75">
                  <c:v>-4.4543078733454422</c:v>
                </c:pt>
                <c:pt idx="76">
                  <c:v>-3.9771930584038273</c:v>
                </c:pt>
                <c:pt idx="77">
                  <c:v>-4.4242403505450056</c:v>
                </c:pt>
                <c:pt idx="78">
                  <c:v>-3.3310174313783136</c:v>
                </c:pt>
                <c:pt idx="81">
                  <c:v>-4.7867571874178338</c:v>
                </c:pt>
                <c:pt idx="83">
                  <c:v>-4.7867571874178338</c:v>
                </c:pt>
                <c:pt idx="85">
                  <c:v>-3.4867571874031</c:v>
                </c:pt>
                <c:pt idx="86">
                  <c:v>-4.4479606034713015</c:v>
                </c:pt>
                <c:pt idx="87">
                  <c:v>-2.7804685150556452</c:v>
                </c:pt>
                <c:pt idx="88">
                  <c:v>-3.9102840493683289</c:v>
                </c:pt>
                <c:pt idx="89">
                  <c:v>-3.9867571874196983</c:v>
                </c:pt>
                <c:pt idx="90">
                  <c:v>-3.5176996896666424</c:v>
                </c:pt>
                <c:pt idx="91">
                  <c:v>-4.2305357570739943</c:v>
                </c:pt>
                <c:pt idx="92">
                  <c:v>-2.2310208512408281</c:v>
                </c:pt>
                <c:pt idx="93">
                  <c:v>-3.3669353891241371</c:v>
                </c:pt>
                <c:pt idx="94">
                  <c:v>-2.8048637277606758</c:v>
                </c:pt>
                <c:pt idx="95">
                  <c:v>-3.0401584835715312</c:v>
                </c:pt>
                <c:pt idx="96">
                  <c:v>-3.5538661176417463</c:v>
                </c:pt>
                <c:pt idx="97">
                  <c:v>-3.4327428433016394</c:v>
                </c:pt>
                <c:pt idx="98">
                  <c:v>-3.2937496524425569</c:v>
                </c:pt>
                <c:pt idx="99">
                  <c:v>-3.8074572865411938</c:v>
                </c:pt>
                <c:pt idx="100">
                  <c:v>-3.9586481821345387</c:v>
                </c:pt>
                <c:pt idx="101">
                  <c:v>-3.4994032836550559</c:v>
                </c:pt>
                <c:pt idx="102">
                  <c:v>-3.7168281300807848</c:v>
                </c:pt>
                <c:pt idx="104">
                  <c:v>-3.7712908585660898</c:v>
                </c:pt>
                <c:pt idx="105">
                  <c:v>-3.1791516743737702</c:v>
                </c:pt>
                <c:pt idx="106">
                  <c:v>-3.8375249077944318</c:v>
                </c:pt>
                <c:pt idx="107">
                  <c:v>-3.8013585853207132</c:v>
                </c:pt>
                <c:pt idx="108">
                  <c:v>-3.5778349392501241</c:v>
                </c:pt>
                <c:pt idx="109">
                  <c:v>-3.6322977732368145</c:v>
                </c:pt>
                <c:pt idx="110">
                  <c:v>-4.1947958257253504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'Graphiques F(date) (100j)'!$AC$60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 (100j)'!$AE$60:$AE$61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 (100j)'!$AD$60:$AD$61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strRef>
              <c:f>'Graphiques F(date) (100j)'!$AC$64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 (100j)'!$AE$64:$AE$65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 (100j)'!$AD$64:$AD$65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16968"/>
        <c:axId val="514617360"/>
      </c:scatterChart>
      <c:scatterChart>
        <c:scatterStyle val="lineMarker"/>
        <c:varyColors val="0"/>
        <c:ser>
          <c:idx val="0"/>
          <c:order val="9"/>
          <c:tx>
            <c:v>Avancement du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ser>
          <c:idx val="14"/>
          <c:order val="10"/>
          <c:tx>
            <c:strRef>
              <c:f>'Graphiques F(date) (100j)'!$AA$75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 (100j)'!$AC$76:$AC$110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 (100j)'!$AD$76:$AD$110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18144"/>
        <c:axId val="514617752"/>
      </c:scatterChart>
      <c:valAx>
        <c:axId val="514616968"/>
        <c:scaling>
          <c:orientation val="minMax"/>
          <c:max val="44926"/>
          <c:min val="442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7360"/>
        <c:crossesAt val="0"/>
        <c:crossBetween val="midCat"/>
        <c:majorUnit val="30"/>
      </c:valAx>
      <c:valAx>
        <c:axId val="514617360"/>
        <c:scaling>
          <c:orientation val="minMax"/>
          <c:max val="2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6968"/>
        <c:crosses val="autoZero"/>
        <c:crossBetween val="midCat"/>
      </c:valAx>
      <c:valAx>
        <c:axId val="514617752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8144"/>
        <c:crosses val="max"/>
        <c:crossBetween val="midCat"/>
      </c:valAx>
      <c:valAx>
        <c:axId val="514618144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7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2987045354516097"/>
          <c:y val="0.57507635148566172"/>
          <c:w val="0.73689183958086979"/>
          <c:h val="9.5000801380368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déport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'Graphiques F(date) (100j)'!$AC$64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'Graphiques F(date) (100j)'!$AE$64:$AE$65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 (100j)'!$AD$64:$AD$65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'Graphiques F(date) (100j)'!$AC$60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'Graphiques F(date) (100j)'!$AE$60:$AE$61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 (100j)'!$AD$60:$AD$61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Déplacements!$D$10:$D$200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0.51370768324510152</c:v>
                </c:pt>
                <c:pt idx="2">
                  <c:v>-4.8364034381798149E-2</c:v>
                </c:pt>
                <c:pt idx="3">
                  <c:v>0.50760882730216395</c:v>
                </c:pt>
                <c:pt idx="4">
                  <c:v>2.7127773151458534</c:v>
                </c:pt>
                <c:pt idx="5">
                  <c:v>4.5550025749343526</c:v>
                </c:pt>
                <c:pt idx="6">
                  <c:v>6.3379451270555442</c:v>
                </c:pt>
                <c:pt idx="7">
                  <c:v>4.5863491270554668</c:v>
                </c:pt>
                <c:pt idx="8">
                  <c:v>5.4926411270557196</c:v>
                </c:pt>
                <c:pt idx="9">
                  <c:v>5.1906861270554217</c:v>
                </c:pt>
                <c:pt idx="10">
                  <c:v>4.3144621270556627</c:v>
                </c:pt>
                <c:pt idx="11">
                  <c:v>5.4926414618088337</c:v>
                </c:pt>
                <c:pt idx="12">
                  <c:v>7.0938996557283751</c:v>
                </c:pt>
                <c:pt idx="13">
                  <c:v>7.6311491270555365</c:v>
                </c:pt>
                <c:pt idx="14">
                  <c:v>8.34398568217809</c:v>
                </c:pt>
                <c:pt idx="15">
                  <c:v>9.0023589647580948</c:v>
                </c:pt>
                <c:pt idx="16">
                  <c:v>7.4982552799092161</c:v>
                </c:pt>
                <c:pt idx="17">
                  <c:v>10.186637382296748</c:v>
                </c:pt>
                <c:pt idx="18">
                  <c:v>9.1173831270556782</c:v>
                </c:pt>
                <c:pt idx="19">
                  <c:v>10.017576570232389</c:v>
                </c:pt>
                <c:pt idx="20">
                  <c:v>10.017576570232389</c:v>
                </c:pt>
                <c:pt idx="21">
                  <c:v>10.826714127055492</c:v>
                </c:pt>
                <c:pt idx="22">
                  <c:v>10.235001127055554</c:v>
                </c:pt>
                <c:pt idx="23">
                  <c:v>12.047159127055451</c:v>
                </c:pt>
                <c:pt idx="24">
                  <c:v>9.6522421270552883</c:v>
                </c:pt>
                <c:pt idx="25">
                  <c:v>9.8522421270557103</c:v>
                </c:pt>
                <c:pt idx="26">
                  <c:v>10.952242127055367</c:v>
                </c:pt>
                <c:pt idx="27">
                  <c:v>10.952242127055367</c:v>
                </c:pt>
                <c:pt idx="28">
                  <c:v>10.8522421270556</c:v>
                </c:pt>
                <c:pt idx="29">
                  <c:v>10.952242127055367</c:v>
                </c:pt>
                <c:pt idx="30">
                  <c:v>11.85224212705549</c:v>
                </c:pt>
                <c:pt idx="31">
                  <c:v>11.85224212705549</c:v>
                </c:pt>
                <c:pt idx="32">
                  <c:v>11.452242127055534</c:v>
                </c:pt>
                <c:pt idx="33">
                  <c:v>13.052242127055358</c:v>
                </c:pt>
                <c:pt idx="34">
                  <c:v>11.052242127055578</c:v>
                </c:pt>
                <c:pt idx="35">
                  <c:v>11.552242127055301</c:v>
                </c:pt>
                <c:pt idx="36">
                  <c:v>11.85224212705549</c:v>
                </c:pt>
                <c:pt idx="37">
                  <c:v>11.85224212705549</c:v>
                </c:pt>
                <c:pt idx="38">
                  <c:v>12.125071624284445</c:v>
                </c:pt>
                <c:pt idx="39">
                  <c:v>11.721234875644804</c:v>
                </c:pt>
                <c:pt idx="40">
                  <c:v>11.55217411278997</c:v>
                </c:pt>
                <c:pt idx="41">
                  <c:v>12.573064183057259</c:v>
                </c:pt>
                <c:pt idx="42">
                  <c:v>11.685068553184852</c:v>
                </c:pt>
                <c:pt idx="43">
                  <c:v>12.252242127055446</c:v>
                </c:pt>
                <c:pt idx="44">
                  <c:v>11.775697815143982</c:v>
                </c:pt>
                <c:pt idx="45">
                  <c:v>12.355639547650288</c:v>
                </c:pt>
                <c:pt idx="46">
                  <c:v>12.452242127055424</c:v>
                </c:pt>
                <c:pt idx="47">
                  <c:v>12.352242127055657</c:v>
                </c:pt>
                <c:pt idx="48">
                  <c:v>12.552242127055635</c:v>
                </c:pt>
                <c:pt idx="49">
                  <c:v>12.152242127055679</c:v>
                </c:pt>
                <c:pt idx="50">
                  <c:v>12.652242127055402</c:v>
                </c:pt>
                <c:pt idx="51">
                  <c:v>12.252242127055446</c:v>
                </c:pt>
                <c:pt idx="52">
                  <c:v>13.452242127055314</c:v>
                </c:pt>
                <c:pt idx="53">
                  <c:v>12.352242127055657</c:v>
                </c:pt>
                <c:pt idx="54">
                  <c:v>10.8522421270556</c:v>
                </c:pt>
                <c:pt idx="55">
                  <c:v>12.752242127055613</c:v>
                </c:pt>
                <c:pt idx="56">
                  <c:v>12.252242127055446</c:v>
                </c:pt>
                <c:pt idx="57">
                  <c:v>13.552242127055525</c:v>
                </c:pt>
                <c:pt idx="58">
                  <c:v>12.552242127055635</c:v>
                </c:pt>
                <c:pt idx="59">
                  <c:v>12.85224212705538</c:v>
                </c:pt>
                <c:pt idx="60">
                  <c:v>12.85224212705538</c:v>
                </c:pt>
                <c:pt idx="61">
                  <c:v>12.652242127055402</c:v>
                </c:pt>
                <c:pt idx="62">
                  <c:v>12.952242127055591</c:v>
                </c:pt>
                <c:pt idx="63">
                  <c:v>12.85224212705538</c:v>
                </c:pt>
                <c:pt idx="64">
                  <c:v>12.259337820911043</c:v>
                </c:pt>
                <c:pt idx="65">
                  <c:v>13.552242127055525</c:v>
                </c:pt>
                <c:pt idx="66">
                  <c:v>13.052242127055358</c:v>
                </c:pt>
                <c:pt idx="67">
                  <c:v>13.452242127055314</c:v>
                </c:pt>
                <c:pt idx="68">
                  <c:v>13.452242127055314</c:v>
                </c:pt>
                <c:pt idx="69">
                  <c:v>14.415715834019682</c:v>
                </c:pt>
                <c:pt idx="70">
                  <c:v>13.098969578242858</c:v>
                </c:pt>
                <c:pt idx="71">
                  <c:v>14.60917185883126</c:v>
                </c:pt>
                <c:pt idx="72">
                  <c:v>13.980866302959249</c:v>
                </c:pt>
                <c:pt idx="73">
                  <c:v>13.715077422213895</c:v>
                </c:pt>
                <c:pt idx="74">
                  <c:v>14.113760792564101</c:v>
                </c:pt>
                <c:pt idx="75">
                  <c:v>15.068416813624808</c:v>
                </c:pt>
                <c:pt idx="76">
                  <c:v>14.560808035486428</c:v>
                </c:pt>
                <c:pt idx="77">
                  <c:v>14.573005536343331</c:v>
                </c:pt>
                <c:pt idx="78">
                  <c:v>15.128552006914653</c:v>
                </c:pt>
                <c:pt idx="81">
                  <c:v>14.041427887427904</c:v>
                </c:pt>
                <c:pt idx="83">
                  <c:v>14.041427887427904</c:v>
                </c:pt>
                <c:pt idx="85">
                  <c:v>12.341427887427869</c:v>
                </c:pt>
                <c:pt idx="86">
                  <c:v>12.897106836188499</c:v>
                </c:pt>
                <c:pt idx="87">
                  <c:v>10.903264338856467</c:v>
                </c:pt>
                <c:pt idx="88">
                  <c:v>10.728104670840288</c:v>
                </c:pt>
                <c:pt idx="89">
                  <c:v>10.441427887427857</c:v>
                </c:pt>
                <c:pt idx="90">
                  <c:v>10.691938348375896</c:v>
                </c:pt>
                <c:pt idx="91">
                  <c:v>13.651781585349632</c:v>
                </c:pt>
                <c:pt idx="92">
                  <c:v>13.634338010820812</c:v>
                </c:pt>
                <c:pt idx="93">
                  <c:v>11.090621507722442</c:v>
                </c:pt>
                <c:pt idx="94">
                  <c:v>11.628298012605232</c:v>
                </c:pt>
                <c:pt idx="95">
                  <c:v>12.800378929294975</c:v>
                </c:pt>
                <c:pt idx="96">
                  <c:v>12.806477574234254</c:v>
                </c:pt>
                <c:pt idx="97">
                  <c:v>13.325857722287449</c:v>
                </c:pt>
                <c:pt idx="98">
                  <c:v>13.283592494660823</c:v>
                </c:pt>
                <c:pt idx="100">
                  <c:v>13.616041653999211</c:v>
                </c:pt>
                <c:pt idx="101">
                  <c:v>13.658306881638715</c:v>
                </c:pt>
                <c:pt idx="102">
                  <c:v>13.68837455917804</c:v>
                </c:pt>
                <c:pt idx="103">
                  <c:v>13.18686437675165</c:v>
                </c:pt>
                <c:pt idx="104">
                  <c:v>14.069187752850265</c:v>
                </c:pt>
                <c:pt idx="105">
                  <c:v>13.736738593550513</c:v>
                </c:pt>
                <c:pt idx="106">
                  <c:v>14.256544921746439</c:v>
                </c:pt>
                <c:pt idx="107">
                  <c:v>14.504037283900484</c:v>
                </c:pt>
                <c:pt idx="108">
                  <c:v>14.069187752850265</c:v>
                </c:pt>
                <c:pt idx="109">
                  <c:v>14.419506877861643</c:v>
                </c:pt>
                <c:pt idx="110">
                  <c:v>17.585003900767671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Déplacements!$P$9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Déplacements!$P$10:$P$200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-3.0067726747767809E-2</c:v>
                </c:pt>
                <c:pt idx="2">
                  <c:v>6.0561535198094818E-2</c:v>
                </c:pt>
                <c:pt idx="3">
                  <c:v>0.19345602480708157</c:v>
                </c:pt>
                <c:pt idx="4">
                  <c:v>0.74333003058890679</c:v>
                </c:pt>
                <c:pt idx="5">
                  <c:v>0.48321356537625593</c:v>
                </c:pt>
                <c:pt idx="6">
                  <c:v>-1.0082657495592839</c:v>
                </c:pt>
                <c:pt idx="7">
                  <c:v>-2.7598617495592781</c:v>
                </c:pt>
                <c:pt idx="8">
                  <c:v>-1.8535697495593029</c:v>
                </c:pt>
                <c:pt idx="9">
                  <c:v>-3.1463477495592973</c:v>
                </c:pt>
                <c:pt idx="10">
                  <c:v>-3.3036377495593019</c:v>
                </c:pt>
                <c:pt idx="11">
                  <c:v>-3.6661541628052738</c:v>
                </c:pt>
                <c:pt idx="12">
                  <c:v>-2.8443925821323157</c:v>
                </c:pt>
                <c:pt idx="13">
                  <c:v>-2.0653227495592841</c:v>
                </c:pt>
                <c:pt idx="14">
                  <c:v>-2.035254893477223</c:v>
                </c:pt>
                <c:pt idx="15">
                  <c:v>-1.8661941306283569</c:v>
                </c:pt>
                <c:pt idx="16">
                  <c:v>-3.2374033258762704</c:v>
                </c:pt>
                <c:pt idx="17">
                  <c:v>-0.83877876404644947</c:v>
                </c:pt>
                <c:pt idx="18">
                  <c:v>-2.5968997495592894</c:v>
                </c:pt>
                <c:pt idx="19">
                  <c:v>-1.8174036559090723</c:v>
                </c:pt>
                <c:pt idx="20">
                  <c:v>-1.8174036559090723</c:v>
                </c:pt>
                <c:pt idx="21">
                  <c:v>-1.3646837495592812</c:v>
                </c:pt>
                <c:pt idx="22">
                  <c:v>-1.9986617495592884</c:v>
                </c:pt>
                <c:pt idx="23">
                  <c:v>0.41783225044070282</c:v>
                </c:pt>
                <c:pt idx="24">
                  <c:v>-3.3351047495592812</c:v>
                </c:pt>
                <c:pt idx="25">
                  <c:v>-3.2351047495592922</c:v>
                </c:pt>
                <c:pt idx="26">
                  <c:v>-1.9351047495592966</c:v>
                </c:pt>
                <c:pt idx="27">
                  <c:v>-2.1351047495593023</c:v>
                </c:pt>
                <c:pt idx="28">
                  <c:v>-2.2351047495592913</c:v>
                </c:pt>
                <c:pt idx="29">
                  <c:v>-2.2351047495592913</c:v>
                </c:pt>
                <c:pt idx="30">
                  <c:v>-1.7351047495592908</c:v>
                </c:pt>
                <c:pt idx="31">
                  <c:v>-2.1351047495593023</c:v>
                </c:pt>
                <c:pt idx="32">
                  <c:v>-2.5351047495592862</c:v>
                </c:pt>
                <c:pt idx="33">
                  <c:v>-0.43510474955929523</c:v>
                </c:pt>
                <c:pt idx="34">
                  <c:v>-2.6351047495593027</c:v>
                </c:pt>
                <c:pt idx="35">
                  <c:v>-2.4351047495592972</c:v>
                </c:pt>
                <c:pt idx="36">
                  <c:v>-2.2351047495592913</c:v>
                </c:pt>
                <c:pt idx="37">
                  <c:v>-2.2351047495592913</c:v>
                </c:pt>
                <c:pt idx="38">
                  <c:v>-2.656018943096222</c:v>
                </c:pt>
                <c:pt idx="39">
                  <c:v>-3.1062575814490287</c:v>
                </c:pt>
                <c:pt idx="40">
                  <c:v>-3.194711707152659</c:v>
                </c:pt>
                <c:pt idx="41">
                  <c:v>-2.3067160772563544</c:v>
                </c:pt>
                <c:pt idx="42">
                  <c:v>-3.1040824451466777</c:v>
                </c:pt>
                <c:pt idx="43">
                  <c:v>-2.7351047495592917</c:v>
                </c:pt>
                <c:pt idx="44">
                  <c:v>-3.0134533941948982</c:v>
                </c:pt>
                <c:pt idx="45">
                  <c:v>-2.5180421169224978</c:v>
                </c:pt>
                <c:pt idx="46">
                  <c:v>-2.5351047495592862</c:v>
                </c:pt>
                <c:pt idx="47">
                  <c:v>-2.6351047495593027</c:v>
                </c:pt>
                <c:pt idx="48">
                  <c:v>-2.5351047495592862</c:v>
                </c:pt>
                <c:pt idx="49">
                  <c:v>-2.6351047495593027</c:v>
                </c:pt>
                <c:pt idx="50">
                  <c:v>-2.6351047495593027</c:v>
                </c:pt>
                <c:pt idx="51">
                  <c:v>-3.1351047495593032</c:v>
                </c:pt>
                <c:pt idx="52">
                  <c:v>-1.9351047495592966</c:v>
                </c:pt>
                <c:pt idx="53">
                  <c:v>-2.4351047495592972</c:v>
                </c:pt>
                <c:pt idx="54">
                  <c:v>-2.5351047495592862</c:v>
                </c:pt>
                <c:pt idx="55">
                  <c:v>-2.5351047495592862</c:v>
                </c:pt>
                <c:pt idx="56">
                  <c:v>-2.9351047495592972</c:v>
                </c:pt>
                <c:pt idx="57">
                  <c:v>-1.2351047495592904</c:v>
                </c:pt>
                <c:pt idx="58">
                  <c:v>-2.7351047495592917</c:v>
                </c:pt>
                <c:pt idx="59">
                  <c:v>-2.6351047495593027</c:v>
                </c:pt>
                <c:pt idx="60">
                  <c:v>-2.5351047495592862</c:v>
                </c:pt>
                <c:pt idx="61">
                  <c:v>-3.0351047495592862</c:v>
                </c:pt>
                <c:pt idx="62">
                  <c:v>-3.0351047495592862</c:v>
                </c:pt>
                <c:pt idx="63">
                  <c:v>-3.2351047495592922</c:v>
                </c:pt>
                <c:pt idx="64">
                  <c:v>-3.5689996537604793</c:v>
                </c:pt>
                <c:pt idx="65">
                  <c:v>-2.3351047495592803</c:v>
                </c:pt>
                <c:pt idx="66">
                  <c:v>-3.1351047495593032</c:v>
                </c:pt>
                <c:pt idx="67">
                  <c:v>-2.7351047495592917</c:v>
                </c:pt>
                <c:pt idx="68">
                  <c:v>-2.5351047495592862</c:v>
                </c:pt>
                <c:pt idx="69">
                  <c:v>-2.6387388454389979</c:v>
                </c:pt>
                <c:pt idx="70">
                  <c:v>-3.792523405313053</c:v>
                </c:pt>
                <c:pt idx="71">
                  <c:v>-1.8592424431851107</c:v>
                </c:pt>
                <c:pt idx="72">
                  <c:v>-2.8561636918468247</c:v>
                </c:pt>
                <c:pt idx="73">
                  <c:v>-2.8923300635540219</c:v>
                </c:pt>
                <c:pt idx="74">
                  <c:v>-2.7171703955498341</c:v>
                </c:pt>
                <c:pt idx="75">
                  <c:v>-2.0344021111739496</c:v>
                </c:pt>
                <c:pt idx="76">
                  <c:v>-2.4513816765550924</c:v>
                </c:pt>
                <c:pt idx="77">
                  <c:v>-2.52371458174383</c:v>
                </c:pt>
                <c:pt idx="78">
                  <c:v>-3.001255682308468</c:v>
                </c:pt>
                <c:pt idx="81">
                  <c:v>-3.0069281471245821</c:v>
                </c:pt>
                <c:pt idx="83">
                  <c:v>-3.0069281471245821</c:v>
                </c:pt>
                <c:pt idx="85">
                  <c:v>-4.706928147124561</c:v>
                </c:pt>
                <c:pt idx="86">
                  <c:v>-5.4738847436409666</c:v>
                </c:pt>
                <c:pt idx="87">
                  <c:v>-6.2294123243015198</c:v>
                </c:pt>
                <c:pt idx="88">
                  <c:v>-6.7971565067044271</c:v>
                </c:pt>
                <c:pt idx="89">
                  <c:v>-7.2069281471245636</c:v>
                </c:pt>
                <c:pt idx="90">
                  <c:v>-6.4708059923413161</c:v>
                </c:pt>
                <c:pt idx="91">
                  <c:v>-6.162751883914769</c:v>
                </c:pt>
                <c:pt idx="92">
                  <c:v>-4.7187836033630859</c:v>
                </c:pt>
                <c:pt idx="93">
                  <c:v>-7.1174079541876374</c:v>
                </c:pt>
                <c:pt idx="94">
                  <c:v>-6.4407383147923873</c:v>
                </c:pt>
                <c:pt idx="95">
                  <c:v>-5.6311744459919817</c:v>
                </c:pt>
                <c:pt idx="96">
                  <c:v>-5.7096059960752283</c:v>
                </c:pt>
                <c:pt idx="97">
                  <c:v>-4.8699742387492968</c:v>
                </c:pt>
                <c:pt idx="98">
                  <c:v>-5.0089675350747926</c:v>
                </c:pt>
                <c:pt idx="99">
                  <c:v>-5.0268375007277708</c:v>
                </c:pt>
                <c:pt idx="100">
                  <c:v>-5.3954532427527564</c:v>
                </c:pt>
                <c:pt idx="101">
                  <c:v>-5.3531880151204412</c:v>
                </c:pt>
                <c:pt idx="102">
                  <c:v>-5.2263924307024974</c:v>
                </c:pt>
                <c:pt idx="103">
                  <c:v>-5.4198484554942024</c:v>
                </c:pt>
                <c:pt idx="104">
                  <c:v>-5.3048239807811921</c:v>
                </c:pt>
                <c:pt idx="105">
                  <c:v>-5.0995967970310083</c:v>
                </c:pt>
                <c:pt idx="106">
                  <c:v>-4.833807867054313</c:v>
                </c:pt>
                <c:pt idx="107">
                  <c:v>-5.0028686791469816</c:v>
                </c:pt>
                <c:pt idx="108">
                  <c:v>-5.0211650359490152</c:v>
                </c:pt>
                <c:pt idx="109">
                  <c:v>-4.9849987134657212</c:v>
                </c:pt>
                <c:pt idx="110">
                  <c:v>-5.0512327626972269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Déplacements!$AB$9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Déplacements!$AB$10:$AB$200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0.44094859798216035</c:v>
                </c:pt>
                <c:pt idx="2">
                  <c:v>0.22352375156309279</c:v>
                </c:pt>
                <c:pt idx="3">
                  <c:v>0.13899334554468012</c:v>
                </c:pt>
                <c:pt idx="4">
                  <c:v>0.32635051442397867</c:v>
                </c:pt>
                <c:pt idx="5">
                  <c:v>-2.603851696377113</c:v>
                </c:pt>
                <c:pt idx="6">
                  <c:v>-4.9894261692520203</c:v>
                </c:pt>
                <c:pt idx="7">
                  <c:v>-5.4120781692521547</c:v>
                </c:pt>
                <c:pt idx="8">
                  <c:v>-5.4120781692521547</c:v>
                </c:pt>
                <c:pt idx="9">
                  <c:v>-6.5719611692522939</c:v>
                </c:pt>
                <c:pt idx="10">
                  <c:v>-6.5841581692520634</c:v>
                </c:pt>
                <c:pt idx="11">
                  <c:v>-6.3183696825075408</c:v>
                </c:pt>
                <c:pt idx="12">
                  <c:v>-6.6142260790353902</c:v>
                </c:pt>
                <c:pt idx="13">
                  <c:v>-6.6325231692521136</c:v>
                </c:pt>
                <c:pt idx="14">
                  <c:v>-6.8560461873956591</c:v>
                </c:pt>
                <c:pt idx="15">
                  <c:v>-6.3488638003965647</c:v>
                </c:pt>
                <c:pt idx="16">
                  <c:v>-8.3483787625469041</c:v>
                </c:pt>
                <c:pt idx="17">
                  <c:v>-5.9798216672271032</c:v>
                </c:pt>
                <c:pt idx="18">
                  <c:v>-7.9192011692521547</c:v>
                </c:pt>
                <c:pt idx="19">
                  <c:v>-7.5383882916231215</c:v>
                </c:pt>
                <c:pt idx="20">
                  <c:v>-7.5383882916231215</c:v>
                </c:pt>
                <c:pt idx="21">
                  <c:v>-7.1641001692519524</c:v>
                </c:pt>
                <c:pt idx="22">
                  <c:v>-7.6229181692522019</c:v>
                </c:pt>
                <c:pt idx="23">
                  <c:v>-5.937130169252125</c:v>
                </c:pt>
                <c:pt idx="24">
                  <c:v>-9.5439951692521952</c:v>
                </c:pt>
                <c:pt idx="25">
                  <c:v>-8.9439951692522612</c:v>
                </c:pt>
                <c:pt idx="26">
                  <c:v>-7.6439951692521824</c:v>
                </c:pt>
                <c:pt idx="27">
                  <c:v>-7.9439951692519273</c:v>
                </c:pt>
                <c:pt idx="28">
                  <c:v>-7.8439951692521603</c:v>
                </c:pt>
                <c:pt idx="29">
                  <c:v>-7.7439951692519493</c:v>
                </c:pt>
                <c:pt idx="30">
                  <c:v>-7.6439951692521824</c:v>
                </c:pt>
                <c:pt idx="31">
                  <c:v>-8.2439951692521163</c:v>
                </c:pt>
                <c:pt idx="32">
                  <c:v>-8.5439951692523053</c:v>
                </c:pt>
                <c:pt idx="33">
                  <c:v>-6.7439951692520594</c:v>
                </c:pt>
                <c:pt idx="34">
                  <c:v>-8.2439951692521163</c:v>
                </c:pt>
                <c:pt idx="35">
                  <c:v>-8.1439951692523493</c:v>
                </c:pt>
                <c:pt idx="36">
                  <c:v>-8.2439951692521163</c:v>
                </c:pt>
                <c:pt idx="37">
                  <c:v>-8.1439951692523493</c:v>
                </c:pt>
                <c:pt idx="38">
                  <c:v>-9.0465575826810252</c:v>
                </c:pt>
                <c:pt idx="40">
                  <c:v>-9.2721143237750603</c:v>
                </c:pt>
                <c:pt idx="41">
                  <c:v>-8.6921725912483261</c:v>
                </c:pt>
                <c:pt idx="42">
                  <c:v>-9.398909908239883</c:v>
                </c:pt>
                <c:pt idx="43">
                  <c:v>-8.9439951692522612</c:v>
                </c:pt>
                <c:pt idx="44">
                  <c:v>-9.2660154678374518</c:v>
                </c:pt>
                <c:pt idx="46">
                  <c:v>-9.1439951692522392</c:v>
                </c:pt>
                <c:pt idx="47">
                  <c:v>-9.1439951692522392</c:v>
                </c:pt>
                <c:pt idx="48">
                  <c:v>-8.9439951692522612</c:v>
                </c:pt>
                <c:pt idx="49">
                  <c:v>-9.1439951692522392</c:v>
                </c:pt>
                <c:pt idx="50">
                  <c:v>-9.1439951692522392</c:v>
                </c:pt>
                <c:pt idx="51">
                  <c:v>-9.6439951692519621</c:v>
                </c:pt>
                <c:pt idx="52">
                  <c:v>-8.4439951692520943</c:v>
                </c:pt>
                <c:pt idx="53">
                  <c:v>-8.8439951692520502</c:v>
                </c:pt>
                <c:pt idx="54">
                  <c:v>-9.2439951692520061</c:v>
                </c:pt>
                <c:pt idx="55">
                  <c:v>-8.9439951692522612</c:v>
                </c:pt>
                <c:pt idx="56">
                  <c:v>-9.3439951692522172</c:v>
                </c:pt>
                <c:pt idx="57">
                  <c:v>-8.3439951692523273</c:v>
                </c:pt>
                <c:pt idx="58">
                  <c:v>-9.3439951692522172</c:v>
                </c:pt>
                <c:pt idx="59">
                  <c:v>-9.1439951692522392</c:v>
                </c:pt>
                <c:pt idx="60">
                  <c:v>-9.1439951692522392</c:v>
                </c:pt>
                <c:pt idx="61">
                  <c:v>-9.6439951692519621</c:v>
                </c:pt>
                <c:pt idx="62">
                  <c:v>-9.6439951692519621</c:v>
                </c:pt>
                <c:pt idx="64">
                  <c:v>-9.6224333995786893</c:v>
                </c:pt>
                <c:pt idx="66">
                  <c:v>-10.24399516925234</c:v>
                </c:pt>
                <c:pt idx="67">
                  <c:v>-9.8439951692519401</c:v>
                </c:pt>
                <c:pt idx="68">
                  <c:v>-9.2439951692520061</c:v>
                </c:pt>
                <c:pt idx="69">
                  <c:v>-10.154011048507439</c:v>
                </c:pt>
                <c:pt idx="70">
                  <c:v>-10.468164062065188</c:v>
                </c:pt>
                <c:pt idx="71">
                  <c:v>-9.0965282646240375</c:v>
                </c:pt>
                <c:pt idx="72">
                  <c:v>-9.918289845291639</c:v>
                </c:pt>
                <c:pt idx="73">
                  <c:v>-9.9060923444342919</c:v>
                </c:pt>
                <c:pt idx="74">
                  <c:v>-9.7731978548347698</c:v>
                </c:pt>
                <c:pt idx="75">
                  <c:v>-9.0904294086744386</c:v>
                </c:pt>
                <c:pt idx="76">
                  <c:v>-9.5135079918082788</c:v>
                </c:pt>
                <c:pt idx="77">
                  <c:v>-9.7670992098985998</c:v>
                </c:pt>
                <c:pt idx="78">
                  <c:v>-10.594959646506474</c:v>
                </c:pt>
                <c:pt idx="81">
                  <c:v>-9.8816970824548989</c:v>
                </c:pt>
                <c:pt idx="83">
                  <c:v>-9.8816970824548989</c:v>
                </c:pt>
                <c:pt idx="85">
                  <c:v>-11.781697082454912</c:v>
                </c:pt>
                <c:pt idx="86">
                  <c:v>-13.07093149668237</c:v>
                </c:pt>
                <c:pt idx="87">
                  <c:v>-12.871803218076572</c:v>
                </c:pt>
                <c:pt idx="88">
                  <c:v>-13.216023487136574</c:v>
                </c:pt>
                <c:pt idx="89">
                  <c:v>-14.08169708245488</c:v>
                </c:pt>
                <c:pt idx="90">
                  <c:v>-13.524077595545858</c:v>
                </c:pt>
                <c:pt idx="91">
                  <c:v>-11.844387851511318</c:v>
                </c:pt>
                <c:pt idx="93">
                  <c:v>-14.309672853719313</c:v>
                </c:pt>
                <c:pt idx="94">
                  <c:v>-13.506207629855105</c:v>
                </c:pt>
                <c:pt idx="95">
                  <c:v>-12.865704362126973</c:v>
                </c:pt>
                <c:pt idx="99">
                  <c:v>-12.762877599273192</c:v>
                </c:pt>
                <c:pt idx="100">
                  <c:v>-13.475713511967857</c:v>
                </c:pt>
                <c:pt idx="101">
                  <c:v>-13.300553843959229</c:v>
                </c:pt>
                <c:pt idx="102">
                  <c:v>-12.817340278584499</c:v>
                </c:pt>
                <c:pt idx="105">
                  <c:v>-12.787272812046613</c:v>
                </c:pt>
                <c:pt idx="106">
                  <c:v>-12.714513515722725</c:v>
                </c:pt>
                <c:pt idx="107">
                  <c:v>-12.636081965634816</c:v>
                </c:pt>
                <c:pt idx="108">
                  <c:v>-12.99249994658247</c:v>
                </c:pt>
                <c:pt idx="109">
                  <c:v>-12.726711016591175</c:v>
                </c:pt>
                <c:pt idx="110">
                  <c:v>-16.272594842042132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Déplacements!$L$9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-4.2265227627513724E-2</c:v>
                </c:pt>
                <c:pt idx="2">
                  <c:v>0.32635025419036623</c:v>
                </c:pt>
                <c:pt idx="3">
                  <c:v>0.41697951616148643</c:v>
                </c:pt>
                <c:pt idx="4">
                  <c:v>1.6979860516217471</c:v>
                </c:pt>
                <c:pt idx="5">
                  <c:v>3.8966293415709785</c:v>
                </c:pt>
                <c:pt idx="6">
                  <c:v>4.4168627160972029</c:v>
                </c:pt>
                <c:pt idx="7">
                  <c:v>3.5715577160972956</c:v>
                </c:pt>
                <c:pt idx="8">
                  <c:v>4.4778497160971042</c:v>
                </c:pt>
                <c:pt idx="9">
                  <c:v>4.2604257160969716</c:v>
                </c:pt>
                <c:pt idx="10">
                  <c:v>3.7105517160971324</c:v>
                </c:pt>
                <c:pt idx="11">
                  <c:v>4.4778501983011587</c:v>
                </c:pt>
                <c:pt idx="12">
                  <c:v>5.6377334030832671</c:v>
                </c:pt>
                <c:pt idx="13">
                  <c:v>6.3623407160973144</c:v>
                </c:pt>
                <c:pt idx="14">
                  <c:v>6.5675678202588017</c:v>
                </c:pt>
                <c:pt idx="15">
                  <c:v>8.0777703610843687</c:v>
                </c:pt>
                <c:pt idx="16">
                  <c:v>6.1810821617633849</c:v>
                </c:pt>
                <c:pt idx="17">
                  <c:v>8.9178282985451496</c:v>
                </c:pt>
                <c:pt idx="18">
                  <c:v>7.6189517160969444</c:v>
                </c:pt>
                <c:pt idx="19">
                  <c:v>8.7426688415344067</c:v>
                </c:pt>
                <c:pt idx="20">
                  <c:v>8.7426688415344067</c:v>
                </c:pt>
                <c:pt idx="21">
                  <c:v>9.3827457160968741</c:v>
                </c:pt>
                <c:pt idx="22">
                  <c:v>8.5797067160973128</c:v>
                </c:pt>
                <c:pt idx="25">
                  <c:v>8.5000867160971438</c:v>
                </c:pt>
                <c:pt idx="26">
                  <c:v>9.5000867160970337</c:v>
                </c:pt>
                <c:pt idx="27">
                  <c:v>9.8000867160972227</c:v>
                </c:pt>
                <c:pt idx="28">
                  <c:v>9.6000867160972447</c:v>
                </c:pt>
                <c:pt idx="29">
                  <c:v>9.7000867160970117</c:v>
                </c:pt>
                <c:pt idx="30">
                  <c:v>10.600086716097135</c:v>
                </c:pt>
                <c:pt idx="31">
                  <c:v>10.400086716097157</c:v>
                </c:pt>
                <c:pt idx="32">
                  <c:v>10.100086716096968</c:v>
                </c:pt>
                <c:pt idx="34">
                  <c:v>10.000086716097201</c:v>
                </c:pt>
                <c:pt idx="35">
                  <c:v>10.200086716097179</c:v>
                </c:pt>
                <c:pt idx="36">
                  <c:v>10.90008671609688</c:v>
                </c:pt>
                <c:pt idx="37">
                  <c:v>10.700086716096902</c:v>
                </c:pt>
                <c:pt idx="38">
                  <c:v>10.29941567906123</c:v>
                </c:pt>
                <c:pt idx="39">
                  <c:v>10.801870755309917</c:v>
                </c:pt>
                <c:pt idx="40">
                  <c:v>10.283365240020714</c:v>
                </c:pt>
                <c:pt idx="42">
                  <c:v>10.65198093284847</c:v>
                </c:pt>
                <c:pt idx="43">
                  <c:v>11.000086716097091</c:v>
                </c:pt>
                <c:pt idx="44">
                  <c:v>10.694246160486198</c:v>
                </c:pt>
                <c:pt idx="45">
                  <c:v>11.002300057843417</c:v>
                </c:pt>
                <c:pt idx="46">
                  <c:v>10.600086716097135</c:v>
                </c:pt>
                <c:pt idx="47">
                  <c:v>11.100086716097302</c:v>
                </c:pt>
                <c:pt idx="48">
                  <c:v>11.500086716097258</c:v>
                </c:pt>
                <c:pt idx="49">
                  <c:v>11.30008671609728</c:v>
                </c:pt>
                <c:pt idx="50">
                  <c:v>11.400086716097046</c:v>
                </c:pt>
                <c:pt idx="51">
                  <c:v>10.90008671609688</c:v>
                </c:pt>
                <c:pt idx="54">
                  <c:v>11.400086716097046</c:v>
                </c:pt>
                <c:pt idx="55">
                  <c:v>11.700086716097235</c:v>
                </c:pt>
                <c:pt idx="56">
                  <c:v>11.30008671609728</c:v>
                </c:pt>
                <c:pt idx="58">
                  <c:v>11.400086716097046</c:v>
                </c:pt>
                <c:pt idx="59">
                  <c:v>11.500086716097258</c:v>
                </c:pt>
                <c:pt idx="60">
                  <c:v>12.100086716097191</c:v>
                </c:pt>
                <c:pt idx="61">
                  <c:v>11.700086716097235</c:v>
                </c:pt>
                <c:pt idx="62">
                  <c:v>11.700086716097235</c:v>
                </c:pt>
                <c:pt idx="64">
                  <c:v>11.12952208263307</c:v>
                </c:pt>
                <c:pt idx="81">
                  <c:v>13.739472585759582</c:v>
                </c:pt>
                <c:pt idx="83">
                  <c:v>13.739472585759582</c:v>
                </c:pt>
                <c:pt idx="85">
                  <c:v>12.139472585759314</c:v>
                </c:pt>
                <c:pt idx="86">
                  <c:v>12.106803677785383</c:v>
                </c:pt>
                <c:pt idx="87">
                  <c:v>10.529940696600626</c:v>
                </c:pt>
                <c:pt idx="88">
                  <c:v>10.282448334424377</c:v>
                </c:pt>
                <c:pt idx="89">
                  <c:v>10.239472585759302</c:v>
                </c:pt>
                <c:pt idx="90">
                  <c:v>10.596601136970918</c:v>
                </c:pt>
                <c:pt idx="91">
                  <c:v>12.499388192196204</c:v>
                </c:pt>
                <c:pt idx="92">
                  <c:v>12.276290831755521</c:v>
                </c:pt>
                <c:pt idx="94">
                  <c:v>11.248875725412333</c:v>
                </c:pt>
                <c:pt idx="95">
                  <c:v>12.378691252660889</c:v>
                </c:pt>
                <c:pt idx="96">
                  <c:v>12.414857786162248</c:v>
                </c:pt>
                <c:pt idx="97">
                  <c:v>13.230520510896682</c:v>
                </c:pt>
                <c:pt idx="98">
                  <c:v>13.139891248921565</c:v>
                </c:pt>
                <c:pt idx="99">
                  <c:v>13.200453044372562</c:v>
                </c:pt>
                <c:pt idx="100">
                  <c:v>13.381711357287607</c:v>
                </c:pt>
                <c:pt idx="101">
                  <c:v>13.508506941738663</c:v>
                </c:pt>
                <c:pt idx="102">
                  <c:v>13.375612501357104</c:v>
                </c:pt>
                <c:pt idx="103">
                  <c:v>12.95253408003294</c:v>
                </c:pt>
                <c:pt idx="104">
                  <c:v>13.877122634565975</c:v>
                </c:pt>
                <c:pt idx="105">
                  <c:v>13.593037347761072</c:v>
                </c:pt>
                <c:pt idx="106">
                  <c:v>14.245738116375417</c:v>
                </c:pt>
                <c:pt idx="107">
                  <c:v>14.511527046359163</c:v>
                </c:pt>
                <c:pt idx="108">
                  <c:v>13.919387862175725</c:v>
                </c:pt>
                <c:pt idx="109">
                  <c:v>14.263608082025758</c:v>
                </c:pt>
                <c:pt idx="110">
                  <c:v>18.782870936694174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Déplacements!$T$9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Déplacements!$T$10:$T$200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4.8364034366699116E-2</c:v>
                </c:pt>
                <c:pt idx="2">
                  <c:v>4.8364034366699116E-2</c:v>
                </c:pt>
                <c:pt idx="3">
                  <c:v>9.6728117925160007E-2</c:v>
                </c:pt>
                <c:pt idx="4">
                  <c:v>0.14509215226343741</c:v>
                </c:pt>
                <c:pt idx="5">
                  <c:v>-1.0152176546980307</c:v>
                </c:pt>
                <c:pt idx="6">
                  <c:v>-2.5127959486628271</c:v>
                </c:pt>
                <c:pt idx="7">
                  <c:v>-3.8417399486627701</c:v>
                </c:pt>
                <c:pt idx="8">
                  <c:v>-3.8417399486627701</c:v>
                </c:pt>
                <c:pt idx="9">
                  <c:v>-4.6269089486625781</c:v>
                </c:pt>
                <c:pt idx="10">
                  <c:v>-4.6391069486628744</c:v>
                </c:pt>
                <c:pt idx="11">
                  <c:v>-5.1706842387950758</c:v>
                </c:pt>
                <c:pt idx="12">
                  <c:v>-4.1798616350749995</c:v>
                </c:pt>
                <c:pt idx="13">
                  <c:v>-4.246521948662707</c:v>
                </c:pt>
                <c:pt idx="14">
                  <c:v>-4.6452052347962791</c:v>
                </c:pt>
                <c:pt idx="15">
                  <c:v>-4.2286521097625318</c:v>
                </c:pt>
                <c:pt idx="16">
                  <c:v>-6.1798029883406436</c:v>
                </c:pt>
                <c:pt idx="17">
                  <c:v>-3.4670256731721416</c:v>
                </c:pt>
                <c:pt idx="18">
                  <c:v>-5.4970349486627157</c:v>
                </c:pt>
                <c:pt idx="19">
                  <c:v>-4.8987964528954819</c:v>
                </c:pt>
                <c:pt idx="20">
                  <c:v>-4.8987964528954819</c:v>
                </c:pt>
                <c:pt idx="21">
                  <c:v>-4.621236948662677</c:v>
                </c:pt>
                <c:pt idx="22">
                  <c:v>-5.1706839486627132</c:v>
                </c:pt>
                <c:pt idx="23">
                  <c:v>-3.1768419486626343</c:v>
                </c:pt>
                <c:pt idx="24">
                  <c:v>-7.0805659486627981</c:v>
                </c:pt>
                <c:pt idx="25">
                  <c:v>-6.5805659486626311</c:v>
                </c:pt>
                <c:pt idx="26">
                  <c:v>-5.1805659486627853</c:v>
                </c:pt>
                <c:pt idx="27">
                  <c:v>-5.2805659486629963</c:v>
                </c:pt>
                <c:pt idx="28">
                  <c:v>-5.3805659486627633</c:v>
                </c:pt>
                <c:pt idx="29">
                  <c:v>-5.3805659486627633</c:v>
                </c:pt>
                <c:pt idx="30">
                  <c:v>-5.1805659486627853</c:v>
                </c:pt>
                <c:pt idx="31">
                  <c:v>-5.6805659486629523</c:v>
                </c:pt>
                <c:pt idx="32">
                  <c:v>-5.9805659486626972</c:v>
                </c:pt>
                <c:pt idx="33">
                  <c:v>-3.9805659486629175</c:v>
                </c:pt>
                <c:pt idx="34">
                  <c:v>-5.6805659486629523</c:v>
                </c:pt>
                <c:pt idx="35">
                  <c:v>-5.7805659486627192</c:v>
                </c:pt>
                <c:pt idx="36">
                  <c:v>-5.6805659486629523</c:v>
                </c:pt>
                <c:pt idx="37">
                  <c:v>-5.6805659486629523</c:v>
                </c:pt>
                <c:pt idx="38">
                  <c:v>-6.5268598872392225</c:v>
                </c:pt>
                <c:pt idx="39">
                  <c:v>-6.981093286897444</c:v>
                </c:pt>
                <c:pt idx="40">
                  <c:v>-6.7776146865337061</c:v>
                </c:pt>
                <c:pt idx="41">
                  <c:v>-6.1554077755729963</c:v>
                </c:pt>
                <c:pt idx="42">
                  <c:v>-6.6869854245372728</c:v>
                </c:pt>
                <c:pt idx="43">
                  <c:v>-6.3805659486626531</c:v>
                </c:pt>
                <c:pt idx="44">
                  <c:v>-6.6447201969461744</c:v>
                </c:pt>
                <c:pt idx="45">
                  <c:v>-6.282203360022276</c:v>
                </c:pt>
                <c:pt idx="46">
                  <c:v>-6.5805659486626311</c:v>
                </c:pt>
                <c:pt idx="47">
                  <c:v>-6.3805659486626531</c:v>
                </c:pt>
                <c:pt idx="48">
                  <c:v>-6.2805659486628862</c:v>
                </c:pt>
                <c:pt idx="49">
                  <c:v>-6.3805659486626531</c:v>
                </c:pt>
                <c:pt idx="50">
                  <c:v>-6.4805659486628642</c:v>
                </c:pt>
                <c:pt idx="51">
                  <c:v>-7.0805659486627981</c:v>
                </c:pt>
                <c:pt idx="52">
                  <c:v>-5.9805659486626972</c:v>
                </c:pt>
                <c:pt idx="53">
                  <c:v>-6.3805659486626531</c:v>
                </c:pt>
                <c:pt idx="54">
                  <c:v>-6.5805659486626311</c:v>
                </c:pt>
                <c:pt idx="55">
                  <c:v>-6.3805659486626531</c:v>
                </c:pt>
                <c:pt idx="56">
                  <c:v>-6.7805659486626091</c:v>
                </c:pt>
                <c:pt idx="57">
                  <c:v>-5.5805659486627412</c:v>
                </c:pt>
                <c:pt idx="58">
                  <c:v>-6.6805659486628421</c:v>
                </c:pt>
                <c:pt idx="59">
                  <c:v>-6.6805659486628421</c:v>
                </c:pt>
                <c:pt idx="60">
                  <c:v>-6.6805659486628421</c:v>
                </c:pt>
                <c:pt idx="61">
                  <c:v>-7.0805659486627981</c:v>
                </c:pt>
                <c:pt idx="62">
                  <c:v>-7.0805659486627981</c:v>
                </c:pt>
                <c:pt idx="63">
                  <c:v>-7.3805659486629871</c:v>
                </c:pt>
                <c:pt idx="64">
                  <c:v>-7.3514575138786675</c:v>
                </c:pt>
                <c:pt idx="65">
                  <c:v>-6.5805659486626311</c:v>
                </c:pt>
                <c:pt idx="66">
                  <c:v>-7.5805659486629651</c:v>
                </c:pt>
                <c:pt idx="67">
                  <c:v>-7.0805659486627981</c:v>
                </c:pt>
                <c:pt idx="68">
                  <c:v>-6.8805659486628201</c:v>
                </c:pt>
                <c:pt idx="69">
                  <c:v>-7.4059202423755188</c:v>
                </c:pt>
                <c:pt idx="70">
                  <c:v>-8.0703923317009263</c:v>
                </c:pt>
                <c:pt idx="71">
                  <c:v>-6.5296957221985252</c:v>
                </c:pt>
                <c:pt idx="72">
                  <c:v>-7.5327158268079231</c:v>
                </c:pt>
                <c:pt idx="73">
                  <c:v>-7.4782531475188208</c:v>
                </c:pt>
                <c:pt idx="74">
                  <c:v>-7.4359879199281664</c:v>
                </c:pt>
                <c:pt idx="75">
                  <c:v>-6.8438487357354028</c:v>
                </c:pt>
                <c:pt idx="76">
                  <c:v>-7.2608282519066591</c:v>
                </c:pt>
                <c:pt idx="77">
                  <c:v>-7.3815249804289884</c:v>
                </c:pt>
                <c:pt idx="78">
                  <c:v>-8.1309539161202871</c:v>
                </c:pt>
                <c:pt idx="81">
                  <c:v>-7.7863070449244454</c:v>
                </c:pt>
                <c:pt idx="83">
                  <c:v>-7.7863070449244454</c:v>
                </c:pt>
                <c:pt idx="85">
                  <c:v>-9.8863070449244361</c:v>
                </c:pt>
                <c:pt idx="86">
                  <c:v>-11.227239537808131</c:v>
                </c:pt>
                <c:pt idx="87">
                  <c:v>-11.299998623095941</c:v>
                </c:pt>
                <c:pt idx="88">
                  <c:v>-11.257733395507064</c:v>
                </c:pt>
                <c:pt idx="89">
                  <c:v>-11.88630704492466</c:v>
                </c:pt>
                <c:pt idx="90">
                  <c:v>-11.517423469526111</c:v>
                </c:pt>
                <c:pt idx="91">
                  <c:v>-11.456861885119185</c:v>
                </c:pt>
                <c:pt idx="92">
                  <c:v>-11.100870295306819</c:v>
                </c:pt>
                <c:pt idx="93">
                  <c:v>-12.248555999264887</c:v>
                </c:pt>
                <c:pt idx="94">
                  <c:v>-11.723077206216903</c:v>
                </c:pt>
                <c:pt idx="95">
                  <c:v>-10.683890779142224</c:v>
                </c:pt>
                <c:pt idx="96">
                  <c:v>-10.949679498138742</c:v>
                </c:pt>
                <c:pt idx="97">
                  <c:v>-9.8743266993661649</c:v>
                </c:pt>
                <c:pt idx="98">
                  <c:v>-9.8804253442841272</c:v>
                </c:pt>
                <c:pt idx="99">
                  <c:v>-10.176281740784887</c:v>
                </c:pt>
                <c:pt idx="100">
                  <c:v>-11.070376226609557</c:v>
                </c:pt>
                <c:pt idx="101">
                  <c:v>-10.810686363609268</c:v>
                </c:pt>
                <c:pt idx="102">
                  <c:v>-10.496533399255714</c:v>
                </c:pt>
                <c:pt idx="103">
                  <c:v>-10.73835345844687</c:v>
                </c:pt>
                <c:pt idx="104">
                  <c:v>-10.810686363609268</c:v>
                </c:pt>
                <c:pt idx="105">
                  <c:v>-10.73835345844687</c:v>
                </c:pt>
                <c:pt idx="106">
                  <c:v>-10.309176230399064</c:v>
                </c:pt>
                <c:pt idx="107">
                  <c:v>-10.224645824349121</c:v>
                </c:pt>
                <c:pt idx="108">
                  <c:v>-10.532699932740641</c:v>
                </c:pt>
                <c:pt idx="109">
                  <c:v>-10.327472587209119</c:v>
                </c:pt>
                <c:pt idx="110">
                  <c:v>-12.339185261235119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Déplacements!$H$9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Déplacements!$H$10:$H$200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0.13899313453080708</c:v>
                </c:pt>
                <c:pt idx="2">
                  <c:v>-0.22962255831515677</c:v>
                </c:pt>
                <c:pt idx="3">
                  <c:v>-0.18735737987363166</c:v>
                </c:pt>
                <c:pt idx="4">
                  <c:v>0.90019313076705743</c:v>
                </c:pt>
                <c:pt idx="5">
                  <c:v>3.9205981631855735</c:v>
                </c:pt>
                <c:pt idx="6">
                  <c:v>4.5253615858849017</c:v>
                </c:pt>
                <c:pt idx="7">
                  <c:v>4.1027095858847673</c:v>
                </c:pt>
                <c:pt idx="8">
                  <c:v>3.6800575858846329</c:v>
                </c:pt>
                <c:pt idx="9">
                  <c:v>4.320560585885147</c:v>
                </c:pt>
                <c:pt idx="10">
                  <c:v>3.4866015858847632</c:v>
                </c:pt>
                <c:pt idx="11">
                  <c:v>4.5863494751445799</c:v>
                </c:pt>
                <c:pt idx="12">
                  <c:v>4.9667362776917301</c:v>
                </c:pt>
                <c:pt idx="13">
                  <c:v>6.4586425858852436</c:v>
                </c:pt>
                <c:pt idx="14">
                  <c:v>6.482611072295974</c:v>
                </c:pt>
                <c:pt idx="15">
                  <c:v>7.2316135676526727</c:v>
                </c:pt>
                <c:pt idx="16">
                  <c:v>6.6037341919464865</c:v>
                </c:pt>
                <c:pt idx="17">
                  <c:v>8.6093480100144504</c:v>
                </c:pt>
                <c:pt idx="18">
                  <c:v>7.5339955858853003</c:v>
                </c:pt>
                <c:pt idx="19">
                  <c:v>8.2951952567018594</c:v>
                </c:pt>
                <c:pt idx="20">
                  <c:v>8.2951952567018594</c:v>
                </c:pt>
                <c:pt idx="21">
                  <c:v>9.4306835858848359</c:v>
                </c:pt>
                <c:pt idx="22">
                  <c:v>8.6999775858851436</c:v>
                </c:pt>
                <c:pt idx="23">
                  <c:v>10.596665585884679</c:v>
                </c:pt>
                <c:pt idx="24">
                  <c:v>8.3591535858849042</c:v>
                </c:pt>
                <c:pt idx="25">
                  <c:v>8.3591535858849042</c:v>
                </c:pt>
                <c:pt idx="26">
                  <c:v>9.3591535858852382</c:v>
                </c:pt>
                <c:pt idx="27">
                  <c:v>9.3591535858852382</c:v>
                </c:pt>
                <c:pt idx="28">
                  <c:v>9.3591535858852382</c:v>
                </c:pt>
                <c:pt idx="29">
                  <c:v>9.3591535858852382</c:v>
                </c:pt>
                <c:pt idx="30">
                  <c:v>10.259153585884917</c:v>
                </c:pt>
                <c:pt idx="31">
                  <c:v>10.259153585884917</c:v>
                </c:pt>
                <c:pt idx="32">
                  <c:v>9.859153585884961</c:v>
                </c:pt>
                <c:pt idx="33">
                  <c:v>11.459153585884785</c:v>
                </c:pt>
                <c:pt idx="34">
                  <c:v>9.3591535858852382</c:v>
                </c:pt>
                <c:pt idx="35">
                  <c:v>10.059153585884495</c:v>
                </c:pt>
                <c:pt idx="36">
                  <c:v>10.359153585884684</c:v>
                </c:pt>
                <c:pt idx="37">
                  <c:v>10.359153585884684</c:v>
                </c:pt>
                <c:pt idx="38">
                  <c:v>10.666517307095447</c:v>
                </c:pt>
                <c:pt idx="39">
                  <c:v>10.131748262716123</c:v>
                </c:pt>
                <c:pt idx="40">
                  <c:v>9.8720579776561124</c:v>
                </c:pt>
                <c:pt idx="41">
                  <c:v>11.031941393474298</c:v>
                </c:pt>
                <c:pt idx="42">
                  <c:v>10.421931983422894</c:v>
                </c:pt>
                <c:pt idx="43">
                  <c:v>10.75915358588464</c:v>
                </c:pt>
                <c:pt idx="44">
                  <c:v>10.143945763589457</c:v>
                </c:pt>
                <c:pt idx="45">
                  <c:v>10.856781725459896</c:v>
                </c:pt>
                <c:pt idx="46">
                  <c:v>10.859153585885295</c:v>
                </c:pt>
                <c:pt idx="47">
                  <c:v>10.75915358588464</c:v>
                </c:pt>
                <c:pt idx="48">
                  <c:v>11.059153585884829</c:v>
                </c:pt>
                <c:pt idx="49">
                  <c:v>10.75915358588464</c:v>
                </c:pt>
                <c:pt idx="50">
                  <c:v>11.259153585885251</c:v>
                </c:pt>
                <c:pt idx="51">
                  <c:v>10.659153585884873</c:v>
                </c:pt>
                <c:pt idx="52">
                  <c:v>11.759153585884974</c:v>
                </c:pt>
                <c:pt idx="53">
                  <c:v>10.859153585885295</c:v>
                </c:pt>
                <c:pt idx="54">
                  <c:v>11.159153585884596</c:v>
                </c:pt>
                <c:pt idx="55">
                  <c:v>11.159153585884596</c:v>
                </c:pt>
                <c:pt idx="56">
                  <c:v>10.75915358588464</c:v>
                </c:pt>
                <c:pt idx="57">
                  <c:v>12.059153585885163</c:v>
                </c:pt>
                <c:pt idx="58">
                  <c:v>10.959153585885062</c:v>
                </c:pt>
                <c:pt idx="59">
                  <c:v>11.359153585885018</c:v>
                </c:pt>
                <c:pt idx="60">
                  <c:v>11.259153585885251</c:v>
                </c:pt>
                <c:pt idx="61">
                  <c:v>11.159153585884596</c:v>
                </c:pt>
                <c:pt idx="62">
                  <c:v>11.459153585884785</c:v>
                </c:pt>
                <c:pt idx="63">
                  <c:v>11.359153585885018</c:v>
                </c:pt>
                <c:pt idx="64">
                  <c:v>10.893374439064907</c:v>
                </c:pt>
                <c:pt idx="65">
                  <c:v>11.859153585884741</c:v>
                </c:pt>
                <c:pt idx="66">
                  <c:v>11.459153585884785</c:v>
                </c:pt>
                <c:pt idx="67">
                  <c:v>12.15915358588493</c:v>
                </c:pt>
                <c:pt idx="68">
                  <c:v>11.859153585884741</c:v>
                </c:pt>
                <c:pt idx="69">
                  <c:v>12.777864926487581</c:v>
                </c:pt>
                <c:pt idx="70">
                  <c:v>11.733006196415374</c:v>
                </c:pt>
                <c:pt idx="71">
                  <c:v>13.152579475264048</c:v>
                </c:pt>
                <c:pt idx="72">
                  <c:v>12.572637791946839</c:v>
                </c:pt>
                <c:pt idx="73">
                  <c:v>12.173954583386326</c:v>
                </c:pt>
                <c:pt idx="74">
                  <c:v>12.880691900344132</c:v>
                </c:pt>
                <c:pt idx="75">
                  <c:v>13.654089446647255</c:v>
                </c:pt>
                <c:pt idx="76">
                  <c:v>13.055851357348658</c:v>
                </c:pt>
                <c:pt idx="77">
                  <c:v>13.116412941742261</c:v>
                </c:pt>
                <c:pt idx="78">
                  <c:v>13.720323446666072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strRef>
              <c:f>Déplacements!$X$9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Déplacements!$X$10:$X$200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-0.25969007404835764</c:v>
                </c:pt>
                <c:pt idx="2">
                  <c:v>-0.12679563364770274</c:v>
                </c:pt>
                <c:pt idx="3">
                  <c:v>0.31415275330726189</c:v>
                </c:pt>
                <c:pt idx="4">
                  <c:v>-0.63397802064457665</c:v>
                </c:pt>
                <c:pt idx="5">
                  <c:v>-2.6644132808453236</c:v>
                </c:pt>
                <c:pt idx="6">
                  <c:v>-4.1981584299932706</c:v>
                </c:pt>
                <c:pt idx="7">
                  <c:v>-5.5271024299932137</c:v>
                </c:pt>
                <c:pt idx="8">
                  <c:v>-4.620810429993405</c:v>
                </c:pt>
                <c:pt idx="9">
                  <c:v>-5.9680504299928216</c:v>
                </c:pt>
                <c:pt idx="10">
                  <c:v>-5.9318844299927065</c:v>
                </c:pt>
                <c:pt idx="11">
                  <c:v>-6.4333942064482841</c:v>
                </c:pt>
                <c:pt idx="12">
                  <c:v>-5.6961630318159706</c:v>
                </c:pt>
                <c:pt idx="13">
                  <c:v>-6.0347114299927895</c:v>
                </c:pt>
                <c:pt idx="14">
                  <c:v>-6.3427651555079123</c:v>
                </c:pt>
                <c:pt idx="15">
                  <c:v>-6.5423198252503312</c:v>
                </c:pt>
                <c:pt idx="16">
                  <c:v>-7.9257267323900038</c:v>
                </c:pt>
                <c:pt idx="17">
                  <c:v>-5.2007519163703719</c:v>
                </c:pt>
                <c:pt idx="18">
                  <c:v>-7.103965429992698</c:v>
                </c:pt>
                <c:pt idx="19">
                  <c:v>-6.5418934340835122</c:v>
                </c:pt>
                <c:pt idx="20">
                  <c:v>-6.5418934340835122</c:v>
                </c:pt>
                <c:pt idx="21">
                  <c:v>-6.2643334299927744</c:v>
                </c:pt>
                <c:pt idx="22">
                  <c:v>-6.7231524299931067</c:v>
                </c:pt>
                <c:pt idx="23">
                  <c:v>-5.0373634299933912</c:v>
                </c:pt>
                <c:pt idx="24">
                  <c:v>-8.5098044299929398</c:v>
                </c:pt>
                <c:pt idx="25">
                  <c:v>-8.1098044299929839</c:v>
                </c:pt>
                <c:pt idx="26">
                  <c:v>-6.6098044299929271</c:v>
                </c:pt>
                <c:pt idx="27">
                  <c:v>-6.8098044299933491</c:v>
                </c:pt>
                <c:pt idx="28">
                  <c:v>-6.9098044299931161</c:v>
                </c:pt>
                <c:pt idx="29">
                  <c:v>-6.709804429992694</c:v>
                </c:pt>
                <c:pt idx="30">
                  <c:v>-6.709804429992694</c:v>
                </c:pt>
                <c:pt idx="31">
                  <c:v>-7.009804429992883</c:v>
                </c:pt>
                <c:pt idx="32">
                  <c:v>-7.4098044299928389</c:v>
                </c:pt>
                <c:pt idx="33">
                  <c:v>-5.8098044299930152</c:v>
                </c:pt>
                <c:pt idx="34">
                  <c:v>-7.2098044299933051</c:v>
                </c:pt>
                <c:pt idx="35">
                  <c:v>-7.309804429993072</c:v>
                </c:pt>
                <c:pt idx="36">
                  <c:v>-7.1098044299935381</c:v>
                </c:pt>
                <c:pt idx="37">
                  <c:v>-7.009804429992883</c:v>
                </c:pt>
                <c:pt idx="38">
                  <c:v>-7.9473782709253982</c:v>
                </c:pt>
                <c:pt idx="39">
                  <c:v>-8.0452650549771576</c:v>
                </c:pt>
                <c:pt idx="40">
                  <c:v>-8.0581948308653395</c:v>
                </c:pt>
                <c:pt idx="41">
                  <c:v>-7.5205183259585695</c:v>
                </c:pt>
                <c:pt idx="42">
                  <c:v>-7.919201485333538</c:v>
                </c:pt>
                <c:pt idx="43">
                  <c:v>-7.609804429993261</c:v>
                </c:pt>
                <c:pt idx="44">
                  <c:v>-8.0098307473095431</c:v>
                </c:pt>
                <c:pt idx="45">
                  <c:v>-7.5144194700182965</c:v>
                </c:pt>
                <c:pt idx="46">
                  <c:v>-7.90980442999345</c:v>
                </c:pt>
                <c:pt idx="47">
                  <c:v>-7.8098044299927949</c:v>
                </c:pt>
                <c:pt idx="48">
                  <c:v>-7.609804429993261</c:v>
                </c:pt>
                <c:pt idx="49">
                  <c:v>-7.609804429993261</c:v>
                </c:pt>
                <c:pt idx="50">
                  <c:v>-7.90980442999345</c:v>
                </c:pt>
                <c:pt idx="51">
                  <c:v>-8.2098044299927508</c:v>
                </c:pt>
                <c:pt idx="52">
                  <c:v>-7.2098044299933051</c:v>
                </c:pt>
                <c:pt idx="53">
                  <c:v>-7.5098044299934941</c:v>
                </c:pt>
                <c:pt idx="54">
                  <c:v>-7.8098044299927949</c:v>
                </c:pt>
                <c:pt idx="55">
                  <c:v>-7.609804429993261</c:v>
                </c:pt>
                <c:pt idx="56">
                  <c:v>-8.009804429993217</c:v>
                </c:pt>
                <c:pt idx="57">
                  <c:v>-7.309804429993072</c:v>
                </c:pt>
                <c:pt idx="58">
                  <c:v>-7.90980442999345</c:v>
                </c:pt>
                <c:pt idx="59">
                  <c:v>-7.8098044299927949</c:v>
                </c:pt>
                <c:pt idx="60">
                  <c:v>-7.709804429993028</c:v>
                </c:pt>
                <c:pt idx="61">
                  <c:v>-8.1098044299929839</c:v>
                </c:pt>
                <c:pt idx="66">
                  <c:v>-8.8098044299931288</c:v>
                </c:pt>
                <c:pt idx="67">
                  <c:v>-8.309804429993406</c:v>
                </c:pt>
                <c:pt idx="68">
                  <c:v>-7.8098044299927949</c:v>
                </c:pt>
                <c:pt idx="69">
                  <c:v>-8.5897724797918684</c:v>
                </c:pt>
                <c:pt idx="70">
                  <c:v>-8.9400915556039351</c:v>
                </c:pt>
                <c:pt idx="71">
                  <c:v>-7.5745546140986164</c:v>
                </c:pt>
                <c:pt idx="72">
                  <c:v>-8.2634219653821006</c:v>
                </c:pt>
                <c:pt idx="73">
                  <c:v>-8.2995882878762473</c:v>
                </c:pt>
                <c:pt idx="74">
                  <c:v>-8.257323109464032</c:v>
                </c:pt>
                <c:pt idx="75">
                  <c:v>-7.4839255631369284</c:v>
                </c:pt>
                <c:pt idx="76">
                  <c:v>-8.0337995688806174</c:v>
                </c:pt>
                <c:pt idx="77">
                  <c:v>-8.021601857013394</c:v>
                </c:pt>
                <c:pt idx="78">
                  <c:v>-8.9461904115308855</c:v>
                </c:pt>
                <c:pt idx="81">
                  <c:v>-8.1906626690662065</c:v>
                </c:pt>
                <c:pt idx="83">
                  <c:v>-8.1906626690662065</c:v>
                </c:pt>
                <c:pt idx="85">
                  <c:v>-10.190662669065986</c:v>
                </c:pt>
                <c:pt idx="86">
                  <c:v>-11.326325502269086</c:v>
                </c:pt>
                <c:pt idx="87">
                  <c:v>-10.87970465049537</c:v>
                </c:pt>
                <c:pt idx="88">
                  <c:v>-11.296257986541214</c:v>
                </c:pt>
                <c:pt idx="89">
                  <c:v>-11.690662669066043</c:v>
                </c:pt>
                <c:pt idx="90">
                  <c:v>-11.66487346833911</c:v>
                </c:pt>
                <c:pt idx="91">
                  <c:v>-11.555947849541504</c:v>
                </c:pt>
                <c:pt idx="92">
                  <c:v>-12.057884423091636</c:v>
                </c:pt>
                <c:pt idx="93">
                  <c:v>-12.69796108868082</c:v>
                </c:pt>
                <c:pt idx="94">
                  <c:v>-11.773799136313379</c:v>
                </c:pt>
                <c:pt idx="95">
                  <c:v>-10.559452992036533</c:v>
                </c:pt>
                <c:pt idx="96">
                  <c:v>-11.35072071501142</c:v>
                </c:pt>
                <c:pt idx="97">
                  <c:v>-10.190837510207551</c:v>
                </c:pt>
                <c:pt idx="98">
                  <c:v>-10.015677842213577</c:v>
                </c:pt>
                <c:pt idx="99">
                  <c:v>-10.806945565198234</c:v>
                </c:pt>
                <c:pt idx="100">
                  <c:v>-11.429152265108655</c:v>
                </c:pt>
                <c:pt idx="101">
                  <c:v>-10.994302734054884</c:v>
                </c:pt>
                <c:pt idx="102">
                  <c:v>-10.7646803867949</c:v>
                </c:pt>
                <c:pt idx="104">
                  <c:v>-11.121098318503719</c:v>
                </c:pt>
                <c:pt idx="105">
                  <c:v>-10.734612660018961</c:v>
                </c:pt>
                <c:pt idx="106">
                  <c:v>-10.269269060305675</c:v>
                </c:pt>
                <c:pt idx="107">
                  <c:v>-10.583421862849107</c:v>
                </c:pt>
                <c:pt idx="108">
                  <c:v>-10.589520718771617</c:v>
                </c:pt>
                <c:pt idx="109">
                  <c:v>-10.945938699715718</c:v>
                </c:pt>
                <c:pt idx="110">
                  <c:v>-13.525395134135643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18928"/>
        <c:axId val="514619320"/>
      </c:scatterChart>
      <c:scatterChart>
        <c:scatterStyle val="lineMarker"/>
        <c:varyColors val="0"/>
        <c:ser>
          <c:idx val="0"/>
          <c:order val="9"/>
          <c:tx>
            <c:v>Avancement du front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20-4E75-937B-B056BACBF73E}"/>
            </c:ext>
          </c:extLst>
        </c:ser>
        <c:ser>
          <c:idx val="14"/>
          <c:order val="10"/>
          <c:tx>
            <c:strRef>
              <c:f>'Graphiques F(date) (100j)'!$AA$75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 (100j)'!$AC$76:$AC$110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 (100j)'!$AD$76:$AD$110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20104"/>
        <c:axId val="514619712"/>
      </c:scatterChart>
      <c:valAx>
        <c:axId val="514618928"/>
        <c:scaling>
          <c:orientation val="minMax"/>
          <c:max val="44926"/>
          <c:min val="442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9320"/>
        <c:crossesAt val="0"/>
        <c:crossBetween val="midCat"/>
        <c:majorUnit val="30"/>
      </c:valAx>
      <c:valAx>
        <c:axId val="514619320"/>
        <c:scaling>
          <c:orientation val="minMax"/>
          <c:max val="3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8928"/>
        <c:crosses val="autoZero"/>
        <c:crossBetween val="midCat"/>
      </c:valAx>
      <c:valAx>
        <c:axId val="514619712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20104"/>
        <c:crosses val="max"/>
        <c:crossBetween val="midCat"/>
      </c:valAx>
      <c:valAx>
        <c:axId val="514620104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461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12838981721081136"/>
          <c:y val="0.63461930760551211"/>
          <c:w val="0.72987939540263658"/>
          <c:h val="9.483775643865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Norme des déplacements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Déplacements!$F$9</c:f>
              <c:strCache>
                <c:ptCount val="1"/>
                <c:pt idx="0">
                  <c:v>Norme BG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0.9486833119284207</c:v>
                </c:pt>
                <c:pt idx="2">
                  <c:v>0.33166251700916594</c:v>
                </c:pt>
                <c:pt idx="3">
                  <c:v>0.7681145348294367</c:v>
                </c:pt>
                <c:pt idx="4">
                  <c:v>2.9068883345961711</c:v>
                </c:pt>
                <c:pt idx="5">
                  <c:v>4.6733285359087144</c:v>
                </c:pt>
                <c:pt idx="6">
                  <c:v>6.9749476570529341</c:v>
                </c:pt>
                <c:pt idx="7">
                  <c:v>6.1685011462311552</c:v>
                </c:pt>
                <c:pt idx="8">
                  <c:v>7.1309167813327363</c:v>
                </c:pt>
                <c:pt idx="9">
                  <c:v>7.1847174466169985</c:v>
                </c:pt>
                <c:pt idx="10">
                  <c:v>5.9363595017444828</c:v>
                </c:pt>
                <c:pt idx="11">
                  <c:v>7.1309185094443341</c:v>
                </c:pt>
                <c:pt idx="12">
                  <c:v>9.1972822056638197</c:v>
                </c:pt>
                <c:pt idx="13">
                  <c:v>8.7212256573794136</c:v>
                </c:pt>
                <c:pt idx="14">
                  <c:v>9.3043001155975986</c:v>
                </c:pt>
                <c:pt idx="15">
                  <c:v>9.7149370103407193</c:v>
                </c:pt>
                <c:pt idx="16">
                  <c:v>8.6284413994543261</c:v>
                </c:pt>
                <c:pt idx="17">
                  <c:v>11.115304769429974</c:v>
                </c:pt>
                <c:pt idx="18">
                  <c:v>10.208812413495741</c:v>
                </c:pt>
                <c:pt idx="19">
                  <c:v>11.104503593729309</c:v>
                </c:pt>
                <c:pt idx="20">
                  <c:v>11.102252026645164</c:v>
                </c:pt>
                <c:pt idx="21">
                  <c:v>11.315472304856414</c:v>
                </c:pt>
                <c:pt idx="22">
                  <c:v>11.203561749529507</c:v>
                </c:pt>
                <c:pt idx="23">
                  <c:v>12.61506111312722</c:v>
                </c:pt>
                <c:pt idx="24">
                  <c:v>10.424567164097894</c:v>
                </c:pt>
                <c:pt idx="25">
                  <c:v>10.812920236398124</c:v>
                </c:pt>
                <c:pt idx="26">
                  <c:v>12.021638778014582</c:v>
                </c:pt>
                <c:pt idx="27">
                  <c:v>11.861926536463011</c:v>
                </c:pt>
                <c:pt idx="28">
                  <c:v>11.850194159062749</c:v>
                </c:pt>
                <c:pt idx="29">
                  <c:v>12.20632199566986</c:v>
                </c:pt>
                <c:pt idx="30">
                  <c:v>12.663657155297924</c:v>
                </c:pt>
                <c:pt idx="31">
                  <c:v>12.546462242164619</c:v>
                </c:pt>
                <c:pt idx="32">
                  <c:v>12.439490206511843</c:v>
                </c:pt>
                <c:pt idx="33">
                  <c:v>13.585128729038512</c:v>
                </c:pt>
                <c:pt idx="34">
                  <c:v>12.509211297208266</c:v>
                </c:pt>
                <c:pt idx="35">
                  <c:v>12.650878955154724</c:v>
                </c:pt>
                <c:pt idx="36">
                  <c:v>13.00762593599125</c:v>
                </c:pt>
                <c:pt idx="37">
                  <c:v>13.133990475291217</c:v>
                </c:pt>
                <c:pt idx="38">
                  <c:v>13.205606905114728</c:v>
                </c:pt>
                <c:pt idx="39">
                  <c:v>12.710111742654934</c:v>
                </c:pt>
                <c:pt idx="40">
                  <c:v>12.714558431717407</c:v>
                </c:pt>
                <c:pt idx="41">
                  <c:v>13.527009903963448</c:v>
                </c:pt>
                <c:pt idx="42">
                  <c:v>12.801952885634245</c:v>
                </c:pt>
                <c:pt idx="43">
                  <c:v>13.496054960864813</c:v>
                </c:pt>
                <c:pt idx="44">
                  <c:v>12.90503774857631</c:v>
                </c:pt>
                <c:pt idx="45">
                  <c:v>13.40932517090501</c:v>
                </c:pt>
                <c:pt idx="46">
                  <c:v>13.561011136457848</c:v>
                </c:pt>
                <c:pt idx="47">
                  <c:v>13.547428667248763</c:v>
                </c:pt>
                <c:pt idx="48">
                  <c:v>13.732578794421993</c:v>
                </c:pt>
                <c:pt idx="49">
                  <c:v>13.365325534508012</c:v>
                </c:pt>
                <c:pt idx="50">
                  <c:v>13.791411977465959</c:v>
                </c:pt>
                <c:pt idx="51">
                  <c:v>13.412354402957824</c:v>
                </c:pt>
                <c:pt idx="52">
                  <c:v>14.753758109869112</c:v>
                </c:pt>
                <c:pt idx="53">
                  <c:v>13.503395834232133</c:v>
                </c:pt>
                <c:pt idx="54">
                  <c:v>12.306389460395382</c:v>
                </c:pt>
                <c:pt idx="55">
                  <c:v>13.909874808776355</c:v>
                </c:pt>
                <c:pt idx="56">
                  <c:v>13.507905074684523</c:v>
                </c:pt>
                <c:pt idx="57">
                  <c:v>14.432998925024409</c:v>
                </c:pt>
                <c:pt idx="58">
                  <c:v>13.767891806043501</c:v>
                </c:pt>
                <c:pt idx="59">
                  <c:v>14.207416648077203</c:v>
                </c:pt>
                <c:pt idx="60">
                  <c:v>14.207768572582463</c:v>
                </c:pt>
                <c:pt idx="61">
                  <c:v>13.864533645540465</c:v>
                </c:pt>
                <c:pt idx="62">
                  <c:v>14.094875453392817</c:v>
                </c:pt>
                <c:pt idx="63">
                  <c:v>14.04479227540028</c:v>
                </c:pt>
                <c:pt idx="64">
                  <c:v>13.926234135336562</c:v>
                </c:pt>
                <c:pt idx="65">
                  <c:v>14.693513161834904</c:v>
                </c:pt>
                <c:pt idx="66">
                  <c:v>14.108639679132683</c:v>
                </c:pt>
                <c:pt idx="67">
                  <c:v>14.593110724297558</c:v>
                </c:pt>
                <c:pt idx="68">
                  <c:v>14.764598821658369</c:v>
                </c:pt>
                <c:pt idx="69">
                  <c:v>15.356431731647262</c:v>
                </c:pt>
                <c:pt idx="70">
                  <c:v>14.500689686817308</c:v>
                </c:pt>
                <c:pt idx="71">
                  <c:v>15.741346701319431</c:v>
                </c:pt>
                <c:pt idx="72">
                  <c:v>15.128119472398291</c:v>
                </c:pt>
                <c:pt idx="73">
                  <c:v>14.90838673876574</c:v>
                </c:pt>
                <c:pt idx="74">
                  <c:v>15.223994245063688</c:v>
                </c:pt>
                <c:pt idx="75">
                  <c:v>16.319926486822713</c:v>
                </c:pt>
                <c:pt idx="76">
                  <c:v>15.64768357998793</c:v>
                </c:pt>
                <c:pt idx="77">
                  <c:v>15.814234031292063</c:v>
                </c:pt>
                <c:pt idx="78">
                  <c:v>16.001874891056083</c:v>
                </c:pt>
                <c:pt idx="81">
                  <c:v>15.401623207759769</c:v>
                </c:pt>
                <c:pt idx="83">
                  <c:v>15.401623207759769</c:v>
                </c:pt>
                <c:pt idx="85">
                  <c:v>13.451541830328464</c:v>
                </c:pt>
                <c:pt idx="86">
                  <c:v>14.455585499844904</c:v>
                </c:pt>
                <c:pt idx="87">
                  <c:v>12.249998102747638</c:v>
                </c:pt>
                <c:pt idx="88">
                  <c:v>12.148616193364699</c:v>
                </c:pt>
                <c:pt idx="89">
                  <c:v>11.778457799781245</c:v>
                </c:pt>
                <c:pt idx="90">
                  <c:v>12.268031276970952</c:v>
                </c:pt>
                <c:pt idx="91">
                  <c:v>14.42078245675639</c:v>
                </c:pt>
                <c:pt idx="92">
                  <c:v>15.454577901243757</c:v>
                </c:pt>
                <c:pt idx="93">
                  <c:v>12.5496853715646</c:v>
                </c:pt>
                <c:pt idx="94">
                  <c:v>13.039705084032686</c:v>
                </c:pt>
                <c:pt idx="95">
                  <c:v>14.256515579236247</c:v>
                </c:pt>
                <c:pt idx="96">
                  <c:v>14.347387168755024</c:v>
                </c:pt>
                <c:pt idx="97">
                  <c:v>14.537158079725987</c:v>
                </c:pt>
                <c:pt idx="98">
                  <c:v>14.536003322273592</c:v>
                </c:pt>
                <c:pt idx="100">
                  <c:v>15.150119424701597</c:v>
                </c:pt>
                <c:pt idx="101">
                  <c:v>15.13306614590824</c:v>
                </c:pt>
                <c:pt idx="102">
                  <c:v>14.939701895580553</c:v>
                </c:pt>
                <c:pt idx="103">
                  <c:v>14.342931019429392</c:v>
                </c:pt>
                <c:pt idx="104">
                  <c:v>15.634202249069777</c:v>
                </c:pt>
                <c:pt idx="105">
                  <c:v>15.035875563406421</c:v>
                </c:pt>
                <c:pt idx="106">
                  <c:v>15.939273167057513</c:v>
                </c:pt>
                <c:pt idx="107">
                  <c:v>15.83769473823221</c:v>
                </c:pt>
                <c:pt idx="108">
                  <c:v>15.649545679182209</c:v>
                </c:pt>
                <c:pt idx="109">
                  <c:v>15.838100573831442</c:v>
                </c:pt>
                <c:pt idx="110">
                  <c:v>18.658505325885884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66CCFF"/>
              </a:soli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0.88317610882287212</c:v>
                </c:pt>
                <c:pt idx="2">
                  <c:v>0.655743894808552</c:v>
                </c:pt>
                <c:pt idx="3">
                  <c:v>0.90000001691520737</c:v>
                </c:pt>
                <c:pt idx="4">
                  <c:v>2.1118712131896729</c:v>
                </c:pt>
                <c:pt idx="5">
                  <c:v>2.8600699185849257</c:v>
                </c:pt>
                <c:pt idx="6">
                  <c:v>5.3721682568805926</c:v>
                </c:pt>
                <c:pt idx="7">
                  <c:v>8.176800031522129</c:v>
                </c:pt>
                <c:pt idx="8">
                  <c:v>8.1277074425726781</c:v>
                </c:pt>
                <c:pt idx="9">
                  <c:v>9.4010492325438726</c:v>
                </c:pt>
                <c:pt idx="10">
                  <c:v>8.2643812378118238</c:v>
                </c:pt>
                <c:pt idx="11">
                  <c:v>10.022973610163127</c:v>
                </c:pt>
                <c:pt idx="12">
                  <c:v>9.8030607534229635</c:v>
                </c:pt>
                <c:pt idx="13">
                  <c:v>10.176936078521258</c:v>
                </c:pt>
                <c:pt idx="14">
                  <c:v>10.404806576347903</c:v>
                </c:pt>
                <c:pt idx="15">
                  <c:v>11.06435720858012</c:v>
                </c:pt>
                <c:pt idx="16">
                  <c:v>11.869709363565933</c:v>
                </c:pt>
                <c:pt idx="17">
                  <c:v>12.487593846270729</c:v>
                </c:pt>
                <c:pt idx="18">
                  <c:v>12.405253260358126</c:v>
                </c:pt>
                <c:pt idx="19">
                  <c:v>13.029965474052391</c:v>
                </c:pt>
                <c:pt idx="20">
                  <c:v>13.78767566542545</c:v>
                </c:pt>
                <c:pt idx="21">
                  <c:v>13.104193518315789</c:v>
                </c:pt>
                <c:pt idx="22">
                  <c:v>14.169696460043758</c:v>
                </c:pt>
                <c:pt idx="23">
                  <c:v>13.848464736463283</c:v>
                </c:pt>
                <c:pt idx="24">
                  <c:v>14.836710715835753</c:v>
                </c:pt>
                <c:pt idx="25">
                  <c:v>15.083834247684731</c:v>
                </c:pt>
                <c:pt idx="26">
                  <c:v>15.334698127266677</c:v>
                </c:pt>
                <c:pt idx="27">
                  <c:v>15.623835496769049</c:v>
                </c:pt>
                <c:pt idx="28">
                  <c:v>15.925804738860686</c:v>
                </c:pt>
                <c:pt idx="29">
                  <c:v>16.262435316648663</c:v>
                </c:pt>
                <c:pt idx="30">
                  <c:v>16.688637031896238</c:v>
                </c:pt>
                <c:pt idx="31">
                  <c:v>16.595877317412032</c:v>
                </c:pt>
                <c:pt idx="32">
                  <c:v>17.531545635053266</c:v>
                </c:pt>
                <c:pt idx="33">
                  <c:v>17.797249971776772</c:v>
                </c:pt>
                <c:pt idx="34">
                  <c:v>18.231439558948413</c:v>
                </c:pt>
                <c:pt idx="35">
                  <c:v>18.307701549446694</c:v>
                </c:pt>
                <c:pt idx="36">
                  <c:v>18.331487663901811</c:v>
                </c:pt>
                <c:pt idx="37">
                  <c:v>18.600584903277213</c:v>
                </c:pt>
                <c:pt idx="38">
                  <c:v>19.71236219668431</c:v>
                </c:pt>
                <c:pt idx="39">
                  <c:v>19.72705417497842</c:v>
                </c:pt>
                <c:pt idx="40">
                  <c:v>19.15228446255519</c:v>
                </c:pt>
                <c:pt idx="41">
                  <c:v>20.03324584437949</c:v>
                </c:pt>
                <c:pt idx="42">
                  <c:v>20.20618717150256</c:v>
                </c:pt>
                <c:pt idx="43">
                  <c:v>20.224206899693066</c:v>
                </c:pt>
                <c:pt idx="44">
                  <c:v>20.201485102072755</c:v>
                </c:pt>
                <c:pt idx="45">
                  <c:v>20.740781101614143</c:v>
                </c:pt>
                <c:pt idx="46">
                  <c:v>20.756004670876287</c:v>
                </c:pt>
                <c:pt idx="47">
                  <c:v>20.812839707626349</c:v>
                </c:pt>
                <c:pt idx="48">
                  <c:v>21.20966875435348</c:v>
                </c:pt>
                <c:pt idx="49">
                  <c:v>21.221853585851314</c:v>
                </c:pt>
                <c:pt idx="50">
                  <c:v>21.511789084586237</c:v>
                </c:pt>
                <c:pt idx="51">
                  <c:v>21.880381227786099</c:v>
                </c:pt>
                <c:pt idx="52">
                  <c:v>21.941326021688621</c:v>
                </c:pt>
                <c:pt idx="53">
                  <c:v>21.778728790260587</c:v>
                </c:pt>
                <c:pt idx="54">
                  <c:v>21.822963361967595</c:v>
                </c:pt>
                <c:pt idx="55">
                  <c:v>22.39336557094293</c:v>
                </c:pt>
                <c:pt idx="56">
                  <c:v>22.078126694028526</c:v>
                </c:pt>
                <c:pt idx="57">
                  <c:v>23.129199467700737</c:v>
                </c:pt>
                <c:pt idx="58">
                  <c:v>22.63249072500399</c:v>
                </c:pt>
                <c:pt idx="59">
                  <c:v>23.098565045542546</c:v>
                </c:pt>
                <c:pt idx="60">
                  <c:v>23.20753022485162</c:v>
                </c:pt>
                <c:pt idx="61">
                  <c:v>23.347605857293772</c:v>
                </c:pt>
                <c:pt idx="62">
                  <c:v>23.950020296257836</c:v>
                </c:pt>
                <c:pt idx="63">
                  <c:v>24.807699777348418</c:v>
                </c:pt>
                <c:pt idx="64">
                  <c:v>23.96455716189876</c:v>
                </c:pt>
                <c:pt idx="65">
                  <c:v>24.844402297942608</c:v>
                </c:pt>
                <c:pt idx="66">
                  <c:v>24.932040199740221</c:v>
                </c:pt>
                <c:pt idx="67">
                  <c:v>25.274342906228512</c:v>
                </c:pt>
                <c:pt idx="68">
                  <c:v>26.299250005154839</c:v>
                </c:pt>
                <c:pt idx="69">
                  <c:v>26.695692542901249</c:v>
                </c:pt>
                <c:pt idx="70">
                  <c:v>26.70599185666363</c:v>
                </c:pt>
                <c:pt idx="71">
                  <c:v>26.962752082054486</c:v>
                </c:pt>
                <c:pt idx="72">
                  <c:v>25.981916786255567</c:v>
                </c:pt>
                <c:pt idx="73">
                  <c:v>26.438986378801445</c:v>
                </c:pt>
                <c:pt idx="74">
                  <c:v>27.073972752143241</c:v>
                </c:pt>
                <c:pt idx="75">
                  <c:v>26.907433914791593</c:v>
                </c:pt>
                <c:pt idx="76">
                  <c:v>27.909317449473711</c:v>
                </c:pt>
                <c:pt idx="77">
                  <c:v>28.040863054989444</c:v>
                </c:pt>
                <c:pt idx="78">
                  <c:v>29.642199654151547</c:v>
                </c:pt>
                <c:pt idx="81">
                  <c:v>29.420740992008106</c:v>
                </c:pt>
                <c:pt idx="83">
                  <c:v>29.420740992008106</c:v>
                </c:pt>
                <c:pt idx="85">
                  <c:v>30.147196989406069</c:v>
                </c:pt>
                <c:pt idx="86">
                  <c:v>31.432612506137847</c:v>
                </c:pt>
                <c:pt idx="87">
                  <c:v>30.733806398413797</c:v>
                </c:pt>
                <c:pt idx="88">
                  <c:v>31.034007676712495</c:v>
                </c:pt>
                <c:pt idx="89">
                  <c:v>32.605441524704524</c:v>
                </c:pt>
                <c:pt idx="90">
                  <c:v>31.724054912127894</c:v>
                </c:pt>
                <c:pt idx="91">
                  <c:v>32.88395605413961</c:v>
                </c:pt>
                <c:pt idx="92">
                  <c:v>32.823005076249792</c:v>
                </c:pt>
                <c:pt idx="93">
                  <c:v>33.081908101525599</c:v>
                </c:pt>
                <c:pt idx="94">
                  <c:v>33.653070053403518</c:v>
                </c:pt>
                <c:pt idx="95">
                  <c:v>33.824536743255905</c:v>
                </c:pt>
                <c:pt idx="96">
                  <c:v>33.032941654882038</c:v>
                </c:pt>
                <c:pt idx="97">
                  <c:v>33.027244193252798</c:v>
                </c:pt>
                <c:pt idx="98">
                  <c:v>33.604704102661152</c:v>
                </c:pt>
                <c:pt idx="99">
                  <c:v>34.749255465039795</c:v>
                </c:pt>
                <c:pt idx="100">
                  <c:v>34.054708664597797</c:v>
                </c:pt>
                <c:pt idx="101">
                  <c:v>34.226959074896364</c:v>
                </c:pt>
                <c:pt idx="102">
                  <c:v>34.064635135136363</c:v>
                </c:pt>
                <c:pt idx="103">
                  <c:v>34.109925499885705</c:v>
                </c:pt>
                <c:pt idx="104">
                  <c:v>34.728739042218322</c:v>
                </c:pt>
                <c:pt idx="105">
                  <c:v>34.588206148863854</c:v>
                </c:pt>
                <c:pt idx="106">
                  <c:v>35.024867786474815</c:v>
                </c:pt>
                <c:pt idx="107">
                  <c:v>35.592768629535669</c:v>
                </c:pt>
                <c:pt idx="108">
                  <c:v>35.791172864136918</c:v>
                </c:pt>
                <c:pt idx="109">
                  <c:v>35.155661863747568</c:v>
                </c:pt>
                <c:pt idx="110">
                  <c:v>43.830064937925066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Déplacements!$AD$9</c:f>
              <c:strCache>
                <c:ptCount val="1"/>
                <c:pt idx="0">
                  <c:v>Norme BD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Déplacements!$AD$10:$AD$200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0.5385166000483903</c:v>
                </c:pt>
                <c:pt idx="2">
                  <c:v>0.37416582280329325</c:v>
                </c:pt>
                <c:pt idx="3">
                  <c:v>0.30000006611568414</c:v>
                </c:pt>
                <c:pt idx="4">
                  <c:v>0.61644144538106249</c:v>
                </c:pt>
                <c:pt idx="5">
                  <c:v>2.6267850656995542</c:v>
                </c:pt>
                <c:pt idx="6">
                  <c:v>5.964897998590688</c:v>
                </c:pt>
                <c:pt idx="7">
                  <c:v>6.4637499106340544</c:v>
                </c:pt>
                <c:pt idx="8">
                  <c:v>6.4637499106340544</c:v>
                </c:pt>
                <c:pt idx="9">
                  <c:v>7.5332531164442385</c:v>
                </c:pt>
                <c:pt idx="10">
                  <c:v>7.4094662761305337</c:v>
                </c:pt>
                <c:pt idx="11">
                  <c:v>7.055494159855221</c:v>
                </c:pt>
                <c:pt idx="12">
                  <c:v>7.7129759162914828</c:v>
                </c:pt>
                <c:pt idx="13">
                  <c:v>7.422274776473154</c:v>
                </c:pt>
                <c:pt idx="14">
                  <c:v>7.5637291433820568</c:v>
                </c:pt>
                <c:pt idx="15">
                  <c:v>6.7416614522612406</c:v>
                </c:pt>
                <c:pt idx="16">
                  <c:v>8.8022724281349713</c:v>
                </c:pt>
                <c:pt idx="17">
                  <c:v>7.202777099565</c:v>
                </c:pt>
                <c:pt idx="18">
                  <c:v>8.7937535422639783</c:v>
                </c:pt>
                <c:pt idx="19">
                  <c:v>8.7469994860333262</c:v>
                </c:pt>
                <c:pt idx="20">
                  <c:v>8.6781334403585895</c:v>
                </c:pt>
                <c:pt idx="21">
                  <c:v>8.0423766590883137</c:v>
                </c:pt>
                <c:pt idx="22">
                  <c:v>8.9252572941941679</c:v>
                </c:pt>
                <c:pt idx="23">
                  <c:v>8.3462791021735239</c:v>
                </c:pt>
                <c:pt idx="24">
                  <c:v>10.368216009669872</c:v>
                </c:pt>
                <c:pt idx="25">
                  <c:v>9.7573161735759673</c:v>
                </c:pt>
                <c:pt idx="26">
                  <c:v>9.0814946877668241</c:v>
                </c:pt>
                <c:pt idx="27">
                  <c:v>9.433877927805673</c:v>
                </c:pt>
                <c:pt idx="28">
                  <c:v>9.17567621161513</c:v>
                </c:pt>
                <c:pt idx="29">
                  <c:v>9.0484382578721316</c:v>
                </c:pt>
                <c:pt idx="30">
                  <c:v>8.9831690388989553</c:v>
                </c:pt>
                <c:pt idx="31">
                  <c:v>9.5898939117655875</c:v>
                </c:pt>
                <c:pt idx="32">
                  <c:v>9.9132606678413122</c:v>
                </c:pt>
                <c:pt idx="33">
                  <c:v>8.5514045218426133</c:v>
                </c:pt>
                <c:pt idx="34">
                  <c:v>10.066917824112325</c:v>
                </c:pt>
                <c:pt idx="35">
                  <c:v>9.6937972833199257</c:v>
                </c:pt>
                <c:pt idx="36">
                  <c:v>9.8723127862352023</c:v>
                </c:pt>
                <c:pt idx="37">
                  <c:v>10.019480051277309</c:v>
                </c:pt>
                <c:pt idx="38">
                  <c:v>10.365005067801233</c:v>
                </c:pt>
                <c:pt idx="40">
                  <c:v>10.681292019616077</c:v>
                </c:pt>
                <c:pt idx="41">
                  <c:v>9.9448477710254384</c:v>
                </c:pt>
                <c:pt idx="42">
                  <c:v>10.769401027777379</c:v>
                </c:pt>
                <c:pt idx="43">
                  <c:v>10.533670202349183</c:v>
                </c:pt>
                <c:pt idx="44">
                  <c:v>10.721940057201323</c:v>
                </c:pt>
                <c:pt idx="46">
                  <c:v>10.729014449328837</c:v>
                </c:pt>
                <c:pt idx="47">
                  <c:v>10.797678497955919</c:v>
                </c:pt>
                <c:pt idx="48">
                  <c:v>10.581030570407185</c:v>
                </c:pt>
                <c:pt idx="49">
                  <c:v>10.869862735600206</c:v>
                </c:pt>
                <c:pt idx="50">
                  <c:v>10.847573965877237</c:v>
                </c:pt>
                <c:pt idx="51">
                  <c:v>10.938170842812685</c:v>
                </c:pt>
                <c:pt idx="52">
                  <c:v>10.42346115435703</c:v>
                </c:pt>
                <c:pt idx="53">
                  <c:v>10.524139812319458</c:v>
                </c:pt>
                <c:pt idx="54">
                  <c:v>10.814367761813591</c:v>
                </c:pt>
                <c:pt idx="55">
                  <c:v>10.559463190781653</c:v>
                </c:pt>
                <c:pt idx="56">
                  <c:v>11.089252182114222</c:v>
                </c:pt>
                <c:pt idx="57">
                  <c:v>10.486272371014577</c:v>
                </c:pt>
                <c:pt idx="58">
                  <c:v>10.991429113565363</c:v>
                </c:pt>
                <c:pt idx="59">
                  <c:v>10.919799713460581</c:v>
                </c:pt>
                <c:pt idx="60">
                  <c:v>11.043556296473428</c:v>
                </c:pt>
                <c:pt idx="61">
                  <c:v>11.272260470483483</c:v>
                </c:pt>
                <c:pt idx="62">
                  <c:v>11.178989273133721</c:v>
                </c:pt>
                <c:pt idx="64">
                  <c:v>11.054863007931326</c:v>
                </c:pt>
                <c:pt idx="66">
                  <c:v>11.430762032517384</c:v>
                </c:pt>
                <c:pt idx="67">
                  <c:v>11.287045638097362</c:v>
                </c:pt>
                <c:pt idx="68">
                  <c:v>11.211385038852615</c:v>
                </c:pt>
                <c:pt idx="69">
                  <c:v>11.624972968141137</c:v>
                </c:pt>
                <c:pt idx="70">
                  <c:v>11.800847440118858</c:v>
                </c:pt>
                <c:pt idx="71">
                  <c:v>11.089634758568808</c:v>
                </c:pt>
                <c:pt idx="72">
                  <c:v>11.717934873315585</c:v>
                </c:pt>
                <c:pt idx="73">
                  <c:v>11.823282097138044</c:v>
                </c:pt>
                <c:pt idx="74">
                  <c:v>11.665333152969525</c:v>
                </c:pt>
                <c:pt idx="75">
                  <c:v>11.482595464214937</c:v>
                </c:pt>
                <c:pt idx="76">
                  <c:v>11.184811103268856</c:v>
                </c:pt>
                <c:pt idx="77">
                  <c:v>11.751595632819441</c:v>
                </c:pt>
                <c:pt idx="78">
                  <c:v>12.048236364928378</c:v>
                </c:pt>
                <c:pt idx="81">
                  <c:v>12.365678220374122</c:v>
                </c:pt>
                <c:pt idx="83">
                  <c:v>12.365678220374122</c:v>
                </c:pt>
                <c:pt idx="85">
                  <c:v>13.32383325817208</c:v>
                </c:pt>
                <c:pt idx="86">
                  <c:v>14.822205765769414</c:v>
                </c:pt>
                <c:pt idx="87">
                  <c:v>14.163701883460599</c:v>
                </c:pt>
                <c:pt idx="88">
                  <c:v>14.663115419460906</c:v>
                </c:pt>
                <c:pt idx="89">
                  <c:v>15.626887805290066</c:v>
                </c:pt>
                <c:pt idx="90">
                  <c:v>15.117769694885377</c:v>
                </c:pt>
                <c:pt idx="91">
                  <c:v>14.041707086850829</c:v>
                </c:pt>
                <c:pt idx="93">
                  <c:v>15.487605413506063</c:v>
                </c:pt>
                <c:pt idx="94">
                  <c:v>14.662035873751996</c:v>
                </c:pt>
                <c:pt idx="95">
                  <c:v>14.182930060862676</c:v>
                </c:pt>
                <c:pt idx="99">
                  <c:v>14.283479317390206</c:v>
                </c:pt>
                <c:pt idx="100">
                  <c:v>15.221385224155764</c:v>
                </c:pt>
                <c:pt idx="101">
                  <c:v>14.89328176056596</c:v>
                </c:pt>
                <c:pt idx="102">
                  <c:v>14.312201537178996</c:v>
                </c:pt>
                <c:pt idx="105">
                  <c:v>14.042704893993884</c:v>
                </c:pt>
                <c:pt idx="106">
                  <c:v>14.439230905058018</c:v>
                </c:pt>
                <c:pt idx="107">
                  <c:v>14.183209957977073</c:v>
                </c:pt>
                <c:pt idx="108">
                  <c:v>14.459593333101427</c:v>
                </c:pt>
                <c:pt idx="109">
                  <c:v>14.44822745693109</c:v>
                </c:pt>
                <c:pt idx="110">
                  <c:v>18.290718832438753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Déplacements!$N$9</c:f>
              <c:strCache>
                <c:ptCount val="1"/>
                <c:pt idx="0">
                  <c:v>Norme HG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Déplacements!$N$10:$N$200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0.10000006295070564</c:v>
                </c:pt>
                <c:pt idx="2">
                  <c:v>0.59160788753986848</c:v>
                </c:pt>
                <c:pt idx="3">
                  <c:v>0.78102492786195699</c:v>
                </c:pt>
                <c:pt idx="4">
                  <c:v>2.3430749189030644</c:v>
                </c:pt>
                <c:pt idx="5">
                  <c:v>3.9051247859546523</c:v>
                </c:pt>
                <c:pt idx="6">
                  <c:v>5.2811239587727714</c:v>
                </c:pt>
                <c:pt idx="7">
                  <c:v>5.8727890789943791</c:v>
                </c:pt>
                <c:pt idx="8">
                  <c:v>6.77422358610447</c:v>
                </c:pt>
                <c:pt idx="9">
                  <c:v>6.8095432933630686</c:v>
                </c:pt>
                <c:pt idx="10">
                  <c:v>6.1489863942227476</c:v>
                </c:pt>
                <c:pt idx="11">
                  <c:v>6.7742157995574592</c:v>
                </c:pt>
                <c:pt idx="12">
                  <c:v>7.5026660856874612</c:v>
                </c:pt>
                <c:pt idx="13">
                  <c:v>7.3925672202979369</c:v>
                </c:pt>
                <c:pt idx="14">
                  <c:v>7.2842294176062818</c:v>
                </c:pt>
                <c:pt idx="15">
                  <c:v>8.556284174037188</c:v>
                </c:pt>
                <c:pt idx="16">
                  <c:v>7.2097154856353027</c:v>
                </c:pt>
                <c:pt idx="17">
                  <c:v>9.7667802519542786</c:v>
                </c:pt>
                <c:pt idx="18">
                  <c:v>8.5399243391568103</c:v>
                </c:pt>
                <c:pt idx="19">
                  <c:v>9.6633327482309408</c:v>
                </c:pt>
                <c:pt idx="20">
                  <c:v>9.7329337716350484</c:v>
                </c:pt>
                <c:pt idx="21">
                  <c:v>9.8737099941838391</c:v>
                </c:pt>
                <c:pt idx="22">
                  <c:v>9.7867122383008152</c:v>
                </c:pt>
                <c:pt idx="25">
                  <c:v>9.4236067439198745</c:v>
                </c:pt>
                <c:pt idx="26">
                  <c:v>10.561289113607291</c:v>
                </c:pt>
                <c:pt idx="27">
                  <c:v>10.673644470109471</c:v>
                </c:pt>
                <c:pt idx="28">
                  <c:v>10.599046971801933</c:v>
                </c:pt>
                <c:pt idx="29">
                  <c:v>10.837571645717098</c:v>
                </c:pt>
                <c:pt idx="30">
                  <c:v>11.400253358843786</c:v>
                </c:pt>
                <c:pt idx="31">
                  <c:v>11.202488203940277</c:v>
                </c:pt>
                <c:pt idx="32">
                  <c:v>11.154413108743542</c:v>
                </c:pt>
                <c:pt idx="34">
                  <c:v>11.513142341397726</c:v>
                </c:pt>
                <c:pt idx="35">
                  <c:v>11.526850730497232</c:v>
                </c:pt>
                <c:pt idx="36">
                  <c:v>11.992717125117364</c:v>
                </c:pt>
                <c:pt idx="37">
                  <c:v>12.091795549114078</c:v>
                </c:pt>
                <c:pt idx="38">
                  <c:v>11.441226734465431</c:v>
                </c:pt>
                <c:pt idx="39">
                  <c:v>11.911257245675493</c:v>
                </c:pt>
                <c:pt idx="40">
                  <c:v>11.374972424071437</c:v>
                </c:pt>
                <c:pt idx="42">
                  <c:v>12.022478925011523</c:v>
                </c:pt>
                <c:pt idx="43">
                  <c:v>12.430628433711808</c:v>
                </c:pt>
                <c:pt idx="44">
                  <c:v>11.921828697407561</c:v>
                </c:pt>
                <c:pt idx="45">
                  <c:v>12.222110983319121</c:v>
                </c:pt>
                <c:pt idx="46">
                  <c:v>11.903579798254407</c:v>
                </c:pt>
                <c:pt idx="47">
                  <c:v>12.370466597995515</c:v>
                </c:pt>
                <c:pt idx="48">
                  <c:v>12.817158873905983</c:v>
                </c:pt>
                <c:pt idx="49">
                  <c:v>12.648342788155707</c:v>
                </c:pt>
                <c:pt idx="50">
                  <c:v>12.630021674866102</c:v>
                </c:pt>
                <c:pt idx="51">
                  <c:v>12.334845323947954</c:v>
                </c:pt>
                <c:pt idx="54">
                  <c:v>12.803538285563643</c:v>
                </c:pt>
                <c:pt idx="55">
                  <c:v>13.089333239686841</c:v>
                </c:pt>
                <c:pt idx="56">
                  <c:v>12.648342788155707</c:v>
                </c:pt>
                <c:pt idx="58">
                  <c:v>12.925660113833299</c:v>
                </c:pt>
                <c:pt idx="59">
                  <c:v>13.171062987412999</c:v>
                </c:pt>
                <c:pt idx="60">
                  <c:v>13.613524622666144</c:v>
                </c:pt>
                <c:pt idx="61">
                  <c:v>13.095483688422961</c:v>
                </c:pt>
                <c:pt idx="62">
                  <c:v>13.209530386572006</c:v>
                </c:pt>
                <c:pt idx="64">
                  <c:v>13.0805197172463</c:v>
                </c:pt>
                <c:pt idx="81">
                  <c:v>15.539304860998557</c:v>
                </c:pt>
                <c:pt idx="83">
                  <c:v>15.539304860998557</c:v>
                </c:pt>
                <c:pt idx="85">
                  <c:v>13.698590116995739</c:v>
                </c:pt>
                <c:pt idx="86">
                  <c:v>14.062999666423087</c:v>
                </c:pt>
                <c:pt idx="87">
                  <c:v>12.38046489353945</c:v>
                </c:pt>
                <c:pt idx="88">
                  <c:v>12.553171503985521</c:v>
                </c:pt>
                <c:pt idx="89">
                  <c:v>13.053228163416318</c:v>
                </c:pt>
                <c:pt idx="90">
                  <c:v>12.83028223362399</c:v>
                </c:pt>
                <c:pt idx="91">
                  <c:v>14.4407521308678</c:v>
                </c:pt>
                <c:pt idx="92">
                  <c:v>14.867384915872593</c:v>
                </c:pt>
                <c:pt idx="94">
                  <c:v>13.284619330490759</c:v>
                </c:pt>
                <c:pt idx="95">
                  <c:v>14.54439308430997</c:v>
                </c:pt>
                <c:pt idx="96">
                  <c:v>14.153447930715151</c:v>
                </c:pt>
                <c:pt idx="97">
                  <c:v>15.121650705689982</c:v>
                </c:pt>
                <c:pt idx="98">
                  <c:v>15.207471221888255</c:v>
                </c:pt>
                <c:pt idx="99">
                  <c:v>15.655526623221339</c:v>
                </c:pt>
                <c:pt idx="100">
                  <c:v>15.647996204047949</c:v>
                </c:pt>
                <c:pt idx="101">
                  <c:v>15.691323587339289</c:v>
                </c:pt>
                <c:pt idx="102">
                  <c:v>15.598008841819643</c:v>
                </c:pt>
                <c:pt idx="103">
                  <c:v>14.862402371234008</c:v>
                </c:pt>
                <c:pt idx="104">
                  <c:v>16.205495705236462</c:v>
                </c:pt>
                <c:pt idx="105">
                  <c:v>15.687666164605069</c:v>
                </c:pt>
                <c:pt idx="106">
                  <c:v>16.776726106820028</c:v>
                </c:pt>
                <c:pt idx="107">
                  <c:v>16.988468183641231</c:v>
                </c:pt>
                <c:pt idx="108">
                  <c:v>16.406118001386872</c:v>
                </c:pt>
                <c:pt idx="109">
                  <c:v>16.291517461389969</c:v>
                </c:pt>
                <c:pt idx="110">
                  <c:v>21.85604278155305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Déplacements!$V$9</c:f>
              <c:strCache>
                <c:ptCount val="1"/>
                <c:pt idx="0">
                  <c:v>Norme HD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Déplacements!$V$10:$V$200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0.17320515345128537</c:v>
                </c:pt>
                <c:pt idx="2">
                  <c:v>0.33166251700696414</c:v>
                </c:pt>
                <c:pt idx="3">
                  <c:v>0.41231062825554893</c:v>
                </c:pt>
                <c:pt idx="4">
                  <c:v>0.73484702950048841</c:v>
                </c:pt>
                <c:pt idx="5">
                  <c:v>1.6031218776907983</c:v>
                </c:pt>
                <c:pt idx="6">
                  <c:v>2.922317689486488</c:v>
                </c:pt>
                <c:pt idx="7">
                  <c:v>4.5541344829842325</c:v>
                </c:pt>
                <c:pt idx="8">
                  <c:v>4.5541344829842325</c:v>
                </c:pt>
                <c:pt idx="9">
                  <c:v>5.5982173315982298</c:v>
                </c:pt>
                <c:pt idx="10">
                  <c:v>5.2258787358136161</c:v>
                </c:pt>
                <c:pt idx="11">
                  <c:v>5.8940648336065724</c:v>
                </c:pt>
                <c:pt idx="12">
                  <c:v>5.3009432449187157</c:v>
                </c:pt>
                <c:pt idx="13">
                  <c:v>5.3347813631324383</c:v>
                </c:pt>
                <c:pt idx="14">
                  <c:v>6.0671244203235917</c:v>
                </c:pt>
                <c:pt idx="15">
                  <c:v>5.4212544147164374</c:v>
                </c:pt>
                <c:pt idx="16">
                  <c:v>7.3416618667091305</c:v>
                </c:pt>
                <c:pt idx="17">
                  <c:v>5.9782940454452795</c:v>
                </c:pt>
                <c:pt idx="18">
                  <c:v>6.8796837250169816</c:v>
                </c:pt>
                <c:pt idx="19">
                  <c:v>6.9057945942503345</c:v>
                </c:pt>
                <c:pt idx="20">
                  <c:v>7.2208032086463136</c:v>
                </c:pt>
                <c:pt idx="21">
                  <c:v>6.4171607945135491</c:v>
                </c:pt>
                <c:pt idx="22">
                  <c:v>7.4310154172903244</c:v>
                </c:pt>
                <c:pt idx="23">
                  <c:v>6.9122910114998684</c:v>
                </c:pt>
                <c:pt idx="24">
                  <c:v>8.6371793232227265</c:v>
                </c:pt>
                <c:pt idx="25">
                  <c:v>8.2473734659739826</c:v>
                </c:pt>
                <c:pt idx="26">
                  <c:v>7.7851700880059882</c:v>
                </c:pt>
                <c:pt idx="27">
                  <c:v>7.7882764293481088</c:v>
                </c:pt>
                <c:pt idx="28">
                  <c:v>8.0289784253749605</c:v>
                </c:pt>
                <c:pt idx="29">
                  <c:v>8.1567292038015644</c:v>
                </c:pt>
                <c:pt idx="30">
                  <c:v>7.9821382740925326</c:v>
                </c:pt>
                <c:pt idx="31">
                  <c:v>8.1126504531780093</c:v>
                </c:pt>
                <c:pt idx="32">
                  <c:v>8.914660604502215</c:v>
                </c:pt>
                <c:pt idx="33">
                  <c:v>8.1527773349532087</c:v>
                </c:pt>
                <c:pt idx="34">
                  <c:v>9.1367601612141502</c:v>
                </c:pt>
                <c:pt idx="35">
                  <c:v>9.1363717736623382</c:v>
                </c:pt>
                <c:pt idx="36">
                  <c:v>9.066141006272737</c:v>
                </c:pt>
                <c:pt idx="37">
                  <c:v>9.275795720240648</c:v>
                </c:pt>
                <c:pt idx="38">
                  <c:v>10.22592032311379</c:v>
                </c:pt>
                <c:pt idx="39">
                  <c:v>10.450159526795503</c:v>
                </c:pt>
                <c:pt idx="40">
                  <c:v>9.8442876934776358</c:v>
                </c:pt>
                <c:pt idx="41">
                  <c:v>10.356157552572475</c:v>
                </c:pt>
                <c:pt idx="42">
                  <c:v>10.356640361234234</c:v>
                </c:pt>
                <c:pt idx="43">
                  <c:v>10.263470986918898</c:v>
                </c:pt>
                <c:pt idx="44">
                  <c:v>10.16316874450289</c:v>
                </c:pt>
                <c:pt idx="45">
                  <c:v>10.41969283823973</c:v>
                </c:pt>
                <c:pt idx="46">
                  <c:v>10.382410989522711</c:v>
                </c:pt>
                <c:pt idx="47">
                  <c:v>10.410515678842499</c:v>
                </c:pt>
                <c:pt idx="48">
                  <c:v>10.295386673685904</c:v>
                </c:pt>
                <c:pt idx="49">
                  <c:v>10.48469535558746</c:v>
                </c:pt>
                <c:pt idx="50">
                  <c:v>10.59320921697231</c:v>
                </c:pt>
                <c:pt idx="51">
                  <c:v>11.243988934315588</c:v>
                </c:pt>
                <c:pt idx="52">
                  <c:v>10.887497149813704</c:v>
                </c:pt>
                <c:pt idx="53">
                  <c:v>10.888879881494201</c:v>
                </c:pt>
                <c:pt idx="54">
                  <c:v>10.75381132228928</c:v>
                </c:pt>
                <c:pt idx="55">
                  <c:v>11.092738016353321</c:v>
                </c:pt>
                <c:pt idx="56">
                  <c:v>10.952775422619592</c:v>
                </c:pt>
                <c:pt idx="57">
                  <c:v>11.507476256888323</c:v>
                </c:pt>
                <c:pt idx="58">
                  <c:v>11.320994347559154</c:v>
                </c:pt>
                <c:pt idx="59">
                  <c:v>11.529208548999337</c:v>
                </c:pt>
                <c:pt idx="60">
                  <c:v>11.587941426988253</c:v>
                </c:pt>
                <c:pt idx="61">
                  <c:v>11.659829716914704</c:v>
                </c:pt>
                <c:pt idx="62">
                  <c:v>11.917797291380586</c:v>
                </c:pt>
                <c:pt idx="63">
                  <c:v>12.578379336160028</c:v>
                </c:pt>
                <c:pt idx="64">
                  <c:v>11.79194640606061</c:v>
                </c:pt>
                <c:pt idx="65">
                  <c:v>12.397219973799626</c:v>
                </c:pt>
                <c:pt idx="66">
                  <c:v>12.722077188110676</c:v>
                </c:pt>
                <c:pt idx="67">
                  <c:v>12.647243203676737</c:v>
                </c:pt>
                <c:pt idx="68">
                  <c:v>13.329431515268139</c:v>
                </c:pt>
                <c:pt idx="69">
                  <c:v>13.393655186644457</c:v>
                </c:pt>
                <c:pt idx="70">
                  <c:v>13.737539802151185</c:v>
                </c:pt>
                <c:pt idx="71">
                  <c:v>13.727709158898382</c:v>
                </c:pt>
                <c:pt idx="72">
                  <c:v>13.194695859035933</c:v>
                </c:pt>
                <c:pt idx="73">
                  <c:v>13.640381259998852</c:v>
                </c:pt>
                <c:pt idx="74">
                  <c:v>14.004999113431936</c:v>
                </c:pt>
                <c:pt idx="75">
                  <c:v>13.373481267022663</c:v>
                </c:pt>
                <c:pt idx="76">
                  <c:v>14.469277776352117</c:v>
                </c:pt>
                <c:pt idx="77">
                  <c:v>14.550257672405802</c:v>
                </c:pt>
                <c:pt idx="78">
                  <c:v>15.639053664904223</c:v>
                </c:pt>
                <c:pt idx="81">
                  <c:v>14.907045287578958</c:v>
                </c:pt>
                <c:pt idx="83">
                  <c:v>14.907045287578958</c:v>
                </c:pt>
                <c:pt idx="85">
                  <c:v>16.555440025381351</c:v>
                </c:pt>
                <c:pt idx="86">
                  <c:v>17.708525795212545</c:v>
                </c:pt>
                <c:pt idx="87">
                  <c:v>17.145912793003085</c:v>
                </c:pt>
                <c:pt idx="88">
                  <c:v>16.884955718188372</c:v>
                </c:pt>
                <c:pt idx="89">
                  <c:v>17.925732509353828</c:v>
                </c:pt>
                <c:pt idx="90">
                  <c:v>17.394633389377482</c:v>
                </c:pt>
                <c:pt idx="91">
                  <c:v>18.344992986475493</c:v>
                </c:pt>
                <c:pt idx="92">
                  <c:v>17.838870206177585</c:v>
                </c:pt>
                <c:pt idx="93">
                  <c:v>18.475511315734288</c:v>
                </c:pt>
                <c:pt idx="94">
                  <c:v>18.473859097932937</c:v>
                </c:pt>
                <c:pt idx="95">
                  <c:v>18.02698312382649</c:v>
                </c:pt>
                <c:pt idx="96">
                  <c:v>17.492330546458195</c:v>
                </c:pt>
                <c:pt idx="97">
                  <c:v>17.007870332040461</c:v>
                </c:pt>
                <c:pt idx="98">
                  <c:v>17.473855321367814</c:v>
                </c:pt>
                <c:pt idx="99">
                  <c:v>18.45263625598394</c:v>
                </c:pt>
                <c:pt idx="100">
                  <c:v>18.171831004638008</c:v>
                </c:pt>
                <c:pt idx="101">
                  <c:v>18.211916569303266</c:v>
                </c:pt>
                <c:pt idx="102">
                  <c:v>17.871089190111743</c:v>
                </c:pt>
                <c:pt idx="103">
                  <c:v>18.02605480175183</c:v>
                </c:pt>
                <c:pt idx="104">
                  <c:v>18.371551516610058</c:v>
                </c:pt>
                <c:pt idx="105">
                  <c:v>18.427931292345786</c:v>
                </c:pt>
                <c:pt idx="106">
                  <c:v>18.368983130068766</c:v>
                </c:pt>
                <c:pt idx="107">
                  <c:v>18.298042272383736</c:v>
                </c:pt>
                <c:pt idx="108">
                  <c:v>19.150677710538194</c:v>
                </c:pt>
                <c:pt idx="109">
                  <c:v>18.21904082004761</c:v>
                </c:pt>
                <c:pt idx="110">
                  <c:v>23.319813018918687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Déplacements!$J$9</c:f>
              <c:strCache>
                <c:ptCount val="1"/>
                <c:pt idx="0">
                  <c:v>Norme IG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0.24494886514452593</c:v>
                </c:pt>
                <c:pt idx="2">
                  <c:v>0.50990207483120265</c:v>
                </c:pt>
                <c:pt idx="3">
                  <c:v>0.37416589519244625</c:v>
                </c:pt>
                <c:pt idx="4">
                  <c:v>0.96953585103387485</c:v>
                </c:pt>
                <c:pt idx="5">
                  <c:v>3.9974991969476874</c:v>
                </c:pt>
                <c:pt idx="6">
                  <c:v>4.9132447217290141</c:v>
                </c:pt>
                <c:pt idx="7">
                  <c:v>5.0139809416326342</c:v>
                </c:pt>
                <c:pt idx="8">
                  <c:v>5.2287727887847684</c:v>
                </c:pt>
                <c:pt idx="9">
                  <c:v>6.044025205564787</c:v>
                </c:pt>
                <c:pt idx="10">
                  <c:v>4.7507803444534389</c:v>
                </c:pt>
                <c:pt idx="11">
                  <c:v>6.2080592588330266</c:v>
                </c:pt>
                <c:pt idx="12">
                  <c:v>5.9715994377262795</c:v>
                </c:pt>
                <c:pt idx="13">
                  <c:v>6.8388597532875757</c:v>
                </c:pt>
                <c:pt idx="14">
                  <c:v>6.6678331489979694</c:v>
                </c:pt>
                <c:pt idx="15">
                  <c:v>7.3328030070164685</c:v>
                </c:pt>
                <c:pt idx="16">
                  <c:v>7.1288145834306604</c:v>
                </c:pt>
                <c:pt idx="17">
                  <c:v>8.954328517521823</c:v>
                </c:pt>
                <c:pt idx="18">
                  <c:v>7.8778070294617928</c:v>
                </c:pt>
                <c:pt idx="19">
                  <c:v>8.6197447829401508</c:v>
                </c:pt>
                <c:pt idx="20">
                  <c:v>8.6614086685136567</c:v>
                </c:pt>
                <c:pt idx="21">
                  <c:v>9.5257567363647677</c:v>
                </c:pt>
                <c:pt idx="22">
                  <c:v>9.0454316860801764</c:v>
                </c:pt>
                <c:pt idx="23">
                  <c:v>10.690652111528747</c:v>
                </c:pt>
                <c:pt idx="24">
                  <c:v>8.5143571326187022</c:v>
                </c:pt>
                <c:pt idx="25">
                  <c:v>8.5980498190936796</c:v>
                </c:pt>
                <c:pt idx="26">
                  <c:v>9.7238388935736033</c:v>
                </c:pt>
                <c:pt idx="27">
                  <c:v>9.6203357279446777</c:v>
                </c:pt>
                <c:pt idx="28">
                  <c:v>9.7033497824632988</c:v>
                </c:pt>
                <c:pt idx="29">
                  <c:v>9.6976799803266811</c:v>
                </c:pt>
                <c:pt idx="30">
                  <c:v>10.474220264318779</c:v>
                </c:pt>
                <c:pt idx="31">
                  <c:v>10.511678353167275</c:v>
                </c:pt>
                <c:pt idx="32">
                  <c:v>10.162485166494395</c:v>
                </c:pt>
                <c:pt idx="33">
                  <c:v>11.59012638474033</c:v>
                </c:pt>
                <c:pt idx="34">
                  <c:v>10.001272682785036</c:v>
                </c:pt>
                <c:pt idx="35">
                  <c:v>10.48951835552394</c:v>
                </c:pt>
                <c:pt idx="36">
                  <c:v>10.814415339601101</c:v>
                </c:pt>
                <c:pt idx="37">
                  <c:v>10.903931246109797</c:v>
                </c:pt>
                <c:pt idx="38">
                  <c:v>11.081879649320177</c:v>
                </c:pt>
                <c:pt idx="39">
                  <c:v>10.445905771051166</c:v>
                </c:pt>
                <c:pt idx="40">
                  <c:v>10.242558119596685</c:v>
                </c:pt>
                <c:pt idx="41">
                  <c:v>11.389029823010269</c:v>
                </c:pt>
                <c:pt idx="42">
                  <c:v>10.940749335945918</c:v>
                </c:pt>
                <c:pt idx="43">
                  <c:v>11.302346636366789</c:v>
                </c:pt>
                <c:pt idx="44">
                  <c:v>10.545615234106181</c:v>
                </c:pt>
                <c:pt idx="45">
                  <c:v>11.234767414730198</c:v>
                </c:pt>
                <c:pt idx="46">
                  <c:v>11.223038592146528</c:v>
                </c:pt>
                <c:pt idx="47">
                  <c:v>11.233296392136747</c:v>
                </c:pt>
                <c:pt idx="48">
                  <c:v>11.525729477353224</c:v>
                </c:pt>
                <c:pt idx="49">
                  <c:v>11.266986893623811</c:v>
                </c:pt>
                <c:pt idx="50">
                  <c:v>11.686233593078464</c:v>
                </c:pt>
                <c:pt idx="51">
                  <c:v>11.143027922827715</c:v>
                </c:pt>
                <c:pt idx="52">
                  <c:v>12.327912974836776</c:v>
                </c:pt>
                <c:pt idx="53">
                  <c:v>11.346311231003337</c:v>
                </c:pt>
                <c:pt idx="54">
                  <c:v>11.574030371798514</c:v>
                </c:pt>
                <c:pt idx="55">
                  <c:v>11.61405290476984</c:v>
                </c:pt>
                <c:pt idx="56">
                  <c:v>11.229289729702566</c:v>
                </c:pt>
                <c:pt idx="57">
                  <c:v>12.383152756545948</c:v>
                </c:pt>
                <c:pt idx="58">
                  <c:v>11.449480742284535</c:v>
                </c:pt>
                <c:pt idx="59">
                  <c:v>11.925270211569677</c:v>
                </c:pt>
                <c:pt idx="60">
                  <c:v>11.844757689766819</c:v>
                </c:pt>
                <c:pt idx="61">
                  <c:v>11.633755657667392</c:v>
                </c:pt>
                <c:pt idx="62">
                  <c:v>11.902592869888805</c:v>
                </c:pt>
                <c:pt idx="63">
                  <c:v>11.906633954928761</c:v>
                </c:pt>
                <c:pt idx="64">
                  <c:v>11.677756486130471</c:v>
                </c:pt>
                <c:pt idx="65">
                  <c:v>12.372511462716703</c:v>
                </c:pt>
                <c:pt idx="66">
                  <c:v>11.876766375737287</c:v>
                </c:pt>
                <c:pt idx="67">
                  <c:v>12.68544929048884</c:v>
                </c:pt>
                <c:pt idx="68">
                  <c:v>12.506768928557927</c:v>
                </c:pt>
                <c:pt idx="69">
                  <c:v>13.124404605842905</c:v>
                </c:pt>
                <c:pt idx="70">
                  <c:v>12.408061887622837</c:v>
                </c:pt>
                <c:pt idx="71">
                  <c:v>13.684297563595198</c:v>
                </c:pt>
                <c:pt idx="72">
                  <c:v>13.036103632496728</c:v>
                </c:pt>
                <c:pt idx="73">
                  <c:v>12.74754873494825</c:v>
                </c:pt>
                <c:pt idx="74">
                  <c:v>13.342038860566182</c:v>
                </c:pt>
                <c:pt idx="75">
                  <c:v>14.151678261606149</c:v>
                </c:pt>
                <c:pt idx="76">
                  <c:v>13.54437139809629</c:v>
                </c:pt>
                <c:pt idx="77">
                  <c:v>13.678450038358525</c:v>
                </c:pt>
                <c:pt idx="78">
                  <c:v>14.182383384076864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Déplacements!$Z$9</c:f>
              <c:strCache>
                <c:ptCount val="1"/>
                <c:pt idx="0">
                  <c:v>Norme ID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Déplacements!$Z$10:$Z$300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0.45825759983785375</c:v>
                </c:pt>
                <c:pt idx="2">
                  <c:v>0.42426411994136054</c:v>
                </c:pt>
                <c:pt idx="3">
                  <c:v>0.37416568913473003</c:v>
                </c:pt>
                <c:pt idx="4">
                  <c:v>1.5524174822273507</c:v>
                </c:pt>
                <c:pt idx="5">
                  <c:v>2.9274561456245065</c:v>
                </c:pt>
                <c:pt idx="6">
                  <c:v>4.6270785406077897</c:v>
                </c:pt>
                <c:pt idx="7">
                  <c:v>6.0340786380821028</c:v>
                </c:pt>
                <c:pt idx="8">
                  <c:v>5.4414916163639937</c:v>
                </c:pt>
                <c:pt idx="9">
                  <c:v>6.5192023299119244</c:v>
                </c:pt>
                <c:pt idx="10">
                  <c:v>6.3937301808274469</c:v>
                </c:pt>
                <c:pt idx="11">
                  <c:v>6.7386941787456918</c:v>
                </c:pt>
                <c:pt idx="12">
                  <c:v>6.3324560975145578</c:v>
                </c:pt>
                <c:pt idx="13">
                  <c:v>6.3031642058387911</c:v>
                </c:pt>
                <c:pt idx="14">
                  <c:v>6.6715815907453297</c:v>
                </c:pt>
                <c:pt idx="15">
                  <c:v>6.6880489742067883</c:v>
                </c:pt>
                <c:pt idx="16">
                  <c:v>8.0548121887547222</c:v>
                </c:pt>
                <c:pt idx="17">
                  <c:v>5.9816386308419727</c:v>
                </c:pt>
                <c:pt idx="18">
                  <c:v>7.376307595060033</c:v>
                </c:pt>
                <c:pt idx="19">
                  <c:v>7.161703681270974</c:v>
                </c:pt>
                <c:pt idx="20">
                  <c:v>7.1930521768120244</c:v>
                </c:pt>
                <c:pt idx="21">
                  <c:v>6.4660628256472155</c:v>
                </c:pt>
                <c:pt idx="22">
                  <c:v>7.3027573006595112</c:v>
                </c:pt>
                <c:pt idx="23">
                  <c:v>6.3984089348866533</c:v>
                </c:pt>
                <c:pt idx="24">
                  <c:v>8.6679159463937534</c:v>
                </c:pt>
                <c:pt idx="25">
                  <c:v>8.3183011729547882</c:v>
                </c:pt>
                <c:pt idx="26">
                  <c:v>7.3674418065834368</c:v>
                </c:pt>
                <c:pt idx="27">
                  <c:v>7.4212063644686594</c:v>
                </c:pt>
                <c:pt idx="28">
                  <c:v>7.5548574001861644</c:v>
                </c:pt>
                <c:pt idx="29">
                  <c:v>7.4176515227037632</c:v>
                </c:pt>
                <c:pt idx="30">
                  <c:v>7.2892206353673474</c:v>
                </c:pt>
                <c:pt idx="31">
                  <c:v>7.4752794922789532</c:v>
                </c:pt>
                <c:pt idx="32">
                  <c:v>8.0128443618439675</c:v>
                </c:pt>
                <c:pt idx="33">
                  <c:v>6.7240699901569689</c:v>
                </c:pt>
                <c:pt idx="34">
                  <c:v>8.3233054739882171</c:v>
                </c:pt>
                <c:pt idx="35">
                  <c:v>8.1259917312756222</c:v>
                </c:pt>
                <c:pt idx="36">
                  <c:v>7.9465602523838168</c:v>
                </c:pt>
                <c:pt idx="37">
                  <c:v>8.0457616884328704</c:v>
                </c:pt>
                <c:pt idx="38">
                  <c:v>8.6202603025672282</c:v>
                </c:pt>
                <c:pt idx="39">
                  <c:v>8.4157426029694342</c:v>
                </c:pt>
                <c:pt idx="40">
                  <c:v>8.6423377271965549</c:v>
                </c:pt>
                <c:pt idx="41">
                  <c:v>8.1614949793749609</c:v>
                </c:pt>
                <c:pt idx="42">
                  <c:v>8.568547090855537</c:v>
                </c:pt>
                <c:pt idx="43">
                  <c:v>8.3968818185537479</c:v>
                </c:pt>
                <c:pt idx="44">
                  <c:v>8.6319175144669735</c:v>
                </c:pt>
                <c:pt idx="45">
                  <c:v>8.2243540635798702</c:v>
                </c:pt>
                <c:pt idx="46">
                  <c:v>8.5891964605837661</c:v>
                </c:pt>
                <c:pt idx="47">
                  <c:v>8.6203916148788586</c:v>
                </c:pt>
                <c:pt idx="48">
                  <c:v>8.3137484434222415</c:v>
                </c:pt>
                <c:pt idx="49">
                  <c:v>8.43903014699473</c:v>
                </c:pt>
                <c:pt idx="50">
                  <c:v>8.7105173485783745</c:v>
                </c:pt>
                <c:pt idx="51">
                  <c:v>8.8380186099240881</c:v>
                </c:pt>
                <c:pt idx="52">
                  <c:v>8.3777693666301065</c:v>
                </c:pt>
                <c:pt idx="53">
                  <c:v>8.3985043003390203</c:v>
                </c:pt>
                <c:pt idx="54">
                  <c:v>8.4971957110858511</c:v>
                </c:pt>
                <c:pt idx="55">
                  <c:v>8.3191594034801195</c:v>
                </c:pt>
                <c:pt idx="56">
                  <c:v>8.8456022357323452</c:v>
                </c:pt>
                <c:pt idx="57">
                  <c:v>8.6462591383694818</c:v>
                </c:pt>
                <c:pt idx="58">
                  <c:v>8.6338810152582059</c:v>
                </c:pt>
                <c:pt idx="59">
                  <c:v>8.7086372463158597</c:v>
                </c:pt>
                <c:pt idx="60">
                  <c:v>8.8032280437596437</c:v>
                </c:pt>
                <c:pt idx="61">
                  <c:v>8.8925268766461798</c:v>
                </c:pt>
                <c:pt idx="66">
                  <c:v>9.3163040753300681</c:v>
                </c:pt>
                <c:pt idx="67">
                  <c:v>9.1022500528106516</c:v>
                </c:pt>
                <c:pt idx="68">
                  <c:v>9.0231921164681079</c:v>
                </c:pt>
                <c:pt idx="69">
                  <c:v>9.2021737636082115</c:v>
                </c:pt>
                <c:pt idx="70">
                  <c:v>9.639502025190783</c:v>
                </c:pt>
                <c:pt idx="71">
                  <c:v>8.8119236706816668</c:v>
                </c:pt>
                <c:pt idx="72">
                  <c:v>9.083501548361145</c:v>
                </c:pt>
                <c:pt idx="73">
                  <c:v>9.250405344637306</c:v>
                </c:pt>
                <c:pt idx="74">
                  <c:v>9.1766006669665323</c:v>
                </c:pt>
                <c:pt idx="75">
                  <c:v>8.7143559983006789</c:v>
                </c:pt>
                <c:pt idx="76">
                  <c:v>9.0000000075977216</c:v>
                </c:pt>
                <c:pt idx="77">
                  <c:v>9.1695146562852816</c:v>
                </c:pt>
                <c:pt idx="78">
                  <c:v>9.5885348206864194</c:v>
                </c:pt>
                <c:pt idx="81">
                  <c:v>9.49526194108042</c:v>
                </c:pt>
                <c:pt idx="83">
                  <c:v>9.49526194108042</c:v>
                </c:pt>
                <c:pt idx="85">
                  <c:v>10.770658351215225</c:v>
                </c:pt>
                <c:pt idx="86">
                  <c:v>12.178669997720277</c:v>
                </c:pt>
                <c:pt idx="87">
                  <c:v>11.231161046179656</c:v>
                </c:pt>
                <c:pt idx="88">
                  <c:v>11.960592202948806</c:v>
                </c:pt>
                <c:pt idx="89">
                  <c:v>12.352158779474044</c:v>
                </c:pt>
                <c:pt idx="90">
                  <c:v>12.203830715764424</c:v>
                </c:pt>
                <c:pt idx="91">
                  <c:v>12.305988927884039</c:v>
                </c:pt>
                <c:pt idx="92">
                  <c:v>12.262953591990188</c:v>
                </c:pt>
                <c:pt idx="93">
                  <c:v>13.146272084670121</c:v>
                </c:pt>
                <c:pt idx="94">
                  <c:v>12.103702187081398</c:v>
                </c:pt>
                <c:pt idx="95">
                  <c:v>10.992479751915271</c:v>
                </c:pt>
                <c:pt idx="96">
                  <c:v>11.920940614410776</c:v>
                </c:pt>
                <c:pt idx="97">
                  <c:v>10.760896458366798</c:v>
                </c:pt>
                <c:pt idx="98">
                  <c:v>10.543367081344247</c:v>
                </c:pt>
                <c:pt idx="99">
                  <c:v>11.493337349873448</c:v>
                </c:pt>
                <c:pt idx="100">
                  <c:v>12.110178236877655</c:v>
                </c:pt>
                <c:pt idx="101">
                  <c:v>11.539519745193015</c:v>
                </c:pt>
                <c:pt idx="102">
                  <c:v>11.388729304817305</c:v>
                </c:pt>
                <c:pt idx="104">
                  <c:v>11.743571115709575</c:v>
                </c:pt>
                <c:pt idx="105">
                  <c:v>11.195486337328669</c:v>
                </c:pt>
                <c:pt idx="106">
                  <c:v>10.966972437773858</c:v>
                </c:pt>
                <c:pt idx="107">
                  <c:v>11.249406447507415</c:v>
                </c:pt>
                <c:pt idx="108">
                  <c:v>11.181630109506317</c:v>
                </c:pt>
                <c:pt idx="109">
                  <c:v>11.554097157778624</c:v>
                </c:pt>
                <c:pt idx="110">
                  <c:v>14.160954260007443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'Graphiques F(date) (100j)'!$AC$64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 (100j)'!$AE$64:$AE$65</c:f>
              <c:numCache>
                <c:formatCode>m/d/yyyy</c:formatCode>
                <c:ptCount val="2"/>
                <c:pt idx="0">
                  <c:v>43598</c:v>
                </c:pt>
                <c:pt idx="1">
                  <c:v>44927</c:v>
                </c:pt>
              </c:numCache>
            </c:numRef>
          </c:xVal>
          <c:yVal>
            <c:numRef>
              <c:f>'Graphiques F(date) (100j)'!$AD$64:$AD$65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"/>
          <c:order val="11"/>
          <c:tx>
            <c:v>Semaines</c:v>
          </c:tx>
          <c:spPr>
            <a:ln w="19050" cap="rnd">
              <a:solidFill>
                <a:srgbClr val="000080"/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'Graphiques F(date) (100j)'!$AC$76:$AC$110</c:f>
              <c:numCache>
                <c:formatCode>m/d/yyyy</c:formatCode>
                <c:ptCount val="35"/>
              </c:numCache>
            </c:numRef>
          </c:xVal>
          <c:yVal>
            <c:numRef>
              <c:f>'Graphiques F(date) (100j)'!$AD$76:$AD$110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2-46E0-B592-C58BC682D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72648"/>
        <c:axId val="515273040"/>
        <c:extLst>
          <c:ext xmlns:c15="http://schemas.microsoft.com/office/drawing/2012/chart" uri="{02D57815-91ED-43cb-92C2-25804820EDAC}">
            <c15:filteredScatterSeries>
              <c15:ser>
                <c:idx val="14"/>
                <c:order val="10"/>
                <c:tx>
                  <c:strRef>
                    <c:extLst>
                      <c:ext uri="{02D57815-91ED-43cb-92C2-25804820EDAC}">
                        <c15:formulaRef>
                          <c15:sqref>'Graphiques F(date) (100j)'!$AA$51</c15:sqref>
                        </c15:formulaRef>
                      </c:ext>
                    </c:extLst>
                    <c:strCache>
                      <c:ptCount val="1"/>
                      <c:pt idx="0">
                        <c:v>Fin du confortement du tympan GVA3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 (100j)'!$AA$52:$AA$54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43655</c:v>
                      </c:pt>
                      <c:pt idx="1">
                        <c:v>43655</c:v>
                      </c:pt>
                      <c:pt idx="2">
                        <c:v>43655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 (100j)'!$AB$52:$AB$54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168</c:v>
                      </c:pt>
                      <c:pt idx="2">
                        <c:v>230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9920-4E75-937B-B056BACBF73E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3"/>
          <c:order val="8"/>
          <c:tx>
            <c:v>Avancement du front</c:v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43599</c:v>
                </c:pt>
                <c:pt idx="1">
                  <c:v>43600</c:v>
                </c:pt>
                <c:pt idx="2">
                  <c:v>43601</c:v>
                </c:pt>
                <c:pt idx="3">
                  <c:v>43605</c:v>
                </c:pt>
                <c:pt idx="4">
                  <c:v>43607</c:v>
                </c:pt>
                <c:pt idx="5">
                  <c:v>43621</c:v>
                </c:pt>
                <c:pt idx="6">
                  <c:v>43637</c:v>
                </c:pt>
                <c:pt idx="7">
                  <c:v>43641</c:v>
                </c:pt>
                <c:pt idx="8">
                  <c:v>43643</c:v>
                </c:pt>
                <c:pt idx="9">
                  <c:v>43647</c:v>
                </c:pt>
                <c:pt idx="10">
                  <c:v>43649</c:v>
                </c:pt>
                <c:pt idx="11">
                  <c:v>43650</c:v>
                </c:pt>
                <c:pt idx="12">
                  <c:v>43655</c:v>
                </c:pt>
                <c:pt idx="13">
                  <c:v>43657</c:v>
                </c:pt>
                <c:pt idx="14">
                  <c:v>43661</c:v>
                </c:pt>
                <c:pt idx="15">
                  <c:v>43664</c:v>
                </c:pt>
                <c:pt idx="16">
                  <c:v>43669</c:v>
                </c:pt>
                <c:pt idx="17">
                  <c:v>43675</c:v>
                </c:pt>
                <c:pt idx="18">
                  <c:v>43679</c:v>
                </c:pt>
                <c:pt idx="19">
                  <c:v>43682</c:v>
                </c:pt>
                <c:pt idx="20">
                  <c:v>43684</c:v>
                </c:pt>
                <c:pt idx="21">
                  <c:v>43685</c:v>
                </c:pt>
                <c:pt idx="22">
                  <c:v>43689</c:v>
                </c:pt>
                <c:pt idx="23">
                  <c:v>43690</c:v>
                </c:pt>
                <c:pt idx="24">
                  <c:v>43696</c:v>
                </c:pt>
                <c:pt idx="25">
                  <c:v>43699</c:v>
                </c:pt>
                <c:pt idx="26">
                  <c:v>43703</c:v>
                </c:pt>
                <c:pt idx="27">
                  <c:v>43706</c:v>
                </c:pt>
                <c:pt idx="28">
                  <c:v>43710</c:v>
                </c:pt>
                <c:pt idx="29">
                  <c:v>43713</c:v>
                </c:pt>
                <c:pt idx="30">
                  <c:v>43718</c:v>
                </c:pt>
                <c:pt idx="31">
                  <c:v>43720</c:v>
                </c:pt>
                <c:pt idx="32">
                  <c:v>43724</c:v>
                </c:pt>
                <c:pt idx="33">
                  <c:v>43727</c:v>
                </c:pt>
                <c:pt idx="34">
                  <c:v>43731</c:v>
                </c:pt>
                <c:pt idx="35">
                  <c:v>43734</c:v>
                </c:pt>
                <c:pt idx="36">
                  <c:v>43738</c:v>
                </c:pt>
                <c:pt idx="37">
                  <c:v>43741</c:v>
                </c:pt>
                <c:pt idx="38">
                  <c:v>43746</c:v>
                </c:pt>
                <c:pt idx="39">
                  <c:v>43753</c:v>
                </c:pt>
                <c:pt idx="40">
                  <c:v>43756</c:v>
                </c:pt>
                <c:pt idx="41">
                  <c:v>43760</c:v>
                </c:pt>
                <c:pt idx="42">
                  <c:v>43762</c:v>
                </c:pt>
                <c:pt idx="43">
                  <c:v>43766</c:v>
                </c:pt>
                <c:pt idx="44">
                  <c:v>43769</c:v>
                </c:pt>
                <c:pt idx="45">
                  <c:v>43774</c:v>
                </c:pt>
                <c:pt idx="46">
                  <c:v>43776</c:v>
                </c:pt>
                <c:pt idx="47">
                  <c:v>43781</c:v>
                </c:pt>
                <c:pt idx="48">
                  <c:v>43783</c:v>
                </c:pt>
                <c:pt idx="49">
                  <c:v>43787</c:v>
                </c:pt>
                <c:pt idx="50">
                  <c:v>43790</c:v>
                </c:pt>
                <c:pt idx="51">
                  <c:v>43795</c:v>
                </c:pt>
                <c:pt idx="52">
                  <c:v>43797</c:v>
                </c:pt>
                <c:pt idx="53">
                  <c:v>43801</c:v>
                </c:pt>
                <c:pt idx="54">
                  <c:v>43803</c:v>
                </c:pt>
                <c:pt idx="55">
                  <c:v>43808</c:v>
                </c:pt>
                <c:pt idx="56">
                  <c:v>43811</c:v>
                </c:pt>
                <c:pt idx="57">
                  <c:v>43815</c:v>
                </c:pt>
                <c:pt idx="58">
                  <c:v>43818</c:v>
                </c:pt>
                <c:pt idx="59">
                  <c:v>43837</c:v>
                </c:pt>
                <c:pt idx="60">
                  <c:v>43843</c:v>
                </c:pt>
                <c:pt idx="61">
                  <c:v>43850</c:v>
                </c:pt>
                <c:pt idx="62">
                  <c:v>43857</c:v>
                </c:pt>
                <c:pt idx="63">
                  <c:v>43865</c:v>
                </c:pt>
                <c:pt idx="64">
                  <c:v>43867</c:v>
                </c:pt>
                <c:pt idx="65">
                  <c:v>43878</c:v>
                </c:pt>
                <c:pt idx="66">
                  <c:v>43886</c:v>
                </c:pt>
                <c:pt idx="67">
                  <c:v>43896</c:v>
                </c:pt>
                <c:pt idx="68">
                  <c:v>43970</c:v>
                </c:pt>
                <c:pt idx="69">
                  <c:v>43977</c:v>
                </c:pt>
                <c:pt idx="70">
                  <c:v>43984</c:v>
                </c:pt>
                <c:pt idx="71">
                  <c:v>43990</c:v>
                </c:pt>
                <c:pt idx="72">
                  <c:v>43997</c:v>
                </c:pt>
                <c:pt idx="73">
                  <c:v>44004</c:v>
                </c:pt>
                <c:pt idx="74">
                  <c:v>44018</c:v>
                </c:pt>
                <c:pt idx="75">
                  <c:v>44027</c:v>
                </c:pt>
                <c:pt idx="76">
                  <c:v>44039</c:v>
                </c:pt>
                <c:pt idx="77">
                  <c:v>44053</c:v>
                </c:pt>
                <c:pt idx="78">
                  <c:v>44075</c:v>
                </c:pt>
                <c:pt idx="79">
                  <c:v>44082</c:v>
                </c:pt>
                <c:pt idx="80">
                  <c:v>44112</c:v>
                </c:pt>
                <c:pt idx="81">
                  <c:v>44134</c:v>
                </c:pt>
                <c:pt idx="83">
                  <c:v>44134</c:v>
                </c:pt>
                <c:pt idx="85">
                  <c:v>44140</c:v>
                </c:pt>
                <c:pt idx="86">
                  <c:v>44172</c:v>
                </c:pt>
                <c:pt idx="87">
                  <c:v>44186</c:v>
                </c:pt>
                <c:pt idx="88">
                  <c:v>44203</c:v>
                </c:pt>
                <c:pt idx="89">
                  <c:v>44229</c:v>
                </c:pt>
                <c:pt idx="90">
                  <c:v>44245</c:v>
                </c:pt>
                <c:pt idx="91">
                  <c:v>44273</c:v>
                </c:pt>
                <c:pt idx="92">
                  <c:v>44287</c:v>
                </c:pt>
                <c:pt idx="93">
                  <c:v>44308</c:v>
                </c:pt>
                <c:pt idx="94">
                  <c:v>44322</c:v>
                </c:pt>
                <c:pt idx="95">
                  <c:v>44337</c:v>
                </c:pt>
                <c:pt idx="96">
                  <c:v>44351</c:v>
                </c:pt>
                <c:pt idx="97">
                  <c:v>44357</c:v>
                </c:pt>
                <c:pt idx="98">
                  <c:v>44362</c:v>
                </c:pt>
                <c:pt idx="99">
                  <c:v>44364</c:v>
                </c:pt>
                <c:pt idx="100">
                  <c:v>44369</c:v>
                </c:pt>
                <c:pt idx="101">
                  <c:v>44376</c:v>
                </c:pt>
                <c:pt idx="102">
                  <c:v>44378</c:v>
                </c:pt>
                <c:pt idx="103">
                  <c:v>44392</c:v>
                </c:pt>
                <c:pt idx="104">
                  <c:v>44400</c:v>
                </c:pt>
                <c:pt idx="105">
                  <c:v>44410</c:v>
                </c:pt>
                <c:pt idx="106">
                  <c:v>44453</c:v>
                </c:pt>
                <c:pt idx="107">
                  <c:v>44470</c:v>
                </c:pt>
                <c:pt idx="108">
                  <c:v>44489</c:v>
                </c:pt>
                <c:pt idx="109">
                  <c:v>44502</c:v>
                </c:pt>
                <c:pt idx="110">
                  <c:v>44915</c:v>
                </c:pt>
              </c:numCache>
            </c:numRef>
          </c:xVal>
          <c:y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73824"/>
        <c:axId val="5152734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9"/>
                <c:tx>
                  <c:strRef>
                    <c:extLst>
                      <c:ext uri="{02D57815-91ED-43cb-92C2-25804820EDAC}">
                        <c15:formulaRef>
                          <c15:sqref>'Graphiques F(date) (100j)'!$AA$45</c15:sqref>
                        </c15:formulaRef>
                      </c:ext>
                    </c:extLst>
                    <c:strCache>
                      <c:ptCount val="1"/>
                      <c:pt idx="0">
                        <c:v>Début creusement</c:v>
                      </c:pt>
                    </c:strCache>
                  </c:strRef>
                </c:tx>
                <c:spPr>
                  <a:ln w="15875" cap="rnd">
                    <a:solidFill>
                      <a:schemeClr val="accent1"/>
                    </a:solidFill>
                    <a:prstDash val="sysDot"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 (100j)'!$AA$46:$AA$48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43605</c:v>
                      </c:pt>
                      <c:pt idx="1">
                        <c:v>43605</c:v>
                      </c:pt>
                      <c:pt idx="2">
                        <c:v>43605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 (100j)'!$AB$46:$AB$48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167</c:v>
                      </c:pt>
                      <c:pt idx="2">
                        <c:v>230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9920-4E75-937B-B056BACBF73E}"/>
                  </c:ext>
                </c:extLst>
              </c15:ser>
            </c15:filteredScatterSeries>
          </c:ext>
        </c:extLst>
      </c:scatterChart>
      <c:valAx>
        <c:axId val="515272648"/>
        <c:scaling>
          <c:orientation val="minMax"/>
          <c:max val="44926"/>
          <c:min val="442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273040"/>
        <c:crossesAt val="0"/>
        <c:crossBetween val="midCat"/>
        <c:majorUnit val="30"/>
      </c:valAx>
      <c:valAx>
        <c:axId val="515273040"/>
        <c:scaling>
          <c:orientation val="minMax"/>
          <c:max val="5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272648"/>
        <c:crosses val="autoZero"/>
        <c:crossBetween val="midCat"/>
      </c:valAx>
      <c:valAx>
        <c:axId val="515273432"/>
        <c:scaling>
          <c:orientation val="minMax"/>
          <c:min val="18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273824"/>
        <c:crosses val="max"/>
        <c:crossBetween val="midCat"/>
      </c:valAx>
      <c:valAx>
        <c:axId val="515273824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5273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30795750721461113"/>
          <c:y val="0.60209862065367548"/>
          <c:w val="0.54755312648908894"/>
          <c:h val="0.14151671388487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Convergences!$D$10:$D$33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-0.98041206640786527</c:v>
                </c:pt>
                <c:pt idx="2">
                  <c:v>-0.37805926302070247</c:v>
                </c:pt>
                <c:pt idx="3">
                  <c:v>-0.67114094449216566</c:v>
                </c:pt>
                <c:pt idx="4">
                  <c:v>-2.5297503242462938</c:v>
                </c:pt>
                <c:pt idx="5">
                  <c:v>-5.4576835852691019</c:v>
                </c:pt>
                <c:pt idx="6">
                  <c:v>-8.9298504498804832</c:v>
                </c:pt>
                <c:pt idx="7">
                  <c:v>-9.7382832239913952</c:v>
                </c:pt>
                <c:pt idx="8">
                  <c:v>-9.7382830944976462</c:v>
                </c:pt>
                <c:pt idx="9">
                  <c:v>-11.383933061177132</c:v>
                </c:pt>
                <c:pt idx="10">
                  <c:v>-10.941169514098625</c:v>
                </c:pt>
                <c:pt idx="11">
                  <c:v>-12.467406508463341</c:v>
                </c:pt>
                <c:pt idx="12">
                  <c:v>-13.046453852797235</c:v>
                </c:pt>
                <c:pt idx="13">
                  <c:v>-13.789659592679193</c:v>
                </c:pt>
                <c:pt idx="14">
                  <c:v>-14.018038824675116</c:v>
                </c:pt>
                <c:pt idx="15">
                  <c:v>-14.945085260211322</c:v>
                </c:pt>
                <c:pt idx="16">
                  <c:v>-15.355261863308378</c:v>
                </c:pt>
                <c:pt idx="17">
                  <c:v>-15.715688987077314</c:v>
                </c:pt>
                <c:pt idx="18">
                  <c:v>-16.420985695875245</c:v>
                </c:pt>
                <c:pt idx="19">
                  <c:v>-16.684202584627883</c:v>
                </c:pt>
                <c:pt idx="20">
                  <c:v>-17.762529514214975</c:v>
                </c:pt>
                <c:pt idx="21">
                  <c:v>-17.364319337995759</c:v>
                </c:pt>
                <c:pt idx="22">
                  <c:v>-17.626104973214929</c:v>
                </c:pt>
                <c:pt idx="23">
                  <c:v>-17.722442544582329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9-4AE9-A3DA-C2E2E792CAA0}"/>
            </c:ext>
          </c:extLst>
        </c:ser>
        <c:ser>
          <c:idx val="8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-0.11729645286617796</c:v>
                </c:pt>
                <c:pt idx="2">
                  <c:v>-0.38031175937636164</c:v>
                </c:pt>
                <c:pt idx="3">
                  <c:v>-0.42888979103139491</c:v>
                </c:pt>
                <c:pt idx="4">
                  <c:v>-1.7840822959556135</c:v>
                </c:pt>
                <c:pt idx="5">
                  <c:v>-3.9584360345088498</c:v>
                </c:pt>
                <c:pt idx="6">
                  <c:v>-7.9403648755125289</c:v>
                </c:pt>
                <c:pt idx="7">
                  <c:v>-8.007005682960866</c:v>
                </c:pt>
                <c:pt idx="8">
                  <c:v>-8.4930544611143688</c:v>
                </c:pt>
                <c:pt idx="9">
                  <c:v>-9.3773462920081485</c:v>
                </c:pt>
                <c:pt idx="10">
                  <c:v>-8.3939027121378018</c:v>
                </c:pt>
                <c:pt idx="11">
                  <c:v>-9.6649258753904732</c:v>
                </c:pt>
                <c:pt idx="12">
                  <c:v>-10.620962277164914</c:v>
                </c:pt>
                <c:pt idx="13">
                  <c:v>-11.532925074419609</c:v>
                </c:pt>
                <c:pt idx="14">
                  <c:v>-12.073398079223807</c:v>
                </c:pt>
                <c:pt idx="15">
                  <c:v>-12.515397427581121</c:v>
                </c:pt>
                <c:pt idx="16">
                  <c:v>-13.359782965758349</c:v>
                </c:pt>
                <c:pt idx="17">
                  <c:v>-13.732379764705094</c:v>
                </c:pt>
                <c:pt idx="18">
                  <c:v>-14.229734282960038</c:v>
                </c:pt>
                <c:pt idx="19">
                  <c:v>-14.804483607910868</c:v>
                </c:pt>
                <c:pt idx="20">
                  <c:v>-14.892912600041441</c:v>
                </c:pt>
                <c:pt idx="21">
                  <c:v>-15.821341034723879</c:v>
                </c:pt>
                <c:pt idx="22">
                  <c:v>-16.18050691954398</c:v>
                </c:pt>
                <c:pt idx="23">
                  <c:v>-16.788539767324195</c:v>
                </c:pt>
                <c:pt idx="24">
                  <c:v>-17.485725577454758</c:v>
                </c:pt>
                <c:pt idx="25">
                  <c:v>-16.931899163493469</c:v>
                </c:pt>
                <c:pt idx="26">
                  <c:v>-16.9452426101806</c:v>
                </c:pt>
                <c:pt idx="27">
                  <c:v>-17.166228857351307</c:v>
                </c:pt>
                <c:pt idx="28">
                  <c:v>-17.497742162323249</c:v>
                </c:pt>
                <c:pt idx="29">
                  <c:v>-17.525302005702237</c:v>
                </c:pt>
                <c:pt idx="30">
                  <c:v>-18.644860699811971</c:v>
                </c:pt>
                <c:pt idx="31">
                  <c:v>-19.101316576577432</c:v>
                </c:pt>
                <c:pt idx="32">
                  <c:v>-19.169753564949765</c:v>
                </c:pt>
                <c:pt idx="33">
                  <c:v>-19.764488907140887</c:v>
                </c:pt>
                <c:pt idx="34">
                  <c:v>-19.468107872081752</c:v>
                </c:pt>
                <c:pt idx="35">
                  <c:v>-19.583980360063258</c:v>
                </c:pt>
                <c:pt idx="36">
                  <c:v>-19.847030716723779</c:v>
                </c:pt>
                <c:pt idx="37">
                  <c:v>-20.074637866469125</c:v>
                </c:pt>
                <c:pt idx="38">
                  <c:v>-21.161513897273387</c:v>
                </c:pt>
                <c:pt idx="40">
                  <c:v>-20.972931006942197</c:v>
                </c:pt>
                <c:pt idx="41">
                  <c:v>-21.65044243340386</c:v>
                </c:pt>
                <c:pt idx="42">
                  <c:v>-21.518914871758277</c:v>
                </c:pt>
                <c:pt idx="43">
                  <c:v>-21.656965137325734</c:v>
                </c:pt>
                <c:pt idx="44">
                  <c:v>-21.82268365395057</c:v>
                </c:pt>
                <c:pt idx="46">
                  <c:v>-22.576372749631091</c:v>
                </c:pt>
                <c:pt idx="47">
                  <c:v>-22.44484480149822</c:v>
                </c:pt>
                <c:pt idx="48">
                  <c:v>-22.720918769048026</c:v>
                </c:pt>
                <c:pt idx="49">
                  <c:v>-22.907799341896684</c:v>
                </c:pt>
                <c:pt idx="50">
                  <c:v>-23.211540983278489</c:v>
                </c:pt>
                <c:pt idx="51">
                  <c:v>-23.128687292355288</c:v>
                </c:pt>
                <c:pt idx="52">
                  <c:v>-23.239218258855665</c:v>
                </c:pt>
                <c:pt idx="53">
                  <c:v>-22.976159864458445</c:v>
                </c:pt>
                <c:pt idx="54">
                  <c:v>-23.564130868936495</c:v>
                </c:pt>
                <c:pt idx="55">
                  <c:v>-23.515270695396495</c:v>
                </c:pt>
                <c:pt idx="56">
                  <c:v>-23.680972032749992</c:v>
                </c:pt>
                <c:pt idx="57">
                  <c:v>-24.594213690244615</c:v>
                </c:pt>
                <c:pt idx="58">
                  <c:v>-23.77699103891473</c:v>
                </c:pt>
                <c:pt idx="59">
                  <c:v>-24.199061342371486</c:v>
                </c:pt>
                <c:pt idx="60">
                  <c:v>-24.392440900292911</c:v>
                </c:pt>
                <c:pt idx="61">
                  <c:v>-24.772508942069393</c:v>
                </c:pt>
                <c:pt idx="62">
                  <c:v>-25.048509835121635</c:v>
                </c:pt>
                <c:pt idx="64">
                  <c:v>-24.653444826000737</c:v>
                </c:pt>
                <c:pt idx="66">
                  <c:v>-26.010061714025312</c:v>
                </c:pt>
                <c:pt idx="67">
                  <c:v>-26.258588517239723</c:v>
                </c:pt>
                <c:pt idx="68">
                  <c:v>-26.34505911854923</c:v>
                </c:pt>
                <c:pt idx="69">
                  <c:v>-28.061674422192873</c:v>
                </c:pt>
                <c:pt idx="70">
                  <c:v>-27.078601385706058</c:v>
                </c:pt>
                <c:pt idx="71">
                  <c:v>-27.508095120043485</c:v>
                </c:pt>
                <c:pt idx="72">
                  <c:v>-27.486848653127893</c:v>
                </c:pt>
                <c:pt idx="73">
                  <c:v>-27.465841234215027</c:v>
                </c:pt>
                <c:pt idx="74">
                  <c:v>-27.990528758086164</c:v>
                </c:pt>
                <c:pt idx="75">
                  <c:v>-28.32185027101719</c:v>
                </c:pt>
                <c:pt idx="76">
                  <c:v>-28.315166292347094</c:v>
                </c:pt>
                <c:pt idx="77">
                  <c:v>-28.743892851694319</c:v>
                </c:pt>
                <c:pt idx="78">
                  <c:v>-30.360147891521194</c:v>
                </c:pt>
                <c:pt idx="79">
                  <c:v>-30.66494794468877</c:v>
                </c:pt>
                <c:pt idx="81">
                  <c:v>-30.129355772430699</c:v>
                </c:pt>
                <c:pt idx="83">
                  <c:v>-29.957265376894249</c:v>
                </c:pt>
                <c:pt idx="85">
                  <c:v>-30.379212896069596</c:v>
                </c:pt>
                <c:pt idx="86">
                  <c:v>-32.07254577688623</c:v>
                </c:pt>
                <c:pt idx="87">
                  <c:v>-30.570674401118048</c:v>
                </c:pt>
                <c:pt idx="88">
                  <c:v>-30.528307044780156</c:v>
                </c:pt>
                <c:pt idx="89">
                  <c:v>-32.259545481969631</c:v>
                </c:pt>
                <c:pt idx="90">
                  <c:v>-31.863041199313713</c:v>
                </c:pt>
                <c:pt idx="91">
                  <c:v>-32.221826590581593</c:v>
                </c:pt>
                <c:pt idx="93">
                  <c:v>-33.009186482630071</c:v>
                </c:pt>
                <c:pt idx="94">
                  <c:v>-33.257140014613995</c:v>
                </c:pt>
                <c:pt idx="95">
                  <c:v>-33.285328794974589</c:v>
                </c:pt>
                <c:pt idx="99">
                  <c:v>-34.295143852216547</c:v>
                </c:pt>
                <c:pt idx="100">
                  <c:v>-34.924342110342899</c:v>
                </c:pt>
                <c:pt idx="101">
                  <c:v>-34.599472257722752</c:v>
                </c:pt>
                <c:pt idx="102">
                  <c:v>-34.232193644021081</c:v>
                </c:pt>
                <c:pt idx="105">
                  <c:v>-34.605350434699034</c:v>
                </c:pt>
                <c:pt idx="106">
                  <c:v>-35.426665621672626</c:v>
                </c:pt>
                <c:pt idx="107">
                  <c:v>-35.584636521597268</c:v>
                </c:pt>
                <c:pt idx="108">
                  <c:v>-35.80658245003665</c:v>
                </c:pt>
                <c:pt idx="109">
                  <c:v>-36.102030050711775</c:v>
                </c:pt>
                <c:pt idx="110">
                  <c:v>-46.011075376480193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9-4AE9-A3DA-C2E2E792CAA0}"/>
            </c:ext>
          </c:extLst>
        </c:ser>
        <c:ser>
          <c:idx val="9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-9.11109428498591E-2</c:v>
                </c:pt>
                <c:pt idx="2">
                  <c:v>0.27377404146022855</c:v>
                </c:pt>
                <c:pt idx="3">
                  <c:v>-0.37545666593441496</c:v>
                </c:pt>
                <c:pt idx="4">
                  <c:v>-2.3926834554677257</c:v>
                </c:pt>
                <c:pt idx="5">
                  <c:v>-7.1683985550565765</c:v>
                </c:pt>
                <c:pt idx="6">
                  <c:v>-11.319008638455585</c:v>
                </c:pt>
                <c:pt idx="7">
                  <c:v>-9.9976096394769343</c:v>
                </c:pt>
                <c:pt idx="8">
                  <c:v>-10.91013872002744</c:v>
                </c:pt>
                <c:pt idx="9">
                  <c:v>-11.8654520406416</c:v>
                </c:pt>
                <c:pt idx="10">
                  <c:v>-10.995734431225479</c:v>
                </c:pt>
                <c:pt idx="11">
                  <c:v>-11.82264589300086</c:v>
                </c:pt>
                <c:pt idx="12">
                  <c:v>-13.726532199647146</c:v>
                </c:pt>
                <c:pt idx="13">
                  <c:v>-14.175459344976105</c:v>
                </c:pt>
                <c:pt idx="14">
                  <c:v>-15.201187403160787</c:v>
                </c:pt>
                <c:pt idx="15">
                  <c:v>-15.361711164024072</c:v>
                </c:pt>
                <c:pt idx="16">
                  <c:v>-15.858853148861485</c:v>
                </c:pt>
                <c:pt idx="17">
                  <c:v>-16.156626396315765</c:v>
                </c:pt>
                <c:pt idx="18">
                  <c:v>-16.490237841364497</c:v>
                </c:pt>
                <c:pt idx="19">
                  <c:v>-17.54447248028157</c:v>
                </c:pt>
                <c:pt idx="20">
                  <c:v>-17.650028107124349</c:v>
                </c:pt>
                <c:pt idx="21">
                  <c:v>-17.974208799843794</c:v>
                </c:pt>
                <c:pt idx="22">
                  <c:v>-17.931397166653262</c:v>
                </c:pt>
                <c:pt idx="23">
                  <c:v>-18.664157344319143</c:v>
                </c:pt>
                <c:pt idx="24">
                  <c:v>-19.250829333945951</c:v>
                </c:pt>
                <c:pt idx="25">
                  <c:v>-18.728833495603503</c:v>
                </c:pt>
                <c:pt idx="26">
                  <c:v>-18.519818745727612</c:v>
                </c:pt>
                <c:pt idx="27">
                  <c:v>-18.693804706970241</c:v>
                </c:pt>
                <c:pt idx="28">
                  <c:v>-18.650019850153576</c:v>
                </c:pt>
                <c:pt idx="29">
                  <c:v>-18.728993959850726</c:v>
                </c:pt>
                <c:pt idx="30">
                  <c:v>-19.494190810157797</c:v>
                </c:pt>
                <c:pt idx="31">
                  <c:v>-20.041731928289508</c:v>
                </c:pt>
                <c:pt idx="32">
                  <c:v>-19.900099916199565</c:v>
                </c:pt>
                <c:pt idx="33">
                  <c:v>-19.748826928947416</c:v>
                </c:pt>
                <c:pt idx="34">
                  <c:v>-19.958995489267828</c:v>
                </c:pt>
                <c:pt idx="35">
                  <c:v>-19.675736068536231</c:v>
                </c:pt>
                <c:pt idx="36">
                  <c:v>-20.082613810234129</c:v>
                </c:pt>
                <c:pt idx="37">
                  <c:v>-19.940010283364451</c:v>
                </c:pt>
                <c:pt idx="38">
                  <c:v>-21.15789543026203</c:v>
                </c:pt>
                <c:pt idx="40">
                  <c:v>-20.811690471427724</c:v>
                </c:pt>
                <c:pt idx="41">
                  <c:v>-21.248992125439514</c:v>
                </c:pt>
                <c:pt idx="42">
                  <c:v>-21.065508478421258</c:v>
                </c:pt>
                <c:pt idx="43">
                  <c:v>-21.20810928362804</c:v>
                </c:pt>
                <c:pt idx="44">
                  <c:v>-21.024626620134157</c:v>
                </c:pt>
                <c:pt idx="46">
                  <c:v>-21.51229766484164</c:v>
                </c:pt>
                <c:pt idx="47">
                  <c:v>-21.421040766021804</c:v>
                </c:pt>
                <c:pt idx="48">
                  <c:v>-21.472386984616065</c:v>
                </c:pt>
                <c:pt idx="49">
                  <c:v>-21.328811616747601</c:v>
                </c:pt>
                <c:pt idx="50">
                  <c:v>-21.77754357148487</c:v>
                </c:pt>
                <c:pt idx="51">
                  <c:v>-21.887780367442211</c:v>
                </c:pt>
                <c:pt idx="52">
                  <c:v>-21.868800802494981</c:v>
                </c:pt>
                <c:pt idx="53">
                  <c:v>-21.188147596327589</c:v>
                </c:pt>
                <c:pt idx="54">
                  <c:v>-20.098854186104909</c:v>
                </c:pt>
                <c:pt idx="55">
                  <c:v>-21.735692109360549</c:v>
                </c:pt>
                <c:pt idx="56">
                  <c:v>-21.644435419954533</c:v>
                </c:pt>
                <c:pt idx="57">
                  <c:v>-21.93994202537386</c:v>
                </c:pt>
                <c:pt idx="58">
                  <c:v>-22.231883914924921</c:v>
                </c:pt>
                <c:pt idx="59">
                  <c:v>-21.966632483499282</c:v>
                </c:pt>
                <c:pt idx="60">
                  <c:v>-21.957140842530087</c:v>
                </c:pt>
                <c:pt idx="61">
                  <c:v>-22.323140026272448</c:v>
                </c:pt>
                <c:pt idx="62">
                  <c:v>-22.587417029281021</c:v>
                </c:pt>
                <c:pt idx="64">
                  <c:v>-21.883792574111105</c:v>
                </c:pt>
                <c:pt idx="66">
                  <c:v>-23.317461871112499</c:v>
                </c:pt>
                <c:pt idx="67">
                  <c:v>-23.307974728814074</c:v>
                </c:pt>
                <c:pt idx="68">
                  <c:v>-22.51608481270484</c:v>
                </c:pt>
                <c:pt idx="69">
                  <c:v>-24.54661608791131</c:v>
                </c:pt>
                <c:pt idx="70">
                  <c:v>-23.559811711559853</c:v>
                </c:pt>
                <c:pt idx="71">
                  <c:v>-23.672950771996604</c:v>
                </c:pt>
                <c:pt idx="72">
                  <c:v>-23.876433265514585</c:v>
                </c:pt>
                <c:pt idx="73">
                  <c:v>-23.591202594556826</c:v>
                </c:pt>
                <c:pt idx="74">
                  <c:v>-23.853514104195561</c:v>
                </c:pt>
                <c:pt idx="75">
                  <c:v>-24.12827173811749</c:v>
                </c:pt>
                <c:pt idx="76">
                  <c:v>-24.046518843379161</c:v>
                </c:pt>
                <c:pt idx="77">
                  <c:v>-24.310789790185972</c:v>
                </c:pt>
                <c:pt idx="78">
                  <c:v>-25.69006840178556</c:v>
                </c:pt>
                <c:pt idx="79">
                  <c:v>-26.366834626462499</c:v>
                </c:pt>
                <c:pt idx="81">
                  <c:v>-23.883889220279286</c:v>
                </c:pt>
                <c:pt idx="83">
                  <c:v>-23.213217005412901</c:v>
                </c:pt>
                <c:pt idx="85">
                  <c:v>-23.351842228660935</c:v>
                </c:pt>
                <c:pt idx="86">
                  <c:v>-25.263419800558573</c:v>
                </c:pt>
                <c:pt idx="87">
                  <c:v>-22.891376258502127</c:v>
                </c:pt>
                <c:pt idx="88">
                  <c:v>-23.233039728021154</c:v>
                </c:pt>
                <c:pt idx="89">
                  <c:v>-24.38897642872373</c:v>
                </c:pt>
                <c:pt idx="90">
                  <c:v>-23.502829980944995</c:v>
                </c:pt>
                <c:pt idx="91">
                  <c:v>-24.744811898377073</c:v>
                </c:pt>
                <c:pt idx="93">
                  <c:v>-24.696363141327282</c:v>
                </c:pt>
                <c:pt idx="94">
                  <c:v>-24.435985127739812</c:v>
                </c:pt>
                <c:pt idx="95">
                  <c:v>-24.961674137373713</c:v>
                </c:pt>
                <c:pt idx="100">
                  <c:v>-26.386866136424381</c:v>
                </c:pt>
                <c:pt idx="101">
                  <c:v>-26.253721883227499</c:v>
                </c:pt>
                <c:pt idx="102">
                  <c:v>-25.794563959355088</c:v>
                </c:pt>
                <c:pt idx="105">
                  <c:v>-25.825704702771901</c:v>
                </c:pt>
                <c:pt idx="106">
                  <c:v>-26.269540522385171</c:v>
                </c:pt>
                <c:pt idx="107">
                  <c:v>-26.434225646724485</c:v>
                </c:pt>
                <c:pt idx="108">
                  <c:v>-26.359786808886732</c:v>
                </c:pt>
                <c:pt idx="109">
                  <c:v>-26.441637992641098</c:v>
                </c:pt>
                <c:pt idx="110">
                  <c:v>-33.126017051179346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9-4AE9-A3DA-C2E2E792CAA0}"/>
            </c:ext>
          </c:extLst>
        </c:ser>
        <c:ser>
          <c:idx val="1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-0.22036813966064273</c:v>
                </c:pt>
                <c:pt idx="2">
                  <c:v>-0.38849706982047039</c:v>
                </c:pt>
                <c:pt idx="3">
                  <c:v>-0.31784918112487404</c:v>
                </c:pt>
                <c:pt idx="4">
                  <c:v>-1.3998390620022505</c:v>
                </c:pt>
                <c:pt idx="5">
                  <c:v>-4.1560391960451248</c:v>
                </c:pt>
                <c:pt idx="6">
                  <c:v>-7.0157770916399187</c:v>
                </c:pt>
                <c:pt idx="7">
                  <c:v>-8.2512493754656191</c:v>
                </c:pt>
                <c:pt idx="8">
                  <c:v>-8.2512491737856131</c:v>
                </c:pt>
                <c:pt idx="9">
                  <c:v>-9.6213038989536592</c:v>
                </c:pt>
                <c:pt idx="10">
                  <c:v>-9.5636154813698582</c:v>
                </c:pt>
                <c:pt idx="11">
                  <c:v>-10.721811782400614</c:v>
                </c:pt>
                <c:pt idx="12">
                  <c:v>-10.991282313411954</c:v>
                </c:pt>
                <c:pt idx="13">
                  <c:v>-11.166078612303565</c:v>
                </c:pt>
                <c:pt idx="14">
                  <c:v>-11.257430674271873</c:v>
                </c:pt>
                <c:pt idx="15">
                  <c:v>-12.757260933178749</c:v>
                </c:pt>
                <c:pt idx="16">
                  <c:v>-12.479678536851946</c:v>
                </c:pt>
                <c:pt idx="17">
                  <c:v>-13.043843407909872</c:v>
                </c:pt>
                <c:pt idx="18">
                  <c:v>-13.18667937870055</c:v>
                </c:pt>
                <c:pt idx="19">
                  <c:v>-13.932459355040727</c:v>
                </c:pt>
                <c:pt idx="20">
                  <c:v>-14.307952378636468</c:v>
                </c:pt>
                <c:pt idx="21">
                  <c:v>-13.579187851094243</c:v>
                </c:pt>
                <c:pt idx="22">
                  <c:v>-13.702285240055456</c:v>
                </c:pt>
                <c:pt idx="25">
                  <c:v>-15.725137899440966</c:v>
                </c:pt>
                <c:pt idx="26">
                  <c:v>-15.646025010602305</c:v>
                </c:pt>
                <c:pt idx="27">
                  <c:v>-16.151112024099579</c:v>
                </c:pt>
                <c:pt idx="28">
                  <c:v>-16.283948200856546</c:v>
                </c:pt>
                <c:pt idx="29">
                  <c:v>-16.320734207109222</c:v>
                </c:pt>
                <c:pt idx="30">
                  <c:v>-16.986046496946017</c:v>
                </c:pt>
                <c:pt idx="31">
                  <c:v>-17.125736876155706</c:v>
                </c:pt>
                <c:pt idx="32">
                  <c:v>-17.396288143199712</c:v>
                </c:pt>
                <c:pt idx="34">
                  <c:v>-17.16713478631382</c:v>
                </c:pt>
                <c:pt idx="35">
                  <c:v>-17.623000510635922</c:v>
                </c:pt>
                <c:pt idx="36">
                  <c:v>-18.229056460409065</c:v>
                </c:pt>
                <c:pt idx="37">
                  <c:v>-18.041343193977877</c:v>
                </c:pt>
                <c:pt idx="38">
                  <c:v>-18.22558642797345</c:v>
                </c:pt>
                <c:pt idx="39">
                  <c:v>-19.235668796127481</c:v>
                </c:pt>
                <c:pt idx="40">
                  <c:v>-18.833027489010057</c:v>
                </c:pt>
                <c:pt idx="42">
                  <c:v>-19.149188589818955</c:v>
                </c:pt>
                <c:pt idx="43">
                  <c:v>-19.099226491933408</c:v>
                </c:pt>
                <c:pt idx="44">
                  <c:v>-19.316538897101054</c:v>
                </c:pt>
                <c:pt idx="45">
                  <c:v>-19.123787271498216</c:v>
                </c:pt>
                <c:pt idx="46">
                  <c:v>-18.70657326640135</c:v>
                </c:pt>
                <c:pt idx="47">
                  <c:v>-19.56747435844175</c:v>
                </c:pt>
                <c:pt idx="48">
                  <c:v>-19.811277306835962</c:v>
                </c:pt>
                <c:pt idx="49">
                  <c:v>-19.764301111459215</c:v>
                </c:pt>
                <c:pt idx="50">
                  <c:v>-19.93873741631047</c:v>
                </c:pt>
                <c:pt idx="51">
                  <c:v>-19.957053506367117</c:v>
                </c:pt>
                <c:pt idx="53">
                  <c:v>-19.787688077938625</c:v>
                </c:pt>
                <c:pt idx="54">
                  <c:v>-19.980449930466104</c:v>
                </c:pt>
                <c:pt idx="55">
                  <c:v>-20.348675013682094</c:v>
                </c:pt>
                <c:pt idx="56">
                  <c:v>-20.332327666179761</c:v>
                </c:pt>
                <c:pt idx="58">
                  <c:v>-20.351681557290391</c:v>
                </c:pt>
                <c:pt idx="59">
                  <c:v>-20.448370050676345</c:v>
                </c:pt>
                <c:pt idx="60">
                  <c:v>-21.316013963745828</c:v>
                </c:pt>
                <c:pt idx="61">
                  <c:v>-21.166386527397663</c:v>
                </c:pt>
                <c:pt idx="62">
                  <c:v>-21.200068395476279</c:v>
                </c:pt>
                <c:pt idx="64">
                  <c:v>-21.095056097766296</c:v>
                </c:pt>
                <c:pt idx="81">
                  <c:v>-25.097789665418979</c:v>
                </c:pt>
                <c:pt idx="83">
                  <c:v>-24.79929828971672</c:v>
                </c:pt>
                <c:pt idx="85">
                  <c:v>-25.010145133379957</c:v>
                </c:pt>
                <c:pt idx="86">
                  <c:v>-25.829007555768779</c:v>
                </c:pt>
                <c:pt idx="87">
                  <c:v>-25.477231045320181</c:v>
                </c:pt>
                <c:pt idx="88">
                  <c:v>-25.480020508464207</c:v>
                </c:pt>
                <c:pt idx="89">
                  <c:v>-25.643429170914889</c:v>
                </c:pt>
                <c:pt idx="90">
                  <c:v>-25.697209172096613</c:v>
                </c:pt>
                <c:pt idx="91">
                  <c:v>-27.143158524991939</c:v>
                </c:pt>
                <c:pt idx="92">
                  <c:v>-25.887306588474157</c:v>
                </c:pt>
                <c:pt idx="94">
                  <c:v>-26.704138054837401</c:v>
                </c:pt>
                <c:pt idx="95">
                  <c:v>-26.98096966882968</c:v>
                </c:pt>
                <c:pt idx="96">
                  <c:v>-27.116597384741148</c:v>
                </c:pt>
                <c:pt idx="97">
                  <c:v>-27.06773646793037</c:v>
                </c:pt>
                <c:pt idx="98">
                  <c:v>-27.084245970300014</c:v>
                </c:pt>
                <c:pt idx="99">
                  <c:v>-27.314976180827344</c:v>
                </c:pt>
                <c:pt idx="100">
                  <c:v>-27.854867478420697</c:v>
                </c:pt>
                <c:pt idx="101">
                  <c:v>-27.922366639492768</c:v>
                </c:pt>
                <c:pt idx="102">
                  <c:v>-27.664091528269097</c:v>
                </c:pt>
                <c:pt idx="103">
                  <c:v>-27.547040428681058</c:v>
                </c:pt>
                <c:pt idx="104">
                  <c:v>-28.381687289741997</c:v>
                </c:pt>
                <c:pt idx="105">
                  <c:v>-27.969838961768634</c:v>
                </c:pt>
                <c:pt idx="106">
                  <c:v>-28.430266765801182</c:v>
                </c:pt>
                <c:pt idx="107">
                  <c:v>-28.952417725255142</c:v>
                </c:pt>
                <c:pt idx="108">
                  <c:v>-28.436474879145912</c:v>
                </c:pt>
                <c:pt idx="109">
                  <c:v>-28.747822185600125</c:v>
                </c:pt>
                <c:pt idx="110">
                  <c:v>-35.062447863706936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9-4AE9-A3DA-C2E2E792CAA0}"/>
            </c:ext>
          </c:extLst>
        </c:ser>
        <c:ser>
          <c:idx val="11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-0.14834800005658622</c:v>
                </c:pt>
                <c:pt idx="2">
                  <c:v>-0.2275186139013563</c:v>
                </c:pt>
                <c:pt idx="3">
                  <c:v>-0.23439664401925242</c:v>
                </c:pt>
                <c:pt idx="4">
                  <c:v>-0.95461562133802857</c:v>
                </c:pt>
                <c:pt idx="5">
                  <c:v>-2.2540529924657271</c:v>
                </c:pt>
                <c:pt idx="6">
                  <c:v>-2.9884674323503724</c:v>
                </c:pt>
                <c:pt idx="7">
                  <c:v>-2.9526523798040216</c:v>
                </c:pt>
                <c:pt idx="8">
                  <c:v>-3.7444650859845829</c:v>
                </c:pt>
                <c:pt idx="9">
                  <c:v>-3.4181352138800136</c:v>
                </c:pt>
                <c:pt idx="10">
                  <c:v>-3.428990658921105</c:v>
                </c:pt>
                <c:pt idx="11">
                  <c:v>-4.2284189850212428</c:v>
                </c:pt>
                <c:pt idx="12">
                  <c:v>-3.8008537238884976</c:v>
                </c:pt>
                <c:pt idx="13">
                  <c:v>-4.1494602174600992</c:v>
                </c:pt>
                <c:pt idx="14">
                  <c:v>-5.0186537038445778</c:v>
                </c:pt>
                <c:pt idx="15">
                  <c:v>-5.1101764761596336</c:v>
                </c:pt>
                <c:pt idx="16">
                  <c:v>-5.6410646621127825</c:v>
                </c:pt>
                <c:pt idx="17">
                  <c:v>-5.4823755227335624</c:v>
                </c:pt>
                <c:pt idx="18">
                  <c:v>-6.3191486260425478</c:v>
                </c:pt>
                <c:pt idx="19">
                  <c:v>-6.0435985683175986</c:v>
                </c:pt>
                <c:pt idx="20">
                  <c:v>-6.4842998774561345</c:v>
                </c:pt>
                <c:pt idx="21">
                  <c:v>-6.6154962405540196</c:v>
                </c:pt>
                <c:pt idx="22">
                  <c:v>-6.6081369431301162</c:v>
                </c:pt>
                <c:pt idx="23">
                  <c:v>-6.8098943270697987</c:v>
                </c:pt>
                <c:pt idx="24">
                  <c:v>-7.1453705296842251</c:v>
                </c:pt>
                <c:pt idx="25">
                  <c:v>-6.8446025097750329</c:v>
                </c:pt>
                <c:pt idx="26">
                  <c:v>-6.7455474455613285</c:v>
                </c:pt>
                <c:pt idx="27">
                  <c:v>-6.8692939311825185</c:v>
                </c:pt>
                <c:pt idx="28">
                  <c:v>-6.8243312974964887</c:v>
                </c:pt>
                <c:pt idx="29">
                  <c:v>-6.8618489811935746</c:v>
                </c:pt>
                <c:pt idx="30">
                  <c:v>-7.3164179759364067</c:v>
                </c:pt>
                <c:pt idx="31">
                  <c:v>-7.5680420324832909</c:v>
                </c:pt>
                <c:pt idx="32">
                  <c:v>-7.3539020501343089</c:v>
                </c:pt>
                <c:pt idx="33">
                  <c:v>-7.6130059483427992</c:v>
                </c:pt>
                <c:pt idx="34">
                  <c:v>-7.4668469462326748</c:v>
                </c:pt>
                <c:pt idx="35">
                  <c:v>-7.598015253145185</c:v>
                </c:pt>
                <c:pt idx="36">
                  <c:v>-7.6392286602851023</c:v>
                </c:pt>
                <c:pt idx="37">
                  <c:v>-7.7254141148359601</c:v>
                </c:pt>
                <c:pt idx="38">
                  <c:v>-8.2004387278589164</c:v>
                </c:pt>
                <c:pt idx="39">
                  <c:v>-8.2201597137898652</c:v>
                </c:pt>
                <c:pt idx="40">
                  <c:v>-7.9587622870884722</c:v>
                </c:pt>
                <c:pt idx="41">
                  <c:v>-8.2896084254091562</c:v>
                </c:pt>
                <c:pt idx="42">
                  <c:v>-8.0823537788119459</c:v>
                </c:pt>
                <c:pt idx="43">
                  <c:v>-8.2065805537228087</c:v>
                </c:pt>
                <c:pt idx="44">
                  <c:v>-8.1989927377850158</c:v>
                </c:pt>
                <c:pt idx="45">
                  <c:v>-8.3232241022170861</c:v>
                </c:pt>
                <c:pt idx="46">
                  <c:v>-8.6845172793128533</c:v>
                </c:pt>
                <c:pt idx="47">
                  <c:v>-8.4055997343579492</c:v>
                </c:pt>
                <c:pt idx="48">
                  <c:v>-8.5595807025100612</c:v>
                </c:pt>
                <c:pt idx="49">
                  <c:v>-8.5633993729792302</c:v>
                </c:pt>
                <c:pt idx="50">
                  <c:v>-8.7249980240953207</c:v>
                </c:pt>
                <c:pt idx="51">
                  <c:v>-8.7288167818622142</c:v>
                </c:pt>
                <c:pt idx="52">
                  <c:v>-8.8187978822640289</c:v>
                </c:pt>
                <c:pt idx="53">
                  <c:v>-8.6945599085042069</c:v>
                </c:pt>
                <c:pt idx="54">
                  <c:v>-8.9315861373111538</c:v>
                </c:pt>
                <c:pt idx="55">
                  <c:v>-8.8073410993030343</c:v>
                </c:pt>
                <c:pt idx="56">
                  <c:v>-8.8035097989065392</c:v>
                </c:pt>
                <c:pt idx="57">
                  <c:v>-9.3150406553110798</c:v>
                </c:pt>
                <c:pt idx="58">
                  <c:v>-8.4591391760091561</c:v>
                </c:pt>
                <c:pt idx="59">
                  <c:v>-9.1305001404675679</c:v>
                </c:pt>
                <c:pt idx="60">
                  <c:v>-9.2166606347738878</c:v>
                </c:pt>
                <c:pt idx="61">
                  <c:v>-9.2539716430768415</c:v>
                </c:pt>
                <c:pt idx="62">
                  <c:v>-9.2805009738716748</c:v>
                </c:pt>
                <c:pt idx="63">
                  <c:v>-9.44204344788524</c:v>
                </c:pt>
                <c:pt idx="64">
                  <c:v>-9.1553927521079714</c:v>
                </c:pt>
                <c:pt idx="65">
                  <c:v>-9.4566760131682415</c:v>
                </c:pt>
                <c:pt idx="66">
                  <c:v>-9.6867058534817474</c:v>
                </c:pt>
                <c:pt idx="67">
                  <c:v>-9.8140029222171243</c:v>
                </c:pt>
                <c:pt idx="68">
                  <c:v>-9.6516133334199061</c:v>
                </c:pt>
                <c:pt idx="69">
                  <c:v>-10.418952374385615</c:v>
                </c:pt>
                <c:pt idx="70">
                  <c:v>-9.9257289341658783</c:v>
                </c:pt>
                <c:pt idx="71">
                  <c:v>-10.144816756575192</c:v>
                </c:pt>
                <c:pt idx="72">
                  <c:v>-10.175176992872625</c:v>
                </c:pt>
                <c:pt idx="73">
                  <c:v>-10.054787433740664</c:v>
                </c:pt>
                <c:pt idx="74">
                  <c:v>-10.26132849663286</c:v>
                </c:pt>
                <c:pt idx="75">
                  <c:v>-10.463973353921574</c:v>
                </c:pt>
                <c:pt idx="76">
                  <c:v>-10.422846161400656</c:v>
                </c:pt>
                <c:pt idx="77">
                  <c:v>-10.498208882496307</c:v>
                </c:pt>
                <c:pt idx="78">
                  <c:v>-11.023815405764914</c:v>
                </c:pt>
                <c:pt idx="79">
                  <c:v>-11.184307209756827</c:v>
                </c:pt>
                <c:pt idx="81">
                  <c:v>-10.849570331924685</c:v>
                </c:pt>
                <c:pt idx="83">
                  <c:v>-10.625898041932924</c:v>
                </c:pt>
                <c:pt idx="85">
                  <c:v>-11.009732789089899</c:v>
                </c:pt>
                <c:pt idx="86">
                  <c:v>-11.807039993132484</c:v>
                </c:pt>
                <c:pt idx="87">
                  <c:v>-11.218110772339696</c:v>
                </c:pt>
                <c:pt idx="88">
                  <c:v>-10.784027682090969</c:v>
                </c:pt>
                <c:pt idx="89">
                  <c:v>-11.818857118780279</c:v>
                </c:pt>
                <c:pt idx="90">
                  <c:v>-11.427818080042229</c:v>
                </c:pt>
                <c:pt idx="91">
                  <c:v>-11.750270354408787</c:v>
                </c:pt>
                <c:pt idx="92">
                  <c:v>-12.661539593199933</c:v>
                </c:pt>
                <c:pt idx="93">
                  <c:v>-11.723278213700006</c:v>
                </c:pt>
                <c:pt idx="94">
                  <c:v>-11.896904557968213</c:v>
                </c:pt>
                <c:pt idx="95">
                  <c:v>-11.745293035435811</c:v>
                </c:pt>
                <c:pt idx="96">
                  <c:v>-11.892841452507685</c:v>
                </c:pt>
                <c:pt idx="97">
                  <c:v>-11.711135705996689</c:v>
                </c:pt>
                <c:pt idx="98">
                  <c:v>-11.586779119937773</c:v>
                </c:pt>
                <c:pt idx="99">
                  <c:v>-11.854631704497187</c:v>
                </c:pt>
                <c:pt idx="100">
                  <c:v>-12.486139284287212</c:v>
                </c:pt>
                <c:pt idx="101">
                  <c:v>-12.230538055321816</c:v>
                </c:pt>
                <c:pt idx="102">
                  <c:v>-12.124000464728724</c:v>
                </c:pt>
                <c:pt idx="103">
                  <c:v>-12.158162218490087</c:v>
                </c:pt>
                <c:pt idx="104">
                  <c:v>-12.387790834194501</c:v>
                </c:pt>
                <c:pt idx="105">
                  <c:v>-12.430085450987782</c:v>
                </c:pt>
                <c:pt idx="106">
                  <c:v>-12.524479793886822</c:v>
                </c:pt>
                <c:pt idx="107">
                  <c:v>-12.459033173140011</c:v>
                </c:pt>
                <c:pt idx="108">
                  <c:v>-12.58043496911343</c:v>
                </c:pt>
                <c:pt idx="109">
                  <c:v>-12.523187543023173</c:v>
                </c:pt>
                <c:pt idx="110">
                  <c:v>-15.831470632551969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9-4AE9-A3DA-C2E2E792CAA0}"/>
            </c:ext>
          </c:extLst>
        </c:ser>
        <c:ser>
          <c:idx val="12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9.0345954278703289E-2</c:v>
                </c:pt>
                <c:pt idx="2">
                  <c:v>-0.27700354708670716</c:v>
                </c:pt>
                <c:pt idx="3">
                  <c:v>-0.31963210679908372</c:v>
                </c:pt>
                <c:pt idx="4">
                  <c:v>-1.5514603596828991</c:v>
                </c:pt>
                <c:pt idx="5">
                  <c:v>-4.9103924253461884</c:v>
                </c:pt>
                <c:pt idx="6">
                  <c:v>-6.9297833423442867</c:v>
                </c:pt>
                <c:pt idx="7">
                  <c:v>-7.4109738000407432</c:v>
                </c:pt>
                <c:pt idx="8">
                  <c:v>-8.3164261709640641</c:v>
                </c:pt>
                <c:pt idx="9">
                  <c:v>-8.6139263636564323</c:v>
                </c:pt>
                <c:pt idx="10">
                  <c:v>-8.5302113201297658</c:v>
                </c:pt>
                <c:pt idx="11">
                  <c:v>-9.6463195629379328</c:v>
                </c:pt>
                <c:pt idx="12">
                  <c:v>-9.8172541484968789</c:v>
                </c:pt>
                <c:pt idx="13">
                  <c:v>-10.156503623909074</c:v>
                </c:pt>
                <c:pt idx="14">
                  <c:v>-11.215743190087224</c:v>
                </c:pt>
                <c:pt idx="15">
                  <c:v>-12.307752298305275</c:v>
                </c:pt>
                <c:pt idx="16">
                  <c:v>-12.362488201624444</c:v>
                </c:pt>
                <c:pt idx="17">
                  <c:v>-12.388695564855112</c:v>
                </c:pt>
                <c:pt idx="18">
                  <c:v>-13.299589234361697</c:v>
                </c:pt>
                <c:pt idx="19">
                  <c:v>-13.645052074396702</c:v>
                </c:pt>
                <c:pt idx="20">
                  <c:v>-14.247877074615722</c:v>
                </c:pt>
                <c:pt idx="21">
                  <c:v>-13.554496985791253</c:v>
                </c:pt>
                <c:pt idx="22">
                  <c:v>-13.30077992682277</c:v>
                </c:pt>
                <c:pt idx="25">
                  <c:v>-15.015381379004822</c:v>
                </c:pt>
                <c:pt idx="26">
                  <c:v>-14.685059689131919</c:v>
                </c:pt>
                <c:pt idx="27">
                  <c:v>-15.126428049990537</c:v>
                </c:pt>
                <c:pt idx="28">
                  <c:v>-15.047889497790123</c:v>
                </c:pt>
                <c:pt idx="29">
                  <c:v>-15.005304724778235</c:v>
                </c:pt>
                <c:pt idx="30">
                  <c:v>-15.803197900976507</c:v>
                </c:pt>
                <c:pt idx="31">
                  <c:v>-16.116973973355542</c:v>
                </c:pt>
                <c:pt idx="32">
                  <c:v>-15.990447169558664</c:v>
                </c:pt>
                <c:pt idx="34">
                  <c:v>-15.495843432153045</c:v>
                </c:pt>
                <c:pt idx="35">
                  <c:v>-15.996712879553066</c:v>
                </c:pt>
                <c:pt idx="36">
                  <c:v>-16.565674268722574</c:v>
                </c:pt>
                <c:pt idx="37">
                  <c:v>-16.390122293046261</c:v>
                </c:pt>
                <c:pt idx="38">
                  <c:v>-16.832563078549967</c:v>
                </c:pt>
                <c:pt idx="39">
                  <c:v>-17.788363920126393</c:v>
                </c:pt>
                <c:pt idx="40">
                  <c:v>-17.06682923820324</c:v>
                </c:pt>
                <c:pt idx="42">
                  <c:v>-17.343877690587206</c:v>
                </c:pt>
                <c:pt idx="43">
                  <c:v>-17.386454628543824</c:v>
                </c:pt>
                <c:pt idx="44">
                  <c:v>-17.344424762089083</c:v>
                </c:pt>
                <c:pt idx="45">
                  <c:v>-17.290633891095197</c:v>
                </c:pt>
                <c:pt idx="46">
                  <c:v>-17.157102726849338</c:v>
                </c:pt>
                <c:pt idx="47">
                  <c:v>-17.562678018670397</c:v>
                </c:pt>
                <c:pt idx="48">
                  <c:v>-17.791494110715789</c:v>
                </c:pt>
                <c:pt idx="49">
                  <c:v>-17.701339737142163</c:v>
                </c:pt>
                <c:pt idx="50">
                  <c:v>-17.919197303538859</c:v>
                </c:pt>
                <c:pt idx="51">
                  <c:v>-18.020960851140799</c:v>
                </c:pt>
                <c:pt idx="53">
                  <c:v>-17.695917627111868</c:v>
                </c:pt>
                <c:pt idx="54">
                  <c:v>-18.020960900548388</c:v>
                </c:pt>
                <c:pt idx="55">
                  <c:v>-18.148789062895077</c:v>
                </c:pt>
                <c:pt idx="56">
                  <c:v>-18.058240317071927</c:v>
                </c:pt>
                <c:pt idx="58">
                  <c:v>-17.605367694371488</c:v>
                </c:pt>
                <c:pt idx="59">
                  <c:v>-18.197144320159175</c:v>
                </c:pt>
                <c:pt idx="60">
                  <c:v>-18.778228875674152</c:v>
                </c:pt>
                <c:pt idx="61">
                  <c:v>-18.777440164154946</c:v>
                </c:pt>
                <c:pt idx="62">
                  <c:v>-18.782867638531542</c:v>
                </c:pt>
                <c:pt idx="64">
                  <c:v>-18.48498889504846</c:v>
                </c:pt>
                <c:pt idx="81">
                  <c:v>-21.533424160613102</c:v>
                </c:pt>
                <c:pt idx="83">
                  <c:v>-20.972391126627521</c:v>
                </c:pt>
                <c:pt idx="85">
                  <c:v>-21.49352684458794</c:v>
                </c:pt>
                <c:pt idx="86">
                  <c:v>-22.792134062153302</c:v>
                </c:pt>
                <c:pt idx="87">
                  <c:v>-21.648619035142147</c:v>
                </c:pt>
                <c:pt idx="88">
                  <c:v>-20.994370134236995</c:v>
                </c:pt>
                <c:pt idx="89">
                  <c:v>-21.851380375371043</c:v>
                </c:pt>
                <c:pt idx="90">
                  <c:v>-21.56923177141401</c:v>
                </c:pt>
                <c:pt idx="91">
                  <c:v>-23.414696880367458</c:v>
                </c:pt>
                <c:pt idx="92">
                  <c:v>-22.827054168913286</c:v>
                </c:pt>
                <c:pt idx="94">
                  <c:v>-22.42673020863073</c:v>
                </c:pt>
                <c:pt idx="95">
                  <c:v>-22.517124115040588</c:v>
                </c:pt>
                <c:pt idx="96">
                  <c:v>-22.820264571659976</c:v>
                </c:pt>
                <c:pt idx="97">
                  <c:v>-22.559625605234501</c:v>
                </c:pt>
                <c:pt idx="98">
                  <c:v>-22.474556540205803</c:v>
                </c:pt>
                <c:pt idx="99">
                  <c:v>-22.831365332639741</c:v>
                </c:pt>
                <c:pt idx="100">
                  <c:v>-23.90637191013667</c:v>
                </c:pt>
                <c:pt idx="101">
                  <c:v>-23.773413665483467</c:v>
                </c:pt>
                <c:pt idx="102">
                  <c:v>-23.326208142046667</c:v>
                </c:pt>
                <c:pt idx="103">
                  <c:v>-23.145362128889069</c:v>
                </c:pt>
                <c:pt idx="104">
                  <c:v>-24.141041301256827</c:v>
                </c:pt>
                <c:pt idx="105">
                  <c:v>-23.784652199596579</c:v>
                </c:pt>
                <c:pt idx="106">
                  <c:v>-24.008016376557251</c:v>
                </c:pt>
                <c:pt idx="107">
                  <c:v>-24.188983285003296</c:v>
                </c:pt>
                <c:pt idx="108">
                  <c:v>-23.90672683580064</c:v>
                </c:pt>
                <c:pt idx="109">
                  <c:v>-24.045143821582293</c:v>
                </c:pt>
                <c:pt idx="110">
                  <c:v>-30.572326678477424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9-4AE9-A3DA-C2E2E792CAA0}"/>
            </c:ext>
          </c:extLst>
        </c:ser>
        <c:ser>
          <c:idx val="13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-0.48933959378505421</c:v>
                </c:pt>
                <c:pt idx="2">
                  <c:v>-0.17325190238093313</c:v>
                </c:pt>
                <c:pt idx="3">
                  <c:v>-3.8351690155202789E-2</c:v>
                </c:pt>
                <c:pt idx="4">
                  <c:v>-1.3304147965653712</c:v>
                </c:pt>
                <c:pt idx="5">
                  <c:v>-4.7277778868162201</c:v>
                </c:pt>
                <c:pt idx="6">
                  <c:v>-7.4136013605858864</c:v>
                </c:pt>
                <c:pt idx="7">
                  <c:v>-9.0532751167371472</c:v>
                </c:pt>
                <c:pt idx="8">
                  <c:v>-8.6567229293326164</c:v>
                </c:pt>
                <c:pt idx="9">
                  <c:v>-10.567755536608381</c:v>
                </c:pt>
                <c:pt idx="10">
                  <c:v>-10.41436190257361</c:v>
                </c:pt>
                <c:pt idx="11">
                  <c:v>-11.460493025420959</c:v>
                </c:pt>
                <c:pt idx="12">
                  <c:v>-11.488017888541258</c:v>
                </c:pt>
                <c:pt idx="13">
                  <c:v>-12.704686606246796</c:v>
                </c:pt>
                <c:pt idx="14">
                  <c:v>-12.46120733606837</c:v>
                </c:pt>
                <c:pt idx="15">
                  <c:v>-13.347184940170287</c:v>
                </c:pt>
                <c:pt idx="16">
                  <c:v>-14.283759279900998</c:v>
                </c:pt>
                <c:pt idx="17">
                  <c:v>-14.292472072209073</c:v>
                </c:pt>
                <c:pt idx="18">
                  <c:v>-15.094056136156553</c:v>
                </c:pt>
                <c:pt idx="19">
                  <c:v>-15.298664061028866</c:v>
                </c:pt>
                <c:pt idx="20">
                  <c:v>-15.55404606384414</c:v>
                </c:pt>
                <c:pt idx="21">
                  <c:v>-15.798556687069976</c:v>
                </c:pt>
                <c:pt idx="22">
                  <c:v>-16.105178162055367</c:v>
                </c:pt>
                <c:pt idx="23">
                  <c:v>-15.767087445441419</c:v>
                </c:pt>
                <c:pt idx="24">
                  <c:v>-17.730598258832053</c:v>
                </c:pt>
                <c:pt idx="25">
                  <c:v>-17.753000121711437</c:v>
                </c:pt>
                <c:pt idx="26">
                  <c:v>-17.625852747660709</c:v>
                </c:pt>
                <c:pt idx="27">
                  <c:v>-17.961500800346641</c:v>
                </c:pt>
                <c:pt idx="28">
                  <c:v>-18.111052033059849</c:v>
                </c:pt>
                <c:pt idx="29">
                  <c:v>-18.344839424210058</c:v>
                </c:pt>
                <c:pt idx="30">
                  <c:v>-19.263758193622138</c:v>
                </c:pt>
                <c:pt idx="31">
                  <c:v>-19.693772613284644</c:v>
                </c:pt>
                <c:pt idx="32">
                  <c:v>-19.759607144915314</c:v>
                </c:pt>
                <c:pt idx="33">
                  <c:v>-19.585617033125224</c:v>
                </c:pt>
                <c:pt idx="34">
                  <c:v>-19.458659461138339</c:v>
                </c:pt>
                <c:pt idx="35">
                  <c:v>-20.132203922862857</c:v>
                </c:pt>
                <c:pt idx="36">
                  <c:v>-20.555243924926359</c:v>
                </c:pt>
                <c:pt idx="37">
                  <c:v>-20.606629781129371</c:v>
                </c:pt>
                <c:pt idx="38">
                  <c:v>-21.656872513905689</c:v>
                </c:pt>
                <c:pt idx="39">
                  <c:v>-21.681516267014977</c:v>
                </c:pt>
                <c:pt idx="40">
                  <c:v>-21.525482687022368</c:v>
                </c:pt>
                <c:pt idx="41">
                  <c:v>-22.054319182745807</c:v>
                </c:pt>
                <c:pt idx="42">
                  <c:v>-22.090405832392968</c:v>
                </c:pt>
                <c:pt idx="43">
                  <c:v>-22.170852575917444</c:v>
                </c:pt>
                <c:pt idx="44">
                  <c:v>-22.094950539148783</c:v>
                </c:pt>
                <c:pt idx="45">
                  <c:v>-22.317047926397215</c:v>
                </c:pt>
                <c:pt idx="46">
                  <c:v>-22.565357123022878</c:v>
                </c:pt>
                <c:pt idx="47">
                  <c:v>-22.609099111124742</c:v>
                </c:pt>
                <c:pt idx="48">
                  <c:v>-22.970018732415554</c:v>
                </c:pt>
                <c:pt idx="49">
                  <c:v>-22.722506786789332</c:v>
                </c:pt>
                <c:pt idx="50">
                  <c:v>-23.349264685115223</c:v>
                </c:pt>
                <c:pt idx="51">
                  <c:v>-23.316527840480106</c:v>
                </c:pt>
                <c:pt idx="52">
                  <c:v>-23.247378682877518</c:v>
                </c:pt>
                <c:pt idx="53">
                  <c:v>-22.970784106245645</c:v>
                </c:pt>
                <c:pt idx="54">
                  <c:v>-23.415261617913963</c:v>
                </c:pt>
                <c:pt idx="55">
                  <c:v>-23.513966860640778</c:v>
                </c:pt>
                <c:pt idx="56">
                  <c:v>-23.605100688777192</c:v>
                </c:pt>
                <c:pt idx="57">
                  <c:v>-23.521858266110307</c:v>
                </c:pt>
                <c:pt idx="58">
                  <c:v>-23.812808371282301</c:v>
                </c:pt>
                <c:pt idx="59">
                  <c:v>-24.100889884200782</c:v>
                </c:pt>
                <c:pt idx="60">
                  <c:v>-24.141417061615655</c:v>
                </c:pt>
                <c:pt idx="61">
                  <c:v>-24.556839033581745</c:v>
                </c:pt>
                <c:pt idx="62">
                  <c:v>-25.099989979714188</c:v>
                </c:pt>
                <c:pt idx="63">
                  <c:v>-25.311613028394575</c:v>
                </c:pt>
                <c:pt idx="64">
                  <c:v>-24.990825906447078</c:v>
                </c:pt>
                <c:pt idx="65">
                  <c:v>-25.049364302708987</c:v>
                </c:pt>
                <c:pt idx="66">
                  <c:v>-25.588894846705124</c:v>
                </c:pt>
                <c:pt idx="67">
                  <c:v>-25.916805609088378</c:v>
                </c:pt>
                <c:pt idx="68">
                  <c:v>-25.753688070119019</c:v>
                </c:pt>
                <c:pt idx="69">
                  <c:v>-27.302439430934911</c:v>
                </c:pt>
                <c:pt idx="70">
                  <c:v>-27.171203160010649</c:v>
                </c:pt>
                <c:pt idx="71">
                  <c:v>-26.795878707932097</c:v>
                </c:pt>
                <c:pt idx="72">
                  <c:v>-27.145721678906831</c:v>
                </c:pt>
                <c:pt idx="73">
                  <c:v>-26.730279230688936</c:v>
                </c:pt>
                <c:pt idx="74">
                  <c:v>-27.572203265212814</c:v>
                </c:pt>
                <c:pt idx="75">
                  <c:v>-27.893187691964805</c:v>
                </c:pt>
                <c:pt idx="76">
                  <c:v>-27.747490599344005</c:v>
                </c:pt>
                <c:pt idx="77">
                  <c:v>-28.159557486440612</c:v>
                </c:pt>
                <c:pt idx="78">
                  <c:v>-29.639343933551388</c:v>
                </c:pt>
                <c:pt idx="79">
                  <c:v>-30.153161475909407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9-4AE9-A3DA-C2E2E792CAA0}"/>
            </c:ext>
          </c:extLst>
        </c:ser>
        <c:ser>
          <c:idx val="14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9050">
              <a:solidFill>
                <a:schemeClr val="accent3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Convergences!$K$10:$K$200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-0.39843061387934142</c:v>
                </c:pt>
                <c:pt idx="2">
                  <c:v>0.10384984744149506</c:v>
                </c:pt>
                <c:pt idx="3">
                  <c:v>0.50220496721031793</c:v>
                </c:pt>
                <c:pt idx="4">
                  <c:v>-1.5314583033738671</c:v>
                </c:pt>
                <c:pt idx="5">
                  <c:v>-6.5854613063223155</c:v>
                </c:pt>
                <c:pt idx="6">
                  <c:v>-8.7233936985686711</c:v>
                </c:pt>
                <c:pt idx="7">
                  <c:v>-9.6298324379908706</c:v>
                </c:pt>
                <c:pt idx="8">
                  <c:v>-8.3033495572326643</c:v>
                </c:pt>
                <c:pt idx="9">
                  <c:v>-10.201101731666995</c:v>
                </c:pt>
                <c:pt idx="10">
                  <c:v>-9.4203170420463778</c:v>
                </c:pt>
                <c:pt idx="11">
                  <c:v>-11.023359047740655</c:v>
                </c:pt>
                <c:pt idx="12">
                  <c:v>-10.664015205009036</c:v>
                </c:pt>
                <c:pt idx="13">
                  <c:v>-12.856971728478328</c:v>
                </c:pt>
                <c:pt idx="14">
                  <c:v>-12.824157679903081</c:v>
                </c:pt>
                <c:pt idx="15">
                  <c:v>-13.773459540837862</c:v>
                </c:pt>
                <c:pt idx="16">
                  <c:v>-14.532036331669218</c:v>
                </c:pt>
                <c:pt idx="17">
                  <c:v>-13.808919156657495</c:v>
                </c:pt>
                <c:pt idx="18">
                  <c:v>-15.092071631864101</c:v>
                </c:pt>
                <c:pt idx="19">
                  <c:v>-14.83566877161735</c:v>
                </c:pt>
                <c:pt idx="20">
                  <c:v>-15.302412758114059</c:v>
                </c:pt>
                <c:pt idx="21">
                  <c:v>-15.512656089947896</c:v>
                </c:pt>
                <c:pt idx="22">
                  <c:v>-15.512729331447872</c:v>
                </c:pt>
                <c:pt idx="23">
                  <c:v>-15.446619961169361</c:v>
                </c:pt>
                <c:pt idx="24">
                  <c:v>-16.818248764220556</c:v>
                </c:pt>
                <c:pt idx="25">
                  <c:v>-16.468468614791121</c:v>
                </c:pt>
                <c:pt idx="26">
                  <c:v>-15.953068910233625</c:v>
                </c:pt>
                <c:pt idx="27">
                  <c:v>-16.127909593322443</c:v>
                </c:pt>
                <c:pt idx="28">
                  <c:v>-16.267228597776295</c:v>
                </c:pt>
                <c:pt idx="29">
                  <c:v>-16.085925569392145</c:v>
                </c:pt>
                <c:pt idx="30">
                  <c:v>-17.021945418996154</c:v>
                </c:pt>
                <c:pt idx="31">
                  <c:v>-17.349243024643357</c:v>
                </c:pt>
                <c:pt idx="32">
                  <c:v>-17.20324717191879</c:v>
                </c:pt>
                <c:pt idx="33">
                  <c:v>-17.26107297116819</c:v>
                </c:pt>
                <c:pt idx="34">
                  <c:v>-16.714394462955084</c:v>
                </c:pt>
                <c:pt idx="35">
                  <c:v>-17.293896073249826</c:v>
                </c:pt>
                <c:pt idx="36">
                  <c:v>-17.433440119621224</c:v>
                </c:pt>
                <c:pt idx="37">
                  <c:v>-17.38477390291493</c:v>
                </c:pt>
                <c:pt idx="38">
                  <c:v>-18.612494079542685</c:v>
                </c:pt>
                <c:pt idx="39">
                  <c:v>-18.176358599207632</c:v>
                </c:pt>
                <c:pt idx="40">
                  <c:v>-17.928969917065274</c:v>
                </c:pt>
                <c:pt idx="41">
                  <c:v>-18.550910166482026</c:v>
                </c:pt>
                <c:pt idx="42">
                  <c:v>-18.340523762272909</c:v>
                </c:pt>
                <c:pt idx="43">
                  <c:v>-18.382587613157142</c:v>
                </c:pt>
                <c:pt idx="44">
                  <c:v>-18.152556092752903</c:v>
                </c:pt>
                <c:pt idx="45">
                  <c:v>-18.369305040762285</c:v>
                </c:pt>
                <c:pt idx="46">
                  <c:v>-18.683694331208756</c:v>
                </c:pt>
                <c:pt idx="47">
                  <c:v>-18.550833324423976</c:v>
                </c:pt>
                <c:pt idx="48">
                  <c:v>-18.738883344900259</c:v>
                </c:pt>
                <c:pt idx="49">
                  <c:v>-18.375988375186836</c:v>
                </c:pt>
                <c:pt idx="50">
                  <c:v>-19.08865331439813</c:v>
                </c:pt>
                <c:pt idx="51">
                  <c:v>-18.920329508411271</c:v>
                </c:pt>
                <c:pt idx="52">
                  <c:v>-18.949261651879823</c:v>
                </c:pt>
                <c:pt idx="53">
                  <c:v>-18.369459912882746</c:v>
                </c:pt>
                <c:pt idx="54">
                  <c:v>-19.004376968199566</c:v>
                </c:pt>
                <c:pt idx="55">
                  <c:v>-18.780945617981715</c:v>
                </c:pt>
                <c:pt idx="56">
                  <c:v>-18.8164013692802</c:v>
                </c:pt>
                <c:pt idx="57">
                  <c:v>-19.314617165379744</c:v>
                </c:pt>
                <c:pt idx="58">
                  <c:v>-18.823006861490299</c:v>
                </c:pt>
                <c:pt idx="59">
                  <c:v>-19.137082908232017</c:v>
                </c:pt>
                <c:pt idx="60">
                  <c:v>-18.949106769062141</c:v>
                </c:pt>
                <c:pt idx="61">
                  <c:v>-19.269868055360462</c:v>
                </c:pt>
                <c:pt idx="64">
                  <c:v>-19.036980567101125</c:v>
                </c:pt>
                <c:pt idx="65">
                  <c:v>-19.44471251362323</c:v>
                </c:pt>
                <c:pt idx="66">
                  <c:v>-20.261308046226389</c:v>
                </c:pt>
                <c:pt idx="67">
                  <c:v>-20.478138384596889</c:v>
                </c:pt>
                <c:pt idx="68">
                  <c:v>-19.159223799155356</c:v>
                </c:pt>
                <c:pt idx="69">
                  <c:v>-21.36540671744136</c:v>
                </c:pt>
                <c:pt idx="70">
                  <c:v>-20.672613580527965</c:v>
                </c:pt>
                <c:pt idx="71">
                  <c:v>-20.723702742365901</c:v>
                </c:pt>
                <c:pt idx="72">
                  <c:v>-20.834103508420299</c:v>
                </c:pt>
                <c:pt idx="73">
                  <c:v>-20.471203682163264</c:v>
                </c:pt>
                <c:pt idx="74">
                  <c:v>-21.135202646529905</c:v>
                </c:pt>
                <c:pt idx="75">
                  <c:v>-21.135118630503769</c:v>
                </c:pt>
                <c:pt idx="76">
                  <c:v>-21.086446600147468</c:v>
                </c:pt>
                <c:pt idx="77">
                  <c:v>-21.135202435290878</c:v>
                </c:pt>
                <c:pt idx="78">
                  <c:v>-22.664064126589167</c:v>
                </c:pt>
                <c:pt idx="79">
                  <c:v>-23.172769493676526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9-4AE9-A3DA-C2E2E792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75000"/>
        <c:axId val="515275392"/>
      </c:scatterChart>
      <c:valAx>
        <c:axId val="515275000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PM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5392"/>
        <c:crossesAt val="0"/>
        <c:crossBetween val="midCat"/>
      </c:valAx>
      <c:valAx>
        <c:axId val="515275392"/>
        <c:scaling>
          <c:orientation val="minMax"/>
          <c:max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Convergence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500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0.10000000000331966</c:v>
                </c:pt>
                <c:pt idx="2">
                  <c:v>0.30000000000995897</c:v>
                </c:pt>
                <c:pt idx="3">
                  <c:v>-9.9999999989108801E-2</c:v>
                </c:pt>
                <c:pt idx="4">
                  <c:v>0</c:v>
                </c:pt>
                <c:pt idx="5">
                  <c:v>1.0000000000047748</c:v>
                </c:pt>
                <c:pt idx="6">
                  <c:v>1.0000000000047748</c:v>
                </c:pt>
                <c:pt idx="7">
                  <c:v>0</c:v>
                </c:pt>
                <c:pt idx="8">
                  <c:v>0</c:v>
                </c:pt>
                <c:pt idx="9">
                  <c:v>0.30000000000995897</c:v>
                </c:pt>
                <c:pt idx="10">
                  <c:v>0.79999999999813554</c:v>
                </c:pt>
                <c:pt idx="11">
                  <c:v>0</c:v>
                </c:pt>
                <c:pt idx="12">
                  <c:v>0.30000000000995897</c:v>
                </c:pt>
                <c:pt idx="13">
                  <c:v>0.10000000000331966</c:v>
                </c:pt>
                <c:pt idx="14">
                  <c:v>-0.19999999999242846</c:v>
                </c:pt>
                <c:pt idx="15">
                  <c:v>-0.19999999999242846</c:v>
                </c:pt>
                <c:pt idx="16">
                  <c:v>0</c:v>
                </c:pt>
                <c:pt idx="17">
                  <c:v>-0.49999999998817657</c:v>
                </c:pt>
                <c:pt idx="18">
                  <c:v>0.30000000000995897</c:v>
                </c:pt>
                <c:pt idx="19">
                  <c:v>-0.29999999999574811</c:v>
                </c:pt>
                <c:pt idx="20">
                  <c:v>-0.19999999999242846</c:v>
                </c:pt>
                <c:pt idx="21">
                  <c:v>0.20000000000663931</c:v>
                </c:pt>
                <c:pt idx="22">
                  <c:v>-0.19999999999242846</c:v>
                </c:pt>
                <c:pt idx="23">
                  <c:v>0</c:v>
                </c:pt>
                <c:pt idx="24">
                  <c:v>0.79999999999813554</c:v>
                </c:pt>
                <c:pt idx="25">
                  <c:v>0</c:v>
                </c:pt>
                <c:pt idx="26">
                  <c:v>-9.9999999989108801E-2</c:v>
                </c:pt>
                <c:pt idx="27">
                  <c:v>0</c:v>
                </c:pt>
                <c:pt idx="28">
                  <c:v>-0.19999999999242846</c:v>
                </c:pt>
                <c:pt idx="29">
                  <c:v>0.60000000000570708</c:v>
                </c:pt>
                <c:pt idx="30">
                  <c:v>0.20000000000663931</c:v>
                </c:pt>
                <c:pt idx="31">
                  <c:v>0.70000000000902673</c:v>
                </c:pt>
                <c:pt idx="32">
                  <c:v>0.10000000000331966</c:v>
                </c:pt>
                <c:pt idx="33">
                  <c:v>-0.29999999999574811</c:v>
                </c:pt>
                <c:pt idx="34">
                  <c:v>-0.19999999999242846</c:v>
                </c:pt>
                <c:pt idx="35">
                  <c:v>-9.9999999989108801E-2</c:v>
                </c:pt>
                <c:pt idx="36">
                  <c:v>0.20000000000663931</c:v>
                </c:pt>
                <c:pt idx="37">
                  <c:v>0.20000000000663931</c:v>
                </c:pt>
                <c:pt idx="38">
                  <c:v>3.3333333334439885E-2</c:v>
                </c:pt>
                <c:pt idx="39">
                  <c:v>8.3333333350310568E-2</c:v>
                </c:pt>
                <c:pt idx="40">
                  <c:v>0.60000000000570708</c:v>
                </c:pt>
                <c:pt idx="41">
                  <c:v>-0.29999999999574811</c:v>
                </c:pt>
                <c:pt idx="42">
                  <c:v>-9.9999999989108801E-2</c:v>
                </c:pt>
                <c:pt idx="43">
                  <c:v>0.20000000000663931</c:v>
                </c:pt>
                <c:pt idx="44">
                  <c:v>0.30000000000995897</c:v>
                </c:pt>
                <c:pt idx="45">
                  <c:v>0</c:v>
                </c:pt>
                <c:pt idx="46">
                  <c:v>0.39999999999906777</c:v>
                </c:pt>
                <c:pt idx="47">
                  <c:v>0.30000000000995897</c:v>
                </c:pt>
                <c:pt idx="48">
                  <c:v>0.39999999999906777</c:v>
                </c:pt>
                <c:pt idx="49">
                  <c:v>0.30000000000995897</c:v>
                </c:pt>
                <c:pt idx="50">
                  <c:v>0.60000000000570708</c:v>
                </c:pt>
                <c:pt idx="51">
                  <c:v>0.10000000000331966</c:v>
                </c:pt>
                <c:pt idx="52">
                  <c:v>0.20000000000663931</c:v>
                </c:pt>
                <c:pt idx="53">
                  <c:v>0</c:v>
                </c:pt>
                <c:pt idx="54">
                  <c:v>1.300000000000523</c:v>
                </c:pt>
                <c:pt idx="55">
                  <c:v>0</c:v>
                </c:pt>
                <c:pt idx="56">
                  <c:v>0.60000000000570708</c:v>
                </c:pt>
                <c:pt idx="57">
                  <c:v>-0.29999999999574811</c:v>
                </c:pt>
                <c:pt idx="58">
                  <c:v>0.10000000000331966</c:v>
                </c:pt>
                <c:pt idx="59">
                  <c:v>0</c:v>
                </c:pt>
                <c:pt idx="60">
                  <c:v>0.10000000000331966</c:v>
                </c:pt>
                <c:pt idx="61">
                  <c:v>0.39999999999906777</c:v>
                </c:pt>
                <c:pt idx="62">
                  <c:v>0.20000000000663931</c:v>
                </c:pt>
                <c:pt idx="63">
                  <c:v>-0.29999999999574811</c:v>
                </c:pt>
                <c:pt idx="64">
                  <c:v>0.30000000000995897</c:v>
                </c:pt>
                <c:pt idx="65">
                  <c:v>-0.49999999998817657</c:v>
                </c:pt>
                <c:pt idx="66">
                  <c:v>-9.9999999989108801E-2</c:v>
                </c:pt>
                <c:pt idx="67">
                  <c:v>-9.9999999989108801E-2</c:v>
                </c:pt>
                <c:pt idx="68">
                  <c:v>-0.59999999999149622</c:v>
                </c:pt>
                <c:pt idx="69">
                  <c:v>0.20000000000663931</c:v>
                </c:pt>
                <c:pt idx="70">
                  <c:v>-9.9999999989108801E-2</c:v>
                </c:pt>
                <c:pt idx="71">
                  <c:v>-0.69999999999481588</c:v>
                </c:pt>
                <c:pt idx="72">
                  <c:v>0.60000000000570708</c:v>
                </c:pt>
                <c:pt idx="73">
                  <c:v>0</c:v>
                </c:pt>
                <c:pt idx="74">
                  <c:v>-0.29999999999574811</c:v>
                </c:pt>
                <c:pt idx="75">
                  <c:v>0.39999999999906777</c:v>
                </c:pt>
                <c:pt idx="76">
                  <c:v>-0.69999999999481588</c:v>
                </c:pt>
                <c:pt idx="77">
                  <c:v>-0.29999999999574811</c:v>
                </c:pt>
                <c:pt idx="78">
                  <c:v>-0.59999999999149622</c:v>
                </c:pt>
                <c:pt idx="81">
                  <c:v>0.10000000000331966</c:v>
                </c:pt>
                <c:pt idx="83">
                  <c:v>0.10000000000331966</c:v>
                </c:pt>
                <c:pt idx="85">
                  <c:v>-0.50000000000238742</c:v>
                </c:pt>
                <c:pt idx="86">
                  <c:v>0.70000000000902673</c:v>
                </c:pt>
                <c:pt idx="87">
                  <c:v>-0.50000000000238742</c:v>
                </c:pt>
                <c:pt idx="88">
                  <c:v>0</c:v>
                </c:pt>
                <c:pt idx="89">
                  <c:v>-0.50000000000238742</c:v>
                </c:pt>
                <c:pt idx="90">
                  <c:v>0.10000000000331966</c:v>
                </c:pt>
                <c:pt idx="91">
                  <c:v>-0.29999999999574811</c:v>
                </c:pt>
                <c:pt idx="92">
                  <c:v>0</c:v>
                </c:pt>
                <c:pt idx="93">
                  <c:v>-0.19999999999242846</c:v>
                </c:pt>
                <c:pt idx="94">
                  <c:v>-0.10000000000331966</c:v>
                </c:pt>
                <c:pt idx="95">
                  <c:v>-0.79999999999813554</c:v>
                </c:pt>
                <c:pt idx="96">
                  <c:v>0.50000000000238742</c:v>
                </c:pt>
                <c:pt idx="97">
                  <c:v>0.10000000000331966</c:v>
                </c:pt>
                <c:pt idx="98">
                  <c:v>-0.19999999999242846</c:v>
                </c:pt>
                <c:pt idx="100">
                  <c:v>0.70000000000902673</c:v>
                </c:pt>
                <c:pt idx="101">
                  <c:v>0.10000000000331966</c:v>
                </c:pt>
                <c:pt idx="102">
                  <c:v>-0.29999999999574811</c:v>
                </c:pt>
                <c:pt idx="103">
                  <c:v>-0.29999999999574811</c:v>
                </c:pt>
                <c:pt idx="104">
                  <c:v>0.10000000000331966</c:v>
                </c:pt>
                <c:pt idx="105">
                  <c:v>-0.19999999999242846</c:v>
                </c:pt>
                <c:pt idx="106">
                  <c:v>-0.19999999999242846</c:v>
                </c:pt>
                <c:pt idx="107">
                  <c:v>-0.19999999999242846</c:v>
                </c:pt>
                <c:pt idx="108">
                  <c:v>-0.69999999999481588</c:v>
                </c:pt>
                <c:pt idx="109">
                  <c:v>0.39999999999906777</c:v>
                </c:pt>
                <c:pt idx="110">
                  <c:v>1.1000000000080945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4-4095-80DF-714B0C0E1066}"/>
            </c:ext>
          </c:extLst>
        </c:ser>
        <c:ser>
          <c:idx val="8"/>
          <c:order val="1"/>
          <c:tx>
            <c:strRef>
              <c:f>Déplacements!$Q$9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Déplacements!$Q$10:$Q$200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-0.70000000000902673</c:v>
                </c:pt>
                <c:pt idx="2">
                  <c:v>-0.30000000000995897</c:v>
                </c:pt>
                <c:pt idx="3">
                  <c:v>-0.70000000000902673</c:v>
                </c:pt>
                <c:pt idx="4">
                  <c:v>-1.6999999999995907</c:v>
                </c:pt>
                <c:pt idx="5">
                  <c:v>-2.8000000000076852</c:v>
                </c:pt>
                <c:pt idx="6">
                  <c:v>-4.6999999999997044</c:v>
                </c:pt>
                <c:pt idx="7">
                  <c:v>-6.7000000000092541</c:v>
                </c:pt>
                <c:pt idx="8">
                  <c:v>-6.7000000000092541</c:v>
                </c:pt>
                <c:pt idx="9">
                  <c:v>-7.6999999999998181</c:v>
                </c:pt>
                <c:pt idx="10">
                  <c:v>-6.7000000000092541</c:v>
                </c:pt>
                <c:pt idx="11">
                  <c:v>-8.7000000000045929</c:v>
                </c:pt>
                <c:pt idx="12">
                  <c:v>-8.4999999999979536</c:v>
                </c:pt>
                <c:pt idx="13">
                  <c:v>-9.5000000000027285</c:v>
                </c:pt>
                <c:pt idx="14">
                  <c:v>-9.9000000000017963</c:v>
                </c:pt>
                <c:pt idx="15">
                  <c:v>-10.699999999999932</c:v>
                </c:pt>
                <c:pt idx="16">
                  <c:v>-11.099999999999</c:v>
                </c:pt>
                <c:pt idx="17">
                  <c:v>-11.900000000011346</c:v>
                </c:pt>
                <c:pt idx="18">
                  <c:v>-11.700000000004707</c:v>
                </c:pt>
                <c:pt idx="19">
                  <c:v>-12.300000000010414</c:v>
                </c:pt>
                <c:pt idx="20">
                  <c:v>-13.100000000008549</c:v>
                </c:pt>
                <c:pt idx="21">
                  <c:v>-12.79999999999859</c:v>
                </c:pt>
                <c:pt idx="22">
                  <c:v>-13.500000000007617</c:v>
                </c:pt>
                <c:pt idx="23">
                  <c:v>-13.300000000000978</c:v>
                </c:pt>
                <c:pt idx="24">
                  <c:v>-14.200000000002433</c:v>
                </c:pt>
                <c:pt idx="25">
                  <c:v>-14.400000000009072</c:v>
                </c:pt>
                <c:pt idx="26">
                  <c:v>-14.70000000000482</c:v>
                </c:pt>
                <c:pt idx="27">
                  <c:v>-15.000000000000568</c:v>
                </c:pt>
                <c:pt idx="28">
                  <c:v>-15.300000000010527</c:v>
                </c:pt>
                <c:pt idx="29">
                  <c:v>-15.600000000006276</c:v>
                </c:pt>
                <c:pt idx="30">
                  <c:v>-16.199999999997772</c:v>
                </c:pt>
                <c:pt idx="31">
                  <c:v>-16.100000000008663</c:v>
                </c:pt>
                <c:pt idx="32">
                  <c:v>-16.900000000006798</c:v>
                </c:pt>
                <c:pt idx="33">
                  <c:v>-17.400000000009186</c:v>
                </c:pt>
                <c:pt idx="34">
                  <c:v>-17.300000000005866</c:v>
                </c:pt>
                <c:pt idx="35">
                  <c:v>-17.600000000001614</c:v>
                </c:pt>
                <c:pt idx="36">
                  <c:v>-17.600000000001614</c:v>
                </c:pt>
                <c:pt idx="37">
                  <c:v>-17.800000000008254</c:v>
                </c:pt>
                <c:pt idx="38">
                  <c:v>-19.049999999992906</c:v>
                </c:pt>
                <c:pt idx="39">
                  <c:v>-19.133333333329006</c:v>
                </c:pt>
                <c:pt idx="40">
                  <c:v>-18.39999999999975</c:v>
                </c:pt>
                <c:pt idx="41">
                  <c:v>-19.900000000006912</c:v>
                </c:pt>
                <c:pt idx="42">
                  <c:v>-19.500000000007844</c:v>
                </c:pt>
                <c:pt idx="43">
                  <c:v>-19.500000000007844</c:v>
                </c:pt>
                <c:pt idx="44">
                  <c:v>-19.500000000007844</c:v>
                </c:pt>
                <c:pt idx="45">
                  <c:v>-20.099999999999341</c:v>
                </c:pt>
                <c:pt idx="46">
                  <c:v>-20.099999999999341</c:v>
                </c:pt>
                <c:pt idx="47">
                  <c:v>-20.099999999999341</c:v>
                </c:pt>
                <c:pt idx="48">
                  <c:v>-20.499999999998408</c:v>
                </c:pt>
                <c:pt idx="49">
                  <c:v>-20.499999999998408</c:v>
                </c:pt>
                <c:pt idx="50">
                  <c:v>-20.800000000008367</c:v>
                </c:pt>
                <c:pt idx="51">
                  <c:v>-21.200000000007435</c:v>
                </c:pt>
                <c:pt idx="52">
                  <c:v>-21.200000000007435</c:v>
                </c:pt>
                <c:pt idx="53">
                  <c:v>-21.100000000004115</c:v>
                </c:pt>
                <c:pt idx="54">
                  <c:v>-21.200000000007435</c:v>
                </c:pt>
                <c:pt idx="55">
                  <c:v>-21.700000000009823</c:v>
                </c:pt>
                <c:pt idx="56">
                  <c:v>-21.300000000010755</c:v>
                </c:pt>
                <c:pt idx="57">
                  <c:v>-22.500000000007958</c:v>
                </c:pt>
                <c:pt idx="58">
                  <c:v>-21.900000000002251</c:v>
                </c:pt>
                <c:pt idx="59">
                  <c:v>-22.300000000001319</c:v>
                </c:pt>
                <c:pt idx="60">
                  <c:v>-22.400000000004638</c:v>
                </c:pt>
                <c:pt idx="61">
                  <c:v>-22.600000000011278</c:v>
                </c:pt>
                <c:pt idx="62">
                  <c:v>-23.200000000002774</c:v>
                </c:pt>
                <c:pt idx="63">
                  <c:v>-24.100000000004229</c:v>
                </c:pt>
                <c:pt idx="64">
                  <c:v>-23.099999999999454</c:v>
                </c:pt>
                <c:pt idx="65">
                  <c:v>-24.200000000007549</c:v>
                </c:pt>
                <c:pt idx="66">
                  <c:v>-24.300000000010868</c:v>
                </c:pt>
                <c:pt idx="67">
                  <c:v>-24.600000000006617</c:v>
                </c:pt>
                <c:pt idx="68">
                  <c:v>-25.500000000008072</c:v>
                </c:pt>
                <c:pt idx="69">
                  <c:v>-26.099999999999568</c:v>
                </c:pt>
                <c:pt idx="70">
                  <c:v>-25.90000000000714</c:v>
                </c:pt>
                <c:pt idx="71">
                  <c:v>-26.300000000006207</c:v>
                </c:pt>
                <c:pt idx="72">
                  <c:v>-25.300000000001432</c:v>
                </c:pt>
                <c:pt idx="73">
                  <c:v>-25.7000000000005</c:v>
                </c:pt>
                <c:pt idx="74">
                  <c:v>-26.400000000009527</c:v>
                </c:pt>
                <c:pt idx="75">
                  <c:v>-26.200000000002888</c:v>
                </c:pt>
                <c:pt idx="76">
                  <c:v>-27.300000000010982</c:v>
                </c:pt>
                <c:pt idx="77">
                  <c:v>-27.300000000010982</c:v>
                </c:pt>
                <c:pt idx="78">
                  <c:v>-29.099999999999682</c:v>
                </c:pt>
                <c:pt idx="81">
                  <c:v>-28.599999999997294</c:v>
                </c:pt>
                <c:pt idx="83">
                  <c:v>-28.599999999997294</c:v>
                </c:pt>
                <c:pt idx="85">
                  <c:v>-29.29999999999211</c:v>
                </c:pt>
                <c:pt idx="86">
                  <c:v>-30.299999999996885</c:v>
                </c:pt>
                <c:pt idx="87">
                  <c:v>-29.699999999991178</c:v>
                </c:pt>
                <c:pt idx="88">
                  <c:v>-29.799999999994498</c:v>
                </c:pt>
                <c:pt idx="89">
                  <c:v>-31.30000000000166</c:v>
                </c:pt>
                <c:pt idx="90">
                  <c:v>-30.499999999989313</c:v>
                </c:pt>
                <c:pt idx="91">
                  <c:v>-31.799999999989836</c:v>
                </c:pt>
                <c:pt idx="92">
                  <c:v>-31.899999999993156</c:v>
                </c:pt>
                <c:pt idx="93">
                  <c:v>-31.899999999993156</c:v>
                </c:pt>
                <c:pt idx="94">
                  <c:v>-32.600000000002183</c:v>
                </c:pt>
                <c:pt idx="95">
                  <c:v>-32.899999999997931</c:v>
                </c:pt>
                <c:pt idx="96">
                  <c:v>-31.999999999996476</c:v>
                </c:pt>
                <c:pt idx="97">
                  <c:v>-32.200000000003115</c:v>
                </c:pt>
                <c:pt idx="98">
                  <c:v>-32.799999999994611</c:v>
                </c:pt>
                <c:pt idx="99">
                  <c:v>-33.799999999999386</c:v>
                </c:pt>
                <c:pt idx="100">
                  <c:v>-33.099999999990359</c:v>
                </c:pt>
                <c:pt idx="101">
                  <c:v>-33.299999999996999</c:v>
                </c:pt>
                <c:pt idx="102">
                  <c:v>-33.199999999993679</c:v>
                </c:pt>
                <c:pt idx="103">
                  <c:v>-33.299999999996999</c:v>
                </c:pt>
                <c:pt idx="104">
                  <c:v>-33.799999999999386</c:v>
                </c:pt>
                <c:pt idx="105">
                  <c:v>-33.799999999999386</c:v>
                </c:pt>
                <c:pt idx="106">
                  <c:v>-34.300000000001774</c:v>
                </c:pt>
                <c:pt idx="107">
                  <c:v>-34.79999999998995</c:v>
                </c:pt>
                <c:pt idx="108">
                  <c:v>-35.099999999999909</c:v>
                </c:pt>
                <c:pt idx="109">
                  <c:v>-34.499999999994202</c:v>
                </c:pt>
                <c:pt idx="110">
                  <c:v>-43.199999999998795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4-4095-80DF-714B0C0E1066}"/>
            </c:ext>
          </c:extLst>
        </c:ser>
        <c:ser>
          <c:idx val="9"/>
          <c:order val="2"/>
          <c:tx>
            <c:strRef>
              <c:f>Déplacements!$AC$9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Déplacements!$AC$10:$AC$200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-0.20000000000663931</c:v>
                </c:pt>
                <c:pt idx="2">
                  <c:v>0.29999999999574811</c:v>
                </c:pt>
                <c:pt idx="3">
                  <c:v>-0.20000000000663931</c:v>
                </c:pt>
                <c:pt idx="4">
                  <c:v>0.19999999999242846</c:v>
                </c:pt>
                <c:pt idx="5">
                  <c:v>-0.10000000000331966</c:v>
                </c:pt>
                <c:pt idx="6">
                  <c:v>2.1999999999877673</c:v>
                </c:pt>
                <c:pt idx="7">
                  <c:v>1.1999999999972033</c:v>
                </c:pt>
                <c:pt idx="8">
                  <c:v>1.1999999999972033</c:v>
                </c:pt>
                <c:pt idx="9">
                  <c:v>1.300000000000523</c:v>
                </c:pt>
                <c:pt idx="10">
                  <c:v>1.5999999999962711</c:v>
                </c:pt>
                <c:pt idx="11">
                  <c:v>1.1999999999972033</c:v>
                </c:pt>
                <c:pt idx="12">
                  <c:v>1.7999999999886995</c:v>
                </c:pt>
                <c:pt idx="13">
                  <c:v>1.6999999999995907</c:v>
                </c:pt>
                <c:pt idx="14">
                  <c:v>1.3999999999896318</c:v>
                </c:pt>
                <c:pt idx="15">
                  <c:v>1.3999999999896318</c:v>
                </c:pt>
                <c:pt idx="16">
                  <c:v>1.5999999999962711</c:v>
                </c:pt>
                <c:pt idx="17">
                  <c:v>1.1999999999972033</c:v>
                </c:pt>
                <c:pt idx="18">
                  <c:v>1.9999999999953388</c:v>
                </c:pt>
                <c:pt idx="19">
                  <c:v>1.6999999999995907</c:v>
                </c:pt>
                <c:pt idx="20">
                  <c:v>1.300000000000523</c:v>
                </c:pt>
                <c:pt idx="21">
                  <c:v>1.9999999999953388</c:v>
                </c:pt>
                <c:pt idx="22">
                  <c:v>1.7999999999886995</c:v>
                </c:pt>
                <c:pt idx="23">
                  <c:v>2.299999999991087</c:v>
                </c:pt>
                <c:pt idx="24">
                  <c:v>2.6999999999901547</c:v>
                </c:pt>
                <c:pt idx="25">
                  <c:v>2.1999999999877673</c:v>
                </c:pt>
                <c:pt idx="26">
                  <c:v>1.8999999999920192</c:v>
                </c:pt>
                <c:pt idx="27">
                  <c:v>1.8999999999920192</c:v>
                </c:pt>
                <c:pt idx="28">
                  <c:v>1.9999999999953388</c:v>
                </c:pt>
                <c:pt idx="29">
                  <c:v>1.7999999999886995</c:v>
                </c:pt>
                <c:pt idx="30">
                  <c:v>2.299999999991087</c:v>
                </c:pt>
                <c:pt idx="31">
                  <c:v>2.7999999999934744</c:v>
                </c:pt>
                <c:pt idx="32">
                  <c:v>2.1999999999877673</c:v>
                </c:pt>
                <c:pt idx="33">
                  <c:v>2.0999999999986585</c:v>
                </c:pt>
                <c:pt idx="34">
                  <c:v>1.9999999999953388</c:v>
                </c:pt>
                <c:pt idx="35">
                  <c:v>2.0999999999986585</c:v>
                </c:pt>
                <c:pt idx="36">
                  <c:v>2.299999999991087</c:v>
                </c:pt>
                <c:pt idx="37">
                  <c:v>2.3999999999944066</c:v>
                </c:pt>
                <c:pt idx="38">
                  <c:v>2.1666666666675383</c:v>
                </c:pt>
                <c:pt idx="40">
                  <c:v>2.7999999999934744</c:v>
                </c:pt>
                <c:pt idx="41">
                  <c:v>1.8999999999920192</c:v>
                </c:pt>
                <c:pt idx="42">
                  <c:v>2.1999999999877673</c:v>
                </c:pt>
                <c:pt idx="43">
                  <c:v>2.3999999999944066</c:v>
                </c:pt>
                <c:pt idx="44">
                  <c:v>2.6000000000010459</c:v>
                </c:pt>
                <c:pt idx="46">
                  <c:v>2.6999999999901547</c:v>
                </c:pt>
                <c:pt idx="47">
                  <c:v>2.6000000000010459</c:v>
                </c:pt>
                <c:pt idx="48">
                  <c:v>2.6000000000010459</c:v>
                </c:pt>
                <c:pt idx="49">
                  <c:v>2.6999999999901547</c:v>
                </c:pt>
                <c:pt idx="50">
                  <c:v>2.7999999999934744</c:v>
                </c:pt>
                <c:pt idx="51">
                  <c:v>2.299999999991087</c:v>
                </c:pt>
                <c:pt idx="52">
                  <c:v>2.3999999999944066</c:v>
                </c:pt>
                <c:pt idx="53">
                  <c:v>2.299999999991087</c:v>
                </c:pt>
                <c:pt idx="54">
                  <c:v>2.6999999999901547</c:v>
                </c:pt>
                <c:pt idx="55">
                  <c:v>2.299999999991087</c:v>
                </c:pt>
                <c:pt idx="56">
                  <c:v>2.899999999996794</c:v>
                </c:pt>
                <c:pt idx="57">
                  <c:v>2.299999999991087</c:v>
                </c:pt>
                <c:pt idx="58">
                  <c:v>2.4999999999977263</c:v>
                </c:pt>
                <c:pt idx="59">
                  <c:v>2.4999999999977263</c:v>
                </c:pt>
                <c:pt idx="60">
                  <c:v>2.6000000000010459</c:v>
                </c:pt>
                <c:pt idx="61">
                  <c:v>2.7999999999934744</c:v>
                </c:pt>
                <c:pt idx="62">
                  <c:v>2.6000000000010459</c:v>
                </c:pt>
                <c:pt idx="64">
                  <c:v>2.6000000000010459</c:v>
                </c:pt>
                <c:pt idx="66">
                  <c:v>2.299999999991087</c:v>
                </c:pt>
                <c:pt idx="67">
                  <c:v>2.299999999991087</c:v>
                </c:pt>
                <c:pt idx="68">
                  <c:v>1.9999999999953388</c:v>
                </c:pt>
                <c:pt idx="69">
                  <c:v>2.6999999999901547</c:v>
                </c:pt>
                <c:pt idx="70">
                  <c:v>2.299999999991087</c:v>
                </c:pt>
                <c:pt idx="71">
                  <c:v>1.9999999999953388</c:v>
                </c:pt>
                <c:pt idx="72">
                  <c:v>3.0999999999892225</c:v>
                </c:pt>
                <c:pt idx="73">
                  <c:v>2.6999999999901547</c:v>
                </c:pt>
                <c:pt idx="74">
                  <c:v>2.6000000000010459</c:v>
                </c:pt>
                <c:pt idx="75">
                  <c:v>3.1999999999925421</c:v>
                </c:pt>
                <c:pt idx="76">
                  <c:v>2.0999999999986585</c:v>
                </c:pt>
                <c:pt idx="77">
                  <c:v>2.4999999999977263</c:v>
                </c:pt>
                <c:pt idx="78">
                  <c:v>2.3999999999944066</c:v>
                </c:pt>
                <c:pt idx="81">
                  <c:v>3.0999999999892225</c:v>
                </c:pt>
                <c:pt idx="83">
                  <c:v>3.0999999999892225</c:v>
                </c:pt>
                <c:pt idx="85">
                  <c:v>2.7999999999934744</c:v>
                </c:pt>
                <c:pt idx="86">
                  <c:v>3.4999999999882903</c:v>
                </c:pt>
                <c:pt idx="87">
                  <c:v>2.8999999999825832</c:v>
                </c:pt>
                <c:pt idx="88">
                  <c:v>2.8999999999825832</c:v>
                </c:pt>
                <c:pt idx="89">
                  <c:v>2.5999999999868351</c:v>
                </c:pt>
                <c:pt idx="90">
                  <c:v>3.3999999999849706</c:v>
                </c:pt>
                <c:pt idx="91">
                  <c:v>3.3999999999849706</c:v>
                </c:pt>
                <c:pt idx="93">
                  <c:v>3.2999999999816509</c:v>
                </c:pt>
                <c:pt idx="94">
                  <c:v>2.9999999999859028</c:v>
                </c:pt>
                <c:pt idx="95">
                  <c:v>2.5999999999868351</c:v>
                </c:pt>
                <c:pt idx="99">
                  <c:v>2.5999999999868351</c:v>
                </c:pt>
                <c:pt idx="100">
                  <c:v>3.7999999999840384</c:v>
                </c:pt>
                <c:pt idx="101">
                  <c:v>3.2999999999816509</c:v>
                </c:pt>
                <c:pt idx="102">
                  <c:v>3.1999999999925421</c:v>
                </c:pt>
                <c:pt idx="105">
                  <c:v>2.9999999999859028</c:v>
                </c:pt>
                <c:pt idx="106">
                  <c:v>3.2999999999816509</c:v>
                </c:pt>
                <c:pt idx="107">
                  <c:v>3.1999999999925421</c:v>
                </c:pt>
                <c:pt idx="108">
                  <c:v>2.8999999999825832</c:v>
                </c:pt>
                <c:pt idx="109">
                  <c:v>3.9999999999906777</c:v>
                </c:pt>
                <c:pt idx="110">
                  <c:v>4.8999999999921329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4-4095-80DF-714B0C0E1066}"/>
            </c:ext>
          </c:extLst>
        </c:ser>
        <c:ser>
          <c:idx val="10"/>
          <c:order val="3"/>
          <c:tx>
            <c:strRef>
              <c:f>Déplacements!$M$9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Déplacements!$M$10:$M$200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</c:v>
                </c:pt>
                <c:pt idx="2">
                  <c:v>0.10000000000331966</c:v>
                </c:pt>
                <c:pt idx="3">
                  <c:v>-0.39999999999906777</c:v>
                </c:pt>
                <c:pt idx="4">
                  <c:v>-0.39999999999906777</c:v>
                </c:pt>
                <c:pt idx="5">
                  <c:v>-0.19999999999242846</c:v>
                </c:pt>
                <c:pt idx="6">
                  <c:v>0.60000000000570708</c:v>
                </c:pt>
                <c:pt idx="7">
                  <c:v>-0.39999999999906777</c:v>
                </c:pt>
                <c:pt idx="8">
                  <c:v>-0.39999999999906777</c:v>
                </c:pt>
                <c:pt idx="9">
                  <c:v>-0.39999999999906777</c:v>
                </c:pt>
                <c:pt idx="10">
                  <c:v>0.90000000000145519</c:v>
                </c:pt>
                <c:pt idx="11">
                  <c:v>-0.39999999999906777</c:v>
                </c:pt>
                <c:pt idx="12">
                  <c:v>-0.19999999999242846</c:v>
                </c:pt>
                <c:pt idx="13">
                  <c:v>-0.99999999999056399</c:v>
                </c:pt>
                <c:pt idx="14">
                  <c:v>-1.0999999999938836</c:v>
                </c:pt>
                <c:pt idx="15">
                  <c:v>-1.1999999999972033</c:v>
                </c:pt>
                <c:pt idx="16">
                  <c:v>-1.0999999999938836</c:v>
                </c:pt>
                <c:pt idx="17">
                  <c:v>-1.0999999999938836</c:v>
                </c:pt>
                <c:pt idx="18">
                  <c:v>-0.79999999999813554</c:v>
                </c:pt>
                <c:pt idx="19">
                  <c:v>-1.0999999999938836</c:v>
                </c:pt>
                <c:pt idx="20">
                  <c:v>-1.5999999999962711</c:v>
                </c:pt>
                <c:pt idx="21">
                  <c:v>-1.1999999999972033</c:v>
                </c:pt>
                <c:pt idx="22">
                  <c:v>-1.1999999999972033</c:v>
                </c:pt>
                <c:pt idx="25">
                  <c:v>-1.300000000000523</c:v>
                </c:pt>
                <c:pt idx="26">
                  <c:v>-1.1999999999972033</c:v>
                </c:pt>
                <c:pt idx="27">
                  <c:v>-1.1999999999972033</c:v>
                </c:pt>
                <c:pt idx="28">
                  <c:v>-1.0999999999938836</c:v>
                </c:pt>
                <c:pt idx="29">
                  <c:v>-1.300000000000523</c:v>
                </c:pt>
                <c:pt idx="30">
                  <c:v>-1.3999999999896318</c:v>
                </c:pt>
                <c:pt idx="31">
                  <c:v>-1.300000000000523</c:v>
                </c:pt>
                <c:pt idx="32">
                  <c:v>-1.5999999999962711</c:v>
                </c:pt>
                <c:pt idx="34">
                  <c:v>-1.300000000000523</c:v>
                </c:pt>
                <c:pt idx="35">
                  <c:v>-1.4999999999929514</c:v>
                </c:pt>
                <c:pt idx="36">
                  <c:v>-1.1999999999972033</c:v>
                </c:pt>
                <c:pt idx="37">
                  <c:v>-1.3999999999896318</c:v>
                </c:pt>
                <c:pt idx="38">
                  <c:v>-2.2333333333222072</c:v>
                </c:pt>
                <c:pt idx="39">
                  <c:v>-2.1000000000128694</c:v>
                </c:pt>
                <c:pt idx="40">
                  <c:v>-1.300000000000523</c:v>
                </c:pt>
                <c:pt idx="42">
                  <c:v>-2.299999999991087</c:v>
                </c:pt>
                <c:pt idx="43">
                  <c:v>-2.1999999999877673</c:v>
                </c:pt>
                <c:pt idx="44">
                  <c:v>-1.6999999999995907</c:v>
                </c:pt>
                <c:pt idx="45">
                  <c:v>-2.299999999991087</c:v>
                </c:pt>
                <c:pt idx="46">
                  <c:v>-2.3999999999944066</c:v>
                </c:pt>
                <c:pt idx="47">
                  <c:v>-1.7999999999886995</c:v>
                </c:pt>
                <c:pt idx="48">
                  <c:v>-2.0999999999986585</c:v>
                </c:pt>
                <c:pt idx="49">
                  <c:v>-1.8999999999920192</c:v>
                </c:pt>
                <c:pt idx="50">
                  <c:v>-1.9999999999953388</c:v>
                </c:pt>
                <c:pt idx="51">
                  <c:v>-2.6000000000010459</c:v>
                </c:pt>
                <c:pt idx="54">
                  <c:v>-2.299999999991087</c:v>
                </c:pt>
                <c:pt idx="55">
                  <c:v>-2.3999999999944066</c:v>
                </c:pt>
                <c:pt idx="56">
                  <c:v>-1.8999999999920192</c:v>
                </c:pt>
                <c:pt idx="58">
                  <c:v>-2.4999999999977263</c:v>
                </c:pt>
                <c:pt idx="59">
                  <c:v>-2.3999999999944066</c:v>
                </c:pt>
                <c:pt idx="60">
                  <c:v>-1.4999999999929514</c:v>
                </c:pt>
                <c:pt idx="61">
                  <c:v>-2.1999999999877673</c:v>
                </c:pt>
                <c:pt idx="62">
                  <c:v>-2.7999999999934744</c:v>
                </c:pt>
                <c:pt idx="64">
                  <c:v>-3.0000000000001137</c:v>
                </c:pt>
                <c:pt idx="81">
                  <c:v>-2.6999999999901547</c:v>
                </c:pt>
                <c:pt idx="83">
                  <c:v>-2.6999999999901547</c:v>
                </c:pt>
                <c:pt idx="85">
                  <c:v>-3.0999999999892225</c:v>
                </c:pt>
                <c:pt idx="86">
                  <c:v>-3.5999999999916099</c:v>
                </c:pt>
                <c:pt idx="87">
                  <c:v>-2.9999999999859028</c:v>
                </c:pt>
                <c:pt idx="88">
                  <c:v>-2.9999999999859028</c:v>
                </c:pt>
                <c:pt idx="89">
                  <c:v>-3.9999999999906777</c:v>
                </c:pt>
                <c:pt idx="90">
                  <c:v>-2.9999999999859028</c:v>
                </c:pt>
                <c:pt idx="91">
                  <c:v>-4.2999999999864258</c:v>
                </c:pt>
                <c:pt idx="92">
                  <c:v>-3.7999999999840384</c:v>
                </c:pt>
                <c:pt idx="94">
                  <c:v>-3.899999999987358</c:v>
                </c:pt>
                <c:pt idx="95">
                  <c:v>-4.2999999999864258</c:v>
                </c:pt>
                <c:pt idx="96">
                  <c:v>-3.1999999999925421</c:v>
                </c:pt>
                <c:pt idx="97">
                  <c:v>-3.5999999999916099</c:v>
                </c:pt>
                <c:pt idx="98">
                  <c:v>-4.2999999999864258</c:v>
                </c:pt>
                <c:pt idx="99">
                  <c:v>-4.7999999999888132</c:v>
                </c:pt>
                <c:pt idx="100">
                  <c:v>-4.0999999999797865</c:v>
                </c:pt>
                <c:pt idx="101">
                  <c:v>-4.2999999999864258</c:v>
                </c:pt>
                <c:pt idx="102">
                  <c:v>-4.2999999999864258</c:v>
                </c:pt>
                <c:pt idx="103">
                  <c:v>-4.0999999999797865</c:v>
                </c:pt>
                <c:pt idx="104">
                  <c:v>-4.3999999999897454</c:v>
                </c:pt>
                <c:pt idx="105">
                  <c:v>-4.2999999999864258</c:v>
                </c:pt>
                <c:pt idx="106">
                  <c:v>-4.6999999999854936</c:v>
                </c:pt>
                <c:pt idx="107">
                  <c:v>-4.7999999999888132</c:v>
                </c:pt>
                <c:pt idx="108">
                  <c:v>-5.0999999999845613</c:v>
                </c:pt>
                <c:pt idx="109">
                  <c:v>-4.3999999999897454</c:v>
                </c:pt>
                <c:pt idx="110">
                  <c:v>-7.5999999999822876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4-4095-80DF-714B0C0E1066}"/>
            </c:ext>
          </c:extLst>
        </c:ser>
        <c:ser>
          <c:idx val="11"/>
          <c:order val="4"/>
          <c:tx>
            <c:strRef>
              <c:f>Déplacements!$U$9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Déplacements!$U$10:$U$200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-0.10000000000331966</c:v>
                </c:pt>
                <c:pt idx="2">
                  <c:v>0.30000000000995897</c:v>
                </c:pt>
                <c:pt idx="3">
                  <c:v>-0.29999999999574811</c:v>
                </c:pt>
                <c:pt idx="4">
                  <c:v>-0.59999999999149622</c:v>
                </c:pt>
                <c:pt idx="5">
                  <c:v>-0.50000000000238742</c:v>
                </c:pt>
                <c:pt idx="6">
                  <c:v>-0.59999999999149622</c:v>
                </c:pt>
                <c:pt idx="7">
                  <c:v>-1.5999999999962711</c:v>
                </c:pt>
                <c:pt idx="8">
                  <c:v>-1.5999999999962711</c:v>
                </c:pt>
                <c:pt idx="9">
                  <c:v>-1.8000000000029104</c:v>
                </c:pt>
                <c:pt idx="10">
                  <c:v>-1.0999999999938836</c:v>
                </c:pt>
                <c:pt idx="11">
                  <c:v>-1.5999999999962711</c:v>
                </c:pt>
                <c:pt idx="12">
                  <c:v>-1.9999999999953388</c:v>
                </c:pt>
                <c:pt idx="13">
                  <c:v>-2.6999999999901547</c:v>
                </c:pt>
                <c:pt idx="14">
                  <c:v>-3.3999999999991815</c:v>
                </c:pt>
                <c:pt idx="15">
                  <c:v>-3.2999999999958618</c:v>
                </c:pt>
                <c:pt idx="16">
                  <c:v>-3.6999999999949296</c:v>
                </c:pt>
                <c:pt idx="17">
                  <c:v>-4.199999999997317</c:v>
                </c:pt>
                <c:pt idx="18">
                  <c:v>-3.6999999999949296</c:v>
                </c:pt>
                <c:pt idx="19">
                  <c:v>-4.199999999997317</c:v>
                </c:pt>
                <c:pt idx="20">
                  <c:v>-4.6999999999997044</c:v>
                </c:pt>
                <c:pt idx="21">
                  <c:v>-4.3000000000006366</c:v>
                </c:pt>
                <c:pt idx="22">
                  <c:v>-4.8000000000030241</c:v>
                </c:pt>
                <c:pt idx="23">
                  <c:v>-5.2000000000020918</c:v>
                </c:pt>
                <c:pt idx="24">
                  <c:v>-4.8000000000030241</c:v>
                </c:pt>
                <c:pt idx="25">
                  <c:v>-4.8000000000030241</c:v>
                </c:pt>
                <c:pt idx="26">
                  <c:v>-5.2000000000020918</c:v>
                </c:pt>
                <c:pt idx="27">
                  <c:v>-5.2000000000020918</c:v>
                </c:pt>
                <c:pt idx="28">
                  <c:v>-5.49999999999784</c:v>
                </c:pt>
                <c:pt idx="29">
                  <c:v>-5.6000000000011596</c:v>
                </c:pt>
                <c:pt idx="30">
                  <c:v>-5.6999999999902684</c:v>
                </c:pt>
                <c:pt idx="31">
                  <c:v>-5.3999999999945203</c:v>
                </c:pt>
                <c:pt idx="32">
                  <c:v>-6.1999999999926558</c:v>
                </c:pt>
                <c:pt idx="33">
                  <c:v>-6.6999999999950433</c:v>
                </c:pt>
                <c:pt idx="34">
                  <c:v>-6.2999999999959755</c:v>
                </c:pt>
                <c:pt idx="35">
                  <c:v>-6.5000000000026148</c:v>
                </c:pt>
                <c:pt idx="36">
                  <c:v>-6.3999999999992951</c:v>
                </c:pt>
                <c:pt idx="37">
                  <c:v>-6.5000000000026148</c:v>
                </c:pt>
                <c:pt idx="38">
                  <c:v>-7.4166666666570791</c:v>
                </c:pt>
                <c:pt idx="39">
                  <c:v>-7.4833333333259588</c:v>
                </c:pt>
                <c:pt idx="40">
                  <c:v>-6.6999999999950433</c:v>
                </c:pt>
                <c:pt idx="41">
                  <c:v>-7.9999999999955662</c:v>
                </c:pt>
                <c:pt idx="42">
                  <c:v>-7.4999999999931788</c:v>
                </c:pt>
                <c:pt idx="43">
                  <c:v>-7.4999999999931788</c:v>
                </c:pt>
                <c:pt idx="44">
                  <c:v>-7.3000000000007503</c:v>
                </c:pt>
                <c:pt idx="45">
                  <c:v>-7.8999999999922466</c:v>
                </c:pt>
                <c:pt idx="46">
                  <c:v>-7.5999999999964984</c:v>
                </c:pt>
                <c:pt idx="47">
                  <c:v>-7.6999999999998181</c:v>
                </c:pt>
                <c:pt idx="48">
                  <c:v>-7.6999999999998181</c:v>
                </c:pt>
                <c:pt idx="49">
                  <c:v>-7.8000000000031378</c:v>
                </c:pt>
                <c:pt idx="50">
                  <c:v>-7.8999999999922466</c:v>
                </c:pt>
                <c:pt idx="51">
                  <c:v>-8.399999999994634</c:v>
                </c:pt>
                <c:pt idx="52">
                  <c:v>-8.399999999994634</c:v>
                </c:pt>
                <c:pt idx="53">
                  <c:v>-8.2999999999913143</c:v>
                </c:pt>
                <c:pt idx="54">
                  <c:v>-8.0999999999988859</c:v>
                </c:pt>
                <c:pt idx="55">
                  <c:v>-8.6000000000012733</c:v>
                </c:pt>
                <c:pt idx="56">
                  <c:v>-8.0999999999988859</c:v>
                </c:pt>
                <c:pt idx="57">
                  <c:v>-9.3999999999994088</c:v>
                </c:pt>
                <c:pt idx="58">
                  <c:v>-8.6000000000012733</c:v>
                </c:pt>
                <c:pt idx="59">
                  <c:v>-8.7999999999937017</c:v>
                </c:pt>
                <c:pt idx="60">
                  <c:v>-8.7999999999937017</c:v>
                </c:pt>
                <c:pt idx="61">
                  <c:v>-8.7999999999937017</c:v>
                </c:pt>
                <c:pt idx="62">
                  <c:v>-9.1999999999927695</c:v>
                </c:pt>
                <c:pt idx="63">
                  <c:v>-9.9000000000017963</c:v>
                </c:pt>
                <c:pt idx="64">
                  <c:v>-8.7999999999937017</c:v>
                </c:pt>
                <c:pt idx="65">
                  <c:v>-10.099999999994225</c:v>
                </c:pt>
                <c:pt idx="66">
                  <c:v>-9.9999999999909051</c:v>
                </c:pt>
                <c:pt idx="67">
                  <c:v>-10.099999999994225</c:v>
                </c:pt>
                <c:pt idx="68">
                  <c:v>-10.89999999999236</c:v>
                </c:pt>
                <c:pt idx="69">
                  <c:v>-10.89999999999236</c:v>
                </c:pt>
                <c:pt idx="70">
                  <c:v>-10.800000000003251</c:v>
                </c:pt>
                <c:pt idx="71">
                  <c:v>-11.600000000001387</c:v>
                </c:pt>
                <c:pt idx="72">
                  <c:v>-10.499999999993292</c:v>
                </c:pt>
                <c:pt idx="73">
                  <c:v>-10.99999999999568</c:v>
                </c:pt>
                <c:pt idx="74">
                  <c:v>-11.499999999998067</c:v>
                </c:pt>
                <c:pt idx="75">
                  <c:v>-10.99999999999568</c:v>
                </c:pt>
                <c:pt idx="76">
                  <c:v>-12.199999999992883</c:v>
                </c:pt>
                <c:pt idx="77">
                  <c:v>-12.099999999989564</c:v>
                </c:pt>
                <c:pt idx="78">
                  <c:v>-13.199999999997658</c:v>
                </c:pt>
                <c:pt idx="81">
                  <c:v>-12.299999999996203</c:v>
                </c:pt>
                <c:pt idx="83">
                  <c:v>-12.299999999996203</c:v>
                </c:pt>
                <c:pt idx="85">
                  <c:v>-13.00000000000523</c:v>
                </c:pt>
                <c:pt idx="86">
                  <c:v>-13.300000000000978</c:v>
                </c:pt>
                <c:pt idx="87">
                  <c:v>-12.700000000009481</c:v>
                </c:pt>
                <c:pt idx="88">
                  <c:v>-12.399999999999523</c:v>
                </c:pt>
                <c:pt idx="89">
                  <c:v>-13.199999999997658</c:v>
                </c:pt>
                <c:pt idx="90">
                  <c:v>-12.79999999999859</c:v>
                </c:pt>
                <c:pt idx="91">
                  <c:v>-13.999999999995794</c:v>
                </c:pt>
                <c:pt idx="92">
                  <c:v>-13.900000000006685</c:v>
                </c:pt>
                <c:pt idx="93">
                  <c:v>-13.700000000000045</c:v>
                </c:pt>
                <c:pt idx="94">
                  <c:v>-14.200000000002433</c:v>
                </c:pt>
                <c:pt idx="95">
                  <c:v>-14.400000000009072</c:v>
                </c:pt>
                <c:pt idx="96">
                  <c:v>-13.500000000007617</c:v>
                </c:pt>
                <c:pt idx="97">
                  <c:v>-13.700000000000045</c:v>
                </c:pt>
                <c:pt idx="98">
                  <c:v>-14.300000000005753</c:v>
                </c:pt>
                <c:pt idx="99">
                  <c:v>-15.200000000007208</c:v>
                </c:pt>
                <c:pt idx="100">
                  <c:v>-14.200000000002433</c:v>
                </c:pt>
                <c:pt idx="101">
                  <c:v>-14.499999999998181</c:v>
                </c:pt>
                <c:pt idx="102">
                  <c:v>-14.300000000005753</c:v>
                </c:pt>
                <c:pt idx="103">
                  <c:v>-14.400000000009072</c:v>
                </c:pt>
                <c:pt idx="104">
                  <c:v>-14.70000000000482</c:v>
                </c:pt>
                <c:pt idx="105">
                  <c:v>-14.899999999997249</c:v>
                </c:pt>
                <c:pt idx="106">
                  <c:v>-15.000000000000568</c:v>
                </c:pt>
                <c:pt idx="107">
                  <c:v>-15.000000000000568</c:v>
                </c:pt>
                <c:pt idx="108">
                  <c:v>-15.799999999998704</c:v>
                </c:pt>
                <c:pt idx="109">
                  <c:v>-14.899999999997249</c:v>
                </c:pt>
                <c:pt idx="110">
                  <c:v>-19.700000000000273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C4-4095-80DF-714B0C0E1066}"/>
            </c:ext>
          </c:extLst>
        </c:ser>
        <c:ser>
          <c:idx val="12"/>
          <c:order val="5"/>
          <c:tx>
            <c:strRef>
              <c:f>Déplacements!$I$9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-9.9999999989108801E-2</c:v>
                </c:pt>
                <c:pt idx="2">
                  <c:v>0.39999999999906777</c:v>
                </c:pt>
                <c:pt idx="3">
                  <c:v>-9.9999999989108801E-2</c:v>
                </c:pt>
                <c:pt idx="4">
                  <c:v>0.30000000000995897</c:v>
                </c:pt>
                <c:pt idx="5">
                  <c:v>0.50000000000238742</c:v>
                </c:pt>
                <c:pt idx="6">
                  <c:v>0.30000000000995897</c:v>
                </c:pt>
                <c:pt idx="7">
                  <c:v>-0.69999999999481588</c:v>
                </c:pt>
                <c:pt idx="8">
                  <c:v>0.30000000000995897</c:v>
                </c:pt>
                <c:pt idx="9">
                  <c:v>-0.19999999999242846</c:v>
                </c:pt>
                <c:pt idx="10">
                  <c:v>0.60000000000570708</c:v>
                </c:pt>
                <c:pt idx="11">
                  <c:v>-0.69999999999481588</c:v>
                </c:pt>
                <c:pt idx="12">
                  <c:v>0.20000000000663931</c:v>
                </c:pt>
                <c:pt idx="13">
                  <c:v>-0.19999999999242846</c:v>
                </c:pt>
                <c:pt idx="14">
                  <c:v>-0.49999999998817657</c:v>
                </c:pt>
                <c:pt idx="15">
                  <c:v>-0.59999999999149622</c:v>
                </c:pt>
                <c:pt idx="16">
                  <c:v>-0.49999999998817657</c:v>
                </c:pt>
                <c:pt idx="17">
                  <c:v>-0.69999999999481588</c:v>
                </c:pt>
                <c:pt idx="18">
                  <c:v>-9.9999999989108801E-2</c:v>
                </c:pt>
                <c:pt idx="19">
                  <c:v>-0.29999999999574811</c:v>
                </c:pt>
                <c:pt idx="20">
                  <c:v>-0.89999999998724434</c:v>
                </c:pt>
                <c:pt idx="21">
                  <c:v>-0.29999999999574811</c:v>
                </c:pt>
                <c:pt idx="22">
                  <c:v>-0.59999999999149622</c:v>
                </c:pt>
                <c:pt idx="23">
                  <c:v>-9.9999999989108801E-2</c:v>
                </c:pt>
                <c:pt idx="24">
                  <c:v>-0.29999999999574811</c:v>
                </c:pt>
                <c:pt idx="25">
                  <c:v>-0.29999999999574811</c:v>
                </c:pt>
                <c:pt idx="26">
                  <c:v>-0.49999999998817657</c:v>
                </c:pt>
                <c:pt idx="27">
                  <c:v>-0.39999999999906777</c:v>
                </c:pt>
                <c:pt idx="28">
                  <c:v>-0.59999999999149622</c:v>
                </c:pt>
                <c:pt idx="29">
                  <c:v>-0.49999999998817657</c:v>
                </c:pt>
                <c:pt idx="30">
                  <c:v>-0.29999999999574811</c:v>
                </c:pt>
                <c:pt idx="31">
                  <c:v>0</c:v>
                </c:pt>
                <c:pt idx="32">
                  <c:v>-0.59999999999149622</c:v>
                </c:pt>
                <c:pt idx="33">
                  <c:v>-0.69999999999481588</c:v>
                </c:pt>
                <c:pt idx="34">
                  <c:v>-0.49999999998817657</c:v>
                </c:pt>
                <c:pt idx="35">
                  <c:v>-0.69999999999481588</c:v>
                </c:pt>
                <c:pt idx="36">
                  <c:v>-0.29999999999574811</c:v>
                </c:pt>
                <c:pt idx="37">
                  <c:v>-0.29999999999574811</c:v>
                </c:pt>
                <c:pt idx="38">
                  <c:v>-0.86666666665280445</c:v>
                </c:pt>
                <c:pt idx="39">
                  <c:v>-0.81666666665114462</c:v>
                </c:pt>
                <c:pt idx="40">
                  <c:v>-9.9999999989108801E-2</c:v>
                </c:pt>
                <c:pt idx="41">
                  <c:v>-1.0999999999938836</c:v>
                </c:pt>
                <c:pt idx="42">
                  <c:v>-0.89999999998724434</c:v>
                </c:pt>
                <c:pt idx="43">
                  <c:v>-0.69999999999481588</c:v>
                </c:pt>
                <c:pt idx="44">
                  <c:v>-0.39999999999906777</c:v>
                </c:pt>
                <c:pt idx="45">
                  <c:v>-0.89999999998724434</c:v>
                </c:pt>
                <c:pt idx="46">
                  <c:v>-0.49999999998817657</c:v>
                </c:pt>
                <c:pt idx="47">
                  <c:v>-0.49999999998817657</c:v>
                </c:pt>
                <c:pt idx="48">
                  <c:v>-0.59999999999149622</c:v>
                </c:pt>
                <c:pt idx="49">
                  <c:v>-0.59999999999149622</c:v>
                </c:pt>
                <c:pt idx="50">
                  <c:v>-0.49999999998817657</c:v>
                </c:pt>
                <c:pt idx="51">
                  <c:v>-0.99999999999056399</c:v>
                </c:pt>
                <c:pt idx="52">
                  <c:v>-0.89999999998724434</c:v>
                </c:pt>
                <c:pt idx="53">
                  <c:v>-0.79999999999813554</c:v>
                </c:pt>
                <c:pt idx="54">
                  <c:v>-0.69999999999481588</c:v>
                </c:pt>
                <c:pt idx="55">
                  <c:v>-0.89999999998724434</c:v>
                </c:pt>
                <c:pt idx="56">
                  <c:v>-0.39999999999906777</c:v>
                </c:pt>
                <c:pt idx="57">
                  <c:v>-1.0999999999938836</c:v>
                </c:pt>
                <c:pt idx="58">
                  <c:v>-0.89999999998724434</c:v>
                </c:pt>
                <c:pt idx="59">
                  <c:v>-0.99999999999056399</c:v>
                </c:pt>
                <c:pt idx="60">
                  <c:v>-0.79999999999813554</c:v>
                </c:pt>
                <c:pt idx="61">
                  <c:v>-0.79999999999813554</c:v>
                </c:pt>
                <c:pt idx="62">
                  <c:v>-0.89999999998724434</c:v>
                </c:pt>
                <c:pt idx="63">
                  <c:v>-1.5999999999962711</c:v>
                </c:pt>
                <c:pt idx="64">
                  <c:v>-0.99999999999056399</c:v>
                </c:pt>
                <c:pt idx="65">
                  <c:v>-1.6999999999995907</c:v>
                </c:pt>
                <c:pt idx="66">
                  <c:v>-1.3999999999896318</c:v>
                </c:pt>
                <c:pt idx="67">
                  <c:v>-1.4999999999929514</c:v>
                </c:pt>
                <c:pt idx="68">
                  <c:v>-1.6999999999995907</c:v>
                </c:pt>
                <c:pt idx="69">
                  <c:v>-1.3999999999896318</c:v>
                </c:pt>
                <c:pt idx="70">
                  <c:v>-1.5999999999962711</c:v>
                </c:pt>
                <c:pt idx="71">
                  <c:v>-1.8999999999920192</c:v>
                </c:pt>
                <c:pt idx="72">
                  <c:v>-0.89999999998724434</c:v>
                </c:pt>
                <c:pt idx="73">
                  <c:v>-1.4999999999929514</c:v>
                </c:pt>
                <c:pt idx="74">
                  <c:v>-1.4999999999929514</c:v>
                </c:pt>
                <c:pt idx="75">
                  <c:v>-0.89999999998724434</c:v>
                </c:pt>
                <c:pt idx="76">
                  <c:v>-1.9999999999953388</c:v>
                </c:pt>
                <c:pt idx="77">
                  <c:v>-1.4999999999929514</c:v>
                </c:pt>
                <c:pt idx="78">
                  <c:v>-2.299999999991087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C4-4095-80DF-714B0C0E1066}"/>
            </c:ext>
          </c:extLst>
        </c:ser>
        <c:ser>
          <c:idx val="13"/>
          <c:order val="6"/>
          <c:tx>
            <c:strRef>
              <c:f>Déplacements!$Y$9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Déplacements!$Y$10:$Y$200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-0.20000000000663931</c:v>
                </c:pt>
                <c:pt idx="2">
                  <c:v>0.29999999999574811</c:v>
                </c:pt>
                <c:pt idx="3">
                  <c:v>-0.20000000000663931</c:v>
                </c:pt>
                <c:pt idx="4">
                  <c:v>0.39999999999906777</c:v>
                </c:pt>
                <c:pt idx="5">
                  <c:v>0.79999999999813554</c:v>
                </c:pt>
                <c:pt idx="6">
                  <c:v>0.39999999999906777</c:v>
                </c:pt>
                <c:pt idx="7">
                  <c:v>0.39999999999906777</c:v>
                </c:pt>
                <c:pt idx="8">
                  <c:v>-0.60000000000570708</c:v>
                </c:pt>
                <c:pt idx="9">
                  <c:v>0</c:v>
                </c:pt>
                <c:pt idx="10">
                  <c:v>0.59999999999149622</c:v>
                </c:pt>
                <c:pt idx="11">
                  <c:v>0.39999999999906777</c:v>
                </c:pt>
                <c:pt idx="12">
                  <c:v>0.29999999999574811</c:v>
                </c:pt>
                <c:pt idx="13">
                  <c:v>0</c:v>
                </c:pt>
                <c:pt idx="14">
                  <c:v>-0.50000000000238742</c:v>
                </c:pt>
                <c:pt idx="15">
                  <c:v>-0.60000000000570708</c:v>
                </c:pt>
                <c:pt idx="16">
                  <c:v>-0.39999999999906777</c:v>
                </c:pt>
                <c:pt idx="17">
                  <c:v>-0.70000000000902673</c:v>
                </c:pt>
                <c:pt idx="18">
                  <c:v>9.9999999989108801E-2</c:v>
                </c:pt>
                <c:pt idx="19">
                  <c:v>-0.20000000000663931</c:v>
                </c:pt>
                <c:pt idx="20">
                  <c:v>-0.70000000000902673</c:v>
                </c:pt>
                <c:pt idx="21">
                  <c:v>0</c:v>
                </c:pt>
                <c:pt idx="22">
                  <c:v>-0.39999999999906777</c:v>
                </c:pt>
                <c:pt idx="23">
                  <c:v>-0.20000000000663931</c:v>
                </c:pt>
                <c:pt idx="24">
                  <c:v>0</c:v>
                </c:pt>
                <c:pt idx="25">
                  <c:v>9.9999999989108801E-2</c:v>
                </c:pt>
                <c:pt idx="26">
                  <c:v>-0.20000000000663931</c:v>
                </c:pt>
                <c:pt idx="27">
                  <c:v>-0.10000000000331966</c:v>
                </c:pt>
                <c:pt idx="28">
                  <c:v>-0.20000000000663931</c:v>
                </c:pt>
                <c:pt idx="29">
                  <c:v>-0.30000000000995897</c:v>
                </c:pt>
                <c:pt idx="30">
                  <c:v>0</c:v>
                </c:pt>
                <c:pt idx="31">
                  <c:v>0.49999999998817657</c:v>
                </c:pt>
                <c:pt idx="32">
                  <c:v>-0.10000000000331966</c:v>
                </c:pt>
                <c:pt idx="33">
                  <c:v>-0.50000000000238742</c:v>
                </c:pt>
                <c:pt idx="34">
                  <c:v>-0.30000000000995897</c:v>
                </c:pt>
                <c:pt idx="35">
                  <c:v>-0.10000000000331966</c:v>
                </c:pt>
                <c:pt idx="36">
                  <c:v>9.9999999989108801E-2</c:v>
                </c:pt>
                <c:pt idx="37">
                  <c:v>9.9999999989108801E-2</c:v>
                </c:pt>
                <c:pt idx="38">
                  <c:v>-0.36666666667883874</c:v>
                </c:pt>
                <c:pt idx="39">
                  <c:v>-0.16666666665798857</c:v>
                </c:pt>
                <c:pt idx="40">
                  <c:v>0.49999999998817657</c:v>
                </c:pt>
                <c:pt idx="41">
                  <c:v>-0.60000000000570708</c:v>
                </c:pt>
                <c:pt idx="42">
                  <c:v>-0.30000000000995897</c:v>
                </c:pt>
                <c:pt idx="43">
                  <c:v>-0.10000000000331966</c:v>
                </c:pt>
                <c:pt idx="44">
                  <c:v>9.9999999989108801E-2</c:v>
                </c:pt>
                <c:pt idx="45">
                  <c:v>-0.20000000000663931</c:v>
                </c:pt>
                <c:pt idx="46">
                  <c:v>0</c:v>
                </c:pt>
                <c:pt idx="47">
                  <c:v>9.9999999989108801E-2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-0.39999999999906777</c:v>
                </c:pt>
                <c:pt idx="52">
                  <c:v>-0.39999999999906777</c:v>
                </c:pt>
                <c:pt idx="53">
                  <c:v>-0.30000000000995897</c:v>
                </c:pt>
                <c:pt idx="54">
                  <c:v>0</c:v>
                </c:pt>
                <c:pt idx="55">
                  <c:v>-0.30000000000995897</c:v>
                </c:pt>
                <c:pt idx="56">
                  <c:v>0.19999999999242846</c:v>
                </c:pt>
                <c:pt idx="57">
                  <c:v>-0.79999999999813554</c:v>
                </c:pt>
                <c:pt idx="58">
                  <c:v>-0.30000000000995897</c:v>
                </c:pt>
                <c:pt idx="59">
                  <c:v>-0.20000000000663931</c:v>
                </c:pt>
                <c:pt idx="60">
                  <c:v>-0.10000000000331966</c:v>
                </c:pt>
                <c:pt idx="61">
                  <c:v>0</c:v>
                </c:pt>
                <c:pt idx="66">
                  <c:v>-0.70000000000902673</c:v>
                </c:pt>
                <c:pt idx="67">
                  <c:v>-0.70000000000902673</c:v>
                </c:pt>
                <c:pt idx="68">
                  <c:v>-0.79999999999813554</c:v>
                </c:pt>
                <c:pt idx="69">
                  <c:v>-0.39999999999906777</c:v>
                </c:pt>
                <c:pt idx="70">
                  <c:v>-0.60000000000570708</c:v>
                </c:pt>
                <c:pt idx="71">
                  <c:v>-0.90000000000145519</c:v>
                </c:pt>
                <c:pt idx="72">
                  <c:v>0.29999999999574811</c:v>
                </c:pt>
                <c:pt idx="73">
                  <c:v>-0.30000000000995897</c:v>
                </c:pt>
                <c:pt idx="74">
                  <c:v>-0.39999999999906777</c:v>
                </c:pt>
                <c:pt idx="75">
                  <c:v>0.29999999999574811</c:v>
                </c:pt>
                <c:pt idx="76">
                  <c:v>-0.79999999999813554</c:v>
                </c:pt>
                <c:pt idx="77">
                  <c:v>-0.39999999999906777</c:v>
                </c:pt>
                <c:pt idx="78">
                  <c:v>-0.90000000000145519</c:v>
                </c:pt>
                <c:pt idx="81">
                  <c:v>0.39999999999906777</c:v>
                </c:pt>
                <c:pt idx="83">
                  <c:v>0.39999999999906777</c:v>
                </c:pt>
                <c:pt idx="85">
                  <c:v>-1.4210854715202004E-11</c:v>
                </c:pt>
                <c:pt idx="86">
                  <c:v>0.49999999998817657</c:v>
                </c:pt>
                <c:pt idx="87">
                  <c:v>0.19999999999242846</c:v>
                </c:pt>
                <c:pt idx="88">
                  <c:v>0.39999999999906777</c:v>
                </c:pt>
                <c:pt idx="89">
                  <c:v>-0.10000000000331966</c:v>
                </c:pt>
                <c:pt idx="90">
                  <c:v>0.69999999999481588</c:v>
                </c:pt>
                <c:pt idx="91">
                  <c:v>-1.4210854715202004E-11</c:v>
                </c:pt>
                <c:pt idx="92">
                  <c:v>9.9999999989108801E-2</c:v>
                </c:pt>
                <c:pt idx="93">
                  <c:v>0.49999999998817657</c:v>
                </c:pt>
                <c:pt idx="94">
                  <c:v>9.9999999989108801E-2</c:v>
                </c:pt>
                <c:pt idx="95">
                  <c:v>-0.30000000000995897</c:v>
                </c:pt>
                <c:pt idx="96">
                  <c:v>0.79999999999813554</c:v>
                </c:pt>
                <c:pt idx="97">
                  <c:v>0.39999999999906777</c:v>
                </c:pt>
                <c:pt idx="98">
                  <c:v>-1.4210854715202004E-11</c:v>
                </c:pt>
                <c:pt idx="99">
                  <c:v>-0.90000000000145519</c:v>
                </c:pt>
                <c:pt idx="100">
                  <c:v>0.59999999999149622</c:v>
                </c:pt>
                <c:pt idx="101">
                  <c:v>0.19999999999242846</c:v>
                </c:pt>
                <c:pt idx="102">
                  <c:v>9.9999999989108801E-2</c:v>
                </c:pt>
                <c:pt idx="104">
                  <c:v>9.9999999989108801E-2</c:v>
                </c:pt>
                <c:pt idx="105">
                  <c:v>-1.4210854715202004E-11</c:v>
                </c:pt>
                <c:pt idx="106">
                  <c:v>0.29999999999574811</c:v>
                </c:pt>
                <c:pt idx="107">
                  <c:v>0.29999999999574811</c:v>
                </c:pt>
                <c:pt idx="108">
                  <c:v>-0.30000000000995897</c:v>
                </c:pt>
                <c:pt idx="109">
                  <c:v>0.69999999999481588</c:v>
                </c:pt>
                <c:pt idx="110">
                  <c:v>-1.4210854715202004E-11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C4-4095-80DF-714B0C0E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75784"/>
        <c:axId val="515276176"/>
      </c:scatterChart>
      <c:valAx>
        <c:axId val="515275784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6176"/>
        <c:crossesAt val="0"/>
        <c:crossBetween val="midCat"/>
      </c:valAx>
      <c:valAx>
        <c:axId val="515276176"/>
        <c:scaling>
          <c:orientation val="minMax"/>
          <c:max val="5"/>
          <c:min val="-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Déplacement Dz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57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Déplacements!$C$10:$C$200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-0.79126761750103469</c:v>
                </c:pt>
                <c:pt idx="2">
                  <c:v>0.13289448958175853</c:v>
                </c:pt>
                <c:pt idx="3">
                  <c:v>-0.56774397140202382</c:v>
                </c:pt>
                <c:pt idx="4">
                  <c:v>-1.0444323952469858</c:v>
                </c:pt>
                <c:pt idx="5">
                  <c:v>0.30323447506930279</c:v>
                </c:pt>
                <c:pt idx="6">
                  <c:v>-2.7350221909614447</c:v>
                </c:pt>
                <c:pt idx="7">
                  <c:v>-4.1250221909479023</c:v>
                </c:pt>
                <c:pt idx="8">
                  <c:v>-4.5476221909552805</c:v>
                </c:pt>
                <c:pt idx="9">
                  <c:v>-4.9585221909467236</c:v>
                </c:pt>
                <c:pt idx="10">
                  <c:v>-3.9982221909440341</c:v>
                </c:pt>
                <c:pt idx="11">
                  <c:v>-4.5476244964106627</c:v>
                </c:pt>
                <c:pt idx="12">
                  <c:v>-5.8460745500781286</c:v>
                </c:pt>
                <c:pt idx="13">
                  <c:v>-4.220822190944773</c:v>
                </c:pt>
                <c:pt idx="14">
                  <c:v>-4.1119221267820194</c:v>
                </c:pt>
                <c:pt idx="15">
                  <c:v>-3.646578421552249</c:v>
                </c:pt>
                <c:pt idx="16">
                  <c:v>-4.2692117236242666</c:v>
                </c:pt>
                <c:pt idx="17">
                  <c:v>-4.4195496330416972</c:v>
                </c:pt>
                <c:pt idx="18">
                  <c:v>-4.5829221909627904</c:v>
                </c:pt>
                <c:pt idx="19">
                  <c:v>-4.7820664699145254</c:v>
                </c:pt>
                <c:pt idx="20">
                  <c:v>-4.7820664699145254</c:v>
                </c:pt>
                <c:pt idx="21">
                  <c:v>-3.2836221909633423</c:v>
                </c:pt>
                <c:pt idx="22">
                  <c:v>-4.5524221909545304</c:v>
                </c:pt>
                <c:pt idx="23">
                  <c:v>-3.7424221909532207</c:v>
                </c:pt>
                <c:pt idx="24">
                  <c:v>-3.8556221909686883</c:v>
                </c:pt>
                <c:pt idx="25">
                  <c:v>-4.4556221909601845</c:v>
                </c:pt>
                <c:pt idx="26">
                  <c:v>-4.9556221909483611</c:v>
                </c:pt>
                <c:pt idx="27">
                  <c:v>-4.5556221909635042</c:v>
                </c:pt>
                <c:pt idx="28">
                  <c:v>-4.7556221909701435</c:v>
                </c:pt>
                <c:pt idx="29">
                  <c:v>-5.3556221909616397</c:v>
                </c:pt>
                <c:pt idx="30">
                  <c:v>-4.4556221909601845</c:v>
                </c:pt>
                <c:pt idx="31">
                  <c:v>-4.0556221909469059</c:v>
                </c:pt>
                <c:pt idx="32">
                  <c:v>-4.8556221909450414</c:v>
                </c:pt>
                <c:pt idx="33">
                  <c:v>-3.7556221909653686</c:v>
                </c:pt>
                <c:pt idx="34">
                  <c:v>-5.8556221909498163</c:v>
                </c:pt>
                <c:pt idx="35">
                  <c:v>-5.1556221909550004</c:v>
                </c:pt>
                <c:pt idx="36">
                  <c:v>-5.3556221909616397</c:v>
                </c:pt>
                <c:pt idx="37">
                  <c:v>-5.655622190943177</c:v>
                </c:pt>
                <c:pt idx="38">
                  <c:v>-5.2315944727467922</c:v>
                </c:pt>
                <c:pt idx="39">
                  <c:v>-4.9145344699468296</c:v>
                </c:pt>
                <c:pt idx="40">
                  <c:v>-5.2770512013182724</c:v>
                </c:pt>
                <c:pt idx="41">
                  <c:v>-4.9807684136737862</c:v>
                </c:pt>
                <c:pt idx="42">
                  <c:v>-5.2286872724778277</c:v>
                </c:pt>
                <c:pt idx="43">
                  <c:v>-5.655622190943177</c:v>
                </c:pt>
                <c:pt idx="44">
                  <c:v>-5.2709525001262136</c:v>
                </c:pt>
                <c:pt idx="45">
                  <c:v>-5.2103908593892356</c:v>
                </c:pt>
                <c:pt idx="46">
                  <c:v>-5.3556221909616397</c:v>
                </c:pt>
                <c:pt idx="47">
                  <c:v>-5.555622190968279</c:v>
                </c:pt>
                <c:pt idx="48">
                  <c:v>-5.555622190968279</c:v>
                </c:pt>
                <c:pt idx="49">
                  <c:v>-5.555622190968279</c:v>
                </c:pt>
                <c:pt idx="50">
                  <c:v>-5.4556221909649594</c:v>
                </c:pt>
                <c:pt idx="51">
                  <c:v>-5.4556221909649594</c:v>
                </c:pt>
                <c:pt idx="52">
                  <c:v>-6.0556221909564556</c:v>
                </c:pt>
                <c:pt idx="53">
                  <c:v>-5.4556221909649594</c:v>
                </c:pt>
                <c:pt idx="54">
                  <c:v>-5.655622190943177</c:v>
                </c:pt>
                <c:pt idx="55">
                  <c:v>-5.555622190968279</c:v>
                </c:pt>
                <c:pt idx="56">
                  <c:v>-5.655622190943177</c:v>
                </c:pt>
                <c:pt idx="57">
                  <c:v>-4.9556221909483611</c:v>
                </c:pt>
                <c:pt idx="58">
                  <c:v>-5.655622190943177</c:v>
                </c:pt>
                <c:pt idx="59">
                  <c:v>-6.0556221909564556</c:v>
                </c:pt>
                <c:pt idx="60">
                  <c:v>-6.0556221909564556</c:v>
                </c:pt>
                <c:pt idx="61">
                  <c:v>-5.655622190943177</c:v>
                </c:pt>
                <c:pt idx="62">
                  <c:v>-5.555622190968279</c:v>
                </c:pt>
                <c:pt idx="63">
                  <c:v>-5.655622190943177</c:v>
                </c:pt>
                <c:pt idx="64">
                  <c:v>-6.5998964677476124</c:v>
                </c:pt>
                <c:pt idx="65">
                  <c:v>-5.655622190943177</c:v>
                </c:pt>
                <c:pt idx="66">
                  <c:v>-5.3556221909616397</c:v>
                </c:pt>
                <c:pt idx="67">
                  <c:v>-5.655622190943177</c:v>
                </c:pt>
                <c:pt idx="68">
                  <c:v>-6.0556221909564556</c:v>
                </c:pt>
                <c:pt idx="69">
                  <c:v>-5.2883960254064277</c:v>
                </c:pt>
                <c:pt idx="70">
                  <c:v>-6.2190833232591558</c:v>
                </c:pt>
                <c:pt idx="71">
                  <c:v>-5.8199736743631547</c:v>
                </c:pt>
                <c:pt idx="72">
                  <c:v>-5.7476409238859105</c:v>
                </c:pt>
                <c:pt idx="73">
                  <c:v>-5.8443687815952217</c:v>
                </c:pt>
                <c:pt idx="74">
                  <c:v>-5.6992768895725021</c:v>
                </c:pt>
                <c:pt idx="75">
                  <c:v>-6.2548233601091852</c:v>
                </c:pt>
                <c:pt idx="76">
                  <c:v>-5.6870792831773542</c:v>
                </c:pt>
                <c:pt idx="77">
                  <c:v>-6.1341264768657311</c:v>
                </c:pt>
                <c:pt idx="78">
                  <c:v>-5.1794704558574267</c:v>
                </c:pt>
                <c:pt idx="81">
                  <c:v>-6.3275825017115039</c:v>
                </c:pt>
                <c:pt idx="83">
                  <c:v>-6.3275825017115039</c:v>
                </c:pt>
                <c:pt idx="85">
                  <c:v>-5.3275825017067291</c:v>
                </c:pt>
                <c:pt idx="86">
                  <c:v>-6.4914241426095032</c:v>
                </c:pt>
                <c:pt idx="87">
                  <c:v>-5.5615897254597257</c:v>
                </c:pt>
                <c:pt idx="88">
                  <c:v>-5.7005829162619648</c:v>
                </c:pt>
                <c:pt idx="89">
                  <c:v>-5.4275825017100487</c:v>
                </c:pt>
                <c:pt idx="90">
                  <c:v>-6.0147357188213846</c:v>
                </c:pt>
                <c:pt idx="91">
                  <c:v>-4.6365748361267833</c:v>
                </c:pt>
                <c:pt idx="92">
                  <c:v>-7.2765929604656776</c:v>
                </c:pt>
                <c:pt idx="93">
                  <c:v>-5.8696437283458636</c:v>
                </c:pt>
                <c:pt idx="94">
                  <c:v>-5.8997113495991016</c:v>
                </c:pt>
                <c:pt idx="95">
                  <c:v>-6.2256353673717513</c:v>
                </c:pt>
                <c:pt idx="96">
                  <c:v>-6.449158914989539</c:v>
                </c:pt>
                <c:pt idx="97">
                  <c:v>-5.808655696483811</c:v>
                </c:pt>
                <c:pt idx="98">
                  <c:v>-5.8992849584456053</c:v>
                </c:pt>
                <c:pt idx="100">
                  <c:v>-6.6060221207067116</c:v>
                </c:pt>
                <c:pt idx="101">
                  <c:v>-6.5153928587164955</c:v>
                </c:pt>
                <c:pt idx="102">
                  <c:v>-5.977716508539288</c:v>
                </c:pt>
                <c:pt idx="103">
                  <c:v>-5.6334960847834736</c:v>
                </c:pt>
                <c:pt idx="104">
                  <c:v>-6.8173481603821529</c:v>
                </c:pt>
                <c:pt idx="105">
                  <c:v>-6.1106109981494683</c:v>
                </c:pt>
                <c:pt idx="106">
                  <c:v>-7.1254021632682907</c:v>
                </c:pt>
                <c:pt idx="107">
                  <c:v>-6.3581032618742483</c:v>
                </c:pt>
                <c:pt idx="108">
                  <c:v>-6.8173481603821529</c:v>
                </c:pt>
                <c:pt idx="109">
                  <c:v>-6.5393616803248733</c:v>
                </c:pt>
                <c:pt idx="110">
                  <c:v>-6.1398256331983703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B-41EE-8244-CAEBF21365BA}"/>
            </c:ext>
          </c:extLst>
        </c:ser>
        <c:ser>
          <c:idx val="8"/>
          <c:order val="1"/>
          <c:tx>
            <c:strRef>
              <c:f>Déplacements!$O$9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Déplacements!$O$10:$O$200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-0.5376764556785929</c:v>
                </c:pt>
                <c:pt idx="2">
                  <c:v>-0.57994168329855711</c:v>
                </c:pt>
                <c:pt idx="3">
                  <c:v>-0.5315776489851487</c:v>
                </c:pt>
                <c:pt idx="4">
                  <c:v>-1.0086924638983419</c:v>
                </c:pt>
                <c:pt idx="5">
                  <c:v>0.32635040889772426</c:v>
                </c:pt>
                <c:pt idx="6">
                  <c:v>-2.3986646198466133</c:v>
                </c:pt>
                <c:pt idx="7">
                  <c:v>-3.7885646198390077</c:v>
                </c:pt>
                <c:pt idx="8">
                  <c:v>-4.2111646198463859</c:v>
                </c:pt>
                <c:pt idx="9">
                  <c:v>-4.3806646198447652</c:v>
                </c:pt>
                <c:pt idx="10">
                  <c:v>-3.5349646198312712</c:v>
                </c:pt>
                <c:pt idx="11">
                  <c:v>-3.365904580419965</c:v>
                </c:pt>
                <c:pt idx="12">
                  <c:v>-3.9698149798255145</c:v>
                </c:pt>
                <c:pt idx="13">
                  <c:v>-3.0090646198459581</c:v>
                </c:pt>
                <c:pt idx="14">
                  <c:v>-2.4713837034653352</c:v>
                </c:pt>
                <c:pt idx="15">
                  <c:v>-2.1088669720654707</c:v>
                </c:pt>
                <c:pt idx="16">
                  <c:v>-2.6831362397672365</c:v>
                </c:pt>
                <c:pt idx="17">
                  <c:v>-3.6914022070391184</c:v>
                </c:pt>
                <c:pt idx="18">
                  <c:v>-3.2025646198405866</c:v>
                </c:pt>
                <c:pt idx="19">
                  <c:v>-3.8970558382231957</c:v>
                </c:pt>
                <c:pt idx="20">
                  <c:v>-3.8970558382231957</c:v>
                </c:pt>
                <c:pt idx="21">
                  <c:v>-2.4530646198570594</c:v>
                </c:pt>
                <c:pt idx="22">
                  <c:v>-3.812564619835257</c:v>
                </c:pt>
                <c:pt idx="23">
                  <c:v>-3.8360646198327686</c:v>
                </c:pt>
                <c:pt idx="24">
                  <c:v>-2.713864619835249</c:v>
                </c:pt>
                <c:pt idx="25">
                  <c:v>-3.1138646198485276</c:v>
                </c:pt>
                <c:pt idx="26">
                  <c:v>-3.9138646198466631</c:v>
                </c:pt>
                <c:pt idx="27">
                  <c:v>-3.8138646198433435</c:v>
                </c:pt>
                <c:pt idx="28">
                  <c:v>-3.8138646198433435</c:v>
                </c:pt>
                <c:pt idx="29">
                  <c:v>-4.0138646198499828</c:v>
                </c:pt>
                <c:pt idx="30">
                  <c:v>-3.6138646198367042</c:v>
                </c:pt>
                <c:pt idx="31">
                  <c:v>-3.4138646198584865</c:v>
                </c:pt>
                <c:pt idx="32">
                  <c:v>-3.9138646198466631</c:v>
                </c:pt>
                <c:pt idx="33">
                  <c:v>-3.7138646198400238</c:v>
                </c:pt>
                <c:pt idx="34">
                  <c:v>-5.1138646198580773</c:v>
                </c:pt>
                <c:pt idx="35">
                  <c:v>-4.4138646198348397</c:v>
                </c:pt>
                <c:pt idx="36">
                  <c:v>-4.613864619841479</c:v>
                </c:pt>
                <c:pt idx="37">
                  <c:v>-4.913864619851438</c:v>
                </c:pt>
                <c:pt idx="38">
                  <c:v>-4.3151230280784603</c:v>
                </c:pt>
                <c:pt idx="39">
                  <c:v>-3.6637939101353822</c:v>
                </c:pt>
                <c:pt idx="40">
                  <c:v>-4.2478014599112157</c:v>
                </c:pt>
                <c:pt idx="42">
                  <c:v>-4.2900666875027582</c:v>
                </c:pt>
                <c:pt idx="43">
                  <c:v>-4.613864619841479</c:v>
                </c:pt>
                <c:pt idx="44">
                  <c:v>-4.3323318166983427</c:v>
                </c:pt>
                <c:pt idx="45">
                  <c:v>-4.4530286999417967</c:v>
                </c:pt>
                <c:pt idx="46">
                  <c:v>-4.5138646198381593</c:v>
                </c:pt>
                <c:pt idx="47">
                  <c:v>-4.7138646198447987</c:v>
                </c:pt>
                <c:pt idx="48">
                  <c:v>-4.8138646198481183</c:v>
                </c:pt>
                <c:pt idx="49">
                  <c:v>-4.8138646198481183</c:v>
                </c:pt>
                <c:pt idx="50">
                  <c:v>-4.8138646198481183</c:v>
                </c:pt>
                <c:pt idx="51">
                  <c:v>-4.4138646198348397</c:v>
                </c:pt>
                <c:pt idx="52">
                  <c:v>-5.3138646198362949</c:v>
                </c:pt>
                <c:pt idx="53">
                  <c:v>-4.8138646198481183</c:v>
                </c:pt>
                <c:pt idx="54">
                  <c:v>-4.5138646198381593</c:v>
                </c:pt>
                <c:pt idx="55">
                  <c:v>-4.913864619851438</c:v>
                </c:pt>
                <c:pt idx="56">
                  <c:v>-5.0138646198547576</c:v>
                </c:pt>
                <c:pt idx="57">
                  <c:v>-5.2138646198329752</c:v>
                </c:pt>
                <c:pt idx="58">
                  <c:v>-5.0138646198547576</c:v>
                </c:pt>
                <c:pt idx="59">
                  <c:v>-5.4138646198396145</c:v>
                </c:pt>
                <c:pt idx="60">
                  <c:v>-5.5138646198429342</c:v>
                </c:pt>
                <c:pt idx="61">
                  <c:v>-5.0138646198547576</c:v>
                </c:pt>
                <c:pt idx="62">
                  <c:v>-5.1138646198580773</c:v>
                </c:pt>
                <c:pt idx="63">
                  <c:v>-4.913864619851438</c:v>
                </c:pt>
                <c:pt idx="64">
                  <c:v>-5.2869879361878702</c:v>
                </c:pt>
                <c:pt idx="65">
                  <c:v>-5.1138646198580773</c:v>
                </c:pt>
                <c:pt idx="66">
                  <c:v>-4.613864619841479</c:v>
                </c:pt>
                <c:pt idx="67">
                  <c:v>-5.1138646198580773</c:v>
                </c:pt>
                <c:pt idx="68">
                  <c:v>-5.9138646198562128</c:v>
                </c:pt>
                <c:pt idx="69">
                  <c:v>-4.9484399208949981</c:v>
                </c:pt>
                <c:pt idx="70">
                  <c:v>-5.2930867429097361</c:v>
                </c:pt>
                <c:pt idx="71">
                  <c:v>-5.6429794767893782</c:v>
                </c:pt>
                <c:pt idx="72">
                  <c:v>-5.1780622681860677</c:v>
                </c:pt>
                <c:pt idx="73">
                  <c:v>-5.4922151762184512</c:v>
                </c:pt>
                <c:pt idx="74">
                  <c:v>-5.3532219853877905</c:v>
                </c:pt>
                <c:pt idx="75">
                  <c:v>-5.7819726675916172</c:v>
                </c:pt>
                <c:pt idx="76">
                  <c:v>-5.2564939237811359</c:v>
                </c:pt>
                <c:pt idx="77">
                  <c:v>-5.8847995359201377</c:v>
                </c:pt>
                <c:pt idx="78">
                  <c:v>-4.779379108839521</c:v>
                </c:pt>
                <c:pt idx="81">
                  <c:v>-6.211149944817862</c:v>
                </c:pt>
                <c:pt idx="83">
                  <c:v>-6.211149944817862</c:v>
                </c:pt>
                <c:pt idx="85">
                  <c:v>-5.3111499448164068</c:v>
                </c:pt>
                <c:pt idx="86">
                  <c:v>-6.3210532962898469</c:v>
                </c:pt>
                <c:pt idx="87">
                  <c:v>-4.8653137442045136</c:v>
                </c:pt>
                <c:pt idx="88">
                  <c:v>-5.3729224731000613</c:v>
                </c:pt>
                <c:pt idx="89">
                  <c:v>-5.611149944797944</c:v>
                </c:pt>
                <c:pt idx="90">
                  <c:v>-5.8561360877149582</c:v>
                </c:pt>
                <c:pt idx="91">
                  <c:v>-5.6687789680438527</c:v>
                </c:pt>
                <c:pt idx="92">
                  <c:v>-6.1214984718276355</c:v>
                </c:pt>
                <c:pt idx="93">
                  <c:v>-5.1132326029517117</c:v>
                </c:pt>
                <c:pt idx="94">
                  <c:v>-5.318459737509329</c:v>
                </c:pt>
                <c:pt idx="95">
                  <c:v>-5.4753228448021218</c:v>
                </c:pt>
                <c:pt idx="96">
                  <c:v>-5.880104909323336</c:v>
                </c:pt>
                <c:pt idx="97">
                  <c:v>-5.4992917648064576</c:v>
                </c:pt>
                <c:pt idx="98">
                  <c:v>-5.3241320476047349</c:v>
                </c:pt>
                <c:pt idx="99">
                  <c:v>-6.308855689894699</c:v>
                </c:pt>
                <c:pt idx="100">
                  <c:v>-5.9162713372984399</c:v>
                </c:pt>
                <c:pt idx="101">
                  <c:v>-5.8256420753082239</c:v>
                </c:pt>
                <c:pt idx="102">
                  <c:v>-5.55375450039719</c:v>
                </c:pt>
                <c:pt idx="103">
                  <c:v>-5.0221768514688847</c:v>
                </c:pt>
                <c:pt idx="104">
                  <c:v>-5.9585365649184041</c:v>
                </c:pt>
                <c:pt idx="105">
                  <c:v>-5.2818668199847707</c:v>
                </c:pt>
                <c:pt idx="106">
                  <c:v>-5.1851388568024959</c:v>
                </c:pt>
                <c:pt idx="107">
                  <c:v>-5.5476556936753241</c:v>
                </c:pt>
                <c:pt idx="108">
                  <c:v>-4.877084853916358</c:v>
                </c:pt>
                <c:pt idx="109">
                  <c:v>-4.5629320513569382</c:v>
                </c:pt>
                <c:pt idx="110">
                  <c:v>-5.4147613095949509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4B-41EE-8244-CAEBF21365BA}"/>
            </c:ext>
          </c:extLst>
        </c:ser>
        <c:ser>
          <c:idx val="9"/>
          <c:order val="2"/>
          <c:tx>
            <c:strRef>
              <c:f>Déplacements!$AA$9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Déplacements!$AA$10:$AA$200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0.23572115404135729</c:v>
                </c:pt>
                <c:pt idx="2">
                  <c:v>6.098806750287622E-3</c:v>
                </c:pt>
                <c:pt idx="3">
                  <c:v>-0.17515961167191563</c:v>
                </c:pt>
                <c:pt idx="4">
                  <c:v>-0.48321361458647516</c:v>
                </c:pt>
                <c:pt idx="5">
                  <c:v>0.3315963278680556</c:v>
                </c:pt>
                <c:pt idx="6">
                  <c:v>-2.417774727973665</c:v>
                </c:pt>
                <c:pt idx="7">
                  <c:v>-3.3240747279705829</c:v>
                </c:pt>
                <c:pt idx="8">
                  <c:v>-3.3240747279705829</c:v>
                </c:pt>
                <c:pt idx="9">
                  <c:v>-3.4451747279717893</c:v>
                </c:pt>
                <c:pt idx="10">
                  <c:v>-2.9981747279634874</c:v>
                </c:pt>
                <c:pt idx="11">
                  <c:v>-2.9014138613661089</c:v>
                </c:pt>
                <c:pt idx="12">
                  <c:v>-3.535818273149971</c:v>
                </c:pt>
                <c:pt idx="13">
                  <c:v>-2.8652747279807045</c:v>
                </c:pt>
                <c:pt idx="14">
                  <c:v>-2.8713462401412926</c:v>
                </c:pt>
                <c:pt idx="15">
                  <c:v>-1.7837958349957717</c:v>
                </c:pt>
                <c:pt idx="16">
                  <c:v>-2.2857322538243352</c:v>
                </c:pt>
                <c:pt idx="17">
                  <c:v>-3.8316746696693826</c:v>
                </c:pt>
                <c:pt idx="18">
                  <c:v>-3.2582747279832347</c:v>
                </c:pt>
                <c:pt idx="19">
                  <c:v>-4.097889941590438</c:v>
                </c:pt>
                <c:pt idx="20">
                  <c:v>-4.097889941590438</c:v>
                </c:pt>
                <c:pt idx="21">
                  <c:v>-3.0586747279812698</c:v>
                </c:pt>
                <c:pt idx="22">
                  <c:v>-4.2791747279693482</c:v>
                </c:pt>
                <c:pt idx="23">
                  <c:v>-5.3963747279794916</c:v>
                </c:pt>
                <c:pt idx="24">
                  <c:v>-3.020274727987271</c:v>
                </c:pt>
                <c:pt idx="25">
                  <c:v>-3.2202747279654886</c:v>
                </c:pt>
                <c:pt idx="26">
                  <c:v>-4.5202747279802225</c:v>
                </c:pt>
                <c:pt idx="27">
                  <c:v>-4.7202747279868618</c:v>
                </c:pt>
                <c:pt idx="28">
                  <c:v>-4.3202747279735831</c:v>
                </c:pt>
                <c:pt idx="29">
                  <c:v>-4.3202747279735831</c:v>
                </c:pt>
                <c:pt idx="30">
                  <c:v>-4.1202747279669438</c:v>
                </c:pt>
                <c:pt idx="31">
                  <c:v>-4.0202747279636242</c:v>
                </c:pt>
                <c:pt idx="32">
                  <c:v>-4.5202747279802225</c:v>
                </c:pt>
                <c:pt idx="33">
                  <c:v>-4.8202747279901814</c:v>
                </c:pt>
                <c:pt idx="34">
                  <c:v>-5.4202747279816776</c:v>
                </c:pt>
                <c:pt idx="35">
                  <c:v>-4.8202747279901814</c:v>
                </c:pt>
                <c:pt idx="36">
                  <c:v>-4.9202747279650794</c:v>
                </c:pt>
                <c:pt idx="37">
                  <c:v>-5.320274727978358</c:v>
                </c:pt>
                <c:pt idx="38">
                  <c:v>-4.5715075756618262</c:v>
                </c:pt>
                <c:pt idx="40">
                  <c:v>-4.5030983972367267</c:v>
                </c:pt>
                <c:pt idx="41">
                  <c:v>-4.4425367564997487</c:v>
                </c:pt>
                <c:pt idx="42">
                  <c:v>-4.7749859721193388</c:v>
                </c:pt>
                <c:pt idx="43">
                  <c:v>-5.020274727968399</c:v>
                </c:pt>
                <c:pt idx="44">
                  <c:v>-4.7266220432788941</c:v>
                </c:pt>
                <c:pt idx="46">
                  <c:v>-4.9202747279650794</c:v>
                </c:pt>
                <c:pt idx="47">
                  <c:v>-5.1202747279717187</c:v>
                </c:pt>
                <c:pt idx="48">
                  <c:v>-5.020274727968399</c:v>
                </c:pt>
                <c:pt idx="49">
                  <c:v>-5.2202747279750383</c:v>
                </c:pt>
                <c:pt idx="50">
                  <c:v>-5.1202747279717187</c:v>
                </c:pt>
                <c:pt idx="51">
                  <c:v>-4.6202747279835421</c:v>
                </c:pt>
                <c:pt idx="52">
                  <c:v>-5.620274727988317</c:v>
                </c:pt>
                <c:pt idx="53">
                  <c:v>-5.2202747279750383</c:v>
                </c:pt>
                <c:pt idx="54">
                  <c:v>-4.9202747279650794</c:v>
                </c:pt>
                <c:pt idx="55">
                  <c:v>-5.1202747279717187</c:v>
                </c:pt>
                <c:pt idx="56">
                  <c:v>-5.2202747279750383</c:v>
                </c:pt>
                <c:pt idx="57">
                  <c:v>-5.9202747279698542</c:v>
                </c:pt>
                <c:pt idx="58">
                  <c:v>-5.2202747279750383</c:v>
                </c:pt>
                <c:pt idx="59">
                  <c:v>-5.4202747279816776</c:v>
                </c:pt>
                <c:pt idx="60">
                  <c:v>-5.620274727988317</c:v>
                </c:pt>
                <c:pt idx="61">
                  <c:v>-5.1202747279717187</c:v>
                </c:pt>
                <c:pt idx="62">
                  <c:v>-5.020274727968399</c:v>
                </c:pt>
                <c:pt idx="64">
                  <c:v>-4.7810847717641991</c:v>
                </c:pt>
                <c:pt idx="66">
                  <c:v>-4.5202747279802225</c:v>
                </c:pt>
                <c:pt idx="67">
                  <c:v>-5.020274727968399</c:v>
                </c:pt>
                <c:pt idx="68">
                  <c:v>-6.0202747279731739</c:v>
                </c:pt>
                <c:pt idx="69">
                  <c:v>-4.9745407965815502</c:v>
                </c:pt>
                <c:pt idx="70">
                  <c:v>-4.9383743757118737</c:v>
                </c:pt>
                <c:pt idx="71">
                  <c:v>-6.0193996884549961</c:v>
                </c:pt>
                <c:pt idx="72">
                  <c:v>-5.4154892890778683</c:v>
                </c:pt>
                <c:pt idx="73">
                  <c:v>-5.8625364827946669</c:v>
                </c:pt>
                <c:pt idx="74">
                  <c:v>-5.8141724484244151</c:v>
                </c:pt>
                <c:pt idx="75">
                  <c:v>-6.2429233345255852</c:v>
                </c:pt>
                <c:pt idx="76">
                  <c:v>-5.4939207407471713</c:v>
                </c:pt>
                <c:pt idx="77">
                  <c:v>-6.0376959960990462</c:v>
                </c:pt>
                <c:pt idx="78">
                  <c:v>-5.2102619506229075</c:v>
                </c:pt>
                <c:pt idx="81">
                  <c:v>-6.7566308631228367</c:v>
                </c:pt>
                <c:pt idx="83">
                  <c:v>-6.7566308631228367</c:v>
                </c:pt>
                <c:pt idx="85">
                  <c:v>-5.5566308631114225</c:v>
                </c:pt>
                <c:pt idx="86">
                  <c:v>-6.0496721871459158</c:v>
                </c:pt>
                <c:pt idx="87">
                  <c:v>-5.1494789016715004</c:v>
                </c:pt>
                <c:pt idx="88">
                  <c:v>-5.6509890277709474</c:v>
                </c:pt>
                <c:pt idx="89">
                  <c:v>-6.2566308631062384</c:v>
                </c:pt>
                <c:pt idx="90">
                  <c:v>-5.8383461474420528</c:v>
                </c:pt>
                <c:pt idx="91">
                  <c:v>-6.732014136645148</c:v>
                </c:pt>
                <c:pt idx="93">
                  <c:v>-4.920282945533927</c:v>
                </c:pt>
                <c:pt idx="94">
                  <c:v>-4.8536225051520887</c:v>
                </c:pt>
                <c:pt idx="95">
                  <c:v>-5.3730025477136678</c:v>
                </c:pt>
                <c:pt idx="99">
                  <c:v>-5.8623149690504306</c:v>
                </c:pt>
                <c:pt idx="100">
                  <c:v>-5.9712405315508477</c:v>
                </c:pt>
                <c:pt idx="101">
                  <c:v>-5.8322473407486086</c:v>
                </c:pt>
                <c:pt idx="102">
                  <c:v>-5.5058969318224626</c:v>
                </c:pt>
                <c:pt idx="105">
                  <c:v>-4.9682204832492971</c:v>
                </c:pt>
                <c:pt idx="106">
                  <c:v>-5.9952093531592254</c:v>
                </c:pt>
                <c:pt idx="107">
                  <c:v>-5.590427288666433</c:v>
                </c:pt>
                <c:pt idx="108">
                  <c:v>-5.6448901226531234</c:v>
                </c:pt>
                <c:pt idx="109">
                  <c:v>-5.5481621594424269</c:v>
                </c:pt>
                <c:pt idx="110">
                  <c:v>-6.7633610368034169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4B-41EE-8244-CAEBF21365BA}"/>
            </c:ext>
          </c:extLst>
        </c:ser>
        <c:ser>
          <c:idx val="10"/>
          <c:order val="3"/>
          <c:tx>
            <c:strRef>
              <c:f>Déplacements!$K$9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-9.0629261961794327E-2</c:v>
                </c:pt>
                <c:pt idx="2">
                  <c:v>-0.48321362169190252</c:v>
                </c:pt>
                <c:pt idx="3">
                  <c:v>-0.52547884928344502</c:v>
                </c:pt>
                <c:pt idx="4">
                  <c:v>-1.5642389344634466</c:v>
                </c:pt>
                <c:pt idx="5">
                  <c:v>-0.16210912463066052</c:v>
                </c:pt>
                <c:pt idx="6">
                  <c:v>-2.8322418708626174</c:v>
                </c:pt>
                <c:pt idx="7">
                  <c:v>-4.64474187086239</c:v>
                </c:pt>
                <c:pt idx="8">
                  <c:v>-5.0674418708638314</c:v>
                </c:pt>
                <c:pt idx="9">
                  <c:v>-5.2970418708753186</c:v>
                </c:pt>
                <c:pt idx="10">
                  <c:v>-4.8199418708634312</c:v>
                </c:pt>
                <c:pt idx="11">
                  <c:v>-5.0674310355987018</c:v>
                </c:pt>
                <c:pt idx="12">
                  <c:v>-4.9463077612585948</c:v>
                </c:pt>
                <c:pt idx="13">
                  <c:v>-3.629141870874264</c:v>
                </c:pt>
                <c:pt idx="14">
                  <c:v>-2.9524652639167925</c:v>
                </c:pt>
                <c:pt idx="15">
                  <c:v>-2.5533556079153641</c:v>
                </c:pt>
                <c:pt idx="16">
                  <c:v>-3.5446044480806904</c:v>
                </c:pt>
                <c:pt idx="17">
                  <c:v>-3.8278368470514579</c:v>
                </c:pt>
                <c:pt idx="18">
                  <c:v>-3.7738418708670451</c:v>
                </c:pt>
                <c:pt idx="19">
                  <c:v>-3.9668301363064984</c:v>
                </c:pt>
                <c:pt idx="20">
                  <c:v>-3.9668301363064984</c:v>
                </c:pt>
                <c:pt idx="21">
                  <c:v>-2.8309418708829526</c:v>
                </c:pt>
                <c:pt idx="22">
                  <c:v>-4.5528418708613572</c:v>
                </c:pt>
                <c:pt idx="25">
                  <c:v>-3.8552418708661662</c:v>
                </c:pt>
                <c:pt idx="26">
                  <c:v>-4.4552418708576624</c:v>
                </c:pt>
                <c:pt idx="27">
                  <c:v>-4.0552418708728055</c:v>
                </c:pt>
                <c:pt idx="28">
                  <c:v>-4.3552418708827645</c:v>
                </c:pt>
                <c:pt idx="29">
                  <c:v>-4.6552418708643017</c:v>
                </c:pt>
                <c:pt idx="30">
                  <c:v>-3.9552418708694859</c:v>
                </c:pt>
                <c:pt idx="31">
                  <c:v>-3.9552418708694859</c:v>
                </c:pt>
                <c:pt idx="32">
                  <c:v>-4.4552418708576624</c:v>
                </c:pt>
                <c:pt idx="34">
                  <c:v>-5.5552418708657569</c:v>
                </c:pt>
                <c:pt idx="35">
                  <c:v>-5.1552418708809</c:v>
                </c:pt>
                <c:pt idx="36">
                  <c:v>-4.8552418708709411</c:v>
                </c:pt>
                <c:pt idx="37">
                  <c:v>-5.4552418708624373</c:v>
                </c:pt>
                <c:pt idx="38">
                  <c:v>-4.4537543804779034</c:v>
                </c:pt>
                <c:pt idx="39">
                  <c:v>-4.5593461546786784</c:v>
                </c:pt>
                <c:pt idx="40">
                  <c:v>-4.6853385137808345</c:v>
                </c:pt>
                <c:pt idx="42">
                  <c:v>-5.0779229719069008</c:v>
                </c:pt>
                <c:pt idx="43">
                  <c:v>-5.3552418708591176</c:v>
                </c:pt>
                <c:pt idx="44">
                  <c:v>-4.9872937099451065</c:v>
                </c:pt>
                <c:pt idx="45">
                  <c:v>-4.7999364918496212</c:v>
                </c:pt>
                <c:pt idx="46">
                  <c:v>-4.8552418708709411</c:v>
                </c:pt>
                <c:pt idx="47">
                  <c:v>-5.1552418708809</c:v>
                </c:pt>
                <c:pt idx="48">
                  <c:v>-5.255241870855798</c:v>
                </c:pt>
                <c:pt idx="49">
                  <c:v>-5.3552418708591176</c:v>
                </c:pt>
                <c:pt idx="50">
                  <c:v>-5.0552418708775804</c:v>
                </c:pt>
                <c:pt idx="51">
                  <c:v>-5.1552418708809</c:v>
                </c:pt>
                <c:pt idx="54">
                  <c:v>-5.3552418708591176</c:v>
                </c:pt>
                <c:pt idx="55">
                  <c:v>-5.3552418708591176</c:v>
                </c:pt>
                <c:pt idx="56">
                  <c:v>-5.3552418708591176</c:v>
                </c:pt>
                <c:pt idx="58">
                  <c:v>-5.5552418708657569</c:v>
                </c:pt>
                <c:pt idx="59">
                  <c:v>-5.9552418708790356</c:v>
                </c:pt>
                <c:pt idx="60">
                  <c:v>-6.0552418708823552</c:v>
                </c:pt>
                <c:pt idx="61">
                  <c:v>-5.4552418708624373</c:v>
                </c:pt>
                <c:pt idx="62">
                  <c:v>-5.4552418708624373</c:v>
                </c:pt>
                <c:pt idx="64">
                  <c:v>-6.1833432935145538</c:v>
                </c:pt>
                <c:pt idx="81">
                  <c:v>-6.7384633729261623</c:v>
                </c:pt>
                <c:pt idx="83">
                  <c:v>-6.7384633729261623</c:v>
                </c:pt>
                <c:pt idx="85">
                  <c:v>-5.5384633729147481</c:v>
                </c:pt>
                <c:pt idx="86">
                  <c:v>-6.1833052913016218</c:v>
                </c:pt>
                <c:pt idx="87">
                  <c:v>-5.7789497234637111</c:v>
                </c:pt>
                <c:pt idx="88">
                  <c:v>-6.5462486248577534</c:v>
                </c:pt>
                <c:pt idx="89">
                  <c:v>-7.0384633729076995</c:v>
                </c:pt>
                <c:pt idx="90">
                  <c:v>-6.5824149473030502</c:v>
                </c:pt>
                <c:pt idx="91">
                  <c:v>-5.814689753208313</c:v>
                </c:pt>
                <c:pt idx="92">
                  <c:v>-7.4760830420075308</c:v>
                </c:pt>
                <c:pt idx="94">
                  <c:v>-5.8935477999568775</c:v>
                </c:pt>
                <c:pt idx="95">
                  <c:v>-6.3101008757655563</c:v>
                </c:pt>
                <c:pt idx="96">
                  <c:v>-5.9959481716305163</c:v>
                </c:pt>
                <c:pt idx="97">
                  <c:v>-6.3763349249938983</c:v>
                </c:pt>
                <c:pt idx="98">
                  <c:v>-6.3340696973739341</c:v>
                </c:pt>
                <c:pt idx="99">
                  <c:v>-6.9140113735670639</c:v>
                </c:pt>
                <c:pt idx="100">
                  <c:v>-6.9985417304110342</c:v>
                </c:pt>
                <c:pt idx="101">
                  <c:v>-6.7266541555000003</c:v>
                </c:pt>
                <c:pt idx="102">
                  <c:v>-6.7750180843404451</c:v>
                </c:pt>
                <c:pt idx="103">
                  <c:v>-6.0260156944877963</c:v>
                </c:pt>
                <c:pt idx="104">
                  <c:v>-7.1192386136260666</c:v>
                </c:pt>
                <c:pt idx="105">
                  <c:v>-6.5453957370493754</c:v>
                </c:pt>
                <c:pt idx="106">
                  <c:v>-7.5118229733561748</c:v>
                </c:pt>
                <c:pt idx="107">
                  <c:v>-7.4150950101454782</c:v>
                </c:pt>
                <c:pt idx="108">
                  <c:v>-7.0286093516358505</c:v>
                </c:pt>
                <c:pt idx="109">
                  <c:v>-6.5270993310377889</c:v>
                </c:pt>
                <c:pt idx="110">
                  <c:v>-8.1933122389443724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4B-41EE-8244-CAEBF21365BA}"/>
            </c:ext>
          </c:extLst>
        </c:ser>
        <c:ser>
          <c:idx val="11"/>
          <c:order val="4"/>
          <c:tx>
            <c:strRef>
              <c:f>Déplacements!$S$9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Déplacements!$S$10:$S$200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-0.13289448958175853</c:v>
                </c:pt>
                <c:pt idx="2">
                  <c:v>-0.13289448958175853</c:v>
                </c:pt>
                <c:pt idx="3">
                  <c:v>-0.26578887369055337</c:v>
                </c:pt>
                <c:pt idx="4">
                  <c:v>-0.3986833632438902</c:v>
                </c:pt>
                <c:pt idx="5">
                  <c:v>1.1354879428324693</c:v>
                </c:pt>
                <c:pt idx="6">
                  <c:v>-1.3659418723648287</c:v>
                </c:pt>
                <c:pt idx="7">
                  <c:v>-1.8496418723543684</c:v>
                </c:pt>
                <c:pt idx="8">
                  <c:v>-1.8496418723543684</c:v>
                </c:pt>
                <c:pt idx="9">
                  <c:v>-2.5868418723575815</c:v>
                </c:pt>
                <c:pt idx="10">
                  <c:v>-2.1397418723552164</c:v>
                </c:pt>
                <c:pt idx="11">
                  <c:v>-2.333243400386209</c:v>
                </c:pt>
                <c:pt idx="12">
                  <c:v>-2.5746370613148883</c:v>
                </c:pt>
                <c:pt idx="13">
                  <c:v>-1.7711418723536099</c:v>
                </c:pt>
                <c:pt idx="14">
                  <c:v>-1.9162638279510702</c:v>
                </c:pt>
                <c:pt idx="15">
                  <c:v>-0.78644819518558506</c:v>
                </c:pt>
                <c:pt idx="16">
                  <c:v>-1.4212789980945217</c:v>
                </c:pt>
                <c:pt idx="17">
                  <c:v>-2.4657113933699293</c:v>
                </c:pt>
                <c:pt idx="18">
                  <c:v>-1.8500418723590428</c:v>
                </c:pt>
                <c:pt idx="19">
                  <c:v>-2.4600390832461017</c:v>
                </c:pt>
                <c:pt idx="20">
                  <c:v>-2.4600390832461017</c:v>
                </c:pt>
                <c:pt idx="21">
                  <c:v>-1.1550418723800249</c:v>
                </c:pt>
                <c:pt idx="22">
                  <c:v>-2.3332418723782666</c:v>
                </c:pt>
                <c:pt idx="23">
                  <c:v>-3.2630418723726962</c:v>
                </c:pt>
                <c:pt idx="24">
                  <c:v>-1.1943418723774357</c:v>
                </c:pt>
                <c:pt idx="25">
                  <c:v>-1.2943418723523337</c:v>
                </c:pt>
                <c:pt idx="26">
                  <c:v>-2.5943418723670675</c:v>
                </c:pt>
                <c:pt idx="27">
                  <c:v>-2.3943418723604282</c:v>
                </c:pt>
                <c:pt idx="28">
                  <c:v>-2.2943418723571085</c:v>
                </c:pt>
                <c:pt idx="29">
                  <c:v>-2.4943418723637478</c:v>
                </c:pt>
                <c:pt idx="30">
                  <c:v>-2.0943418723788909</c:v>
                </c:pt>
                <c:pt idx="31">
                  <c:v>-2.0943418723788909</c:v>
                </c:pt>
                <c:pt idx="32">
                  <c:v>-2.2943418723571085</c:v>
                </c:pt>
                <c:pt idx="33">
                  <c:v>-2.3943418723604282</c:v>
                </c:pt>
                <c:pt idx="34">
                  <c:v>-3.394341872365203</c:v>
                </c:pt>
                <c:pt idx="35">
                  <c:v>-2.7943418723737068</c:v>
                </c:pt>
                <c:pt idx="36">
                  <c:v>-2.9943418723519244</c:v>
                </c:pt>
                <c:pt idx="37">
                  <c:v>-3.394341872365203</c:v>
                </c:pt>
                <c:pt idx="38">
                  <c:v>-2.6386742926547413</c:v>
                </c:pt>
                <c:pt idx="39">
                  <c:v>-2.1142121174193562</c:v>
                </c:pt>
                <c:pt idx="40">
                  <c:v>-2.4665642811214639</c:v>
                </c:pt>
                <c:pt idx="41">
                  <c:v>-2.3153734839524986</c:v>
                </c:pt>
                <c:pt idx="42">
                  <c:v>-2.5088295087698498</c:v>
                </c:pt>
                <c:pt idx="43">
                  <c:v>-2.8943418723770264</c:v>
                </c:pt>
                <c:pt idx="44">
                  <c:v>-2.4182002467796337</c:v>
                </c:pt>
                <c:pt idx="45">
                  <c:v>-2.5872610588635325</c:v>
                </c:pt>
                <c:pt idx="46">
                  <c:v>-2.5943418723670675</c:v>
                </c:pt>
                <c:pt idx="47">
                  <c:v>-2.8943418723770264</c:v>
                </c:pt>
                <c:pt idx="48">
                  <c:v>-2.6943418723703871</c:v>
                </c:pt>
                <c:pt idx="49">
                  <c:v>-2.8943418723770264</c:v>
                </c:pt>
                <c:pt idx="50">
                  <c:v>-2.7943418723737068</c:v>
                </c:pt>
                <c:pt idx="51">
                  <c:v>-2.3943418723604282</c:v>
                </c:pt>
                <c:pt idx="52">
                  <c:v>-3.4943418723685227</c:v>
                </c:pt>
                <c:pt idx="53">
                  <c:v>-2.9943418723519244</c:v>
                </c:pt>
                <c:pt idx="54">
                  <c:v>-2.5943418723670675</c:v>
                </c:pt>
                <c:pt idx="55">
                  <c:v>-2.8943418723770264</c:v>
                </c:pt>
                <c:pt idx="56">
                  <c:v>-2.8943418723770264</c:v>
                </c:pt>
                <c:pt idx="57">
                  <c:v>-3.5943418723718423</c:v>
                </c:pt>
                <c:pt idx="58">
                  <c:v>-3.094341872355244</c:v>
                </c:pt>
                <c:pt idx="59">
                  <c:v>-3.2943418723618834</c:v>
                </c:pt>
                <c:pt idx="60">
                  <c:v>-3.4943418723685227</c:v>
                </c:pt>
                <c:pt idx="61">
                  <c:v>-2.8943418723770264</c:v>
                </c:pt>
                <c:pt idx="62">
                  <c:v>-2.6943418723703871</c:v>
                </c:pt>
                <c:pt idx="63">
                  <c:v>-2.3943418723604282</c:v>
                </c:pt>
                <c:pt idx="64">
                  <c:v>-2.7506494624276456</c:v>
                </c:pt>
                <c:pt idx="65">
                  <c:v>-2.8943418723770264</c:v>
                </c:pt>
                <c:pt idx="66">
                  <c:v>-2.0943418723788909</c:v>
                </c:pt>
                <c:pt idx="67">
                  <c:v>-2.7943418723737068</c:v>
                </c:pt>
                <c:pt idx="68">
                  <c:v>-3.394341872365203</c:v>
                </c:pt>
                <c:pt idx="69">
                  <c:v>-2.3942315306726414</c:v>
                </c:pt>
                <c:pt idx="70">
                  <c:v>-2.6360514843304372</c:v>
                </c:pt>
                <c:pt idx="71">
                  <c:v>-3.3545599602291531</c:v>
                </c:pt>
                <c:pt idx="72">
                  <c:v>-2.6661191055836753</c:v>
                </c:pt>
                <c:pt idx="73">
                  <c:v>-3.0225371428400649</c:v>
                </c:pt>
                <c:pt idx="74">
                  <c:v>-2.9319078808782706</c:v>
                </c:pt>
                <c:pt idx="75">
                  <c:v>-3.3183935393310549</c:v>
                </c:pt>
                <c:pt idx="76">
                  <c:v>-2.7929146900191881</c:v>
                </c:pt>
                <c:pt idx="77">
                  <c:v>-3.2883259110008112</c:v>
                </c:pt>
                <c:pt idx="78">
                  <c:v>-2.0561099065332655</c:v>
                </c:pt>
                <c:pt idx="81">
                  <c:v>-3.2098943609071284</c:v>
                </c:pt>
                <c:pt idx="83">
                  <c:v>-3.2098943609071284</c:v>
                </c:pt>
                <c:pt idx="85">
                  <c:v>-2.7098943609189519</c:v>
                </c:pt>
                <c:pt idx="86">
                  <c:v>-3.2635836438430488</c:v>
                </c:pt>
                <c:pt idx="87">
                  <c:v>-2.2365948723575002</c:v>
                </c:pt>
                <c:pt idx="88">
                  <c:v>-2.1459656103672842</c:v>
                </c:pt>
                <c:pt idx="89">
                  <c:v>-2.4098943609089929</c:v>
                </c:pt>
                <c:pt idx="90">
                  <c:v>-2.4662172196485699</c:v>
                </c:pt>
                <c:pt idx="91">
                  <c:v>-3.0461587974457416</c:v>
                </c:pt>
                <c:pt idx="92">
                  <c:v>-1.3364014813816993</c:v>
                </c:pt>
                <c:pt idx="93">
                  <c:v>-1.9045719494670266</c:v>
                </c:pt>
                <c:pt idx="94">
                  <c:v>-1.4875922785790863</c:v>
                </c:pt>
                <c:pt idx="95">
                  <c:v>-1.8618803306935661</c:v>
                </c:pt>
                <c:pt idx="96">
                  <c:v>-1.9586083923002207</c:v>
                </c:pt>
                <c:pt idx="97">
                  <c:v>-2.018743536382317</c:v>
                </c:pt>
                <c:pt idx="98">
                  <c:v>-1.7952199887361076</c:v>
                </c:pt>
                <c:pt idx="99">
                  <c:v>-2.4296244005199696</c:v>
                </c:pt>
                <c:pt idx="100">
                  <c:v>-2.4540196132818437</c:v>
                </c:pt>
                <c:pt idx="101">
                  <c:v>-2.1337679056045999</c:v>
                </c:pt>
                <c:pt idx="102">
                  <c:v>-2.1699344319756619</c:v>
                </c:pt>
                <c:pt idx="103">
                  <c:v>-1.5054622934371764</c:v>
                </c:pt>
                <c:pt idx="104">
                  <c:v>-2.1337679056045999</c:v>
                </c:pt>
                <c:pt idx="105">
                  <c:v>-1.5054622934371764</c:v>
                </c:pt>
                <c:pt idx="106">
                  <c:v>-2.4779884348617998</c:v>
                </c:pt>
                <c:pt idx="107">
                  <c:v>-2.2967300164680182</c:v>
                </c:pt>
                <c:pt idx="108">
                  <c:v>-2.484087136110702</c:v>
                </c:pt>
                <c:pt idx="109">
                  <c:v>-1.8074175951028337</c:v>
                </c:pt>
                <c:pt idx="110">
                  <c:v>-1.8623067218470624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4B-41EE-8244-CAEBF21365BA}"/>
            </c:ext>
          </c:extLst>
        </c:ser>
        <c:ser>
          <c:idx val="12"/>
          <c:order val="5"/>
          <c:tx>
            <c:strRef>
              <c:f>Déplacements!$G$9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-0.17515951327595758</c:v>
                </c:pt>
                <c:pt idx="2">
                  <c:v>0.21742494482168695</c:v>
                </c:pt>
                <c:pt idx="3">
                  <c:v>0.30805410131051758</c:v>
                </c:pt>
                <c:pt idx="4">
                  <c:v>-0.19912833488433535</c:v>
                </c:pt>
                <c:pt idx="5">
                  <c:v>0.59909087158871444</c:v>
                </c:pt>
                <c:pt idx="6">
                  <c:v>-1.8897291373605185</c:v>
                </c:pt>
                <c:pt idx="7">
                  <c:v>-2.7960291373574364</c:v>
                </c:pt>
                <c:pt idx="8">
                  <c:v>-3.7023291373543543</c:v>
                </c:pt>
                <c:pt idx="9">
                  <c:v>-4.2217291373560784</c:v>
                </c:pt>
                <c:pt idx="10">
                  <c:v>-3.1707291373663793</c:v>
                </c:pt>
                <c:pt idx="11">
                  <c:v>-4.1249725154273165</c:v>
                </c:pt>
                <c:pt idx="12">
                  <c:v>-3.3093096851928294</c:v>
                </c:pt>
                <c:pt idx="13">
                  <c:v>-2.2396291373638633</c:v>
                </c:pt>
                <c:pt idx="14">
                  <c:v>-1.4784290947602585</c:v>
                </c:pt>
                <c:pt idx="15">
                  <c:v>-1.0553507226802594</c:v>
                </c:pt>
                <c:pt idx="16">
                  <c:v>-2.6383123558559873</c:v>
                </c:pt>
                <c:pt idx="17">
                  <c:v>-2.3598995830695912</c:v>
                </c:pt>
                <c:pt idx="18">
                  <c:v>-2.2997291373769713</c:v>
                </c:pt>
                <c:pt idx="19">
                  <c:v>-2.323733155122909</c:v>
                </c:pt>
                <c:pt idx="20">
                  <c:v>-2.323733155122909</c:v>
                </c:pt>
                <c:pt idx="21">
                  <c:v>-1.3085291373613472</c:v>
                </c:pt>
                <c:pt idx="22">
                  <c:v>-2.4021291373799158</c:v>
                </c:pt>
                <c:pt idx="23">
                  <c:v>-1.4109291373642918</c:v>
                </c:pt>
                <c:pt idx="24">
                  <c:v>-1.5902291373777189</c:v>
                </c:pt>
                <c:pt idx="25">
                  <c:v>-1.9902291373625758</c:v>
                </c:pt>
                <c:pt idx="26">
                  <c:v>-2.590229137354072</c:v>
                </c:pt>
                <c:pt idx="27">
                  <c:v>-2.1902291373692151</c:v>
                </c:pt>
                <c:pt idx="28">
                  <c:v>-2.4902291373791741</c:v>
                </c:pt>
                <c:pt idx="29">
                  <c:v>-2.4902291373791741</c:v>
                </c:pt>
                <c:pt idx="30">
                  <c:v>-2.0902291373658954</c:v>
                </c:pt>
                <c:pt idx="31">
                  <c:v>-2.2902291373725348</c:v>
                </c:pt>
                <c:pt idx="32">
                  <c:v>-2.3902291373758544</c:v>
                </c:pt>
                <c:pt idx="33">
                  <c:v>-1.5902291373777189</c:v>
                </c:pt>
                <c:pt idx="34">
                  <c:v>-3.4902291373555272</c:v>
                </c:pt>
                <c:pt idx="35">
                  <c:v>-2.890229137364031</c:v>
                </c:pt>
                <c:pt idx="36">
                  <c:v>-3.0902291373706703</c:v>
                </c:pt>
                <c:pt idx="37">
                  <c:v>-3.3902291373806293</c:v>
                </c:pt>
                <c:pt idx="38">
                  <c:v>-2.8779079186733725</c:v>
                </c:pt>
                <c:pt idx="39">
                  <c:v>-2.4078372192093411</c:v>
                </c:pt>
                <c:pt idx="40">
                  <c:v>-2.7280887300662471</c:v>
                </c:pt>
                <c:pt idx="41">
                  <c:v>-2.6069655541220982</c:v>
                </c:pt>
                <c:pt idx="42">
                  <c:v>-3.205203545007862</c:v>
                </c:pt>
                <c:pt idx="43">
                  <c:v>-3.3902291373806293</c:v>
                </c:pt>
                <c:pt idx="44">
                  <c:v>-2.8548844129261397</c:v>
                </c:pt>
                <c:pt idx="45">
                  <c:v>-2.7459587449243372</c:v>
                </c:pt>
                <c:pt idx="46">
                  <c:v>-2.7902291373607113</c:v>
                </c:pt>
                <c:pt idx="47">
                  <c:v>-3.1902291373739899</c:v>
                </c:pt>
                <c:pt idx="48">
                  <c:v>-3.1902291373739899</c:v>
                </c:pt>
                <c:pt idx="49">
                  <c:v>-3.2902291373773096</c:v>
                </c:pt>
                <c:pt idx="50">
                  <c:v>-3.0902291373706703</c:v>
                </c:pt>
                <c:pt idx="51">
                  <c:v>-3.0902291373706703</c:v>
                </c:pt>
                <c:pt idx="52">
                  <c:v>-3.5902291373588469</c:v>
                </c:pt>
                <c:pt idx="53">
                  <c:v>-3.1902291373739899</c:v>
                </c:pt>
                <c:pt idx="54">
                  <c:v>-2.9902291373673506</c:v>
                </c:pt>
                <c:pt idx="55">
                  <c:v>-3.0902291373706703</c:v>
                </c:pt>
                <c:pt idx="56">
                  <c:v>-3.1902291373739899</c:v>
                </c:pt>
                <c:pt idx="57">
                  <c:v>-2.590229137354072</c:v>
                </c:pt>
                <c:pt idx="58">
                  <c:v>-3.1902291373739899</c:v>
                </c:pt>
                <c:pt idx="59">
                  <c:v>-3.4902291373555272</c:v>
                </c:pt>
                <c:pt idx="60">
                  <c:v>-3.5902291373588469</c:v>
                </c:pt>
                <c:pt idx="61">
                  <c:v>-3.1902291373739899</c:v>
                </c:pt>
                <c:pt idx="62">
                  <c:v>-3.0902291373706703</c:v>
                </c:pt>
                <c:pt idx="63">
                  <c:v>-3.1902291373739899</c:v>
                </c:pt>
                <c:pt idx="64">
                  <c:v>-4.087100424470691</c:v>
                </c:pt>
                <c:pt idx="65">
                  <c:v>-3.0902291373706703</c:v>
                </c:pt>
                <c:pt idx="66">
                  <c:v>-2.7902291373607113</c:v>
                </c:pt>
                <c:pt idx="67">
                  <c:v>-3.2902291373773096</c:v>
                </c:pt>
                <c:pt idx="68">
                  <c:v>-3.5902291373588469</c:v>
                </c:pt>
                <c:pt idx="69">
                  <c:v>-2.648804292192608</c:v>
                </c:pt>
                <c:pt idx="70">
                  <c:v>-3.7062872800106561</c:v>
                </c:pt>
                <c:pt idx="71">
                  <c:v>-3.2649123963608417</c:v>
                </c:pt>
                <c:pt idx="72">
                  <c:v>-3.3254739315964343</c:v>
                </c:pt>
                <c:pt idx="73">
                  <c:v>-3.4705660275449191</c:v>
                </c:pt>
                <c:pt idx="74">
                  <c:v>-3.1381168119253289</c:v>
                </c:pt>
                <c:pt idx="75">
                  <c:v>-3.6091327217206981</c:v>
                </c:pt>
                <c:pt idx="76">
                  <c:v>-2.9991235226987101</c:v>
                </c:pt>
                <c:pt idx="77">
                  <c:v>-3.5790651004958818</c:v>
                </c:pt>
                <c:pt idx="78">
                  <c:v>-2.7573035690409142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4B-41EE-8244-CAEBF21365BA}"/>
            </c:ext>
          </c:extLst>
        </c:ser>
        <c:ser>
          <c:idx val="13"/>
          <c:order val="6"/>
          <c:tx>
            <c:strRef>
              <c:f>Déplacements!$W$9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Déplacements!$W$10:$W$200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-0.32025160928128571</c:v>
                </c:pt>
                <c:pt idx="2">
                  <c:v>-0.27188768041241929</c:v>
                </c:pt>
                <c:pt idx="3">
                  <c:v>-3.6166427975103943E-2</c:v>
                </c:pt>
                <c:pt idx="4">
                  <c:v>-1.3594380855579402</c:v>
                </c:pt>
                <c:pt idx="5">
                  <c:v>0.91153790563680559</c:v>
                </c:pt>
                <c:pt idx="6">
                  <c:v>-1.9040277355202306</c:v>
                </c:pt>
                <c:pt idx="7">
                  <c:v>-2.3877277355097704</c:v>
                </c:pt>
                <c:pt idx="8">
                  <c:v>-2.8103277355171485</c:v>
                </c:pt>
                <c:pt idx="9">
                  <c:v>-2.6234277355001723</c:v>
                </c:pt>
                <c:pt idx="10">
                  <c:v>-2.3092277355090118</c:v>
                </c:pt>
                <c:pt idx="11">
                  <c:v>-1.9650542534748183</c:v>
                </c:pt>
                <c:pt idx="12">
                  <c:v>-2.750223071302571</c:v>
                </c:pt>
                <c:pt idx="13">
                  <c:v>-1.8199277355108734</c:v>
                </c:pt>
                <c:pt idx="14">
                  <c:v>-2.0073193826704028</c:v>
                </c:pt>
                <c:pt idx="15">
                  <c:v>-1.2522181860674664</c:v>
                </c:pt>
                <c:pt idx="16">
                  <c:v>-1.3794401616564755</c:v>
                </c:pt>
                <c:pt idx="17">
                  <c:v>-2.8709197505918382</c:v>
                </c:pt>
                <c:pt idx="18">
                  <c:v>-1.9833277355019163</c:v>
                </c:pt>
                <c:pt idx="19">
                  <c:v>-2.9075126681448182</c:v>
                </c:pt>
                <c:pt idx="20">
                  <c:v>-2.9075126681448182</c:v>
                </c:pt>
                <c:pt idx="21">
                  <c:v>-1.6025277355140588</c:v>
                </c:pt>
                <c:pt idx="22">
                  <c:v>-2.8230277355021371</c:v>
                </c:pt>
                <c:pt idx="23">
                  <c:v>-3.9401277355182174</c:v>
                </c:pt>
                <c:pt idx="24">
                  <c:v>-1.6480277355128692</c:v>
                </c:pt>
                <c:pt idx="25">
                  <c:v>-1.8480277355195085</c:v>
                </c:pt>
                <c:pt idx="26">
                  <c:v>-3.2480277355091403</c:v>
                </c:pt>
                <c:pt idx="27">
                  <c:v>-2.9480277354991813</c:v>
                </c:pt>
                <c:pt idx="28">
                  <c:v>-3.0480277355025009</c:v>
                </c:pt>
                <c:pt idx="29">
                  <c:v>-3.1480277355058206</c:v>
                </c:pt>
                <c:pt idx="30">
                  <c:v>-2.8480277355242833</c:v>
                </c:pt>
                <c:pt idx="31">
                  <c:v>-2.5480277355143244</c:v>
                </c:pt>
                <c:pt idx="32">
                  <c:v>-3.0480277355025009</c:v>
                </c:pt>
                <c:pt idx="33">
                  <c:v>-3.3480277355124599</c:v>
                </c:pt>
                <c:pt idx="34">
                  <c:v>-4.1480277355105954</c:v>
                </c:pt>
                <c:pt idx="35">
                  <c:v>-3.5480277355190992</c:v>
                </c:pt>
                <c:pt idx="36">
                  <c:v>-3.5480277355190992</c:v>
                </c:pt>
                <c:pt idx="37">
                  <c:v>-3.9480277355039561</c:v>
                </c:pt>
                <c:pt idx="38">
                  <c:v>-3.3186777274067936</c:v>
                </c:pt>
                <c:pt idx="39">
                  <c:v>-2.4638701217440939</c:v>
                </c:pt>
                <c:pt idx="40">
                  <c:v>-3.0830986780756575</c:v>
                </c:pt>
                <c:pt idx="41">
                  <c:v>-3.1131662993288955</c:v>
                </c:pt>
                <c:pt idx="42">
                  <c:v>-3.2582582897759949</c:v>
                </c:pt>
                <c:pt idx="43">
                  <c:v>-3.5480277355190992</c:v>
                </c:pt>
                <c:pt idx="44">
                  <c:v>-3.2159930621844524</c:v>
                </c:pt>
                <c:pt idx="45">
                  <c:v>-3.3366899453994847</c:v>
                </c:pt>
                <c:pt idx="46">
                  <c:v>-3.3480277355124599</c:v>
                </c:pt>
                <c:pt idx="47">
                  <c:v>-3.6480277355224189</c:v>
                </c:pt>
                <c:pt idx="48">
                  <c:v>-3.3480277355124599</c:v>
                </c:pt>
                <c:pt idx="49">
                  <c:v>-3.6480277355224189</c:v>
                </c:pt>
                <c:pt idx="50">
                  <c:v>-3.6480277355224189</c:v>
                </c:pt>
                <c:pt idx="51">
                  <c:v>-3.2480277355091403</c:v>
                </c:pt>
                <c:pt idx="52">
                  <c:v>-4.2480277355139151</c:v>
                </c:pt>
                <c:pt idx="53">
                  <c:v>-3.7480277354973168</c:v>
                </c:pt>
                <c:pt idx="54">
                  <c:v>-3.3480277355124599</c:v>
                </c:pt>
                <c:pt idx="55">
                  <c:v>-3.3480277355124599</c:v>
                </c:pt>
                <c:pt idx="56">
                  <c:v>-3.7480277354973168</c:v>
                </c:pt>
                <c:pt idx="57">
                  <c:v>-4.5480277355238741</c:v>
                </c:pt>
                <c:pt idx="58">
                  <c:v>-3.4480277355157796</c:v>
                </c:pt>
                <c:pt idx="59">
                  <c:v>-3.8480277355006365</c:v>
                </c:pt>
                <c:pt idx="60">
                  <c:v>-4.2480277355139151</c:v>
                </c:pt>
                <c:pt idx="61">
                  <c:v>-3.6480277355224189</c:v>
                </c:pt>
                <c:pt idx="66">
                  <c:v>-2.9480277354991813</c:v>
                </c:pt>
                <c:pt idx="67">
                  <c:v>-3.6480277355224189</c:v>
                </c:pt>
                <c:pt idx="68">
                  <c:v>-4.4480277355205544</c:v>
                </c:pt>
                <c:pt idx="69">
                  <c:v>-3.2765547028930087</c:v>
                </c:pt>
                <c:pt idx="70">
                  <c:v>-3.5545410774204811</c:v>
                </c:pt>
                <c:pt idx="71">
                  <c:v>-4.412042744121436</c:v>
                </c:pt>
                <c:pt idx="72">
                  <c:v>-3.7597683174794838</c:v>
                </c:pt>
                <c:pt idx="73">
                  <c:v>-4.0739211199820602</c:v>
                </c:pt>
                <c:pt idx="74">
                  <c:v>-3.983291963550073</c:v>
                </c:pt>
                <c:pt idx="75">
                  <c:v>-4.4543078733454422</c:v>
                </c:pt>
                <c:pt idx="76">
                  <c:v>-3.9771930584038273</c:v>
                </c:pt>
                <c:pt idx="77">
                  <c:v>-4.4242403505450056</c:v>
                </c:pt>
                <c:pt idx="78">
                  <c:v>-3.3310174313783136</c:v>
                </c:pt>
                <c:pt idx="81">
                  <c:v>-4.7867571874178338</c:v>
                </c:pt>
                <c:pt idx="83">
                  <c:v>-4.7867571874178338</c:v>
                </c:pt>
                <c:pt idx="85">
                  <c:v>-3.4867571874031</c:v>
                </c:pt>
                <c:pt idx="86">
                  <c:v>-4.4479606034713015</c:v>
                </c:pt>
                <c:pt idx="87">
                  <c:v>-2.7804685150556452</c:v>
                </c:pt>
                <c:pt idx="88">
                  <c:v>-3.9102840493683289</c:v>
                </c:pt>
                <c:pt idx="89">
                  <c:v>-3.9867571874196983</c:v>
                </c:pt>
                <c:pt idx="90">
                  <c:v>-3.5176996896666424</c:v>
                </c:pt>
                <c:pt idx="91">
                  <c:v>-4.2305357570739943</c:v>
                </c:pt>
                <c:pt idx="92">
                  <c:v>-2.2310208512408281</c:v>
                </c:pt>
                <c:pt idx="93">
                  <c:v>-3.3669353891241371</c:v>
                </c:pt>
                <c:pt idx="94">
                  <c:v>-2.8048637277606758</c:v>
                </c:pt>
                <c:pt idx="95">
                  <c:v>-3.0401584835715312</c:v>
                </c:pt>
                <c:pt idx="96">
                  <c:v>-3.5538661176417463</c:v>
                </c:pt>
                <c:pt idx="97">
                  <c:v>-3.4327428433016394</c:v>
                </c:pt>
                <c:pt idx="98">
                  <c:v>-3.2937496524425569</c:v>
                </c:pt>
                <c:pt idx="99">
                  <c:v>-3.8074572865411938</c:v>
                </c:pt>
                <c:pt idx="100">
                  <c:v>-3.9586481821345387</c:v>
                </c:pt>
                <c:pt idx="101">
                  <c:v>-3.4994032836550559</c:v>
                </c:pt>
                <c:pt idx="102">
                  <c:v>-3.7168281300807848</c:v>
                </c:pt>
                <c:pt idx="104">
                  <c:v>-3.7712908585660898</c:v>
                </c:pt>
                <c:pt idx="105">
                  <c:v>-3.1791516743737702</c:v>
                </c:pt>
                <c:pt idx="106">
                  <c:v>-3.8375249077944318</c:v>
                </c:pt>
                <c:pt idx="107">
                  <c:v>-3.8013585853207132</c:v>
                </c:pt>
                <c:pt idx="108">
                  <c:v>-3.5778349392501241</c:v>
                </c:pt>
                <c:pt idx="109">
                  <c:v>-3.6322977732368145</c:v>
                </c:pt>
                <c:pt idx="110">
                  <c:v>-4.1947958257253504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4B-41EE-8244-CAEBF213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76960"/>
        <c:axId val="515277352"/>
      </c:scatterChart>
      <c:valAx>
        <c:axId val="515276960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7352"/>
        <c:crossesAt val="0"/>
        <c:crossBetween val="midCat"/>
      </c:valAx>
      <c:valAx>
        <c:axId val="515277352"/>
        <c:scaling>
          <c:orientation val="minMax"/>
          <c:max val="5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Déplacement en</a:t>
                </a:r>
                <a:r>
                  <a:rPr lang="fr-FR" sz="900" b="1" baseline="0"/>
                  <a:t> PM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696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Déplacements!$D$10:$D$200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0.51370768324510152</c:v>
                </c:pt>
                <c:pt idx="2">
                  <c:v>-4.8364034381798149E-2</c:v>
                </c:pt>
                <c:pt idx="3">
                  <c:v>0.50760882730216395</c:v>
                </c:pt>
                <c:pt idx="4">
                  <c:v>2.7127773151458534</c:v>
                </c:pt>
                <c:pt idx="5">
                  <c:v>4.5550025749343526</c:v>
                </c:pt>
                <c:pt idx="6">
                  <c:v>6.3379451270555442</c:v>
                </c:pt>
                <c:pt idx="7">
                  <c:v>4.5863491270554668</c:v>
                </c:pt>
                <c:pt idx="8">
                  <c:v>5.4926411270557196</c:v>
                </c:pt>
                <c:pt idx="9">
                  <c:v>5.1906861270554217</c:v>
                </c:pt>
                <c:pt idx="10">
                  <c:v>4.3144621270556627</c:v>
                </c:pt>
                <c:pt idx="11">
                  <c:v>5.4926414618088337</c:v>
                </c:pt>
                <c:pt idx="12">
                  <c:v>7.0938996557283751</c:v>
                </c:pt>
                <c:pt idx="13">
                  <c:v>7.6311491270555365</c:v>
                </c:pt>
                <c:pt idx="14">
                  <c:v>8.34398568217809</c:v>
                </c:pt>
                <c:pt idx="15">
                  <c:v>9.0023589647580948</c:v>
                </c:pt>
                <c:pt idx="16">
                  <c:v>7.4982552799092161</c:v>
                </c:pt>
                <c:pt idx="17">
                  <c:v>10.186637382296748</c:v>
                </c:pt>
                <c:pt idx="18">
                  <c:v>9.1173831270556782</c:v>
                </c:pt>
                <c:pt idx="19">
                  <c:v>10.017576570232389</c:v>
                </c:pt>
                <c:pt idx="20">
                  <c:v>10.017576570232389</c:v>
                </c:pt>
                <c:pt idx="21">
                  <c:v>10.826714127055492</c:v>
                </c:pt>
                <c:pt idx="22">
                  <c:v>10.235001127055554</c:v>
                </c:pt>
                <c:pt idx="23">
                  <c:v>12.047159127055451</c:v>
                </c:pt>
                <c:pt idx="24">
                  <c:v>9.6522421270552883</c:v>
                </c:pt>
                <c:pt idx="25">
                  <c:v>9.8522421270557103</c:v>
                </c:pt>
                <c:pt idx="26">
                  <c:v>10.952242127055367</c:v>
                </c:pt>
                <c:pt idx="27">
                  <c:v>10.952242127055367</c:v>
                </c:pt>
                <c:pt idx="28">
                  <c:v>10.8522421270556</c:v>
                </c:pt>
                <c:pt idx="29">
                  <c:v>10.952242127055367</c:v>
                </c:pt>
                <c:pt idx="30">
                  <c:v>11.85224212705549</c:v>
                </c:pt>
                <c:pt idx="31">
                  <c:v>11.85224212705549</c:v>
                </c:pt>
                <c:pt idx="32">
                  <c:v>11.452242127055534</c:v>
                </c:pt>
                <c:pt idx="33">
                  <c:v>13.052242127055358</c:v>
                </c:pt>
                <c:pt idx="34">
                  <c:v>11.052242127055578</c:v>
                </c:pt>
                <c:pt idx="35">
                  <c:v>11.552242127055301</c:v>
                </c:pt>
                <c:pt idx="36">
                  <c:v>11.85224212705549</c:v>
                </c:pt>
                <c:pt idx="37">
                  <c:v>11.85224212705549</c:v>
                </c:pt>
                <c:pt idx="38">
                  <c:v>12.125071624284445</c:v>
                </c:pt>
                <c:pt idx="39">
                  <c:v>11.721234875644804</c:v>
                </c:pt>
                <c:pt idx="40">
                  <c:v>11.55217411278997</c:v>
                </c:pt>
                <c:pt idx="41">
                  <c:v>12.573064183057259</c:v>
                </c:pt>
                <c:pt idx="42">
                  <c:v>11.685068553184852</c:v>
                </c:pt>
                <c:pt idx="43">
                  <c:v>12.252242127055446</c:v>
                </c:pt>
                <c:pt idx="44">
                  <c:v>11.775697815143982</c:v>
                </c:pt>
                <c:pt idx="45">
                  <c:v>12.355639547650288</c:v>
                </c:pt>
                <c:pt idx="46">
                  <c:v>12.452242127055424</c:v>
                </c:pt>
                <c:pt idx="47">
                  <c:v>12.352242127055657</c:v>
                </c:pt>
                <c:pt idx="48">
                  <c:v>12.552242127055635</c:v>
                </c:pt>
                <c:pt idx="49">
                  <c:v>12.152242127055679</c:v>
                </c:pt>
                <c:pt idx="50">
                  <c:v>12.652242127055402</c:v>
                </c:pt>
                <c:pt idx="51">
                  <c:v>12.252242127055446</c:v>
                </c:pt>
                <c:pt idx="52">
                  <c:v>13.452242127055314</c:v>
                </c:pt>
                <c:pt idx="53">
                  <c:v>12.352242127055657</c:v>
                </c:pt>
                <c:pt idx="54">
                  <c:v>10.8522421270556</c:v>
                </c:pt>
                <c:pt idx="55">
                  <c:v>12.752242127055613</c:v>
                </c:pt>
                <c:pt idx="56">
                  <c:v>12.252242127055446</c:v>
                </c:pt>
                <c:pt idx="57">
                  <c:v>13.552242127055525</c:v>
                </c:pt>
                <c:pt idx="58">
                  <c:v>12.552242127055635</c:v>
                </c:pt>
                <c:pt idx="59">
                  <c:v>12.85224212705538</c:v>
                </c:pt>
                <c:pt idx="60">
                  <c:v>12.85224212705538</c:v>
                </c:pt>
                <c:pt idx="61">
                  <c:v>12.652242127055402</c:v>
                </c:pt>
                <c:pt idx="62">
                  <c:v>12.952242127055591</c:v>
                </c:pt>
                <c:pt idx="63">
                  <c:v>12.85224212705538</c:v>
                </c:pt>
                <c:pt idx="64">
                  <c:v>12.259337820911043</c:v>
                </c:pt>
                <c:pt idx="65">
                  <c:v>13.552242127055525</c:v>
                </c:pt>
                <c:pt idx="66">
                  <c:v>13.052242127055358</c:v>
                </c:pt>
                <c:pt idx="67">
                  <c:v>13.452242127055314</c:v>
                </c:pt>
                <c:pt idx="68">
                  <c:v>13.452242127055314</c:v>
                </c:pt>
                <c:pt idx="69">
                  <c:v>14.415715834019682</c:v>
                </c:pt>
                <c:pt idx="70">
                  <c:v>13.098969578242858</c:v>
                </c:pt>
                <c:pt idx="71">
                  <c:v>14.60917185883126</c:v>
                </c:pt>
                <c:pt idx="72">
                  <c:v>13.980866302959249</c:v>
                </c:pt>
                <c:pt idx="73">
                  <c:v>13.715077422213895</c:v>
                </c:pt>
                <c:pt idx="74">
                  <c:v>14.113760792564101</c:v>
                </c:pt>
                <c:pt idx="75">
                  <c:v>15.068416813624808</c:v>
                </c:pt>
                <c:pt idx="76">
                  <c:v>14.560808035486428</c:v>
                </c:pt>
                <c:pt idx="77">
                  <c:v>14.573005536343331</c:v>
                </c:pt>
                <c:pt idx="78">
                  <c:v>15.128552006914653</c:v>
                </c:pt>
                <c:pt idx="81">
                  <c:v>14.041427887427904</c:v>
                </c:pt>
                <c:pt idx="83">
                  <c:v>14.041427887427904</c:v>
                </c:pt>
                <c:pt idx="85">
                  <c:v>12.341427887427869</c:v>
                </c:pt>
                <c:pt idx="86">
                  <c:v>12.897106836188499</c:v>
                </c:pt>
                <c:pt idx="87">
                  <c:v>10.903264338856467</c:v>
                </c:pt>
                <c:pt idx="88">
                  <c:v>10.728104670840288</c:v>
                </c:pt>
                <c:pt idx="89">
                  <c:v>10.441427887427857</c:v>
                </c:pt>
                <c:pt idx="90">
                  <c:v>10.691938348375896</c:v>
                </c:pt>
                <c:pt idx="91">
                  <c:v>13.651781585349632</c:v>
                </c:pt>
                <c:pt idx="92">
                  <c:v>13.634338010820812</c:v>
                </c:pt>
                <c:pt idx="93">
                  <c:v>11.090621507722442</c:v>
                </c:pt>
                <c:pt idx="94">
                  <c:v>11.628298012605232</c:v>
                </c:pt>
                <c:pt idx="95">
                  <c:v>12.800378929294975</c:v>
                </c:pt>
                <c:pt idx="96">
                  <c:v>12.806477574234254</c:v>
                </c:pt>
                <c:pt idx="97">
                  <c:v>13.325857722287449</c:v>
                </c:pt>
                <c:pt idx="98">
                  <c:v>13.283592494660823</c:v>
                </c:pt>
                <c:pt idx="100">
                  <c:v>13.616041653999211</c:v>
                </c:pt>
                <c:pt idx="101">
                  <c:v>13.658306881638715</c:v>
                </c:pt>
                <c:pt idx="102">
                  <c:v>13.68837455917804</c:v>
                </c:pt>
                <c:pt idx="103">
                  <c:v>13.18686437675165</c:v>
                </c:pt>
                <c:pt idx="104">
                  <c:v>14.069187752850265</c:v>
                </c:pt>
                <c:pt idx="105">
                  <c:v>13.736738593550513</c:v>
                </c:pt>
                <c:pt idx="106">
                  <c:v>14.256544921746439</c:v>
                </c:pt>
                <c:pt idx="107">
                  <c:v>14.504037283900484</c:v>
                </c:pt>
                <c:pt idx="108">
                  <c:v>14.069187752850265</c:v>
                </c:pt>
                <c:pt idx="109">
                  <c:v>14.419506877861643</c:v>
                </c:pt>
                <c:pt idx="110">
                  <c:v>17.585003900767671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A-4272-AB78-C8E5A3520320}"/>
            </c:ext>
          </c:extLst>
        </c:ser>
        <c:ser>
          <c:idx val="8"/>
          <c:order val="1"/>
          <c:tx>
            <c:strRef>
              <c:f>Déplacements!$P$9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Déplacements!$P$10:$P$200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-3.0067726747767809E-2</c:v>
                </c:pt>
                <c:pt idx="2">
                  <c:v>6.0561535198094818E-2</c:v>
                </c:pt>
                <c:pt idx="3">
                  <c:v>0.19345602480708157</c:v>
                </c:pt>
                <c:pt idx="4">
                  <c:v>0.74333003058890679</c:v>
                </c:pt>
                <c:pt idx="5">
                  <c:v>0.48321356537625593</c:v>
                </c:pt>
                <c:pt idx="6">
                  <c:v>-1.0082657495592839</c:v>
                </c:pt>
                <c:pt idx="7">
                  <c:v>-2.7598617495592781</c:v>
                </c:pt>
                <c:pt idx="8">
                  <c:v>-1.8535697495593029</c:v>
                </c:pt>
                <c:pt idx="9">
                  <c:v>-3.1463477495592973</c:v>
                </c:pt>
                <c:pt idx="10">
                  <c:v>-3.3036377495593019</c:v>
                </c:pt>
                <c:pt idx="11">
                  <c:v>-3.6661541628052738</c:v>
                </c:pt>
                <c:pt idx="12">
                  <c:v>-2.8443925821323157</c:v>
                </c:pt>
                <c:pt idx="13">
                  <c:v>-2.0653227495592841</c:v>
                </c:pt>
                <c:pt idx="14">
                  <c:v>-2.035254893477223</c:v>
                </c:pt>
                <c:pt idx="15">
                  <c:v>-1.8661941306283569</c:v>
                </c:pt>
                <c:pt idx="16">
                  <c:v>-3.2374033258762704</c:v>
                </c:pt>
                <c:pt idx="17">
                  <c:v>-0.83877876404644947</c:v>
                </c:pt>
                <c:pt idx="18">
                  <c:v>-2.5968997495592894</c:v>
                </c:pt>
                <c:pt idx="19">
                  <c:v>-1.8174036559090723</c:v>
                </c:pt>
                <c:pt idx="20">
                  <c:v>-1.8174036559090723</c:v>
                </c:pt>
                <c:pt idx="21">
                  <c:v>-1.3646837495592812</c:v>
                </c:pt>
                <c:pt idx="22">
                  <c:v>-1.9986617495592884</c:v>
                </c:pt>
                <c:pt idx="23">
                  <c:v>0.41783225044070282</c:v>
                </c:pt>
                <c:pt idx="24">
                  <c:v>-3.3351047495592812</c:v>
                </c:pt>
                <c:pt idx="25">
                  <c:v>-3.2351047495592922</c:v>
                </c:pt>
                <c:pt idx="26">
                  <c:v>-1.9351047495592966</c:v>
                </c:pt>
                <c:pt idx="27">
                  <c:v>-2.1351047495593023</c:v>
                </c:pt>
                <c:pt idx="28">
                  <c:v>-2.2351047495592913</c:v>
                </c:pt>
                <c:pt idx="29">
                  <c:v>-2.2351047495592913</c:v>
                </c:pt>
                <c:pt idx="30">
                  <c:v>-1.7351047495592908</c:v>
                </c:pt>
                <c:pt idx="31">
                  <c:v>-2.1351047495593023</c:v>
                </c:pt>
                <c:pt idx="32">
                  <c:v>-2.5351047495592862</c:v>
                </c:pt>
                <c:pt idx="33">
                  <c:v>-0.43510474955929523</c:v>
                </c:pt>
                <c:pt idx="34">
                  <c:v>-2.6351047495593027</c:v>
                </c:pt>
                <c:pt idx="35">
                  <c:v>-2.4351047495592972</c:v>
                </c:pt>
                <c:pt idx="36">
                  <c:v>-2.2351047495592913</c:v>
                </c:pt>
                <c:pt idx="37">
                  <c:v>-2.2351047495592913</c:v>
                </c:pt>
                <c:pt idx="38">
                  <c:v>-2.656018943096222</c:v>
                </c:pt>
                <c:pt idx="39">
                  <c:v>-3.1062575814490287</c:v>
                </c:pt>
                <c:pt idx="40">
                  <c:v>-3.194711707152659</c:v>
                </c:pt>
                <c:pt idx="41">
                  <c:v>-2.3067160772563544</c:v>
                </c:pt>
                <c:pt idx="42">
                  <c:v>-3.1040824451466777</c:v>
                </c:pt>
                <c:pt idx="43">
                  <c:v>-2.7351047495592917</c:v>
                </c:pt>
                <c:pt idx="44">
                  <c:v>-3.0134533941948982</c:v>
                </c:pt>
                <c:pt idx="45">
                  <c:v>-2.5180421169224978</c:v>
                </c:pt>
                <c:pt idx="46">
                  <c:v>-2.5351047495592862</c:v>
                </c:pt>
                <c:pt idx="47">
                  <c:v>-2.6351047495593027</c:v>
                </c:pt>
                <c:pt idx="48">
                  <c:v>-2.5351047495592862</c:v>
                </c:pt>
                <c:pt idx="49">
                  <c:v>-2.6351047495593027</c:v>
                </c:pt>
                <c:pt idx="50">
                  <c:v>-2.6351047495593027</c:v>
                </c:pt>
                <c:pt idx="51">
                  <c:v>-3.1351047495593032</c:v>
                </c:pt>
                <c:pt idx="52">
                  <c:v>-1.9351047495592966</c:v>
                </c:pt>
                <c:pt idx="53">
                  <c:v>-2.4351047495592972</c:v>
                </c:pt>
                <c:pt idx="54">
                  <c:v>-2.5351047495592862</c:v>
                </c:pt>
                <c:pt idx="55">
                  <c:v>-2.5351047495592862</c:v>
                </c:pt>
                <c:pt idx="56">
                  <c:v>-2.9351047495592972</c:v>
                </c:pt>
                <c:pt idx="57">
                  <c:v>-1.2351047495592904</c:v>
                </c:pt>
                <c:pt idx="58">
                  <c:v>-2.7351047495592917</c:v>
                </c:pt>
                <c:pt idx="59">
                  <c:v>-2.6351047495593027</c:v>
                </c:pt>
                <c:pt idx="60">
                  <c:v>-2.5351047495592862</c:v>
                </c:pt>
                <c:pt idx="61">
                  <c:v>-3.0351047495592862</c:v>
                </c:pt>
                <c:pt idx="62">
                  <c:v>-3.0351047495592862</c:v>
                </c:pt>
                <c:pt idx="63">
                  <c:v>-3.2351047495592922</c:v>
                </c:pt>
                <c:pt idx="64">
                  <c:v>-3.5689996537604793</c:v>
                </c:pt>
                <c:pt idx="65">
                  <c:v>-2.3351047495592803</c:v>
                </c:pt>
                <c:pt idx="66">
                  <c:v>-3.1351047495593032</c:v>
                </c:pt>
                <c:pt idx="67">
                  <c:v>-2.7351047495592917</c:v>
                </c:pt>
                <c:pt idx="68">
                  <c:v>-2.5351047495592862</c:v>
                </c:pt>
                <c:pt idx="69">
                  <c:v>-2.6387388454389979</c:v>
                </c:pt>
                <c:pt idx="70">
                  <c:v>-3.792523405313053</c:v>
                </c:pt>
                <c:pt idx="71">
                  <c:v>-1.8592424431851107</c:v>
                </c:pt>
                <c:pt idx="72">
                  <c:v>-2.8561636918468247</c:v>
                </c:pt>
                <c:pt idx="73">
                  <c:v>-2.8923300635540219</c:v>
                </c:pt>
                <c:pt idx="74">
                  <c:v>-2.7171703955498341</c:v>
                </c:pt>
                <c:pt idx="75">
                  <c:v>-2.0344021111739496</c:v>
                </c:pt>
                <c:pt idx="76">
                  <c:v>-2.4513816765550924</c:v>
                </c:pt>
                <c:pt idx="77">
                  <c:v>-2.52371458174383</c:v>
                </c:pt>
                <c:pt idx="78">
                  <c:v>-3.001255682308468</c:v>
                </c:pt>
                <c:pt idx="81">
                  <c:v>-3.0069281471245821</c:v>
                </c:pt>
                <c:pt idx="83">
                  <c:v>-3.0069281471245821</c:v>
                </c:pt>
                <c:pt idx="85">
                  <c:v>-4.706928147124561</c:v>
                </c:pt>
                <c:pt idx="86">
                  <c:v>-5.4738847436409666</c:v>
                </c:pt>
                <c:pt idx="87">
                  <c:v>-6.2294123243015198</c:v>
                </c:pt>
                <c:pt idx="88">
                  <c:v>-6.7971565067044271</c:v>
                </c:pt>
                <c:pt idx="89">
                  <c:v>-7.2069281471245636</c:v>
                </c:pt>
                <c:pt idx="90">
                  <c:v>-6.4708059923413161</c:v>
                </c:pt>
                <c:pt idx="91">
                  <c:v>-6.162751883914769</c:v>
                </c:pt>
                <c:pt idx="92">
                  <c:v>-4.7187836033630859</c:v>
                </c:pt>
                <c:pt idx="93">
                  <c:v>-7.1174079541876374</c:v>
                </c:pt>
                <c:pt idx="94">
                  <c:v>-6.4407383147923873</c:v>
                </c:pt>
                <c:pt idx="95">
                  <c:v>-5.6311744459919817</c:v>
                </c:pt>
                <c:pt idx="96">
                  <c:v>-5.7096059960752283</c:v>
                </c:pt>
                <c:pt idx="97">
                  <c:v>-4.8699742387492968</c:v>
                </c:pt>
                <c:pt idx="98">
                  <c:v>-5.0089675350747926</c:v>
                </c:pt>
                <c:pt idx="99">
                  <c:v>-5.0268375007277708</c:v>
                </c:pt>
                <c:pt idx="100">
                  <c:v>-5.3954532427527564</c:v>
                </c:pt>
                <c:pt idx="101">
                  <c:v>-5.3531880151204412</c:v>
                </c:pt>
                <c:pt idx="102">
                  <c:v>-5.2263924307024974</c:v>
                </c:pt>
                <c:pt idx="103">
                  <c:v>-5.4198484554942024</c:v>
                </c:pt>
                <c:pt idx="104">
                  <c:v>-5.3048239807811921</c:v>
                </c:pt>
                <c:pt idx="105">
                  <c:v>-5.0995967970310083</c:v>
                </c:pt>
                <c:pt idx="106">
                  <c:v>-4.833807867054313</c:v>
                </c:pt>
                <c:pt idx="107">
                  <c:v>-5.0028686791469816</c:v>
                </c:pt>
                <c:pt idx="108">
                  <c:v>-5.0211650359490152</c:v>
                </c:pt>
                <c:pt idx="109">
                  <c:v>-4.9849987134657212</c:v>
                </c:pt>
                <c:pt idx="110">
                  <c:v>-5.0512327626972269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A-4272-AB78-C8E5A3520320}"/>
            </c:ext>
          </c:extLst>
        </c:ser>
        <c:ser>
          <c:idx val="9"/>
          <c:order val="2"/>
          <c:tx>
            <c:strRef>
              <c:f>Déplacements!$AB$9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Déplacements!$AB$10:$AB$200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0.44094859798216035</c:v>
                </c:pt>
                <c:pt idx="2">
                  <c:v>0.22352375156309279</c:v>
                </c:pt>
                <c:pt idx="3">
                  <c:v>0.13899334554468012</c:v>
                </c:pt>
                <c:pt idx="4">
                  <c:v>0.32635051442397867</c:v>
                </c:pt>
                <c:pt idx="5">
                  <c:v>-2.603851696377113</c:v>
                </c:pt>
                <c:pt idx="6">
                  <c:v>-4.9894261692520203</c:v>
                </c:pt>
                <c:pt idx="7">
                  <c:v>-5.4120781692521547</c:v>
                </c:pt>
                <c:pt idx="8">
                  <c:v>-5.4120781692521547</c:v>
                </c:pt>
                <c:pt idx="9">
                  <c:v>-6.5719611692522939</c:v>
                </c:pt>
                <c:pt idx="10">
                  <c:v>-6.5841581692520634</c:v>
                </c:pt>
                <c:pt idx="11">
                  <c:v>-6.3183696825075408</c:v>
                </c:pt>
                <c:pt idx="12">
                  <c:v>-6.6142260790353902</c:v>
                </c:pt>
                <c:pt idx="13">
                  <c:v>-6.6325231692521136</c:v>
                </c:pt>
                <c:pt idx="14">
                  <c:v>-6.8560461873956591</c:v>
                </c:pt>
                <c:pt idx="15">
                  <c:v>-6.3488638003965647</c:v>
                </c:pt>
                <c:pt idx="16">
                  <c:v>-8.3483787625469041</c:v>
                </c:pt>
                <c:pt idx="17">
                  <c:v>-5.9798216672271032</c:v>
                </c:pt>
                <c:pt idx="18">
                  <c:v>-7.9192011692521547</c:v>
                </c:pt>
                <c:pt idx="19">
                  <c:v>-7.5383882916231215</c:v>
                </c:pt>
                <c:pt idx="20">
                  <c:v>-7.5383882916231215</c:v>
                </c:pt>
                <c:pt idx="21">
                  <c:v>-7.1641001692519524</c:v>
                </c:pt>
                <c:pt idx="22">
                  <c:v>-7.6229181692522019</c:v>
                </c:pt>
                <c:pt idx="23">
                  <c:v>-5.937130169252125</c:v>
                </c:pt>
                <c:pt idx="24">
                  <c:v>-9.5439951692521952</c:v>
                </c:pt>
                <c:pt idx="25">
                  <c:v>-8.9439951692522612</c:v>
                </c:pt>
                <c:pt idx="26">
                  <c:v>-7.6439951692521824</c:v>
                </c:pt>
                <c:pt idx="27">
                  <c:v>-7.9439951692519273</c:v>
                </c:pt>
                <c:pt idx="28">
                  <c:v>-7.8439951692521603</c:v>
                </c:pt>
                <c:pt idx="29">
                  <c:v>-7.7439951692519493</c:v>
                </c:pt>
                <c:pt idx="30">
                  <c:v>-7.6439951692521824</c:v>
                </c:pt>
                <c:pt idx="31">
                  <c:v>-8.2439951692521163</c:v>
                </c:pt>
                <c:pt idx="32">
                  <c:v>-8.5439951692523053</c:v>
                </c:pt>
                <c:pt idx="33">
                  <c:v>-6.7439951692520594</c:v>
                </c:pt>
                <c:pt idx="34">
                  <c:v>-8.2439951692521163</c:v>
                </c:pt>
                <c:pt idx="35">
                  <c:v>-8.1439951692523493</c:v>
                </c:pt>
                <c:pt idx="36">
                  <c:v>-8.2439951692521163</c:v>
                </c:pt>
                <c:pt idx="37">
                  <c:v>-8.1439951692523493</c:v>
                </c:pt>
                <c:pt idx="38">
                  <c:v>-9.0465575826810252</c:v>
                </c:pt>
                <c:pt idx="40">
                  <c:v>-9.2721143237750603</c:v>
                </c:pt>
                <c:pt idx="41">
                  <c:v>-8.6921725912483261</c:v>
                </c:pt>
                <c:pt idx="42">
                  <c:v>-9.398909908239883</c:v>
                </c:pt>
                <c:pt idx="43">
                  <c:v>-8.9439951692522612</c:v>
                </c:pt>
                <c:pt idx="44">
                  <c:v>-9.2660154678374518</c:v>
                </c:pt>
                <c:pt idx="46">
                  <c:v>-9.1439951692522392</c:v>
                </c:pt>
                <c:pt idx="47">
                  <c:v>-9.1439951692522392</c:v>
                </c:pt>
                <c:pt idx="48">
                  <c:v>-8.9439951692522612</c:v>
                </c:pt>
                <c:pt idx="49">
                  <c:v>-9.1439951692522392</c:v>
                </c:pt>
                <c:pt idx="50">
                  <c:v>-9.1439951692522392</c:v>
                </c:pt>
                <c:pt idx="51">
                  <c:v>-9.6439951692519621</c:v>
                </c:pt>
                <c:pt idx="52">
                  <c:v>-8.4439951692520943</c:v>
                </c:pt>
                <c:pt idx="53">
                  <c:v>-8.8439951692520502</c:v>
                </c:pt>
                <c:pt idx="54">
                  <c:v>-9.2439951692520061</c:v>
                </c:pt>
                <c:pt idx="55">
                  <c:v>-8.9439951692522612</c:v>
                </c:pt>
                <c:pt idx="56">
                  <c:v>-9.3439951692522172</c:v>
                </c:pt>
                <c:pt idx="57">
                  <c:v>-8.3439951692523273</c:v>
                </c:pt>
                <c:pt idx="58">
                  <c:v>-9.3439951692522172</c:v>
                </c:pt>
                <c:pt idx="59">
                  <c:v>-9.1439951692522392</c:v>
                </c:pt>
                <c:pt idx="60">
                  <c:v>-9.1439951692522392</c:v>
                </c:pt>
                <c:pt idx="61">
                  <c:v>-9.6439951692519621</c:v>
                </c:pt>
                <c:pt idx="62">
                  <c:v>-9.6439951692519621</c:v>
                </c:pt>
                <c:pt idx="64">
                  <c:v>-9.6224333995786893</c:v>
                </c:pt>
                <c:pt idx="66">
                  <c:v>-10.24399516925234</c:v>
                </c:pt>
                <c:pt idx="67">
                  <c:v>-9.8439951692519401</c:v>
                </c:pt>
                <c:pt idx="68">
                  <c:v>-9.2439951692520061</c:v>
                </c:pt>
                <c:pt idx="69">
                  <c:v>-10.154011048507439</c:v>
                </c:pt>
                <c:pt idx="70">
                  <c:v>-10.468164062065188</c:v>
                </c:pt>
                <c:pt idx="71">
                  <c:v>-9.0965282646240375</c:v>
                </c:pt>
                <c:pt idx="72">
                  <c:v>-9.918289845291639</c:v>
                </c:pt>
                <c:pt idx="73">
                  <c:v>-9.9060923444342919</c:v>
                </c:pt>
                <c:pt idx="74">
                  <c:v>-9.7731978548347698</c:v>
                </c:pt>
                <c:pt idx="75">
                  <c:v>-9.0904294086744386</c:v>
                </c:pt>
                <c:pt idx="76">
                  <c:v>-9.5135079918082788</c:v>
                </c:pt>
                <c:pt idx="77">
                  <c:v>-9.7670992098985998</c:v>
                </c:pt>
                <c:pt idx="78">
                  <c:v>-10.594959646506474</c:v>
                </c:pt>
                <c:pt idx="81">
                  <c:v>-9.8816970824548989</c:v>
                </c:pt>
                <c:pt idx="83">
                  <c:v>-9.8816970824548989</c:v>
                </c:pt>
                <c:pt idx="85">
                  <c:v>-11.781697082454912</c:v>
                </c:pt>
                <c:pt idx="86">
                  <c:v>-13.07093149668237</c:v>
                </c:pt>
                <c:pt idx="87">
                  <c:v>-12.871803218076572</c:v>
                </c:pt>
                <c:pt idx="88">
                  <c:v>-13.216023487136574</c:v>
                </c:pt>
                <c:pt idx="89">
                  <c:v>-14.08169708245488</c:v>
                </c:pt>
                <c:pt idx="90">
                  <c:v>-13.524077595545858</c:v>
                </c:pt>
                <c:pt idx="91">
                  <c:v>-11.844387851511318</c:v>
                </c:pt>
                <c:pt idx="93">
                  <c:v>-14.309672853719313</c:v>
                </c:pt>
                <c:pt idx="94">
                  <c:v>-13.506207629855105</c:v>
                </c:pt>
                <c:pt idx="95">
                  <c:v>-12.865704362126973</c:v>
                </c:pt>
                <c:pt idx="99">
                  <c:v>-12.762877599273192</c:v>
                </c:pt>
                <c:pt idx="100">
                  <c:v>-13.475713511967857</c:v>
                </c:pt>
                <c:pt idx="101">
                  <c:v>-13.300553843959229</c:v>
                </c:pt>
                <c:pt idx="102">
                  <c:v>-12.817340278584499</c:v>
                </c:pt>
                <c:pt idx="105">
                  <c:v>-12.787272812046613</c:v>
                </c:pt>
                <c:pt idx="106">
                  <c:v>-12.714513515722725</c:v>
                </c:pt>
                <c:pt idx="107">
                  <c:v>-12.636081965634816</c:v>
                </c:pt>
                <c:pt idx="108">
                  <c:v>-12.99249994658247</c:v>
                </c:pt>
                <c:pt idx="109">
                  <c:v>-12.726711016591175</c:v>
                </c:pt>
                <c:pt idx="110">
                  <c:v>-16.272594842042132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AA-4272-AB78-C8E5A3520320}"/>
            </c:ext>
          </c:extLst>
        </c:ser>
        <c:ser>
          <c:idx val="10"/>
          <c:order val="3"/>
          <c:tx>
            <c:strRef>
              <c:f>Déplacements!$L$9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-4.2265227627513724E-2</c:v>
                </c:pt>
                <c:pt idx="2">
                  <c:v>0.32635025419036623</c:v>
                </c:pt>
                <c:pt idx="3">
                  <c:v>0.41697951616148643</c:v>
                </c:pt>
                <c:pt idx="4">
                  <c:v>1.6979860516217471</c:v>
                </c:pt>
                <c:pt idx="5">
                  <c:v>3.8966293415709785</c:v>
                </c:pt>
                <c:pt idx="6">
                  <c:v>4.4168627160972029</c:v>
                </c:pt>
                <c:pt idx="7">
                  <c:v>3.5715577160972956</c:v>
                </c:pt>
                <c:pt idx="8">
                  <c:v>4.4778497160971042</c:v>
                </c:pt>
                <c:pt idx="9">
                  <c:v>4.2604257160969716</c:v>
                </c:pt>
                <c:pt idx="10">
                  <c:v>3.7105517160971324</c:v>
                </c:pt>
                <c:pt idx="11">
                  <c:v>4.4778501983011587</c:v>
                </c:pt>
                <c:pt idx="12">
                  <c:v>5.6377334030832671</c:v>
                </c:pt>
                <c:pt idx="13">
                  <c:v>6.3623407160973144</c:v>
                </c:pt>
                <c:pt idx="14">
                  <c:v>6.5675678202588017</c:v>
                </c:pt>
                <c:pt idx="15">
                  <c:v>8.0777703610843687</c:v>
                </c:pt>
                <c:pt idx="16">
                  <c:v>6.1810821617633849</c:v>
                </c:pt>
                <c:pt idx="17">
                  <c:v>8.9178282985451496</c:v>
                </c:pt>
                <c:pt idx="18">
                  <c:v>7.6189517160969444</c:v>
                </c:pt>
                <c:pt idx="19">
                  <c:v>8.7426688415344067</c:v>
                </c:pt>
                <c:pt idx="20">
                  <c:v>8.7426688415344067</c:v>
                </c:pt>
                <c:pt idx="21">
                  <c:v>9.3827457160968741</c:v>
                </c:pt>
                <c:pt idx="22">
                  <c:v>8.5797067160973128</c:v>
                </c:pt>
                <c:pt idx="25">
                  <c:v>8.5000867160971438</c:v>
                </c:pt>
                <c:pt idx="26">
                  <c:v>9.5000867160970337</c:v>
                </c:pt>
                <c:pt idx="27">
                  <c:v>9.8000867160972227</c:v>
                </c:pt>
                <c:pt idx="28">
                  <c:v>9.6000867160972447</c:v>
                </c:pt>
                <c:pt idx="29">
                  <c:v>9.7000867160970117</c:v>
                </c:pt>
                <c:pt idx="30">
                  <c:v>10.600086716097135</c:v>
                </c:pt>
                <c:pt idx="31">
                  <c:v>10.400086716097157</c:v>
                </c:pt>
                <c:pt idx="32">
                  <c:v>10.100086716096968</c:v>
                </c:pt>
                <c:pt idx="34">
                  <c:v>10.000086716097201</c:v>
                </c:pt>
                <c:pt idx="35">
                  <c:v>10.200086716097179</c:v>
                </c:pt>
                <c:pt idx="36">
                  <c:v>10.90008671609688</c:v>
                </c:pt>
                <c:pt idx="37">
                  <c:v>10.700086716096902</c:v>
                </c:pt>
                <c:pt idx="38">
                  <c:v>10.29941567906123</c:v>
                </c:pt>
                <c:pt idx="39">
                  <c:v>10.801870755309917</c:v>
                </c:pt>
                <c:pt idx="40">
                  <c:v>10.283365240020714</c:v>
                </c:pt>
                <c:pt idx="42">
                  <c:v>10.65198093284847</c:v>
                </c:pt>
                <c:pt idx="43">
                  <c:v>11.000086716097091</c:v>
                </c:pt>
                <c:pt idx="44">
                  <c:v>10.694246160486198</c:v>
                </c:pt>
                <c:pt idx="45">
                  <c:v>11.002300057843417</c:v>
                </c:pt>
                <c:pt idx="46">
                  <c:v>10.600086716097135</c:v>
                </c:pt>
                <c:pt idx="47">
                  <c:v>11.100086716097302</c:v>
                </c:pt>
                <c:pt idx="48">
                  <c:v>11.500086716097258</c:v>
                </c:pt>
                <c:pt idx="49">
                  <c:v>11.30008671609728</c:v>
                </c:pt>
                <c:pt idx="50">
                  <c:v>11.400086716097046</c:v>
                </c:pt>
                <c:pt idx="51">
                  <c:v>10.90008671609688</c:v>
                </c:pt>
                <c:pt idx="54">
                  <c:v>11.400086716097046</c:v>
                </c:pt>
                <c:pt idx="55">
                  <c:v>11.700086716097235</c:v>
                </c:pt>
                <c:pt idx="56">
                  <c:v>11.30008671609728</c:v>
                </c:pt>
                <c:pt idx="58">
                  <c:v>11.400086716097046</c:v>
                </c:pt>
                <c:pt idx="59">
                  <c:v>11.500086716097258</c:v>
                </c:pt>
                <c:pt idx="60">
                  <c:v>12.100086716097191</c:v>
                </c:pt>
                <c:pt idx="61">
                  <c:v>11.700086716097235</c:v>
                </c:pt>
                <c:pt idx="62">
                  <c:v>11.700086716097235</c:v>
                </c:pt>
                <c:pt idx="64">
                  <c:v>11.12952208263307</c:v>
                </c:pt>
                <c:pt idx="81">
                  <c:v>13.739472585759582</c:v>
                </c:pt>
                <c:pt idx="83">
                  <c:v>13.739472585759582</c:v>
                </c:pt>
                <c:pt idx="85">
                  <c:v>12.139472585759314</c:v>
                </c:pt>
                <c:pt idx="86">
                  <c:v>12.106803677785383</c:v>
                </c:pt>
                <c:pt idx="87">
                  <c:v>10.529940696600626</c:v>
                </c:pt>
                <c:pt idx="88">
                  <c:v>10.282448334424377</c:v>
                </c:pt>
                <c:pt idx="89">
                  <c:v>10.239472585759302</c:v>
                </c:pt>
                <c:pt idx="90">
                  <c:v>10.596601136970918</c:v>
                </c:pt>
                <c:pt idx="91">
                  <c:v>12.499388192196204</c:v>
                </c:pt>
                <c:pt idx="92">
                  <c:v>12.276290831755521</c:v>
                </c:pt>
                <c:pt idx="94">
                  <c:v>11.248875725412333</c:v>
                </c:pt>
                <c:pt idx="95">
                  <c:v>12.378691252660889</c:v>
                </c:pt>
                <c:pt idx="96">
                  <c:v>12.414857786162248</c:v>
                </c:pt>
                <c:pt idx="97">
                  <c:v>13.230520510896682</c:v>
                </c:pt>
                <c:pt idx="98">
                  <c:v>13.139891248921565</c:v>
                </c:pt>
                <c:pt idx="99">
                  <c:v>13.200453044372562</c:v>
                </c:pt>
                <c:pt idx="100">
                  <c:v>13.381711357287607</c:v>
                </c:pt>
                <c:pt idx="101">
                  <c:v>13.508506941738663</c:v>
                </c:pt>
                <c:pt idx="102">
                  <c:v>13.375612501357104</c:v>
                </c:pt>
                <c:pt idx="103">
                  <c:v>12.95253408003294</c:v>
                </c:pt>
                <c:pt idx="104">
                  <c:v>13.877122634565975</c:v>
                </c:pt>
                <c:pt idx="105">
                  <c:v>13.593037347761072</c:v>
                </c:pt>
                <c:pt idx="106">
                  <c:v>14.245738116375417</c:v>
                </c:pt>
                <c:pt idx="107">
                  <c:v>14.511527046359163</c:v>
                </c:pt>
                <c:pt idx="108">
                  <c:v>13.919387862175725</c:v>
                </c:pt>
                <c:pt idx="109">
                  <c:v>14.263608082025758</c:v>
                </c:pt>
                <c:pt idx="110">
                  <c:v>18.782870936694174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AA-4272-AB78-C8E5A3520320}"/>
            </c:ext>
          </c:extLst>
        </c:ser>
        <c:ser>
          <c:idx val="11"/>
          <c:order val="4"/>
          <c:tx>
            <c:strRef>
              <c:f>Déplacements!$T$9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Déplacements!$T$10:$T$200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4.8364034366699116E-2</c:v>
                </c:pt>
                <c:pt idx="2">
                  <c:v>4.8364034366699116E-2</c:v>
                </c:pt>
                <c:pt idx="3">
                  <c:v>9.6728117925160007E-2</c:v>
                </c:pt>
                <c:pt idx="4">
                  <c:v>0.14509215226343741</c:v>
                </c:pt>
                <c:pt idx="5">
                  <c:v>-1.0152176546980307</c:v>
                </c:pt>
                <c:pt idx="6">
                  <c:v>-2.5127959486628271</c:v>
                </c:pt>
                <c:pt idx="7">
                  <c:v>-3.8417399486627701</c:v>
                </c:pt>
                <c:pt idx="8">
                  <c:v>-3.8417399486627701</c:v>
                </c:pt>
                <c:pt idx="9">
                  <c:v>-4.6269089486625781</c:v>
                </c:pt>
                <c:pt idx="10">
                  <c:v>-4.6391069486628744</c:v>
                </c:pt>
                <c:pt idx="11">
                  <c:v>-5.1706842387950758</c:v>
                </c:pt>
                <c:pt idx="12">
                  <c:v>-4.1798616350749995</c:v>
                </c:pt>
                <c:pt idx="13">
                  <c:v>-4.246521948662707</c:v>
                </c:pt>
                <c:pt idx="14">
                  <c:v>-4.6452052347962791</c:v>
                </c:pt>
                <c:pt idx="15">
                  <c:v>-4.2286521097625318</c:v>
                </c:pt>
                <c:pt idx="16">
                  <c:v>-6.1798029883406436</c:v>
                </c:pt>
                <c:pt idx="17">
                  <c:v>-3.4670256731721416</c:v>
                </c:pt>
                <c:pt idx="18">
                  <c:v>-5.4970349486627157</c:v>
                </c:pt>
                <c:pt idx="19">
                  <c:v>-4.8987964528954819</c:v>
                </c:pt>
                <c:pt idx="20">
                  <c:v>-4.8987964528954819</c:v>
                </c:pt>
                <c:pt idx="21">
                  <c:v>-4.621236948662677</c:v>
                </c:pt>
                <c:pt idx="22">
                  <c:v>-5.1706839486627132</c:v>
                </c:pt>
                <c:pt idx="23">
                  <c:v>-3.1768419486626343</c:v>
                </c:pt>
                <c:pt idx="24">
                  <c:v>-7.0805659486627981</c:v>
                </c:pt>
                <c:pt idx="25">
                  <c:v>-6.5805659486626311</c:v>
                </c:pt>
                <c:pt idx="26">
                  <c:v>-5.1805659486627853</c:v>
                </c:pt>
                <c:pt idx="27">
                  <c:v>-5.2805659486629963</c:v>
                </c:pt>
                <c:pt idx="28">
                  <c:v>-5.3805659486627633</c:v>
                </c:pt>
                <c:pt idx="29">
                  <c:v>-5.3805659486627633</c:v>
                </c:pt>
                <c:pt idx="30">
                  <c:v>-5.1805659486627853</c:v>
                </c:pt>
                <c:pt idx="31">
                  <c:v>-5.6805659486629523</c:v>
                </c:pt>
                <c:pt idx="32">
                  <c:v>-5.9805659486626972</c:v>
                </c:pt>
                <c:pt idx="33">
                  <c:v>-3.9805659486629175</c:v>
                </c:pt>
                <c:pt idx="34">
                  <c:v>-5.6805659486629523</c:v>
                </c:pt>
                <c:pt idx="35">
                  <c:v>-5.7805659486627192</c:v>
                </c:pt>
                <c:pt idx="36">
                  <c:v>-5.6805659486629523</c:v>
                </c:pt>
                <c:pt idx="37">
                  <c:v>-5.6805659486629523</c:v>
                </c:pt>
                <c:pt idx="38">
                  <c:v>-6.5268598872392225</c:v>
                </c:pt>
                <c:pt idx="39">
                  <c:v>-6.981093286897444</c:v>
                </c:pt>
                <c:pt idx="40">
                  <c:v>-6.7776146865337061</c:v>
                </c:pt>
                <c:pt idx="41">
                  <c:v>-6.1554077755729963</c:v>
                </c:pt>
                <c:pt idx="42">
                  <c:v>-6.6869854245372728</c:v>
                </c:pt>
                <c:pt idx="43">
                  <c:v>-6.3805659486626531</c:v>
                </c:pt>
                <c:pt idx="44">
                  <c:v>-6.6447201969461744</c:v>
                </c:pt>
                <c:pt idx="45">
                  <c:v>-6.282203360022276</c:v>
                </c:pt>
                <c:pt idx="46">
                  <c:v>-6.5805659486626311</c:v>
                </c:pt>
                <c:pt idx="47">
                  <c:v>-6.3805659486626531</c:v>
                </c:pt>
                <c:pt idx="48">
                  <c:v>-6.2805659486628862</c:v>
                </c:pt>
                <c:pt idx="49">
                  <c:v>-6.3805659486626531</c:v>
                </c:pt>
                <c:pt idx="50">
                  <c:v>-6.4805659486628642</c:v>
                </c:pt>
                <c:pt idx="51">
                  <c:v>-7.0805659486627981</c:v>
                </c:pt>
                <c:pt idx="52">
                  <c:v>-5.9805659486626972</c:v>
                </c:pt>
                <c:pt idx="53">
                  <c:v>-6.3805659486626531</c:v>
                </c:pt>
                <c:pt idx="54">
                  <c:v>-6.5805659486626311</c:v>
                </c:pt>
                <c:pt idx="55">
                  <c:v>-6.3805659486626531</c:v>
                </c:pt>
                <c:pt idx="56">
                  <c:v>-6.7805659486626091</c:v>
                </c:pt>
                <c:pt idx="57">
                  <c:v>-5.5805659486627412</c:v>
                </c:pt>
                <c:pt idx="58">
                  <c:v>-6.6805659486628421</c:v>
                </c:pt>
                <c:pt idx="59">
                  <c:v>-6.6805659486628421</c:v>
                </c:pt>
                <c:pt idx="60">
                  <c:v>-6.6805659486628421</c:v>
                </c:pt>
                <c:pt idx="61">
                  <c:v>-7.0805659486627981</c:v>
                </c:pt>
                <c:pt idx="62">
                  <c:v>-7.0805659486627981</c:v>
                </c:pt>
                <c:pt idx="63">
                  <c:v>-7.3805659486629871</c:v>
                </c:pt>
                <c:pt idx="64">
                  <c:v>-7.3514575138786675</c:v>
                </c:pt>
                <c:pt idx="65">
                  <c:v>-6.5805659486626311</c:v>
                </c:pt>
                <c:pt idx="66">
                  <c:v>-7.5805659486629651</c:v>
                </c:pt>
                <c:pt idx="67">
                  <c:v>-7.0805659486627981</c:v>
                </c:pt>
                <c:pt idx="68">
                  <c:v>-6.8805659486628201</c:v>
                </c:pt>
                <c:pt idx="69">
                  <c:v>-7.4059202423755188</c:v>
                </c:pt>
                <c:pt idx="70">
                  <c:v>-8.0703923317009263</c:v>
                </c:pt>
                <c:pt idx="71">
                  <c:v>-6.5296957221985252</c:v>
                </c:pt>
                <c:pt idx="72">
                  <c:v>-7.5327158268079231</c:v>
                </c:pt>
                <c:pt idx="73">
                  <c:v>-7.4782531475188208</c:v>
                </c:pt>
                <c:pt idx="74">
                  <c:v>-7.4359879199281664</c:v>
                </c:pt>
                <c:pt idx="75">
                  <c:v>-6.8438487357354028</c:v>
                </c:pt>
                <c:pt idx="76">
                  <c:v>-7.2608282519066591</c:v>
                </c:pt>
                <c:pt idx="77">
                  <c:v>-7.3815249804289884</c:v>
                </c:pt>
                <c:pt idx="78">
                  <c:v>-8.1309539161202871</c:v>
                </c:pt>
                <c:pt idx="81">
                  <c:v>-7.7863070449244454</c:v>
                </c:pt>
                <c:pt idx="83">
                  <c:v>-7.7863070449244454</c:v>
                </c:pt>
                <c:pt idx="85">
                  <c:v>-9.8863070449244361</c:v>
                </c:pt>
                <c:pt idx="86">
                  <c:v>-11.227239537808131</c:v>
                </c:pt>
                <c:pt idx="87">
                  <c:v>-11.299998623095941</c:v>
                </c:pt>
                <c:pt idx="88">
                  <c:v>-11.257733395507064</c:v>
                </c:pt>
                <c:pt idx="89">
                  <c:v>-11.88630704492466</c:v>
                </c:pt>
                <c:pt idx="90">
                  <c:v>-11.517423469526111</c:v>
                </c:pt>
                <c:pt idx="91">
                  <c:v>-11.456861885119185</c:v>
                </c:pt>
                <c:pt idx="92">
                  <c:v>-11.100870295306819</c:v>
                </c:pt>
                <c:pt idx="93">
                  <c:v>-12.248555999264887</c:v>
                </c:pt>
                <c:pt idx="94">
                  <c:v>-11.723077206216903</c:v>
                </c:pt>
                <c:pt idx="95">
                  <c:v>-10.683890779142224</c:v>
                </c:pt>
                <c:pt idx="96">
                  <c:v>-10.949679498138742</c:v>
                </c:pt>
                <c:pt idx="97">
                  <c:v>-9.8743266993661649</c:v>
                </c:pt>
                <c:pt idx="98">
                  <c:v>-9.8804253442841272</c:v>
                </c:pt>
                <c:pt idx="99">
                  <c:v>-10.176281740784887</c:v>
                </c:pt>
                <c:pt idx="100">
                  <c:v>-11.070376226609557</c:v>
                </c:pt>
                <c:pt idx="101">
                  <c:v>-10.810686363609268</c:v>
                </c:pt>
                <c:pt idx="102">
                  <c:v>-10.496533399255714</c:v>
                </c:pt>
                <c:pt idx="103">
                  <c:v>-10.73835345844687</c:v>
                </c:pt>
                <c:pt idx="104">
                  <c:v>-10.810686363609268</c:v>
                </c:pt>
                <c:pt idx="105">
                  <c:v>-10.73835345844687</c:v>
                </c:pt>
                <c:pt idx="106">
                  <c:v>-10.309176230399064</c:v>
                </c:pt>
                <c:pt idx="107">
                  <c:v>-10.224645824349121</c:v>
                </c:pt>
                <c:pt idx="108">
                  <c:v>-10.532699932740641</c:v>
                </c:pt>
                <c:pt idx="109">
                  <c:v>-10.327472587209119</c:v>
                </c:pt>
                <c:pt idx="110">
                  <c:v>-12.339185261235119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AA-4272-AB78-C8E5A3520320}"/>
            </c:ext>
          </c:extLst>
        </c:ser>
        <c:ser>
          <c:idx val="12"/>
          <c:order val="5"/>
          <c:tx>
            <c:strRef>
              <c:f>Déplacements!$H$9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Déplacements!$H$10:$H$200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0.13899313453080708</c:v>
                </c:pt>
                <c:pt idx="2">
                  <c:v>-0.22962255831515677</c:v>
                </c:pt>
                <c:pt idx="3">
                  <c:v>-0.18735737987363166</c:v>
                </c:pt>
                <c:pt idx="4">
                  <c:v>0.90019313076705743</c:v>
                </c:pt>
                <c:pt idx="5">
                  <c:v>3.9205981631855735</c:v>
                </c:pt>
                <c:pt idx="6">
                  <c:v>4.5253615858849017</c:v>
                </c:pt>
                <c:pt idx="7">
                  <c:v>4.1027095858847673</c:v>
                </c:pt>
                <c:pt idx="8">
                  <c:v>3.6800575858846329</c:v>
                </c:pt>
                <c:pt idx="9">
                  <c:v>4.320560585885147</c:v>
                </c:pt>
                <c:pt idx="10">
                  <c:v>3.4866015858847632</c:v>
                </c:pt>
                <c:pt idx="11">
                  <c:v>4.5863494751445799</c:v>
                </c:pt>
                <c:pt idx="12">
                  <c:v>4.9667362776917301</c:v>
                </c:pt>
                <c:pt idx="13">
                  <c:v>6.4586425858852436</c:v>
                </c:pt>
                <c:pt idx="14">
                  <c:v>6.482611072295974</c:v>
                </c:pt>
                <c:pt idx="15">
                  <c:v>7.2316135676526727</c:v>
                </c:pt>
                <c:pt idx="16">
                  <c:v>6.6037341919464865</c:v>
                </c:pt>
                <c:pt idx="17">
                  <c:v>8.6093480100144504</c:v>
                </c:pt>
                <c:pt idx="18">
                  <c:v>7.5339955858853003</c:v>
                </c:pt>
                <c:pt idx="19">
                  <c:v>8.2951952567018594</c:v>
                </c:pt>
                <c:pt idx="20">
                  <c:v>8.2951952567018594</c:v>
                </c:pt>
                <c:pt idx="21">
                  <c:v>9.4306835858848359</c:v>
                </c:pt>
                <c:pt idx="22">
                  <c:v>8.6999775858851436</c:v>
                </c:pt>
                <c:pt idx="23">
                  <c:v>10.596665585884679</c:v>
                </c:pt>
                <c:pt idx="24">
                  <c:v>8.3591535858849042</c:v>
                </c:pt>
                <c:pt idx="25">
                  <c:v>8.3591535858849042</c:v>
                </c:pt>
                <c:pt idx="26">
                  <c:v>9.3591535858852382</c:v>
                </c:pt>
                <c:pt idx="27">
                  <c:v>9.3591535858852382</c:v>
                </c:pt>
                <c:pt idx="28">
                  <c:v>9.3591535858852382</c:v>
                </c:pt>
                <c:pt idx="29">
                  <c:v>9.3591535858852382</c:v>
                </c:pt>
                <c:pt idx="30">
                  <c:v>10.259153585884917</c:v>
                </c:pt>
                <c:pt idx="31">
                  <c:v>10.259153585884917</c:v>
                </c:pt>
                <c:pt idx="32">
                  <c:v>9.859153585884961</c:v>
                </c:pt>
                <c:pt idx="33">
                  <c:v>11.459153585884785</c:v>
                </c:pt>
                <c:pt idx="34">
                  <c:v>9.3591535858852382</c:v>
                </c:pt>
                <c:pt idx="35">
                  <c:v>10.059153585884495</c:v>
                </c:pt>
                <c:pt idx="36">
                  <c:v>10.359153585884684</c:v>
                </c:pt>
                <c:pt idx="37">
                  <c:v>10.359153585884684</c:v>
                </c:pt>
                <c:pt idx="38">
                  <c:v>10.666517307095447</c:v>
                </c:pt>
                <c:pt idx="39">
                  <c:v>10.131748262716123</c:v>
                </c:pt>
                <c:pt idx="40">
                  <c:v>9.8720579776561124</c:v>
                </c:pt>
                <c:pt idx="41">
                  <c:v>11.031941393474298</c:v>
                </c:pt>
                <c:pt idx="42">
                  <c:v>10.421931983422894</c:v>
                </c:pt>
                <c:pt idx="43">
                  <c:v>10.75915358588464</c:v>
                </c:pt>
                <c:pt idx="44">
                  <c:v>10.143945763589457</c:v>
                </c:pt>
                <c:pt idx="45">
                  <c:v>10.856781725459896</c:v>
                </c:pt>
                <c:pt idx="46">
                  <c:v>10.859153585885295</c:v>
                </c:pt>
                <c:pt idx="47">
                  <c:v>10.75915358588464</c:v>
                </c:pt>
                <c:pt idx="48">
                  <c:v>11.059153585884829</c:v>
                </c:pt>
                <c:pt idx="49">
                  <c:v>10.75915358588464</c:v>
                </c:pt>
                <c:pt idx="50">
                  <c:v>11.259153585885251</c:v>
                </c:pt>
                <c:pt idx="51">
                  <c:v>10.659153585884873</c:v>
                </c:pt>
                <c:pt idx="52">
                  <c:v>11.759153585884974</c:v>
                </c:pt>
                <c:pt idx="53">
                  <c:v>10.859153585885295</c:v>
                </c:pt>
                <c:pt idx="54">
                  <c:v>11.159153585884596</c:v>
                </c:pt>
                <c:pt idx="55">
                  <c:v>11.159153585884596</c:v>
                </c:pt>
                <c:pt idx="56">
                  <c:v>10.75915358588464</c:v>
                </c:pt>
                <c:pt idx="57">
                  <c:v>12.059153585885163</c:v>
                </c:pt>
                <c:pt idx="58">
                  <c:v>10.959153585885062</c:v>
                </c:pt>
                <c:pt idx="59">
                  <c:v>11.359153585885018</c:v>
                </c:pt>
                <c:pt idx="60">
                  <c:v>11.259153585885251</c:v>
                </c:pt>
                <c:pt idx="61">
                  <c:v>11.159153585884596</c:v>
                </c:pt>
                <c:pt idx="62">
                  <c:v>11.459153585884785</c:v>
                </c:pt>
                <c:pt idx="63">
                  <c:v>11.359153585885018</c:v>
                </c:pt>
                <c:pt idx="64">
                  <c:v>10.893374439064907</c:v>
                </c:pt>
                <c:pt idx="65">
                  <c:v>11.859153585884741</c:v>
                </c:pt>
                <c:pt idx="66">
                  <c:v>11.459153585884785</c:v>
                </c:pt>
                <c:pt idx="67">
                  <c:v>12.15915358588493</c:v>
                </c:pt>
                <c:pt idx="68">
                  <c:v>11.859153585884741</c:v>
                </c:pt>
                <c:pt idx="69">
                  <c:v>12.777864926487581</c:v>
                </c:pt>
                <c:pt idx="70">
                  <c:v>11.733006196415374</c:v>
                </c:pt>
                <c:pt idx="71">
                  <c:v>13.152579475264048</c:v>
                </c:pt>
                <c:pt idx="72">
                  <c:v>12.572637791946839</c:v>
                </c:pt>
                <c:pt idx="73">
                  <c:v>12.173954583386326</c:v>
                </c:pt>
                <c:pt idx="74">
                  <c:v>12.880691900344132</c:v>
                </c:pt>
                <c:pt idx="75">
                  <c:v>13.654089446647255</c:v>
                </c:pt>
                <c:pt idx="76">
                  <c:v>13.055851357348658</c:v>
                </c:pt>
                <c:pt idx="77">
                  <c:v>13.116412941742261</c:v>
                </c:pt>
                <c:pt idx="78">
                  <c:v>13.720323446666072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AA-4272-AB78-C8E5A3520320}"/>
            </c:ext>
          </c:extLst>
        </c:ser>
        <c:ser>
          <c:idx val="13"/>
          <c:order val="6"/>
          <c:tx>
            <c:strRef>
              <c:f>Déplacements!$X$9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170.4</c:v>
                </c:pt>
                <c:pt idx="1">
                  <c:v>170.4</c:v>
                </c:pt>
                <c:pt idx="2">
                  <c:v>170.4</c:v>
                </c:pt>
                <c:pt idx="3">
                  <c:v>170.4</c:v>
                </c:pt>
                <c:pt idx="4">
                  <c:v>172.28</c:v>
                </c:pt>
                <c:pt idx="5">
                  <c:v>176.25</c:v>
                </c:pt>
                <c:pt idx="6">
                  <c:v>181.24</c:v>
                </c:pt>
                <c:pt idx="7">
                  <c:v>182.12</c:v>
                </c:pt>
                <c:pt idx="8">
                  <c:v>183.33</c:v>
                </c:pt>
                <c:pt idx="9">
                  <c:v>184.2</c:v>
                </c:pt>
                <c:pt idx="10">
                  <c:v>184.2</c:v>
                </c:pt>
                <c:pt idx="11">
                  <c:v>184.2</c:v>
                </c:pt>
                <c:pt idx="12">
                  <c:v>184.2</c:v>
                </c:pt>
                <c:pt idx="13">
                  <c:v>185.03</c:v>
                </c:pt>
                <c:pt idx="14">
                  <c:v>187.2</c:v>
                </c:pt>
                <c:pt idx="15">
                  <c:v>188.17</c:v>
                </c:pt>
                <c:pt idx="16">
                  <c:v>189.2</c:v>
                </c:pt>
                <c:pt idx="17">
                  <c:v>191.5</c:v>
                </c:pt>
                <c:pt idx="18">
                  <c:v>193.04</c:v>
                </c:pt>
                <c:pt idx="19">
                  <c:v>193</c:v>
                </c:pt>
                <c:pt idx="20">
                  <c:v>193.66</c:v>
                </c:pt>
                <c:pt idx="21">
                  <c:v>193.66</c:v>
                </c:pt>
                <c:pt idx="22">
                  <c:v>194.79</c:v>
                </c:pt>
                <c:pt idx="23">
                  <c:v>194.79</c:v>
                </c:pt>
                <c:pt idx="24">
                  <c:v>195.4</c:v>
                </c:pt>
                <c:pt idx="25">
                  <c:v>196.35</c:v>
                </c:pt>
                <c:pt idx="26">
                  <c:v>196.35</c:v>
                </c:pt>
                <c:pt idx="27">
                  <c:v>198.3</c:v>
                </c:pt>
                <c:pt idx="28">
                  <c:v>199.4</c:v>
                </c:pt>
                <c:pt idx="29">
                  <c:v>200.6</c:v>
                </c:pt>
                <c:pt idx="30">
                  <c:v>202.58</c:v>
                </c:pt>
                <c:pt idx="31">
                  <c:v>203.6</c:v>
                </c:pt>
                <c:pt idx="32">
                  <c:v>203.6</c:v>
                </c:pt>
                <c:pt idx="33">
                  <c:v>206.32</c:v>
                </c:pt>
                <c:pt idx="34">
                  <c:v>206.32</c:v>
                </c:pt>
                <c:pt idx="35">
                  <c:v>206.32</c:v>
                </c:pt>
                <c:pt idx="36">
                  <c:v>206.32</c:v>
                </c:pt>
                <c:pt idx="37">
                  <c:v>207.2</c:v>
                </c:pt>
                <c:pt idx="38">
                  <c:v>208.3</c:v>
                </c:pt>
                <c:pt idx="39">
                  <c:v>211.5</c:v>
                </c:pt>
                <c:pt idx="40">
                  <c:v>213.5</c:v>
                </c:pt>
                <c:pt idx="41">
                  <c:v>215</c:v>
                </c:pt>
                <c:pt idx="42">
                  <c:v>215</c:v>
                </c:pt>
                <c:pt idx="43">
                  <c:v>215.55</c:v>
                </c:pt>
                <c:pt idx="44">
                  <c:v>216.89</c:v>
                </c:pt>
                <c:pt idx="45">
                  <c:v>217.7</c:v>
                </c:pt>
                <c:pt idx="46">
                  <c:v>218.7</c:v>
                </c:pt>
                <c:pt idx="47">
                  <c:v>218.7</c:v>
                </c:pt>
                <c:pt idx="48">
                  <c:v>220.5</c:v>
                </c:pt>
                <c:pt idx="49">
                  <c:v>221.7</c:v>
                </c:pt>
                <c:pt idx="50">
                  <c:v>222.9</c:v>
                </c:pt>
                <c:pt idx="51">
                  <c:v>222.9</c:v>
                </c:pt>
                <c:pt idx="52">
                  <c:v>222.9</c:v>
                </c:pt>
                <c:pt idx="53">
                  <c:v>222.9</c:v>
                </c:pt>
                <c:pt idx="54">
                  <c:v>222.9</c:v>
                </c:pt>
                <c:pt idx="55">
                  <c:v>222.9</c:v>
                </c:pt>
                <c:pt idx="56">
                  <c:v>222.9</c:v>
                </c:pt>
                <c:pt idx="57">
                  <c:v>222.9</c:v>
                </c:pt>
                <c:pt idx="58">
                  <c:v>222.9</c:v>
                </c:pt>
                <c:pt idx="59">
                  <c:v>222.9</c:v>
                </c:pt>
                <c:pt idx="60">
                  <c:v>222.9</c:v>
                </c:pt>
                <c:pt idx="61">
                  <c:v>222.9</c:v>
                </c:pt>
                <c:pt idx="62">
                  <c:v>222.9</c:v>
                </c:pt>
                <c:pt idx="63">
                  <c:v>222.9</c:v>
                </c:pt>
                <c:pt idx="64">
                  <c:v>222.9</c:v>
                </c:pt>
                <c:pt idx="65">
                  <c:v>222.9</c:v>
                </c:pt>
                <c:pt idx="66">
                  <c:v>222.9</c:v>
                </c:pt>
                <c:pt idx="67">
                  <c:v>222.9</c:v>
                </c:pt>
                <c:pt idx="68">
                  <c:v>222.9</c:v>
                </c:pt>
                <c:pt idx="69">
                  <c:v>222.9</c:v>
                </c:pt>
                <c:pt idx="70">
                  <c:v>222.9</c:v>
                </c:pt>
                <c:pt idx="71">
                  <c:v>222.9</c:v>
                </c:pt>
                <c:pt idx="72">
                  <c:v>222.9</c:v>
                </c:pt>
                <c:pt idx="73">
                  <c:v>222.9</c:v>
                </c:pt>
                <c:pt idx="74">
                  <c:v>222.9</c:v>
                </c:pt>
                <c:pt idx="75">
                  <c:v>222.9</c:v>
                </c:pt>
                <c:pt idx="76">
                  <c:v>222.9</c:v>
                </c:pt>
                <c:pt idx="77">
                  <c:v>222.9</c:v>
                </c:pt>
                <c:pt idx="78">
                  <c:v>222.9</c:v>
                </c:pt>
                <c:pt idx="79">
                  <c:v>222.9</c:v>
                </c:pt>
                <c:pt idx="80">
                  <c:v>222.9</c:v>
                </c:pt>
                <c:pt idx="81">
                  <c:v>222.9</c:v>
                </c:pt>
                <c:pt idx="83">
                  <c:v>222.9</c:v>
                </c:pt>
                <c:pt idx="85">
                  <c:v>222.9</c:v>
                </c:pt>
                <c:pt idx="86">
                  <c:v>222.9</c:v>
                </c:pt>
                <c:pt idx="87">
                  <c:v>222.9</c:v>
                </c:pt>
                <c:pt idx="88">
                  <c:v>222.9</c:v>
                </c:pt>
                <c:pt idx="89">
                  <c:v>222.9</c:v>
                </c:pt>
                <c:pt idx="90">
                  <c:v>222.9</c:v>
                </c:pt>
                <c:pt idx="91">
                  <c:v>222.9</c:v>
                </c:pt>
                <c:pt idx="92">
                  <c:v>222.9</c:v>
                </c:pt>
                <c:pt idx="93">
                  <c:v>222.9</c:v>
                </c:pt>
                <c:pt idx="94">
                  <c:v>222.9</c:v>
                </c:pt>
                <c:pt idx="95">
                  <c:v>222.9</c:v>
                </c:pt>
                <c:pt idx="96">
                  <c:v>222.9</c:v>
                </c:pt>
                <c:pt idx="97">
                  <c:v>222.9</c:v>
                </c:pt>
                <c:pt idx="98">
                  <c:v>222.9</c:v>
                </c:pt>
                <c:pt idx="99">
                  <c:v>222.9</c:v>
                </c:pt>
                <c:pt idx="100">
                  <c:v>222.9</c:v>
                </c:pt>
                <c:pt idx="101">
                  <c:v>222.9</c:v>
                </c:pt>
                <c:pt idx="102">
                  <c:v>222.9</c:v>
                </c:pt>
                <c:pt idx="103">
                  <c:v>222.9</c:v>
                </c:pt>
                <c:pt idx="104">
                  <c:v>222.9</c:v>
                </c:pt>
                <c:pt idx="105">
                  <c:v>222.9</c:v>
                </c:pt>
                <c:pt idx="106">
                  <c:v>222.9</c:v>
                </c:pt>
                <c:pt idx="107">
                  <c:v>222.9</c:v>
                </c:pt>
                <c:pt idx="108">
                  <c:v>222.9</c:v>
                </c:pt>
                <c:pt idx="109">
                  <c:v>222.9</c:v>
                </c:pt>
                <c:pt idx="110">
                  <c:v>222.9</c:v>
                </c:pt>
              </c:numCache>
            </c:numRef>
          </c:xVal>
          <c:yVal>
            <c:numRef>
              <c:f>Déplacements!$X$10:$X$200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-0.25969007404835764</c:v>
                </c:pt>
                <c:pt idx="2">
                  <c:v>-0.12679563364770274</c:v>
                </c:pt>
                <c:pt idx="3">
                  <c:v>0.31415275330726189</c:v>
                </c:pt>
                <c:pt idx="4">
                  <c:v>-0.63397802064457665</c:v>
                </c:pt>
                <c:pt idx="5">
                  <c:v>-2.6644132808453236</c:v>
                </c:pt>
                <c:pt idx="6">
                  <c:v>-4.1981584299932706</c:v>
                </c:pt>
                <c:pt idx="7">
                  <c:v>-5.5271024299932137</c:v>
                </c:pt>
                <c:pt idx="8">
                  <c:v>-4.620810429993405</c:v>
                </c:pt>
                <c:pt idx="9">
                  <c:v>-5.9680504299928216</c:v>
                </c:pt>
                <c:pt idx="10">
                  <c:v>-5.9318844299927065</c:v>
                </c:pt>
                <c:pt idx="11">
                  <c:v>-6.4333942064482841</c:v>
                </c:pt>
                <c:pt idx="12">
                  <c:v>-5.6961630318159706</c:v>
                </c:pt>
                <c:pt idx="13">
                  <c:v>-6.0347114299927895</c:v>
                </c:pt>
                <c:pt idx="14">
                  <c:v>-6.3427651555079123</c:v>
                </c:pt>
                <c:pt idx="15">
                  <c:v>-6.5423198252503312</c:v>
                </c:pt>
                <c:pt idx="16">
                  <c:v>-7.9257267323900038</c:v>
                </c:pt>
                <c:pt idx="17">
                  <c:v>-5.2007519163703719</c:v>
                </c:pt>
                <c:pt idx="18">
                  <c:v>-7.103965429992698</c:v>
                </c:pt>
                <c:pt idx="19">
                  <c:v>-6.5418934340835122</c:v>
                </c:pt>
                <c:pt idx="20">
                  <c:v>-6.5418934340835122</c:v>
                </c:pt>
                <c:pt idx="21">
                  <c:v>-6.2643334299927744</c:v>
                </c:pt>
                <c:pt idx="22">
                  <c:v>-6.7231524299931067</c:v>
                </c:pt>
                <c:pt idx="23">
                  <c:v>-5.0373634299933912</c:v>
                </c:pt>
                <c:pt idx="24">
                  <c:v>-8.5098044299929398</c:v>
                </c:pt>
                <c:pt idx="25">
                  <c:v>-8.1098044299929839</c:v>
                </c:pt>
                <c:pt idx="26">
                  <c:v>-6.6098044299929271</c:v>
                </c:pt>
                <c:pt idx="27">
                  <c:v>-6.8098044299933491</c:v>
                </c:pt>
                <c:pt idx="28">
                  <c:v>-6.9098044299931161</c:v>
                </c:pt>
                <c:pt idx="29">
                  <c:v>-6.709804429992694</c:v>
                </c:pt>
                <c:pt idx="30">
                  <c:v>-6.709804429992694</c:v>
                </c:pt>
                <c:pt idx="31">
                  <c:v>-7.009804429992883</c:v>
                </c:pt>
                <c:pt idx="32">
                  <c:v>-7.4098044299928389</c:v>
                </c:pt>
                <c:pt idx="33">
                  <c:v>-5.8098044299930152</c:v>
                </c:pt>
                <c:pt idx="34">
                  <c:v>-7.2098044299933051</c:v>
                </c:pt>
                <c:pt idx="35">
                  <c:v>-7.309804429993072</c:v>
                </c:pt>
                <c:pt idx="36">
                  <c:v>-7.1098044299935381</c:v>
                </c:pt>
                <c:pt idx="37">
                  <c:v>-7.009804429992883</c:v>
                </c:pt>
                <c:pt idx="38">
                  <c:v>-7.9473782709253982</c:v>
                </c:pt>
                <c:pt idx="39">
                  <c:v>-8.0452650549771576</c:v>
                </c:pt>
                <c:pt idx="40">
                  <c:v>-8.0581948308653395</c:v>
                </c:pt>
                <c:pt idx="41">
                  <c:v>-7.5205183259585695</c:v>
                </c:pt>
                <c:pt idx="42">
                  <c:v>-7.919201485333538</c:v>
                </c:pt>
                <c:pt idx="43">
                  <c:v>-7.609804429993261</c:v>
                </c:pt>
                <c:pt idx="44">
                  <c:v>-8.0098307473095431</c:v>
                </c:pt>
                <c:pt idx="45">
                  <c:v>-7.5144194700182965</c:v>
                </c:pt>
                <c:pt idx="46">
                  <c:v>-7.90980442999345</c:v>
                </c:pt>
                <c:pt idx="47">
                  <c:v>-7.8098044299927949</c:v>
                </c:pt>
                <c:pt idx="48">
                  <c:v>-7.609804429993261</c:v>
                </c:pt>
                <c:pt idx="49">
                  <c:v>-7.609804429993261</c:v>
                </c:pt>
                <c:pt idx="50">
                  <c:v>-7.90980442999345</c:v>
                </c:pt>
                <c:pt idx="51">
                  <c:v>-8.2098044299927508</c:v>
                </c:pt>
                <c:pt idx="52">
                  <c:v>-7.2098044299933051</c:v>
                </c:pt>
                <c:pt idx="53">
                  <c:v>-7.5098044299934941</c:v>
                </c:pt>
                <c:pt idx="54">
                  <c:v>-7.8098044299927949</c:v>
                </c:pt>
                <c:pt idx="55">
                  <c:v>-7.609804429993261</c:v>
                </c:pt>
                <c:pt idx="56">
                  <c:v>-8.009804429993217</c:v>
                </c:pt>
                <c:pt idx="57">
                  <c:v>-7.309804429993072</c:v>
                </c:pt>
                <c:pt idx="58">
                  <c:v>-7.90980442999345</c:v>
                </c:pt>
                <c:pt idx="59">
                  <c:v>-7.8098044299927949</c:v>
                </c:pt>
                <c:pt idx="60">
                  <c:v>-7.709804429993028</c:v>
                </c:pt>
                <c:pt idx="61">
                  <c:v>-8.1098044299929839</c:v>
                </c:pt>
                <c:pt idx="66">
                  <c:v>-8.8098044299931288</c:v>
                </c:pt>
                <c:pt idx="67">
                  <c:v>-8.309804429993406</c:v>
                </c:pt>
                <c:pt idx="68">
                  <c:v>-7.8098044299927949</c:v>
                </c:pt>
                <c:pt idx="69">
                  <c:v>-8.5897724797918684</c:v>
                </c:pt>
                <c:pt idx="70">
                  <c:v>-8.9400915556039351</c:v>
                </c:pt>
                <c:pt idx="71">
                  <c:v>-7.5745546140986164</c:v>
                </c:pt>
                <c:pt idx="72">
                  <c:v>-8.2634219653821006</c:v>
                </c:pt>
                <c:pt idx="73">
                  <c:v>-8.2995882878762473</c:v>
                </c:pt>
                <c:pt idx="74">
                  <c:v>-8.257323109464032</c:v>
                </c:pt>
                <c:pt idx="75">
                  <c:v>-7.4839255631369284</c:v>
                </c:pt>
                <c:pt idx="76">
                  <c:v>-8.0337995688806174</c:v>
                </c:pt>
                <c:pt idx="77">
                  <c:v>-8.021601857013394</c:v>
                </c:pt>
                <c:pt idx="78">
                  <c:v>-8.9461904115308855</c:v>
                </c:pt>
                <c:pt idx="81">
                  <c:v>-8.1906626690662065</c:v>
                </c:pt>
                <c:pt idx="83">
                  <c:v>-8.1906626690662065</c:v>
                </c:pt>
                <c:pt idx="85">
                  <c:v>-10.190662669065986</c:v>
                </c:pt>
                <c:pt idx="86">
                  <c:v>-11.326325502269086</c:v>
                </c:pt>
                <c:pt idx="87">
                  <c:v>-10.87970465049537</c:v>
                </c:pt>
                <c:pt idx="88">
                  <c:v>-11.296257986541214</c:v>
                </c:pt>
                <c:pt idx="89">
                  <c:v>-11.690662669066043</c:v>
                </c:pt>
                <c:pt idx="90">
                  <c:v>-11.66487346833911</c:v>
                </c:pt>
                <c:pt idx="91">
                  <c:v>-11.555947849541504</c:v>
                </c:pt>
                <c:pt idx="92">
                  <c:v>-12.057884423091636</c:v>
                </c:pt>
                <c:pt idx="93">
                  <c:v>-12.69796108868082</c:v>
                </c:pt>
                <c:pt idx="94">
                  <c:v>-11.773799136313379</c:v>
                </c:pt>
                <c:pt idx="95">
                  <c:v>-10.559452992036533</c:v>
                </c:pt>
                <c:pt idx="96">
                  <c:v>-11.35072071501142</c:v>
                </c:pt>
                <c:pt idx="97">
                  <c:v>-10.190837510207551</c:v>
                </c:pt>
                <c:pt idx="98">
                  <c:v>-10.015677842213577</c:v>
                </c:pt>
                <c:pt idx="99">
                  <c:v>-10.806945565198234</c:v>
                </c:pt>
                <c:pt idx="100">
                  <c:v>-11.429152265108655</c:v>
                </c:pt>
                <c:pt idx="101">
                  <c:v>-10.994302734054884</c:v>
                </c:pt>
                <c:pt idx="102">
                  <c:v>-10.7646803867949</c:v>
                </c:pt>
                <c:pt idx="104">
                  <c:v>-11.121098318503719</c:v>
                </c:pt>
                <c:pt idx="105">
                  <c:v>-10.734612660018961</c:v>
                </c:pt>
                <c:pt idx="106">
                  <c:v>-10.269269060305675</c:v>
                </c:pt>
                <c:pt idx="107">
                  <c:v>-10.583421862849107</c:v>
                </c:pt>
                <c:pt idx="108">
                  <c:v>-10.589520718771617</c:v>
                </c:pt>
                <c:pt idx="109">
                  <c:v>-10.945938699715718</c:v>
                </c:pt>
                <c:pt idx="110">
                  <c:v>-13.525395134135643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AA-4272-AB78-C8E5A352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78136"/>
        <c:axId val="515278528"/>
      </c:scatterChart>
      <c:valAx>
        <c:axId val="515278136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8528"/>
        <c:crossesAt val="0"/>
        <c:crossBetween val="midCat"/>
      </c:valAx>
      <c:valAx>
        <c:axId val="515278528"/>
        <c:scaling>
          <c:orientation val="minMax"/>
          <c:max val="30"/>
          <c:min val="-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Déplacement en</a:t>
                </a:r>
                <a:r>
                  <a:rPr lang="fr-FR" sz="900" b="1" baseline="0"/>
                  <a:t> déport [mm]</a:t>
                </a:r>
                <a:endParaRPr lang="fr-FR" sz="900" b="1"/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5278136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95250</xdr:colOff>
      <xdr:row>1</xdr:row>
      <xdr:rowOff>38100</xdr:rowOff>
    </xdr:from>
    <xdr:to>
      <xdr:col>30</xdr:col>
      <xdr:colOff>314325</xdr:colOff>
      <xdr:row>2</xdr:row>
      <xdr:rowOff>76200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7345025" y="561975"/>
          <a:ext cx="21907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400050</xdr:colOff>
      <xdr:row>7</xdr:row>
      <xdr:rowOff>0</xdr:rowOff>
    </xdr:from>
    <xdr:to>
      <xdr:col>25</xdr:col>
      <xdr:colOff>0</xdr:colOff>
      <xdr:row>7</xdr:row>
      <xdr:rowOff>28575</xdr:rowOff>
    </xdr:to>
    <xdr:sp macro="" textlink="">
      <xdr:nvSpPr>
        <xdr:cNvPr id="1026" name="Freeform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/>
        </xdr:cNvSpPr>
      </xdr:nvSpPr>
      <xdr:spPr bwMode="auto">
        <a:xfrm>
          <a:off x="3771900" y="1724025"/>
          <a:ext cx="11134725" cy="28575"/>
        </a:xfrm>
        <a:custGeom>
          <a:avLst/>
          <a:gdLst>
            <a:gd name="T0" fmla="*/ 0 w 143"/>
            <a:gd name="T1" fmla="*/ 0 h 1"/>
            <a:gd name="T2" fmla="*/ 1142238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400050</xdr:colOff>
      <xdr:row>7</xdr:row>
      <xdr:rowOff>0</xdr:rowOff>
    </xdr:from>
    <xdr:to>
      <xdr:col>65</xdr:col>
      <xdr:colOff>0</xdr:colOff>
      <xdr:row>7</xdr:row>
      <xdr:rowOff>28575</xdr:rowOff>
    </xdr:to>
    <xdr:sp macro="" textlink="">
      <xdr:nvSpPr>
        <xdr:cNvPr id="1027" name="Freeform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/>
        </xdr:cNvSpPr>
      </xdr:nvSpPr>
      <xdr:spPr bwMode="auto">
        <a:xfrm>
          <a:off x="27098625" y="1724025"/>
          <a:ext cx="12801600" cy="28575"/>
        </a:xfrm>
        <a:custGeom>
          <a:avLst/>
          <a:gdLst>
            <a:gd name="T0" fmla="*/ 0 w 143"/>
            <a:gd name="T1" fmla="*/ 0 h 1"/>
            <a:gd name="T2" fmla="*/ 13144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400050</xdr:colOff>
      <xdr:row>7</xdr:row>
      <xdr:rowOff>0</xdr:rowOff>
    </xdr:from>
    <xdr:to>
      <xdr:col>87</xdr:col>
      <xdr:colOff>0</xdr:colOff>
      <xdr:row>7</xdr:row>
      <xdr:rowOff>28575</xdr:rowOff>
    </xdr:to>
    <xdr:sp macro="" textlink="">
      <xdr:nvSpPr>
        <xdr:cNvPr id="1028" name="Freeform 5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/>
        </xdr:cNvSpPr>
      </xdr:nvSpPr>
      <xdr:spPr bwMode="auto">
        <a:xfrm>
          <a:off x="421767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400050</xdr:colOff>
      <xdr:row>7</xdr:row>
      <xdr:rowOff>0</xdr:rowOff>
    </xdr:from>
    <xdr:to>
      <xdr:col>109</xdr:col>
      <xdr:colOff>0</xdr:colOff>
      <xdr:row>7</xdr:row>
      <xdr:rowOff>28575</xdr:rowOff>
    </xdr:to>
    <xdr:sp macro="" textlink="">
      <xdr:nvSpPr>
        <xdr:cNvPr id="1029" name="Freeform 6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/>
        </xdr:cNvSpPr>
      </xdr:nvSpPr>
      <xdr:spPr bwMode="auto">
        <a:xfrm>
          <a:off x="600075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3</xdr:col>
      <xdr:colOff>142875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176249</xdr:colOff>
      <xdr:row>91</xdr:row>
      <xdr:rowOff>1659</xdr:rowOff>
    </xdr:from>
    <xdr:ext cx="19534897" cy="67069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6249" y="33025394"/>
          <a:ext cx="19534897" cy="67069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4000" b="1" cap="none" spc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RECALAGE SYSTEME COORDONNEES</a:t>
          </a:r>
        </a:p>
        <a:p>
          <a:pPr algn="ctr"/>
          <a:endParaRPr lang="fr-FR" sz="4000" b="1" cap="none" spc="0">
            <a:ln w="31550" cmpd="sng">
              <a:gradFill>
                <a:gsLst>
                  <a:gs pos="25000">
                    <a:schemeClr val="accent1">
                      <a:shade val="25000"/>
                      <a:satMod val="190000"/>
                    </a:schemeClr>
                  </a:gs>
                  <a:gs pos="80000">
                    <a:schemeClr val="accent1">
                      <a:tint val="75000"/>
                      <a:satMod val="190000"/>
                    </a:schemeClr>
                  </a:gs>
                </a:gsLst>
                <a:lin ang="5400000"/>
              </a:gradFill>
              <a:prstDash val="solid"/>
            </a:ln>
            <a:solidFill>
              <a:srgbClr val="FFFFFF"/>
            </a:solidFill>
            <a:effectLst>
              <a:outerShdw blurRad="41275" dist="12700" dir="120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176249</xdr:colOff>
      <xdr:row>93</xdr:row>
      <xdr:rowOff>1659</xdr:rowOff>
    </xdr:from>
    <xdr:ext cx="19534897" cy="67069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6249" y="32542523"/>
          <a:ext cx="19534897" cy="670693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fr-FR" sz="4000" b="1" cap="none" spc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Mesures</a:t>
          </a:r>
          <a:r>
            <a:rPr lang="fr-FR" sz="4000" b="1" cap="none" spc="0" baseline="0">
              <a:ln w="31550" cmpd="sng">
                <a:gradFill>
                  <a:gsLst>
                    <a:gs pos="25000">
                      <a:schemeClr val="accent1">
                        <a:shade val="25000"/>
                        <a:satMod val="190000"/>
                      </a:schemeClr>
                    </a:gs>
                    <a:gs pos="80000">
                      <a:schemeClr val="accent1">
                        <a:tint val="75000"/>
                        <a:satMod val="190000"/>
                      </a:schemeClr>
                    </a:gs>
                  </a:gsLst>
                  <a:lin ang="5400000"/>
                </a:gradFill>
                <a:prstDash val="solid"/>
              </a:ln>
              <a:solidFill>
                <a:srgbClr val="FFFFFF"/>
              </a:solidFill>
              <a:effectLst>
                <a:outerShdw blurRad="41275" dist="12700" dir="12000000" algn="tl" rotWithShape="0">
                  <a:srgbClr val="000000">
                    <a:alpha val="40000"/>
                  </a:srgbClr>
                </a:outerShdw>
              </a:effectLst>
            </a:rPr>
            <a:t> Andra</a:t>
          </a:r>
          <a:endParaRPr lang="fr-FR" sz="4000" b="1" cap="none" spc="0">
            <a:ln w="31550" cmpd="sng">
              <a:gradFill>
                <a:gsLst>
                  <a:gs pos="25000">
                    <a:schemeClr val="accent1">
                      <a:shade val="25000"/>
                      <a:satMod val="190000"/>
                    </a:schemeClr>
                  </a:gs>
                  <a:gs pos="80000">
                    <a:schemeClr val="accent1">
                      <a:tint val="75000"/>
                      <a:satMod val="190000"/>
                    </a:schemeClr>
                  </a:gs>
                </a:gsLst>
                <a:lin ang="5400000"/>
              </a:gradFill>
              <a:prstDash val="solid"/>
            </a:ln>
            <a:solidFill>
              <a:srgbClr val="FFFFFF"/>
            </a:solidFill>
            <a:effectLst>
              <a:outerShdw blurRad="41275" dist="12700" dir="12000000" algn="tl" rotWithShape="0">
                <a:srgbClr val="000000">
                  <a:alpha val="40000"/>
                </a:srgbClr>
              </a:outerShdw>
            </a:effectLst>
          </a:endParaRPr>
        </a:p>
        <a:p>
          <a:pPr algn="ctr"/>
          <a:endParaRPr lang="fr-FR" sz="4000" b="1" cap="none" spc="0">
            <a:ln w="31550" cmpd="sng">
              <a:gradFill>
                <a:gsLst>
                  <a:gs pos="25000">
                    <a:schemeClr val="accent1">
                      <a:shade val="25000"/>
                      <a:satMod val="190000"/>
                    </a:schemeClr>
                  </a:gs>
                  <a:gs pos="80000">
                    <a:schemeClr val="accent1">
                      <a:tint val="75000"/>
                      <a:satMod val="190000"/>
                    </a:schemeClr>
                  </a:gs>
                </a:gsLst>
                <a:lin ang="5400000"/>
              </a:gradFill>
              <a:prstDash val="solid"/>
            </a:ln>
            <a:solidFill>
              <a:srgbClr val="FFFFFF"/>
            </a:solidFill>
            <a:effectLst>
              <a:outerShdw blurRad="41275" dist="12700" dir="120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95251</xdr:colOff>
      <xdr:row>9</xdr:row>
      <xdr:rowOff>166008</xdr:rowOff>
    </xdr:from>
    <xdr:to>
      <xdr:col>16</xdr:col>
      <xdr:colOff>312965</xdr:colOff>
      <xdr:row>20</xdr:row>
      <xdr:rowOff>61651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44394" y="2247901"/>
          <a:ext cx="2544535" cy="2589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3</xdr:col>
      <xdr:colOff>28575</xdr:colOff>
      <xdr:row>3</xdr:row>
      <xdr:rowOff>161925</xdr:rowOff>
    </xdr:to>
    <xdr:pic>
      <xdr:nvPicPr>
        <xdr:cNvPr id="2049" name="Image 3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8100"/>
          <a:ext cx="17621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419100</xdr:colOff>
      <xdr:row>10</xdr:row>
      <xdr:rowOff>95250</xdr:rowOff>
    </xdr:from>
    <xdr:to>
      <xdr:col>17</xdr:col>
      <xdr:colOff>247650</xdr:colOff>
      <xdr:row>22</xdr:row>
      <xdr:rowOff>57150</xdr:rowOff>
    </xdr:to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5524500" y="2419350"/>
          <a:ext cx="2647950" cy="2933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29</xdr:col>
      <xdr:colOff>129266</xdr:colOff>
      <xdr:row>15</xdr:row>
      <xdr:rowOff>43542</xdr:rowOff>
    </xdr:from>
    <xdr:to>
      <xdr:col>35</xdr:col>
      <xdr:colOff>129266</xdr:colOff>
      <xdr:row>26</xdr:row>
      <xdr:rowOff>92527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0</xdr:colOff>
      <xdr:row>7</xdr:row>
      <xdr:rowOff>28575</xdr:rowOff>
    </xdr:to>
    <xdr:sp macro="" textlink="">
      <xdr:nvSpPr>
        <xdr:cNvPr id="3074" name="Freeform 2">
          <a:extLst>
            <a:ext uri="{FF2B5EF4-FFF2-40B4-BE49-F238E27FC236}">
              <a16:creationId xmlns:a16="http://schemas.microsoft.com/office/drawing/2014/main" id="{00000000-0008-0000-0300-0000020C0000}"/>
            </a:ext>
          </a:extLst>
        </xdr:cNvPr>
        <xdr:cNvSpPr>
          <a:spLocks/>
        </xdr:cNvSpPr>
      </xdr:nvSpPr>
      <xdr:spPr bwMode="auto">
        <a:xfrm>
          <a:off x="514350" y="1543050"/>
          <a:ext cx="0" cy="28575"/>
        </a:xfrm>
        <a:custGeom>
          <a:avLst/>
          <a:gdLst>
            <a:gd name="T0" fmla="*/ 0 w 143"/>
            <a:gd name="T1" fmla="*/ 0 h 1"/>
            <a:gd name="T2" fmla="*/ 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0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140278</xdr:colOff>
      <xdr:row>5</xdr:row>
      <xdr:rowOff>155863</xdr:rowOff>
    </xdr:from>
    <xdr:to>
      <xdr:col>27</xdr:col>
      <xdr:colOff>484909</xdr:colOff>
      <xdr:row>5</xdr:row>
      <xdr:rowOff>184438</xdr:rowOff>
    </xdr:to>
    <xdr:sp macro="" textlink="">
      <xdr:nvSpPr>
        <xdr:cNvPr id="3075" name="Freeform 4">
          <a:extLst>
            <a:ext uri="{FF2B5EF4-FFF2-40B4-BE49-F238E27FC236}">
              <a16:creationId xmlns:a16="http://schemas.microsoft.com/office/drawing/2014/main" id="{00000000-0008-0000-0300-0000030C0000}"/>
            </a:ext>
          </a:extLst>
        </xdr:cNvPr>
        <xdr:cNvSpPr>
          <a:spLocks/>
        </xdr:cNvSpPr>
      </xdr:nvSpPr>
      <xdr:spPr bwMode="auto">
        <a:xfrm>
          <a:off x="1404505" y="1316181"/>
          <a:ext cx="18961677" cy="28575"/>
        </a:xfrm>
        <a:custGeom>
          <a:avLst/>
          <a:gdLst>
            <a:gd name="T0" fmla="*/ 0 w 143"/>
            <a:gd name="T1" fmla="*/ 0 h 1"/>
            <a:gd name="T2" fmla="*/ 10477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6" name="Text Box 5">
          <a:extLst>
            <a:ext uri="{FF2B5EF4-FFF2-40B4-BE49-F238E27FC236}">
              <a16:creationId xmlns:a16="http://schemas.microsoft.com/office/drawing/2014/main" id="{00000000-0008-0000-0300-000004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7" name="Text Box 31">
          <a:extLst>
            <a:ext uri="{FF2B5EF4-FFF2-40B4-BE49-F238E27FC236}">
              <a16:creationId xmlns:a16="http://schemas.microsoft.com/office/drawing/2014/main" id="{00000000-0008-0000-0300-000005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8" name="Text Box 32">
          <a:extLst>
            <a:ext uri="{FF2B5EF4-FFF2-40B4-BE49-F238E27FC236}">
              <a16:creationId xmlns:a16="http://schemas.microsoft.com/office/drawing/2014/main" id="{00000000-0008-0000-0300-000006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9" name="Text Box 33">
          <a:extLst>
            <a:ext uri="{FF2B5EF4-FFF2-40B4-BE49-F238E27FC236}">
              <a16:creationId xmlns:a16="http://schemas.microsoft.com/office/drawing/2014/main" id="{00000000-0008-0000-0300-000007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4</xdr:row>
      <xdr:rowOff>76200</xdr:rowOff>
    </xdr:to>
    <xdr:sp macro="" textlink="">
      <xdr:nvSpPr>
        <xdr:cNvPr id="3080" name="Text Box 34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38100</xdr:rowOff>
    </xdr:from>
    <xdr:to>
      <xdr:col>1</xdr:col>
      <xdr:colOff>0</xdr:colOff>
      <xdr:row>5</xdr:row>
      <xdr:rowOff>76200</xdr:rowOff>
    </xdr:to>
    <xdr:sp macro="" textlink="">
      <xdr:nvSpPr>
        <xdr:cNvPr id="3081" name="Text Box 35">
          <a:extLst>
            <a:ext uri="{FF2B5EF4-FFF2-40B4-BE49-F238E27FC236}">
              <a16:creationId xmlns:a16="http://schemas.microsoft.com/office/drawing/2014/main" id="{00000000-0008-0000-0300-0000090C0000}"/>
            </a:ext>
          </a:extLst>
        </xdr:cNvPr>
        <xdr:cNvSpPr txBox="1">
          <a:spLocks noChangeArrowheads="1"/>
        </xdr:cNvSpPr>
      </xdr:nvSpPr>
      <xdr:spPr bwMode="auto">
        <a:xfrm>
          <a:off x="514350" y="971550"/>
          <a:ext cx="0" cy="266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569768</xdr:colOff>
      <xdr:row>3</xdr:row>
      <xdr:rowOff>95250</xdr:rowOff>
    </xdr:to>
    <xdr:pic>
      <xdr:nvPicPr>
        <xdr:cNvPr id="3082" name="Image 12">
          <a:extLst>
            <a:ext uri="{FF2B5EF4-FFF2-40B4-BE49-F238E27FC236}">
              <a16:creationId xmlns:a16="http://schemas.microsoft.com/office/drawing/2014/main" id="{00000000-0008-0000-03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20002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35</xdr:col>
      <xdr:colOff>13607</xdr:colOff>
      <xdr:row>8</xdr:row>
      <xdr:rowOff>340178</xdr:rowOff>
    </xdr:from>
    <xdr:to>
      <xdr:col>41</xdr:col>
      <xdr:colOff>689207</xdr:colOff>
      <xdr:row>17</xdr:row>
      <xdr:rowOff>116571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17</xdr:row>
      <xdr:rowOff>235323</xdr:rowOff>
    </xdr:from>
    <xdr:to>
      <xdr:col>41</xdr:col>
      <xdr:colOff>678321</xdr:colOff>
      <xdr:row>27</xdr:row>
      <xdr:rowOff>158993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0.4242</cdr:x>
      <cdr:y>0.45005</cdr:y>
    </cdr:from>
    <cdr:to>
      <cdr:x>0.90154</cdr:x>
      <cdr:y>0.72808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ZoneTexte 6"/>
            <cdr:cNvSpPr txBox="1"/>
          </cdr:nvSpPr>
          <cdr:spPr>
            <a:xfrm xmlns:a="http://schemas.openxmlformats.org/drawingml/2006/main">
              <a:off x="2290684" y="1620183"/>
              <a:ext cx="2577629" cy="100091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  <a:ln xmlns:a="http://schemas.openxmlformats.org/drawingml/2006/main">
              <a:solidFill>
                <a:srgbClr val="0070C0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000" baseline="0"/>
                <a:t> </a:t>
              </a:r>
              <a14:m>
                <m:oMath xmlns:m="http://schemas.openxmlformats.org/officeDocument/2006/math">
                  <m:r>
                    <a:rPr lang="fr-FR" sz="1000" b="0" i="1" baseline="0">
                      <a:latin typeface="Cambria Math" panose="02040503050406030204" pitchFamily="18" charset="0"/>
                    </a:rPr>
                    <m:t>𝐶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(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𝑡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) = </m:t>
                  </m:r>
                  <m:sSub>
                    <m:sSubPr>
                      <m:ctrlP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𝑇𝑜𝑡𝑎𝑙</m:t>
                      </m:r>
                    </m:sub>
                  </m:sSub>
                  <m:r>
                    <a:rPr lang="fr-FR" sz="10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× </m:t>
                  </m:r>
                  <m:d>
                    <m:dPr>
                      <m:begChr m:val="["/>
                      <m:endChr m:val="]"/>
                      <m:ctrlP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1−</m:t>
                      </m:r>
                      <m:sSup>
                        <m:sSupPr>
                          <m:ctrlP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fr-FR" sz="1000" b="0" i="1" baseline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f>
                                <m:fPr>
                                  <m:ctrlP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num>
                                <m:den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𝑡</m:t>
                                  </m:r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+</m:t>
                                  </m:r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den>
                              </m:f>
                            </m:e>
                          </m:d>
                        </m:e>
                        <m:sup>
                          <m: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  <m: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=0.3</m:t>
                          </m:r>
                        </m:sup>
                      </m:sSup>
                    </m:e>
                  </m:d>
                </m:oMath>
              </a14:m>
              <a:endParaRPr lang="fr-FR" sz="1000"/>
            </a:p>
            <a:p xmlns:a="http://schemas.openxmlformats.org/drawingml/2006/main">
              <a:r>
                <a:rPr lang="fr-FR" sz="1000" u="sng"/>
                <a:t>Résultats</a:t>
              </a:r>
              <a:r>
                <a:rPr lang="fr-FR" sz="1000" u="sng" baseline="0"/>
                <a:t> ajustement :</a:t>
              </a:r>
            </a:p>
            <a:p xmlns:a="http://schemas.openxmlformats.org/drawingml/2006/main">
              <a:r>
                <a:rPr lang="fr-FR" sz="10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Contrainte n = 0.3 (Cf littérature Argilites COx)</a:t>
              </a:r>
            </a:p>
            <a:p xmlns:a="http://schemas.openxmlformats.org/drawingml/2006/main">
              <a14:m>
                <m:oMath xmlns:m="http://schemas.openxmlformats.org/officeDocument/2006/math">
                  <m:sSub>
                    <m:sSubPr>
                      <m:ctrlP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𝑇𝑜𝑡𝑎𝑙</m:t>
                      </m:r>
                    </m:sub>
                  </m:sSub>
                </m:oMath>
              </a14:m>
              <a:r>
                <a:rPr lang="fr-FR" sz="1000"/>
                <a:t> = 63.3324 mm</a:t>
              </a:r>
            </a:p>
            <a:p xmlns:a="http://schemas.openxmlformats.org/drawingml/2006/main">
              <a:r>
                <a:rPr lang="fr-FR" sz="1000"/>
                <a:t>T =68.0053 j</a:t>
              </a:r>
            </a:p>
          </cdr:txBody>
        </cdr:sp>
      </mc:Choice>
      <mc:Fallback xmlns="">
        <cdr:sp macro="" textlink="">
          <cdr:nvSpPr>
            <cdr:cNvPr id="3" name="ZoneTexte 6"/>
            <cdr:cNvSpPr txBox="1"/>
          </cdr:nvSpPr>
          <cdr:spPr>
            <a:xfrm xmlns:a="http://schemas.openxmlformats.org/drawingml/2006/main">
              <a:off x="2290684" y="1620183"/>
              <a:ext cx="2577629" cy="100091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  <a:ln xmlns:a="http://schemas.openxmlformats.org/drawingml/2006/main">
              <a:solidFill>
                <a:srgbClr val="0070C0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000" baseline="0"/>
                <a:t> </a:t>
              </a:r>
              <a:r>
                <a:rPr lang="fr-FR" sz="1000" b="0" i="0" baseline="0">
                  <a:latin typeface="Cambria Math" panose="02040503050406030204" pitchFamily="18" charset="0"/>
                </a:rPr>
                <a:t>𝐶(𝑡) </a:t>
              </a:r>
              <a:r>
                <a:rPr lang="fr-FR" sz="10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 𝐶_𝑇𝑜𝑡𝑎𝑙  × [1−</a:t>
              </a:r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(𝑇/(𝑡+𝑇))</a:t>
              </a:r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lang="fr-FR" sz="10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𝑛=0.3) ]</a:t>
              </a:r>
              <a:endParaRPr lang="fr-FR" sz="1000"/>
            </a:p>
            <a:p xmlns:a="http://schemas.openxmlformats.org/drawingml/2006/main">
              <a:r>
                <a:rPr lang="fr-FR" sz="1000" u="sng"/>
                <a:t>Résultats</a:t>
              </a:r>
              <a:r>
                <a:rPr lang="fr-FR" sz="1000" u="sng" baseline="0"/>
                <a:t> ajustement :</a:t>
              </a:r>
            </a:p>
            <a:p xmlns:a="http://schemas.openxmlformats.org/drawingml/2006/main">
              <a:r>
                <a:rPr lang="fr-FR" sz="10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Contrainte n = 0.3 (Cf littérature Argilites COx)</a:t>
              </a:r>
            </a:p>
            <a:p xmlns:a="http://schemas.openxmlformats.org/drawingml/2006/main">
              <a:r>
                <a:rPr lang="fr-FR" sz="10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𝐶_𝑇𝑜𝑡𝑎𝑙</a:t>
              </a:r>
              <a:r>
                <a:rPr lang="fr-FR" sz="1000"/>
                <a:t> = 63.3324 mm</a:t>
              </a:r>
            </a:p>
            <a:p xmlns:a="http://schemas.openxmlformats.org/drawingml/2006/main">
              <a:r>
                <a:rPr lang="fr-FR" sz="1000"/>
                <a:t>T =68.0053 j</a:t>
              </a:r>
            </a:p>
          </cdr:txBody>
        </cdr:sp>
      </mc:Fallback>
    </mc:AlternateContent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42</xdr:row>
      <xdr:rowOff>0</xdr:rowOff>
    </xdr:from>
    <xdr:to>
      <xdr:col>11</xdr:col>
      <xdr:colOff>581025</xdr:colOff>
      <xdr:row>67</xdr:row>
      <xdr:rowOff>19050</xdr:rowOff>
    </xdr:to>
    <xdr:graphicFrame macro="">
      <xdr:nvGraphicFramePr>
        <xdr:cNvPr id="2" name="Graphique 2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188315</xdr:colOff>
      <xdr:row>42</xdr:row>
      <xdr:rowOff>6164</xdr:rowOff>
    </xdr:from>
    <xdr:to>
      <xdr:col>23</xdr:col>
      <xdr:colOff>606135</xdr:colOff>
      <xdr:row>67</xdr:row>
      <xdr:rowOff>16990</xdr:rowOff>
    </xdr:to>
    <xdr:graphicFrame macro="">
      <xdr:nvGraphicFramePr>
        <xdr:cNvPr id="3" name="Graphique 2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36</xdr:row>
      <xdr:rowOff>0</xdr:rowOff>
    </xdr:from>
    <xdr:to>
      <xdr:col>3</xdr:col>
      <xdr:colOff>559377</xdr:colOff>
      <xdr:row>40</xdr:row>
      <xdr:rowOff>28574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0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345040</xdr:colOff>
      <xdr:row>35</xdr:row>
      <xdr:rowOff>127341</xdr:rowOff>
    </xdr:from>
    <xdr:to>
      <xdr:col>16</xdr:col>
      <xdr:colOff>175323</xdr:colOff>
      <xdr:row>40</xdr:row>
      <xdr:rowOff>52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08893" y="5741488"/>
          <a:ext cx="1981812" cy="780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171450</xdr:colOff>
      <xdr:row>74</xdr:row>
      <xdr:rowOff>138545</xdr:rowOff>
    </xdr:from>
    <xdr:to>
      <xdr:col>11</xdr:col>
      <xdr:colOff>542925</xdr:colOff>
      <xdr:row>102</xdr:row>
      <xdr:rowOff>57150</xdr:rowOff>
    </xdr:to>
    <xdr:graphicFrame macro="">
      <xdr:nvGraphicFramePr>
        <xdr:cNvPr id="6" name="Graphique 2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400050</xdr:colOff>
      <xdr:row>69</xdr:row>
      <xdr:rowOff>0</xdr:rowOff>
    </xdr:from>
    <xdr:to>
      <xdr:col>3</xdr:col>
      <xdr:colOff>471054</xdr:colOff>
      <xdr:row>72</xdr:row>
      <xdr:rowOff>85726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69</xdr:row>
      <xdr:rowOff>0</xdr:rowOff>
    </xdr:from>
    <xdr:to>
      <xdr:col>15</xdr:col>
      <xdr:colOff>471054</xdr:colOff>
      <xdr:row>72</xdr:row>
      <xdr:rowOff>85726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127551</xdr:colOff>
      <xdr:row>74</xdr:row>
      <xdr:rowOff>141218</xdr:rowOff>
    </xdr:from>
    <xdr:to>
      <xdr:col>23</xdr:col>
      <xdr:colOff>571499</xdr:colOff>
      <xdr:row>102</xdr:row>
      <xdr:rowOff>67235</xdr:rowOff>
    </xdr:to>
    <xdr:graphicFrame macro="">
      <xdr:nvGraphicFramePr>
        <xdr:cNvPr id="9" name="Graphique 2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9525</xdr:colOff>
      <xdr:row>1</xdr:row>
      <xdr:rowOff>0</xdr:rowOff>
    </xdr:from>
    <xdr:ext cx="1994388" cy="775921"/>
    <xdr:pic>
      <xdr:nvPicPr>
        <xdr:cNvPr id="11" name="Image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5964115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155487</xdr:colOff>
      <xdr:row>6</xdr:row>
      <xdr:rowOff>123825</xdr:rowOff>
    </xdr:from>
    <xdr:to>
      <xdr:col>11</xdr:col>
      <xdr:colOff>588818</xdr:colOff>
      <xdr:row>34</xdr:row>
      <xdr:rowOff>19050</xdr:rowOff>
    </xdr:to>
    <xdr:graphicFrame macro="">
      <xdr:nvGraphicFramePr>
        <xdr:cNvPr id="12" name="Graphique 2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590550</xdr:colOff>
          <xdr:row>1</xdr:row>
          <xdr:rowOff>0</xdr:rowOff>
        </xdr:from>
        <xdr:to>
          <xdr:col>27</xdr:col>
          <xdr:colOff>266700</xdr:colOff>
          <xdr:row>2</xdr:row>
          <xdr:rowOff>95250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MAJ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42</xdr:row>
      <xdr:rowOff>0</xdr:rowOff>
    </xdr:from>
    <xdr:to>
      <xdr:col>11</xdr:col>
      <xdr:colOff>581025</xdr:colOff>
      <xdr:row>67</xdr:row>
      <xdr:rowOff>19050</xdr:rowOff>
    </xdr:to>
    <xdr:graphicFrame macro="">
      <xdr:nvGraphicFramePr>
        <xdr:cNvPr id="2" name="Graphique 2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188315</xdr:colOff>
      <xdr:row>42</xdr:row>
      <xdr:rowOff>6164</xdr:rowOff>
    </xdr:from>
    <xdr:to>
      <xdr:col>23</xdr:col>
      <xdr:colOff>606135</xdr:colOff>
      <xdr:row>67</xdr:row>
      <xdr:rowOff>16990</xdr:rowOff>
    </xdr:to>
    <xdr:graphicFrame macro="">
      <xdr:nvGraphicFramePr>
        <xdr:cNvPr id="3" name="Graphique 2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36</xdr:row>
      <xdr:rowOff>0</xdr:rowOff>
    </xdr:from>
    <xdr:to>
      <xdr:col>3</xdr:col>
      <xdr:colOff>559377</xdr:colOff>
      <xdr:row>40</xdr:row>
      <xdr:rowOff>28574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14350" y="5934075"/>
          <a:ext cx="1978602" cy="781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345040</xdr:colOff>
      <xdr:row>35</xdr:row>
      <xdr:rowOff>127341</xdr:rowOff>
    </xdr:from>
    <xdr:to>
      <xdr:col>16</xdr:col>
      <xdr:colOff>175323</xdr:colOff>
      <xdr:row>40</xdr:row>
      <xdr:rowOff>52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174715" y="5899491"/>
          <a:ext cx="1973408" cy="7871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171450</xdr:colOff>
      <xdr:row>74</xdr:row>
      <xdr:rowOff>138545</xdr:rowOff>
    </xdr:from>
    <xdr:to>
      <xdr:col>11</xdr:col>
      <xdr:colOff>542925</xdr:colOff>
      <xdr:row>102</xdr:row>
      <xdr:rowOff>57150</xdr:rowOff>
    </xdr:to>
    <xdr:graphicFrame macro="">
      <xdr:nvGraphicFramePr>
        <xdr:cNvPr id="6" name="Graphique 2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400050</xdr:colOff>
      <xdr:row>69</xdr:row>
      <xdr:rowOff>0</xdr:rowOff>
    </xdr:from>
    <xdr:to>
      <xdr:col>3</xdr:col>
      <xdr:colOff>471054</xdr:colOff>
      <xdr:row>72</xdr:row>
      <xdr:rowOff>85726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4875" y="11677650"/>
          <a:ext cx="1499754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69</xdr:row>
      <xdr:rowOff>0</xdr:rowOff>
    </xdr:from>
    <xdr:to>
      <xdr:col>15</xdr:col>
      <xdr:colOff>471054</xdr:colOff>
      <xdr:row>72</xdr:row>
      <xdr:rowOff>85726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29725" y="11677650"/>
          <a:ext cx="1499754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127551</xdr:colOff>
      <xdr:row>74</xdr:row>
      <xdr:rowOff>141218</xdr:rowOff>
    </xdr:from>
    <xdr:to>
      <xdr:col>23</xdr:col>
      <xdr:colOff>571499</xdr:colOff>
      <xdr:row>102</xdr:row>
      <xdr:rowOff>67235</xdr:rowOff>
    </xdr:to>
    <xdr:graphicFrame macro="">
      <xdr:nvGraphicFramePr>
        <xdr:cNvPr id="9" name="Graphique 2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9525</xdr:colOff>
      <xdr:row>1</xdr:row>
      <xdr:rowOff>0</xdr:rowOff>
    </xdr:from>
    <xdr:ext cx="1994388" cy="775921"/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14350" y="161925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155487</xdr:colOff>
      <xdr:row>6</xdr:row>
      <xdr:rowOff>123825</xdr:rowOff>
    </xdr:from>
    <xdr:to>
      <xdr:col>11</xdr:col>
      <xdr:colOff>588818</xdr:colOff>
      <xdr:row>34</xdr:row>
      <xdr:rowOff>19050</xdr:rowOff>
    </xdr:to>
    <xdr:graphicFrame macro="">
      <xdr:nvGraphicFramePr>
        <xdr:cNvPr id="11" name="Graphique 2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609600</xdr:colOff>
          <xdr:row>2</xdr:row>
          <xdr:rowOff>66675</xdr:rowOff>
        </xdr:from>
        <xdr:to>
          <xdr:col>27</xdr:col>
          <xdr:colOff>571500</xdr:colOff>
          <xdr:row>4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MAJ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7</xdr:row>
      <xdr:rowOff>47625</xdr:rowOff>
    </xdr:from>
    <xdr:to>
      <xdr:col>10</xdr:col>
      <xdr:colOff>342900</xdr:colOff>
      <xdr:row>31</xdr:row>
      <xdr:rowOff>47625</xdr:rowOff>
    </xdr:to>
    <xdr:graphicFrame macro="">
      <xdr:nvGraphicFramePr>
        <xdr:cNvPr id="2" name="Graphique 2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7</xdr:row>
      <xdr:rowOff>28576</xdr:rowOff>
    </xdr:from>
    <xdr:to>
      <xdr:col>21</xdr:col>
      <xdr:colOff>352425</xdr:colOff>
      <xdr:row>31</xdr:row>
      <xdr:rowOff>9526</xdr:rowOff>
    </xdr:to>
    <xdr:graphicFrame macro="">
      <xdr:nvGraphicFramePr>
        <xdr:cNvPr id="3" name="Graphique 2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333375</xdr:colOff>
      <xdr:row>4</xdr:row>
      <xdr:rowOff>28575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400050</xdr:colOff>
      <xdr:row>0</xdr:row>
      <xdr:rowOff>0</xdr:rowOff>
    </xdr:from>
    <xdr:to>
      <xdr:col>14</xdr:col>
      <xdr:colOff>238125</xdr:colOff>
      <xdr:row>4</xdr:row>
      <xdr:rowOff>28575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37</xdr:row>
      <xdr:rowOff>66675</xdr:rowOff>
    </xdr:from>
    <xdr:to>
      <xdr:col>10</xdr:col>
      <xdr:colOff>333375</xdr:colOff>
      <xdr:row>63</xdr:row>
      <xdr:rowOff>85725</xdr:rowOff>
    </xdr:to>
    <xdr:graphicFrame macro="">
      <xdr:nvGraphicFramePr>
        <xdr:cNvPr id="6" name="Graphique 2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400050</xdr:colOff>
      <xdr:row>32</xdr:row>
      <xdr:rowOff>0</xdr:rowOff>
    </xdr:from>
    <xdr:to>
      <xdr:col>3</xdr:col>
      <xdr:colOff>238125</xdr:colOff>
      <xdr:row>35</xdr:row>
      <xdr:rowOff>85725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400050</xdr:colOff>
      <xdr:row>32</xdr:row>
      <xdr:rowOff>0</xdr:rowOff>
    </xdr:from>
    <xdr:to>
      <xdr:col>14</xdr:col>
      <xdr:colOff>238125</xdr:colOff>
      <xdr:row>35</xdr:row>
      <xdr:rowOff>85725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152400</xdr:colOff>
      <xdr:row>37</xdr:row>
      <xdr:rowOff>66675</xdr:rowOff>
    </xdr:from>
    <xdr:to>
      <xdr:col>21</xdr:col>
      <xdr:colOff>371475</xdr:colOff>
      <xdr:row>63</xdr:row>
      <xdr:rowOff>85725</xdr:rowOff>
    </xdr:to>
    <xdr:graphicFrame macro="">
      <xdr:nvGraphicFramePr>
        <xdr:cNvPr id="9" name="Graphique 27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-%2044470.009%20-%20Bure%20chantier%204\2-%20G3%20suivi\4-%20Instrumentation\1%20-%20GVA3\z_Pr&#233;vision%20des%20d&#233;placements%20long-terme\Analyse%20carrefour%20GVA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169"/>
      <sheetName val="Feuil3"/>
      <sheetName val="PM170"/>
      <sheetName val="PM169-Graph"/>
      <sheetName val="PM170-Graph"/>
    </sheetNames>
    <sheetDataSet>
      <sheetData sheetId="0">
        <row r="1">
          <cell r="E1" t="str">
            <v>Mesures aux 15/06/2020</v>
          </cell>
        </row>
        <row r="2">
          <cell r="E2" t="str">
            <v>Norme CH</v>
          </cell>
        </row>
        <row r="39">
          <cell r="A39">
            <v>43738</v>
          </cell>
          <cell r="E39">
            <v>18.331487663901811</v>
          </cell>
        </row>
        <row r="40">
          <cell r="A40">
            <v>43741</v>
          </cell>
          <cell r="E40">
            <v>18.600584903277213</v>
          </cell>
        </row>
        <row r="41">
          <cell r="A41">
            <v>43746</v>
          </cell>
          <cell r="E41">
            <v>19.71236219668431</v>
          </cell>
        </row>
        <row r="42">
          <cell r="A42">
            <v>43753</v>
          </cell>
          <cell r="E42">
            <v>19.72705417497842</v>
          </cell>
        </row>
        <row r="43">
          <cell r="A43">
            <v>43756</v>
          </cell>
          <cell r="E43">
            <v>19.15228446255519</v>
          </cell>
        </row>
        <row r="44">
          <cell r="A44">
            <v>43760</v>
          </cell>
          <cell r="E44">
            <v>20.03324584437949</v>
          </cell>
        </row>
        <row r="45">
          <cell r="A45">
            <v>43762</v>
          </cell>
          <cell r="E45">
            <v>20.20618717150256</v>
          </cell>
        </row>
        <row r="46">
          <cell r="A46">
            <v>43766</v>
          </cell>
          <cell r="E46">
            <v>20.224206899693066</v>
          </cell>
        </row>
        <row r="47">
          <cell r="A47">
            <v>43769</v>
          </cell>
          <cell r="E47">
            <v>20.201485102072755</v>
          </cell>
        </row>
        <row r="48">
          <cell r="A48">
            <v>43774</v>
          </cell>
          <cell r="E48">
            <v>20.740781101614143</v>
          </cell>
        </row>
        <row r="49">
          <cell r="A49">
            <v>43776</v>
          </cell>
          <cell r="E49">
            <v>20.756004670876287</v>
          </cell>
        </row>
        <row r="50">
          <cell r="A50">
            <v>43781</v>
          </cell>
          <cell r="E50">
            <v>20.812839707626349</v>
          </cell>
        </row>
        <row r="51">
          <cell r="A51">
            <v>43783</v>
          </cell>
          <cell r="E51">
            <v>21.20966875435348</v>
          </cell>
        </row>
        <row r="52">
          <cell r="A52">
            <v>43787</v>
          </cell>
          <cell r="E52">
            <v>21.221853585851314</v>
          </cell>
        </row>
        <row r="53">
          <cell r="A53">
            <v>43790</v>
          </cell>
          <cell r="E53">
            <v>21.511789084586237</v>
          </cell>
        </row>
        <row r="54">
          <cell r="A54">
            <v>43795</v>
          </cell>
          <cell r="E54">
            <v>21.880381227786099</v>
          </cell>
        </row>
        <row r="55">
          <cell r="A55">
            <v>43797</v>
          </cell>
          <cell r="E55">
            <v>21.941326021688621</v>
          </cell>
        </row>
        <row r="56">
          <cell r="A56">
            <v>43801</v>
          </cell>
          <cell r="E56">
            <v>21.778728790260587</v>
          </cell>
        </row>
        <row r="57">
          <cell r="A57">
            <v>43803</v>
          </cell>
          <cell r="E57">
            <v>21.822963361967595</v>
          </cell>
        </row>
        <row r="58">
          <cell r="A58">
            <v>43808</v>
          </cell>
          <cell r="E58">
            <v>22.39336557094293</v>
          </cell>
        </row>
        <row r="59">
          <cell r="A59">
            <v>43811</v>
          </cell>
          <cell r="E59">
            <v>22.078126694028526</v>
          </cell>
        </row>
        <row r="60">
          <cell r="A60">
            <v>43815</v>
          </cell>
          <cell r="E60">
            <v>23.129199467700737</v>
          </cell>
        </row>
        <row r="61">
          <cell r="A61">
            <v>43818</v>
          </cell>
          <cell r="E61">
            <v>22.63249072500399</v>
          </cell>
        </row>
        <row r="62">
          <cell r="A62">
            <v>43837</v>
          </cell>
          <cell r="E62">
            <v>23.098565045542546</v>
          </cell>
        </row>
        <row r="63">
          <cell r="A63">
            <v>43843</v>
          </cell>
          <cell r="E63">
            <v>23.20753022485162</v>
          </cell>
        </row>
        <row r="64">
          <cell r="A64">
            <v>43850</v>
          </cell>
          <cell r="E64">
            <v>23.347605857293772</v>
          </cell>
        </row>
        <row r="65">
          <cell r="A65">
            <v>43857</v>
          </cell>
          <cell r="E65">
            <v>23.950020296257836</v>
          </cell>
        </row>
      </sheetData>
      <sheetData sheetId="1"/>
      <sheetData sheetId="2">
        <row r="1">
          <cell r="E1" t="str">
            <v>Mesures au 15/06/2020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DE129"/>
  <sheetViews>
    <sheetView tabSelected="1" zoomScale="85" zoomScaleNormal="85" workbookViewId="0">
      <pane xSplit="4" ySplit="9" topLeftCell="E115" activePane="bottomRight" state="frozenSplit"/>
      <selection activeCell="C7" sqref="C7"/>
      <selection pane="topRight" activeCell="C7" sqref="C7"/>
      <selection pane="bottomLeft" activeCell="C7" sqref="C7"/>
      <selection pane="bottomRight" activeCell="P121" sqref="P121"/>
    </sheetView>
  </sheetViews>
  <sheetFormatPr baseColWidth="10" defaultColWidth="11.42578125" defaultRowHeight="12.75" x14ac:dyDescent="0.2"/>
  <cols>
    <col min="1" max="1" width="14.7109375" style="2" customWidth="1"/>
    <col min="2" max="4" width="7.7109375" style="2" customWidth="1"/>
    <col min="5" max="5" width="12.7109375" style="2" customWidth="1"/>
    <col min="6" max="6" width="13.7109375" style="2" customWidth="1"/>
    <col min="7" max="7" width="10.7109375" style="2" customWidth="1"/>
    <col min="8" max="8" width="11.85546875" style="2" bestFit="1" customWidth="1"/>
    <col min="9" max="9" width="12.85546875" style="2" bestFit="1" customWidth="1"/>
    <col min="10" max="10" width="10.7109375" style="2" customWidth="1"/>
    <col min="11" max="11" width="12.7109375" style="2" customWidth="1"/>
    <col min="12" max="12" width="13.7109375" style="2" customWidth="1"/>
    <col min="13" max="13" width="10.7109375" style="2" customWidth="1"/>
    <col min="14" max="14" width="12.7109375" style="2" customWidth="1"/>
    <col min="15" max="15" width="13.7109375" style="2" customWidth="1"/>
    <col min="16" max="16" width="10.7109375" style="2" customWidth="1"/>
    <col min="17" max="17" width="12.7109375" style="2" customWidth="1"/>
    <col min="18" max="18" width="13.7109375" style="2" customWidth="1"/>
    <col min="19" max="19" width="10.7109375" style="2" customWidth="1"/>
    <col min="20" max="20" width="11.85546875" style="2" bestFit="1" customWidth="1"/>
    <col min="21" max="21" width="12.85546875" style="2" bestFit="1" customWidth="1"/>
    <col min="22" max="22" width="10.7109375" style="2" customWidth="1"/>
    <col min="23" max="23" width="12.7109375" style="2" customWidth="1"/>
    <col min="24" max="24" width="13.7109375" style="2" customWidth="1"/>
    <col min="25" max="25" width="10.7109375" style="2" customWidth="1"/>
    <col min="26" max="34" width="11.7109375" style="2" customWidth="1"/>
    <col min="35" max="39" width="14.7109375" style="2" customWidth="1"/>
    <col min="40" max="40" width="12.7109375" style="2" bestFit="1" customWidth="1"/>
    <col min="41" max="42" width="12.7109375" style="2" customWidth="1"/>
    <col min="43" max="44" width="11.42578125" style="2"/>
    <col min="45" max="65" width="14.140625" style="2" customWidth="1"/>
    <col min="66" max="66" width="11.42578125" style="2"/>
    <col min="67" max="109" width="16.7109375" style="2" customWidth="1"/>
    <col min="110" max="16384" width="11.42578125" style="2"/>
  </cols>
  <sheetData>
    <row r="1" spans="1:109" ht="41.25" customHeight="1" x14ac:dyDescent="0.2">
      <c r="F1" s="132" t="s">
        <v>60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6"/>
      <c r="Y1" s="6"/>
      <c r="AE1" s="6"/>
      <c r="AF1" s="6"/>
      <c r="AG1" s="6"/>
      <c r="AH1" s="6"/>
      <c r="AI1" s="8"/>
      <c r="AJ1" s="8"/>
      <c r="AK1" s="8"/>
      <c r="AL1" s="8"/>
      <c r="AM1" s="8"/>
    </row>
    <row r="2" spans="1:109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109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109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BX4" s="13"/>
    </row>
    <row r="5" spans="1:109" ht="13.5" thickBo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109" ht="16.5" thickBot="1" x14ac:dyDescent="0.25">
      <c r="A6" s="33" t="s">
        <v>46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T6" s="12"/>
      <c r="U6" s="12"/>
      <c r="V6" s="14" t="s">
        <v>47</v>
      </c>
      <c r="W6" s="75">
        <v>169.2</v>
      </c>
      <c r="Y6" s="12"/>
      <c r="Z6" s="12"/>
      <c r="AA6" s="12"/>
      <c r="AB6" s="14"/>
      <c r="AC6" s="14"/>
      <c r="AD6" s="12"/>
      <c r="AE6" s="14"/>
      <c r="AF6" s="14"/>
      <c r="AG6" s="14"/>
      <c r="AH6" s="14"/>
      <c r="AI6" s="14"/>
      <c r="AJ6" s="14"/>
      <c r="AK6" s="14"/>
      <c r="AL6" s="14"/>
      <c r="AM6" s="14"/>
    </row>
    <row r="7" spans="1:109" ht="26.25" customHeight="1" thickBot="1" x14ac:dyDescent="0.25">
      <c r="A7" s="33">
        <v>43599</v>
      </c>
      <c r="B7" s="1"/>
      <c r="C7" s="1"/>
      <c r="D7" s="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109" ht="16.5" thickBot="1" x14ac:dyDescent="0.25">
      <c r="A8" s="133" t="s">
        <v>11</v>
      </c>
      <c r="B8" s="135" t="s">
        <v>43</v>
      </c>
      <c r="C8" s="135" t="s">
        <v>44</v>
      </c>
      <c r="D8" s="135" t="s">
        <v>45</v>
      </c>
      <c r="E8" s="124" t="s">
        <v>1</v>
      </c>
      <c r="F8" s="124"/>
      <c r="G8" s="125"/>
      <c r="H8" s="124" t="s">
        <v>58</v>
      </c>
      <c r="I8" s="124"/>
      <c r="J8" s="125"/>
      <c r="K8" s="123" t="s">
        <v>13</v>
      </c>
      <c r="L8" s="124"/>
      <c r="M8" s="125"/>
      <c r="N8" s="123" t="s">
        <v>2</v>
      </c>
      <c r="O8" s="124"/>
      <c r="P8" s="125"/>
      <c r="Q8" s="123" t="s">
        <v>14</v>
      </c>
      <c r="R8" s="124"/>
      <c r="S8" s="125"/>
      <c r="T8" s="124" t="s">
        <v>59</v>
      </c>
      <c r="U8" s="124"/>
      <c r="V8" s="125"/>
      <c r="W8" s="123" t="s">
        <v>3</v>
      </c>
      <c r="X8" s="124"/>
      <c r="Y8" s="125"/>
      <c r="AI8" s="129" t="s">
        <v>4</v>
      </c>
      <c r="AJ8" s="130"/>
      <c r="AK8" s="130"/>
      <c r="AL8" s="130"/>
      <c r="AM8" s="130"/>
      <c r="AN8" s="130"/>
      <c r="AO8" s="130"/>
      <c r="AP8" s="130"/>
      <c r="AQ8" s="131"/>
      <c r="AS8" s="123" t="s">
        <v>1</v>
      </c>
      <c r="AT8" s="124"/>
      <c r="AU8" s="125"/>
      <c r="AV8" s="126" t="s">
        <v>58</v>
      </c>
      <c r="AW8" s="127"/>
      <c r="AX8" s="128"/>
      <c r="AY8" s="123" t="s">
        <v>13</v>
      </c>
      <c r="AZ8" s="124"/>
      <c r="BA8" s="125"/>
      <c r="BB8" s="123" t="s">
        <v>2</v>
      </c>
      <c r="BC8" s="124"/>
      <c r="BD8" s="125"/>
      <c r="BE8" s="123" t="s">
        <v>14</v>
      </c>
      <c r="BF8" s="124"/>
      <c r="BG8" s="125"/>
      <c r="BH8" s="126" t="s">
        <v>59</v>
      </c>
      <c r="BI8" s="127"/>
      <c r="BJ8" s="128"/>
      <c r="BK8" s="123" t="s">
        <v>3</v>
      </c>
      <c r="BL8" s="124"/>
      <c r="BM8" s="125"/>
      <c r="BO8" s="123" t="s">
        <v>1</v>
      </c>
      <c r="BP8" s="124"/>
      <c r="BQ8" s="125"/>
      <c r="BR8" s="126" t="s">
        <v>58</v>
      </c>
      <c r="BS8" s="127"/>
      <c r="BT8" s="128"/>
      <c r="BU8" s="123" t="s">
        <v>13</v>
      </c>
      <c r="BV8" s="124"/>
      <c r="BW8" s="125"/>
      <c r="BX8" s="123" t="s">
        <v>2</v>
      </c>
      <c r="BY8" s="124"/>
      <c r="BZ8" s="125"/>
      <c r="CA8" s="123" t="s">
        <v>14</v>
      </c>
      <c r="CB8" s="124"/>
      <c r="CC8" s="125"/>
      <c r="CD8" s="126" t="s">
        <v>59</v>
      </c>
      <c r="CE8" s="127"/>
      <c r="CF8" s="128"/>
      <c r="CG8" s="123" t="s">
        <v>3</v>
      </c>
      <c r="CH8" s="124"/>
      <c r="CI8" s="125"/>
      <c r="CK8" s="123" t="s">
        <v>1</v>
      </c>
      <c r="CL8" s="124"/>
      <c r="CM8" s="125"/>
      <c r="CN8" s="126" t="s">
        <v>58</v>
      </c>
      <c r="CO8" s="127"/>
      <c r="CP8" s="128"/>
      <c r="CQ8" s="123" t="s">
        <v>13</v>
      </c>
      <c r="CR8" s="124"/>
      <c r="CS8" s="125"/>
      <c r="CT8" s="123" t="s">
        <v>2</v>
      </c>
      <c r="CU8" s="124"/>
      <c r="CV8" s="125"/>
      <c r="CW8" s="123" t="s">
        <v>14</v>
      </c>
      <c r="CX8" s="124"/>
      <c r="CY8" s="125"/>
      <c r="CZ8" s="126" t="s">
        <v>59</v>
      </c>
      <c r="DA8" s="127"/>
      <c r="DB8" s="128"/>
      <c r="DC8" s="123" t="s">
        <v>3</v>
      </c>
      <c r="DD8" s="124"/>
      <c r="DE8" s="125"/>
    </row>
    <row r="9" spans="1:109" s="16" customFormat="1" ht="25.5" customHeight="1" thickBot="1" x14ac:dyDescent="0.25">
      <c r="A9" s="134"/>
      <c r="B9" s="136"/>
      <c r="C9" s="136"/>
      <c r="D9" s="136"/>
      <c r="E9" s="5" t="s">
        <v>5</v>
      </c>
      <c r="F9" s="5" t="s">
        <v>6</v>
      </c>
      <c r="G9" s="5" t="s">
        <v>7</v>
      </c>
      <c r="H9" s="5"/>
      <c r="I9" s="5"/>
      <c r="J9" s="5"/>
      <c r="K9" s="5" t="s">
        <v>5</v>
      </c>
      <c r="L9" s="5" t="s">
        <v>6</v>
      </c>
      <c r="M9" s="5" t="s">
        <v>7</v>
      </c>
      <c r="N9" s="15" t="s">
        <v>5</v>
      </c>
      <c r="O9" s="15" t="s">
        <v>6</v>
      </c>
      <c r="P9" s="15" t="s">
        <v>7</v>
      </c>
      <c r="Q9" s="15" t="s">
        <v>5</v>
      </c>
      <c r="R9" s="15" t="s">
        <v>6</v>
      </c>
      <c r="S9" s="15" t="s">
        <v>7</v>
      </c>
      <c r="T9" s="5"/>
      <c r="U9" s="5"/>
      <c r="V9" s="5"/>
      <c r="W9" s="15" t="s">
        <v>5</v>
      </c>
      <c r="X9" s="15" t="s">
        <v>6</v>
      </c>
      <c r="Y9" s="15" t="s">
        <v>7</v>
      </c>
      <c r="Z9" s="15" t="s">
        <v>15</v>
      </c>
      <c r="AA9" s="15" t="s">
        <v>50</v>
      </c>
      <c r="AB9" s="15" t="s">
        <v>18</v>
      </c>
      <c r="AC9" s="15" t="s">
        <v>19</v>
      </c>
      <c r="AD9" s="15" t="s">
        <v>51</v>
      </c>
      <c r="AE9" s="15" t="s">
        <v>16</v>
      </c>
      <c r="AF9" s="15" t="s">
        <v>20</v>
      </c>
      <c r="AG9" s="15" t="s">
        <v>52</v>
      </c>
      <c r="AH9" s="15" t="s">
        <v>17</v>
      </c>
      <c r="AI9" s="57" t="s">
        <v>15</v>
      </c>
      <c r="AJ9" s="56" t="s">
        <v>50</v>
      </c>
      <c r="AK9" s="41" t="s">
        <v>18</v>
      </c>
      <c r="AL9" s="41" t="s">
        <v>19</v>
      </c>
      <c r="AM9" s="56" t="s">
        <v>51</v>
      </c>
      <c r="AN9" s="41" t="s">
        <v>16</v>
      </c>
      <c r="AO9" s="41" t="s">
        <v>20</v>
      </c>
      <c r="AP9" s="56" t="s">
        <v>52</v>
      </c>
      <c r="AQ9" s="58" t="s">
        <v>17</v>
      </c>
      <c r="AS9" s="4" t="s">
        <v>22</v>
      </c>
      <c r="AT9" s="4" t="s">
        <v>23</v>
      </c>
      <c r="AU9" s="4" t="s">
        <v>24</v>
      </c>
      <c r="AV9" s="4" t="s">
        <v>22</v>
      </c>
      <c r="AW9" s="4" t="s">
        <v>23</v>
      </c>
      <c r="AX9" s="4" t="s">
        <v>24</v>
      </c>
      <c r="AY9" s="4" t="s">
        <v>22</v>
      </c>
      <c r="AZ9" s="4" t="s">
        <v>23</v>
      </c>
      <c r="BA9" s="4" t="s">
        <v>24</v>
      </c>
      <c r="BB9" s="4" t="s">
        <v>22</v>
      </c>
      <c r="BC9" s="4" t="s">
        <v>23</v>
      </c>
      <c r="BD9" s="4" t="s">
        <v>24</v>
      </c>
      <c r="BE9" s="4" t="s">
        <v>22</v>
      </c>
      <c r="BF9" s="4" t="s">
        <v>23</v>
      </c>
      <c r="BG9" s="4" t="s">
        <v>24</v>
      </c>
      <c r="BH9" s="4" t="s">
        <v>22</v>
      </c>
      <c r="BI9" s="4" t="s">
        <v>23</v>
      </c>
      <c r="BJ9" s="4" t="s">
        <v>24</v>
      </c>
      <c r="BK9" s="4" t="s">
        <v>22</v>
      </c>
      <c r="BL9" s="4" t="s">
        <v>23</v>
      </c>
      <c r="BM9" s="4" t="s">
        <v>24</v>
      </c>
      <c r="BO9" s="5" t="s">
        <v>0</v>
      </c>
      <c r="BP9" s="5" t="s">
        <v>8</v>
      </c>
      <c r="BQ9" s="5" t="s">
        <v>21</v>
      </c>
      <c r="BR9" s="5" t="s">
        <v>0</v>
      </c>
      <c r="BS9" s="5" t="s">
        <v>8</v>
      </c>
      <c r="BT9" s="5" t="s">
        <v>21</v>
      </c>
      <c r="BU9" s="5" t="s">
        <v>0</v>
      </c>
      <c r="BV9" s="5" t="s">
        <v>8</v>
      </c>
      <c r="BW9" s="5" t="s">
        <v>21</v>
      </c>
      <c r="BX9" s="5" t="s">
        <v>0</v>
      </c>
      <c r="BY9" s="5" t="s">
        <v>8</v>
      </c>
      <c r="BZ9" s="5" t="s">
        <v>21</v>
      </c>
      <c r="CA9" s="5" t="s">
        <v>0</v>
      </c>
      <c r="CB9" s="5" t="s">
        <v>8</v>
      </c>
      <c r="CC9" s="5" t="s">
        <v>21</v>
      </c>
      <c r="CD9" s="5" t="s">
        <v>0</v>
      </c>
      <c r="CE9" s="5" t="s">
        <v>8</v>
      </c>
      <c r="CF9" s="5" t="s">
        <v>21</v>
      </c>
      <c r="CG9" s="5" t="s">
        <v>0</v>
      </c>
      <c r="CH9" s="5" t="s">
        <v>8</v>
      </c>
      <c r="CI9" s="5" t="s">
        <v>21</v>
      </c>
      <c r="CJ9" s="2"/>
      <c r="CK9" s="4" t="s">
        <v>26</v>
      </c>
      <c r="CL9" s="4" t="s">
        <v>25</v>
      </c>
      <c r="CM9" s="4" t="s">
        <v>24</v>
      </c>
      <c r="CN9" s="4" t="s">
        <v>26</v>
      </c>
      <c r="CO9" s="4" t="s">
        <v>25</v>
      </c>
      <c r="CP9" s="4" t="s">
        <v>24</v>
      </c>
      <c r="CQ9" s="4" t="s">
        <v>26</v>
      </c>
      <c r="CR9" s="4" t="s">
        <v>25</v>
      </c>
      <c r="CS9" s="4" t="s">
        <v>24</v>
      </c>
      <c r="CT9" s="4" t="s">
        <v>26</v>
      </c>
      <c r="CU9" s="4" t="s">
        <v>25</v>
      </c>
      <c r="CV9" s="4" t="s">
        <v>24</v>
      </c>
      <c r="CW9" s="4" t="s">
        <v>26</v>
      </c>
      <c r="CX9" s="4" t="s">
        <v>25</v>
      </c>
      <c r="CY9" s="4" t="s">
        <v>24</v>
      </c>
      <c r="CZ9" s="4" t="s">
        <v>26</v>
      </c>
      <c r="DA9" s="4" t="s">
        <v>25</v>
      </c>
      <c r="DB9" s="4" t="s">
        <v>24</v>
      </c>
      <c r="DC9" s="4" t="s">
        <v>26</v>
      </c>
      <c r="DD9" s="4" t="s">
        <v>25</v>
      </c>
      <c r="DE9" s="4" t="s">
        <v>24</v>
      </c>
    </row>
    <row r="10" spans="1:109" ht="29.25" customHeight="1" x14ac:dyDescent="0.2">
      <c r="A10" s="33">
        <v>43599</v>
      </c>
      <c r="B10" s="42">
        <v>0</v>
      </c>
      <c r="C10" s="43">
        <v>170.4</v>
      </c>
      <c r="D10" s="43">
        <f t="shared" ref="D10:D73" si="0">C10-PM</f>
        <v>1.2000000000000171</v>
      </c>
      <c r="E10" s="44">
        <v>823219.58279999997</v>
      </c>
      <c r="F10" s="44">
        <v>1091508.6078999999</v>
      </c>
      <c r="G10" s="44">
        <v>-125.01</v>
      </c>
      <c r="H10" s="55">
        <v>823219.24979999999</v>
      </c>
      <c r="I10" s="55">
        <v>1091508.9358999999</v>
      </c>
      <c r="J10" s="55">
        <v>-123.02330000000001</v>
      </c>
      <c r="K10" s="44">
        <v>823219.64170000004</v>
      </c>
      <c r="L10" s="44">
        <v>1091508.0471999999</v>
      </c>
      <c r="M10" s="44">
        <v>-120.88160000000001</v>
      </c>
      <c r="N10" s="44">
        <v>823220.89760000003</v>
      </c>
      <c r="O10" s="44">
        <v>1091504.8151</v>
      </c>
      <c r="P10" s="44">
        <v>-119.5003</v>
      </c>
      <c r="Q10" s="44">
        <v>823222.37730000005</v>
      </c>
      <c r="R10" s="44">
        <v>1091502.2043000001</v>
      </c>
      <c r="S10" s="44">
        <v>-120.8674</v>
      </c>
      <c r="T10" s="55">
        <v>823222.78850000002</v>
      </c>
      <c r="U10" s="55">
        <v>1091501.304</v>
      </c>
      <c r="V10" s="55">
        <v>-123.01739999999999</v>
      </c>
      <c r="W10" s="44">
        <v>823222.70929999999</v>
      </c>
      <c r="X10" s="44">
        <v>1091501.6285000001</v>
      </c>
      <c r="Y10" s="44">
        <v>-124.93819999999999</v>
      </c>
      <c r="Z10" s="44">
        <f t="shared" ref="Z10:Z58" si="1">IF(Xhaut="","",SQRT(((Xbasgauche-Xhaut)^2+(Ybasgauche-Yhaut)^2)+(Zbasgauche-Zhaut)^2))</f>
        <v>6.8169512958256906</v>
      </c>
      <c r="AA10" s="55">
        <f t="shared" ref="AA10:AA72" si="2">IF(Xhaut="","",SQRT(((Xintergauche-Xhaut)^2+(Yintergauche-Yhaut)^2)+(Zintergauche-Zhaut)^2))</f>
        <v>5.6663715444216534</v>
      </c>
      <c r="AB10" s="44">
        <f t="shared" ref="AB10:AB32" si="3">IF(Xhaut="","",SQRT(((Xhautgauche-Xhaut)^2+(Yhautgauche-Yhaut)^2)+(Zhautgauche-Zhaut)^2))</f>
        <v>3.7325252724353333</v>
      </c>
      <c r="AC10" s="44">
        <f t="shared" ref="AC10:AC58" si="4">IF(Xhaut="","",SQRT(((Xhautdroit-Xhaut)^2+(Yhautdroit-Yhaut)^2)+(Zhautdroit-Zhaut)^2))</f>
        <v>3.2976887572347668</v>
      </c>
      <c r="AD10" s="55">
        <f t="shared" ref="AD10:AD71" si="5">IF(Xhaut="","",SQRT(((Xinterdroit-Xhaut)^2+(Yinterdroit-Yhaut)^2)+(Zinterdroit-Zhaut)^2))</f>
        <v>5.3172660672584273</v>
      </c>
      <c r="AE10" s="44">
        <f t="shared" ref="AE10:AE58" si="6">IF(Xhaut="","",SQRT(((Xbasdroit-Xhaut)^2+(Ybasdroit-Yhaut)^2)+(Zbasdroit-Zhaut)^2))</f>
        <v>6.5580052500145882</v>
      </c>
      <c r="AF10" s="44">
        <f t="shared" ref="AF10:AF32" si="7">IF(Xhautdroit="","",SQRT(((Xhautdroit-Xhautgauche)^2+(Yhautdroit-Yhautgauche)^2)+(Zhautdroit-Zhautgauche)^2))</f>
        <v>6.4516036307190472</v>
      </c>
      <c r="AG10" s="55">
        <f t="shared" ref="AG10:AG71" si="8">IF(Xinterdroit="","",SQRT(((Xinterdroit-Xintergauche)^2+(Yinterdroit-Yintergauche)^2)+(Zinterdroit-Zintergauche)^2))</f>
        <v>8.4123914619459885</v>
      </c>
      <c r="AH10" s="44">
        <f t="shared" ref="AH10:AH58" si="9">IF(Xbasdroit="","",SQRT(((Xbasdroit-Xbasgauche)^2+(Ybasdroit-Ybasgauche)^2)+(Zbasdroit-Zbasgauche)^2))</f>
        <v>7.6480181647142222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37"/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37"/>
      <c r="BO10" s="44">
        <v>169.37505562219096</v>
      </c>
      <c r="BP10" s="44">
        <v>-3.7738522421270555</v>
      </c>
      <c r="BQ10" s="44">
        <v>-1.1608705562219228</v>
      </c>
      <c r="BR10" s="44">
        <v>169.21189022913737</v>
      </c>
      <c r="BS10" s="44">
        <v>-4.2118591535858849</v>
      </c>
      <c r="BT10" s="44">
        <v>0.8274610977086212</v>
      </c>
      <c r="BU10" s="44">
        <v>169.19145524187087</v>
      </c>
      <c r="BV10" s="44">
        <v>-3.2408000867160971</v>
      </c>
      <c r="BW10" s="44">
        <v>2.9693654475812821</v>
      </c>
      <c r="BX10" s="44">
        <v>168.96361386461984</v>
      </c>
      <c r="BY10" s="44">
        <v>0.21923510474955929</v>
      </c>
      <c r="BZ10" s="44">
        <v>4.3529438613538076</v>
      </c>
      <c r="CA10" s="44">
        <v>169.20119434187237</v>
      </c>
      <c r="CB10" s="44">
        <v>3.2107805659486628</v>
      </c>
      <c r="CC10" s="44">
        <v>2.9834680565812732</v>
      </c>
      <c r="CD10" s="44">
        <v>169.19334802773551</v>
      </c>
      <c r="CE10" s="44">
        <v>4.2005098044299931</v>
      </c>
      <c r="CF10" s="44">
        <v>0.83354651972264548</v>
      </c>
      <c r="CG10" s="44">
        <v>169.25872027472798</v>
      </c>
      <c r="CH10" s="44">
        <v>3.8729439951692521</v>
      </c>
      <c r="CI10" s="44">
        <v>-1.0879072027472745</v>
      </c>
      <c r="CJ10" s="37"/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</row>
    <row r="11" spans="1:109" ht="29.25" customHeight="1" x14ac:dyDescent="0.2">
      <c r="A11" s="34">
        <v>43600</v>
      </c>
      <c r="B11" s="27">
        <f>A11-A10</f>
        <v>1</v>
      </c>
      <c r="C11" s="35">
        <v>170.4</v>
      </c>
      <c r="D11" s="35">
        <f t="shared" si="0"/>
        <v>1.2000000000000171</v>
      </c>
      <c r="E11" s="36">
        <v>823219.58230000001</v>
      </c>
      <c r="F11" s="36">
        <v>1091508.6070999999</v>
      </c>
      <c r="G11" s="36">
        <v>-125.0099</v>
      </c>
      <c r="H11" s="36">
        <v>823219.24970000004</v>
      </c>
      <c r="I11" s="36">
        <v>1091508.9357</v>
      </c>
      <c r="J11" s="36">
        <v>-123.0234</v>
      </c>
      <c r="K11" s="36">
        <v>823219.64159999997</v>
      </c>
      <c r="L11" s="36">
        <v>1091508.0471999999</v>
      </c>
      <c r="M11" s="36">
        <v>-120.88160000000001</v>
      </c>
      <c r="N11" s="36">
        <v>823220.89709999994</v>
      </c>
      <c r="O11" s="36">
        <v>1091504.8149000001</v>
      </c>
      <c r="P11" s="36">
        <v>-119.501</v>
      </c>
      <c r="Q11" s="36">
        <v>823222.37719999999</v>
      </c>
      <c r="R11" s="36">
        <v>1091502.2042</v>
      </c>
      <c r="S11" s="36">
        <v>-120.86750000000001</v>
      </c>
      <c r="T11" s="36">
        <v>823222.78810000001</v>
      </c>
      <c r="U11" s="36">
        <v>1091501.3041000001</v>
      </c>
      <c r="V11" s="36">
        <v>-123.0176</v>
      </c>
      <c r="W11" s="36">
        <v>823222.70970000001</v>
      </c>
      <c r="X11" s="36">
        <v>1091501.6281999999</v>
      </c>
      <c r="Y11" s="36">
        <v>-124.9384</v>
      </c>
      <c r="Z11" s="36">
        <f t="shared" si="1"/>
        <v>6.8159708837592827</v>
      </c>
      <c r="AA11" s="36">
        <f t="shared" si="2"/>
        <v>5.6658822048278683</v>
      </c>
      <c r="AB11" s="36">
        <f t="shared" si="3"/>
        <v>3.7323049042956726</v>
      </c>
      <c r="AC11" s="36">
        <f t="shared" si="4"/>
        <v>3.2975404092347103</v>
      </c>
      <c r="AD11" s="36">
        <f t="shared" si="5"/>
        <v>5.3167728182201506</v>
      </c>
      <c r="AE11" s="36">
        <f t="shared" si="6"/>
        <v>6.557887953561722</v>
      </c>
      <c r="AF11" s="36">
        <f t="shared" si="7"/>
        <v>6.4516939766733259</v>
      </c>
      <c r="AG11" s="36">
        <f t="shared" si="8"/>
        <v>8.4119930313321092</v>
      </c>
      <c r="AH11" s="36">
        <f t="shared" si="9"/>
        <v>7.6479270537713724</v>
      </c>
      <c r="AI11" s="40">
        <f t="shared" ref="AI11:AQ21" si="10">IF(Z11="","",(Z11-Z$10)*1000)</f>
        <v>-0.98041206640786527</v>
      </c>
      <c r="AJ11" s="40">
        <f t="shared" si="10"/>
        <v>-0.48933959378505421</v>
      </c>
      <c r="AK11" s="40">
        <f t="shared" si="10"/>
        <v>-0.22036813966064273</v>
      </c>
      <c r="AL11" s="40">
        <f t="shared" si="10"/>
        <v>-0.14834800005658622</v>
      </c>
      <c r="AM11" s="40">
        <f t="shared" si="10"/>
        <v>-0.49324903827674405</v>
      </c>
      <c r="AN11" s="40">
        <f t="shared" si="10"/>
        <v>-0.11729645286617796</v>
      </c>
      <c r="AO11" s="40">
        <f t="shared" si="10"/>
        <v>9.0345954278703289E-2</v>
      </c>
      <c r="AP11" s="40">
        <f t="shared" si="10"/>
        <v>-0.39843061387934142</v>
      </c>
      <c r="AQ11" s="40">
        <f t="shared" si="10"/>
        <v>-9.11109428498591E-2</v>
      </c>
      <c r="AR11" s="37"/>
      <c r="AS11" s="40">
        <f t="shared" ref="AS11:BM21" si="11">IF(E11="","",(E11-E$10)*1000)</f>
        <v>-0.49999996554106474</v>
      </c>
      <c r="AT11" s="40">
        <f t="shared" si="11"/>
        <v>-0.80000003799796104</v>
      </c>
      <c r="AU11" s="40">
        <f t="shared" si="11"/>
        <v>0.10000000000331966</v>
      </c>
      <c r="AV11" s="40">
        <f t="shared" si="11"/>
        <v>-9.9999946542084217E-2</v>
      </c>
      <c r="AW11" s="40">
        <f t="shared" si="11"/>
        <v>-0.19999989308416843</v>
      </c>
      <c r="AX11" s="40">
        <f t="shared" si="11"/>
        <v>-9.9999999989108801E-2</v>
      </c>
      <c r="AY11" s="40">
        <f t="shared" si="11"/>
        <v>-0.10000006295740604</v>
      </c>
      <c r="AZ11" s="40">
        <f t="shared" si="11"/>
        <v>0</v>
      </c>
      <c r="BA11" s="40">
        <f t="shared" si="11"/>
        <v>0</v>
      </c>
      <c r="BB11" s="40">
        <f t="shared" si="11"/>
        <v>-0.50000008195638657</v>
      </c>
      <c r="BC11" s="40">
        <f t="shared" si="11"/>
        <v>-0.19999989308416843</v>
      </c>
      <c r="BD11" s="40">
        <f t="shared" si="11"/>
        <v>-0.70000000000902673</v>
      </c>
      <c r="BE11" s="40">
        <f t="shared" si="11"/>
        <v>-0.10000006295740604</v>
      </c>
      <c r="BF11" s="40">
        <f t="shared" si="11"/>
        <v>-0.10000006295740604</v>
      </c>
      <c r="BG11" s="40">
        <f t="shared" si="11"/>
        <v>-0.10000000000331966</v>
      </c>
      <c r="BH11" s="40">
        <f t="shared" si="11"/>
        <v>-0.40000001899898052</v>
      </c>
      <c r="BI11" s="40">
        <f t="shared" si="11"/>
        <v>0.10000006295740604</v>
      </c>
      <c r="BJ11" s="40">
        <f t="shared" si="11"/>
        <v>-0.20000000000663931</v>
      </c>
      <c r="BK11" s="40">
        <f t="shared" si="11"/>
        <v>0.40000001899898052</v>
      </c>
      <c r="BL11" s="40">
        <f t="shared" si="11"/>
        <v>-0.30000018887221813</v>
      </c>
      <c r="BM11" s="40">
        <f t="shared" si="11"/>
        <v>-0.20000000000663931</v>
      </c>
      <c r="BN11" s="37"/>
      <c r="BO11" s="36">
        <v>169.37426435457346</v>
      </c>
      <c r="BP11" s="36">
        <v>-3.7733385344438104</v>
      </c>
      <c r="BQ11" s="36">
        <v>-1.1607626435457377</v>
      </c>
      <c r="BR11" s="36">
        <v>169.21171506962409</v>
      </c>
      <c r="BS11" s="36">
        <v>-4.2117201604513541</v>
      </c>
      <c r="BT11" s="36">
        <v>0.82736284930375348</v>
      </c>
      <c r="BU11" s="36">
        <v>169.19136461260891</v>
      </c>
      <c r="BV11" s="36">
        <v>-3.2408423519437246</v>
      </c>
      <c r="BW11" s="36">
        <v>2.9693663538738946</v>
      </c>
      <c r="BX11" s="36">
        <v>168.96307618816417</v>
      </c>
      <c r="BY11" s="36">
        <v>0.21920503702281152</v>
      </c>
      <c r="BZ11" s="36">
        <v>4.3522492381183469</v>
      </c>
      <c r="CA11" s="36">
        <v>169.20106144738278</v>
      </c>
      <c r="CB11" s="36">
        <v>3.2108289299830295</v>
      </c>
      <c r="CC11" s="36">
        <v>2.98336938552616</v>
      </c>
      <c r="CD11" s="36">
        <v>169.19302777612623</v>
      </c>
      <c r="CE11" s="36">
        <v>4.2002501143559448</v>
      </c>
      <c r="CF11" s="36">
        <v>0.83334972223873649</v>
      </c>
      <c r="CG11" s="36">
        <v>169.25895599588202</v>
      </c>
      <c r="CH11" s="36">
        <v>3.8733849437672343</v>
      </c>
      <c r="CI11" s="36">
        <v>-1.0881095599588235</v>
      </c>
      <c r="CJ11" s="37"/>
      <c r="CK11" s="40">
        <f t="shared" ref="CK11:DE21" si="12">IF(BO11="","",(BO11-BO$10)*1000)</f>
        <v>-0.79126761750103469</v>
      </c>
      <c r="CL11" s="40">
        <f t="shared" si="12"/>
        <v>0.51370768324510152</v>
      </c>
      <c r="CM11" s="40">
        <f t="shared" si="12"/>
        <v>0.10791267618515121</v>
      </c>
      <c r="CN11" s="40">
        <f t="shared" si="12"/>
        <v>-0.17515951327595758</v>
      </c>
      <c r="CO11" s="40">
        <f t="shared" si="12"/>
        <v>0.13899313453080708</v>
      </c>
      <c r="CP11" s="40">
        <f t="shared" si="12"/>
        <v>-9.8248404867717909E-2</v>
      </c>
      <c r="CQ11" s="40">
        <f t="shared" si="12"/>
        <v>-9.0629261961794327E-2</v>
      </c>
      <c r="CR11" s="40">
        <f t="shared" si="12"/>
        <v>-4.2265227627513724E-2</v>
      </c>
      <c r="CS11" s="40">
        <f t="shared" si="12"/>
        <v>9.0629261251251592E-4</v>
      </c>
      <c r="CT11" s="40">
        <f t="shared" si="12"/>
        <v>-0.5376764556785929</v>
      </c>
      <c r="CU11" s="40">
        <f t="shared" si="12"/>
        <v>-3.0067726747767809E-2</v>
      </c>
      <c r="CV11" s="40">
        <f t="shared" si="12"/>
        <v>-0.69462323546076732</v>
      </c>
      <c r="CW11" s="40">
        <f t="shared" si="12"/>
        <v>-0.13289448958175853</v>
      </c>
      <c r="CX11" s="40">
        <f t="shared" si="12"/>
        <v>4.8364034366699116E-2</v>
      </c>
      <c r="CY11" s="40">
        <f t="shared" si="12"/>
        <v>-9.8671055113186412E-2</v>
      </c>
      <c r="CZ11" s="40">
        <f t="shared" si="12"/>
        <v>-0.32025160928128571</v>
      </c>
      <c r="DA11" s="40">
        <f t="shared" si="12"/>
        <v>-0.25969007404835764</v>
      </c>
      <c r="DB11" s="40">
        <f t="shared" si="12"/>
        <v>-0.19679748390899476</v>
      </c>
      <c r="DC11" s="40">
        <f t="shared" si="12"/>
        <v>0.23572115404135729</v>
      </c>
      <c r="DD11" s="40">
        <f t="shared" si="12"/>
        <v>0.44094859798216035</v>
      </c>
      <c r="DE11" s="40">
        <f t="shared" si="12"/>
        <v>-0.2023572115490424</v>
      </c>
    </row>
    <row r="12" spans="1:109" ht="29.25" customHeight="1" x14ac:dyDescent="0.2">
      <c r="A12" s="34">
        <v>43601</v>
      </c>
      <c r="B12" s="27">
        <f t="shared" ref="B12:B23" si="13">A12-A$10</f>
        <v>2</v>
      </c>
      <c r="C12" s="35">
        <v>170.4</v>
      </c>
      <c r="D12" s="35">
        <f t="shared" si="0"/>
        <v>1.2000000000000171</v>
      </c>
      <c r="E12" s="36">
        <v>823219.58290000004</v>
      </c>
      <c r="F12" s="36">
        <v>1091508.608</v>
      </c>
      <c r="G12" s="36">
        <v>-125.0097</v>
      </c>
      <c r="H12" s="36">
        <v>823219.24990000005</v>
      </c>
      <c r="I12" s="36">
        <v>1091508.9362000001</v>
      </c>
      <c r="J12" s="36">
        <v>-123.02290000000001</v>
      </c>
      <c r="K12" s="36">
        <v>823219.64139999996</v>
      </c>
      <c r="L12" s="36">
        <v>1091508.0467000001</v>
      </c>
      <c r="M12" s="36">
        <v>-120.8815</v>
      </c>
      <c r="N12" s="36">
        <v>823220.89709999994</v>
      </c>
      <c r="O12" s="36">
        <v>1091504.8148000001</v>
      </c>
      <c r="P12" s="36">
        <v>-119.50060000000001</v>
      </c>
      <c r="Q12" s="36">
        <v>823222.37719999999</v>
      </c>
      <c r="R12" s="36">
        <v>1091502.2042</v>
      </c>
      <c r="S12" s="36">
        <v>-120.86709999999999</v>
      </c>
      <c r="T12" s="36">
        <v>823222.78819999995</v>
      </c>
      <c r="U12" s="36">
        <v>1091501.304</v>
      </c>
      <c r="V12" s="36">
        <v>-123.0171</v>
      </c>
      <c r="W12" s="36">
        <v>823222.70940000005</v>
      </c>
      <c r="X12" s="36">
        <v>1091501.6283</v>
      </c>
      <c r="Y12" s="36">
        <v>-124.9379</v>
      </c>
      <c r="Z12" s="36">
        <f t="shared" si="1"/>
        <v>6.8165732365626699</v>
      </c>
      <c r="AA12" s="36">
        <f t="shared" si="2"/>
        <v>5.6661982925192724</v>
      </c>
      <c r="AB12" s="36">
        <f t="shared" si="3"/>
        <v>3.7321367753655128</v>
      </c>
      <c r="AC12" s="36">
        <f t="shared" si="4"/>
        <v>3.2974612386208655</v>
      </c>
      <c r="AD12" s="36">
        <f t="shared" si="5"/>
        <v>5.316742245055937</v>
      </c>
      <c r="AE12" s="36">
        <f t="shared" si="6"/>
        <v>6.5576249382552119</v>
      </c>
      <c r="AF12" s="36">
        <f t="shared" si="7"/>
        <v>6.4513266271719605</v>
      </c>
      <c r="AG12" s="36">
        <f t="shared" si="8"/>
        <v>8.41249531179343</v>
      </c>
      <c r="AH12" s="36">
        <f t="shared" si="9"/>
        <v>7.6482919387556825</v>
      </c>
      <c r="AI12" s="40">
        <f t="shared" si="10"/>
        <v>-0.37805926302070247</v>
      </c>
      <c r="AJ12" s="40">
        <f t="shared" si="10"/>
        <v>-0.17325190238093313</v>
      </c>
      <c r="AK12" s="40">
        <f t="shared" si="10"/>
        <v>-0.38849706982047039</v>
      </c>
      <c r="AL12" s="40">
        <f t="shared" si="10"/>
        <v>-0.2275186139013563</v>
      </c>
      <c r="AM12" s="40">
        <f t="shared" si="10"/>
        <v>-0.52382220249036493</v>
      </c>
      <c r="AN12" s="40">
        <f t="shared" si="10"/>
        <v>-0.38031175937636164</v>
      </c>
      <c r="AO12" s="40">
        <f t="shared" si="10"/>
        <v>-0.27700354708670716</v>
      </c>
      <c r="AP12" s="40">
        <f t="shared" si="10"/>
        <v>0.10384984744149506</v>
      </c>
      <c r="AQ12" s="40">
        <f t="shared" si="10"/>
        <v>0.27377404146022855</v>
      </c>
      <c r="AR12" s="37"/>
      <c r="AS12" s="40">
        <f t="shared" si="11"/>
        <v>0.10000006295740604</v>
      </c>
      <c r="AT12" s="40">
        <f t="shared" si="11"/>
        <v>0.10000006295740604</v>
      </c>
      <c r="AU12" s="40">
        <f t="shared" si="11"/>
        <v>0.30000000000995897</v>
      </c>
      <c r="AV12" s="40">
        <f t="shared" si="11"/>
        <v>0.10000006295740604</v>
      </c>
      <c r="AW12" s="40">
        <f t="shared" si="11"/>
        <v>0.30000018887221813</v>
      </c>
      <c r="AX12" s="40">
        <f t="shared" si="11"/>
        <v>0.39999999999906777</v>
      </c>
      <c r="AY12" s="40">
        <f t="shared" si="11"/>
        <v>-0.30000007245689631</v>
      </c>
      <c r="AZ12" s="40">
        <f t="shared" si="11"/>
        <v>-0.49999984912574291</v>
      </c>
      <c r="BA12" s="40">
        <f t="shared" si="11"/>
        <v>0.10000000000331966</v>
      </c>
      <c r="BB12" s="40">
        <f t="shared" si="11"/>
        <v>-0.50000008195638657</v>
      </c>
      <c r="BC12" s="40">
        <f t="shared" si="11"/>
        <v>-0.29999995604157448</v>
      </c>
      <c r="BD12" s="40">
        <f t="shared" si="11"/>
        <v>-0.30000000000995897</v>
      </c>
      <c r="BE12" s="40">
        <f t="shared" si="11"/>
        <v>-0.10000006295740604</v>
      </c>
      <c r="BF12" s="40">
        <f t="shared" si="11"/>
        <v>-0.10000006295740604</v>
      </c>
      <c r="BG12" s="40">
        <f t="shared" si="11"/>
        <v>0.30000000000995897</v>
      </c>
      <c r="BH12" s="40">
        <f t="shared" si="11"/>
        <v>-0.30000007245689631</v>
      </c>
      <c r="BI12" s="40">
        <f t="shared" si="11"/>
        <v>0</v>
      </c>
      <c r="BJ12" s="40">
        <f t="shared" si="11"/>
        <v>0.29999999999574811</v>
      </c>
      <c r="BK12" s="40">
        <f t="shared" si="11"/>
        <v>0.10000006295740604</v>
      </c>
      <c r="BL12" s="40">
        <f t="shared" si="11"/>
        <v>-0.20000012591481209</v>
      </c>
      <c r="BM12" s="40">
        <f t="shared" si="11"/>
        <v>0.29999999999574811</v>
      </c>
      <c r="BN12" s="37"/>
      <c r="BO12" s="36">
        <v>169.37518851668054</v>
      </c>
      <c r="BP12" s="36">
        <v>-3.7739006061614373</v>
      </c>
      <c r="BQ12" s="36">
        <v>-1.160571885166803</v>
      </c>
      <c r="BR12" s="36">
        <v>169.21210765408219</v>
      </c>
      <c r="BS12" s="36">
        <v>-4.2120887761442001</v>
      </c>
      <c r="BT12" s="36">
        <v>0.82785892345917489</v>
      </c>
      <c r="BU12" s="36">
        <v>169.19097202824918</v>
      </c>
      <c r="BV12" s="36">
        <v>-3.2404737364619067</v>
      </c>
      <c r="BW12" s="36">
        <v>2.9694702797174983</v>
      </c>
      <c r="BX12" s="36">
        <v>168.96303392293655</v>
      </c>
      <c r="BY12" s="36">
        <v>0.21929566628475738</v>
      </c>
      <c r="BZ12" s="36">
        <v>4.3526496607706235</v>
      </c>
      <c r="CA12" s="36">
        <v>169.20106144738278</v>
      </c>
      <c r="CB12" s="36">
        <v>3.2108289299830295</v>
      </c>
      <c r="CC12" s="36">
        <v>2.9837693855261733</v>
      </c>
      <c r="CD12" s="36">
        <v>169.1930761400551</v>
      </c>
      <c r="CE12" s="36">
        <v>4.2003830087963454</v>
      </c>
      <c r="CF12" s="36">
        <v>0.83384923859944138</v>
      </c>
      <c r="CG12" s="36">
        <v>169.25872637353473</v>
      </c>
      <c r="CH12" s="36">
        <v>3.8731675189208152</v>
      </c>
      <c r="CI12" s="36">
        <v>-1.0876072637353502</v>
      </c>
      <c r="CJ12" s="37"/>
      <c r="CK12" s="40">
        <f t="shared" si="12"/>
        <v>0.13289448958175853</v>
      </c>
      <c r="CL12" s="40">
        <f t="shared" si="12"/>
        <v>-4.8364034381798149E-2</v>
      </c>
      <c r="CM12" s="40">
        <f t="shared" si="12"/>
        <v>0.29867105511982572</v>
      </c>
      <c r="CN12" s="40">
        <f t="shared" si="12"/>
        <v>0.21742494482168695</v>
      </c>
      <c r="CO12" s="40">
        <f t="shared" si="12"/>
        <v>-0.22962255831515677</v>
      </c>
      <c r="CP12" s="40">
        <f t="shared" si="12"/>
        <v>0.39782575055369307</v>
      </c>
      <c r="CQ12" s="40">
        <f t="shared" si="12"/>
        <v>-0.48321362169190252</v>
      </c>
      <c r="CR12" s="40">
        <f t="shared" si="12"/>
        <v>0.32635025419036623</v>
      </c>
      <c r="CS12" s="40">
        <f t="shared" si="12"/>
        <v>0.10483213621625964</v>
      </c>
      <c r="CT12" s="40">
        <f t="shared" si="12"/>
        <v>-0.57994168329855711</v>
      </c>
      <c r="CU12" s="40">
        <f t="shared" si="12"/>
        <v>6.0561535198094818E-2</v>
      </c>
      <c r="CV12" s="40">
        <f t="shared" si="12"/>
        <v>-0.29420058318407882</v>
      </c>
      <c r="CW12" s="40">
        <f t="shared" si="12"/>
        <v>-0.13289448958175853</v>
      </c>
      <c r="CX12" s="40">
        <f t="shared" si="12"/>
        <v>4.8364034366699116E-2</v>
      </c>
      <c r="CY12" s="40">
        <f t="shared" si="12"/>
        <v>0.30132894490009221</v>
      </c>
      <c r="CZ12" s="40">
        <f t="shared" si="12"/>
        <v>-0.27188768041241929</v>
      </c>
      <c r="DA12" s="40">
        <f t="shared" si="12"/>
        <v>-0.12679563364770274</v>
      </c>
      <c r="DB12" s="40">
        <f t="shared" si="12"/>
        <v>0.30271887679589327</v>
      </c>
      <c r="DC12" s="40">
        <f t="shared" si="12"/>
        <v>6.098806750287622E-3</v>
      </c>
      <c r="DD12" s="40">
        <f t="shared" si="12"/>
        <v>0.22352375156309279</v>
      </c>
      <c r="DE12" s="40">
        <f t="shared" si="12"/>
        <v>0.2999390119242662</v>
      </c>
    </row>
    <row r="13" spans="1:109" ht="29.25" customHeight="1" x14ac:dyDescent="0.2">
      <c r="A13" s="34">
        <v>43605</v>
      </c>
      <c r="B13" s="27">
        <f t="shared" si="13"/>
        <v>6</v>
      </c>
      <c r="C13" s="35">
        <v>170.4</v>
      </c>
      <c r="D13" s="35">
        <f t="shared" si="0"/>
        <v>1.2000000000000171</v>
      </c>
      <c r="E13" s="36">
        <v>823219.58250000002</v>
      </c>
      <c r="F13" s="36">
        <v>1091508.6072</v>
      </c>
      <c r="G13" s="36">
        <v>-125.01009999999999</v>
      </c>
      <c r="H13" s="36">
        <v>823219.25</v>
      </c>
      <c r="I13" s="36">
        <v>1091508.9362000001</v>
      </c>
      <c r="J13" s="36">
        <v>-123.0234</v>
      </c>
      <c r="K13" s="36">
        <v>823219.64139999996</v>
      </c>
      <c r="L13" s="36">
        <v>1091508.0466</v>
      </c>
      <c r="M13" s="36">
        <v>-120.88200000000001</v>
      </c>
      <c r="N13" s="36">
        <v>823220.89720000001</v>
      </c>
      <c r="O13" s="36">
        <v>1091504.8147</v>
      </c>
      <c r="P13" s="36">
        <v>-119.501</v>
      </c>
      <c r="Q13" s="36">
        <v>823222.37710000004</v>
      </c>
      <c r="R13" s="36">
        <v>1091502.2041</v>
      </c>
      <c r="S13" s="36">
        <v>-120.8677</v>
      </c>
      <c r="T13" s="36">
        <v>823222.78859999997</v>
      </c>
      <c r="U13" s="36">
        <v>1091501.3037</v>
      </c>
      <c r="V13" s="36">
        <v>-123.0176</v>
      </c>
      <c r="W13" s="36">
        <v>823222.70920000004</v>
      </c>
      <c r="X13" s="36">
        <v>1091501.6283</v>
      </c>
      <c r="Y13" s="36">
        <v>-124.9384</v>
      </c>
      <c r="Z13" s="36">
        <f t="shared" si="1"/>
        <v>6.8162801548811984</v>
      </c>
      <c r="AA13" s="36">
        <f t="shared" si="2"/>
        <v>5.6663331927314982</v>
      </c>
      <c r="AB13" s="36">
        <f t="shared" si="3"/>
        <v>3.7322074232542084</v>
      </c>
      <c r="AC13" s="36">
        <f t="shared" si="4"/>
        <v>3.2974543605907476</v>
      </c>
      <c r="AD13" s="36">
        <f t="shared" si="5"/>
        <v>5.3170471616721109</v>
      </c>
      <c r="AE13" s="36">
        <f t="shared" si="6"/>
        <v>6.5575763602235568</v>
      </c>
      <c r="AF13" s="36">
        <f t="shared" si="7"/>
        <v>6.4512839986122481</v>
      </c>
      <c r="AG13" s="36">
        <f t="shared" si="8"/>
        <v>8.4128936669131988</v>
      </c>
      <c r="AH13" s="36">
        <f t="shared" si="9"/>
        <v>7.6476427080482878</v>
      </c>
      <c r="AI13" s="40">
        <f t="shared" si="10"/>
        <v>-0.67114094449216566</v>
      </c>
      <c r="AJ13" s="40">
        <f t="shared" si="10"/>
        <v>-3.8351690155202789E-2</v>
      </c>
      <c r="AK13" s="40">
        <f t="shared" si="10"/>
        <v>-0.31784918112487404</v>
      </c>
      <c r="AL13" s="40">
        <f t="shared" si="10"/>
        <v>-0.23439664401925242</v>
      </c>
      <c r="AM13" s="40">
        <f t="shared" si="10"/>
        <v>-0.21890558631643131</v>
      </c>
      <c r="AN13" s="40">
        <f t="shared" si="10"/>
        <v>-0.42888979103139491</v>
      </c>
      <c r="AO13" s="40">
        <f t="shared" si="10"/>
        <v>-0.31963210679908372</v>
      </c>
      <c r="AP13" s="40">
        <f t="shared" si="10"/>
        <v>0.50220496721031793</v>
      </c>
      <c r="AQ13" s="40">
        <f t="shared" si="10"/>
        <v>-0.37545666593441496</v>
      </c>
      <c r="AR13" s="37"/>
      <c r="AS13" s="40">
        <f t="shared" si="11"/>
        <v>-0.29999995604157448</v>
      </c>
      <c r="AT13" s="40">
        <f t="shared" si="11"/>
        <v>-0.699999975040555</v>
      </c>
      <c r="AU13" s="40">
        <f t="shared" si="11"/>
        <v>-9.9999999989108801E-2</v>
      </c>
      <c r="AV13" s="40">
        <f t="shared" si="11"/>
        <v>0.20000000949949026</v>
      </c>
      <c r="AW13" s="40">
        <f t="shared" si="11"/>
        <v>0.30000018887221813</v>
      </c>
      <c r="AX13" s="40">
        <f t="shared" si="11"/>
        <v>-9.9999999989108801E-2</v>
      </c>
      <c r="AY13" s="40">
        <f t="shared" si="11"/>
        <v>-0.30000007245689631</v>
      </c>
      <c r="AZ13" s="40">
        <f t="shared" si="11"/>
        <v>-0.59999991208314896</v>
      </c>
      <c r="BA13" s="40">
        <f t="shared" si="11"/>
        <v>-0.39999999999906777</v>
      </c>
      <c r="BB13" s="40">
        <f t="shared" si="11"/>
        <v>-0.40000001899898052</v>
      </c>
      <c r="BC13" s="40">
        <f t="shared" si="11"/>
        <v>-0.40000001899898052</v>
      </c>
      <c r="BD13" s="40">
        <f t="shared" si="11"/>
        <v>-0.70000000000902673</v>
      </c>
      <c r="BE13" s="40">
        <f t="shared" si="11"/>
        <v>-0.20000000949949026</v>
      </c>
      <c r="BF13" s="40">
        <f t="shared" si="11"/>
        <v>-0.20000012591481209</v>
      </c>
      <c r="BG13" s="40">
        <f t="shared" si="11"/>
        <v>-0.29999999999574811</v>
      </c>
      <c r="BH13" s="40">
        <f t="shared" si="11"/>
        <v>9.9999946542084217E-2</v>
      </c>
      <c r="BI13" s="40">
        <f t="shared" si="11"/>
        <v>-0.29999995604157448</v>
      </c>
      <c r="BJ13" s="40">
        <f t="shared" si="11"/>
        <v>-0.20000000000663931</v>
      </c>
      <c r="BK13" s="40">
        <f t="shared" si="11"/>
        <v>-9.9999946542084217E-2</v>
      </c>
      <c r="BL13" s="40">
        <f t="shared" si="11"/>
        <v>-0.20000012591481209</v>
      </c>
      <c r="BM13" s="40">
        <f t="shared" si="11"/>
        <v>-0.20000000000663931</v>
      </c>
      <c r="BN13" s="37"/>
      <c r="BO13" s="36">
        <v>169.37448787821955</v>
      </c>
      <c r="BP13" s="36">
        <v>-3.7733446332997533</v>
      </c>
      <c r="BQ13" s="36">
        <v>-1.1609648787821953</v>
      </c>
      <c r="BR13" s="36">
        <v>169.21219828323868</v>
      </c>
      <c r="BS13" s="36">
        <v>-4.2120465109657586</v>
      </c>
      <c r="BT13" s="36">
        <v>0.82735801716761159</v>
      </c>
      <c r="BU13" s="36">
        <v>169.19092976302159</v>
      </c>
      <c r="BV13" s="36">
        <v>-3.2403831071999356</v>
      </c>
      <c r="BW13" s="36">
        <v>2.9689707023697736</v>
      </c>
      <c r="BX13" s="36">
        <v>168.96308228697086</v>
      </c>
      <c r="BY13" s="36">
        <v>0.21942856077436637</v>
      </c>
      <c r="BZ13" s="36">
        <v>4.3522491771302896</v>
      </c>
      <c r="CA13" s="36">
        <v>169.20092855299868</v>
      </c>
      <c r="CB13" s="36">
        <v>3.210877294066588</v>
      </c>
      <c r="CC13" s="36">
        <v>2.9831707144700061</v>
      </c>
      <c r="CD13" s="36">
        <v>169.19331186130754</v>
      </c>
      <c r="CE13" s="36">
        <v>4.2008239571833004</v>
      </c>
      <c r="CF13" s="36">
        <v>0.83334688138691604</v>
      </c>
      <c r="CG13" s="36">
        <v>169.25854511511631</v>
      </c>
      <c r="CH13" s="36">
        <v>3.8730829885147968</v>
      </c>
      <c r="CI13" s="36">
        <v>-1.088105451151165</v>
      </c>
      <c r="CJ13" s="37"/>
      <c r="CK13" s="40">
        <f t="shared" si="12"/>
        <v>-0.56774397140202382</v>
      </c>
      <c r="CL13" s="40">
        <f t="shared" si="12"/>
        <v>0.50760882730216395</v>
      </c>
      <c r="CM13" s="40">
        <f t="shared" si="12"/>
        <v>-9.4322560272530609E-2</v>
      </c>
      <c r="CN13" s="40">
        <f t="shared" si="12"/>
        <v>0.30805410131051758</v>
      </c>
      <c r="CO13" s="40">
        <f t="shared" si="12"/>
        <v>-0.18735737987363166</v>
      </c>
      <c r="CP13" s="40">
        <f t="shared" si="12"/>
        <v>-0.10308054100960362</v>
      </c>
      <c r="CQ13" s="40">
        <f t="shared" si="12"/>
        <v>-0.52547884928344502</v>
      </c>
      <c r="CR13" s="40">
        <f t="shared" si="12"/>
        <v>0.41697951616148643</v>
      </c>
      <c r="CS13" s="40">
        <f t="shared" si="12"/>
        <v>-0.39474521150850705</v>
      </c>
      <c r="CT13" s="40">
        <f t="shared" si="12"/>
        <v>-0.5315776489851487</v>
      </c>
      <c r="CU13" s="40">
        <f t="shared" si="12"/>
        <v>0.19345602480708157</v>
      </c>
      <c r="CV13" s="40">
        <f t="shared" si="12"/>
        <v>-0.69468422351803838</v>
      </c>
      <c r="CW13" s="40">
        <f t="shared" si="12"/>
        <v>-0.26578887369055337</v>
      </c>
      <c r="CX13" s="40">
        <f t="shared" si="12"/>
        <v>9.6728117925160007E-2</v>
      </c>
      <c r="CY13" s="40">
        <f t="shared" si="12"/>
        <v>-0.29734211126708487</v>
      </c>
      <c r="CZ13" s="40">
        <f t="shared" si="12"/>
        <v>-3.6166427975103943E-2</v>
      </c>
      <c r="DA13" s="40">
        <f t="shared" si="12"/>
        <v>0.31415275330726189</v>
      </c>
      <c r="DB13" s="40">
        <f t="shared" si="12"/>
        <v>-0.19963833572944623</v>
      </c>
      <c r="DC13" s="40">
        <f t="shared" si="12"/>
        <v>-0.17515961167191563</v>
      </c>
      <c r="DD13" s="40">
        <f t="shared" si="12"/>
        <v>0.13899334554468012</v>
      </c>
      <c r="DE13" s="40">
        <f t="shared" si="12"/>
        <v>-0.19824840389048859</v>
      </c>
    </row>
    <row r="14" spans="1:109" ht="29.25" customHeight="1" x14ac:dyDescent="0.2">
      <c r="A14" s="34">
        <v>43607</v>
      </c>
      <c r="B14" s="27">
        <f t="shared" si="13"/>
        <v>8</v>
      </c>
      <c r="C14" s="35">
        <v>172.28</v>
      </c>
      <c r="D14" s="35">
        <f t="shared" si="0"/>
        <v>3.0800000000000125</v>
      </c>
      <c r="E14" s="36">
        <v>823219.58299999998</v>
      </c>
      <c r="F14" s="36">
        <v>1091508.605</v>
      </c>
      <c r="G14" s="36">
        <v>-125.01</v>
      </c>
      <c r="H14" s="36">
        <v>823219.25</v>
      </c>
      <c r="I14" s="36">
        <v>1091508.9350000001</v>
      </c>
      <c r="J14" s="36">
        <v>-123.023</v>
      </c>
      <c r="K14" s="36">
        <v>823219.64099999995</v>
      </c>
      <c r="L14" s="36">
        <v>1091508.0449999999</v>
      </c>
      <c r="M14" s="36">
        <v>-120.88200000000001</v>
      </c>
      <c r="N14" s="36">
        <v>823220.897</v>
      </c>
      <c r="O14" s="36">
        <v>1091504.814</v>
      </c>
      <c r="P14" s="36">
        <v>-119.502</v>
      </c>
      <c r="Q14" s="36">
        <v>823222.37699999998</v>
      </c>
      <c r="R14" s="36">
        <v>1091502.2039999999</v>
      </c>
      <c r="S14" s="36">
        <v>-120.86799999999999</v>
      </c>
      <c r="T14" s="36">
        <v>823222.78700000001</v>
      </c>
      <c r="U14" s="36">
        <v>1091501.304</v>
      </c>
      <c r="V14" s="36">
        <v>-123.017</v>
      </c>
      <c r="W14" s="36">
        <v>823222.70900000003</v>
      </c>
      <c r="X14" s="36">
        <v>1091501.628</v>
      </c>
      <c r="Y14" s="36">
        <v>-124.938</v>
      </c>
      <c r="Z14" s="36">
        <f t="shared" si="1"/>
        <v>6.8144215455014443</v>
      </c>
      <c r="AA14" s="36">
        <f t="shared" si="2"/>
        <v>5.665041129625088</v>
      </c>
      <c r="AB14" s="36">
        <f t="shared" si="3"/>
        <v>3.731125433373331</v>
      </c>
      <c r="AC14" s="36">
        <f t="shared" si="4"/>
        <v>3.2967341416134288</v>
      </c>
      <c r="AD14" s="36">
        <f t="shared" si="5"/>
        <v>5.314830665234612</v>
      </c>
      <c r="AE14" s="36">
        <f t="shared" si="6"/>
        <v>6.5562211677186326</v>
      </c>
      <c r="AF14" s="36">
        <f t="shared" si="7"/>
        <v>6.4500521703593643</v>
      </c>
      <c r="AG14" s="36">
        <f t="shared" si="8"/>
        <v>8.4108600036426147</v>
      </c>
      <c r="AH14" s="36">
        <f t="shared" si="9"/>
        <v>7.6456254812587545</v>
      </c>
      <c r="AI14" s="40">
        <f t="shared" si="10"/>
        <v>-2.5297503242462938</v>
      </c>
      <c r="AJ14" s="40">
        <f t="shared" si="10"/>
        <v>-1.3304147965653712</v>
      </c>
      <c r="AK14" s="40">
        <f t="shared" si="10"/>
        <v>-1.3998390620022505</v>
      </c>
      <c r="AL14" s="40">
        <f t="shared" si="10"/>
        <v>-0.95461562133802857</v>
      </c>
      <c r="AM14" s="40">
        <f t="shared" si="10"/>
        <v>-2.435402023815314</v>
      </c>
      <c r="AN14" s="40">
        <f t="shared" si="10"/>
        <v>-1.7840822959556135</v>
      </c>
      <c r="AO14" s="40">
        <f t="shared" si="10"/>
        <v>-1.5514603596828991</v>
      </c>
      <c r="AP14" s="40">
        <f t="shared" si="10"/>
        <v>-1.5314583033738671</v>
      </c>
      <c r="AQ14" s="40">
        <f t="shared" si="10"/>
        <v>-2.3926834554677257</v>
      </c>
      <c r="AR14" s="37"/>
      <c r="AS14" s="40">
        <f t="shared" si="11"/>
        <v>0.20000000949949026</v>
      </c>
      <c r="AT14" s="40">
        <f t="shared" si="11"/>
        <v>-2.899999963119626</v>
      </c>
      <c r="AU14" s="40">
        <f t="shared" si="11"/>
        <v>0</v>
      </c>
      <c r="AV14" s="40">
        <f t="shared" si="11"/>
        <v>0.20000000949949026</v>
      </c>
      <c r="AW14" s="40">
        <f t="shared" si="11"/>
        <v>-0.89999986812472343</v>
      </c>
      <c r="AX14" s="40">
        <f t="shared" si="11"/>
        <v>0.30000000000995897</v>
      </c>
      <c r="AY14" s="40">
        <f t="shared" si="11"/>
        <v>-0.70000009145587683</v>
      </c>
      <c r="AZ14" s="40">
        <f t="shared" si="11"/>
        <v>-2.199999988079071</v>
      </c>
      <c r="BA14" s="40">
        <f t="shared" si="11"/>
        <v>-0.39999999999906777</v>
      </c>
      <c r="BB14" s="40">
        <f t="shared" si="11"/>
        <v>-0.60000002849847078</v>
      </c>
      <c r="BC14" s="40">
        <f t="shared" si="11"/>
        <v>-1.0999999940395355</v>
      </c>
      <c r="BD14" s="40">
        <f t="shared" si="11"/>
        <v>-1.6999999999995907</v>
      </c>
      <c r="BE14" s="40">
        <f t="shared" si="11"/>
        <v>-0.30000007245689631</v>
      </c>
      <c r="BF14" s="40">
        <f t="shared" si="11"/>
        <v>-0.30000018887221813</v>
      </c>
      <c r="BG14" s="40">
        <f t="shared" si="11"/>
        <v>-0.59999999999149622</v>
      </c>
      <c r="BH14" s="40">
        <f t="shared" si="11"/>
        <v>-1.500000013038516</v>
      </c>
      <c r="BI14" s="40">
        <f t="shared" si="11"/>
        <v>0</v>
      </c>
      <c r="BJ14" s="40">
        <f t="shared" si="11"/>
        <v>0.39999999999906777</v>
      </c>
      <c r="BK14" s="40">
        <f t="shared" si="11"/>
        <v>-0.29999995604157448</v>
      </c>
      <c r="BL14" s="40">
        <f t="shared" si="11"/>
        <v>-0.50000008195638657</v>
      </c>
      <c r="BM14" s="40">
        <f t="shared" si="11"/>
        <v>0.19999999999242846</v>
      </c>
      <c r="BN14" s="37"/>
      <c r="BO14" s="36">
        <v>169.37401118979571</v>
      </c>
      <c r="BP14" s="36">
        <v>-3.7711394648119096</v>
      </c>
      <c r="BQ14" s="36">
        <v>-1.1608601118979607</v>
      </c>
      <c r="BR14" s="36">
        <v>169.21169110080248</v>
      </c>
      <c r="BS14" s="36">
        <v>-4.2109589604551179</v>
      </c>
      <c r="BT14" s="36">
        <v>0.82776308899197204</v>
      </c>
      <c r="BU14" s="36">
        <v>169.18989100293641</v>
      </c>
      <c r="BV14" s="36">
        <v>-3.2391021006644753</v>
      </c>
      <c r="BW14" s="36">
        <v>2.9689810899706259</v>
      </c>
      <c r="BX14" s="36">
        <v>168.96260517215595</v>
      </c>
      <c r="BY14" s="36">
        <v>0.2199784347801482</v>
      </c>
      <c r="BZ14" s="36">
        <v>4.3512539482784405</v>
      </c>
      <c r="CA14" s="36">
        <v>169.20079565850912</v>
      </c>
      <c r="CB14" s="36">
        <v>3.2109256581009262</v>
      </c>
      <c r="CC14" s="36">
        <v>2.9828720434149147</v>
      </c>
      <c r="CD14" s="36">
        <v>169.19198858964995</v>
      </c>
      <c r="CE14" s="36">
        <v>4.1998758264093485</v>
      </c>
      <c r="CF14" s="36">
        <v>0.83396011410350468</v>
      </c>
      <c r="CG14" s="36">
        <v>169.25823706111339</v>
      </c>
      <c r="CH14" s="36">
        <v>3.8732703456836761</v>
      </c>
      <c r="CI14" s="36">
        <v>-1.0877023706111402</v>
      </c>
      <c r="CJ14" s="37"/>
      <c r="CK14" s="40">
        <f t="shared" si="12"/>
        <v>-1.0444323952469858</v>
      </c>
      <c r="CL14" s="40">
        <f t="shared" si="12"/>
        <v>2.7127773151458534</v>
      </c>
      <c r="CM14" s="40">
        <f t="shared" si="12"/>
        <v>1.044432396213324E-2</v>
      </c>
      <c r="CN14" s="40">
        <f t="shared" si="12"/>
        <v>-0.19912833488433535</v>
      </c>
      <c r="CO14" s="40">
        <f t="shared" si="12"/>
        <v>0.90019313076705743</v>
      </c>
      <c r="CP14" s="40">
        <f t="shared" si="12"/>
        <v>0.30199128335084424</v>
      </c>
      <c r="CQ14" s="40">
        <f t="shared" si="12"/>
        <v>-1.5642389344634466</v>
      </c>
      <c r="CR14" s="40">
        <f t="shared" si="12"/>
        <v>1.6979860516217471</v>
      </c>
      <c r="CS14" s="40">
        <f t="shared" si="12"/>
        <v>-0.3843576106561386</v>
      </c>
      <c r="CT14" s="40">
        <f t="shared" si="12"/>
        <v>-1.0086924638983419</v>
      </c>
      <c r="CU14" s="40">
        <f t="shared" si="12"/>
        <v>0.74333003058890679</v>
      </c>
      <c r="CV14" s="40">
        <f t="shared" si="12"/>
        <v>-1.6899130753671443</v>
      </c>
      <c r="CW14" s="40">
        <f t="shared" si="12"/>
        <v>-0.3986833632438902</v>
      </c>
      <c r="CX14" s="40">
        <f t="shared" si="12"/>
        <v>0.14509215226343741</v>
      </c>
      <c r="CY14" s="40">
        <f t="shared" si="12"/>
        <v>-0.59601316635848889</v>
      </c>
      <c r="CZ14" s="40">
        <f t="shared" si="12"/>
        <v>-1.3594380855579402</v>
      </c>
      <c r="DA14" s="40">
        <f t="shared" si="12"/>
        <v>-0.63397802064457665</v>
      </c>
      <c r="DB14" s="40">
        <f t="shared" si="12"/>
        <v>0.41359438085919464</v>
      </c>
      <c r="DC14" s="40">
        <f t="shared" si="12"/>
        <v>-0.48321361458647516</v>
      </c>
      <c r="DD14" s="40">
        <f t="shared" si="12"/>
        <v>0.32635051442397867</v>
      </c>
      <c r="DE14" s="40">
        <f t="shared" si="12"/>
        <v>0.20483213613431417</v>
      </c>
    </row>
    <row r="15" spans="1:109" ht="29.25" customHeight="1" x14ac:dyDescent="0.2">
      <c r="A15" s="34">
        <v>43621</v>
      </c>
      <c r="B15" s="27">
        <f t="shared" si="13"/>
        <v>22</v>
      </c>
      <c r="C15" s="35">
        <v>176.25</v>
      </c>
      <c r="D15" s="35">
        <f t="shared" si="0"/>
        <v>7.0500000000000114</v>
      </c>
      <c r="E15" s="36">
        <v>823219.58499999996</v>
      </c>
      <c r="F15" s="36">
        <v>1091508.6039</v>
      </c>
      <c r="G15" s="36">
        <v>-125.009</v>
      </c>
      <c r="H15" s="36">
        <v>823219.25199999998</v>
      </c>
      <c r="I15" s="36">
        <v>1091508.9325999999</v>
      </c>
      <c r="J15" s="36">
        <v>-123.0228</v>
      </c>
      <c r="K15" s="36">
        <v>823219.64320000005</v>
      </c>
      <c r="L15" s="36">
        <v>1091508.0436</v>
      </c>
      <c r="M15" s="36">
        <v>-120.8818</v>
      </c>
      <c r="N15" s="36">
        <v>823220.89809999999</v>
      </c>
      <c r="O15" s="36">
        <v>1091504.8148000001</v>
      </c>
      <c r="P15" s="36">
        <v>-119.5031</v>
      </c>
      <c r="Q15" s="36">
        <v>823222.37789999996</v>
      </c>
      <c r="R15" s="36">
        <v>1091502.2057</v>
      </c>
      <c r="S15" s="36">
        <v>-120.86790000000001</v>
      </c>
      <c r="T15" s="36">
        <v>823222.78819999995</v>
      </c>
      <c r="U15" s="36">
        <v>1091501.3067999999</v>
      </c>
      <c r="V15" s="36">
        <v>-123.0166</v>
      </c>
      <c r="W15" s="36">
        <v>823222.70849999995</v>
      </c>
      <c r="X15" s="36">
        <v>1091501.6310000001</v>
      </c>
      <c r="Y15" s="36">
        <v>-124.9383</v>
      </c>
      <c r="Z15" s="36">
        <f t="shared" si="1"/>
        <v>6.8114936122404215</v>
      </c>
      <c r="AA15" s="36">
        <f t="shared" si="2"/>
        <v>5.6616437665348371</v>
      </c>
      <c r="AB15" s="36">
        <f t="shared" si="3"/>
        <v>3.7283692332392881</v>
      </c>
      <c r="AC15" s="36">
        <f t="shared" si="4"/>
        <v>3.2954347042423011</v>
      </c>
      <c r="AD15" s="36">
        <f t="shared" si="5"/>
        <v>5.3125534595788375</v>
      </c>
      <c r="AE15" s="36">
        <f t="shared" si="6"/>
        <v>6.5540468139800794</v>
      </c>
      <c r="AF15" s="36">
        <f t="shared" si="7"/>
        <v>6.446693238293701</v>
      </c>
      <c r="AG15" s="36">
        <f t="shared" si="8"/>
        <v>8.4058060006396662</v>
      </c>
      <c r="AH15" s="36">
        <f t="shared" si="9"/>
        <v>7.6408497661591657</v>
      </c>
      <c r="AI15" s="40">
        <f t="shared" si="10"/>
        <v>-5.4576835852691019</v>
      </c>
      <c r="AJ15" s="40">
        <f t="shared" si="10"/>
        <v>-4.7277778868162201</v>
      </c>
      <c r="AK15" s="40">
        <f t="shared" si="10"/>
        <v>-4.1560391960451248</v>
      </c>
      <c r="AL15" s="40">
        <f t="shared" si="10"/>
        <v>-2.2540529924657271</v>
      </c>
      <c r="AM15" s="40">
        <f t="shared" si="10"/>
        <v>-4.7126076795898086</v>
      </c>
      <c r="AN15" s="40">
        <f t="shared" si="10"/>
        <v>-3.9584360345088498</v>
      </c>
      <c r="AO15" s="40">
        <f t="shared" si="10"/>
        <v>-4.9103924253461884</v>
      </c>
      <c r="AP15" s="40">
        <f t="shared" si="10"/>
        <v>-6.5854613063223155</v>
      </c>
      <c r="AQ15" s="40">
        <f t="shared" si="10"/>
        <v>-7.1683985550565765</v>
      </c>
      <c r="AR15" s="37"/>
      <c r="AS15" s="40">
        <f t="shared" si="11"/>
        <v>2.199999988079071</v>
      </c>
      <c r="AT15" s="40">
        <f t="shared" si="11"/>
        <v>-3.9999999571591616</v>
      </c>
      <c r="AU15" s="40">
        <f t="shared" si="11"/>
        <v>1.0000000000047748</v>
      </c>
      <c r="AV15" s="40">
        <f t="shared" si="11"/>
        <v>2.199999988079071</v>
      </c>
      <c r="AW15" s="40">
        <f t="shared" si="11"/>
        <v>-3.2999999821186066</v>
      </c>
      <c r="AX15" s="40">
        <f t="shared" si="11"/>
        <v>0.50000000000238742</v>
      </c>
      <c r="AY15" s="40">
        <f t="shared" si="11"/>
        <v>1.500000013038516</v>
      </c>
      <c r="AZ15" s="40">
        <f t="shared" si="11"/>
        <v>-3.599999938160181</v>
      </c>
      <c r="BA15" s="40">
        <f t="shared" si="11"/>
        <v>-0.19999999999242846</v>
      </c>
      <c r="BB15" s="40">
        <f t="shared" si="11"/>
        <v>0.49999996554106474</v>
      </c>
      <c r="BC15" s="40">
        <f t="shared" si="11"/>
        <v>-0.29999995604157448</v>
      </c>
      <c r="BD15" s="40">
        <f t="shared" si="11"/>
        <v>-2.8000000000076852</v>
      </c>
      <c r="BE15" s="40">
        <f t="shared" si="11"/>
        <v>0.59999991208314896</v>
      </c>
      <c r="BF15" s="40">
        <f t="shared" si="11"/>
        <v>1.39999995008111</v>
      </c>
      <c r="BG15" s="40">
        <f t="shared" si="11"/>
        <v>-0.50000000000238742</v>
      </c>
      <c r="BH15" s="40">
        <f t="shared" si="11"/>
        <v>-0.30000007245689631</v>
      </c>
      <c r="BI15" s="40">
        <f t="shared" si="11"/>
        <v>2.79999990016222</v>
      </c>
      <c r="BJ15" s="40">
        <f t="shared" si="11"/>
        <v>0.79999999999813554</v>
      </c>
      <c r="BK15" s="40">
        <f t="shared" si="11"/>
        <v>-0.80000003799796104</v>
      </c>
      <c r="BL15" s="40">
        <f t="shared" si="11"/>
        <v>2.4999999441206455</v>
      </c>
      <c r="BM15" s="40">
        <f t="shared" si="11"/>
        <v>-0.10000000000331966</v>
      </c>
      <c r="BN15" s="37"/>
      <c r="BO15" s="36">
        <v>169.37535885666603</v>
      </c>
      <c r="BP15" s="36">
        <v>-3.7692972395521211</v>
      </c>
      <c r="BQ15" s="36">
        <v>-1.1598735885666684</v>
      </c>
      <c r="BR15" s="36">
        <v>169.21248932000896</v>
      </c>
      <c r="BS15" s="36">
        <v>-4.2079385554226993</v>
      </c>
      <c r="BT15" s="36">
        <v>0.82795510679990514</v>
      </c>
      <c r="BU15" s="36">
        <v>169.19129313274624</v>
      </c>
      <c r="BV15" s="36">
        <v>-3.2369034573745261</v>
      </c>
      <c r="BW15" s="36">
        <v>2.9691670686725331</v>
      </c>
      <c r="BX15" s="36">
        <v>168.96394021502874</v>
      </c>
      <c r="BY15" s="36">
        <v>0.21971831831493555</v>
      </c>
      <c r="BZ15" s="36">
        <v>4.3501405978497019</v>
      </c>
      <c r="CA15" s="36">
        <v>169.2023298298152</v>
      </c>
      <c r="CB15" s="36">
        <v>3.2097653482939648</v>
      </c>
      <c r="CC15" s="36">
        <v>2.9829567017018377</v>
      </c>
      <c r="CD15" s="36">
        <v>169.19425956564115</v>
      </c>
      <c r="CE15" s="36">
        <v>4.1978453911491478</v>
      </c>
      <c r="CF15" s="36">
        <v>0.83433740434358583</v>
      </c>
      <c r="CG15" s="36">
        <v>169.25905187105585</v>
      </c>
      <c r="CH15" s="36">
        <v>3.870340143472875</v>
      </c>
      <c r="CI15" s="36">
        <v>-1.0880105187105613</v>
      </c>
      <c r="CJ15" s="37"/>
      <c r="CK15" s="40">
        <f t="shared" si="12"/>
        <v>0.30323447506930279</v>
      </c>
      <c r="CL15" s="40">
        <f t="shared" si="12"/>
        <v>4.5550025749343526</v>
      </c>
      <c r="CM15" s="40">
        <f t="shared" si="12"/>
        <v>0.99696765525436604</v>
      </c>
      <c r="CN15" s="40">
        <f t="shared" si="12"/>
        <v>0.59909087158871444</v>
      </c>
      <c r="CO15" s="40">
        <f t="shared" si="12"/>
        <v>3.9205981631855735</v>
      </c>
      <c r="CP15" s="40">
        <f t="shared" si="12"/>
        <v>0.49400909128394233</v>
      </c>
      <c r="CQ15" s="40">
        <f t="shared" si="12"/>
        <v>-0.16210912463066052</v>
      </c>
      <c r="CR15" s="40">
        <f t="shared" si="12"/>
        <v>3.8966293415709785</v>
      </c>
      <c r="CS15" s="40">
        <f t="shared" si="12"/>
        <v>-0.19837890874896402</v>
      </c>
      <c r="CT15" s="40">
        <f t="shared" si="12"/>
        <v>0.32635040889772426</v>
      </c>
      <c r="CU15" s="40">
        <f t="shared" si="12"/>
        <v>0.48321356537625593</v>
      </c>
      <c r="CV15" s="40">
        <f t="shared" si="12"/>
        <v>-2.8032635041057574</v>
      </c>
      <c r="CW15" s="40">
        <f t="shared" si="12"/>
        <v>1.1354879428324693</v>
      </c>
      <c r="CX15" s="40">
        <f t="shared" si="12"/>
        <v>-1.0152176546980307</v>
      </c>
      <c r="CY15" s="40">
        <f t="shared" si="12"/>
        <v>-0.51135487943554381</v>
      </c>
      <c r="CZ15" s="40">
        <f t="shared" si="12"/>
        <v>0.91153790563680559</v>
      </c>
      <c r="DA15" s="40">
        <f t="shared" si="12"/>
        <v>-2.6644132808453236</v>
      </c>
      <c r="DB15" s="40">
        <f t="shared" si="12"/>
        <v>0.79088462094034639</v>
      </c>
      <c r="DC15" s="40">
        <f t="shared" si="12"/>
        <v>0.3315963278680556</v>
      </c>
      <c r="DD15" s="40">
        <f t="shared" si="12"/>
        <v>-2.603851696377113</v>
      </c>
      <c r="DE15" s="40">
        <f t="shared" si="12"/>
        <v>-0.1033159632868319</v>
      </c>
    </row>
    <row r="16" spans="1:109" ht="29.25" customHeight="1" x14ac:dyDescent="0.2">
      <c r="A16" s="34">
        <v>43637</v>
      </c>
      <c r="B16" s="27">
        <f t="shared" si="13"/>
        <v>38</v>
      </c>
      <c r="C16" s="35">
        <v>181.24</v>
      </c>
      <c r="D16" s="35">
        <f t="shared" si="0"/>
        <v>12.04000000000002</v>
      </c>
      <c r="E16" s="36">
        <v>823219.58299999998</v>
      </c>
      <c r="F16" s="36">
        <v>1091508.601</v>
      </c>
      <c r="G16" s="36">
        <v>-125.009</v>
      </c>
      <c r="H16" s="36">
        <v>823219.25</v>
      </c>
      <c r="I16" s="36">
        <v>1091508.9310000001</v>
      </c>
      <c r="J16" s="36">
        <v>-123.023</v>
      </c>
      <c r="K16" s="36">
        <v>823219.64099999995</v>
      </c>
      <c r="L16" s="36">
        <v>1091508.0419999999</v>
      </c>
      <c r="M16" s="36">
        <v>-120.881</v>
      </c>
      <c r="N16" s="36">
        <v>823220.89500000002</v>
      </c>
      <c r="O16" s="36">
        <v>1091504.8149999999</v>
      </c>
      <c r="P16" s="36">
        <v>-119.505</v>
      </c>
      <c r="Q16" s="36">
        <v>823222.375</v>
      </c>
      <c r="R16" s="36">
        <v>1091502.206</v>
      </c>
      <c r="S16" s="36">
        <v>-120.86799999999999</v>
      </c>
      <c r="T16" s="36">
        <v>823222.78500000003</v>
      </c>
      <c r="U16" s="36">
        <v>1091501.307</v>
      </c>
      <c r="V16" s="36">
        <v>-123.017</v>
      </c>
      <c r="W16" s="36">
        <v>823222.70499999996</v>
      </c>
      <c r="X16" s="36">
        <v>1091501.632</v>
      </c>
      <c r="Y16" s="36">
        <v>-124.93600000000001</v>
      </c>
      <c r="Z16" s="36">
        <f t="shared" si="1"/>
        <v>6.8080214453758101</v>
      </c>
      <c r="AA16" s="36">
        <f t="shared" si="2"/>
        <v>5.6589579430610675</v>
      </c>
      <c r="AB16" s="36">
        <f t="shared" si="3"/>
        <v>3.7255094953436934</v>
      </c>
      <c r="AC16" s="36">
        <f t="shared" si="4"/>
        <v>3.2947002898024165</v>
      </c>
      <c r="AD16" s="36">
        <f t="shared" si="5"/>
        <v>5.31152595771231</v>
      </c>
      <c r="AE16" s="36">
        <f t="shared" si="6"/>
        <v>6.5500648851390757</v>
      </c>
      <c r="AF16" s="36">
        <f t="shared" si="7"/>
        <v>6.4446738473767029</v>
      </c>
      <c r="AG16" s="36">
        <f t="shared" si="8"/>
        <v>8.4036680682474199</v>
      </c>
      <c r="AH16" s="36">
        <f t="shared" si="9"/>
        <v>7.6366991560757667</v>
      </c>
      <c r="AI16" s="40">
        <f t="shared" si="10"/>
        <v>-8.9298504498804832</v>
      </c>
      <c r="AJ16" s="40">
        <f t="shared" si="10"/>
        <v>-7.4136013605858864</v>
      </c>
      <c r="AK16" s="40">
        <f t="shared" si="10"/>
        <v>-7.0157770916399187</v>
      </c>
      <c r="AL16" s="40">
        <f t="shared" si="10"/>
        <v>-2.9884674323503724</v>
      </c>
      <c r="AM16" s="40">
        <f t="shared" si="10"/>
        <v>-5.7401095461173668</v>
      </c>
      <c r="AN16" s="40">
        <f t="shared" si="10"/>
        <v>-7.9403648755125289</v>
      </c>
      <c r="AO16" s="40">
        <f t="shared" si="10"/>
        <v>-6.9297833423442867</v>
      </c>
      <c r="AP16" s="40">
        <f t="shared" si="10"/>
        <v>-8.7233936985686711</v>
      </c>
      <c r="AQ16" s="40">
        <f t="shared" si="10"/>
        <v>-11.319008638455585</v>
      </c>
      <c r="AR16" s="37"/>
      <c r="AS16" s="40">
        <f t="shared" si="11"/>
        <v>0.20000000949949026</v>
      </c>
      <c r="AT16" s="40">
        <f t="shared" si="11"/>
        <v>-6.8999999202787876</v>
      </c>
      <c r="AU16" s="40">
        <f t="shared" si="11"/>
        <v>1.0000000000047748</v>
      </c>
      <c r="AV16" s="40">
        <f t="shared" si="11"/>
        <v>0.20000000949949026</v>
      </c>
      <c r="AW16" s="40">
        <f t="shared" si="11"/>
        <v>-4.899999825283885</v>
      </c>
      <c r="AX16" s="40">
        <f t="shared" si="11"/>
        <v>0.30000000000995897</v>
      </c>
      <c r="AY16" s="40">
        <f t="shared" si="11"/>
        <v>-0.70000009145587683</v>
      </c>
      <c r="AZ16" s="40">
        <f t="shared" si="11"/>
        <v>-5.2000000141561031</v>
      </c>
      <c r="BA16" s="40">
        <f t="shared" si="11"/>
        <v>0.60000000000570708</v>
      </c>
      <c r="BB16" s="40">
        <f t="shared" si="11"/>
        <v>-2.6000000070780516</v>
      </c>
      <c r="BC16" s="40">
        <f t="shared" si="11"/>
        <v>-0.10000006295740604</v>
      </c>
      <c r="BD16" s="40">
        <f t="shared" si="11"/>
        <v>-4.6999999999997044</v>
      </c>
      <c r="BE16" s="40">
        <f t="shared" si="11"/>
        <v>-2.3000000510364771</v>
      </c>
      <c r="BF16" s="40">
        <f t="shared" si="11"/>
        <v>1.6999999061226845</v>
      </c>
      <c r="BG16" s="40">
        <f t="shared" si="11"/>
        <v>-0.59999999999149622</v>
      </c>
      <c r="BH16" s="40">
        <f t="shared" si="11"/>
        <v>-3.4999999916180968</v>
      </c>
      <c r="BI16" s="40">
        <f t="shared" si="11"/>
        <v>3.0000000260770321</v>
      </c>
      <c r="BJ16" s="40">
        <f t="shared" si="11"/>
        <v>0.39999999999906777</v>
      </c>
      <c r="BK16" s="40">
        <f t="shared" si="11"/>
        <v>-4.3000000296160579</v>
      </c>
      <c r="BL16" s="40">
        <f t="shared" si="11"/>
        <v>3.499999875202775</v>
      </c>
      <c r="BM16" s="40">
        <f t="shared" si="11"/>
        <v>2.1999999999877673</v>
      </c>
      <c r="BN16" s="37"/>
      <c r="BO16" s="36">
        <v>169.37232059999999</v>
      </c>
      <c r="BP16" s="36">
        <v>-3.767514297</v>
      </c>
      <c r="BQ16" s="36">
        <v>-1.1598432059999999</v>
      </c>
      <c r="BR16" s="36">
        <v>169.21000050000001</v>
      </c>
      <c r="BS16" s="36">
        <v>-4.207333792</v>
      </c>
      <c r="BT16" s="36">
        <v>0.82777999499999999</v>
      </c>
      <c r="BU16" s="36">
        <v>169.18862300000001</v>
      </c>
      <c r="BV16" s="36">
        <v>-3.2363832239999999</v>
      </c>
      <c r="BW16" s="36">
        <v>2.9699937699999999</v>
      </c>
      <c r="BX16" s="36">
        <v>168.9612152</v>
      </c>
      <c r="BY16" s="36">
        <v>0.21822683900000001</v>
      </c>
      <c r="BZ16" s="36">
        <v>4.3482678479999999</v>
      </c>
      <c r="CA16" s="36">
        <v>169.1998284</v>
      </c>
      <c r="CB16" s="36">
        <v>3.20826777</v>
      </c>
      <c r="CC16" s="36">
        <v>2.9828817160000001</v>
      </c>
      <c r="CD16" s="36">
        <v>169.19144399999999</v>
      </c>
      <c r="CE16" s="36">
        <v>4.1963116459999998</v>
      </c>
      <c r="CF16" s="36">
        <v>0.83396555999999999</v>
      </c>
      <c r="CG16" s="36">
        <v>169.2563025</v>
      </c>
      <c r="CH16" s="36">
        <v>3.8679545690000001</v>
      </c>
      <c r="CI16" s="36">
        <v>-1.085683025</v>
      </c>
      <c r="CJ16" s="37"/>
      <c r="CK16" s="40">
        <f t="shared" si="12"/>
        <v>-2.7350221909614447</v>
      </c>
      <c r="CL16" s="40">
        <f t="shared" si="12"/>
        <v>6.3379451270555442</v>
      </c>
      <c r="CM16" s="40">
        <f t="shared" si="12"/>
        <v>1.0273502219229069</v>
      </c>
      <c r="CN16" s="40">
        <f t="shared" si="12"/>
        <v>-1.8897291373605185</v>
      </c>
      <c r="CO16" s="40">
        <f t="shared" si="12"/>
        <v>4.5253615858849017</v>
      </c>
      <c r="CP16" s="40">
        <f t="shared" si="12"/>
        <v>0.31889729137879463</v>
      </c>
      <c r="CQ16" s="40">
        <f t="shared" si="12"/>
        <v>-2.8322418708626174</v>
      </c>
      <c r="CR16" s="40">
        <f t="shared" si="12"/>
        <v>4.4168627160972029</v>
      </c>
      <c r="CS16" s="40">
        <f t="shared" si="12"/>
        <v>0.62832241871779715</v>
      </c>
      <c r="CT16" s="40">
        <f t="shared" si="12"/>
        <v>-2.3986646198466133</v>
      </c>
      <c r="CU16" s="40">
        <f t="shared" si="12"/>
        <v>-1.0082657495592839</v>
      </c>
      <c r="CV16" s="40">
        <f t="shared" si="12"/>
        <v>-4.6760133538077397</v>
      </c>
      <c r="CW16" s="40">
        <f t="shared" si="12"/>
        <v>-1.3659418723648287</v>
      </c>
      <c r="CX16" s="40">
        <f t="shared" si="12"/>
        <v>-2.5127959486628271</v>
      </c>
      <c r="CY16" s="40">
        <f t="shared" si="12"/>
        <v>-0.58634058127315924</v>
      </c>
      <c r="CZ16" s="40">
        <f t="shared" si="12"/>
        <v>-1.9040277355202306</v>
      </c>
      <c r="DA16" s="40">
        <f t="shared" si="12"/>
        <v>-4.1981584299932706</v>
      </c>
      <c r="DB16" s="40">
        <f t="shared" si="12"/>
        <v>0.41904027735450988</v>
      </c>
      <c r="DC16" s="40">
        <f t="shared" si="12"/>
        <v>-2.417774727973665</v>
      </c>
      <c r="DD16" s="40">
        <f t="shared" si="12"/>
        <v>-4.9894261692520203</v>
      </c>
      <c r="DE16" s="40">
        <f t="shared" si="12"/>
        <v>2.2241777472744584</v>
      </c>
    </row>
    <row r="17" spans="1:109" ht="29.25" customHeight="1" x14ac:dyDescent="0.2">
      <c r="A17" s="34">
        <v>43641</v>
      </c>
      <c r="B17" s="27">
        <f t="shared" si="13"/>
        <v>42</v>
      </c>
      <c r="C17" s="35">
        <v>182.12</v>
      </c>
      <c r="D17" s="35">
        <f t="shared" si="0"/>
        <v>12.920000000000016</v>
      </c>
      <c r="E17" s="36">
        <v>823219.58100000001</v>
      </c>
      <c r="F17" s="36">
        <v>1091508.602</v>
      </c>
      <c r="G17" s="36">
        <v>-125.01</v>
      </c>
      <c r="H17" s="36">
        <v>823219.24899999995</v>
      </c>
      <c r="I17" s="36">
        <v>1091508.9310000001</v>
      </c>
      <c r="J17" s="36">
        <v>-123.024</v>
      </c>
      <c r="K17" s="36">
        <v>823219.63899999997</v>
      </c>
      <c r="L17" s="36">
        <v>1091508.0419999999</v>
      </c>
      <c r="M17" s="36">
        <v>-120.88200000000001</v>
      </c>
      <c r="N17" s="36">
        <v>823220.89300000004</v>
      </c>
      <c r="O17" s="36">
        <v>1091504.8160000001</v>
      </c>
      <c r="P17" s="36">
        <v>-119.50700000000001</v>
      </c>
      <c r="Q17" s="36">
        <v>823222.37399999995</v>
      </c>
      <c r="R17" s="36">
        <v>1091502.2069999999</v>
      </c>
      <c r="S17" s="36">
        <v>-120.869</v>
      </c>
      <c r="T17" s="36">
        <v>823222.78399999999</v>
      </c>
      <c r="U17" s="36">
        <v>1091501.308</v>
      </c>
      <c r="V17" s="36">
        <v>-123.017</v>
      </c>
      <c r="W17" s="36">
        <v>823222.70400000003</v>
      </c>
      <c r="X17" s="36">
        <v>1091501.632</v>
      </c>
      <c r="Y17" s="36">
        <v>-124.937</v>
      </c>
      <c r="Z17" s="36">
        <f t="shared" si="1"/>
        <v>6.8072130126016992</v>
      </c>
      <c r="AA17" s="36">
        <f t="shared" si="2"/>
        <v>5.6573182693049162</v>
      </c>
      <c r="AB17" s="36">
        <f t="shared" si="3"/>
        <v>3.7242740230598677</v>
      </c>
      <c r="AC17" s="36">
        <f t="shared" si="4"/>
        <v>3.2947361048549628</v>
      </c>
      <c r="AD17" s="36">
        <f t="shared" si="5"/>
        <v>5.3105597634170847</v>
      </c>
      <c r="AE17" s="36">
        <f t="shared" si="6"/>
        <v>6.5499982443316274</v>
      </c>
      <c r="AF17" s="36">
        <f t="shared" si="7"/>
        <v>6.4441926569190064</v>
      </c>
      <c r="AG17" s="36">
        <f t="shared" si="8"/>
        <v>8.4027616295079977</v>
      </c>
      <c r="AH17" s="36">
        <f t="shared" si="9"/>
        <v>7.6380205550747453</v>
      </c>
      <c r="AI17" s="40">
        <f t="shared" si="10"/>
        <v>-9.7382832239913952</v>
      </c>
      <c r="AJ17" s="40">
        <f t="shared" si="10"/>
        <v>-9.0532751167371472</v>
      </c>
      <c r="AK17" s="40">
        <f t="shared" si="10"/>
        <v>-8.2512493754656191</v>
      </c>
      <c r="AL17" s="40">
        <f t="shared" si="10"/>
        <v>-2.9526523798040216</v>
      </c>
      <c r="AM17" s="40">
        <f t="shared" si="10"/>
        <v>-6.7063038413426312</v>
      </c>
      <c r="AN17" s="40">
        <f t="shared" si="10"/>
        <v>-8.007005682960866</v>
      </c>
      <c r="AO17" s="40">
        <f t="shared" si="10"/>
        <v>-7.4109738000407432</v>
      </c>
      <c r="AP17" s="40">
        <f t="shared" si="10"/>
        <v>-9.6298324379908706</v>
      </c>
      <c r="AQ17" s="40">
        <f t="shared" si="10"/>
        <v>-9.9976096394769343</v>
      </c>
      <c r="AR17" s="37"/>
      <c r="AS17" s="40">
        <f t="shared" si="11"/>
        <v>-1.7999999690800905</v>
      </c>
      <c r="AT17" s="40">
        <f t="shared" si="11"/>
        <v>-5.8999999891966581</v>
      </c>
      <c r="AU17" s="40">
        <f t="shared" si="11"/>
        <v>0</v>
      </c>
      <c r="AV17" s="40">
        <f t="shared" si="11"/>
        <v>-0.80000003799796104</v>
      </c>
      <c r="AW17" s="40">
        <f t="shared" si="11"/>
        <v>-4.899999825283885</v>
      </c>
      <c r="AX17" s="40">
        <f t="shared" si="11"/>
        <v>-0.69999999999481588</v>
      </c>
      <c r="AY17" s="40">
        <f t="shared" si="11"/>
        <v>-2.7000000700354576</v>
      </c>
      <c r="AZ17" s="40">
        <f t="shared" si="11"/>
        <v>-5.2000000141561031</v>
      </c>
      <c r="BA17" s="40">
        <f t="shared" si="11"/>
        <v>-0.39999999999906777</v>
      </c>
      <c r="BB17" s="40">
        <f t="shared" si="11"/>
        <v>-4.5999999856576324</v>
      </c>
      <c r="BC17" s="40">
        <f t="shared" si="11"/>
        <v>0.90000010095536709</v>
      </c>
      <c r="BD17" s="40">
        <f t="shared" si="11"/>
        <v>-6.7000000000092541</v>
      </c>
      <c r="BE17" s="40">
        <f t="shared" si="11"/>
        <v>-3.3000000985339284</v>
      </c>
      <c r="BF17" s="40">
        <f t="shared" si="11"/>
        <v>2.699999837204814</v>
      </c>
      <c r="BG17" s="40">
        <f t="shared" si="11"/>
        <v>-1.5999999999962711</v>
      </c>
      <c r="BH17" s="40">
        <f t="shared" si="11"/>
        <v>-4.5000000391155481</v>
      </c>
      <c r="BI17" s="40">
        <f t="shared" si="11"/>
        <v>3.9999999571591616</v>
      </c>
      <c r="BJ17" s="40">
        <f t="shared" si="11"/>
        <v>0.39999999999906777</v>
      </c>
      <c r="BK17" s="40">
        <f t="shared" si="11"/>
        <v>-5.2999999606981874</v>
      </c>
      <c r="BL17" s="40">
        <f t="shared" si="11"/>
        <v>3.499999875202775</v>
      </c>
      <c r="BM17" s="40">
        <f t="shared" si="11"/>
        <v>1.1999999999972033</v>
      </c>
      <c r="BN17" s="37"/>
      <c r="BO17" s="36">
        <v>169.37093060000001</v>
      </c>
      <c r="BP17" s="36">
        <v>-3.769265893</v>
      </c>
      <c r="BQ17" s="36">
        <v>-1.1608293059999999</v>
      </c>
      <c r="BR17" s="36">
        <v>169.20909420000001</v>
      </c>
      <c r="BS17" s="36">
        <v>-4.2077564440000002</v>
      </c>
      <c r="BT17" s="36">
        <v>0.82678905800000002</v>
      </c>
      <c r="BU17" s="36">
        <v>169.18681050000001</v>
      </c>
      <c r="BV17" s="36">
        <v>-3.2372285289999998</v>
      </c>
      <c r="BW17" s="36">
        <v>2.969011895</v>
      </c>
      <c r="BX17" s="36">
        <v>168.95982530000001</v>
      </c>
      <c r="BY17" s="36">
        <v>0.21647524300000001</v>
      </c>
      <c r="BZ17" s="36">
        <v>4.3462817469999999</v>
      </c>
      <c r="CA17" s="36">
        <v>169.19934470000001</v>
      </c>
      <c r="CB17" s="36">
        <v>3.206938826</v>
      </c>
      <c r="CC17" s="36">
        <v>2.9818865529999998</v>
      </c>
      <c r="CD17" s="36">
        <v>169.1909603</v>
      </c>
      <c r="CE17" s="36">
        <v>4.1949827019999999</v>
      </c>
      <c r="CF17" s="36">
        <v>0.83397039699999997</v>
      </c>
      <c r="CG17" s="36">
        <v>169.25539620000001</v>
      </c>
      <c r="CH17" s="36">
        <v>3.867531917</v>
      </c>
      <c r="CI17" s="36">
        <v>-1.0866739620000001</v>
      </c>
      <c r="CJ17" s="37"/>
      <c r="CK17" s="40">
        <f t="shared" si="12"/>
        <v>-4.1250221909479023</v>
      </c>
      <c r="CL17" s="40">
        <f t="shared" si="12"/>
        <v>4.5863491270554668</v>
      </c>
      <c r="CM17" s="40">
        <f t="shared" si="12"/>
        <v>4.1250221922917163E-2</v>
      </c>
      <c r="CN17" s="40">
        <f t="shared" si="12"/>
        <v>-2.7960291373574364</v>
      </c>
      <c r="CO17" s="40">
        <f t="shared" si="12"/>
        <v>4.1027095858847673</v>
      </c>
      <c r="CP17" s="40">
        <f t="shared" si="12"/>
        <v>-0.6720397086211749</v>
      </c>
      <c r="CQ17" s="40">
        <f t="shared" si="12"/>
        <v>-4.64474187086239</v>
      </c>
      <c r="CR17" s="40">
        <f t="shared" si="12"/>
        <v>3.5715577160972956</v>
      </c>
      <c r="CS17" s="40">
        <f t="shared" si="12"/>
        <v>-0.35355258128211275</v>
      </c>
      <c r="CT17" s="40">
        <f t="shared" si="12"/>
        <v>-3.7885646198390077</v>
      </c>
      <c r="CU17" s="40">
        <f t="shared" si="12"/>
        <v>-2.7598617495592781</v>
      </c>
      <c r="CV17" s="40">
        <f t="shared" si="12"/>
        <v>-6.6621143538077021</v>
      </c>
      <c r="CW17" s="40">
        <f t="shared" si="12"/>
        <v>-1.8496418723543684</v>
      </c>
      <c r="CX17" s="40">
        <f t="shared" si="12"/>
        <v>-3.8417399486627701</v>
      </c>
      <c r="CY17" s="40">
        <f t="shared" si="12"/>
        <v>-1.5815035812734024</v>
      </c>
      <c r="CZ17" s="40">
        <f t="shared" si="12"/>
        <v>-2.3877277355097704</v>
      </c>
      <c r="DA17" s="40">
        <f t="shared" si="12"/>
        <v>-5.5271024299932137</v>
      </c>
      <c r="DB17" s="40">
        <f t="shared" si="12"/>
        <v>0.42387727735448966</v>
      </c>
      <c r="DC17" s="40">
        <f t="shared" si="12"/>
        <v>-3.3240747279705829</v>
      </c>
      <c r="DD17" s="40">
        <f t="shared" si="12"/>
        <v>-5.4120781692521547</v>
      </c>
      <c r="DE17" s="40">
        <f t="shared" si="12"/>
        <v>1.2332407472743778</v>
      </c>
    </row>
    <row r="18" spans="1:109" ht="29.25" customHeight="1" x14ac:dyDescent="0.2">
      <c r="A18" s="34">
        <v>43643</v>
      </c>
      <c r="B18" s="27">
        <f t="shared" si="13"/>
        <v>44</v>
      </c>
      <c r="C18" s="35">
        <v>183.33</v>
      </c>
      <c r="D18" s="35">
        <f t="shared" si="0"/>
        <v>14.130000000000024</v>
      </c>
      <c r="E18" s="36">
        <v>823219.58100000001</v>
      </c>
      <c r="F18" s="36">
        <v>1091508.601</v>
      </c>
      <c r="G18" s="36">
        <v>-125.01</v>
      </c>
      <c r="H18" s="36">
        <v>823219.24800000002</v>
      </c>
      <c r="I18" s="36">
        <v>1091508.9310000001</v>
      </c>
      <c r="J18" s="36">
        <v>-123.023</v>
      </c>
      <c r="K18" s="36">
        <v>823219.63899999997</v>
      </c>
      <c r="L18" s="36">
        <v>1091508.041</v>
      </c>
      <c r="M18" s="36">
        <v>-120.88200000000001</v>
      </c>
      <c r="N18" s="36">
        <v>823220.89300000004</v>
      </c>
      <c r="O18" s="36">
        <v>1091504.8149999999</v>
      </c>
      <c r="P18" s="36">
        <v>-119.50700000000001</v>
      </c>
      <c r="Q18" s="36">
        <v>823222.37399999995</v>
      </c>
      <c r="R18" s="36">
        <v>1091502.2069999999</v>
      </c>
      <c r="S18" s="36">
        <v>-120.869</v>
      </c>
      <c r="T18" s="36">
        <v>823222.78399999999</v>
      </c>
      <c r="U18" s="36">
        <v>1091501.307</v>
      </c>
      <c r="V18" s="36">
        <v>-123.018</v>
      </c>
      <c r="W18" s="36">
        <v>823222.70400000003</v>
      </c>
      <c r="X18" s="36">
        <v>1091501.632</v>
      </c>
      <c r="Y18" s="36">
        <v>-124.937</v>
      </c>
      <c r="Z18" s="36">
        <f t="shared" si="1"/>
        <v>6.8072130127311929</v>
      </c>
      <c r="AA18" s="36">
        <f t="shared" si="2"/>
        <v>5.6577148214923207</v>
      </c>
      <c r="AB18" s="36">
        <f t="shared" si="3"/>
        <v>3.7242740232615477</v>
      </c>
      <c r="AC18" s="36">
        <f t="shared" si="4"/>
        <v>3.2939442921487823</v>
      </c>
      <c r="AD18" s="36">
        <f t="shared" si="5"/>
        <v>5.3112207635524822</v>
      </c>
      <c r="AE18" s="36">
        <f t="shared" si="6"/>
        <v>6.5495121955534739</v>
      </c>
      <c r="AF18" s="36">
        <f t="shared" si="7"/>
        <v>6.4432872045480831</v>
      </c>
      <c r="AG18" s="36">
        <f t="shared" si="8"/>
        <v>8.4040881123887559</v>
      </c>
      <c r="AH18" s="36">
        <f t="shared" si="9"/>
        <v>7.6371080259941948</v>
      </c>
      <c r="AI18" s="40">
        <f t="shared" si="10"/>
        <v>-9.7382830944976462</v>
      </c>
      <c r="AJ18" s="40">
        <f t="shared" si="10"/>
        <v>-8.6567229293326164</v>
      </c>
      <c r="AK18" s="40">
        <f t="shared" si="10"/>
        <v>-8.2512491737856131</v>
      </c>
      <c r="AL18" s="40">
        <f t="shared" si="10"/>
        <v>-3.7444650859845829</v>
      </c>
      <c r="AM18" s="40">
        <f t="shared" si="10"/>
        <v>-6.0453037059451376</v>
      </c>
      <c r="AN18" s="40">
        <f t="shared" si="10"/>
        <v>-8.4930544611143688</v>
      </c>
      <c r="AO18" s="40">
        <f t="shared" si="10"/>
        <v>-8.3164261709640641</v>
      </c>
      <c r="AP18" s="40">
        <f t="shared" si="10"/>
        <v>-8.3033495572326643</v>
      </c>
      <c r="AQ18" s="40">
        <f t="shared" si="10"/>
        <v>-10.91013872002744</v>
      </c>
      <c r="AR18" s="37"/>
      <c r="AS18" s="40">
        <f t="shared" si="11"/>
        <v>-1.7999999690800905</v>
      </c>
      <c r="AT18" s="40">
        <f t="shared" si="11"/>
        <v>-6.8999999202787876</v>
      </c>
      <c r="AU18" s="40">
        <f t="shared" si="11"/>
        <v>0</v>
      </c>
      <c r="AV18" s="40">
        <f t="shared" si="11"/>
        <v>-1.7999999690800905</v>
      </c>
      <c r="AW18" s="40">
        <f t="shared" si="11"/>
        <v>-4.899999825283885</v>
      </c>
      <c r="AX18" s="40">
        <f t="shared" si="11"/>
        <v>0.30000000000995897</v>
      </c>
      <c r="AY18" s="40">
        <f t="shared" si="11"/>
        <v>-2.7000000700354576</v>
      </c>
      <c r="AZ18" s="40">
        <f t="shared" si="11"/>
        <v>-6.1999999452382326</v>
      </c>
      <c r="BA18" s="40">
        <f t="shared" si="11"/>
        <v>-0.39999999999906777</v>
      </c>
      <c r="BB18" s="40">
        <f t="shared" si="11"/>
        <v>-4.5999999856576324</v>
      </c>
      <c r="BC18" s="40">
        <f t="shared" si="11"/>
        <v>-0.10000006295740604</v>
      </c>
      <c r="BD18" s="40">
        <f t="shared" si="11"/>
        <v>-6.7000000000092541</v>
      </c>
      <c r="BE18" s="40">
        <f t="shared" si="11"/>
        <v>-3.3000000985339284</v>
      </c>
      <c r="BF18" s="40">
        <f t="shared" si="11"/>
        <v>2.699999837204814</v>
      </c>
      <c r="BG18" s="40">
        <f t="shared" si="11"/>
        <v>-1.5999999999962711</v>
      </c>
      <c r="BH18" s="40">
        <f t="shared" si="11"/>
        <v>-4.5000000391155481</v>
      </c>
      <c r="BI18" s="40">
        <f t="shared" si="11"/>
        <v>3.0000000260770321</v>
      </c>
      <c r="BJ18" s="40">
        <f t="shared" si="11"/>
        <v>-0.60000000000570708</v>
      </c>
      <c r="BK18" s="40">
        <f t="shared" si="11"/>
        <v>-5.2999999606981874</v>
      </c>
      <c r="BL18" s="40">
        <f t="shared" si="11"/>
        <v>3.499999875202775</v>
      </c>
      <c r="BM18" s="40">
        <f t="shared" si="11"/>
        <v>1.1999999999972033</v>
      </c>
      <c r="BN18" s="37"/>
      <c r="BO18" s="36">
        <v>169.370508</v>
      </c>
      <c r="BP18" s="36">
        <v>-3.7683596009999998</v>
      </c>
      <c r="BQ18" s="36">
        <v>-1.16082508</v>
      </c>
      <c r="BR18" s="36">
        <v>169.20818790000001</v>
      </c>
      <c r="BS18" s="36">
        <v>-4.2081790960000003</v>
      </c>
      <c r="BT18" s="36">
        <v>0.82779812100000005</v>
      </c>
      <c r="BU18" s="36">
        <v>169.18638780000001</v>
      </c>
      <c r="BV18" s="36">
        <v>-3.236322237</v>
      </c>
      <c r="BW18" s="36">
        <v>2.9690161220000002</v>
      </c>
      <c r="BX18" s="36">
        <v>168.9594027</v>
      </c>
      <c r="BY18" s="36">
        <v>0.21738153499999999</v>
      </c>
      <c r="BZ18" s="36">
        <v>4.3462859729999996</v>
      </c>
      <c r="CA18" s="36">
        <v>169.19934470000001</v>
      </c>
      <c r="CB18" s="36">
        <v>3.206938826</v>
      </c>
      <c r="CC18" s="36">
        <v>2.9818865529999998</v>
      </c>
      <c r="CD18" s="36">
        <v>169.19053769999999</v>
      </c>
      <c r="CE18" s="36">
        <v>4.1958889939999997</v>
      </c>
      <c r="CF18" s="36">
        <v>0.83297462300000003</v>
      </c>
      <c r="CG18" s="36">
        <v>169.25539620000001</v>
      </c>
      <c r="CH18" s="36">
        <v>3.867531917</v>
      </c>
      <c r="CI18" s="36">
        <v>-1.0866739620000001</v>
      </c>
      <c r="CJ18" s="37"/>
      <c r="CK18" s="40">
        <f t="shared" si="12"/>
        <v>-4.5476221909552805</v>
      </c>
      <c r="CL18" s="40">
        <f t="shared" si="12"/>
        <v>5.4926411270557196</v>
      </c>
      <c r="CM18" s="40">
        <f t="shared" si="12"/>
        <v>4.5476221922857718E-2</v>
      </c>
      <c r="CN18" s="40">
        <f t="shared" si="12"/>
        <v>-3.7023291373543543</v>
      </c>
      <c r="CO18" s="40">
        <f t="shared" si="12"/>
        <v>3.6800575858846329</v>
      </c>
      <c r="CP18" s="40">
        <f t="shared" si="12"/>
        <v>0.33702329137885734</v>
      </c>
      <c r="CQ18" s="40">
        <f t="shared" si="12"/>
        <v>-5.0674418708638314</v>
      </c>
      <c r="CR18" s="40">
        <f t="shared" si="12"/>
        <v>4.4778497160971042</v>
      </c>
      <c r="CS18" s="40">
        <f t="shared" si="12"/>
        <v>-0.34932558128186741</v>
      </c>
      <c r="CT18" s="40">
        <f t="shared" si="12"/>
        <v>-4.2111646198463859</v>
      </c>
      <c r="CU18" s="40">
        <f t="shared" si="12"/>
        <v>-1.8535697495593029</v>
      </c>
      <c r="CV18" s="40">
        <f t="shared" si="12"/>
        <v>-6.6578883538079836</v>
      </c>
      <c r="CW18" s="40">
        <f t="shared" si="12"/>
        <v>-1.8496418723543684</v>
      </c>
      <c r="CX18" s="40">
        <f t="shared" si="12"/>
        <v>-3.8417399486627701</v>
      </c>
      <c r="CY18" s="40">
        <f t="shared" si="12"/>
        <v>-1.5815035812734024</v>
      </c>
      <c r="CZ18" s="40">
        <f t="shared" si="12"/>
        <v>-2.8103277355171485</v>
      </c>
      <c r="DA18" s="40">
        <f t="shared" si="12"/>
        <v>-4.620810429993405</v>
      </c>
      <c r="DB18" s="40">
        <f t="shared" si="12"/>
        <v>-0.57189672264545965</v>
      </c>
      <c r="DC18" s="40">
        <f t="shared" si="12"/>
        <v>-3.3240747279705829</v>
      </c>
      <c r="DD18" s="40">
        <f t="shared" si="12"/>
        <v>-5.4120781692521547</v>
      </c>
      <c r="DE18" s="40">
        <f t="shared" si="12"/>
        <v>1.2332407472743778</v>
      </c>
    </row>
    <row r="19" spans="1:109" ht="29.25" customHeight="1" x14ac:dyDescent="0.2">
      <c r="A19" s="34">
        <v>43647</v>
      </c>
      <c r="B19" s="27">
        <f t="shared" si="13"/>
        <v>48</v>
      </c>
      <c r="C19" s="35">
        <v>184.2</v>
      </c>
      <c r="D19" s="35">
        <f t="shared" si="0"/>
        <v>15</v>
      </c>
      <c r="E19" s="36">
        <v>823219.58050000004</v>
      </c>
      <c r="F19" s="36">
        <v>1091508.601</v>
      </c>
      <c r="G19" s="36">
        <v>-125.0097</v>
      </c>
      <c r="H19" s="36">
        <v>823219.24780000001</v>
      </c>
      <c r="I19" s="36">
        <v>1091508.93</v>
      </c>
      <c r="J19" s="36">
        <v>-123.0235</v>
      </c>
      <c r="K19" s="36">
        <v>823219.63870000001</v>
      </c>
      <c r="L19" s="36">
        <v>1091508.041</v>
      </c>
      <c r="M19" s="36">
        <v>-120.88200000000001</v>
      </c>
      <c r="N19" s="36">
        <v>823220.89229999995</v>
      </c>
      <c r="O19" s="36">
        <v>1091504.8160000001</v>
      </c>
      <c r="P19" s="36">
        <v>-119.508</v>
      </c>
      <c r="Q19" s="36">
        <v>823222.37300000002</v>
      </c>
      <c r="R19" s="36">
        <v>1091502.2069999999</v>
      </c>
      <c r="S19" s="36">
        <v>-120.86920000000001</v>
      </c>
      <c r="T19" s="36">
        <v>823222.78359999997</v>
      </c>
      <c r="U19" s="36">
        <v>1091501.308</v>
      </c>
      <c r="V19" s="36">
        <v>-123.01739999999999</v>
      </c>
      <c r="W19" s="36">
        <v>823222.7034</v>
      </c>
      <c r="X19" s="36">
        <v>1091501.6329999999</v>
      </c>
      <c r="Y19" s="36">
        <v>-124.93689999999999</v>
      </c>
      <c r="Z19" s="36">
        <f t="shared" si="1"/>
        <v>6.8055673627645135</v>
      </c>
      <c r="AA19" s="36">
        <f t="shared" si="2"/>
        <v>5.655803788885045</v>
      </c>
      <c r="AB19" s="36">
        <f t="shared" si="3"/>
        <v>3.7229039685363796</v>
      </c>
      <c r="AC19" s="36">
        <f t="shared" si="4"/>
        <v>3.2942706220208868</v>
      </c>
      <c r="AD19" s="36">
        <f t="shared" si="5"/>
        <v>5.3102700544415464</v>
      </c>
      <c r="AE19" s="36">
        <f t="shared" si="6"/>
        <v>6.5486279037225801</v>
      </c>
      <c r="AF19" s="36">
        <f t="shared" si="7"/>
        <v>6.4429897043553908</v>
      </c>
      <c r="AG19" s="36">
        <f t="shared" si="8"/>
        <v>8.4021903602143215</v>
      </c>
      <c r="AH19" s="36">
        <f t="shared" si="9"/>
        <v>7.6361527126735806</v>
      </c>
      <c r="AI19" s="40">
        <f t="shared" si="10"/>
        <v>-11.383933061177132</v>
      </c>
      <c r="AJ19" s="40">
        <f t="shared" si="10"/>
        <v>-10.567755536608381</v>
      </c>
      <c r="AK19" s="40">
        <f t="shared" si="10"/>
        <v>-9.6213038989536592</v>
      </c>
      <c r="AL19" s="40">
        <f t="shared" si="10"/>
        <v>-3.4181352138800136</v>
      </c>
      <c r="AM19" s="40">
        <f t="shared" si="10"/>
        <v>-6.9960128168808922</v>
      </c>
      <c r="AN19" s="40">
        <f t="shared" si="10"/>
        <v>-9.3773462920081485</v>
      </c>
      <c r="AO19" s="40">
        <f t="shared" si="10"/>
        <v>-8.6139263636564323</v>
      </c>
      <c r="AP19" s="40">
        <f t="shared" si="10"/>
        <v>-10.201101731666995</v>
      </c>
      <c r="AQ19" s="40">
        <f t="shared" si="10"/>
        <v>-11.8654520406416</v>
      </c>
      <c r="AR19" s="37"/>
      <c r="AS19" s="40">
        <f t="shared" si="11"/>
        <v>-2.2999999346211553</v>
      </c>
      <c r="AT19" s="40">
        <f t="shared" si="11"/>
        <v>-6.8999999202787876</v>
      </c>
      <c r="AU19" s="40">
        <f t="shared" si="11"/>
        <v>0.30000000000995897</v>
      </c>
      <c r="AV19" s="40">
        <f t="shared" si="11"/>
        <v>-1.9999999785795808</v>
      </c>
      <c r="AW19" s="40">
        <f t="shared" si="11"/>
        <v>-5.8999999891966581</v>
      </c>
      <c r="AX19" s="40">
        <f t="shared" si="11"/>
        <v>-0.19999999999242846</v>
      </c>
      <c r="AY19" s="40">
        <f t="shared" si="11"/>
        <v>-3.0000000260770321</v>
      </c>
      <c r="AZ19" s="40">
        <f t="shared" si="11"/>
        <v>-6.1999999452382326</v>
      </c>
      <c r="BA19" s="40">
        <f t="shared" si="11"/>
        <v>-0.39999999999906777</v>
      </c>
      <c r="BB19" s="40">
        <f t="shared" si="11"/>
        <v>-5.3000000771135092</v>
      </c>
      <c r="BC19" s="40">
        <f t="shared" si="11"/>
        <v>0.90000010095536709</v>
      </c>
      <c r="BD19" s="40">
        <f t="shared" si="11"/>
        <v>-7.6999999999998181</v>
      </c>
      <c r="BE19" s="40">
        <f t="shared" si="11"/>
        <v>-4.3000000296160579</v>
      </c>
      <c r="BF19" s="40">
        <f t="shared" si="11"/>
        <v>2.699999837204814</v>
      </c>
      <c r="BG19" s="40">
        <f t="shared" si="11"/>
        <v>-1.8000000000029104</v>
      </c>
      <c r="BH19" s="40">
        <f t="shared" si="11"/>
        <v>-4.9000000581145287</v>
      </c>
      <c r="BI19" s="40">
        <f t="shared" si="11"/>
        <v>3.9999999571591616</v>
      </c>
      <c r="BJ19" s="40">
        <f t="shared" si="11"/>
        <v>0</v>
      </c>
      <c r="BK19" s="40">
        <f t="shared" si="11"/>
        <v>-5.8999999891966581</v>
      </c>
      <c r="BL19" s="40">
        <f t="shared" si="11"/>
        <v>4.4999998062849045</v>
      </c>
      <c r="BM19" s="40">
        <f t="shared" si="11"/>
        <v>1.300000000000523</v>
      </c>
      <c r="BN19" s="37"/>
      <c r="BO19" s="36">
        <v>169.37009710000001</v>
      </c>
      <c r="BP19" s="36">
        <v>-3.7686615560000001</v>
      </c>
      <c r="BQ19" s="36">
        <v>-1.160520971</v>
      </c>
      <c r="BR19" s="36">
        <v>169.20766850000001</v>
      </c>
      <c r="BS19" s="36">
        <v>-4.2075385929999998</v>
      </c>
      <c r="BT19" s="36">
        <v>0.82730331499999998</v>
      </c>
      <c r="BU19" s="36">
        <v>169.18615819999999</v>
      </c>
      <c r="BV19" s="36">
        <v>-3.2365396610000001</v>
      </c>
      <c r="BW19" s="36">
        <v>2.9690184180000001</v>
      </c>
      <c r="BX19" s="36">
        <v>168.9592332</v>
      </c>
      <c r="BY19" s="36">
        <v>0.21608875699999999</v>
      </c>
      <c r="BZ19" s="36">
        <v>4.3452876680000001</v>
      </c>
      <c r="CA19" s="36">
        <v>169.19860750000001</v>
      </c>
      <c r="CB19" s="36">
        <v>3.2061536570000002</v>
      </c>
      <c r="CC19" s="36">
        <v>2.9816939250000001</v>
      </c>
      <c r="CD19" s="36">
        <v>169.19072460000001</v>
      </c>
      <c r="CE19" s="36">
        <v>4.1945417540000003</v>
      </c>
      <c r="CF19" s="36">
        <v>0.83357275399999997</v>
      </c>
      <c r="CG19" s="36">
        <v>169.25527510000001</v>
      </c>
      <c r="CH19" s="36">
        <v>3.8663720339999998</v>
      </c>
      <c r="CI19" s="36">
        <v>-1.0865727510000001</v>
      </c>
      <c r="CJ19" s="37"/>
      <c r="CK19" s="40">
        <f t="shared" si="12"/>
        <v>-4.9585221909467236</v>
      </c>
      <c r="CL19" s="40">
        <f t="shared" si="12"/>
        <v>5.1906861270554217</v>
      </c>
      <c r="CM19" s="40">
        <f t="shared" si="12"/>
        <v>0.34958522192285457</v>
      </c>
      <c r="CN19" s="40">
        <f t="shared" si="12"/>
        <v>-4.2217291373560784</v>
      </c>
      <c r="CO19" s="40">
        <f t="shared" si="12"/>
        <v>4.320560585885147</v>
      </c>
      <c r="CP19" s="40">
        <f t="shared" si="12"/>
        <v>-0.15778270862121246</v>
      </c>
      <c r="CQ19" s="40">
        <f t="shared" si="12"/>
        <v>-5.2970418708753186</v>
      </c>
      <c r="CR19" s="40">
        <f t="shared" si="12"/>
        <v>4.2604257160969716</v>
      </c>
      <c r="CS19" s="40">
        <f t="shared" si="12"/>
        <v>-0.3470295812819657</v>
      </c>
      <c r="CT19" s="40">
        <f t="shared" si="12"/>
        <v>-4.3806646198447652</v>
      </c>
      <c r="CU19" s="40">
        <f t="shared" si="12"/>
        <v>-3.1463477495592973</v>
      </c>
      <c r="CV19" s="40">
        <f t="shared" si="12"/>
        <v>-7.6561933538075166</v>
      </c>
      <c r="CW19" s="40">
        <f t="shared" si="12"/>
        <v>-2.5868418723575815</v>
      </c>
      <c r="CX19" s="40">
        <f t="shared" si="12"/>
        <v>-4.6269089486625781</v>
      </c>
      <c r="CY19" s="40">
        <f t="shared" si="12"/>
        <v>-1.7741315812731528</v>
      </c>
      <c r="CZ19" s="40">
        <f t="shared" si="12"/>
        <v>-2.6234277355001723</v>
      </c>
      <c r="DA19" s="40">
        <f t="shared" si="12"/>
        <v>-5.9680504299928216</v>
      </c>
      <c r="DB19" s="40">
        <f t="shared" si="12"/>
        <v>2.6234277354486579E-2</v>
      </c>
      <c r="DC19" s="40">
        <f t="shared" si="12"/>
        <v>-3.4451747279717893</v>
      </c>
      <c r="DD19" s="40">
        <f t="shared" si="12"/>
        <v>-6.5719611692522939</v>
      </c>
      <c r="DE19" s="40">
        <f t="shared" si="12"/>
        <v>1.3344517472744233</v>
      </c>
    </row>
    <row r="20" spans="1:109" ht="29.25" customHeight="1" x14ac:dyDescent="0.2">
      <c r="A20" s="34">
        <v>43649</v>
      </c>
      <c r="B20" s="27">
        <f t="shared" si="13"/>
        <v>50</v>
      </c>
      <c r="C20" s="35">
        <v>184.2</v>
      </c>
      <c r="D20" s="35">
        <f t="shared" si="0"/>
        <v>15</v>
      </c>
      <c r="E20" s="36">
        <v>823219.58100000001</v>
      </c>
      <c r="F20" s="36">
        <v>1091508.602</v>
      </c>
      <c r="G20" s="36">
        <v>-125.00920000000001</v>
      </c>
      <c r="H20" s="36">
        <v>823219.24840000004</v>
      </c>
      <c r="I20" s="36">
        <v>1091508.9310000001</v>
      </c>
      <c r="J20" s="36">
        <v>-123.0227</v>
      </c>
      <c r="K20" s="36">
        <v>823219.63890000002</v>
      </c>
      <c r="L20" s="36">
        <v>1091508.0419999999</v>
      </c>
      <c r="M20" s="36">
        <v>-120.8807</v>
      </c>
      <c r="N20" s="36">
        <v>823220.89300000004</v>
      </c>
      <c r="O20" s="36">
        <v>1091504.817</v>
      </c>
      <c r="P20" s="36">
        <v>-119.50700000000001</v>
      </c>
      <c r="Q20" s="36">
        <v>823222.37340000004</v>
      </c>
      <c r="R20" s="36">
        <v>1091502.2080000001</v>
      </c>
      <c r="S20" s="36">
        <v>-120.8685</v>
      </c>
      <c r="T20" s="36">
        <v>823222.78390000004</v>
      </c>
      <c r="U20" s="36">
        <v>1091501.308</v>
      </c>
      <c r="V20" s="36">
        <v>-123.0168</v>
      </c>
      <c r="W20" s="36">
        <v>823222.70380000002</v>
      </c>
      <c r="X20" s="36">
        <v>1091501.6329999999</v>
      </c>
      <c r="Y20" s="36">
        <v>-124.9366</v>
      </c>
      <c r="Z20" s="36">
        <f t="shared" si="1"/>
        <v>6.806010126311592</v>
      </c>
      <c r="AA20" s="36">
        <f t="shared" si="2"/>
        <v>5.6559571825190798</v>
      </c>
      <c r="AB20" s="36">
        <f t="shared" si="3"/>
        <v>3.7229616569539634</v>
      </c>
      <c r="AC20" s="36">
        <f t="shared" si="4"/>
        <v>3.2942597665758457</v>
      </c>
      <c r="AD20" s="36">
        <f t="shared" si="5"/>
        <v>5.3110526122929134</v>
      </c>
      <c r="AE20" s="36">
        <f t="shared" si="6"/>
        <v>6.5496113473024504</v>
      </c>
      <c r="AF20" s="36">
        <f t="shared" si="7"/>
        <v>6.4430734193989174</v>
      </c>
      <c r="AG20" s="36">
        <f t="shared" si="8"/>
        <v>8.4029711449039421</v>
      </c>
      <c r="AH20" s="36">
        <f t="shared" si="9"/>
        <v>7.6370224302829968</v>
      </c>
      <c r="AI20" s="40">
        <f t="shared" si="10"/>
        <v>-10.941169514098625</v>
      </c>
      <c r="AJ20" s="40">
        <f t="shared" si="10"/>
        <v>-10.41436190257361</v>
      </c>
      <c r="AK20" s="40">
        <f t="shared" si="10"/>
        <v>-9.5636154813698582</v>
      </c>
      <c r="AL20" s="40">
        <f t="shared" si="10"/>
        <v>-3.428990658921105</v>
      </c>
      <c r="AM20" s="40">
        <f t="shared" si="10"/>
        <v>-6.2134549655139537</v>
      </c>
      <c r="AN20" s="40">
        <f t="shared" si="10"/>
        <v>-8.3939027121378018</v>
      </c>
      <c r="AO20" s="40">
        <f t="shared" si="10"/>
        <v>-8.5302113201297658</v>
      </c>
      <c r="AP20" s="40">
        <f t="shared" si="10"/>
        <v>-9.4203170420463778</v>
      </c>
      <c r="AQ20" s="40">
        <f t="shared" si="10"/>
        <v>-10.995734431225479</v>
      </c>
      <c r="AR20" s="37"/>
      <c r="AS20" s="40">
        <f t="shared" si="11"/>
        <v>-1.7999999690800905</v>
      </c>
      <c r="AT20" s="40">
        <f t="shared" si="11"/>
        <v>-5.8999999891966581</v>
      </c>
      <c r="AU20" s="40">
        <f t="shared" si="11"/>
        <v>0.79999999999813554</v>
      </c>
      <c r="AV20" s="40">
        <f t="shared" si="11"/>
        <v>-1.39999995008111</v>
      </c>
      <c r="AW20" s="40">
        <f t="shared" si="11"/>
        <v>-4.899999825283885</v>
      </c>
      <c r="AX20" s="40">
        <f t="shared" si="11"/>
        <v>0.60000000000570708</v>
      </c>
      <c r="AY20" s="40">
        <f t="shared" si="11"/>
        <v>-2.8000000165775418</v>
      </c>
      <c r="AZ20" s="40">
        <f t="shared" si="11"/>
        <v>-5.2000000141561031</v>
      </c>
      <c r="BA20" s="40">
        <f t="shared" si="11"/>
        <v>0.90000000000145519</v>
      </c>
      <c r="BB20" s="40">
        <f t="shared" si="11"/>
        <v>-4.5999999856576324</v>
      </c>
      <c r="BC20" s="40">
        <f t="shared" si="11"/>
        <v>1.9000000320374966</v>
      </c>
      <c r="BD20" s="40">
        <f t="shared" si="11"/>
        <v>-6.7000000000092541</v>
      </c>
      <c r="BE20" s="40">
        <f t="shared" si="11"/>
        <v>-3.9000000106170774</v>
      </c>
      <c r="BF20" s="40">
        <f t="shared" si="11"/>
        <v>3.7000000011175871</v>
      </c>
      <c r="BG20" s="40">
        <f t="shared" si="11"/>
        <v>-1.0999999999938836</v>
      </c>
      <c r="BH20" s="40">
        <f t="shared" si="11"/>
        <v>-4.5999999856576324</v>
      </c>
      <c r="BI20" s="40">
        <f t="shared" si="11"/>
        <v>3.9999999571591616</v>
      </c>
      <c r="BJ20" s="40">
        <f t="shared" si="11"/>
        <v>0.59999999999149622</v>
      </c>
      <c r="BK20" s="40">
        <f t="shared" si="11"/>
        <v>-5.4999999701976776</v>
      </c>
      <c r="BL20" s="40">
        <f t="shared" si="11"/>
        <v>4.4999998062849045</v>
      </c>
      <c r="BM20" s="40">
        <f t="shared" si="11"/>
        <v>1.5999999999962711</v>
      </c>
      <c r="BN20" s="37"/>
      <c r="BO20" s="36">
        <v>169.37105740000001</v>
      </c>
      <c r="BP20" s="36">
        <v>-3.7695377799999998</v>
      </c>
      <c r="BQ20" s="36">
        <v>-1.1600305740000001</v>
      </c>
      <c r="BR20" s="36">
        <v>169.2087195</v>
      </c>
      <c r="BS20" s="36">
        <v>-4.2083725520000002</v>
      </c>
      <c r="BT20" s="36">
        <v>0.82809280500000004</v>
      </c>
      <c r="BU20" s="36">
        <v>169.18663530000001</v>
      </c>
      <c r="BV20" s="36">
        <v>-3.237089535</v>
      </c>
      <c r="BW20" s="36">
        <v>2.9703136469999998</v>
      </c>
      <c r="BX20" s="36">
        <v>168.96007890000001</v>
      </c>
      <c r="BY20" s="36">
        <v>0.21593146699999999</v>
      </c>
      <c r="BZ20" s="36">
        <v>4.3462792109999997</v>
      </c>
      <c r="CA20" s="36">
        <v>169.19905460000001</v>
      </c>
      <c r="CB20" s="36">
        <v>3.2061414589999999</v>
      </c>
      <c r="CC20" s="36">
        <v>2.9823894540000002</v>
      </c>
      <c r="CD20" s="36">
        <v>169.1910388</v>
      </c>
      <c r="CE20" s="36">
        <v>4.1945779200000004</v>
      </c>
      <c r="CF20" s="36">
        <v>0.83416961199999995</v>
      </c>
      <c r="CG20" s="36">
        <v>169.25572210000001</v>
      </c>
      <c r="CH20" s="36">
        <v>3.8663598370000001</v>
      </c>
      <c r="CI20" s="36">
        <v>-1.086277221</v>
      </c>
      <c r="CJ20" s="37"/>
      <c r="CK20" s="40">
        <f t="shared" si="12"/>
        <v>-3.9982221909440341</v>
      </c>
      <c r="CL20" s="40">
        <f t="shared" si="12"/>
        <v>4.3144621270556627</v>
      </c>
      <c r="CM20" s="40">
        <f t="shared" si="12"/>
        <v>0.83998222192271932</v>
      </c>
      <c r="CN20" s="40">
        <f t="shared" si="12"/>
        <v>-3.1707291373663793</v>
      </c>
      <c r="CO20" s="40">
        <f t="shared" si="12"/>
        <v>3.4866015858847632</v>
      </c>
      <c r="CP20" s="40">
        <f t="shared" si="12"/>
        <v>0.63170729137884685</v>
      </c>
      <c r="CQ20" s="40">
        <f t="shared" si="12"/>
        <v>-4.8199418708634312</v>
      </c>
      <c r="CR20" s="40">
        <f t="shared" si="12"/>
        <v>3.7105517160971324</v>
      </c>
      <c r="CS20" s="40">
        <f t="shared" si="12"/>
        <v>0.94819941871771007</v>
      </c>
      <c r="CT20" s="40">
        <f t="shared" si="12"/>
        <v>-3.5349646198312712</v>
      </c>
      <c r="CU20" s="40">
        <f t="shared" si="12"/>
        <v>-3.3036377495593019</v>
      </c>
      <c r="CV20" s="40">
        <f t="shared" si="12"/>
        <v>-6.6646503538079216</v>
      </c>
      <c r="CW20" s="40">
        <f t="shared" si="12"/>
        <v>-2.1397418723552164</v>
      </c>
      <c r="CX20" s="40">
        <f t="shared" si="12"/>
        <v>-4.6391069486628744</v>
      </c>
      <c r="CY20" s="40">
        <f t="shared" si="12"/>
        <v>-1.0786025812730138</v>
      </c>
      <c r="CZ20" s="40">
        <f t="shared" si="12"/>
        <v>-2.3092277355090118</v>
      </c>
      <c r="DA20" s="40">
        <f t="shared" si="12"/>
        <v>-5.9318844299927065</v>
      </c>
      <c r="DB20" s="40">
        <f t="shared" si="12"/>
        <v>0.62309227735446449</v>
      </c>
      <c r="DC20" s="40">
        <f t="shared" si="12"/>
        <v>-2.9981747279634874</v>
      </c>
      <c r="DD20" s="40">
        <f t="shared" si="12"/>
        <v>-6.5841581692520634</v>
      </c>
      <c r="DE20" s="40">
        <f t="shared" si="12"/>
        <v>1.6299817472744671</v>
      </c>
    </row>
    <row r="21" spans="1:109" ht="29.25" customHeight="1" x14ac:dyDescent="0.2">
      <c r="A21" s="34">
        <v>43650</v>
      </c>
      <c r="B21" s="27">
        <f t="shared" si="13"/>
        <v>51</v>
      </c>
      <c r="C21" s="35">
        <v>184.2</v>
      </c>
      <c r="D21" s="35">
        <f t="shared" si="0"/>
        <v>15</v>
      </c>
      <c r="E21" s="36">
        <v>823219.58100000001</v>
      </c>
      <c r="F21" s="36">
        <v>1091508.601</v>
      </c>
      <c r="G21" s="36">
        <v>-125.01</v>
      </c>
      <c r="H21" s="36">
        <v>823219.24800000002</v>
      </c>
      <c r="I21" s="36">
        <v>1091508.93</v>
      </c>
      <c r="J21" s="36">
        <v>-123.024</v>
      </c>
      <c r="K21" s="36">
        <v>823219.63899999997</v>
      </c>
      <c r="L21" s="36">
        <v>1091508.041</v>
      </c>
      <c r="M21" s="36">
        <v>-120.88200000000001</v>
      </c>
      <c r="N21" s="36">
        <v>823220.89300000004</v>
      </c>
      <c r="O21" s="36">
        <v>1091504.817</v>
      </c>
      <c r="P21" s="36">
        <v>-119.509</v>
      </c>
      <c r="Q21" s="36">
        <v>823222.37300000002</v>
      </c>
      <c r="R21" s="36">
        <v>1091502.2080000001</v>
      </c>
      <c r="S21" s="36">
        <v>-120.869</v>
      </c>
      <c r="T21" s="36">
        <v>823222.78399999999</v>
      </c>
      <c r="U21" s="36">
        <v>1091501.3089999999</v>
      </c>
      <c r="V21" s="36">
        <v>-123.017</v>
      </c>
      <c r="W21" s="36">
        <v>823222.70400000003</v>
      </c>
      <c r="X21" s="36">
        <v>1091501.6329999999</v>
      </c>
      <c r="Y21" s="36">
        <v>-124.937</v>
      </c>
      <c r="Z21" s="36">
        <f t="shared" si="1"/>
        <v>6.8044838893172273</v>
      </c>
      <c r="AA21" s="36">
        <f t="shared" si="2"/>
        <v>5.6549110513962324</v>
      </c>
      <c r="AB21" s="36">
        <f t="shared" si="3"/>
        <v>3.7218034606529327</v>
      </c>
      <c r="AC21" s="36">
        <f t="shared" si="4"/>
        <v>3.2934603382497456</v>
      </c>
      <c r="AD21" s="36">
        <f t="shared" si="5"/>
        <v>5.3092380810079094</v>
      </c>
      <c r="AE21" s="36">
        <f t="shared" si="6"/>
        <v>6.5483403241391978</v>
      </c>
      <c r="AF21" s="36">
        <f t="shared" si="7"/>
        <v>6.4419573111561093</v>
      </c>
      <c r="AG21" s="36">
        <f t="shared" si="8"/>
        <v>8.4013681028982479</v>
      </c>
      <c r="AH21" s="36">
        <f t="shared" si="9"/>
        <v>7.6361955188212214</v>
      </c>
      <c r="AI21" s="40">
        <f t="shared" si="10"/>
        <v>-12.467406508463341</v>
      </c>
      <c r="AJ21" s="40">
        <f t="shared" si="10"/>
        <v>-11.460493025420959</v>
      </c>
      <c r="AK21" s="40">
        <f t="shared" si="10"/>
        <v>-10.721811782400614</v>
      </c>
      <c r="AL21" s="40">
        <f t="shared" si="10"/>
        <v>-4.2284189850212428</v>
      </c>
      <c r="AM21" s="40">
        <f t="shared" si="10"/>
        <v>-8.0279862505179267</v>
      </c>
      <c r="AN21" s="40">
        <f t="shared" si="10"/>
        <v>-9.6649258753904732</v>
      </c>
      <c r="AO21" s="40">
        <f t="shared" si="10"/>
        <v>-9.6463195629379328</v>
      </c>
      <c r="AP21" s="40">
        <f t="shared" si="10"/>
        <v>-11.023359047740655</v>
      </c>
      <c r="AQ21" s="40">
        <f t="shared" si="10"/>
        <v>-11.82264589300086</v>
      </c>
      <c r="AR21" s="37"/>
      <c r="AS21" s="40">
        <f t="shared" si="11"/>
        <v>-1.7999999690800905</v>
      </c>
      <c r="AT21" s="40">
        <f t="shared" si="11"/>
        <v>-6.8999999202787876</v>
      </c>
      <c r="AU21" s="40">
        <f t="shared" si="11"/>
        <v>0</v>
      </c>
      <c r="AV21" s="40">
        <f t="shared" si="11"/>
        <v>-1.7999999690800905</v>
      </c>
      <c r="AW21" s="40">
        <f t="shared" si="11"/>
        <v>-5.8999999891966581</v>
      </c>
      <c r="AX21" s="40">
        <f t="shared" si="11"/>
        <v>-0.69999999999481588</v>
      </c>
      <c r="AY21" s="40">
        <f t="shared" si="11"/>
        <v>-2.7000000700354576</v>
      </c>
      <c r="AZ21" s="40">
        <f t="shared" si="11"/>
        <v>-6.1999999452382326</v>
      </c>
      <c r="BA21" s="40">
        <f t="shared" si="11"/>
        <v>-0.39999999999906777</v>
      </c>
      <c r="BB21" s="40">
        <f t="shared" si="11"/>
        <v>-4.5999999856576324</v>
      </c>
      <c r="BC21" s="40">
        <f t="shared" si="11"/>
        <v>1.9000000320374966</v>
      </c>
      <c r="BD21" s="40">
        <f t="shared" si="11"/>
        <v>-8.7000000000045929</v>
      </c>
      <c r="BE21" s="40">
        <f t="shared" si="11"/>
        <v>-4.3000000296160579</v>
      </c>
      <c r="BF21" s="40">
        <f t="shared" si="11"/>
        <v>3.7000000011175871</v>
      </c>
      <c r="BG21" s="40">
        <f t="shared" si="11"/>
        <v>-1.5999999999962711</v>
      </c>
      <c r="BH21" s="40">
        <f t="shared" si="11"/>
        <v>-4.5000000391155481</v>
      </c>
      <c r="BI21" s="40">
        <f t="shared" si="11"/>
        <v>4.999999888241291</v>
      </c>
      <c r="BJ21" s="40">
        <f t="shared" si="11"/>
        <v>0.39999999999906777</v>
      </c>
      <c r="BK21" s="40">
        <f t="shared" si="11"/>
        <v>-5.2999999606981874</v>
      </c>
      <c r="BL21" s="40">
        <f t="shared" si="11"/>
        <v>4.4999998062849045</v>
      </c>
      <c r="BM21" s="40">
        <f t="shared" si="11"/>
        <v>1.1999999999972033</v>
      </c>
      <c r="BN21" s="37"/>
      <c r="BO21" s="36">
        <v>169.37050799769455</v>
      </c>
      <c r="BP21" s="36">
        <v>-3.7683596006652467</v>
      </c>
      <c r="BQ21" s="36">
        <v>-1.1608250799769593</v>
      </c>
      <c r="BR21" s="36">
        <v>169.20776525662194</v>
      </c>
      <c r="BS21" s="36">
        <v>-4.2072728041107403</v>
      </c>
      <c r="BT21" s="36">
        <v>0.82680234743376957</v>
      </c>
      <c r="BU21" s="36">
        <v>169.18638781083527</v>
      </c>
      <c r="BV21" s="36">
        <v>-3.2363222365177959</v>
      </c>
      <c r="BW21" s="36">
        <v>2.9690161218916415</v>
      </c>
      <c r="BX21" s="36">
        <v>168.96024796003942</v>
      </c>
      <c r="BY21" s="36">
        <v>0.21556895058675402</v>
      </c>
      <c r="BZ21" s="36">
        <v>4.3442775203996007</v>
      </c>
      <c r="CA21" s="36">
        <v>169.19886109847198</v>
      </c>
      <c r="CB21" s="36">
        <v>3.2056098817098677</v>
      </c>
      <c r="CC21" s="36">
        <v>2.9818913890152743</v>
      </c>
      <c r="CD21" s="36">
        <v>169.19138297348204</v>
      </c>
      <c r="CE21" s="36">
        <v>4.1940764102235448</v>
      </c>
      <c r="CF21" s="36">
        <v>0.83396617026518527</v>
      </c>
      <c r="CG21" s="36">
        <v>169.25581886086661</v>
      </c>
      <c r="CH21" s="36">
        <v>3.8666256254867446</v>
      </c>
      <c r="CI21" s="36">
        <v>-1.0866781886086727</v>
      </c>
      <c r="CJ21" s="37"/>
      <c r="CK21" s="40">
        <f t="shared" si="12"/>
        <v>-4.5476244964106627</v>
      </c>
      <c r="CL21" s="40">
        <f t="shared" si="12"/>
        <v>5.4926414618088337</v>
      </c>
      <c r="CM21" s="40">
        <f t="shared" si="12"/>
        <v>4.5476244963538193E-2</v>
      </c>
      <c r="CN21" s="40">
        <f t="shared" si="12"/>
        <v>-4.1249725154273165</v>
      </c>
      <c r="CO21" s="40">
        <f t="shared" si="12"/>
        <v>4.5863494751445799</v>
      </c>
      <c r="CP21" s="40">
        <f t="shared" si="12"/>
        <v>-0.65875027485162718</v>
      </c>
      <c r="CQ21" s="40">
        <f t="shared" si="12"/>
        <v>-5.0674310355987018</v>
      </c>
      <c r="CR21" s="40">
        <f t="shared" si="12"/>
        <v>4.4778501983011587</v>
      </c>
      <c r="CS21" s="40">
        <f t="shared" si="12"/>
        <v>-0.3493256896405228</v>
      </c>
      <c r="CT21" s="40">
        <f t="shared" si="12"/>
        <v>-3.365904580419965</v>
      </c>
      <c r="CU21" s="40">
        <f t="shared" si="12"/>
        <v>-3.6661541628052738</v>
      </c>
      <c r="CV21" s="40">
        <f t="shared" si="12"/>
        <v>-8.6663409542069303</v>
      </c>
      <c r="CW21" s="40">
        <f t="shared" si="12"/>
        <v>-2.333243400386209</v>
      </c>
      <c r="CX21" s="40">
        <f t="shared" si="12"/>
        <v>-5.1706842387950758</v>
      </c>
      <c r="CY21" s="40">
        <f t="shared" si="12"/>
        <v>-1.576667565998946</v>
      </c>
      <c r="CZ21" s="40">
        <f t="shared" si="12"/>
        <v>-1.9650542534748183</v>
      </c>
      <c r="DA21" s="40">
        <f t="shared" si="12"/>
        <v>-6.4333942064482841</v>
      </c>
      <c r="DB21" s="40">
        <f t="shared" si="12"/>
        <v>0.41965054253978451</v>
      </c>
      <c r="DC21" s="40">
        <f t="shared" si="12"/>
        <v>-2.9014138613661089</v>
      </c>
      <c r="DD21" s="40">
        <f t="shared" si="12"/>
        <v>-6.3183696825075408</v>
      </c>
      <c r="DE21" s="40">
        <f t="shared" si="12"/>
        <v>1.2290141386017694</v>
      </c>
    </row>
    <row r="22" spans="1:109" ht="29.25" customHeight="1" x14ac:dyDescent="0.2">
      <c r="A22" s="34">
        <v>43655</v>
      </c>
      <c r="B22" s="27">
        <f t="shared" si="13"/>
        <v>56</v>
      </c>
      <c r="C22" s="35">
        <v>184.2</v>
      </c>
      <c r="D22" s="35">
        <f t="shared" si="0"/>
        <v>15</v>
      </c>
      <c r="E22" s="36">
        <v>823219.58050000004</v>
      </c>
      <c r="F22" s="36">
        <v>1091508.5989999999</v>
      </c>
      <c r="G22" s="36">
        <v>-125.0097</v>
      </c>
      <c r="H22" s="36">
        <v>823219.24890000001</v>
      </c>
      <c r="I22" s="36">
        <v>1091508.93</v>
      </c>
      <c r="J22" s="36">
        <v>-123.0231</v>
      </c>
      <c r="K22" s="36">
        <v>823219.63959999999</v>
      </c>
      <c r="L22" s="36">
        <v>1091508.04</v>
      </c>
      <c r="M22" s="36">
        <v>-120.8818</v>
      </c>
      <c r="N22" s="36">
        <v>823220.89280000003</v>
      </c>
      <c r="O22" s="36">
        <v>1091504.8160000001</v>
      </c>
      <c r="P22" s="36">
        <v>-119.50879999999999</v>
      </c>
      <c r="Q22" s="36">
        <v>823222.37320000003</v>
      </c>
      <c r="R22" s="36">
        <v>1091502.2069999999</v>
      </c>
      <c r="S22" s="36">
        <v>-120.8694</v>
      </c>
      <c r="T22" s="36">
        <v>823222.78359999997</v>
      </c>
      <c r="U22" s="36">
        <v>1091501.308</v>
      </c>
      <c r="V22" s="36">
        <v>-123.0171</v>
      </c>
      <c r="W22" s="36">
        <v>823222.70330000005</v>
      </c>
      <c r="X22" s="36">
        <v>1091501.6329999999</v>
      </c>
      <c r="Y22" s="36">
        <v>-124.93640000000001</v>
      </c>
      <c r="Z22" s="36">
        <f t="shared" si="1"/>
        <v>6.8039048419728934</v>
      </c>
      <c r="AA22" s="36">
        <f t="shared" si="2"/>
        <v>5.6548835265331121</v>
      </c>
      <c r="AB22" s="36">
        <f t="shared" si="3"/>
        <v>3.7215339901219213</v>
      </c>
      <c r="AC22" s="36">
        <f t="shared" si="4"/>
        <v>3.2938879035108783</v>
      </c>
      <c r="AD22" s="36">
        <f t="shared" si="5"/>
        <v>5.3093650779343395</v>
      </c>
      <c r="AE22" s="36">
        <f t="shared" si="6"/>
        <v>6.5473842877374233</v>
      </c>
      <c r="AF22" s="36">
        <f t="shared" si="7"/>
        <v>6.4417863765705503</v>
      </c>
      <c r="AG22" s="36">
        <f t="shared" si="8"/>
        <v>8.4017274467409795</v>
      </c>
      <c r="AH22" s="36">
        <f t="shared" si="9"/>
        <v>7.6342916325145751</v>
      </c>
      <c r="AI22" s="40">
        <f t="shared" ref="AI22:AI26" si="14">IF(Z22="","",(Z22-Z$10)*1000)</f>
        <v>-13.046453852797235</v>
      </c>
      <c r="AJ22" s="40">
        <f t="shared" ref="AJ22:AJ26" si="15">IF(AA22="","",(AA22-AA$10)*1000)</f>
        <v>-11.488017888541258</v>
      </c>
      <c r="AK22" s="40">
        <f t="shared" ref="AK22:AK26" si="16">IF(AB22="","",(AB22-AB$10)*1000)</f>
        <v>-10.991282313411954</v>
      </c>
      <c r="AL22" s="40">
        <f t="shared" ref="AL22:AL26" si="17">IF(AC22="","",(AC22-AC$10)*1000)</f>
        <v>-3.8008537238884976</v>
      </c>
      <c r="AM22" s="40">
        <f t="shared" ref="AM22:AM26" si="18">IF(AD22="","",(AD22-AD$10)*1000)</f>
        <v>-7.9009893240877815</v>
      </c>
      <c r="AN22" s="40">
        <f t="shared" ref="AN22:AN26" si="19">IF(AE22="","",(AE22-AE$10)*1000)</f>
        <v>-10.620962277164914</v>
      </c>
      <c r="AO22" s="40">
        <f t="shared" ref="AO22:AO26" si="20">IF(AF22="","",(AF22-AF$10)*1000)</f>
        <v>-9.8172541484968789</v>
      </c>
      <c r="AP22" s="40">
        <f t="shared" ref="AP22:AP26" si="21">IF(AG22="","",(AG22-AG$10)*1000)</f>
        <v>-10.664015205009036</v>
      </c>
      <c r="AQ22" s="40">
        <f t="shared" ref="AQ22:AQ26" si="22">IF(AH22="","",(AH22-AH$10)*1000)</f>
        <v>-13.726532199647146</v>
      </c>
      <c r="AR22" s="37"/>
      <c r="AS22" s="40">
        <f t="shared" ref="AS22:AS26" si="23">IF(E22="","",(E22-E$10)*1000)</f>
        <v>-2.2999999346211553</v>
      </c>
      <c r="AT22" s="40">
        <f t="shared" ref="AT22:AT26" si="24">IF(F22="","",(F22-F$10)*1000)</f>
        <v>-8.9000000152736902</v>
      </c>
      <c r="AU22" s="40">
        <f t="shared" ref="AU22:AU26" si="25">IF(G22="","",(G22-G$10)*1000)</f>
        <v>0.30000000000995897</v>
      </c>
      <c r="AV22" s="40">
        <f t="shared" ref="AV22:AV26" si="26">IF(H22="","",(H22-H$10)*1000)</f>
        <v>-0.89999998454004526</v>
      </c>
      <c r="AW22" s="40">
        <f t="shared" ref="AW22:AW26" si="27">IF(I22="","",(I22-I$10)*1000)</f>
        <v>-5.8999999891966581</v>
      </c>
      <c r="AX22" s="40">
        <f t="shared" ref="AX22:AX26" si="28">IF(J22="","",(J22-J$10)*1000)</f>
        <v>0.20000000000663931</v>
      </c>
      <c r="AY22" s="40">
        <f t="shared" ref="AY22:AY26" si="29">IF(K22="","",(K22-K$10)*1000)</f>
        <v>-2.1000000415369868</v>
      </c>
      <c r="AZ22" s="40">
        <f t="shared" ref="AZ22:AZ26" si="30">IF(L22="","",(L22-L$10)*1000)</f>
        <v>-7.1999998763203621</v>
      </c>
      <c r="BA22" s="40">
        <f t="shared" ref="BA22:BA26" si="31">IF(M22="","",(M22-M$10)*1000)</f>
        <v>-0.19999999999242846</v>
      </c>
      <c r="BB22" s="40">
        <f t="shared" ref="BB22:BB26" si="32">IF(N22="","",(N22-N$10)*1000)</f>
        <v>-4.7999999951571226</v>
      </c>
      <c r="BC22" s="40">
        <f t="shared" ref="BC22:BC26" si="33">IF(O22="","",(O22-O$10)*1000)</f>
        <v>0.90000010095536709</v>
      </c>
      <c r="BD22" s="40">
        <f t="shared" ref="BD22:BD26" si="34">IF(P22="","",(P22-P$10)*1000)</f>
        <v>-8.4999999999979536</v>
      </c>
      <c r="BE22" s="40">
        <f t="shared" ref="BE22:BE26" si="35">IF(Q22="","",(Q22-Q$10)*1000)</f>
        <v>-4.1000000201165676</v>
      </c>
      <c r="BF22" s="40">
        <f t="shared" ref="BF22:BF26" si="36">IF(R22="","",(R22-R$10)*1000)</f>
        <v>2.699999837204814</v>
      </c>
      <c r="BG22" s="40">
        <f t="shared" ref="BG22:BG26" si="37">IF(S22="","",(S22-S$10)*1000)</f>
        <v>-1.9999999999953388</v>
      </c>
      <c r="BH22" s="40">
        <f t="shared" ref="BH22:BH26" si="38">IF(T22="","",(T22-T$10)*1000)</f>
        <v>-4.9000000581145287</v>
      </c>
      <c r="BI22" s="40">
        <f t="shared" ref="BI22:BI26" si="39">IF(U22="","",(U22-U$10)*1000)</f>
        <v>3.9999999571591616</v>
      </c>
      <c r="BJ22" s="40">
        <f t="shared" ref="BJ22:BJ26" si="40">IF(V22="","",(V22-V$10)*1000)</f>
        <v>0.29999999999574811</v>
      </c>
      <c r="BK22" s="40">
        <f t="shared" ref="BK22:BK26" si="41">IF(W22="","",(W22-W$10)*1000)</f>
        <v>-5.9999999357387424</v>
      </c>
      <c r="BL22" s="40">
        <f t="shared" ref="BL22:BL26" si="42">IF(X22="","",(X22-X$10)*1000)</f>
        <v>4.4999998062849045</v>
      </c>
      <c r="BM22" s="40">
        <f t="shared" ref="BM22:BM26" si="43">IF(Y22="","",(Y22-Y$10)*1000)</f>
        <v>1.7999999999886995</v>
      </c>
      <c r="BN22" s="37"/>
      <c r="BO22" s="36">
        <v>169.36920954764088</v>
      </c>
      <c r="BP22" s="36">
        <v>-3.7667583424713271</v>
      </c>
      <c r="BQ22" s="36">
        <v>-1.1605120954764061</v>
      </c>
      <c r="BR22" s="36">
        <v>169.20858091945217</v>
      </c>
      <c r="BS22" s="36">
        <v>-4.2068924173081932</v>
      </c>
      <c r="BT22" s="36">
        <v>0.8276941908054738</v>
      </c>
      <c r="BU22" s="36">
        <v>169.18650893410961</v>
      </c>
      <c r="BV22" s="36">
        <v>-3.2351623533130138</v>
      </c>
      <c r="BW22" s="36">
        <v>2.9692149106589056</v>
      </c>
      <c r="BX22" s="36">
        <v>168.95964404964002</v>
      </c>
      <c r="BY22" s="36">
        <v>0.21639071216742697</v>
      </c>
      <c r="BZ22" s="36">
        <v>4.3444835595036011</v>
      </c>
      <c r="CA22" s="36">
        <v>169.19861970481105</v>
      </c>
      <c r="CB22" s="36">
        <v>3.2066007043135878</v>
      </c>
      <c r="CC22" s="36">
        <v>2.9814938029518885</v>
      </c>
      <c r="CD22" s="36">
        <v>169.19059780466421</v>
      </c>
      <c r="CE22" s="36">
        <v>4.1948136413981771</v>
      </c>
      <c r="CF22" s="36">
        <v>0.83387402195334914</v>
      </c>
      <c r="CG22" s="36">
        <v>169.25518445645483</v>
      </c>
      <c r="CH22" s="36">
        <v>3.8663297690902168</v>
      </c>
      <c r="CI22" s="36">
        <v>-1.0860718445645574</v>
      </c>
      <c r="CJ22" s="37"/>
      <c r="CK22" s="40">
        <f t="shared" ref="CK22:CK25" si="44">IF(BO22="","",(BO22-BO$10)*1000)</f>
        <v>-5.8460745500781286</v>
      </c>
      <c r="CL22" s="40">
        <f t="shared" ref="CL22:CL25" si="45">IF(BP22="","",(BP22-BP$10)*1000)</f>
        <v>7.0938996557283751</v>
      </c>
      <c r="CM22" s="40">
        <f t="shared" ref="CM22:CM25" si="46">IF(BQ22="","",(BQ22-BQ$10)*1000)</f>
        <v>0.35846074551670881</v>
      </c>
      <c r="CN22" s="40">
        <f t="shared" ref="CN22:CN25" si="47">IF(BR22="","",(BR22-BR$10)*1000)</f>
        <v>-3.3093096851928294</v>
      </c>
      <c r="CO22" s="40">
        <f t="shared" ref="CO22:CO25" si="48">IF(BS22="","",(BS22-BS$10)*1000)</f>
        <v>4.9667362776917301</v>
      </c>
      <c r="CP22" s="40">
        <f t="shared" ref="CP22:CP25" si="49">IF(BT22="","",(BT22-BT$10)*1000)</f>
        <v>0.23309309685259905</v>
      </c>
      <c r="CQ22" s="40">
        <f t="shared" ref="CQ22:CQ25" si="50">IF(BU22="","",(BU22-BU$10)*1000)</f>
        <v>-4.9463077612585948</v>
      </c>
      <c r="CR22" s="40">
        <f t="shared" ref="CR22:CR25" si="51">IF(BV22="","",(BV22-BV$10)*1000)</f>
        <v>5.6377334030832671</v>
      </c>
      <c r="CS22" s="40">
        <f t="shared" ref="CS22:CS25" si="52">IF(BW22="","",(BW22-BW$10)*1000)</f>
        <v>-0.1505369223764319</v>
      </c>
      <c r="CT22" s="40">
        <f t="shared" ref="CT22:CT25" si="53">IF(BX22="","",(BX22-BX$10)*1000)</f>
        <v>-3.9698149798255145</v>
      </c>
      <c r="CU22" s="40">
        <f t="shared" ref="CU22:CU25" si="54">IF(BY22="","",(BY22-BY$10)*1000)</f>
        <v>-2.8443925821323157</v>
      </c>
      <c r="CV22" s="40">
        <f t="shared" ref="CV22:CV25" si="55">IF(BZ22="","",(BZ22-BZ$10)*1000)</f>
        <v>-8.4603018502065197</v>
      </c>
      <c r="CW22" s="40">
        <f t="shared" ref="CW22:CW25" si="56">IF(CA22="","",(CA22-CA$10)*1000)</f>
        <v>-2.5746370613148883</v>
      </c>
      <c r="CX22" s="40">
        <f t="shared" ref="CX22:CX25" si="57">IF(CB22="","",(CB22-CB$10)*1000)</f>
        <v>-4.1798616350749995</v>
      </c>
      <c r="CY22" s="40">
        <f t="shared" ref="CY22:CY25" si="58">IF(CC22="","",(CC22-CC$10)*1000)</f>
        <v>-1.9742536293847479</v>
      </c>
      <c r="CZ22" s="40">
        <f t="shared" ref="CZ22:CZ25" si="59">IF(CD22="","",(CD22-CD$10)*1000)</f>
        <v>-2.750223071302571</v>
      </c>
      <c r="DA22" s="40">
        <f t="shared" ref="DA22:DA25" si="60">IF(CE22="","",(CE22-CE$10)*1000)</f>
        <v>-5.6961630318159706</v>
      </c>
      <c r="DB22" s="40">
        <f t="shared" ref="DB22:DB25" si="61">IF(CF22="","",(CF22-CF$10)*1000)</f>
        <v>0.32750223070365792</v>
      </c>
      <c r="DC22" s="40">
        <f t="shared" ref="DC22:DC25" si="62">IF(CG22="","",(CG22-CG$10)*1000)</f>
        <v>-3.535818273149971</v>
      </c>
      <c r="DD22" s="40">
        <f t="shared" ref="DD22:DD25" si="63">IF(CH22="","",(CH22-CH$10)*1000)</f>
        <v>-6.6142260790353902</v>
      </c>
      <c r="DE22" s="40">
        <f t="shared" ref="DE22:DE25" si="64">IF(CI22="","",(CI22-CI$10)*1000)</f>
        <v>1.8353581827170729</v>
      </c>
    </row>
    <row r="23" spans="1:109" ht="29.25" customHeight="1" x14ac:dyDescent="0.2">
      <c r="A23" s="34">
        <v>43657</v>
      </c>
      <c r="B23" s="27">
        <f t="shared" si="13"/>
        <v>58</v>
      </c>
      <c r="C23" s="35">
        <v>185.03</v>
      </c>
      <c r="D23" s="35">
        <f t="shared" si="0"/>
        <v>15.830000000000013</v>
      </c>
      <c r="E23" s="36">
        <v>823219.58219999995</v>
      </c>
      <c r="F23" s="36">
        <v>1091508.5989999999</v>
      </c>
      <c r="G23" s="36">
        <v>-125.0099</v>
      </c>
      <c r="H23" s="36">
        <v>823219.25049999997</v>
      </c>
      <c r="I23" s="36">
        <v>1091508.929</v>
      </c>
      <c r="J23" s="36">
        <v>-123.0235</v>
      </c>
      <c r="K23" s="36">
        <v>823219.64110000001</v>
      </c>
      <c r="L23" s="36">
        <v>1091508.04</v>
      </c>
      <c r="M23" s="36">
        <v>-120.8826</v>
      </c>
      <c r="N23" s="36">
        <v>823220.89399999997</v>
      </c>
      <c r="O23" s="36">
        <v>1091504.8160000001</v>
      </c>
      <c r="P23" s="36">
        <v>-119.5098</v>
      </c>
      <c r="Q23" s="36">
        <v>823222.37390000001</v>
      </c>
      <c r="R23" s="36">
        <v>1091502.2069999999</v>
      </c>
      <c r="S23" s="36">
        <v>-120.87009999999999</v>
      </c>
      <c r="T23" s="36">
        <v>823222.78430000006</v>
      </c>
      <c r="U23" s="36">
        <v>1091501.3089999999</v>
      </c>
      <c r="V23" s="36">
        <v>-123.01739999999999</v>
      </c>
      <c r="W23" s="36">
        <v>823222.70389999996</v>
      </c>
      <c r="X23" s="36">
        <v>1091501.6329999999</v>
      </c>
      <c r="Y23" s="36">
        <v>-124.9365</v>
      </c>
      <c r="Z23" s="36">
        <f t="shared" si="1"/>
        <v>6.8031616362330114</v>
      </c>
      <c r="AA23" s="36">
        <f t="shared" si="2"/>
        <v>5.6536668578154066</v>
      </c>
      <c r="AB23" s="36">
        <f t="shared" si="3"/>
        <v>3.7213591938230297</v>
      </c>
      <c r="AC23" s="36">
        <f t="shared" si="4"/>
        <v>3.2935392970173067</v>
      </c>
      <c r="AD23" s="36">
        <f t="shared" si="5"/>
        <v>5.3080637573264147</v>
      </c>
      <c r="AE23" s="36">
        <f t="shared" si="6"/>
        <v>6.5464723249401686</v>
      </c>
      <c r="AF23" s="36">
        <f t="shared" si="7"/>
        <v>6.4414471270951381</v>
      </c>
      <c r="AG23" s="36">
        <f t="shared" si="8"/>
        <v>8.3995344902175102</v>
      </c>
      <c r="AH23" s="36">
        <f t="shared" si="9"/>
        <v>7.6338427053692461</v>
      </c>
      <c r="AI23" s="40">
        <f t="shared" si="14"/>
        <v>-13.789659592679193</v>
      </c>
      <c r="AJ23" s="40">
        <f t="shared" si="15"/>
        <v>-12.704686606246796</v>
      </c>
      <c r="AK23" s="40">
        <f t="shared" si="16"/>
        <v>-11.166078612303565</v>
      </c>
      <c r="AL23" s="40">
        <f t="shared" si="17"/>
        <v>-4.1494602174600992</v>
      </c>
      <c r="AM23" s="40">
        <f t="shared" si="18"/>
        <v>-9.2023099320126533</v>
      </c>
      <c r="AN23" s="40">
        <f t="shared" si="19"/>
        <v>-11.532925074419609</v>
      </c>
      <c r="AO23" s="40">
        <f t="shared" si="20"/>
        <v>-10.156503623909074</v>
      </c>
      <c r="AP23" s="40">
        <f t="shared" si="21"/>
        <v>-12.856971728478328</v>
      </c>
      <c r="AQ23" s="40">
        <f t="shared" si="22"/>
        <v>-14.175459344976105</v>
      </c>
      <c r="AR23" s="37"/>
      <c r="AS23" s="40">
        <f t="shared" si="23"/>
        <v>-0.60000002849847078</v>
      </c>
      <c r="AT23" s="40">
        <f t="shared" si="24"/>
        <v>-8.9000000152736902</v>
      </c>
      <c r="AU23" s="40">
        <f t="shared" si="25"/>
        <v>0.10000000000331966</v>
      </c>
      <c r="AV23" s="40">
        <f t="shared" si="26"/>
        <v>0.699999975040555</v>
      </c>
      <c r="AW23" s="40">
        <f t="shared" si="27"/>
        <v>-6.8999999202787876</v>
      </c>
      <c r="AX23" s="40">
        <f t="shared" si="28"/>
        <v>-0.19999999999242846</v>
      </c>
      <c r="AY23" s="40">
        <f t="shared" si="29"/>
        <v>-0.60000002849847078</v>
      </c>
      <c r="AZ23" s="40">
        <f t="shared" si="30"/>
        <v>-7.1999998763203621</v>
      </c>
      <c r="BA23" s="40">
        <f t="shared" si="31"/>
        <v>-0.99999999999056399</v>
      </c>
      <c r="BB23" s="40">
        <f t="shared" si="32"/>
        <v>-3.6000000545755029</v>
      </c>
      <c r="BC23" s="40">
        <f t="shared" si="33"/>
        <v>0.90000010095536709</v>
      </c>
      <c r="BD23" s="40">
        <f t="shared" si="34"/>
        <v>-9.5000000000027285</v>
      </c>
      <c r="BE23" s="40">
        <f t="shared" si="35"/>
        <v>-3.4000000450760126</v>
      </c>
      <c r="BF23" s="40">
        <f t="shared" si="36"/>
        <v>2.699999837204814</v>
      </c>
      <c r="BG23" s="40">
        <f t="shared" si="37"/>
        <v>-2.6999999999901547</v>
      </c>
      <c r="BH23" s="40">
        <f t="shared" si="38"/>
        <v>-4.1999999666586518</v>
      </c>
      <c r="BI23" s="40">
        <f t="shared" si="39"/>
        <v>4.999999888241291</v>
      </c>
      <c r="BJ23" s="40">
        <f t="shared" si="40"/>
        <v>0</v>
      </c>
      <c r="BK23" s="40">
        <f t="shared" si="41"/>
        <v>-5.4000000236555934</v>
      </c>
      <c r="BL23" s="40">
        <f t="shared" si="42"/>
        <v>4.4999998062849045</v>
      </c>
      <c r="BM23" s="40">
        <f t="shared" si="43"/>
        <v>1.6999999999995907</v>
      </c>
      <c r="BN23" s="37"/>
      <c r="BO23" s="36">
        <v>169.37083480000001</v>
      </c>
      <c r="BP23" s="36">
        <v>-3.766221093</v>
      </c>
      <c r="BQ23" s="36">
        <v>-1.1607283479999999</v>
      </c>
      <c r="BR23" s="36">
        <v>169.2096506</v>
      </c>
      <c r="BS23" s="36">
        <v>-4.2054005109999997</v>
      </c>
      <c r="BT23" s="36">
        <v>0.82728349400000001</v>
      </c>
      <c r="BU23" s="36">
        <v>169.1878261</v>
      </c>
      <c r="BV23" s="36">
        <v>-3.2344377459999998</v>
      </c>
      <c r="BW23" s="36">
        <v>2.9684017389999999</v>
      </c>
      <c r="BX23" s="36">
        <v>168.9606048</v>
      </c>
      <c r="BY23" s="36">
        <v>0.21716978200000001</v>
      </c>
      <c r="BZ23" s="36">
        <v>4.3434739520000001</v>
      </c>
      <c r="CA23" s="36">
        <v>169.19942320000001</v>
      </c>
      <c r="CB23" s="36">
        <v>3.2065340440000001</v>
      </c>
      <c r="CC23" s="36">
        <v>2.9807857680000001</v>
      </c>
      <c r="CD23" s="36">
        <v>169.1915281</v>
      </c>
      <c r="CE23" s="36">
        <v>4.1944750930000003</v>
      </c>
      <c r="CF23" s="36">
        <v>0.83356471899999995</v>
      </c>
      <c r="CG23" s="36">
        <v>169.255855</v>
      </c>
      <c r="CH23" s="36">
        <v>3.866311472</v>
      </c>
      <c r="CI23" s="36">
        <v>-1.0861785500000001</v>
      </c>
      <c r="CJ23" s="37"/>
      <c r="CK23" s="40">
        <f t="shared" si="44"/>
        <v>-4.220822190944773</v>
      </c>
      <c r="CL23" s="40">
        <f t="shared" si="45"/>
        <v>7.6311491270555365</v>
      </c>
      <c r="CM23" s="40">
        <f t="shared" si="46"/>
        <v>0.1422082219229015</v>
      </c>
      <c r="CN23" s="40">
        <f t="shared" si="47"/>
        <v>-2.2396291373638633</v>
      </c>
      <c r="CO23" s="40">
        <f t="shared" si="48"/>
        <v>6.4586425858852436</v>
      </c>
      <c r="CP23" s="40">
        <f t="shared" si="49"/>
        <v>-0.17760370862118791</v>
      </c>
      <c r="CQ23" s="40">
        <f t="shared" si="50"/>
        <v>-3.629141870874264</v>
      </c>
      <c r="CR23" s="40">
        <f t="shared" si="51"/>
        <v>6.3623407160973144</v>
      </c>
      <c r="CS23" s="40">
        <f t="shared" si="52"/>
        <v>-0.9637085812821411</v>
      </c>
      <c r="CT23" s="40">
        <f t="shared" si="53"/>
        <v>-3.0090646198459581</v>
      </c>
      <c r="CU23" s="40">
        <f t="shared" si="54"/>
        <v>-2.0653227495592841</v>
      </c>
      <c r="CV23" s="40">
        <f t="shared" si="55"/>
        <v>-9.4699093538075374</v>
      </c>
      <c r="CW23" s="40">
        <f t="shared" si="56"/>
        <v>-1.7711418723536099</v>
      </c>
      <c r="CX23" s="40">
        <f t="shared" si="57"/>
        <v>-4.246521948662707</v>
      </c>
      <c r="CY23" s="40">
        <f t="shared" si="58"/>
        <v>-2.6822885812731734</v>
      </c>
      <c r="CZ23" s="40">
        <f t="shared" si="59"/>
        <v>-1.8199277355108734</v>
      </c>
      <c r="DA23" s="40">
        <f t="shared" si="60"/>
        <v>-6.0347114299927895</v>
      </c>
      <c r="DB23" s="40">
        <f t="shared" si="61"/>
        <v>1.8199277354469245E-2</v>
      </c>
      <c r="DC23" s="40">
        <f t="shared" si="62"/>
        <v>-2.8652747279807045</v>
      </c>
      <c r="DD23" s="40">
        <f t="shared" si="63"/>
        <v>-6.6325231692521136</v>
      </c>
      <c r="DE23" s="40">
        <f t="shared" si="64"/>
        <v>1.7286527472744062</v>
      </c>
    </row>
    <row r="24" spans="1:109" ht="29.25" customHeight="1" x14ac:dyDescent="0.2">
      <c r="A24" s="34">
        <v>43661</v>
      </c>
      <c r="B24" s="27">
        <f t="shared" ref="B24:B26" si="65">A24-A$10</f>
        <v>62</v>
      </c>
      <c r="C24" s="35">
        <v>187.2</v>
      </c>
      <c r="D24" s="35">
        <f t="shared" si="0"/>
        <v>18</v>
      </c>
      <c r="E24" s="36">
        <v>823219.58259999997</v>
      </c>
      <c r="F24" s="36">
        <v>1091508.5985999999</v>
      </c>
      <c r="G24" s="36">
        <v>-125.0102</v>
      </c>
      <c r="H24" s="36">
        <v>823219.25120000006</v>
      </c>
      <c r="I24" s="36">
        <v>1091508.9294</v>
      </c>
      <c r="J24" s="36">
        <v>-123.02379999999999</v>
      </c>
      <c r="K24" s="36">
        <v>823219.64179999998</v>
      </c>
      <c r="L24" s="36">
        <v>1091508.04</v>
      </c>
      <c r="M24" s="36">
        <v>-120.8827</v>
      </c>
      <c r="N24" s="36">
        <v>823220.89450000005</v>
      </c>
      <c r="O24" s="36">
        <v>1091504.8159</v>
      </c>
      <c r="P24" s="36">
        <v>-119.5102</v>
      </c>
      <c r="Q24" s="36">
        <v>823222.37360000005</v>
      </c>
      <c r="R24" s="36">
        <v>1091502.2076999999</v>
      </c>
      <c r="S24" s="36">
        <v>-120.8708</v>
      </c>
      <c r="T24" s="36">
        <v>823222.78399999999</v>
      </c>
      <c r="U24" s="36">
        <v>1091501.3089000001</v>
      </c>
      <c r="V24" s="36">
        <v>-123.0179</v>
      </c>
      <c r="W24" s="36">
        <v>823222.70380000002</v>
      </c>
      <c r="X24" s="36">
        <v>1091501.6335</v>
      </c>
      <c r="Y24" s="36">
        <v>-124.93680000000001</v>
      </c>
      <c r="Z24" s="36">
        <f t="shared" si="1"/>
        <v>6.8029332570010155</v>
      </c>
      <c r="AA24" s="36">
        <f t="shared" si="2"/>
        <v>5.653910337085585</v>
      </c>
      <c r="AB24" s="36">
        <f t="shared" si="3"/>
        <v>3.7212678417610614</v>
      </c>
      <c r="AC24" s="36">
        <f t="shared" si="4"/>
        <v>3.2926701035309223</v>
      </c>
      <c r="AD24" s="36">
        <f t="shared" si="5"/>
        <v>5.3078449995855657</v>
      </c>
      <c r="AE24" s="36">
        <f t="shared" si="6"/>
        <v>6.5459318519353644</v>
      </c>
      <c r="AF24" s="36">
        <f t="shared" si="7"/>
        <v>6.44038788752896</v>
      </c>
      <c r="AG24" s="36">
        <f t="shared" si="8"/>
        <v>8.3995673042660854</v>
      </c>
      <c r="AH24" s="36">
        <f t="shared" si="9"/>
        <v>7.6328169773110615</v>
      </c>
      <c r="AI24" s="40">
        <f t="shared" si="14"/>
        <v>-14.018038824675116</v>
      </c>
      <c r="AJ24" s="40">
        <f t="shared" si="15"/>
        <v>-12.46120733606837</v>
      </c>
      <c r="AK24" s="40">
        <f t="shared" si="16"/>
        <v>-11.257430674271873</v>
      </c>
      <c r="AL24" s="40">
        <f t="shared" si="17"/>
        <v>-5.0186537038445778</v>
      </c>
      <c r="AM24" s="40">
        <f t="shared" si="18"/>
        <v>-9.4210676728616605</v>
      </c>
      <c r="AN24" s="40">
        <f t="shared" si="19"/>
        <v>-12.073398079223807</v>
      </c>
      <c r="AO24" s="40">
        <f t="shared" si="20"/>
        <v>-11.215743190087224</v>
      </c>
      <c r="AP24" s="40">
        <f t="shared" si="21"/>
        <v>-12.824157679903081</v>
      </c>
      <c r="AQ24" s="40">
        <f t="shared" si="22"/>
        <v>-15.201187403160787</v>
      </c>
      <c r="AR24" s="37"/>
      <c r="AS24" s="40">
        <f t="shared" si="23"/>
        <v>-0.20000000949949026</v>
      </c>
      <c r="AT24" s="40">
        <f t="shared" si="24"/>
        <v>-9.3000000342726707</v>
      </c>
      <c r="AU24" s="40">
        <f t="shared" si="25"/>
        <v>-0.19999999999242846</v>
      </c>
      <c r="AV24" s="40">
        <f t="shared" si="26"/>
        <v>1.4000000664964318</v>
      </c>
      <c r="AW24" s="40">
        <f t="shared" si="27"/>
        <v>-6.4999999012798071</v>
      </c>
      <c r="AX24" s="40">
        <f t="shared" si="28"/>
        <v>-0.49999999998817657</v>
      </c>
      <c r="AY24" s="40">
        <f t="shared" si="29"/>
        <v>9.9999946542084217E-2</v>
      </c>
      <c r="AZ24" s="40">
        <f t="shared" si="30"/>
        <v>-7.1999998763203621</v>
      </c>
      <c r="BA24" s="40">
        <f t="shared" si="31"/>
        <v>-1.0999999999938836</v>
      </c>
      <c r="BB24" s="40">
        <f t="shared" si="32"/>
        <v>-3.0999999726191163</v>
      </c>
      <c r="BC24" s="40">
        <f t="shared" si="33"/>
        <v>0.80000003799796104</v>
      </c>
      <c r="BD24" s="40">
        <f t="shared" si="34"/>
        <v>-9.9000000000017963</v>
      </c>
      <c r="BE24" s="40">
        <f t="shared" si="35"/>
        <v>-3.7000000011175871</v>
      </c>
      <c r="BF24" s="40">
        <f t="shared" si="36"/>
        <v>3.399999812245369</v>
      </c>
      <c r="BG24" s="40">
        <f t="shared" si="37"/>
        <v>-3.3999999999991815</v>
      </c>
      <c r="BH24" s="40">
        <f t="shared" si="38"/>
        <v>-4.5000000391155481</v>
      </c>
      <c r="BI24" s="40">
        <f t="shared" si="39"/>
        <v>4.9000000581145287</v>
      </c>
      <c r="BJ24" s="40">
        <f t="shared" si="40"/>
        <v>-0.50000000000238742</v>
      </c>
      <c r="BK24" s="40">
        <f t="shared" si="41"/>
        <v>-5.4999999701976776</v>
      </c>
      <c r="BL24" s="40">
        <f t="shared" si="42"/>
        <v>4.999999888241291</v>
      </c>
      <c r="BM24" s="40">
        <f t="shared" si="43"/>
        <v>1.3999999999896318</v>
      </c>
      <c r="BN24" s="37"/>
      <c r="BO24" s="36">
        <v>169.37094370006417</v>
      </c>
      <c r="BP24" s="36">
        <v>-3.7655082564448774</v>
      </c>
      <c r="BQ24" s="36">
        <v>-1.1610294370006358</v>
      </c>
      <c r="BR24" s="36">
        <v>169.21041180004261</v>
      </c>
      <c r="BS24" s="36">
        <v>-4.2053765425135889</v>
      </c>
      <c r="BT24" s="36">
        <v>0.82697588199957295</v>
      </c>
      <c r="BU24" s="36">
        <v>169.18850277660695</v>
      </c>
      <c r="BV24" s="36">
        <v>-3.2342325188958383</v>
      </c>
      <c r="BW24" s="36">
        <v>2.9682949722339345</v>
      </c>
      <c r="BX24" s="36">
        <v>168.96114248091638</v>
      </c>
      <c r="BY24" s="36">
        <v>0.21719984985608207</v>
      </c>
      <c r="BZ24" s="36">
        <v>4.3430685751908413</v>
      </c>
      <c r="CA24" s="36">
        <v>169.19927807804441</v>
      </c>
      <c r="CB24" s="36">
        <v>3.2061353607138665</v>
      </c>
      <c r="CC24" s="36">
        <v>2.9800872192195555</v>
      </c>
      <c r="CD24" s="36">
        <v>169.19134070835284</v>
      </c>
      <c r="CE24" s="36">
        <v>4.1941670392744852</v>
      </c>
      <c r="CF24" s="36">
        <v>0.83306659291646667</v>
      </c>
      <c r="CG24" s="36">
        <v>169.25584892848784</v>
      </c>
      <c r="CH24" s="36">
        <v>3.8660879489818565</v>
      </c>
      <c r="CI24" s="36">
        <v>-1.086478489284886</v>
      </c>
      <c r="CJ24" s="37"/>
      <c r="CK24" s="40">
        <f t="shared" si="44"/>
        <v>-4.1119221267820194</v>
      </c>
      <c r="CL24" s="40">
        <f t="shared" si="45"/>
        <v>8.34398568217809</v>
      </c>
      <c r="CM24" s="40">
        <f t="shared" si="46"/>
        <v>-0.15888077871295536</v>
      </c>
      <c r="CN24" s="40">
        <f t="shared" si="47"/>
        <v>-1.4784290947602585</v>
      </c>
      <c r="CO24" s="40">
        <f t="shared" si="48"/>
        <v>6.482611072295974</v>
      </c>
      <c r="CP24" s="40">
        <f t="shared" si="49"/>
        <v>-0.48521570904824785</v>
      </c>
      <c r="CQ24" s="40">
        <f t="shared" si="50"/>
        <v>-2.9524652639167925</v>
      </c>
      <c r="CR24" s="40">
        <f t="shared" si="51"/>
        <v>6.5675678202588017</v>
      </c>
      <c r="CS24" s="40">
        <f t="shared" si="52"/>
        <v>-1.0704753473476103</v>
      </c>
      <c r="CT24" s="40">
        <f t="shared" si="53"/>
        <v>-2.4713837034653352</v>
      </c>
      <c r="CU24" s="40">
        <f t="shared" si="54"/>
        <v>-2.035254893477223</v>
      </c>
      <c r="CV24" s="40">
        <f t="shared" si="55"/>
        <v>-9.8752861629662902</v>
      </c>
      <c r="CW24" s="40">
        <f t="shared" si="56"/>
        <v>-1.9162638279510702</v>
      </c>
      <c r="CX24" s="40">
        <f t="shared" si="57"/>
        <v>-4.6452052347962791</v>
      </c>
      <c r="CY24" s="40">
        <f t="shared" si="58"/>
        <v>-3.3808373617176812</v>
      </c>
      <c r="CZ24" s="40">
        <f t="shared" si="59"/>
        <v>-2.0073193826704028</v>
      </c>
      <c r="DA24" s="40">
        <f t="shared" si="60"/>
        <v>-6.3427651555079123</v>
      </c>
      <c r="DB24" s="40">
        <f t="shared" si="61"/>
        <v>-0.47992680617880978</v>
      </c>
      <c r="DC24" s="40">
        <f t="shared" si="62"/>
        <v>-2.8713462401412926</v>
      </c>
      <c r="DD24" s="40">
        <f t="shared" si="63"/>
        <v>-6.8560461873956591</v>
      </c>
      <c r="DE24" s="40">
        <f t="shared" si="64"/>
        <v>1.4287134623884867</v>
      </c>
    </row>
    <row r="25" spans="1:109" ht="29.25" customHeight="1" x14ac:dyDescent="0.2">
      <c r="A25" s="34">
        <v>43664</v>
      </c>
      <c r="B25" s="27">
        <f t="shared" si="65"/>
        <v>65</v>
      </c>
      <c r="C25" s="35">
        <v>188.17</v>
      </c>
      <c r="D25" s="35">
        <f t="shared" si="0"/>
        <v>18.97</v>
      </c>
      <c r="E25" s="36">
        <v>823219.58330000006</v>
      </c>
      <c r="F25" s="36">
        <v>1091508.5981999999</v>
      </c>
      <c r="G25" s="36">
        <v>-125.0102</v>
      </c>
      <c r="H25" s="36">
        <v>823219.25190000003</v>
      </c>
      <c r="I25" s="36">
        <v>1091508.9288999999</v>
      </c>
      <c r="J25" s="36">
        <v>-123.0239</v>
      </c>
      <c r="K25" s="36">
        <v>823219.64280000003</v>
      </c>
      <c r="L25" s="36">
        <v>1091508.0388</v>
      </c>
      <c r="M25" s="36">
        <v>-120.8828</v>
      </c>
      <c r="N25" s="36">
        <v>823220.89489999996</v>
      </c>
      <c r="O25" s="36">
        <v>1091504.8159</v>
      </c>
      <c r="P25" s="36">
        <v>-119.511</v>
      </c>
      <c r="Q25" s="36">
        <v>823222.37479999999</v>
      </c>
      <c r="R25" s="36">
        <v>1091502.2078</v>
      </c>
      <c r="S25" s="36">
        <v>-120.8707</v>
      </c>
      <c r="T25" s="36">
        <v>823222.78460000001</v>
      </c>
      <c r="U25" s="36">
        <v>1091501.3093999999</v>
      </c>
      <c r="V25" s="36">
        <v>-123.018</v>
      </c>
      <c r="W25" s="36">
        <v>823222.70499999996</v>
      </c>
      <c r="X25" s="36">
        <v>1091501.6335</v>
      </c>
      <c r="Y25" s="36">
        <v>-124.93680000000001</v>
      </c>
      <c r="Z25" s="36">
        <f t="shared" si="1"/>
        <v>6.8020062105654793</v>
      </c>
      <c r="AA25" s="36">
        <f t="shared" si="2"/>
        <v>5.6530243594814831</v>
      </c>
      <c r="AB25" s="36">
        <f t="shared" si="3"/>
        <v>3.7197680115021545</v>
      </c>
      <c r="AC25" s="36">
        <f t="shared" si="4"/>
        <v>3.2925785807586072</v>
      </c>
      <c r="AD25" s="36">
        <f t="shared" si="5"/>
        <v>5.3071232641761288</v>
      </c>
      <c r="AE25" s="36">
        <f t="shared" si="6"/>
        <v>6.5454898525870071</v>
      </c>
      <c r="AF25" s="36">
        <f t="shared" si="7"/>
        <v>6.4392958784207419</v>
      </c>
      <c r="AG25" s="36">
        <f t="shared" si="8"/>
        <v>8.3986180024051507</v>
      </c>
      <c r="AH25" s="36">
        <f t="shared" si="9"/>
        <v>7.6326564535501982</v>
      </c>
      <c r="AI25" s="40">
        <f t="shared" si="14"/>
        <v>-14.945085260211322</v>
      </c>
      <c r="AJ25" s="40">
        <f t="shared" si="15"/>
        <v>-13.347184940170287</v>
      </c>
      <c r="AK25" s="40">
        <f t="shared" si="16"/>
        <v>-12.757260933178749</v>
      </c>
      <c r="AL25" s="40">
        <f t="shared" si="17"/>
        <v>-5.1101764761596336</v>
      </c>
      <c r="AM25" s="40">
        <f t="shared" si="18"/>
        <v>-10.142803082298535</v>
      </c>
      <c r="AN25" s="40">
        <f t="shared" si="19"/>
        <v>-12.515397427581121</v>
      </c>
      <c r="AO25" s="40">
        <f t="shared" si="20"/>
        <v>-12.307752298305275</v>
      </c>
      <c r="AP25" s="40">
        <f t="shared" si="21"/>
        <v>-13.773459540837862</v>
      </c>
      <c r="AQ25" s="40">
        <f t="shared" si="22"/>
        <v>-15.361711164024072</v>
      </c>
      <c r="AR25" s="37"/>
      <c r="AS25" s="40">
        <f t="shared" si="23"/>
        <v>0.50000008195638657</v>
      </c>
      <c r="AT25" s="40">
        <f t="shared" si="24"/>
        <v>-9.7000000532716513</v>
      </c>
      <c r="AU25" s="40">
        <f t="shared" si="25"/>
        <v>-0.19999999999242846</v>
      </c>
      <c r="AV25" s="40">
        <f t="shared" si="26"/>
        <v>2.1000000415369868</v>
      </c>
      <c r="AW25" s="40">
        <f t="shared" si="27"/>
        <v>-6.9999999832361937</v>
      </c>
      <c r="AX25" s="40">
        <f t="shared" si="28"/>
        <v>-0.59999999999149622</v>
      </c>
      <c r="AY25" s="40">
        <f t="shared" si="29"/>
        <v>1.0999999940395355</v>
      </c>
      <c r="AZ25" s="40">
        <f t="shared" si="30"/>
        <v>-8.3999999333173037</v>
      </c>
      <c r="BA25" s="40">
        <f t="shared" si="31"/>
        <v>-1.1999999999972033</v>
      </c>
      <c r="BB25" s="40">
        <f t="shared" si="32"/>
        <v>-2.7000000700354576</v>
      </c>
      <c r="BC25" s="40">
        <f t="shared" si="33"/>
        <v>0.80000003799796104</v>
      </c>
      <c r="BD25" s="40">
        <f t="shared" si="34"/>
        <v>-10.699999999999932</v>
      </c>
      <c r="BE25" s="40">
        <f t="shared" si="35"/>
        <v>-2.5000000605359674</v>
      </c>
      <c r="BF25" s="40">
        <f t="shared" si="36"/>
        <v>3.499999875202775</v>
      </c>
      <c r="BG25" s="40">
        <f t="shared" si="37"/>
        <v>-3.2999999999958618</v>
      </c>
      <c r="BH25" s="40">
        <f t="shared" si="38"/>
        <v>-3.9000000106170774</v>
      </c>
      <c r="BI25" s="40">
        <f t="shared" si="39"/>
        <v>5.3999999072402716</v>
      </c>
      <c r="BJ25" s="40">
        <f t="shared" si="40"/>
        <v>-0.60000000000570708</v>
      </c>
      <c r="BK25" s="40">
        <f t="shared" si="41"/>
        <v>-4.3000000296160579</v>
      </c>
      <c r="BL25" s="40">
        <f t="shared" si="42"/>
        <v>4.999999888241291</v>
      </c>
      <c r="BM25" s="40">
        <f t="shared" si="43"/>
        <v>1.3999999999896318</v>
      </c>
      <c r="BN25" s="37"/>
      <c r="BO25" s="36">
        <v>169.3714090437694</v>
      </c>
      <c r="BP25" s="36">
        <v>-3.7648498831622974</v>
      </c>
      <c r="BQ25" s="36">
        <v>-1.1610340904376955</v>
      </c>
      <c r="BR25" s="36">
        <v>169.21083487841469</v>
      </c>
      <c r="BS25" s="36">
        <v>-4.2046275400182322</v>
      </c>
      <c r="BT25" s="36">
        <v>0.82687165121585338</v>
      </c>
      <c r="BU25" s="36">
        <v>169.18890188626295</v>
      </c>
      <c r="BV25" s="36">
        <v>-3.2327223163550127</v>
      </c>
      <c r="BW25" s="36">
        <v>2.9681909811373686</v>
      </c>
      <c r="BX25" s="36">
        <v>168.96150499764778</v>
      </c>
      <c r="BY25" s="36">
        <v>0.21736891061893093</v>
      </c>
      <c r="BZ25" s="36">
        <v>4.3422649500235195</v>
      </c>
      <c r="CA25" s="36">
        <v>169.20040789367718</v>
      </c>
      <c r="CB25" s="36">
        <v>3.2065519138389003</v>
      </c>
      <c r="CC25" s="36">
        <v>2.9801759210632213</v>
      </c>
      <c r="CD25" s="36">
        <v>169.19209580954944</v>
      </c>
      <c r="CE25" s="36">
        <v>4.1939674846047428</v>
      </c>
      <c r="CF25" s="36">
        <v>0.83295904190450187</v>
      </c>
      <c r="CG25" s="36">
        <v>169.25693647889298</v>
      </c>
      <c r="CH25" s="36">
        <v>3.8665951313688556</v>
      </c>
      <c r="CI25" s="36">
        <v>-1.0864893647889318</v>
      </c>
      <c r="CJ25" s="37"/>
      <c r="CK25" s="40">
        <f t="shared" si="44"/>
        <v>-3.646578421552249</v>
      </c>
      <c r="CL25" s="40">
        <f t="shared" si="45"/>
        <v>9.0023589647580948</v>
      </c>
      <c r="CM25" s="40">
        <f t="shared" si="46"/>
        <v>-0.16353421577264271</v>
      </c>
      <c r="CN25" s="40">
        <f t="shared" si="47"/>
        <v>-1.0553507226802594</v>
      </c>
      <c r="CO25" s="40">
        <f t="shared" si="48"/>
        <v>7.2316135676526727</v>
      </c>
      <c r="CP25" s="40">
        <f t="shared" si="49"/>
        <v>-0.58944649276782002</v>
      </c>
      <c r="CQ25" s="40">
        <f t="shared" si="50"/>
        <v>-2.5533556079153641</v>
      </c>
      <c r="CR25" s="40">
        <f t="shared" si="51"/>
        <v>8.0777703610843687</v>
      </c>
      <c r="CS25" s="40">
        <f t="shared" si="52"/>
        <v>-1.1744664439135022</v>
      </c>
      <c r="CT25" s="40">
        <f t="shared" si="53"/>
        <v>-2.1088669720654707</v>
      </c>
      <c r="CU25" s="40">
        <f t="shared" si="54"/>
        <v>-1.8661941306283569</v>
      </c>
      <c r="CV25" s="40">
        <f t="shared" si="55"/>
        <v>-10.678911330288088</v>
      </c>
      <c r="CW25" s="40">
        <f t="shared" si="56"/>
        <v>-0.78644819518558506</v>
      </c>
      <c r="CX25" s="40">
        <f t="shared" si="57"/>
        <v>-4.2286521097625318</v>
      </c>
      <c r="CY25" s="40">
        <f t="shared" si="58"/>
        <v>-3.292135518051964</v>
      </c>
      <c r="CZ25" s="40">
        <f t="shared" si="59"/>
        <v>-1.2522181860674664</v>
      </c>
      <c r="DA25" s="40">
        <f t="shared" si="60"/>
        <v>-6.5423198252503312</v>
      </c>
      <c r="DB25" s="40">
        <f t="shared" si="61"/>
        <v>-0.58747781814361133</v>
      </c>
      <c r="DC25" s="40">
        <f t="shared" si="62"/>
        <v>-1.7837958349957717</v>
      </c>
      <c r="DD25" s="40">
        <f t="shared" si="63"/>
        <v>-6.3488638003965647</v>
      </c>
      <c r="DE25" s="40">
        <f t="shared" si="64"/>
        <v>1.4178379583427159</v>
      </c>
    </row>
    <row r="26" spans="1:109" ht="29.25" customHeight="1" x14ac:dyDescent="0.2">
      <c r="A26" s="34">
        <v>43669</v>
      </c>
      <c r="B26" s="27">
        <f t="shared" si="65"/>
        <v>70</v>
      </c>
      <c r="C26" s="35">
        <v>189.2</v>
      </c>
      <c r="D26" s="35">
        <f t="shared" si="0"/>
        <v>20</v>
      </c>
      <c r="E26" s="36">
        <v>823219.5821</v>
      </c>
      <c r="F26" s="36">
        <v>1091508.5992999999</v>
      </c>
      <c r="G26" s="36">
        <v>-125.01</v>
      </c>
      <c r="H26" s="36">
        <v>823219.25020000001</v>
      </c>
      <c r="I26" s="36">
        <v>1091508.9288000001</v>
      </c>
      <c r="J26" s="36">
        <v>-123.02379999999999</v>
      </c>
      <c r="K26" s="36">
        <v>823219.64110000001</v>
      </c>
      <c r="L26" s="36">
        <v>1091508.0401000001</v>
      </c>
      <c r="M26" s="36">
        <v>-120.8827</v>
      </c>
      <c r="N26" s="36">
        <v>823220.89379999996</v>
      </c>
      <c r="O26" s="36">
        <v>1091504.8169</v>
      </c>
      <c r="P26" s="36">
        <v>-119.51139999999999</v>
      </c>
      <c r="Q26" s="36">
        <v>823222.37340000004</v>
      </c>
      <c r="R26" s="36">
        <v>1091502.2093</v>
      </c>
      <c r="S26" s="36">
        <v>-120.8711</v>
      </c>
      <c r="T26" s="36">
        <v>823222.78390000004</v>
      </c>
      <c r="U26" s="36">
        <v>1091501.3106</v>
      </c>
      <c r="V26" s="36">
        <v>-123.01779999999999</v>
      </c>
      <c r="W26" s="36">
        <v>823222.70369999995</v>
      </c>
      <c r="X26" s="36">
        <v>1091501.6351000001</v>
      </c>
      <c r="Y26" s="36">
        <v>-124.9366</v>
      </c>
      <c r="Z26" s="36">
        <f t="shared" ref="Z26" si="66">IF(Xhaut="","",SQRT(((Xbasgauche-Xhaut)^2+(Ybasgauche-Yhaut)^2)+(Zbasgauche-Zhaut)^2))</f>
        <v>6.8015960339623822</v>
      </c>
      <c r="AA26" s="36">
        <f t="shared" ref="AA26" si="67">IF(Xhaut="","",SQRT(((Xintergauche-Xhaut)^2+(Yintergauche-Yhaut)^2)+(Zintergauche-Zhaut)^2))</f>
        <v>5.6520877851417524</v>
      </c>
      <c r="AB26" s="36">
        <f t="shared" ref="AB26" si="68">IF(Xhaut="","",SQRT(((Xhautgauche-Xhaut)^2+(Yhautgauche-Yhaut)^2)+(Zhautgauche-Zhaut)^2))</f>
        <v>3.7200455938984813</v>
      </c>
      <c r="AC26" s="36">
        <f t="shared" ref="AC26" si="69">IF(Xhaut="","",SQRT(((Xhautdroit-Xhaut)^2+(Yhautdroit-Yhaut)^2)+(Zhautdroit-Zhaut)^2))</f>
        <v>3.2920476925726541</v>
      </c>
      <c r="AD26" s="36">
        <f t="shared" ref="AD26" si="70">IF(Xhaut="","",SQRT(((Xinterdroit-Xhaut)^2+(Yinterdroit-Yhaut)^2)+(Zinterdroit-Zhaut)^2))</f>
        <v>5.3067371011147957</v>
      </c>
      <c r="AE26" s="36">
        <f t="shared" ref="AE26" si="71">IF(Xhaut="","",SQRT(((Xbasdroit-Xhaut)^2+(Ybasdroit-Yhaut)^2)+(Zbasdroit-Zhaut)^2))</f>
        <v>6.5446454670488299</v>
      </c>
      <c r="AF26" s="36">
        <f t="shared" ref="AF26" si="72">IF(Xhautdroit="","",SQRT(((Xhautdroit-Xhautgauche)^2+(Yhautdroit-Yhautgauche)^2)+(Zhautdroit-Zhautgauche)^2))</f>
        <v>6.4392411425174227</v>
      </c>
      <c r="AG26" s="36">
        <f t="shared" ref="AG26" si="73">IF(Xinterdroit="","",SQRT(((Xinterdroit-Xintergauche)^2+(Yinterdroit-Yintergauche)^2)+(Zinterdroit-Zintergauche)^2))</f>
        <v>8.3978594256143193</v>
      </c>
      <c r="AH26" s="36">
        <f t="shared" ref="AH26" si="74">IF(Xbasdroit="","",SQRT(((Xbasdroit-Xbasgauche)^2+(Ybasdroit-Ybasgauche)^2)+(Zbasdroit-Zbasgauche)^2))</f>
        <v>7.6321593115653608</v>
      </c>
      <c r="AI26" s="40">
        <f t="shared" si="14"/>
        <v>-15.355261863308378</v>
      </c>
      <c r="AJ26" s="40">
        <f t="shared" si="15"/>
        <v>-14.283759279900998</v>
      </c>
      <c r="AK26" s="40">
        <f t="shared" si="16"/>
        <v>-12.479678536851946</v>
      </c>
      <c r="AL26" s="40">
        <f t="shared" si="17"/>
        <v>-5.6410646621127825</v>
      </c>
      <c r="AM26" s="40">
        <f t="shared" si="18"/>
        <v>-10.528966143631635</v>
      </c>
      <c r="AN26" s="40">
        <f t="shared" si="19"/>
        <v>-13.359782965758349</v>
      </c>
      <c r="AO26" s="40">
        <f t="shared" si="20"/>
        <v>-12.362488201624444</v>
      </c>
      <c r="AP26" s="40">
        <f t="shared" si="21"/>
        <v>-14.532036331669218</v>
      </c>
      <c r="AQ26" s="40">
        <f t="shared" si="22"/>
        <v>-15.858853148861485</v>
      </c>
      <c r="AR26" s="37"/>
      <c r="AS26" s="40">
        <f t="shared" si="23"/>
        <v>-0.699999975040555</v>
      </c>
      <c r="AT26" s="40">
        <f t="shared" si="24"/>
        <v>-8.6000000592321157</v>
      </c>
      <c r="AU26" s="40">
        <f t="shared" si="25"/>
        <v>0</v>
      </c>
      <c r="AV26" s="40">
        <f t="shared" si="26"/>
        <v>0.40000001899898052</v>
      </c>
      <c r="AW26" s="40">
        <f t="shared" si="27"/>
        <v>-7.099999813362956</v>
      </c>
      <c r="AX26" s="40">
        <f t="shared" si="28"/>
        <v>-0.49999999998817657</v>
      </c>
      <c r="AY26" s="40">
        <f t="shared" si="29"/>
        <v>-0.60000002849847078</v>
      </c>
      <c r="AZ26" s="40">
        <f t="shared" si="30"/>
        <v>-7.099999813362956</v>
      </c>
      <c r="BA26" s="40">
        <f t="shared" si="31"/>
        <v>-1.0999999999938836</v>
      </c>
      <c r="BB26" s="40">
        <f t="shared" si="32"/>
        <v>-3.8000000640749931</v>
      </c>
      <c r="BC26" s="40">
        <f t="shared" si="33"/>
        <v>1.7999999690800905</v>
      </c>
      <c r="BD26" s="40">
        <f t="shared" si="34"/>
        <v>-11.099999999999</v>
      </c>
      <c r="BE26" s="40">
        <f t="shared" si="35"/>
        <v>-3.9000000106170774</v>
      </c>
      <c r="BF26" s="40">
        <f t="shared" si="36"/>
        <v>4.999999888241291</v>
      </c>
      <c r="BG26" s="40">
        <f t="shared" si="37"/>
        <v>-3.6999999999949296</v>
      </c>
      <c r="BH26" s="40">
        <f t="shared" si="38"/>
        <v>-4.5999999856576324</v>
      </c>
      <c r="BI26" s="40">
        <f t="shared" si="39"/>
        <v>6.5999999642372131</v>
      </c>
      <c r="BJ26" s="40">
        <f t="shared" si="40"/>
        <v>-0.39999999999906777</v>
      </c>
      <c r="BK26" s="40">
        <f t="shared" si="41"/>
        <v>-5.6000000331550837</v>
      </c>
      <c r="BL26" s="40">
        <f t="shared" si="42"/>
        <v>6.5999999642372131</v>
      </c>
      <c r="BM26" s="40">
        <f t="shared" si="43"/>
        <v>1.5999999999962711</v>
      </c>
      <c r="BN26" s="37"/>
      <c r="BO26" s="36">
        <v>169.37078641046733</v>
      </c>
      <c r="BP26" s="36">
        <v>-3.7663539868471463</v>
      </c>
      <c r="BQ26" s="36">
        <v>-1.1608278641046752</v>
      </c>
      <c r="BR26" s="36">
        <v>169.20925191678151</v>
      </c>
      <c r="BS26" s="36">
        <v>-4.2052554193939384</v>
      </c>
      <c r="BT26" s="36">
        <v>0.82698748083218732</v>
      </c>
      <c r="BU26" s="36">
        <v>169.18791063742279</v>
      </c>
      <c r="BV26" s="36">
        <v>-3.2346190045543337</v>
      </c>
      <c r="BW26" s="36">
        <v>2.9683008936257664</v>
      </c>
      <c r="BX26" s="36">
        <v>168.96093072838008</v>
      </c>
      <c r="BY26" s="36">
        <v>0.21599770142368302</v>
      </c>
      <c r="BZ26" s="36">
        <v>4.3418706927161992</v>
      </c>
      <c r="CA26" s="36">
        <v>169.19977306287427</v>
      </c>
      <c r="CB26" s="36">
        <v>3.2046007629603221</v>
      </c>
      <c r="CC26" s="36">
        <v>2.9797822693712561</v>
      </c>
      <c r="CD26" s="36">
        <v>169.19196858757385</v>
      </c>
      <c r="CE26" s="36">
        <v>4.1925840776976031</v>
      </c>
      <c r="CF26" s="36">
        <v>0.83316031412427094</v>
      </c>
      <c r="CG26" s="36">
        <v>169.25643454247415</v>
      </c>
      <c r="CH26" s="36">
        <v>3.8645956164067052</v>
      </c>
      <c r="CI26" s="36">
        <v>-1.0862843454247439</v>
      </c>
      <c r="CJ26" s="37"/>
      <c r="CK26" s="40">
        <f t="shared" ref="CK26:CK28" si="75">IF(BO26="","",(BO26-BO$10)*1000)</f>
        <v>-4.2692117236242666</v>
      </c>
      <c r="CL26" s="40">
        <f t="shared" ref="CL26:CL28" si="76">IF(BP26="","",(BP26-BP$10)*1000)</f>
        <v>7.4982552799092161</v>
      </c>
      <c r="CM26" s="40">
        <f t="shared" ref="CM26:CM28" si="77">IF(BQ26="","",(BQ26-BQ$10)*1000)</f>
        <v>4.269211724761135E-2</v>
      </c>
      <c r="CN26" s="40">
        <f t="shared" ref="CN26:CN28" si="78">IF(BR26="","",(BR26-BR$10)*1000)</f>
        <v>-2.6383123558559873</v>
      </c>
      <c r="CO26" s="40">
        <f t="shared" ref="CO26:CO28" si="79">IF(BS26="","",(BS26-BS$10)*1000)</f>
        <v>6.6037341919464865</v>
      </c>
      <c r="CP26" s="40">
        <f t="shared" ref="CP26:CP28" si="80">IF(BT26="","",(BT26-BT$10)*1000)</f>
        <v>-0.47361687643387995</v>
      </c>
      <c r="CQ26" s="40">
        <f t="shared" ref="CQ26:CQ28" si="81">IF(BU26="","",(BU26-BU$10)*1000)</f>
        <v>-3.5446044480806904</v>
      </c>
      <c r="CR26" s="40">
        <f t="shared" ref="CR26:CR28" si="82">IF(BV26="","",(BV26-BV$10)*1000)</f>
        <v>6.1810821617633849</v>
      </c>
      <c r="CS26" s="40">
        <f t="shared" ref="CS26:CS28" si="83">IF(BW26="","",(BW26-BW$10)*1000)</f>
        <v>-1.0645539555156347</v>
      </c>
      <c r="CT26" s="40">
        <f t="shared" ref="CT26:CT28" si="84">IF(BX26="","",(BX26-BX$10)*1000)</f>
        <v>-2.6831362397672365</v>
      </c>
      <c r="CU26" s="40">
        <f t="shared" ref="CU26:CU28" si="85">IF(BY26="","",(BY26-BY$10)*1000)</f>
        <v>-3.2374033258762704</v>
      </c>
      <c r="CV26" s="40">
        <f t="shared" ref="CV26:CV28" si="86">IF(BZ26="","",(BZ26-BZ$10)*1000)</f>
        <v>-11.073168637608433</v>
      </c>
      <c r="CW26" s="40">
        <f t="shared" ref="CW26:CW28" si="87">IF(CA26="","",(CA26-CA$10)*1000)</f>
        <v>-1.4212789980945217</v>
      </c>
      <c r="CX26" s="40">
        <f t="shared" ref="CX26:CX28" si="88">IF(CB26="","",(CB26-CB$10)*1000)</f>
        <v>-6.1798029883406436</v>
      </c>
      <c r="CY26" s="40">
        <f t="shared" ref="CY26:CY28" si="89">IF(CC26="","",(CC26-CC$10)*1000)</f>
        <v>-3.6857872100171107</v>
      </c>
      <c r="CZ26" s="40">
        <f t="shared" ref="CZ26:CZ28" si="90">IF(CD26="","",(CD26-CD$10)*1000)</f>
        <v>-1.3794401616564755</v>
      </c>
      <c r="DA26" s="40">
        <f t="shared" ref="DA26:DA28" si="91">IF(CE26="","",(CE26-CE$10)*1000)</f>
        <v>-7.9257267323900038</v>
      </c>
      <c r="DB26" s="40">
        <f t="shared" ref="DB26:DB28" si="92">IF(CF26="","",(CF26-CF$10)*1000)</f>
        <v>-0.38620559837454493</v>
      </c>
      <c r="DC26" s="40">
        <f t="shared" ref="DC26:DC28" si="93">IF(CG26="","",(CG26-CG$10)*1000)</f>
        <v>-2.2857322538243352</v>
      </c>
      <c r="DD26" s="40">
        <f t="shared" ref="DD26:DD28" si="94">IF(CH26="","",(CH26-CH$10)*1000)</f>
        <v>-8.3483787625469041</v>
      </c>
      <c r="DE26" s="40">
        <f t="shared" ref="DE26:DE28" si="95">IF(CI26="","",(CI26-CI$10)*1000)</f>
        <v>1.6228573225305354</v>
      </c>
    </row>
    <row r="27" spans="1:109" ht="29.25" customHeight="1" x14ac:dyDescent="0.2">
      <c r="A27" s="34">
        <v>43675</v>
      </c>
      <c r="B27" s="27">
        <f t="shared" ref="B27:B47" si="96">A27-A$10</f>
        <v>76</v>
      </c>
      <c r="C27" s="35">
        <v>191.5</v>
      </c>
      <c r="D27" s="35">
        <f t="shared" si="0"/>
        <v>22.300000000000011</v>
      </c>
      <c r="E27" s="36">
        <v>823219.58310000005</v>
      </c>
      <c r="F27" s="36">
        <v>1091508.5967999999</v>
      </c>
      <c r="G27" s="36">
        <v>-125.01049999999999</v>
      </c>
      <c r="H27" s="36">
        <v>823219.2513</v>
      </c>
      <c r="I27" s="36">
        <v>1091508.9271</v>
      </c>
      <c r="J27" s="36">
        <v>-123.024</v>
      </c>
      <c r="K27" s="36">
        <v>823219.64199999999</v>
      </c>
      <c r="L27" s="36">
        <v>1091508.0375000001</v>
      </c>
      <c r="M27" s="36">
        <v>-120.8827</v>
      </c>
      <c r="N27" s="36">
        <v>823220.89390000002</v>
      </c>
      <c r="O27" s="36">
        <v>1091504.8143</v>
      </c>
      <c r="P27" s="36">
        <v>-119.51220000000001</v>
      </c>
      <c r="Q27" s="36">
        <v>823222.37360000005</v>
      </c>
      <c r="R27" s="36">
        <v>1091502.2064</v>
      </c>
      <c r="S27" s="36">
        <v>-120.8716</v>
      </c>
      <c r="T27" s="36">
        <v>823222.78370000003</v>
      </c>
      <c r="U27" s="36">
        <v>1091501.3075000001</v>
      </c>
      <c r="V27" s="36">
        <v>-123.0181</v>
      </c>
      <c r="W27" s="36">
        <v>823222.70330000005</v>
      </c>
      <c r="X27" s="36">
        <v>1091501.6322999999</v>
      </c>
      <c r="Y27" s="36">
        <v>-124.937</v>
      </c>
      <c r="Z27" s="36">
        <f t="shared" si="1"/>
        <v>6.8012356068386133</v>
      </c>
      <c r="AA27" s="36">
        <f t="shared" si="2"/>
        <v>5.6520790723494443</v>
      </c>
      <c r="AB27" s="36">
        <f t="shared" si="3"/>
        <v>3.7194814290274234</v>
      </c>
      <c r="AC27" s="36">
        <f t="shared" si="4"/>
        <v>3.2922063817120333</v>
      </c>
      <c r="AD27" s="36">
        <f t="shared" si="5"/>
        <v>5.3066302951134805</v>
      </c>
      <c r="AE27" s="36">
        <f t="shared" si="6"/>
        <v>6.5442728702498831</v>
      </c>
      <c r="AF27" s="36">
        <f t="shared" si="7"/>
        <v>6.4392149351541921</v>
      </c>
      <c r="AG27" s="36">
        <f t="shared" si="8"/>
        <v>8.398582542789331</v>
      </c>
      <c r="AH27" s="36">
        <f t="shared" si="9"/>
        <v>7.6318615383179065</v>
      </c>
      <c r="AI27" s="40">
        <f t="shared" ref="AI27:AQ28" si="97">IF(Z27="","",(Z27-Z$10)*1000)</f>
        <v>-15.715688987077314</v>
      </c>
      <c r="AJ27" s="40">
        <f t="shared" si="97"/>
        <v>-14.292472072209073</v>
      </c>
      <c r="AK27" s="40">
        <f t="shared" si="97"/>
        <v>-13.043843407909872</v>
      </c>
      <c r="AL27" s="40">
        <f t="shared" si="97"/>
        <v>-5.4823755227335624</v>
      </c>
      <c r="AM27" s="40">
        <f t="shared" si="97"/>
        <v>-10.63577214494682</v>
      </c>
      <c r="AN27" s="40">
        <f t="shared" si="97"/>
        <v>-13.732379764705094</v>
      </c>
      <c r="AO27" s="40">
        <f t="shared" si="97"/>
        <v>-12.388695564855112</v>
      </c>
      <c r="AP27" s="40">
        <f t="shared" si="97"/>
        <v>-13.808919156657495</v>
      </c>
      <c r="AQ27" s="40">
        <f t="shared" si="97"/>
        <v>-16.156626396315765</v>
      </c>
      <c r="AR27" s="37"/>
      <c r="AS27" s="40">
        <f t="shared" ref="AS27" si="98">IF(E27="","",(E27-E$10)*1000)</f>
        <v>0.30000007245689631</v>
      </c>
      <c r="AT27" s="40">
        <f t="shared" ref="AT27" si="99">IF(F27="","",(F27-F$10)*1000)</f>
        <v>-11.100000003352761</v>
      </c>
      <c r="AU27" s="40">
        <f t="shared" ref="AU27" si="100">IF(G27="","",(G27-G$10)*1000)</f>
        <v>-0.49999999998817657</v>
      </c>
      <c r="AV27" s="40">
        <f t="shared" ref="AV27" si="101">IF(H27="","",(H27-H$10)*1000)</f>
        <v>1.500000013038516</v>
      </c>
      <c r="AW27" s="40">
        <f t="shared" ref="AW27" si="102">IF(I27="","",(I27-I$10)*1000)</f>
        <v>-8.7999999523162842</v>
      </c>
      <c r="AX27" s="40">
        <f t="shared" ref="AX27" si="103">IF(J27="","",(J27-J$10)*1000)</f>
        <v>-0.69999999999481588</v>
      </c>
      <c r="AY27" s="40">
        <f t="shared" ref="AY27" si="104">IF(K27="","",(K27-K$10)*1000)</f>
        <v>0.29999995604157448</v>
      </c>
      <c r="AZ27" s="40">
        <f t="shared" ref="AZ27" si="105">IF(L27="","",(L27-L$10)*1000)</f>
        <v>-9.6999998204410076</v>
      </c>
      <c r="BA27" s="40">
        <f t="shared" ref="BA27" si="106">IF(M27="","",(M27-M$10)*1000)</f>
        <v>-1.0999999999938836</v>
      </c>
      <c r="BB27" s="40">
        <f t="shared" ref="BB27" si="107">IF(N27="","",(N27-N$10)*1000)</f>
        <v>-3.7000000011175871</v>
      </c>
      <c r="BC27" s="40">
        <f t="shared" ref="BC27" si="108">IF(O27="","",(O27-O$10)*1000)</f>
        <v>-0.80000003799796104</v>
      </c>
      <c r="BD27" s="40">
        <f t="shared" ref="BD27" si="109">IF(P27="","",(P27-P$10)*1000)</f>
        <v>-11.900000000011346</v>
      </c>
      <c r="BE27" s="40">
        <f t="shared" ref="BE27" si="110">IF(Q27="","",(Q27-Q$10)*1000)</f>
        <v>-3.7000000011175871</v>
      </c>
      <c r="BF27" s="40">
        <f t="shared" ref="BF27" si="111">IF(R27="","",(R27-R$10)*1000)</f>
        <v>2.099999925121665</v>
      </c>
      <c r="BG27" s="40">
        <f t="shared" ref="BG27" si="112">IF(S27="","",(S27-S$10)*1000)</f>
        <v>-4.199999999997317</v>
      </c>
      <c r="BH27" s="40">
        <f t="shared" ref="BH27" si="113">IF(T27="","",(T27-T$10)*1000)</f>
        <v>-4.7999999951571226</v>
      </c>
      <c r="BI27" s="40">
        <f t="shared" ref="BI27" si="114">IF(U27="","",(U27-U$10)*1000)</f>
        <v>3.5000001080334187</v>
      </c>
      <c r="BJ27" s="40">
        <f t="shared" ref="BJ27" si="115">IF(V27="","",(V27-V$10)*1000)</f>
        <v>-0.70000000000902673</v>
      </c>
      <c r="BK27" s="40">
        <f t="shared" ref="BK27" si="116">IF(W27="","",(W27-W$10)*1000)</f>
        <v>-5.9999999357387424</v>
      </c>
      <c r="BL27" s="40">
        <f t="shared" ref="BL27" si="117">IF(X27="","",(X27-X$10)*1000)</f>
        <v>3.7999998312443495</v>
      </c>
      <c r="BM27" s="40">
        <f t="shared" ref="BM27" si="118">IF(Y27="","",(Y27-Y$10)*1000)</f>
        <v>1.1999999999972033</v>
      </c>
      <c r="BN27" s="37"/>
      <c r="BO27" s="36">
        <v>169.37063607255791</v>
      </c>
      <c r="BP27" s="36">
        <v>-3.7636656047447588</v>
      </c>
      <c r="BQ27" s="36">
        <v>-1.1613263607255817</v>
      </c>
      <c r="BR27" s="36">
        <v>169.2095303295543</v>
      </c>
      <c r="BS27" s="36">
        <v>-4.2032498055758705</v>
      </c>
      <c r="BT27" s="36">
        <v>0.82678469670445054</v>
      </c>
      <c r="BU27" s="36">
        <v>169.18762740502382</v>
      </c>
      <c r="BV27" s="36">
        <v>-3.2318822584175519</v>
      </c>
      <c r="BW27" s="36">
        <v>2.9683037259497524</v>
      </c>
      <c r="BX27" s="36">
        <v>168.95992246241281</v>
      </c>
      <c r="BY27" s="36">
        <v>0.21839632598551284</v>
      </c>
      <c r="BZ27" s="36">
        <v>4.3410807753758576</v>
      </c>
      <c r="CA27" s="36">
        <v>169.198728630479</v>
      </c>
      <c r="CB27" s="36">
        <v>3.2073135402754906</v>
      </c>
      <c r="CC27" s="36">
        <v>2.9792927136952017</v>
      </c>
      <c r="CD27" s="36">
        <v>169.19047710798492</v>
      </c>
      <c r="CE27" s="36">
        <v>4.1953090525136227</v>
      </c>
      <c r="CF27" s="36">
        <v>0.83287522892014465</v>
      </c>
      <c r="CG27" s="36">
        <v>169.25488860005831</v>
      </c>
      <c r="CH27" s="36">
        <v>3.866964173502025</v>
      </c>
      <c r="CI27" s="36">
        <v>-1.0866688860005809</v>
      </c>
      <c r="CJ27" s="37"/>
      <c r="CK27" s="40">
        <f t="shared" si="75"/>
        <v>-4.4195496330416972</v>
      </c>
      <c r="CL27" s="40">
        <f t="shared" si="76"/>
        <v>10.186637382296748</v>
      </c>
      <c r="CM27" s="40">
        <f t="shared" si="77"/>
        <v>-0.45580450365889646</v>
      </c>
      <c r="CN27" s="40">
        <f t="shared" si="78"/>
        <v>-2.3598995830695912</v>
      </c>
      <c r="CO27" s="40">
        <f t="shared" si="79"/>
        <v>8.6093480100144504</v>
      </c>
      <c r="CP27" s="40">
        <f t="shared" si="80"/>
        <v>-0.67640100417065696</v>
      </c>
      <c r="CQ27" s="40">
        <f t="shared" si="81"/>
        <v>-3.8278368470514579</v>
      </c>
      <c r="CR27" s="40">
        <f t="shared" si="82"/>
        <v>8.9178282985451496</v>
      </c>
      <c r="CS27" s="40">
        <f t="shared" si="83"/>
        <v>-1.0617216315296218</v>
      </c>
      <c r="CT27" s="40">
        <f t="shared" si="84"/>
        <v>-3.6914022070391184</v>
      </c>
      <c r="CU27" s="40">
        <f t="shared" si="85"/>
        <v>-0.83877876404644947</v>
      </c>
      <c r="CV27" s="40">
        <f t="shared" si="86"/>
        <v>-11.86308597795005</v>
      </c>
      <c r="CW27" s="40">
        <f t="shared" si="87"/>
        <v>-2.4657113933699293</v>
      </c>
      <c r="CX27" s="40">
        <f t="shared" si="88"/>
        <v>-3.4670256731721416</v>
      </c>
      <c r="CY27" s="40">
        <f t="shared" si="89"/>
        <v>-4.1753428860715758</v>
      </c>
      <c r="CZ27" s="40">
        <f t="shared" si="90"/>
        <v>-2.8709197505918382</v>
      </c>
      <c r="DA27" s="40">
        <f t="shared" si="91"/>
        <v>-5.2007519163703719</v>
      </c>
      <c r="DB27" s="40">
        <f t="shared" si="92"/>
        <v>-0.67129080250083462</v>
      </c>
      <c r="DC27" s="40">
        <f t="shared" si="93"/>
        <v>-3.8316746696693826</v>
      </c>
      <c r="DD27" s="40">
        <f t="shared" si="94"/>
        <v>-5.9798216672271032</v>
      </c>
      <c r="DE27" s="40">
        <f t="shared" si="95"/>
        <v>1.2383167466936129</v>
      </c>
    </row>
    <row r="28" spans="1:109" ht="29.25" customHeight="1" x14ac:dyDescent="0.2">
      <c r="A28" s="34">
        <v>43679</v>
      </c>
      <c r="B28" s="27">
        <f t="shared" si="96"/>
        <v>80</v>
      </c>
      <c r="C28" s="35">
        <v>193.04</v>
      </c>
      <c r="D28" s="35">
        <f t="shared" si="0"/>
        <v>23.840000000000003</v>
      </c>
      <c r="E28" s="36">
        <v>823219.58250000002</v>
      </c>
      <c r="F28" s="36">
        <v>1091508.598</v>
      </c>
      <c r="G28" s="36">
        <v>-125.0097</v>
      </c>
      <c r="H28" s="36">
        <v>823219.25089999998</v>
      </c>
      <c r="I28" s="36">
        <v>1091508.9280000001</v>
      </c>
      <c r="J28" s="36">
        <v>-123.0234</v>
      </c>
      <c r="K28" s="36">
        <v>823219.64150000003</v>
      </c>
      <c r="L28" s="36">
        <v>1091508.0390000001</v>
      </c>
      <c r="M28" s="36">
        <v>-120.8824</v>
      </c>
      <c r="N28" s="36">
        <v>823220.89359999995</v>
      </c>
      <c r="O28" s="36">
        <v>1091504.8160000001</v>
      </c>
      <c r="P28" s="36">
        <v>-119.512</v>
      </c>
      <c r="Q28" s="36">
        <v>823222.37329999998</v>
      </c>
      <c r="R28" s="36">
        <v>1091502.209</v>
      </c>
      <c r="S28" s="36">
        <v>-120.8711</v>
      </c>
      <c r="T28" s="36">
        <v>823222.78370000003</v>
      </c>
      <c r="U28" s="36">
        <v>1091501.31</v>
      </c>
      <c r="V28" s="36">
        <v>-123.01730000000001</v>
      </c>
      <c r="W28" s="36">
        <v>823222.70299999998</v>
      </c>
      <c r="X28" s="36">
        <v>1091501.6340000001</v>
      </c>
      <c r="Y28" s="36">
        <v>-124.9362</v>
      </c>
      <c r="Z28" s="36">
        <f t="shared" si="1"/>
        <v>6.8005303101298153</v>
      </c>
      <c r="AA28" s="36">
        <f t="shared" si="2"/>
        <v>5.6512774882854968</v>
      </c>
      <c r="AB28" s="36">
        <f t="shared" si="3"/>
        <v>3.7193385930566327</v>
      </c>
      <c r="AC28" s="36">
        <f t="shared" si="4"/>
        <v>3.2913696086087243</v>
      </c>
      <c r="AD28" s="36">
        <f t="shared" si="5"/>
        <v>5.3058121056683243</v>
      </c>
      <c r="AE28" s="36">
        <f t="shared" si="6"/>
        <v>6.5437755157316282</v>
      </c>
      <c r="AF28" s="36">
        <f t="shared" si="7"/>
        <v>6.4383040414846855</v>
      </c>
      <c r="AG28" s="36">
        <f t="shared" si="8"/>
        <v>8.3972993903141244</v>
      </c>
      <c r="AH28" s="36">
        <f t="shared" si="9"/>
        <v>7.6315279268728577</v>
      </c>
      <c r="AI28" s="40">
        <f t="shared" si="97"/>
        <v>-16.420985695875245</v>
      </c>
      <c r="AJ28" s="40">
        <f t="shared" si="97"/>
        <v>-15.094056136156553</v>
      </c>
      <c r="AK28" s="40">
        <f t="shared" si="97"/>
        <v>-13.18667937870055</v>
      </c>
      <c r="AL28" s="40">
        <f t="shared" si="97"/>
        <v>-6.3191486260425478</v>
      </c>
      <c r="AM28" s="40">
        <f t="shared" si="97"/>
        <v>-11.453961590103034</v>
      </c>
      <c r="AN28" s="40">
        <f t="shared" si="97"/>
        <v>-14.229734282960038</v>
      </c>
      <c r="AO28" s="40">
        <f t="shared" si="97"/>
        <v>-13.299589234361697</v>
      </c>
      <c r="AP28" s="40">
        <f t="shared" si="97"/>
        <v>-15.092071631864101</v>
      </c>
      <c r="AQ28" s="40">
        <f t="shared" si="97"/>
        <v>-16.490237841364497</v>
      </c>
      <c r="AR28" s="37"/>
      <c r="AS28" s="40">
        <f t="shared" ref="AS28" si="119">IF(E28="","",(E28-E$10)*1000)</f>
        <v>-0.29999995604157448</v>
      </c>
      <c r="AT28" s="40">
        <f t="shared" ref="AT28" si="120">IF(F28="","",(F28-F$10)*1000)</f>
        <v>-9.8999999463558197</v>
      </c>
      <c r="AU28" s="40">
        <f t="shared" ref="AU28" si="121">IF(G28="","",(G28-G$10)*1000)</f>
        <v>0.30000000000995897</v>
      </c>
      <c r="AV28" s="40">
        <f t="shared" ref="AV28" si="122">IF(H28="","",(H28-H$10)*1000)</f>
        <v>1.0999999940395355</v>
      </c>
      <c r="AW28" s="40">
        <f t="shared" ref="AW28" si="123">IF(I28="","",(I28-I$10)*1000)</f>
        <v>-7.8999998513609171</v>
      </c>
      <c r="AX28" s="40">
        <f t="shared" ref="AX28" si="124">IF(J28="","",(J28-J$10)*1000)</f>
        <v>-9.9999999989108801E-2</v>
      </c>
      <c r="AY28" s="40">
        <f t="shared" ref="AY28" si="125">IF(K28="","",(K28-K$10)*1000)</f>
        <v>-0.20000000949949026</v>
      </c>
      <c r="AZ28" s="40">
        <f t="shared" ref="AZ28" si="126">IF(L28="","",(L28-L$10)*1000)</f>
        <v>-8.1999998074024916</v>
      </c>
      <c r="BA28" s="40">
        <f t="shared" ref="BA28" si="127">IF(M28="","",(M28-M$10)*1000)</f>
        <v>-0.79999999999813554</v>
      </c>
      <c r="BB28" s="40">
        <f t="shared" ref="BB28" si="128">IF(N28="","",(N28-N$10)*1000)</f>
        <v>-4.0000000735744834</v>
      </c>
      <c r="BC28" s="40">
        <f t="shared" ref="BC28" si="129">IF(O28="","",(O28-O$10)*1000)</f>
        <v>0.90000010095536709</v>
      </c>
      <c r="BD28" s="40">
        <f t="shared" ref="BD28" si="130">IF(P28="","",(P28-P$10)*1000)</f>
        <v>-11.700000000004707</v>
      </c>
      <c r="BE28" s="40">
        <f t="shared" ref="BE28" si="131">IF(Q28="","",(Q28-Q$10)*1000)</f>
        <v>-4.0000000735744834</v>
      </c>
      <c r="BF28" s="40">
        <f t="shared" ref="BF28" si="132">IF(R28="","",(R28-R$10)*1000)</f>
        <v>4.6999999321997166</v>
      </c>
      <c r="BG28" s="40">
        <f t="shared" ref="BG28" si="133">IF(S28="","",(S28-S$10)*1000)</f>
        <v>-3.6999999999949296</v>
      </c>
      <c r="BH28" s="40">
        <f t="shared" ref="BH28" si="134">IF(T28="","",(T28-T$10)*1000)</f>
        <v>-4.7999999951571226</v>
      </c>
      <c r="BI28" s="40">
        <f t="shared" ref="BI28" si="135">IF(U28="","",(U28-U$10)*1000)</f>
        <v>6.0000000521540642</v>
      </c>
      <c r="BJ28" s="40">
        <f t="shared" ref="BJ28" si="136">IF(V28="","",(V28-V$10)*1000)</f>
        <v>9.9999999989108801E-2</v>
      </c>
      <c r="BK28" s="40">
        <f t="shared" ref="BK28" si="137">IF(W28="","",(W28-W$10)*1000)</f>
        <v>-6.3000000081956387</v>
      </c>
      <c r="BL28" s="40">
        <f t="shared" ref="BL28" si="138">IF(X28="","",(X28-X$10)*1000)</f>
        <v>5.4999999701976776</v>
      </c>
      <c r="BM28" s="40">
        <f t="shared" ref="BM28" si="139">IF(Y28="","",(Y28-Y$10)*1000)</f>
        <v>1.9999999999953388</v>
      </c>
      <c r="BN28" s="37"/>
      <c r="BO28" s="36">
        <v>169.37047269999999</v>
      </c>
      <c r="BP28" s="36">
        <v>-3.7647348589999998</v>
      </c>
      <c r="BQ28" s="36">
        <v>-1.1605247270000001</v>
      </c>
      <c r="BR28" s="36">
        <v>169.20959049999999</v>
      </c>
      <c r="BS28" s="36">
        <v>-4.2043251579999996</v>
      </c>
      <c r="BT28" s="36">
        <v>0.82738409499999999</v>
      </c>
      <c r="BU28" s="36">
        <v>169.1876814</v>
      </c>
      <c r="BV28" s="36">
        <v>-3.2331811350000002</v>
      </c>
      <c r="BW28" s="36">
        <v>2.9686031860000002</v>
      </c>
      <c r="BX28" s="36">
        <v>168.9604113</v>
      </c>
      <c r="BY28" s="36">
        <v>0.216638205</v>
      </c>
      <c r="BZ28" s="36">
        <v>4.3412758870000001</v>
      </c>
      <c r="CA28" s="36">
        <v>169.19934430000001</v>
      </c>
      <c r="CB28" s="36">
        <v>3.2052835310000001</v>
      </c>
      <c r="CC28" s="36">
        <v>2.9797865570000002</v>
      </c>
      <c r="CD28" s="36">
        <v>169.19136470000001</v>
      </c>
      <c r="CE28" s="36">
        <v>4.1934058390000004</v>
      </c>
      <c r="CF28" s="36">
        <v>0.83366635300000003</v>
      </c>
      <c r="CG28" s="36">
        <v>169.25546199999999</v>
      </c>
      <c r="CH28" s="36">
        <v>3.865024794</v>
      </c>
      <c r="CI28" s="36">
        <v>-1.08587462</v>
      </c>
      <c r="CJ28" s="37"/>
      <c r="CK28" s="40">
        <f t="shared" si="75"/>
        <v>-4.5829221909627904</v>
      </c>
      <c r="CL28" s="40">
        <f t="shared" si="76"/>
        <v>9.1173831270556782</v>
      </c>
      <c r="CM28" s="40">
        <f t="shared" si="77"/>
        <v>0.34582922192272214</v>
      </c>
      <c r="CN28" s="40">
        <f t="shared" si="78"/>
        <v>-2.2997291373769713</v>
      </c>
      <c r="CO28" s="40">
        <f t="shared" si="79"/>
        <v>7.5339955858853003</v>
      </c>
      <c r="CP28" s="40">
        <f t="shared" si="80"/>
        <v>-7.7002708621209948E-2</v>
      </c>
      <c r="CQ28" s="40">
        <f t="shared" si="81"/>
        <v>-3.7738418708670451</v>
      </c>
      <c r="CR28" s="40">
        <f t="shared" si="82"/>
        <v>7.6189517160969444</v>
      </c>
      <c r="CS28" s="40">
        <f t="shared" si="83"/>
        <v>-0.7622615812818978</v>
      </c>
      <c r="CT28" s="40">
        <f t="shared" si="84"/>
        <v>-3.2025646198405866</v>
      </c>
      <c r="CU28" s="40">
        <f t="shared" si="85"/>
        <v>-2.5968997495592894</v>
      </c>
      <c r="CV28" s="40">
        <f t="shared" si="86"/>
        <v>-11.667974353807509</v>
      </c>
      <c r="CW28" s="40">
        <f t="shared" si="87"/>
        <v>-1.8500418723590428</v>
      </c>
      <c r="CX28" s="40">
        <f t="shared" si="88"/>
        <v>-5.4970349486627157</v>
      </c>
      <c r="CY28" s="40">
        <f t="shared" si="89"/>
        <v>-3.6814995812730622</v>
      </c>
      <c r="CZ28" s="40">
        <f t="shared" si="90"/>
        <v>-1.9833277355019163</v>
      </c>
      <c r="DA28" s="40">
        <f t="shared" si="91"/>
        <v>-7.103965429992698</v>
      </c>
      <c r="DB28" s="40">
        <f t="shared" si="92"/>
        <v>0.11983327735454186</v>
      </c>
      <c r="DC28" s="40">
        <f t="shared" si="93"/>
        <v>-3.2582747279832347</v>
      </c>
      <c r="DD28" s="40">
        <f t="shared" si="94"/>
        <v>-7.9192011692521547</v>
      </c>
      <c r="DE28" s="40">
        <f t="shared" si="95"/>
        <v>2.0325827472744695</v>
      </c>
    </row>
    <row r="29" spans="1:109" ht="29.25" customHeight="1" x14ac:dyDescent="0.2">
      <c r="A29" s="34">
        <v>43682</v>
      </c>
      <c r="B29" s="27">
        <f t="shared" si="96"/>
        <v>83</v>
      </c>
      <c r="C29" s="35">
        <v>193</v>
      </c>
      <c r="D29" s="35">
        <f t="shared" si="0"/>
        <v>23.800000000000011</v>
      </c>
      <c r="E29" s="36">
        <v>823219.58270000003</v>
      </c>
      <c r="F29" s="36">
        <v>1091508.5967999999</v>
      </c>
      <c r="G29" s="36">
        <v>-125.0103</v>
      </c>
      <c r="H29" s="36">
        <v>823219.25120000006</v>
      </c>
      <c r="I29" s="36">
        <v>1091508.9273999999</v>
      </c>
      <c r="J29" s="36">
        <v>-123.0236</v>
      </c>
      <c r="K29" s="36">
        <v>823219.64179999998</v>
      </c>
      <c r="L29" s="36">
        <v>1091508.0375999999</v>
      </c>
      <c r="M29" s="36">
        <v>-120.8827</v>
      </c>
      <c r="N29" s="36">
        <v>823220.8933</v>
      </c>
      <c r="O29" s="36">
        <v>1091504.8151</v>
      </c>
      <c r="P29" s="36">
        <v>-119.51260000000001</v>
      </c>
      <c r="Q29" s="36">
        <v>823222.37300000002</v>
      </c>
      <c r="R29" s="36">
        <v>1091502.2076999999</v>
      </c>
      <c r="S29" s="36">
        <v>-120.8716</v>
      </c>
      <c r="T29" s="36">
        <v>823222.7831</v>
      </c>
      <c r="U29" s="36">
        <v>1091501.3086999999</v>
      </c>
      <c r="V29" s="36">
        <v>-123.0176</v>
      </c>
      <c r="W29" s="36">
        <v>823222.70239999995</v>
      </c>
      <c r="X29" s="36">
        <v>1091501.6336000001</v>
      </c>
      <c r="Y29" s="36">
        <v>-124.9365</v>
      </c>
      <c r="Z29" s="36">
        <f t="shared" si="1"/>
        <v>6.8002670932410627</v>
      </c>
      <c r="AA29" s="36">
        <f t="shared" si="2"/>
        <v>5.6510728803606245</v>
      </c>
      <c r="AB29" s="36">
        <f t="shared" si="3"/>
        <v>3.7185928130802925</v>
      </c>
      <c r="AC29" s="36">
        <f t="shared" si="4"/>
        <v>3.2916451586664492</v>
      </c>
      <c r="AD29" s="36">
        <f t="shared" si="5"/>
        <v>5.3057713860018358</v>
      </c>
      <c r="AE29" s="36">
        <f t="shared" si="6"/>
        <v>6.5432007664066774</v>
      </c>
      <c r="AF29" s="36">
        <f t="shared" si="7"/>
        <v>6.4379585786446505</v>
      </c>
      <c r="AG29" s="36">
        <f t="shared" si="8"/>
        <v>8.3975557931743712</v>
      </c>
      <c r="AH29" s="36">
        <f t="shared" si="9"/>
        <v>7.6304736922339407</v>
      </c>
      <c r="AI29" s="40">
        <f t="shared" ref="AI29" si="140">IF(Z29="","",(Z29-Z$10)*1000)</f>
        <v>-16.684202584627883</v>
      </c>
      <c r="AJ29" s="40">
        <f t="shared" ref="AJ29" si="141">IF(AA29="","",(AA29-AA$10)*1000)</f>
        <v>-15.298664061028866</v>
      </c>
      <c r="AK29" s="40">
        <f t="shared" ref="AK29" si="142">IF(AB29="","",(AB29-AB$10)*1000)</f>
        <v>-13.932459355040727</v>
      </c>
      <c r="AL29" s="40">
        <f t="shared" ref="AL29" si="143">IF(AC29="","",(AC29-AC$10)*1000)</f>
        <v>-6.0435985683175986</v>
      </c>
      <c r="AM29" s="40">
        <f t="shared" ref="AM29" si="144">IF(AD29="","",(AD29-AD$10)*1000)</f>
        <v>-11.494681256591477</v>
      </c>
      <c r="AN29" s="40">
        <f t="shared" ref="AN29" si="145">IF(AE29="","",(AE29-AE$10)*1000)</f>
        <v>-14.804483607910868</v>
      </c>
      <c r="AO29" s="40">
        <f t="shared" ref="AO29" si="146">IF(AF29="","",(AF29-AF$10)*1000)</f>
        <v>-13.645052074396702</v>
      </c>
      <c r="AP29" s="40">
        <f t="shared" ref="AP29" si="147">IF(AG29="","",(AG29-AG$10)*1000)</f>
        <v>-14.83566877161735</v>
      </c>
      <c r="AQ29" s="40">
        <f t="shared" ref="AQ29" si="148">IF(AH29="","",(AH29-AH$10)*1000)</f>
        <v>-17.54447248028157</v>
      </c>
      <c r="AR29" s="37"/>
      <c r="AS29" s="40">
        <f t="shared" ref="AS29" si="149">IF(E29="","",(E29-E$10)*1000)</f>
        <v>-9.9999946542084217E-2</v>
      </c>
      <c r="AT29" s="40">
        <f t="shared" ref="AT29" si="150">IF(F29="","",(F29-F$10)*1000)</f>
        <v>-11.100000003352761</v>
      </c>
      <c r="AU29" s="40">
        <f t="shared" ref="AU29" si="151">IF(G29="","",(G29-G$10)*1000)</f>
        <v>-0.29999999999574811</v>
      </c>
      <c r="AV29" s="40">
        <f t="shared" ref="AV29" si="152">IF(H29="","",(H29-H$10)*1000)</f>
        <v>1.4000000664964318</v>
      </c>
      <c r="AW29" s="40">
        <f t="shared" ref="AW29" si="153">IF(I29="","",(I29-I$10)*1000)</f>
        <v>-8.4999999962747097</v>
      </c>
      <c r="AX29" s="40">
        <f t="shared" ref="AX29" si="154">IF(J29="","",(J29-J$10)*1000)</f>
        <v>-0.29999999999574811</v>
      </c>
      <c r="AY29" s="40">
        <f t="shared" ref="AY29" si="155">IF(K29="","",(K29-K$10)*1000)</f>
        <v>9.9999946542084217E-2</v>
      </c>
      <c r="AZ29" s="40">
        <f t="shared" ref="AZ29" si="156">IF(L29="","",(L29-L$10)*1000)</f>
        <v>-9.5999999903142452</v>
      </c>
      <c r="BA29" s="40">
        <f t="shared" ref="BA29" si="157">IF(M29="","",(M29-M$10)*1000)</f>
        <v>-1.0999999999938836</v>
      </c>
      <c r="BB29" s="40">
        <f t="shared" ref="BB29" si="158">IF(N29="","",(N29-N$10)*1000)</f>
        <v>-4.3000000296160579</v>
      </c>
      <c r="BC29" s="40">
        <f t="shared" ref="BC29" si="159">IF(O29="","",(O29-O$10)*1000)</f>
        <v>0</v>
      </c>
      <c r="BD29" s="40">
        <f t="shared" ref="BD29" si="160">IF(P29="","",(P29-P$10)*1000)</f>
        <v>-12.300000000010414</v>
      </c>
      <c r="BE29" s="40">
        <f t="shared" ref="BE29" si="161">IF(Q29="","",(Q29-Q$10)*1000)</f>
        <v>-4.3000000296160579</v>
      </c>
      <c r="BF29" s="40">
        <f t="shared" ref="BF29" si="162">IF(R29="","",(R29-R$10)*1000)</f>
        <v>3.399999812245369</v>
      </c>
      <c r="BG29" s="40">
        <f t="shared" ref="BG29" si="163">IF(S29="","",(S29-S$10)*1000)</f>
        <v>-4.199999999997317</v>
      </c>
      <c r="BH29" s="40">
        <f t="shared" ref="BH29" si="164">IF(T29="","",(T29-T$10)*1000)</f>
        <v>-5.4000000236555934</v>
      </c>
      <c r="BI29" s="40">
        <f t="shared" ref="BI29" si="165">IF(U29="","",(U29-U$10)*1000)</f>
        <v>4.6999999321997166</v>
      </c>
      <c r="BJ29" s="40">
        <f t="shared" ref="BJ29" si="166">IF(V29="","",(V29-V$10)*1000)</f>
        <v>-0.20000000000663931</v>
      </c>
      <c r="BK29" s="40">
        <f t="shared" ref="BK29" si="167">IF(W29="","",(W29-W$10)*1000)</f>
        <v>-6.9000000366941094</v>
      </c>
      <c r="BL29" s="40">
        <f t="shared" ref="BL29" si="168">IF(X29="","",(X29-X$10)*1000)</f>
        <v>5.0999999511986971</v>
      </c>
      <c r="BM29" s="40">
        <f t="shared" ref="BM29" si="169">IF(Y29="","",(Y29-Y$10)*1000)</f>
        <v>1.6999999999995907</v>
      </c>
      <c r="BN29" s="37"/>
      <c r="BO29" s="36">
        <v>169.37027355572104</v>
      </c>
      <c r="BP29" s="36">
        <v>-3.7638346655568231</v>
      </c>
      <c r="BQ29" s="36">
        <v>-1.161122735557214</v>
      </c>
      <c r="BR29" s="36">
        <v>169.20956649598224</v>
      </c>
      <c r="BS29" s="36">
        <v>-4.2035639583291831</v>
      </c>
      <c r="BT29" s="36">
        <v>0.82718433504017241</v>
      </c>
      <c r="BU29" s="36">
        <v>169.18748841173456</v>
      </c>
      <c r="BV29" s="36">
        <v>-3.2320574178745627</v>
      </c>
      <c r="BW29" s="36">
        <v>2.9683051158826572</v>
      </c>
      <c r="BX29" s="36">
        <v>168.95971680878162</v>
      </c>
      <c r="BY29" s="36">
        <v>0.21741770109365022</v>
      </c>
      <c r="BZ29" s="36">
        <v>4.3406828319121757</v>
      </c>
      <c r="CA29" s="36">
        <v>169.19873430278912</v>
      </c>
      <c r="CB29" s="36">
        <v>3.2058817694957673</v>
      </c>
      <c r="CC29" s="36">
        <v>2.9792926569721061</v>
      </c>
      <c r="CD29" s="36">
        <v>169.19044051506737</v>
      </c>
      <c r="CE29" s="36">
        <v>4.1939679109959096</v>
      </c>
      <c r="CF29" s="36">
        <v>0.83337559484931489</v>
      </c>
      <c r="CG29" s="36">
        <v>169.25462238478639</v>
      </c>
      <c r="CH29" s="36">
        <v>3.865405606877629</v>
      </c>
      <c r="CI29" s="36">
        <v>-1.0861662238478687</v>
      </c>
      <c r="CJ29" s="37"/>
      <c r="CK29" s="40">
        <f t="shared" ref="CK29" si="170">IF(BO29="","",(BO29-BO$10)*1000)</f>
        <v>-4.7820664699145254</v>
      </c>
      <c r="CL29" s="40">
        <f t="shared" ref="CL29" si="171">IF(BP29="","",(BP29-BP$10)*1000)</f>
        <v>10.017576570232389</v>
      </c>
      <c r="CM29" s="40">
        <f t="shared" ref="CM29" si="172">IF(BQ29="","",(BQ29-BQ$10)*1000)</f>
        <v>-0.25217933529120273</v>
      </c>
      <c r="CN29" s="40">
        <f t="shared" ref="CN29" si="173">IF(BR29="","",(BR29-BR$10)*1000)</f>
        <v>-2.323733155122909</v>
      </c>
      <c r="CO29" s="40">
        <f t="shared" ref="CO29" si="174">IF(BS29="","",(BS29-BS$10)*1000)</f>
        <v>8.2951952567018594</v>
      </c>
      <c r="CP29" s="40">
        <f t="shared" ref="CP29" si="175">IF(BT29="","",(BT29-BT$10)*1000)</f>
        <v>-0.27676266844878228</v>
      </c>
      <c r="CQ29" s="40">
        <f t="shared" ref="CQ29" si="176">IF(BU29="","",(BU29-BU$10)*1000)</f>
        <v>-3.9668301363064984</v>
      </c>
      <c r="CR29" s="40">
        <f t="shared" ref="CR29" si="177">IF(BV29="","",(BV29-BV$10)*1000)</f>
        <v>8.7426688415344067</v>
      </c>
      <c r="CS29" s="40">
        <f t="shared" ref="CS29" si="178">IF(BW29="","",(BW29-BW$10)*1000)</f>
        <v>-1.0603316986248501</v>
      </c>
      <c r="CT29" s="40">
        <f t="shared" ref="CT29" si="179">IF(BX29="","",(BX29-BX$10)*1000)</f>
        <v>-3.8970558382231957</v>
      </c>
      <c r="CU29" s="40">
        <f t="shared" ref="CU29" si="180">IF(BY29="","",(BY29-BY$10)*1000)</f>
        <v>-1.8174036559090723</v>
      </c>
      <c r="CV29" s="40">
        <f t="shared" ref="CV29" si="181">IF(BZ29="","",(BZ29-BZ$10)*1000)</f>
        <v>-12.261029441631877</v>
      </c>
      <c r="CW29" s="40">
        <f t="shared" ref="CW29" si="182">IF(CA29="","",(CA29-CA$10)*1000)</f>
        <v>-2.4600390832461017</v>
      </c>
      <c r="CX29" s="40">
        <f t="shared" ref="CX29" si="183">IF(CB29="","",(CB29-CB$10)*1000)</f>
        <v>-4.8987964528954819</v>
      </c>
      <c r="CY29" s="40">
        <f t="shared" ref="CY29" si="184">IF(CC29="","",(CC29-CC$10)*1000)</f>
        <v>-4.1753996091671297</v>
      </c>
      <c r="CZ29" s="40">
        <f t="shared" ref="CZ29" si="185">IF(CD29="","",(CD29-CD$10)*1000)</f>
        <v>-2.9075126681448182</v>
      </c>
      <c r="DA29" s="40">
        <f t="shared" ref="DA29" si="186">IF(CE29="","",(CE29-CE$10)*1000)</f>
        <v>-6.5418934340835122</v>
      </c>
      <c r="DB29" s="40">
        <f t="shared" ref="DB29" si="187">IF(CF29="","",(CF29-CF$10)*1000)</f>
        <v>-0.17092487333059125</v>
      </c>
      <c r="DC29" s="40">
        <f t="shared" ref="DC29" si="188">IF(CG29="","",(CG29-CG$10)*1000)</f>
        <v>-4.097889941590438</v>
      </c>
      <c r="DD29" s="40">
        <f t="shared" ref="DD29" si="189">IF(CH29="","",(CH29-CH$10)*1000)</f>
        <v>-7.5383882916231215</v>
      </c>
      <c r="DE29" s="40">
        <f t="shared" ref="DE29" si="190">IF(CI29="","",(CI29-CI$10)*1000)</f>
        <v>1.7409788994058317</v>
      </c>
    </row>
    <row r="30" spans="1:109" ht="29.25" customHeight="1" x14ac:dyDescent="0.2">
      <c r="A30" s="34">
        <v>43684</v>
      </c>
      <c r="B30" s="27">
        <f t="shared" si="96"/>
        <v>85</v>
      </c>
      <c r="C30" s="35">
        <v>193.66</v>
      </c>
      <c r="D30" s="35">
        <f t="shared" si="0"/>
        <v>24.460000000000008</v>
      </c>
      <c r="E30" s="36">
        <v>823219.58349999995</v>
      </c>
      <c r="F30" s="36">
        <v>1091508.5970000001</v>
      </c>
      <c r="G30" s="36">
        <v>-125.0102</v>
      </c>
      <c r="H30" s="36">
        <v>823219.25190000003</v>
      </c>
      <c r="I30" s="36">
        <v>1091508.9280000001</v>
      </c>
      <c r="J30" s="36">
        <v>-123.02419999999999</v>
      </c>
      <c r="K30" s="36">
        <v>823219.64229999995</v>
      </c>
      <c r="L30" s="36">
        <v>1091508.0379999999</v>
      </c>
      <c r="M30" s="36">
        <v>-120.8832</v>
      </c>
      <c r="N30" s="36">
        <v>823220.89430000004</v>
      </c>
      <c r="O30" s="36">
        <v>1091504.8160000001</v>
      </c>
      <c r="P30" s="36">
        <v>-119.5134</v>
      </c>
      <c r="Q30" s="36">
        <v>823222.37399999995</v>
      </c>
      <c r="R30" s="36">
        <v>1091502.209</v>
      </c>
      <c r="S30" s="36">
        <v>-120.8721</v>
      </c>
      <c r="T30" s="36">
        <v>823222.78419999999</v>
      </c>
      <c r="U30" s="36">
        <v>1091501.31</v>
      </c>
      <c r="V30" s="36">
        <v>-123.0181</v>
      </c>
      <c r="W30" s="36">
        <v>823222.7034</v>
      </c>
      <c r="X30" s="36">
        <v>1091501.6340000001</v>
      </c>
      <c r="Y30" s="36">
        <v>-124.93689999999999</v>
      </c>
      <c r="Z30" s="36">
        <f t="shared" si="1"/>
        <v>6.7991887663114756</v>
      </c>
      <c r="AA30" s="36">
        <f t="shared" si="2"/>
        <v>5.6508174983578092</v>
      </c>
      <c r="AB30" s="36">
        <f t="shared" si="3"/>
        <v>3.7182173200566968</v>
      </c>
      <c r="AC30" s="36">
        <f t="shared" si="4"/>
        <v>3.2912044573573107</v>
      </c>
      <c r="AD30" s="36">
        <f t="shared" si="5"/>
        <v>5.3053444845910374</v>
      </c>
      <c r="AE30" s="36">
        <f t="shared" si="6"/>
        <v>6.5431123374145468</v>
      </c>
      <c r="AF30" s="36">
        <f t="shared" si="7"/>
        <v>6.4373557536444315</v>
      </c>
      <c r="AG30" s="36">
        <f t="shared" si="8"/>
        <v>8.3970890491878745</v>
      </c>
      <c r="AH30" s="36">
        <f t="shared" si="9"/>
        <v>7.6303681366070979</v>
      </c>
      <c r="AI30" s="40">
        <f t="shared" ref="AI30:AI31" si="191">IF(Z30="","",(Z30-Z$10)*1000)</f>
        <v>-17.762529514214975</v>
      </c>
      <c r="AJ30" s="40">
        <f t="shared" ref="AJ30:AJ31" si="192">IF(AA30="","",(AA30-AA$10)*1000)</f>
        <v>-15.55404606384414</v>
      </c>
      <c r="AK30" s="40">
        <f t="shared" ref="AK30:AK31" si="193">IF(AB30="","",(AB30-AB$10)*1000)</f>
        <v>-14.307952378636468</v>
      </c>
      <c r="AL30" s="40">
        <f t="shared" ref="AL30:AL31" si="194">IF(AC30="","",(AC30-AC$10)*1000)</f>
        <v>-6.4842998774561345</v>
      </c>
      <c r="AM30" s="40">
        <f t="shared" ref="AM30:AM31" si="195">IF(AD30="","",(AD30-AD$10)*1000)</f>
        <v>-11.921582667389963</v>
      </c>
      <c r="AN30" s="40">
        <f t="shared" ref="AN30:AN31" si="196">IF(AE30="","",(AE30-AE$10)*1000)</f>
        <v>-14.892912600041441</v>
      </c>
      <c r="AO30" s="40">
        <f t="shared" ref="AO30:AO31" si="197">IF(AF30="","",(AF30-AF$10)*1000)</f>
        <v>-14.247877074615722</v>
      </c>
      <c r="AP30" s="40">
        <f t="shared" ref="AP30:AP31" si="198">IF(AG30="","",(AG30-AG$10)*1000)</f>
        <v>-15.302412758114059</v>
      </c>
      <c r="AQ30" s="40">
        <f t="shared" ref="AQ30:AQ31" si="199">IF(AH30="","",(AH30-AH$10)*1000)</f>
        <v>-17.650028107124349</v>
      </c>
      <c r="AR30" s="37"/>
      <c r="AS30" s="40">
        <f t="shared" ref="AS30:AS31" si="200">IF(E30="","",(E30-E$10)*1000)</f>
        <v>0.699999975040555</v>
      </c>
      <c r="AT30" s="40">
        <f t="shared" ref="AT30:AT31" si="201">IF(F30="","",(F30-F$10)*1000)</f>
        <v>-10.899999877437949</v>
      </c>
      <c r="AU30" s="40">
        <f t="shared" ref="AU30:AU31" si="202">IF(G30="","",(G30-G$10)*1000)</f>
        <v>-0.19999999999242846</v>
      </c>
      <c r="AV30" s="40">
        <f t="shared" ref="AV30:AV31" si="203">IF(H30="","",(H30-H$10)*1000)</f>
        <v>2.1000000415369868</v>
      </c>
      <c r="AW30" s="40">
        <f t="shared" ref="AW30:AW31" si="204">IF(I30="","",(I30-I$10)*1000)</f>
        <v>-7.8999998513609171</v>
      </c>
      <c r="AX30" s="40">
        <f t="shared" ref="AX30:AX31" si="205">IF(J30="","",(J30-J$10)*1000)</f>
        <v>-0.89999999998724434</v>
      </c>
      <c r="AY30" s="40">
        <f t="shared" ref="AY30:AY31" si="206">IF(K30="","",(K30-K$10)*1000)</f>
        <v>0.59999991208314896</v>
      </c>
      <c r="AZ30" s="40">
        <f t="shared" ref="AZ30:AZ31" si="207">IF(L30="","",(L30-L$10)*1000)</f>
        <v>-9.1999999713152647</v>
      </c>
      <c r="BA30" s="40">
        <f t="shared" ref="BA30:BA31" si="208">IF(M30="","",(M30-M$10)*1000)</f>
        <v>-1.5999999999962711</v>
      </c>
      <c r="BB30" s="40">
        <f t="shared" ref="BB30:BB31" si="209">IF(N30="","",(N30-N$10)*1000)</f>
        <v>-3.2999999821186066</v>
      </c>
      <c r="BC30" s="40">
        <f t="shared" ref="BC30:BC31" si="210">IF(O30="","",(O30-O$10)*1000)</f>
        <v>0.90000010095536709</v>
      </c>
      <c r="BD30" s="40">
        <f t="shared" ref="BD30:BD31" si="211">IF(P30="","",(P30-P$10)*1000)</f>
        <v>-13.100000000008549</v>
      </c>
      <c r="BE30" s="40">
        <f t="shared" ref="BE30:BE31" si="212">IF(Q30="","",(Q30-Q$10)*1000)</f>
        <v>-3.3000000985339284</v>
      </c>
      <c r="BF30" s="40">
        <f t="shared" ref="BF30:BF31" si="213">IF(R30="","",(R30-R$10)*1000)</f>
        <v>4.6999999321997166</v>
      </c>
      <c r="BG30" s="40">
        <f t="shared" ref="BG30:BG31" si="214">IF(S30="","",(S30-S$10)*1000)</f>
        <v>-4.6999999999997044</v>
      </c>
      <c r="BH30" s="40">
        <f t="shared" ref="BH30:BH31" si="215">IF(T30="","",(T30-T$10)*1000)</f>
        <v>-4.3000000296160579</v>
      </c>
      <c r="BI30" s="40">
        <f t="shared" ref="BI30:BI31" si="216">IF(U30="","",(U30-U$10)*1000)</f>
        <v>6.0000000521540642</v>
      </c>
      <c r="BJ30" s="40">
        <f t="shared" ref="BJ30:BJ31" si="217">IF(V30="","",(V30-V$10)*1000)</f>
        <v>-0.70000000000902673</v>
      </c>
      <c r="BK30" s="40">
        <f t="shared" ref="BK30:BK31" si="218">IF(W30="","",(W30-W$10)*1000)</f>
        <v>-5.8999999891966581</v>
      </c>
      <c r="BL30" s="40">
        <f t="shared" ref="BL30:BL31" si="219">IF(X30="","",(X30-X$10)*1000)</f>
        <v>5.4999999701976776</v>
      </c>
      <c r="BM30" s="40">
        <f t="shared" ref="BM30:BM31" si="220">IF(Y30="","",(Y30-Y$10)*1000)</f>
        <v>1.300000000000523</v>
      </c>
      <c r="BN30" s="37"/>
      <c r="BO30" s="36">
        <v>169.37027355572104</v>
      </c>
      <c r="BP30" s="36">
        <v>-3.7638346655568231</v>
      </c>
      <c r="BQ30" s="36">
        <v>-1.161122735557214</v>
      </c>
      <c r="BR30" s="36">
        <v>169.20956649598224</v>
      </c>
      <c r="BS30" s="36">
        <v>-4.2035639583291831</v>
      </c>
      <c r="BT30" s="36">
        <v>0.82718433504017241</v>
      </c>
      <c r="BU30" s="36">
        <v>169.18748841173456</v>
      </c>
      <c r="BV30" s="36">
        <v>-3.2320574178745627</v>
      </c>
      <c r="BW30" s="36">
        <v>2.9683051158826572</v>
      </c>
      <c r="BX30" s="36">
        <v>168.95971680878162</v>
      </c>
      <c r="BY30" s="36">
        <v>0.21741770109365022</v>
      </c>
      <c r="BZ30" s="36">
        <v>4.3406828319121757</v>
      </c>
      <c r="CA30" s="36">
        <v>169.19873430278912</v>
      </c>
      <c r="CB30" s="36">
        <v>3.2058817694957673</v>
      </c>
      <c r="CC30" s="36">
        <v>2.9792926569721061</v>
      </c>
      <c r="CD30" s="36">
        <v>169.19044051506737</v>
      </c>
      <c r="CE30" s="36">
        <v>4.1939679109959096</v>
      </c>
      <c r="CF30" s="36">
        <v>0.83337559484931489</v>
      </c>
      <c r="CG30" s="36">
        <v>169.25462238478639</v>
      </c>
      <c r="CH30" s="36">
        <v>3.865405606877629</v>
      </c>
      <c r="CI30" s="36">
        <v>-1.0861662238478687</v>
      </c>
      <c r="CJ30" s="37"/>
      <c r="CK30" s="40">
        <f t="shared" ref="CK30:CK31" si="221">IF(BO30="","",(BO30-BO$10)*1000)</f>
        <v>-4.7820664699145254</v>
      </c>
      <c r="CL30" s="40">
        <f t="shared" ref="CL30:CL31" si="222">IF(BP30="","",(BP30-BP$10)*1000)</f>
        <v>10.017576570232389</v>
      </c>
      <c r="CM30" s="40">
        <f t="shared" ref="CM30:CM31" si="223">IF(BQ30="","",(BQ30-BQ$10)*1000)</f>
        <v>-0.25217933529120273</v>
      </c>
      <c r="CN30" s="40">
        <f t="shared" ref="CN30:CN31" si="224">IF(BR30="","",(BR30-BR$10)*1000)</f>
        <v>-2.323733155122909</v>
      </c>
      <c r="CO30" s="40">
        <f t="shared" ref="CO30:CO31" si="225">IF(BS30="","",(BS30-BS$10)*1000)</f>
        <v>8.2951952567018594</v>
      </c>
      <c r="CP30" s="40">
        <f t="shared" ref="CP30:CP31" si="226">IF(BT30="","",(BT30-BT$10)*1000)</f>
        <v>-0.27676266844878228</v>
      </c>
      <c r="CQ30" s="40">
        <f t="shared" ref="CQ30:CQ31" si="227">IF(BU30="","",(BU30-BU$10)*1000)</f>
        <v>-3.9668301363064984</v>
      </c>
      <c r="CR30" s="40">
        <f t="shared" ref="CR30:CR31" si="228">IF(BV30="","",(BV30-BV$10)*1000)</f>
        <v>8.7426688415344067</v>
      </c>
      <c r="CS30" s="40">
        <f t="shared" ref="CS30:CS31" si="229">IF(BW30="","",(BW30-BW$10)*1000)</f>
        <v>-1.0603316986248501</v>
      </c>
      <c r="CT30" s="40">
        <f t="shared" ref="CT30:CT31" si="230">IF(BX30="","",(BX30-BX$10)*1000)</f>
        <v>-3.8970558382231957</v>
      </c>
      <c r="CU30" s="40">
        <f t="shared" ref="CU30:CU31" si="231">IF(BY30="","",(BY30-BY$10)*1000)</f>
        <v>-1.8174036559090723</v>
      </c>
      <c r="CV30" s="40">
        <f t="shared" ref="CV30:CV31" si="232">IF(BZ30="","",(BZ30-BZ$10)*1000)</f>
        <v>-12.261029441631877</v>
      </c>
      <c r="CW30" s="40">
        <f t="shared" ref="CW30:CW31" si="233">IF(CA30="","",(CA30-CA$10)*1000)</f>
        <v>-2.4600390832461017</v>
      </c>
      <c r="CX30" s="40">
        <f t="shared" ref="CX30:CX31" si="234">IF(CB30="","",(CB30-CB$10)*1000)</f>
        <v>-4.8987964528954819</v>
      </c>
      <c r="CY30" s="40">
        <f t="shared" ref="CY30:CY31" si="235">IF(CC30="","",(CC30-CC$10)*1000)</f>
        <v>-4.1753996091671297</v>
      </c>
      <c r="CZ30" s="40">
        <f t="shared" ref="CZ30:CZ31" si="236">IF(CD30="","",(CD30-CD$10)*1000)</f>
        <v>-2.9075126681448182</v>
      </c>
      <c r="DA30" s="40">
        <f t="shared" ref="DA30:DA31" si="237">IF(CE30="","",(CE30-CE$10)*1000)</f>
        <v>-6.5418934340835122</v>
      </c>
      <c r="DB30" s="40">
        <f t="shared" ref="DB30:DB31" si="238">IF(CF30="","",(CF30-CF$10)*1000)</f>
        <v>-0.17092487333059125</v>
      </c>
      <c r="DC30" s="40">
        <f t="shared" ref="DC30:DC31" si="239">IF(CG30="","",(CG30-CG$10)*1000)</f>
        <v>-4.097889941590438</v>
      </c>
      <c r="DD30" s="40">
        <f t="shared" ref="DD30:DD31" si="240">IF(CH30="","",(CH30-CH$10)*1000)</f>
        <v>-7.5383882916231215</v>
      </c>
      <c r="DE30" s="40">
        <f t="shared" ref="DE30:DE31" si="241">IF(CI30="","",(CI30-CI$10)*1000)</f>
        <v>1.7409788994058317</v>
      </c>
    </row>
    <row r="31" spans="1:109" ht="29.25" customHeight="1" x14ac:dyDescent="0.2">
      <c r="A31" s="34">
        <v>43685</v>
      </c>
      <c r="B31" s="27">
        <f t="shared" si="96"/>
        <v>86</v>
      </c>
      <c r="C31" s="35">
        <v>193.66</v>
      </c>
      <c r="D31" s="35">
        <f t="shared" si="0"/>
        <v>24.460000000000008</v>
      </c>
      <c r="E31" s="36">
        <v>823219.58440000005</v>
      </c>
      <c r="F31" s="36">
        <v>1091508.5970000001</v>
      </c>
      <c r="G31" s="36">
        <v>-125.0098</v>
      </c>
      <c r="H31" s="36">
        <v>823219.25260000001</v>
      </c>
      <c r="I31" s="36">
        <v>1091508.9269999999</v>
      </c>
      <c r="J31" s="36">
        <v>-123.0236</v>
      </c>
      <c r="K31" s="36">
        <v>823219.64309999999</v>
      </c>
      <c r="L31" s="36">
        <v>1091508.0379999999</v>
      </c>
      <c r="M31" s="36">
        <v>-120.8828</v>
      </c>
      <c r="N31" s="36">
        <v>823220.89480000001</v>
      </c>
      <c r="O31" s="36">
        <v>1091504.8149999999</v>
      </c>
      <c r="P31" s="36">
        <v>-119.51309999999999</v>
      </c>
      <c r="Q31" s="36">
        <v>823222.37430000002</v>
      </c>
      <c r="R31" s="36">
        <v>1091502.2080000001</v>
      </c>
      <c r="S31" s="36">
        <v>-120.8717</v>
      </c>
      <c r="T31" s="36">
        <v>823222.7844</v>
      </c>
      <c r="U31" s="36">
        <v>1091501.3089999999</v>
      </c>
      <c r="V31" s="36">
        <v>-123.01739999999999</v>
      </c>
      <c r="W31" s="36">
        <v>823222.70349999995</v>
      </c>
      <c r="X31" s="36">
        <v>1091501.6340000001</v>
      </c>
      <c r="Y31" s="36">
        <v>-124.9362</v>
      </c>
      <c r="Z31" s="36">
        <f t="shared" si="1"/>
        <v>6.7995869764876948</v>
      </c>
      <c r="AA31" s="36">
        <f t="shared" si="2"/>
        <v>5.6505729877345834</v>
      </c>
      <c r="AB31" s="36">
        <f t="shared" si="3"/>
        <v>3.718946084584239</v>
      </c>
      <c r="AC31" s="36">
        <f t="shared" si="4"/>
        <v>3.2910732609942128</v>
      </c>
      <c r="AD31" s="36">
        <f t="shared" si="5"/>
        <v>5.3049733882788424</v>
      </c>
      <c r="AE31" s="36">
        <f t="shared" si="6"/>
        <v>6.5421839089798643</v>
      </c>
      <c r="AF31" s="36">
        <f t="shared" si="7"/>
        <v>6.4380491337332559</v>
      </c>
      <c r="AG31" s="36">
        <f t="shared" si="8"/>
        <v>8.3968788058560406</v>
      </c>
      <c r="AH31" s="36">
        <f t="shared" si="9"/>
        <v>7.6300439559143785</v>
      </c>
      <c r="AI31" s="40">
        <f t="shared" si="191"/>
        <v>-17.364319337995759</v>
      </c>
      <c r="AJ31" s="40">
        <f t="shared" si="192"/>
        <v>-15.798556687069976</v>
      </c>
      <c r="AK31" s="40">
        <f t="shared" si="193"/>
        <v>-13.579187851094243</v>
      </c>
      <c r="AL31" s="40">
        <f t="shared" si="194"/>
        <v>-6.6154962405540196</v>
      </c>
      <c r="AM31" s="40">
        <f t="shared" si="195"/>
        <v>-12.29267897958497</v>
      </c>
      <c r="AN31" s="40">
        <f t="shared" si="196"/>
        <v>-15.821341034723879</v>
      </c>
      <c r="AO31" s="40">
        <f t="shared" si="197"/>
        <v>-13.554496985791253</v>
      </c>
      <c r="AP31" s="40">
        <f t="shared" si="198"/>
        <v>-15.512656089947896</v>
      </c>
      <c r="AQ31" s="40">
        <f t="shared" si="199"/>
        <v>-17.974208799843794</v>
      </c>
      <c r="AR31" s="37"/>
      <c r="AS31" s="40">
        <f t="shared" si="200"/>
        <v>1.6000000759959221</v>
      </c>
      <c r="AT31" s="40">
        <f t="shared" si="201"/>
        <v>-10.899999877437949</v>
      </c>
      <c r="AU31" s="40">
        <f t="shared" si="202"/>
        <v>0.20000000000663931</v>
      </c>
      <c r="AV31" s="40">
        <f t="shared" si="203"/>
        <v>2.8000000165775418</v>
      </c>
      <c r="AW31" s="40">
        <f t="shared" si="204"/>
        <v>-8.9000000152736902</v>
      </c>
      <c r="AX31" s="40">
        <f t="shared" si="205"/>
        <v>-0.29999999999574811</v>
      </c>
      <c r="AY31" s="40">
        <f t="shared" si="206"/>
        <v>1.39999995008111</v>
      </c>
      <c r="AZ31" s="40">
        <f t="shared" si="207"/>
        <v>-9.1999999713152647</v>
      </c>
      <c r="BA31" s="40">
        <f t="shared" si="208"/>
        <v>-1.1999999999972033</v>
      </c>
      <c r="BB31" s="40">
        <f t="shared" si="209"/>
        <v>-2.8000000165775418</v>
      </c>
      <c r="BC31" s="40">
        <f t="shared" si="210"/>
        <v>-0.10000006295740604</v>
      </c>
      <c r="BD31" s="40">
        <f t="shared" si="211"/>
        <v>-12.79999999999859</v>
      </c>
      <c r="BE31" s="40">
        <f t="shared" si="212"/>
        <v>-3.0000000260770321</v>
      </c>
      <c r="BF31" s="40">
        <f t="shared" si="213"/>
        <v>3.7000000011175871</v>
      </c>
      <c r="BG31" s="40">
        <f t="shared" si="214"/>
        <v>-4.3000000000006366</v>
      </c>
      <c r="BH31" s="40">
        <f t="shared" si="215"/>
        <v>-4.1000000201165676</v>
      </c>
      <c r="BI31" s="40">
        <f t="shared" si="216"/>
        <v>4.999999888241291</v>
      </c>
      <c r="BJ31" s="40">
        <f t="shared" si="217"/>
        <v>0</v>
      </c>
      <c r="BK31" s="40">
        <f t="shared" si="218"/>
        <v>-5.8000000426545739</v>
      </c>
      <c r="BL31" s="40">
        <f t="shared" si="219"/>
        <v>5.4999999701976776</v>
      </c>
      <c r="BM31" s="40">
        <f t="shared" si="220"/>
        <v>1.9999999999953388</v>
      </c>
      <c r="BN31" s="37"/>
      <c r="BO31" s="36">
        <v>169.37177199999999</v>
      </c>
      <c r="BP31" s="36">
        <v>-3.763025528</v>
      </c>
      <c r="BQ31" s="36">
        <v>-1.16063772</v>
      </c>
      <c r="BR31" s="36">
        <v>169.21058170000001</v>
      </c>
      <c r="BS31" s="36">
        <v>-4.2024284700000001</v>
      </c>
      <c r="BT31" s="36">
        <v>0.82717418300000001</v>
      </c>
      <c r="BU31" s="36">
        <v>169.18862429999999</v>
      </c>
      <c r="BV31" s="36">
        <v>-3.2314173410000002</v>
      </c>
      <c r="BW31" s="36">
        <v>2.9681937569999999</v>
      </c>
      <c r="BX31" s="36">
        <v>168.96116079999999</v>
      </c>
      <c r="BY31" s="36">
        <v>0.21787042100000001</v>
      </c>
      <c r="BZ31" s="36">
        <v>4.3401683919999998</v>
      </c>
      <c r="CA31" s="36">
        <v>169.20003929999999</v>
      </c>
      <c r="CB31" s="36">
        <v>3.2061593290000001</v>
      </c>
      <c r="CC31" s="36">
        <v>2.9791796069999998</v>
      </c>
      <c r="CD31" s="36">
        <v>169.1917455</v>
      </c>
      <c r="CE31" s="36">
        <v>4.1942454710000003</v>
      </c>
      <c r="CF31" s="36">
        <v>0.83356254500000004</v>
      </c>
      <c r="CG31" s="36">
        <v>169.2556616</v>
      </c>
      <c r="CH31" s="36">
        <v>3.8657798950000002</v>
      </c>
      <c r="CI31" s="36">
        <v>-1.085876616</v>
      </c>
      <c r="CJ31" s="37"/>
      <c r="CK31" s="40">
        <f t="shared" si="221"/>
        <v>-3.2836221909633423</v>
      </c>
      <c r="CL31" s="40">
        <f t="shared" si="222"/>
        <v>10.826714127055492</v>
      </c>
      <c r="CM31" s="40">
        <f t="shared" si="223"/>
        <v>0.23283622192282749</v>
      </c>
      <c r="CN31" s="40">
        <f t="shared" si="224"/>
        <v>-1.3085291373613472</v>
      </c>
      <c r="CO31" s="40">
        <f t="shared" si="225"/>
        <v>9.4306835858848359</v>
      </c>
      <c r="CP31" s="40">
        <f t="shared" si="226"/>
        <v>-0.28691470862118873</v>
      </c>
      <c r="CQ31" s="40">
        <f t="shared" si="227"/>
        <v>-2.8309418708829526</v>
      </c>
      <c r="CR31" s="40">
        <f t="shared" si="228"/>
        <v>9.3827457160968741</v>
      </c>
      <c r="CS31" s="40">
        <f t="shared" si="229"/>
        <v>-1.1716905812821921</v>
      </c>
      <c r="CT31" s="40">
        <f t="shared" si="230"/>
        <v>-2.4530646198570594</v>
      </c>
      <c r="CU31" s="40">
        <f t="shared" si="231"/>
        <v>-1.3646837495592812</v>
      </c>
      <c r="CV31" s="40">
        <f t="shared" si="232"/>
        <v>-12.7754693538078</v>
      </c>
      <c r="CW31" s="40">
        <f t="shared" si="233"/>
        <v>-1.1550418723800249</v>
      </c>
      <c r="CX31" s="40">
        <f t="shared" si="234"/>
        <v>-4.621236948662677</v>
      </c>
      <c r="CY31" s="40">
        <f t="shared" si="235"/>
        <v>-4.2884495812733903</v>
      </c>
      <c r="CZ31" s="40">
        <f t="shared" si="236"/>
        <v>-1.6025277355140588</v>
      </c>
      <c r="DA31" s="40">
        <f t="shared" si="237"/>
        <v>-6.2643334299927744</v>
      </c>
      <c r="DB31" s="40">
        <f t="shared" si="238"/>
        <v>1.6025277354558831E-2</v>
      </c>
      <c r="DC31" s="40">
        <f t="shared" si="239"/>
        <v>-3.0586747279812698</v>
      </c>
      <c r="DD31" s="40">
        <f t="shared" si="240"/>
        <v>-7.1641001692519524</v>
      </c>
      <c r="DE31" s="40">
        <f t="shared" si="241"/>
        <v>2.0305867472745209</v>
      </c>
    </row>
    <row r="32" spans="1:109" ht="29.25" customHeight="1" x14ac:dyDescent="0.2">
      <c r="A32" s="34">
        <v>43689</v>
      </c>
      <c r="B32" s="27">
        <f t="shared" si="96"/>
        <v>90</v>
      </c>
      <c r="C32" s="35">
        <v>194.79</v>
      </c>
      <c r="D32" s="35">
        <f t="shared" si="0"/>
        <v>25.590000000000003</v>
      </c>
      <c r="E32" s="36">
        <v>823219.58299999998</v>
      </c>
      <c r="F32" s="36">
        <v>1091508.5970000001</v>
      </c>
      <c r="G32" s="36">
        <v>-125.0102</v>
      </c>
      <c r="H32" s="36">
        <v>823219.2513</v>
      </c>
      <c r="I32" s="36">
        <v>1091508.9269999999</v>
      </c>
      <c r="J32" s="36">
        <v>-123.0239</v>
      </c>
      <c r="K32" s="36">
        <v>823219.64119999995</v>
      </c>
      <c r="L32" s="36">
        <v>1091508.0379999999</v>
      </c>
      <c r="M32" s="36">
        <v>-120.8828</v>
      </c>
      <c r="N32" s="36">
        <v>823220.8933</v>
      </c>
      <c r="O32" s="36">
        <v>1091504.8149999999</v>
      </c>
      <c r="P32" s="36">
        <v>-119.5138</v>
      </c>
      <c r="Q32" s="36">
        <v>823222.37300000002</v>
      </c>
      <c r="R32" s="36">
        <v>1091502.2080000001</v>
      </c>
      <c r="S32" s="36">
        <v>-120.87220000000001</v>
      </c>
      <c r="T32" s="36">
        <v>823222.7831</v>
      </c>
      <c r="U32" s="36">
        <v>1091501.3089999999</v>
      </c>
      <c r="V32" s="36">
        <v>-123.01779999999999</v>
      </c>
      <c r="W32" s="36">
        <v>823222.70220000006</v>
      </c>
      <c r="X32" s="36">
        <v>1091501.6340000001</v>
      </c>
      <c r="Y32" s="36">
        <v>-124.93640000000001</v>
      </c>
      <c r="Z32" s="36">
        <f t="shared" si="1"/>
        <v>6.7993251908524757</v>
      </c>
      <c r="AA32" s="36">
        <f t="shared" si="2"/>
        <v>5.650266366259598</v>
      </c>
      <c r="AB32" s="36">
        <f t="shared" si="3"/>
        <v>3.7188229871952778</v>
      </c>
      <c r="AC32" s="36">
        <f t="shared" si="4"/>
        <v>3.2910806202916367</v>
      </c>
      <c r="AD32" s="36">
        <f t="shared" si="5"/>
        <v>5.3048464671828661</v>
      </c>
      <c r="AE32" s="36">
        <f t="shared" si="6"/>
        <v>6.5418247430950442</v>
      </c>
      <c r="AF32" s="36">
        <f t="shared" si="7"/>
        <v>6.4383028507922244</v>
      </c>
      <c r="AG32" s="36">
        <f t="shared" si="8"/>
        <v>8.3968787326145407</v>
      </c>
      <c r="AH32" s="36">
        <f t="shared" si="9"/>
        <v>7.630086767547569</v>
      </c>
      <c r="AI32" s="40">
        <f t="shared" ref="AI32" si="242">IF(Z32="","",(Z32-Z$10)*1000)</f>
        <v>-17.626104973214929</v>
      </c>
      <c r="AJ32" s="40">
        <f t="shared" ref="AJ32" si="243">IF(AA32="","",(AA32-AA$10)*1000)</f>
        <v>-16.105178162055367</v>
      </c>
      <c r="AK32" s="40">
        <f t="shared" ref="AK32" si="244">IF(AB32="","",(AB32-AB$10)*1000)</f>
        <v>-13.702285240055456</v>
      </c>
      <c r="AL32" s="40">
        <f t="shared" ref="AL32" si="245">IF(AC32="","",(AC32-AC$10)*1000)</f>
        <v>-6.6081369431301162</v>
      </c>
      <c r="AM32" s="40">
        <f t="shared" ref="AM32" si="246">IF(AD32="","",(AD32-AD$10)*1000)</f>
        <v>-12.419600075561199</v>
      </c>
      <c r="AN32" s="40">
        <f t="shared" ref="AN32" si="247">IF(AE32="","",(AE32-AE$10)*1000)</f>
        <v>-16.18050691954398</v>
      </c>
      <c r="AO32" s="40">
        <f t="shared" ref="AO32" si="248">IF(AF32="","",(AF32-AF$10)*1000)</f>
        <v>-13.30077992682277</v>
      </c>
      <c r="AP32" s="40">
        <f t="shared" ref="AP32" si="249">IF(AG32="","",(AG32-AG$10)*1000)</f>
        <v>-15.512729331447872</v>
      </c>
      <c r="AQ32" s="40">
        <f t="shared" ref="AQ32" si="250">IF(AH32="","",(AH32-AH$10)*1000)</f>
        <v>-17.931397166653262</v>
      </c>
      <c r="AR32" s="37"/>
      <c r="AS32" s="40">
        <f t="shared" ref="AS32" si="251">IF(E32="","",(E32-E$10)*1000)</f>
        <v>0.20000000949949026</v>
      </c>
      <c r="AT32" s="40">
        <f t="shared" ref="AT32" si="252">IF(F32="","",(F32-F$10)*1000)</f>
        <v>-10.899999877437949</v>
      </c>
      <c r="AU32" s="40">
        <f t="shared" ref="AU32" si="253">IF(G32="","",(G32-G$10)*1000)</f>
        <v>-0.19999999999242846</v>
      </c>
      <c r="AV32" s="40">
        <f t="shared" ref="AV32" si="254">IF(H32="","",(H32-H$10)*1000)</f>
        <v>1.500000013038516</v>
      </c>
      <c r="AW32" s="40">
        <f t="shared" ref="AW32" si="255">IF(I32="","",(I32-I$10)*1000)</f>
        <v>-8.9000000152736902</v>
      </c>
      <c r="AX32" s="40">
        <f t="shared" ref="AX32" si="256">IF(J32="","",(J32-J$10)*1000)</f>
        <v>-0.59999999999149622</v>
      </c>
      <c r="AY32" s="40">
        <f t="shared" ref="AY32" si="257">IF(K32="","",(K32-K$10)*1000)</f>
        <v>-0.50000008195638657</v>
      </c>
      <c r="AZ32" s="40">
        <f t="shared" ref="AZ32" si="258">IF(L32="","",(L32-L$10)*1000)</f>
        <v>-9.1999999713152647</v>
      </c>
      <c r="BA32" s="40">
        <f t="shared" ref="BA32" si="259">IF(M32="","",(M32-M$10)*1000)</f>
        <v>-1.1999999999972033</v>
      </c>
      <c r="BB32" s="40">
        <f t="shared" ref="BB32" si="260">IF(N32="","",(N32-N$10)*1000)</f>
        <v>-4.3000000296160579</v>
      </c>
      <c r="BC32" s="40">
        <f t="shared" ref="BC32" si="261">IF(O32="","",(O32-O$10)*1000)</f>
        <v>-0.10000006295740604</v>
      </c>
      <c r="BD32" s="40">
        <f t="shared" ref="BD32" si="262">IF(P32="","",(P32-P$10)*1000)</f>
        <v>-13.500000000007617</v>
      </c>
      <c r="BE32" s="40">
        <f t="shared" ref="BE32" si="263">IF(Q32="","",(Q32-Q$10)*1000)</f>
        <v>-4.3000000296160579</v>
      </c>
      <c r="BF32" s="40">
        <f t="shared" ref="BF32" si="264">IF(R32="","",(R32-R$10)*1000)</f>
        <v>3.7000000011175871</v>
      </c>
      <c r="BG32" s="40">
        <f t="shared" ref="BG32" si="265">IF(S32="","",(S32-S$10)*1000)</f>
        <v>-4.8000000000030241</v>
      </c>
      <c r="BH32" s="40">
        <f t="shared" ref="BH32" si="266">IF(T32="","",(T32-T$10)*1000)</f>
        <v>-5.4000000236555934</v>
      </c>
      <c r="BI32" s="40">
        <f t="shared" ref="BI32" si="267">IF(U32="","",(U32-U$10)*1000)</f>
        <v>4.999999888241291</v>
      </c>
      <c r="BJ32" s="40">
        <f t="shared" ref="BJ32" si="268">IF(V32="","",(V32-V$10)*1000)</f>
        <v>-0.39999999999906777</v>
      </c>
      <c r="BK32" s="40">
        <f t="shared" ref="BK32" si="269">IF(W32="","",(W32-W$10)*1000)</f>
        <v>-7.0999999297782779</v>
      </c>
      <c r="BL32" s="40">
        <f t="shared" ref="BL32" si="270">IF(X32="","",(X32-X$10)*1000)</f>
        <v>5.4999999701976776</v>
      </c>
      <c r="BM32" s="40">
        <f t="shared" ref="BM32" si="271">IF(Y32="","",(Y32-Y$10)*1000)</f>
        <v>1.7999999999886995</v>
      </c>
      <c r="BN32" s="37"/>
      <c r="BO32" s="36">
        <v>169.3705032</v>
      </c>
      <c r="BP32" s="36">
        <v>-3.7636172409999999</v>
      </c>
      <c r="BQ32" s="36">
        <v>-1.161025032</v>
      </c>
      <c r="BR32" s="36">
        <v>169.20948809999999</v>
      </c>
      <c r="BS32" s="36">
        <v>-4.2031591759999998</v>
      </c>
      <c r="BT32" s="36">
        <v>0.82688511899999995</v>
      </c>
      <c r="BU32" s="36">
        <v>169.18690240000001</v>
      </c>
      <c r="BV32" s="36">
        <v>-3.2322203799999998</v>
      </c>
      <c r="BW32" s="36">
        <v>2.9682109759999999</v>
      </c>
      <c r="BX32" s="36">
        <v>168.95980130000001</v>
      </c>
      <c r="BY32" s="36">
        <v>0.217236443</v>
      </c>
      <c r="BZ32" s="36">
        <v>4.3394819870000001</v>
      </c>
      <c r="CA32" s="36">
        <v>169.19886109999999</v>
      </c>
      <c r="CB32" s="36">
        <v>3.2056098820000001</v>
      </c>
      <c r="CC32" s="36">
        <v>2.9786913890000002</v>
      </c>
      <c r="CD32" s="36">
        <v>169.19052500000001</v>
      </c>
      <c r="CE32" s="36">
        <v>4.193786652</v>
      </c>
      <c r="CF32" s="36">
        <v>0.83317474999999996</v>
      </c>
      <c r="CG32" s="36">
        <v>169.25444110000001</v>
      </c>
      <c r="CH32" s="36">
        <v>3.8653210769999999</v>
      </c>
      <c r="CI32" s="36">
        <v>-1.086064411</v>
      </c>
      <c r="CJ32" s="37"/>
      <c r="CK32" s="40">
        <f t="shared" ref="CK32" si="272">IF(BO32="","",(BO32-BO$10)*1000)</f>
        <v>-4.5524221909545304</v>
      </c>
      <c r="CL32" s="40">
        <f t="shared" ref="CL32" si="273">IF(BP32="","",(BP32-BP$10)*1000)</f>
        <v>10.235001127055554</v>
      </c>
      <c r="CM32" s="40">
        <f t="shared" ref="CM32" si="274">IF(BQ32="","",(BQ32-BQ$10)*1000)</f>
        <v>-0.15447577807714552</v>
      </c>
      <c r="CN32" s="40">
        <f t="shared" ref="CN32" si="275">IF(BR32="","",(BR32-BR$10)*1000)</f>
        <v>-2.4021291373799158</v>
      </c>
      <c r="CO32" s="40">
        <f t="shared" ref="CO32" si="276">IF(BS32="","",(BS32-BS$10)*1000)</f>
        <v>8.6999775858851436</v>
      </c>
      <c r="CP32" s="40">
        <f t="shared" ref="CP32" si="277">IF(BT32="","",(BT32-BT$10)*1000)</f>
        <v>-0.57597870862124978</v>
      </c>
      <c r="CQ32" s="40">
        <f t="shared" ref="CQ32" si="278">IF(BU32="","",(BU32-BU$10)*1000)</f>
        <v>-4.5528418708613572</v>
      </c>
      <c r="CR32" s="40">
        <f t="shared" ref="CR32" si="279">IF(BV32="","",(BV32-BV$10)*1000)</f>
        <v>8.5797067160973128</v>
      </c>
      <c r="CS32" s="40">
        <f t="shared" ref="CS32" si="280">IF(BW32="","",(BW32-BW$10)*1000)</f>
        <v>-1.1544715812821238</v>
      </c>
      <c r="CT32" s="40">
        <f t="shared" ref="CT32" si="281">IF(BX32="","",(BX32-BX$10)*1000)</f>
        <v>-3.812564619835257</v>
      </c>
      <c r="CU32" s="40">
        <f t="shared" ref="CU32" si="282">IF(BY32="","",(BY32-BY$10)*1000)</f>
        <v>-1.9986617495592884</v>
      </c>
      <c r="CV32" s="40">
        <f t="shared" ref="CV32" si="283">IF(BZ32="","",(BZ32-BZ$10)*1000)</f>
        <v>-13.461874353807524</v>
      </c>
      <c r="CW32" s="40">
        <f t="shared" ref="CW32" si="284">IF(CA32="","",(CA32-CA$10)*1000)</f>
        <v>-2.3332418723782666</v>
      </c>
      <c r="CX32" s="40">
        <f t="shared" ref="CX32" si="285">IF(CB32="","",(CB32-CB$10)*1000)</f>
        <v>-5.1706839486627132</v>
      </c>
      <c r="CY32" s="40">
        <f t="shared" ref="CY32" si="286">IF(CC32="","",(CC32-CC$10)*1000)</f>
        <v>-4.7766675812730419</v>
      </c>
      <c r="CZ32" s="40">
        <f t="shared" ref="CZ32" si="287">IF(CD32="","",(CD32-CD$10)*1000)</f>
        <v>-2.8230277355021371</v>
      </c>
      <c r="DA32" s="40">
        <f t="shared" ref="DA32" si="288">IF(CE32="","",(CE32-CE$10)*1000)</f>
        <v>-6.7231524299931067</v>
      </c>
      <c r="DB32" s="40">
        <f t="shared" ref="DB32" si="289">IF(CF32="","",(CF32-CF$10)*1000)</f>
        <v>-0.37176972264552077</v>
      </c>
      <c r="DC32" s="40">
        <f t="shared" ref="DC32" si="290">IF(CG32="","",(CG32-CG$10)*1000)</f>
        <v>-4.2791747279693482</v>
      </c>
      <c r="DD32" s="40">
        <f t="shared" ref="DD32" si="291">IF(CH32="","",(CH32-CH$10)*1000)</f>
        <v>-7.6229181692522019</v>
      </c>
      <c r="DE32" s="40">
        <f t="shared" ref="DE32" si="292">IF(CI32="","",(CI32-CI$10)*1000)</f>
        <v>1.8427917472745303</v>
      </c>
    </row>
    <row r="33" spans="1:109" ht="29.25" customHeight="1" x14ac:dyDescent="0.2">
      <c r="A33" s="34">
        <v>43690</v>
      </c>
      <c r="B33" s="27">
        <f t="shared" si="96"/>
        <v>91</v>
      </c>
      <c r="C33" s="35">
        <v>194.79</v>
      </c>
      <c r="D33" s="35">
        <f t="shared" si="0"/>
        <v>25.590000000000003</v>
      </c>
      <c r="E33" s="36">
        <v>823219.5845</v>
      </c>
      <c r="F33" s="36">
        <v>1091508.595</v>
      </c>
      <c r="G33" s="36">
        <v>-125.01</v>
      </c>
      <c r="H33" s="36">
        <v>823219.25300000003</v>
      </c>
      <c r="I33" s="36">
        <v>1091508.926</v>
      </c>
      <c r="J33" s="36">
        <v>-123.0234</v>
      </c>
      <c r="K33" s="36"/>
      <c r="L33" s="36"/>
      <c r="M33" s="36"/>
      <c r="N33" s="36">
        <v>823220.89430000004</v>
      </c>
      <c r="O33" s="36">
        <v>1091504.8130000001</v>
      </c>
      <c r="P33" s="36">
        <v>-119.5136</v>
      </c>
      <c r="Q33" s="36">
        <v>823222.37300000002</v>
      </c>
      <c r="R33" s="36">
        <v>1091502.206</v>
      </c>
      <c r="S33" s="36">
        <v>-120.87260000000001</v>
      </c>
      <c r="T33" s="36">
        <v>823222.78280000004</v>
      </c>
      <c r="U33" s="36">
        <v>1091501.307</v>
      </c>
      <c r="V33" s="36">
        <v>-123.0176</v>
      </c>
      <c r="W33" s="36">
        <v>823222.70189999999</v>
      </c>
      <c r="X33" s="36">
        <v>1091501.632</v>
      </c>
      <c r="Y33" s="36">
        <v>-124.9359</v>
      </c>
      <c r="Z33" s="36">
        <f t="shared" si="1"/>
        <v>6.7992288532811083</v>
      </c>
      <c r="AA33" s="36">
        <f t="shared" si="2"/>
        <v>5.6506044569762119</v>
      </c>
      <c r="AB33" s="36"/>
      <c r="AC33" s="36">
        <f t="shared" si="4"/>
        <v>3.290878862907697</v>
      </c>
      <c r="AD33" s="36">
        <f t="shared" si="5"/>
        <v>5.3043834939009882</v>
      </c>
      <c r="AE33" s="36">
        <f t="shared" si="6"/>
        <v>6.541216710247264</v>
      </c>
      <c r="AF33" s="36"/>
      <c r="AG33" s="36">
        <f t="shared" si="8"/>
        <v>8.3969448419848192</v>
      </c>
      <c r="AH33" s="36">
        <f t="shared" si="9"/>
        <v>7.6293540073699031</v>
      </c>
      <c r="AI33" s="40">
        <f t="shared" ref="AI33" si="293">IF(Z33="","",(Z33-Z$10)*1000)</f>
        <v>-17.722442544582329</v>
      </c>
      <c r="AJ33" s="40">
        <f t="shared" ref="AJ33" si="294">IF(AA33="","",(AA33-AA$10)*1000)</f>
        <v>-15.767087445441419</v>
      </c>
      <c r="AK33" s="40" t="str">
        <f t="shared" ref="AK33" si="295">IF(AB33="","",(AB33-AB$10)*1000)</f>
        <v/>
      </c>
      <c r="AL33" s="40">
        <f t="shared" ref="AL33" si="296">IF(AC33="","",(AC33-AC$10)*1000)</f>
        <v>-6.8098943270697987</v>
      </c>
      <c r="AM33" s="40">
        <f t="shared" ref="AM33" si="297">IF(AD33="","",(AD33-AD$10)*1000)</f>
        <v>-12.882573357439142</v>
      </c>
      <c r="AN33" s="40">
        <f t="shared" ref="AN33" si="298">IF(AE33="","",(AE33-AE$10)*1000)</f>
        <v>-16.788539767324195</v>
      </c>
      <c r="AO33" s="40" t="str">
        <f t="shared" ref="AO33" si="299">IF(AF33="","",(AF33-AF$10)*1000)</f>
        <v/>
      </c>
      <c r="AP33" s="40">
        <f t="shared" ref="AP33" si="300">IF(AG33="","",(AG33-AG$10)*1000)</f>
        <v>-15.446619961169361</v>
      </c>
      <c r="AQ33" s="40">
        <f t="shared" ref="AQ33" si="301">IF(AH33="","",(AH33-AH$10)*1000)</f>
        <v>-18.664157344319143</v>
      </c>
      <c r="AR33" s="37"/>
      <c r="AS33" s="40">
        <f t="shared" ref="AS33" si="302">IF(E33="","",(E33-E$10)*1000)</f>
        <v>1.7000000225380063</v>
      </c>
      <c r="AT33" s="40">
        <f t="shared" ref="AT33" si="303">IF(F33="","",(F33-F$10)*1000)</f>
        <v>-12.899999972432852</v>
      </c>
      <c r="AU33" s="40">
        <f t="shared" ref="AU33" si="304">IF(G33="","",(G33-G$10)*1000)</f>
        <v>0</v>
      </c>
      <c r="AV33" s="40">
        <f t="shared" ref="AV33" si="305">IF(H33="","",(H33-H$10)*1000)</f>
        <v>3.2000000355765224</v>
      </c>
      <c r="AW33" s="40">
        <f t="shared" ref="AW33" si="306">IF(I33="","",(I33-I$10)*1000)</f>
        <v>-9.8999999463558197</v>
      </c>
      <c r="AX33" s="40">
        <f t="shared" ref="AX33" si="307">IF(J33="","",(J33-J$10)*1000)</f>
        <v>-9.9999999989108801E-2</v>
      </c>
      <c r="AY33" s="40" t="str">
        <f t="shared" ref="AY33" si="308">IF(K33="","",(K33-K$10)*1000)</f>
        <v/>
      </c>
      <c r="AZ33" s="40" t="str">
        <f t="shared" ref="AZ33" si="309">IF(L33="","",(L33-L$10)*1000)</f>
        <v/>
      </c>
      <c r="BA33" s="40" t="str">
        <f t="shared" ref="BA33" si="310">IF(M33="","",(M33-M$10)*1000)</f>
        <v/>
      </c>
      <c r="BB33" s="40">
        <f t="shared" ref="BB33" si="311">IF(N33="","",(N33-N$10)*1000)</f>
        <v>-3.2999999821186066</v>
      </c>
      <c r="BC33" s="40">
        <f t="shared" ref="BC33" si="312">IF(O33="","",(O33-O$10)*1000)</f>
        <v>-2.099999925121665</v>
      </c>
      <c r="BD33" s="40">
        <f t="shared" ref="BD33" si="313">IF(P33="","",(P33-P$10)*1000)</f>
        <v>-13.300000000000978</v>
      </c>
      <c r="BE33" s="40">
        <f t="shared" ref="BE33" si="314">IF(Q33="","",(Q33-Q$10)*1000)</f>
        <v>-4.3000000296160579</v>
      </c>
      <c r="BF33" s="40">
        <f t="shared" ref="BF33" si="315">IF(R33="","",(R33-R$10)*1000)</f>
        <v>1.6999999061226845</v>
      </c>
      <c r="BG33" s="40">
        <f t="shared" ref="BG33" si="316">IF(S33="","",(S33-S$10)*1000)</f>
        <v>-5.2000000000020918</v>
      </c>
      <c r="BH33" s="40">
        <f t="shared" ref="BH33" si="317">IF(T33="","",(T33-T$10)*1000)</f>
        <v>-5.6999999796971679</v>
      </c>
      <c r="BI33" s="40">
        <f t="shared" ref="BI33" si="318">IF(U33="","",(U33-U$10)*1000)</f>
        <v>3.0000000260770321</v>
      </c>
      <c r="BJ33" s="40">
        <f t="shared" ref="BJ33" si="319">IF(V33="","",(V33-V$10)*1000)</f>
        <v>-0.20000000000663931</v>
      </c>
      <c r="BK33" s="40">
        <f t="shared" ref="BK33" si="320">IF(W33="","",(W33-W$10)*1000)</f>
        <v>-7.4000000022351742</v>
      </c>
      <c r="BL33" s="40">
        <f t="shared" ref="BL33" si="321">IF(X33="","",(X33-X$10)*1000)</f>
        <v>3.499999875202775</v>
      </c>
      <c r="BM33" s="40">
        <f t="shared" ref="BM33" si="322">IF(Y33="","",(Y33-Y$10)*1000)</f>
        <v>2.299999999991087</v>
      </c>
      <c r="BN33" s="37"/>
      <c r="BO33" s="36">
        <v>169.3713132</v>
      </c>
      <c r="BP33" s="36">
        <v>-3.761805083</v>
      </c>
      <c r="BQ33" s="36">
        <v>-1.160833132</v>
      </c>
      <c r="BR33" s="36">
        <v>169.2104793</v>
      </c>
      <c r="BS33" s="36">
        <v>-4.2012624880000002</v>
      </c>
      <c r="BT33" s="36">
        <v>0.827375207</v>
      </c>
      <c r="BU33" s="36"/>
      <c r="BV33" s="36"/>
      <c r="BW33" s="36"/>
      <c r="BX33" s="36">
        <v>168.95977780000001</v>
      </c>
      <c r="BY33" s="36">
        <v>0.21965293699999999</v>
      </c>
      <c r="BZ33" s="36">
        <v>4.3396822220000004</v>
      </c>
      <c r="CA33" s="36">
        <v>169.19793129999999</v>
      </c>
      <c r="CB33" s="36">
        <v>3.2076037240000002</v>
      </c>
      <c r="CC33" s="36">
        <v>2.9783006869999999</v>
      </c>
      <c r="CD33" s="36">
        <v>169.18940789999999</v>
      </c>
      <c r="CE33" s="36">
        <v>4.1954724409999997</v>
      </c>
      <c r="CF33" s="36">
        <v>0.83338592099999997</v>
      </c>
      <c r="CG33" s="36">
        <v>169.2533239</v>
      </c>
      <c r="CH33" s="36">
        <v>3.867006865</v>
      </c>
      <c r="CI33" s="36">
        <v>-1.085553239</v>
      </c>
      <c r="CJ33" s="37"/>
      <c r="CK33" s="40">
        <f t="shared" ref="CK33" si="323">IF(BO33="","",(BO33-BO$10)*1000)</f>
        <v>-3.7424221909532207</v>
      </c>
      <c r="CL33" s="40">
        <f t="shared" ref="CL33" si="324">IF(BP33="","",(BP33-BP$10)*1000)</f>
        <v>12.047159127055451</v>
      </c>
      <c r="CM33" s="40">
        <f t="shared" ref="CM33" si="325">IF(BQ33="","",(BQ33-BQ$10)*1000)</f>
        <v>3.7424221922766066E-2</v>
      </c>
      <c r="CN33" s="40">
        <f t="shared" ref="CN33" si="326">IF(BR33="","",(BR33-BR$10)*1000)</f>
        <v>-1.4109291373642918</v>
      </c>
      <c r="CO33" s="40">
        <f t="shared" ref="CO33" si="327">IF(BS33="","",(BS33-BS$10)*1000)</f>
        <v>10.596665585884679</v>
      </c>
      <c r="CP33" s="40">
        <f t="shared" ref="CP33" si="328">IF(BT33="","",(BT33-BT$10)*1000)</f>
        <v>-8.5890708621194634E-2</v>
      </c>
      <c r="CQ33" s="40" t="str">
        <f t="shared" ref="CQ33" si="329">IF(BU33="","",(BU33-BU$10)*1000)</f>
        <v/>
      </c>
      <c r="CR33" s="40" t="str">
        <f t="shared" ref="CR33" si="330">IF(BV33="","",(BV33-BV$10)*1000)</f>
        <v/>
      </c>
      <c r="CS33" s="40" t="str">
        <f t="shared" ref="CS33" si="331">IF(BW33="","",(BW33-BW$10)*1000)</f>
        <v/>
      </c>
      <c r="CT33" s="40">
        <f t="shared" ref="CT33" si="332">IF(BX33="","",(BX33-BX$10)*1000)</f>
        <v>-3.8360646198327686</v>
      </c>
      <c r="CU33" s="40">
        <f t="shared" ref="CU33" si="333">IF(BY33="","",(BY33-BY$10)*1000)</f>
        <v>0.41783225044070282</v>
      </c>
      <c r="CV33" s="40">
        <f t="shared" ref="CV33" si="334">IF(BZ33="","",(BZ33-BZ$10)*1000)</f>
        <v>-13.261639353807197</v>
      </c>
      <c r="CW33" s="40">
        <f t="shared" ref="CW33" si="335">IF(CA33="","",(CA33-CA$10)*1000)</f>
        <v>-3.2630418723726962</v>
      </c>
      <c r="CX33" s="40">
        <f t="shared" ref="CX33" si="336">IF(CB33="","",(CB33-CB$10)*1000)</f>
        <v>-3.1768419486626343</v>
      </c>
      <c r="CY33" s="40">
        <f t="shared" ref="CY33" si="337">IF(CC33="","",(CC33-CC$10)*1000)</f>
        <v>-5.1673695812732845</v>
      </c>
      <c r="CZ33" s="40">
        <f t="shared" ref="CZ33" si="338">IF(CD33="","",(CD33-CD$10)*1000)</f>
        <v>-3.9401277355182174</v>
      </c>
      <c r="DA33" s="40">
        <f t="shared" ref="DA33" si="339">IF(CE33="","",(CE33-CE$10)*1000)</f>
        <v>-5.0373634299933912</v>
      </c>
      <c r="DB33" s="40">
        <f t="shared" ref="DB33" si="340">IF(CF33="","",(CF33-CF$10)*1000)</f>
        <v>-0.16059872264551078</v>
      </c>
      <c r="DC33" s="40">
        <f t="shared" ref="DC33" si="341">IF(CG33="","",(CG33-CG$10)*1000)</f>
        <v>-5.3963747279794916</v>
      </c>
      <c r="DD33" s="40">
        <f t="shared" ref="DD33" si="342">IF(CH33="","",(CH33-CH$10)*1000)</f>
        <v>-5.937130169252125</v>
      </c>
      <c r="DE33" s="40">
        <f t="shared" ref="DE33" si="343">IF(CI33="","",(CI33-CI$10)*1000)</f>
        <v>2.353963747274479</v>
      </c>
    </row>
    <row r="34" spans="1:109" ht="29.25" customHeight="1" x14ac:dyDescent="0.2">
      <c r="A34" s="34">
        <v>43696</v>
      </c>
      <c r="B34" s="27">
        <f t="shared" si="96"/>
        <v>97</v>
      </c>
      <c r="C34" s="35">
        <v>195.4</v>
      </c>
      <c r="D34" s="35">
        <f t="shared" si="0"/>
        <v>26.200000000000017</v>
      </c>
      <c r="E34" s="36">
        <v>823219.5834</v>
      </c>
      <c r="F34" s="36">
        <v>1091508.5974999999</v>
      </c>
      <c r="G34" s="36">
        <v>-125.00920000000001</v>
      </c>
      <c r="H34" s="36">
        <v>823219.25190000003</v>
      </c>
      <c r="I34" s="36">
        <v>1091508.9276999999</v>
      </c>
      <c r="J34" s="36">
        <v>-123.0236</v>
      </c>
      <c r="K34" s="36"/>
      <c r="L34" s="36"/>
      <c r="M34" s="36"/>
      <c r="N34" s="36">
        <v>823220.89370000002</v>
      </c>
      <c r="O34" s="36">
        <v>1091504.817</v>
      </c>
      <c r="P34" s="36">
        <v>-119.5145</v>
      </c>
      <c r="Q34" s="36">
        <v>823222.37320000003</v>
      </c>
      <c r="R34" s="36">
        <v>1091502.2102000001</v>
      </c>
      <c r="S34" s="36">
        <v>-120.87220000000001</v>
      </c>
      <c r="T34" s="36">
        <v>823222.78339999996</v>
      </c>
      <c r="U34" s="36">
        <v>1091501.311</v>
      </c>
      <c r="V34" s="36">
        <v>-123.01739999999999</v>
      </c>
      <c r="W34" s="36">
        <v>823222.70250000001</v>
      </c>
      <c r="X34" s="36">
        <v>1091501.6359000001</v>
      </c>
      <c r="Y34" s="36">
        <v>-124.9355</v>
      </c>
      <c r="Z34" s="36">
        <f t="shared" si="1"/>
        <v>6.7971166261218317</v>
      </c>
      <c r="AA34" s="36">
        <f t="shared" si="2"/>
        <v>5.6486409461628213</v>
      </c>
      <c r="AB34" s="36"/>
      <c r="AC34" s="36">
        <f t="shared" si="4"/>
        <v>3.2905433867050826</v>
      </c>
      <c r="AD34" s="36">
        <f t="shared" si="5"/>
        <v>5.3040843224956964</v>
      </c>
      <c r="AE34" s="36">
        <f t="shared" si="6"/>
        <v>6.5405195244371335</v>
      </c>
      <c r="AF34" s="36"/>
      <c r="AG34" s="36">
        <f t="shared" si="8"/>
        <v>8.395573213181768</v>
      </c>
      <c r="AH34" s="36">
        <f t="shared" si="9"/>
        <v>7.6287673353802763</v>
      </c>
      <c r="AI34" s="40">
        <f t="shared" ref="AI34" si="344">IF(Z34="","",(Z34-Z$10)*1000)</f>
        <v>-19.834669703858943</v>
      </c>
      <c r="AJ34" s="40">
        <f t="shared" ref="AJ34" si="345">IF(AA34="","",(AA34-AA$10)*1000)</f>
        <v>-17.730598258832053</v>
      </c>
      <c r="AK34" s="40" t="str">
        <f t="shared" ref="AK34" si="346">IF(AB34="","",(AB34-AB$10)*1000)</f>
        <v/>
      </c>
      <c r="AL34" s="40">
        <f t="shared" ref="AL34" si="347">IF(AC34="","",(AC34-AC$10)*1000)</f>
        <v>-7.1453705296842251</v>
      </c>
      <c r="AM34" s="40">
        <f t="shared" ref="AM34" si="348">IF(AD34="","",(AD34-AD$10)*1000)</f>
        <v>-13.181744762730929</v>
      </c>
      <c r="AN34" s="40">
        <f t="shared" ref="AN34" si="349">IF(AE34="","",(AE34-AE$10)*1000)</f>
        <v>-17.485725577454758</v>
      </c>
      <c r="AO34" s="40" t="str">
        <f t="shared" ref="AO34:AO35" si="350">IF(AF34="","",(AF34-AF$10)*1000)</f>
        <v/>
      </c>
      <c r="AP34" s="40">
        <f t="shared" ref="AP34" si="351">IF(AG34="","",(AG34-AG$10)*1000)</f>
        <v>-16.818248764220556</v>
      </c>
      <c r="AQ34" s="40">
        <f t="shared" ref="AQ34" si="352">IF(AH34="","",(AH34-AH$10)*1000)</f>
        <v>-19.250829333945951</v>
      </c>
      <c r="AR34" s="37"/>
      <c r="AS34" s="40">
        <f t="shared" ref="AS34:AS35" si="353">IF(E34="","",(E34-E$10)*1000)</f>
        <v>0.60000002849847078</v>
      </c>
      <c r="AT34" s="40">
        <f t="shared" ref="AT34:AT35" si="354">IF(F34="","",(F34-F$10)*1000)</f>
        <v>-10.400000028312206</v>
      </c>
      <c r="AU34" s="40">
        <f t="shared" ref="AU34:AU35" si="355">IF(G34="","",(G34-G$10)*1000)</f>
        <v>0.79999999999813554</v>
      </c>
      <c r="AV34" s="40">
        <f t="shared" ref="AV34:AV35" si="356">IF(H34="","",(H34-H$10)*1000)</f>
        <v>2.1000000415369868</v>
      </c>
      <c r="AW34" s="40">
        <f t="shared" ref="AW34:AW35" si="357">IF(I34="","",(I34-I$10)*1000)</f>
        <v>-8.2000000402331352</v>
      </c>
      <c r="AX34" s="40">
        <f t="shared" ref="AX34:AX35" si="358">IF(J34="","",(J34-J$10)*1000)</f>
        <v>-0.29999999999574811</v>
      </c>
      <c r="AY34" s="40" t="str">
        <f t="shared" ref="AY34:AY35" si="359">IF(K34="","",(K34-K$10)*1000)</f>
        <v/>
      </c>
      <c r="AZ34" s="40" t="str">
        <f t="shared" ref="AZ34:AZ35" si="360">IF(L34="","",(L34-L$10)*1000)</f>
        <v/>
      </c>
      <c r="BA34" s="40" t="str">
        <f t="shared" ref="BA34:BA35" si="361">IF(M34="","",(M34-M$10)*1000)</f>
        <v/>
      </c>
      <c r="BB34" s="40">
        <f t="shared" ref="BB34:BB35" si="362">IF(N34="","",(N34-N$10)*1000)</f>
        <v>-3.9000000106170774</v>
      </c>
      <c r="BC34" s="40">
        <f t="shared" ref="BC34:BC35" si="363">IF(O34="","",(O34-O$10)*1000)</f>
        <v>1.9000000320374966</v>
      </c>
      <c r="BD34" s="40">
        <f t="shared" ref="BD34:BD35" si="364">IF(P34="","",(P34-P$10)*1000)</f>
        <v>-14.200000000002433</v>
      </c>
      <c r="BE34" s="40">
        <f t="shared" ref="BE34:BE35" si="365">IF(Q34="","",(Q34-Q$10)*1000)</f>
        <v>-4.1000000201165676</v>
      </c>
      <c r="BF34" s="40">
        <f t="shared" ref="BF34:BF35" si="366">IF(R34="","",(R34-R$10)*1000)</f>
        <v>5.8999999891966581</v>
      </c>
      <c r="BG34" s="40">
        <f t="shared" ref="BG34:BG35" si="367">IF(S34="","",(S34-S$10)*1000)</f>
        <v>-4.8000000000030241</v>
      </c>
      <c r="BH34" s="40">
        <f t="shared" ref="BH34:BH35" si="368">IF(T34="","",(T34-T$10)*1000)</f>
        <v>-5.1000000676140189</v>
      </c>
      <c r="BI34" s="40">
        <f t="shared" ref="BI34:BI35" si="369">IF(U34="","",(U34-U$10)*1000)</f>
        <v>6.9999999832361937</v>
      </c>
      <c r="BJ34" s="40">
        <f t="shared" ref="BJ34:BJ35" si="370">IF(V34="","",(V34-V$10)*1000)</f>
        <v>0</v>
      </c>
      <c r="BK34" s="40">
        <f t="shared" ref="BK34:BK35" si="371">IF(W34="","",(W34-W$10)*1000)</f>
        <v>-6.7999999737367034</v>
      </c>
      <c r="BL34" s="40">
        <f t="shared" ref="BL34:BL35" si="372">IF(X34="","",(X34-X$10)*1000)</f>
        <v>7.4000000022351742</v>
      </c>
      <c r="BM34" s="40">
        <f t="shared" ref="BM34:BM35" si="373">IF(Y34="","",(Y34-Y$10)*1000)</f>
        <v>2.6999999999901547</v>
      </c>
      <c r="BN34" s="37"/>
      <c r="BO34" s="36">
        <v>169.37119999999999</v>
      </c>
      <c r="BP34" s="36">
        <v>-3.7642000000000002</v>
      </c>
      <c r="BQ34" s="36">
        <v>-1.1599999999999999</v>
      </c>
      <c r="BR34" s="36">
        <v>169.21029999999999</v>
      </c>
      <c r="BS34" s="36">
        <v>-4.2035</v>
      </c>
      <c r="BT34" s="36">
        <v>0.82720000000000005</v>
      </c>
      <c r="BU34" s="36"/>
      <c r="BV34" s="36"/>
      <c r="BW34" s="36"/>
      <c r="BX34" s="36">
        <v>168.96090000000001</v>
      </c>
      <c r="BY34" s="36">
        <v>0.21590000000000001</v>
      </c>
      <c r="BZ34" s="36">
        <v>4.3388</v>
      </c>
      <c r="CA34" s="36">
        <v>169.2</v>
      </c>
      <c r="CB34" s="36">
        <v>3.2037</v>
      </c>
      <c r="CC34" s="36">
        <v>2.9786999999999999</v>
      </c>
      <c r="CD34" s="36">
        <v>169.1917</v>
      </c>
      <c r="CE34" s="36">
        <v>4.1920000000000002</v>
      </c>
      <c r="CF34" s="36">
        <v>0.83360000000000001</v>
      </c>
      <c r="CG34" s="36">
        <v>169.25569999999999</v>
      </c>
      <c r="CH34" s="36">
        <v>3.8633999999999999</v>
      </c>
      <c r="CI34" s="36">
        <v>-1.0851999999999999</v>
      </c>
      <c r="CJ34" s="37"/>
      <c r="CK34" s="40">
        <f t="shared" ref="CK34:CK35" si="374">IF(BO34="","",(BO34-BO$10)*1000)</f>
        <v>-3.8556221909686883</v>
      </c>
      <c r="CL34" s="40">
        <f t="shared" ref="CL34:CL35" si="375">IF(BP34="","",(BP34-BP$10)*1000)</f>
        <v>9.6522421270552883</v>
      </c>
      <c r="CM34" s="40">
        <f t="shared" ref="CM34:CM35" si="376">IF(BQ34="","",(BQ34-BQ$10)*1000)</f>
        <v>0.87055622192289128</v>
      </c>
      <c r="CN34" s="40">
        <f t="shared" ref="CN34:CN35" si="377">IF(BR34="","",(BR34-BR$10)*1000)</f>
        <v>-1.5902291373777189</v>
      </c>
      <c r="CO34" s="40">
        <f t="shared" ref="CO34:CO35" si="378">IF(BS34="","",(BS34-BS$10)*1000)</f>
        <v>8.3591535858849042</v>
      </c>
      <c r="CP34" s="40">
        <f t="shared" ref="CP34:CP35" si="379">IF(BT34="","",(BT34-BT$10)*1000)</f>
        <v>-0.26109770862114967</v>
      </c>
      <c r="CQ34" s="40" t="str">
        <f t="shared" ref="CQ34:CQ35" si="380">IF(BU34="","",(BU34-BU$10)*1000)</f>
        <v/>
      </c>
      <c r="CR34" s="40" t="str">
        <f t="shared" ref="CR34:CR35" si="381">IF(BV34="","",(BV34-BV$10)*1000)</f>
        <v/>
      </c>
      <c r="CS34" s="40" t="str">
        <f t="shared" ref="CS34:CS35" si="382">IF(BW34="","",(BW34-BW$10)*1000)</f>
        <v/>
      </c>
      <c r="CT34" s="40">
        <f t="shared" ref="CT34:CT35" si="383">IF(BX34="","",(BX34-BX$10)*1000)</f>
        <v>-2.713864619835249</v>
      </c>
      <c r="CU34" s="40">
        <f t="shared" ref="CU34:CU35" si="384">IF(BY34="","",(BY34-BY$10)*1000)</f>
        <v>-3.3351047495592812</v>
      </c>
      <c r="CV34" s="40">
        <f t="shared" ref="CV34:CV35" si="385">IF(BZ34="","",(BZ34-BZ$10)*1000)</f>
        <v>-14.14386135380763</v>
      </c>
      <c r="CW34" s="40">
        <f t="shared" ref="CW34:CW35" si="386">IF(CA34="","",(CA34-CA$10)*1000)</f>
        <v>-1.1943418723774357</v>
      </c>
      <c r="CX34" s="40">
        <f t="shared" ref="CX34:CX35" si="387">IF(CB34="","",(CB34-CB$10)*1000)</f>
        <v>-7.0805659486627981</v>
      </c>
      <c r="CY34" s="40">
        <f t="shared" ref="CY34:CY35" si="388">IF(CC34="","",(CC34-CC$10)*1000)</f>
        <v>-4.7680565812733278</v>
      </c>
      <c r="CZ34" s="40">
        <f t="shared" ref="CZ34:CZ35" si="389">IF(CD34="","",(CD34-CD$10)*1000)</f>
        <v>-1.6480277355128692</v>
      </c>
      <c r="DA34" s="40">
        <f t="shared" ref="DA34:DA35" si="390">IF(CE34="","",(CE34-CE$10)*1000)</f>
        <v>-8.5098044299929398</v>
      </c>
      <c r="DB34" s="40">
        <f t="shared" ref="DB34:DB35" si="391">IF(CF34="","",(CF34-CF$10)*1000)</f>
        <v>5.3480277354522876E-2</v>
      </c>
      <c r="DC34" s="40">
        <f t="shared" ref="DC34:DC35" si="392">IF(CG34="","",(CG34-CG$10)*1000)</f>
        <v>-3.020274727987271</v>
      </c>
      <c r="DD34" s="40">
        <f t="shared" ref="DD34:DD35" si="393">IF(CH34="","",(CH34-CH$10)*1000)</f>
        <v>-9.5439951692521952</v>
      </c>
      <c r="DE34" s="40">
        <f t="shared" ref="DE34:DE35" si="394">IF(CI34="","",(CI34-CI$10)*1000)</f>
        <v>2.7072027472745397</v>
      </c>
    </row>
    <row r="35" spans="1:109" ht="29.25" customHeight="1" x14ac:dyDescent="0.2">
      <c r="A35" s="34">
        <v>43699</v>
      </c>
      <c r="B35" s="27">
        <f t="shared" si="96"/>
        <v>100</v>
      </c>
      <c r="C35" s="35">
        <v>196.35</v>
      </c>
      <c r="D35" s="35">
        <f t="shared" si="0"/>
        <v>27.150000000000006</v>
      </c>
      <c r="E35" s="36">
        <v>823219.58290000004</v>
      </c>
      <c r="F35" s="36">
        <v>1091508.5970999999</v>
      </c>
      <c r="G35" s="36">
        <v>-125.01</v>
      </c>
      <c r="H35" s="36">
        <v>823219.25150000001</v>
      </c>
      <c r="I35" s="36">
        <v>1091508.9275</v>
      </c>
      <c r="J35" s="36">
        <v>-123.0236</v>
      </c>
      <c r="K35" s="36">
        <v>823219.64179999998</v>
      </c>
      <c r="L35" s="36">
        <v>1091508.0379000001</v>
      </c>
      <c r="M35" s="36">
        <v>-120.88290000000001</v>
      </c>
      <c r="N35" s="36">
        <v>823220.89339999994</v>
      </c>
      <c r="O35" s="36">
        <v>1091504.8167000001</v>
      </c>
      <c r="P35" s="36">
        <v>-119.5147</v>
      </c>
      <c r="Q35" s="36">
        <v>823222.37340000004</v>
      </c>
      <c r="R35" s="36">
        <v>1091502.2097</v>
      </c>
      <c r="S35" s="36">
        <v>-120.87220000000001</v>
      </c>
      <c r="T35" s="36">
        <v>823222.78339999996</v>
      </c>
      <c r="U35" s="36">
        <v>1091501.3106</v>
      </c>
      <c r="V35" s="36">
        <v>-123.01730000000001</v>
      </c>
      <c r="W35" s="36">
        <v>823222.70259999996</v>
      </c>
      <c r="X35" s="36">
        <v>1091501.6351999999</v>
      </c>
      <c r="Y35" s="36">
        <v>-124.93600000000001</v>
      </c>
      <c r="Z35" s="36">
        <f t="shared" si="1"/>
        <v>6.797584607663631</v>
      </c>
      <c r="AA35" s="36">
        <f t="shared" si="2"/>
        <v>5.6486185442999419</v>
      </c>
      <c r="AB35" s="36">
        <f t="shared" ref="AB35:AB58" si="395">IF(Xhaut="","",SQRT(((Xhautgauche-Xhaut)^2+(Yhautgauche-Yhaut)^2)+(Zhautgauche-Zhaut)^2))</f>
        <v>3.7168001345358923</v>
      </c>
      <c r="AC35" s="36">
        <f t="shared" si="4"/>
        <v>3.2908441547249918</v>
      </c>
      <c r="AD35" s="36">
        <f t="shared" si="5"/>
        <v>5.3040591975259854</v>
      </c>
      <c r="AE35" s="36">
        <f t="shared" si="6"/>
        <v>6.5410733508510948</v>
      </c>
      <c r="AF35" s="36">
        <f t="shared" ref="AF35:AF58" si="396">IF(Xhautdroit="","",SQRT(((Xhautdroit-Xhautgauche)^2+(Yhautdroit-Yhautgauche)^2)+(Zhautdroit-Zhautgauche)^2))</f>
        <v>6.4365882493400424</v>
      </c>
      <c r="AG35" s="36">
        <f t="shared" si="8"/>
        <v>8.3959229933311974</v>
      </c>
      <c r="AH35" s="36">
        <f t="shared" si="9"/>
        <v>7.6292893312186187</v>
      </c>
      <c r="AI35" s="40">
        <f t="shared" ref="AI35" si="397">IF(Z35="","",(Z35-Z$10)*1000)</f>
        <v>-19.366688162059553</v>
      </c>
      <c r="AJ35" s="40">
        <f t="shared" ref="AJ35" si="398">IF(AA35="","",(AA35-AA$10)*1000)</f>
        <v>-17.753000121711437</v>
      </c>
      <c r="AK35" s="40">
        <f t="shared" ref="AK35" si="399">IF(AB35="","",(AB35-AB$10)*1000)</f>
        <v>-15.725137899440966</v>
      </c>
      <c r="AL35" s="40">
        <f t="shared" ref="AL35" si="400">IF(AC35="","",(AC35-AC$10)*1000)</f>
        <v>-6.8446025097750329</v>
      </c>
      <c r="AM35" s="40">
        <f t="shared" ref="AM35" si="401">IF(AD35="","",(AD35-AD$10)*1000)</f>
        <v>-13.206869732441895</v>
      </c>
      <c r="AN35" s="40">
        <f t="shared" ref="AN35" si="402">IF(AE35="","",(AE35-AE$10)*1000)</f>
        <v>-16.931899163493469</v>
      </c>
      <c r="AO35" s="40">
        <f t="shared" si="350"/>
        <v>-15.015381379004822</v>
      </c>
      <c r="AP35" s="40">
        <f t="shared" ref="AP35" si="403">IF(AG35="","",(AG35-AG$10)*1000)</f>
        <v>-16.468468614791121</v>
      </c>
      <c r="AQ35" s="40">
        <f t="shared" ref="AQ35" si="404">IF(AH35="","",(AH35-AH$10)*1000)</f>
        <v>-18.728833495603503</v>
      </c>
      <c r="AR35" s="37"/>
      <c r="AS35" s="40">
        <f t="shared" si="353"/>
        <v>0.10000006295740604</v>
      </c>
      <c r="AT35" s="40">
        <f t="shared" si="354"/>
        <v>-10.800000047311187</v>
      </c>
      <c r="AU35" s="40">
        <f t="shared" si="355"/>
        <v>0</v>
      </c>
      <c r="AV35" s="40">
        <f t="shared" si="356"/>
        <v>1.7000000225380063</v>
      </c>
      <c r="AW35" s="40">
        <f t="shared" si="357"/>
        <v>-8.3999999333173037</v>
      </c>
      <c r="AX35" s="40">
        <f t="shared" si="358"/>
        <v>-0.29999999999574811</v>
      </c>
      <c r="AY35" s="40">
        <f t="shared" si="359"/>
        <v>9.9999946542084217E-2</v>
      </c>
      <c r="AZ35" s="40">
        <f t="shared" si="360"/>
        <v>-9.2999998014420271</v>
      </c>
      <c r="BA35" s="40">
        <f t="shared" si="361"/>
        <v>-1.300000000000523</v>
      </c>
      <c r="BB35" s="40">
        <f t="shared" si="362"/>
        <v>-4.2000000830739737</v>
      </c>
      <c r="BC35" s="40">
        <f t="shared" si="363"/>
        <v>1.6000000759959221</v>
      </c>
      <c r="BD35" s="40">
        <f t="shared" si="364"/>
        <v>-14.400000000009072</v>
      </c>
      <c r="BE35" s="40">
        <f t="shared" si="365"/>
        <v>-3.9000000106170774</v>
      </c>
      <c r="BF35" s="40">
        <f t="shared" si="366"/>
        <v>5.3999999072402716</v>
      </c>
      <c r="BG35" s="40">
        <f t="shared" si="367"/>
        <v>-4.8000000000030241</v>
      </c>
      <c r="BH35" s="40">
        <f t="shared" si="368"/>
        <v>-5.1000000676140189</v>
      </c>
      <c r="BI35" s="40">
        <f t="shared" si="369"/>
        <v>6.5999999642372131</v>
      </c>
      <c r="BJ35" s="40">
        <f t="shared" si="370"/>
        <v>9.9999999989108801E-2</v>
      </c>
      <c r="BK35" s="40">
        <f t="shared" si="371"/>
        <v>-6.7000000271946192</v>
      </c>
      <c r="BL35" s="40">
        <f t="shared" si="372"/>
        <v>6.6999997943639755</v>
      </c>
      <c r="BM35" s="40">
        <f t="shared" si="373"/>
        <v>2.1999999999877673</v>
      </c>
      <c r="BN35" s="37"/>
      <c r="BO35" s="36">
        <v>169.3706</v>
      </c>
      <c r="BP35" s="36">
        <v>-3.7639999999999998</v>
      </c>
      <c r="BQ35" s="36">
        <v>-1.1608000000000001</v>
      </c>
      <c r="BR35" s="36">
        <v>169.2099</v>
      </c>
      <c r="BS35" s="36">
        <v>-4.2035</v>
      </c>
      <c r="BT35" s="36">
        <v>0.82720000000000005</v>
      </c>
      <c r="BU35" s="36">
        <v>169.1876</v>
      </c>
      <c r="BV35" s="36">
        <v>-3.2323</v>
      </c>
      <c r="BW35" s="36">
        <v>2.9681000000000002</v>
      </c>
      <c r="BX35" s="36">
        <v>168.9605</v>
      </c>
      <c r="BY35" s="36">
        <v>0.216</v>
      </c>
      <c r="BZ35" s="36">
        <v>4.3385999999999996</v>
      </c>
      <c r="CA35" s="36">
        <v>169.19990000000001</v>
      </c>
      <c r="CB35" s="36">
        <v>3.2042000000000002</v>
      </c>
      <c r="CC35" s="36">
        <v>2.9786999999999999</v>
      </c>
      <c r="CD35" s="36">
        <v>169.19149999999999</v>
      </c>
      <c r="CE35" s="36">
        <v>4.1924000000000001</v>
      </c>
      <c r="CF35" s="36">
        <v>0.8337</v>
      </c>
      <c r="CG35" s="36">
        <v>169.25550000000001</v>
      </c>
      <c r="CH35" s="36">
        <v>3.8639999999999999</v>
      </c>
      <c r="CI35" s="36">
        <v>-1.0857000000000001</v>
      </c>
      <c r="CJ35" s="37"/>
      <c r="CK35" s="40">
        <f t="shared" si="374"/>
        <v>-4.4556221909601845</v>
      </c>
      <c r="CL35" s="40">
        <f t="shared" si="375"/>
        <v>9.8522421270557103</v>
      </c>
      <c r="CM35" s="40">
        <f t="shared" si="376"/>
        <v>7.0556221922757345E-2</v>
      </c>
      <c r="CN35" s="40">
        <f t="shared" si="377"/>
        <v>-1.9902291373625758</v>
      </c>
      <c r="CO35" s="40">
        <f t="shared" si="378"/>
        <v>8.3591535858849042</v>
      </c>
      <c r="CP35" s="40">
        <f t="shared" si="379"/>
        <v>-0.26109770862114967</v>
      </c>
      <c r="CQ35" s="40">
        <f t="shared" si="380"/>
        <v>-3.8552418708661662</v>
      </c>
      <c r="CR35" s="40">
        <f t="shared" si="381"/>
        <v>8.5000867160971438</v>
      </c>
      <c r="CS35" s="40">
        <f t="shared" si="382"/>
        <v>-1.2654475812818866</v>
      </c>
      <c r="CT35" s="40">
        <f t="shared" si="383"/>
        <v>-3.1138646198485276</v>
      </c>
      <c r="CU35" s="40">
        <f t="shared" si="384"/>
        <v>-3.2351047495592922</v>
      </c>
      <c r="CV35" s="40">
        <f t="shared" si="385"/>
        <v>-14.343861353808052</v>
      </c>
      <c r="CW35" s="40">
        <f t="shared" si="386"/>
        <v>-1.2943418723523337</v>
      </c>
      <c r="CX35" s="40">
        <f t="shared" si="387"/>
        <v>-6.5805659486626311</v>
      </c>
      <c r="CY35" s="40">
        <f t="shared" si="388"/>
        <v>-4.7680565812733278</v>
      </c>
      <c r="CZ35" s="40">
        <f t="shared" si="389"/>
        <v>-1.8480277355195085</v>
      </c>
      <c r="DA35" s="40">
        <f t="shared" si="390"/>
        <v>-8.1098044299929839</v>
      </c>
      <c r="DB35" s="40">
        <f t="shared" si="391"/>
        <v>0.15348027735451186</v>
      </c>
      <c r="DC35" s="40">
        <f t="shared" si="392"/>
        <v>-3.2202747279654886</v>
      </c>
      <c r="DD35" s="40">
        <f t="shared" si="393"/>
        <v>-8.9439951692522612</v>
      </c>
      <c r="DE35" s="40">
        <f t="shared" si="394"/>
        <v>2.2072027472743727</v>
      </c>
    </row>
    <row r="36" spans="1:109" ht="29.25" customHeight="1" x14ac:dyDescent="0.2">
      <c r="A36" s="34">
        <v>43703</v>
      </c>
      <c r="B36" s="27">
        <f t="shared" si="96"/>
        <v>104</v>
      </c>
      <c r="C36" s="35">
        <v>196.35</v>
      </c>
      <c r="D36" s="35">
        <f t="shared" si="0"/>
        <v>27.150000000000006</v>
      </c>
      <c r="E36" s="36">
        <v>823219.58290000004</v>
      </c>
      <c r="F36" s="36">
        <v>1091508.5959000001</v>
      </c>
      <c r="G36" s="36">
        <v>-125.01009999999999</v>
      </c>
      <c r="H36" s="36">
        <v>823219.25139999995</v>
      </c>
      <c r="I36" s="36">
        <v>1091508.9262999999</v>
      </c>
      <c r="J36" s="36">
        <v>-123.02379999999999</v>
      </c>
      <c r="K36" s="36">
        <v>823219.64170000004</v>
      </c>
      <c r="L36" s="36">
        <v>1091508.0367000001</v>
      </c>
      <c r="M36" s="36">
        <v>-120.8828</v>
      </c>
      <c r="N36" s="36">
        <v>823220.89320000005</v>
      </c>
      <c r="O36" s="36">
        <v>1091504.8152000001</v>
      </c>
      <c r="P36" s="36">
        <v>-119.515</v>
      </c>
      <c r="Q36" s="36">
        <v>823222.37280000001</v>
      </c>
      <c r="R36" s="36">
        <v>1091502.2079</v>
      </c>
      <c r="S36" s="36">
        <v>-120.87260000000001</v>
      </c>
      <c r="T36" s="36">
        <v>823222.78280000004</v>
      </c>
      <c r="U36" s="36">
        <v>1091501.3086000001</v>
      </c>
      <c r="V36" s="36">
        <v>-123.0176</v>
      </c>
      <c r="W36" s="36">
        <v>823222.70200000005</v>
      </c>
      <c r="X36" s="36">
        <v>1091501.6335</v>
      </c>
      <c r="Y36" s="36">
        <v>-124.9363</v>
      </c>
      <c r="Z36" s="36">
        <f t="shared" si="1"/>
        <v>6.797551220112557</v>
      </c>
      <c r="AA36" s="36">
        <f t="shared" si="2"/>
        <v>5.6487456916739927</v>
      </c>
      <c r="AB36" s="36">
        <f t="shared" si="395"/>
        <v>3.716879247424731</v>
      </c>
      <c r="AC36" s="36">
        <f t="shared" si="4"/>
        <v>3.2909432097892055</v>
      </c>
      <c r="AD36" s="36">
        <f t="shared" si="5"/>
        <v>5.304247211408061</v>
      </c>
      <c r="AE36" s="36">
        <f t="shared" si="6"/>
        <v>6.5410600074044076</v>
      </c>
      <c r="AF36" s="36">
        <f t="shared" si="396"/>
        <v>6.4369185710299153</v>
      </c>
      <c r="AG36" s="36">
        <f t="shared" si="8"/>
        <v>8.3964383930357549</v>
      </c>
      <c r="AH36" s="36">
        <f t="shared" si="9"/>
        <v>7.6294983459684946</v>
      </c>
      <c r="AI36" s="40">
        <f t="shared" ref="AI36" si="405">IF(Z36="","",(Z36-Z$10)*1000)</f>
        <v>-19.400075713133624</v>
      </c>
      <c r="AJ36" s="40">
        <f t="shared" ref="AJ36" si="406">IF(AA36="","",(AA36-AA$10)*1000)</f>
        <v>-17.625852747660709</v>
      </c>
      <c r="AK36" s="40">
        <f t="shared" ref="AK36" si="407">IF(AB36="","",(AB36-AB$10)*1000)</f>
        <v>-15.646025010602305</v>
      </c>
      <c r="AL36" s="40">
        <f t="shared" ref="AL36" si="408">IF(AC36="","",(AC36-AC$10)*1000)</f>
        <v>-6.7455474455613285</v>
      </c>
      <c r="AM36" s="40">
        <f t="shared" ref="AM36" si="409">IF(AD36="","",(AD36-AD$10)*1000)</f>
        <v>-13.018855850366329</v>
      </c>
      <c r="AN36" s="40">
        <f t="shared" ref="AN36" si="410">IF(AE36="","",(AE36-AE$10)*1000)</f>
        <v>-16.9452426101806</v>
      </c>
      <c r="AO36" s="40">
        <f t="shared" ref="AO36" si="411">IF(AF36="","",(AF36-AF$10)*1000)</f>
        <v>-14.685059689131919</v>
      </c>
      <c r="AP36" s="40">
        <f t="shared" ref="AP36" si="412">IF(AG36="","",(AG36-AG$10)*1000)</f>
        <v>-15.953068910233625</v>
      </c>
      <c r="AQ36" s="40">
        <f t="shared" ref="AQ36" si="413">IF(AH36="","",(AH36-AH$10)*1000)</f>
        <v>-18.519818745727612</v>
      </c>
      <c r="AR36" s="37"/>
      <c r="AS36" s="40">
        <f t="shared" ref="AS36" si="414">IF(E36="","",(E36-E$10)*1000)</f>
        <v>0.10000006295740604</v>
      </c>
      <c r="AT36" s="40">
        <f t="shared" ref="AT36" si="415">IF(F36="","",(F36-F$10)*1000)</f>
        <v>-11.999999871477485</v>
      </c>
      <c r="AU36" s="40">
        <f t="shared" ref="AU36" si="416">IF(G36="","",(G36-G$10)*1000)</f>
        <v>-9.9999999989108801E-2</v>
      </c>
      <c r="AV36" s="40">
        <f t="shared" ref="AV36" si="417">IF(H36="","",(H36-H$10)*1000)</f>
        <v>1.5999999595806003</v>
      </c>
      <c r="AW36" s="40">
        <f t="shared" ref="AW36" si="418">IF(I36="","",(I36-I$10)*1000)</f>
        <v>-9.5999999903142452</v>
      </c>
      <c r="AX36" s="40">
        <f t="shared" ref="AX36" si="419">IF(J36="","",(J36-J$10)*1000)</f>
        <v>-0.49999999998817657</v>
      </c>
      <c r="AY36" s="40">
        <f t="shared" ref="AY36" si="420">IF(K36="","",(K36-K$10)*1000)</f>
        <v>0</v>
      </c>
      <c r="AZ36" s="40">
        <f t="shared" ref="AZ36" si="421">IF(L36="","",(L36-L$10)*1000)</f>
        <v>-10.499999858438969</v>
      </c>
      <c r="BA36" s="40">
        <f t="shared" ref="BA36" si="422">IF(M36="","",(M36-M$10)*1000)</f>
        <v>-1.1999999999972033</v>
      </c>
      <c r="BB36" s="40">
        <f t="shared" ref="BB36" si="423">IF(N36="","",(N36-N$10)*1000)</f>
        <v>-4.3999999761581421</v>
      </c>
      <c r="BC36" s="40">
        <f t="shared" ref="BC36" si="424">IF(O36="","",(O36-O$10)*1000)</f>
        <v>0.10000006295740604</v>
      </c>
      <c r="BD36" s="40">
        <f t="shared" ref="BD36" si="425">IF(P36="","",(P36-P$10)*1000)</f>
        <v>-14.70000000000482</v>
      </c>
      <c r="BE36" s="40">
        <f t="shared" ref="BE36" si="426">IF(Q36="","",(Q36-Q$10)*1000)</f>
        <v>-4.5000000391155481</v>
      </c>
      <c r="BF36" s="40">
        <f t="shared" ref="BF36" si="427">IF(R36="","",(R36-R$10)*1000)</f>
        <v>3.599999938160181</v>
      </c>
      <c r="BG36" s="40">
        <f t="shared" ref="BG36" si="428">IF(S36="","",(S36-S$10)*1000)</f>
        <v>-5.2000000000020918</v>
      </c>
      <c r="BH36" s="40">
        <f t="shared" ref="BH36" si="429">IF(T36="","",(T36-T$10)*1000)</f>
        <v>-5.6999999796971679</v>
      </c>
      <c r="BI36" s="40">
        <f t="shared" ref="BI36" si="430">IF(U36="","",(U36-U$10)*1000)</f>
        <v>4.6000001020729542</v>
      </c>
      <c r="BJ36" s="40">
        <f t="shared" ref="BJ36" si="431">IF(V36="","",(V36-V$10)*1000)</f>
        <v>-0.20000000000663931</v>
      </c>
      <c r="BK36" s="40">
        <f t="shared" ref="BK36" si="432">IF(W36="","",(W36-W$10)*1000)</f>
        <v>-7.2999999392777681</v>
      </c>
      <c r="BL36" s="40">
        <f t="shared" ref="BL36" si="433">IF(X36="","",(X36-X$10)*1000)</f>
        <v>4.999999888241291</v>
      </c>
      <c r="BM36" s="40">
        <f t="shared" ref="BM36" si="434">IF(Y36="","",(Y36-Y$10)*1000)</f>
        <v>1.8999999999920192</v>
      </c>
      <c r="BN36" s="37"/>
      <c r="BO36" s="36">
        <v>169.37010000000001</v>
      </c>
      <c r="BP36" s="36">
        <v>-3.7629000000000001</v>
      </c>
      <c r="BQ36" s="36">
        <v>-1.1609</v>
      </c>
      <c r="BR36" s="36">
        <v>169.20930000000001</v>
      </c>
      <c r="BS36" s="36">
        <v>-4.2024999999999997</v>
      </c>
      <c r="BT36" s="36">
        <v>0.82699999999999996</v>
      </c>
      <c r="BU36" s="36">
        <v>169.18700000000001</v>
      </c>
      <c r="BV36" s="36">
        <v>-3.2313000000000001</v>
      </c>
      <c r="BW36" s="36">
        <v>2.9681999999999999</v>
      </c>
      <c r="BX36" s="36">
        <v>168.9597</v>
      </c>
      <c r="BY36" s="36">
        <v>0.21729999999999999</v>
      </c>
      <c r="BZ36" s="36">
        <v>4.3383000000000003</v>
      </c>
      <c r="CA36" s="36">
        <v>169.1986</v>
      </c>
      <c r="CB36" s="36">
        <v>3.2056</v>
      </c>
      <c r="CC36" s="36">
        <v>2.9782999999999999</v>
      </c>
      <c r="CD36" s="36">
        <v>169.1901</v>
      </c>
      <c r="CE36" s="36">
        <v>4.1939000000000002</v>
      </c>
      <c r="CF36" s="36">
        <v>0.83340000000000003</v>
      </c>
      <c r="CG36" s="36">
        <v>169.2542</v>
      </c>
      <c r="CH36" s="36">
        <v>3.8653</v>
      </c>
      <c r="CI36" s="36">
        <v>-1.0860000000000001</v>
      </c>
      <c r="CJ36" s="37"/>
      <c r="CK36" s="40">
        <f t="shared" ref="CK36" si="435">IF(BO36="","",(BO36-BO$10)*1000)</f>
        <v>-4.9556221909483611</v>
      </c>
      <c r="CL36" s="40">
        <f t="shared" ref="CL36" si="436">IF(BP36="","",(BP36-BP$10)*1000)</f>
        <v>10.952242127055367</v>
      </c>
      <c r="CM36" s="40">
        <f t="shared" ref="CM36" si="437">IF(BQ36="","",(BQ36-BQ$10)*1000)</f>
        <v>-2.9443778077231642E-2</v>
      </c>
      <c r="CN36" s="40">
        <f t="shared" ref="CN36" si="438">IF(BR36="","",(BR36-BR$10)*1000)</f>
        <v>-2.590229137354072</v>
      </c>
      <c r="CO36" s="40">
        <f t="shared" ref="CO36" si="439">IF(BS36="","",(BS36-BS$10)*1000)</f>
        <v>9.3591535858852382</v>
      </c>
      <c r="CP36" s="40">
        <f t="shared" ref="CP36" si="440">IF(BT36="","",(BT36-BT$10)*1000)</f>
        <v>-0.46109770862123867</v>
      </c>
      <c r="CQ36" s="40">
        <f t="shared" ref="CQ36" si="441">IF(BU36="","",(BU36-BU$10)*1000)</f>
        <v>-4.4552418708576624</v>
      </c>
      <c r="CR36" s="40">
        <f t="shared" ref="CR36" si="442">IF(BV36="","",(BV36-BV$10)*1000)</f>
        <v>9.5000867160970337</v>
      </c>
      <c r="CS36" s="40">
        <f t="shared" ref="CS36" si="443">IF(BW36="","",(BW36-BW$10)*1000)</f>
        <v>-1.1654475812821197</v>
      </c>
      <c r="CT36" s="40">
        <f t="shared" ref="CT36" si="444">IF(BX36="","",(BX36-BX$10)*1000)</f>
        <v>-3.9138646198466631</v>
      </c>
      <c r="CU36" s="40">
        <f t="shared" ref="CU36" si="445">IF(BY36="","",(BY36-BY$10)*1000)</f>
        <v>-1.9351047495592966</v>
      </c>
      <c r="CV36" s="40">
        <f t="shared" ref="CV36" si="446">IF(BZ36="","",(BZ36-BZ$10)*1000)</f>
        <v>-14.643861353807353</v>
      </c>
      <c r="CW36" s="40">
        <f t="shared" ref="CW36" si="447">IF(CA36="","",(CA36-CA$10)*1000)</f>
        <v>-2.5943418723670675</v>
      </c>
      <c r="CX36" s="40">
        <f t="shared" ref="CX36" si="448">IF(CB36="","",(CB36-CB$10)*1000)</f>
        <v>-5.1805659486627853</v>
      </c>
      <c r="CY36" s="40">
        <f t="shared" ref="CY36" si="449">IF(CC36="","",(CC36-CC$10)*1000)</f>
        <v>-5.1680565812732837</v>
      </c>
      <c r="CZ36" s="40">
        <f t="shared" ref="CZ36" si="450">IF(CD36="","",(CD36-CD$10)*1000)</f>
        <v>-3.2480277355091403</v>
      </c>
      <c r="DA36" s="40">
        <f t="shared" ref="DA36" si="451">IF(CE36="","",(CE36-CE$10)*1000)</f>
        <v>-6.6098044299929271</v>
      </c>
      <c r="DB36" s="40">
        <f t="shared" ref="DB36" si="452">IF(CF36="","",(CF36-CF$10)*1000)</f>
        <v>-0.1465197226454551</v>
      </c>
      <c r="DC36" s="40">
        <f t="shared" ref="DC36" si="453">IF(CG36="","",(CG36-CG$10)*1000)</f>
        <v>-4.5202747279802225</v>
      </c>
      <c r="DD36" s="40">
        <f t="shared" ref="DD36" si="454">IF(CH36="","",(CH36-CH$10)*1000)</f>
        <v>-7.6439951692521824</v>
      </c>
      <c r="DE36" s="40">
        <f t="shared" ref="DE36" si="455">IF(CI36="","",(CI36-CI$10)*1000)</f>
        <v>1.9072027472744058</v>
      </c>
    </row>
    <row r="37" spans="1:109" ht="29.25" customHeight="1" x14ac:dyDescent="0.2">
      <c r="A37" s="34">
        <v>43706</v>
      </c>
      <c r="B37" s="27">
        <f t="shared" si="96"/>
        <v>107</v>
      </c>
      <c r="C37" s="35">
        <v>198.3</v>
      </c>
      <c r="D37" s="35">
        <f t="shared" si="0"/>
        <v>29.100000000000023</v>
      </c>
      <c r="E37" s="36">
        <v>823219.58330000006</v>
      </c>
      <c r="F37" s="36">
        <v>1091508.5959999999</v>
      </c>
      <c r="G37" s="36">
        <v>-125.01</v>
      </c>
      <c r="H37" s="36">
        <v>823219.25179999997</v>
      </c>
      <c r="I37" s="36">
        <v>1091508.9265000001</v>
      </c>
      <c r="J37" s="36">
        <v>-123.02370000000001</v>
      </c>
      <c r="K37" s="36">
        <v>823219.6422</v>
      </c>
      <c r="L37" s="36">
        <v>1091508.0366</v>
      </c>
      <c r="M37" s="36">
        <v>-120.8828</v>
      </c>
      <c r="N37" s="36">
        <v>823220.8933</v>
      </c>
      <c r="O37" s="36">
        <v>1091504.8154</v>
      </c>
      <c r="P37" s="36">
        <v>-119.5153</v>
      </c>
      <c r="Q37" s="36">
        <v>823222.37289999996</v>
      </c>
      <c r="R37" s="36">
        <v>1091502.2080999999</v>
      </c>
      <c r="S37" s="36">
        <v>-120.87260000000001</v>
      </c>
      <c r="T37" s="36">
        <v>823222.78300000005</v>
      </c>
      <c r="U37" s="36">
        <v>1091501.3089000001</v>
      </c>
      <c r="V37" s="36">
        <v>-123.0175</v>
      </c>
      <c r="W37" s="36">
        <v>823222.70220000006</v>
      </c>
      <c r="X37" s="36">
        <v>1091501.6336999999</v>
      </c>
      <c r="Y37" s="36">
        <v>-124.9363</v>
      </c>
      <c r="Z37" s="36">
        <f t="shared" si="1"/>
        <v>6.7971144207956353</v>
      </c>
      <c r="AA37" s="36">
        <f t="shared" si="2"/>
        <v>5.6484100436213067</v>
      </c>
      <c r="AB37" s="36">
        <f t="shared" si="395"/>
        <v>3.7163741604112337</v>
      </c>
      <c r="AC37" s="36">
        <f t="shared" si="4"/>
        <v>3.2908194633035843</v>
      </c>
      <c r="AD37" s="36">
        <f t="shared" si="5"/>
        <v>5.3039525996681594</v>
      </c>
      <c r="AE37" s="36">
        <f t="shared" si="6"/>
        <v>6.5408390211572369</v>
      </c>
      <c r="AF37" s="36">
        <f t="shared" si="396"/>
        <v>6.4364772026690567</v>
      </c>
      <c r="AG37" s="36">
        <f t="shared" si="8"/>
        <v>8.3962635523526661</v>
      </c>
      <c r="AH37" s="36">
        <f t="shared" si="9"/>
        <v>7.629324360007252</v>
      </c>
      <c r="AI37" s="40">
        <f t="shared" ref="AI37" si="456">IF(Z37="","",(Z37-Z$10)*1000)</f>
        <v>-19.836875030055268</v>
      </c>
      <c r="AJ37" s="40">
        <f t="shared" ref="AJ37" si="457">IF(AA37="","",(AA37-AA$10)*1000)</f>
        <v>-17.961500800346641</v>
      </c>
      <c r="AK37" s="40">
        <f t="shared" ref="AK37" si="458">IF(AB37="","",(AB37-AB$10)*1000)</f>
        <v>-16.151112024099579</v>
      </c>
      <c r="AL37" s="40">
        <f t="shared" ref="AL37" si="459">IF(AC37="","",(AC37-AC$10)*1000)</f>
        <v>-6.8692939311825185</v>
      </c>
      <c r="AM37" s="40">
        <f t="shared" ref="AM37" si="460">IF(AD37="","",(AD37-AD$10)*1000)</f>
        <v>-13.313467590267969</v>
      </c>
      <c r="AN37" s="40">
        <f t="shared" ref="AN37" si="461">IF(AE37="","",(AE37-AE$10)*1000)</f>
        <v>-17.166228857351307</v>
      </c>
      <c r="AO37" s="40">
        <f t="shared" ref="AO37" si="462">IF(AF37="","",(AF37-AF$10)*1000)</f>
        <v>-15.126428049990537</v>
      </c>
      <c r="AP37" s="40">
        <f t="shared" ref="AP37" si="463">IF(AG37="","",(AG37-AG$10)*1000)</f>
        <v>-16.127909593322443</v>
      </c>
      <c r="AQ37" s="40">
        <f t="shared" ref="AQ37" si="464">IF(AH37="","",(AH37-AH$10)*1000)</f>
        <v>-18.693804706970241</v>
      </c>
      <c r="AR37" s="37"/>
      <c r="AS37" s="40">
        <f t="shared" ref="AS37" si="465">IF(E37="","",(E37-E$10)*1000)</f>
        <v>0.50000008195638657</v>
      </c>
      <c r="AT37" s="40">
        <f t="shared" ref="AT37" si="466">IF(F37="","",(F37-F$10)*1000)</f>
        <v>-11.900000041350722</v>
      </c>
      <c r="AU37" s="40">
        <f t="shared" ref="AU37" si="467">IF(G37="","",(G37-G$10)*1000)</f>
        <v>0</v>
      </c>
      <c r="AV37" s="40">
        <f t="shared" ref="AV37" si="468">IF(H37="","",(H37-H$10)*1000)</f>
        <v>1.9999999785795808</v>
      </c>
      <c r="AW37" s="40">
        <f t="shared" ref="AW37" si="469">IF(I37="","",(I37-I$10)*1000)</f>
        <v>-9.3999998643994331</v>
      </c>
      <c r="AX37" s="40">
        <f t="shared" ref="AX37" si="470">IF(J37="","",(J37-J$10)*1000)</f>
        <v>-0.39999999999906777</v>
      </c>
      <c r="AY37" s="40">
        <f t="shared" ref="AY37" si="471">IF(K37="","",(K37-K$10)*1000)</f>
        <v>0.49999996554106474</v>
      </c>
      <c r="AZ37" s="40">
        <f t="shared" ref="AZ37" si="472">IF(L37="","",(L37-L$10)*1000)</f>
        <v>-10.599999921396375</v>
      </c>
      <c r="BA37" s="40">
        <f t="shared" ref="BA37" si="473">IF(M37="","",(M37-M$10)*1000)</f>
        <v>-1.1999999999972033</v>
      </c>
      <c r="BB37" s="40">
        <f t="shared" ref="BB37" si="474">IF(N37="","",(N37-N$10)*1000)</f>
        <v>-4.3000000296160579</v>
      </c>
      <c r="BC37" s="40">
        <f t="shared" ref="BC37" si="475">IF(O37="","",(O37-O$10)*1000)</f>
        <v>0.29999995604157448</v>
      </c>
      <c r="BD37" s="40">
        <f t="shared" ref="BD37" si="476">IF(P37="","",(P37-P$10)*1000)</f>
        <v>-15.000000000000568</v>
      </c>
      <c r="BE37" s="40">
        <f t="shared" ref="BE37" si="477">IF(Q37="","",(Q37-Q$10)*1000)</f>
        <v>-4.4000000925734639</v>
      </c>
      <c r="BF37" s="40">
        <f t="shared" ref="BF37" si="478">IF(R37="","",(R37-R$10)*1000)</f>
        <v>3.7999998312443495</v>
      </c>
      <c r="BG37" s="40">
        <f t="shared" ref="BG37" si="479">IF(S37="","",(S37-S$10)*1000)</f>
        <v>-5.2000000000020918</v>
      </c>
      <c r="BH37" s="40">
        <f t="shared" ref="BH37" si="480">IF(T37="","",(T37-T$10)*1000)</f>
        <v>-5.4999999701976776</v>
      </c>
      <c r="BI37" s="40">
        <f t="shared" ref="BI37" si="481">IF(U37="","",(U37-U$10)*1000)</f>
        <v>4.9000000581145287</v>
      </c>
      <c r="BJ37" s="40">
        <f t="shared" ref="BJ37" si="482">IF(V37="","",(V37-V$10)*1000)</f>
        <v>-0.10000000000331966</v>
      </c>
      <c r="BK37" s="40">
        <f t="shared" ref="BK37" si="483">IF(W37="","",(W37-W$10)*1000)</f>
        <v>-7.0999999297782779</v>
      </c>
      <c r="BL37" s="40">
        <f t="shared" ref="BL37" si="484">IF(X37="","",(X37-X$10)*1000)</f>
        <v>5.1999997813254595</v>
      </c>
      <c r="BM37" s="40">
        <f t="shared" ref="BM37" si="485">IF(Y37="","",(Y37-Y$10)*1000)</f>
        <v>1.8999999999920192</v>
      </c>
      <c r="BN37" s="37"/>
      <c r="BO37" s="36">
        <v>169.37049999999999</v>
      </c>
      <c r="BP37" s="36">
        <v>-3.7629000000000001</v>
      </c>
      <c r="BQ37" s="36">
        <v>-1.1608000000000001</v>
      </c>
      <c r="BR37" s="36">
        <v>169.2097</v>
      </c>
      <c r="BS37" s="36">
        <v>-4.2024999999999997</v>
      </c>
      <c r="BT37" s="36">
        <v>0.82709999999999995</v>
      </c>
      <c r="BU37" s="36">
        <v>169.1874</v>
      </c>
      <c r="BV37" s="36">
        <v>-3.2309999999999999</v>
      </c>
      <c r="BW37" s="36">
        <v>2.9681999999999999</v>
      </c>
      <c r="BX37" s="36">
        <v>168.9598</v>
      </c>
      <c r="BY37" s="36">
        <v>0.21709999999999999</v>
      </c>
      <c r="BZ37" s="36">
        <v>4.3380000000000001</v>
      </c>
      <c r="CA37" s="36">
        <v>169.19880000000001</v>
      </c>
      <c r="CB37" s="36">
        <v>3.2054999999999998</v>
      </c>
      <c r="CC37" s="36">
        <v>2.9782999999999999</v>
      </c>
      <c r="CD37" s="36">
        <v>169.19040000000001</v>
      </c>
      <c r="CE37" s="36">
        <v>4.1936999999999998</v>
      </c>
      <c r="CF37" s="36">
        <v>0.83350000000000002</v>
      </c>
      <c r="CG37" s="36">
        <v>169.25399999999999</v>
      </c>
      <c r="CH37" s="36">
        <v>3.8650000000000002</v>
      </c>
      <c r="CI37" s="36">
        <v>-1.0860000000000001</v>
      </c>
      <c r="CJ37" s="37"/>
      <c r="CK37" s="40">
        <f t="shared" ref="CK37" si="486">IF(BO37="","",(BO37-BO$10)*1000)</f>
        <v>-4.5556221909635042</v>
      </c>
      <c r="CL37" s="40">
        <f t="shared" ref="CL37" si="487">IF(BP37="","",(BP37-BP$10)*1000)</f>
        <v>10.952242127055367</v>
      </c>
      <c r="CM37" s="40">
        <f t="shared" ref="CM37" si="488">IF(BQ37="","",(BQ37-BQ$10)*1000)</f>
        <v>7.0556221922757345E-2</v>
      </c>
      <c r="CN37" s="40">
        <f t="shared" ref="CN37" si="489">IF(BR37="","",(BR37-BR$10)*1000)</f>
        <v>-2.1902291373692151</v>
      </c>
      <c r="CO37" s="40">
        <f t="shared" ref="CO37" si="490">IF(BS37="","",(BS37-BS$10)*1000)</f>
        <v>9.3591535858852382</v>
      </c>
      <c r="CP37" s="40">
        <f t="shared" ref="CP37" si="491">IF(BT37="","",(BT37-BT$10)*1000)</f>
        <v>-0.36109770862124968</v>
      </c>
      <c r="CQ37" s="40">
        <f t="shared" ref="CQ37" si="492">IF(BU37="","",(BU37-BU$10)*1000)</f>
        <v>-4.0552418708728055</v>
      </c>
      <c r="CR37" s="40">
        <f t="shared" ref="CR37" si="493">IF(BV37="","",(BV37-BV$10)*1000)</f>
        <v>9.8000867160972227</v>
      </c>
      <c r="CS37" s="40">
        <f t="shared" ref="CS37" si="494">IF(BW37="","",(BW37-BW$10)*1000)</f>
        <v>-1.1654475812821197</v>
      </c>
      <c r="CT37" s="40">
        <f t="shared" ref="CT37" si="495">IF(BX37="","",(BX37-BX$10)*1000)</f>
        <v>-3.8138646198433435</v>
      </c>
      <c r="CU37" s="40">
        <f t="shared" ref="CU37" si="496">IF(BY37="","",(BY37-BY$10)*1000)</f>
        <v>-2.1351047495593023</v>
      </c>
      <c r="CV37" s="40">
        <f t="shared" ref="CV37" si="497">IF(BZ37="","",(BZ37-BZ$10)*1000)</f>
        <v>-14.943861353807542</v>
      </c>
      <c r="CW37" s="40">
        <f t="shared" ref="CW37" si="498">IF(CA37="","",(CA37-CA$10)*1000)</f>
        <v>-2.3943418723604282</v>
      </c>
      <c r="CX37" s="40">
        <f t="shared" ref="CX37" si="499">IF(CB37="","",(CB37-CB$10)*1000)</f>
        <v>-5.2805659486629963</v>
      </c>
      <c r="CY37" s="40">
        <f t="shared" ref="CY37" si="500">IF(CC37="","",(CC37-CC$10)*1000)</f>
        <v>-5.1680565812732837</v>
      </c>
      <c r="CZ37" s="40">
        <f t="shared" ref="CZ37" si="501">IF(CD37="","",(CD37-CD$10)*1000)</f>
        <v>-2.9480277354991813</v>
      </c>
      <c r="DA37" s="40">
        <f t="shared" ref="DA37" si="502">IF(CE37="","",(CE37-CE$10)*1000)</f>
        <v>-6.8098044299933491</v>
      </c>
      <c r="DB37" s="40">
        <f t="shared" ref="DB37" si="503">IF(CF37="","",(CF37-CF$10)*1000)</f>
        <v>-4.6519722645466111E-2</v>
      </c>
      <c r="DC37" s="40">
        <f t="shared" ref="DC37" si="504">IF(CG37="","",(CG37-CG$10)*1000)</f>
        <v>-4.7202747279868618</v>
      </c>
      <c r="DD37" s="40">
        <f t="shared" ref="DD37" si="505">IF(CH37="","",(CH37-CH$10)*1000)</f>
        <v>-7.9439951692519273</v>
      </c>
      <c r="DE37" s="40">
        <f t="shared" ref="DE37" si="506">IF(CI37="","",(CI37-CI$10)*1000)</f>
        <v>1.9072027472744058</v>
      </c>
    </row>
    <row r="38" spans="1:109" ht="29.25" customHeight="1" x14ac:dyDescent="0.2">
      <c r="A38" s="34">
        <v>43710</v>
      </c>
      <c r="B38" s="27">
        <f t="shared" si="96"/>
        <v>111</v>
      </c>
      <c r="C38" s="35">
        <v>199.4</v>
      </c>
      <c r="D38" s="35">
        <f t="shared" si="0"/>
        <v>30.200000000000017</v>
      </c>
      <c r="E38" s="36">
        <v>823219.58310000005</v>
      </c>
      <c r="F38" s="36">
        <v>1091508.5961</v>
      </c>
      <c r="G38" s="36">
        <v>-125.0102</v>
      </c>
      <c r="H38" s="36">
        <v>823219.25150000001</v>
      </c>
      <c r="I38" s="36">
        <v>1091508.9264</v>
      </c>
      <c r="J38" s="36">
        <v>-123.0239</v>
      </c>
      <c r="K38" s="36">
        <v>823219.64179999998</v>
      </c>
      <c r="L38" s="36">
        <v>1091508.0366</v>
      </c>
      <c r="M38" s="36">
        <v>-120.8827</v>
      </c>
      <c r="N38" s="36">
        <v>823220.89320000005</v>
      </c>
      <c r="O38" s="36">
        <v>1091504.8155</v>
      </c>
      <c r="P38" s="36">
        <v>-119.51560000000001</v>
      </c>
      <c r="Q38" s="36">
        <v>823222.37289999996</v>
      </c>
      <c r="R38" s="36">
        <v>1091502.2082</v>
      </c>
      <c r="S38" s="36">
        <v>-120.8729</v>
      </c>
      <c r="T38" s="36">
        <v>823222.78280000004</v>
      </c>
      <c r="U38" s="36">
        <v>1091501.3089999999</v>
      </c>
      <c r="V38" s="36">
        <v>-123.0176</v>
      </c>
      <c r="W38" s="36">
        <v>823222.70209999999</v>
      </c>
      <c r="X38" s="36">
        <v>1091501.6338</v>
      </c>
      <c r="Y38" s="36">
        <v>-124.9362</v>
      </c>
      <c r="Z38" s="36">
        <f t="shared" si="1"/>
        <v>6.7970528561688228</v>
      </c>
      <c r="AA38" s="36">
        <f t="shared" si="2"/>
        <v>5.6482604923885935</v>
      </c>
      <c r="AB38" s="36">
        <f t="shared" si="395"/>
        <v>3.7162413242344767</v>
      </c>
      <c r="AC38" s="36">
        <f t="shared" si="4"/>
        <v>3.2908644259372704</v>
      </c>
      <c r="AD38" s="36">
        <f t="shared" si="5"/>
        <v>5.3037849137122333</v>
      </c>
      <c r="AE38" s="36">
        <f t="shared" si="6"/>
        <v>6.540507507852265</v>
      </c>
      <c r="AF38" s="36">
        <f t="shared" si="396"/>
        <v>6.4365557412212571</v>
      </c>
      <c r="AG38" s="36">
        <f t="shared" si="8"/>
        <v>8.3961242333482122</v>
      </c>
      <c r="AH38" s="36">
        <f t="shared" si="9"/>
        <v>7.6293681448640687</v>
      </c>
      <c r="AI38" s="40">
        <f t="shared" ref="AI38:AI39" si="507">IF(Z38="","",(Z38-Z$10)*1000)</f>
        <v>-19.898439656867772</v>
      </c>
      <c r="AJ38" s="40">
        <f t="shared" ref="AJ38:AJ39" si="508">IF(AA38="","",(AA38-AA$10)*1000)</f>
        <v>-18.111052033059849</v>
      </c>
      <c r="AK38" s="40">
        <f t="shared" ref="AK38:AK39" si="509">IF(AB38="","",(AB38-AB$10)*1000)</f>
        <v>-16.283948200856546</v>
      </c>
      <c r="AL38" s="40">
        <f t="shared" ref="AL38:AL39" si="510">IF(AC38="","",(AC38-AC$10)*1000)</f>
        <v>-6.8243312974964887</v>
      </c>
      <c r="AM38" s="40">
        <f t="shared" ref="AM38:AM39" si="511">IF(AD38="","",(AD38-AD$10)*1000)</f>
        <v>-13.481153546194058</v>
      </c>
      <c r="AN38" s="40">
        <f t="shared" ref="AN38:AN39" si="512">IF(AE38="","",(AE38-AE$10)*1000)</f>
        <v>-17.497742162323249</v>
      </c>
      <c r="AO38" s="40">
        <f t="shared" ref="AO38:AO39" si="513">IF(AF38="","",(AF38-AF$10)*1000)</f>
        <v>-15.047889497790123</v>
      </c>
      <c r="AP38" s="40">
        <f t="shared" ref="AP38:AP39" si="514">IF(AG38="","",(AG38-AG$10)*1000)</f>
        <v>-16.267228597776295</v>
      </c>
      <c r="AQ38" s="40">
        <f t="shared" ref="AQ38:AQ39" si="515">IF(AH38="","",(AH38-AH$10)*1000)</f>
        <v>-18.650019850153576</v>
      </c>
      <c r="AR38" s="37"/>
      <c r="AS38" s="40">
        <f t="shared" ref="AS38:AS39" si="516">IF(E38="","",(E38-E$10)*1000)</f>
        <v>0.30000007245689631</v>
      </c>
      <c r="AT38" s="40">
        <f t="shared" ref="AT38:AT39" si="517">IF(F38="","",(F38-F$10)*1000)</f>
        <v>-11.799999978393316</v>
      </c>
      <c r="AU38" s="40">
        <f t="shared" ref="AU38:AU39" si="518">IF(G38="","",(G38-G$10)*1000)</f>
        <v>-0.19999999999242846</v>
      </c>
      <c r="AV38" s="40">
        <f t="shared" ref="AV38:AV39" si="519">IF(H38="","",(H38-H$10)*1000)</f>
        <v>1.7000000225380063</v>
      </c>
      <c r="AW38" s="40">
        <f t="shared" ref="AW38:AW39" si="520">IF(I38="","",(I38-I$10)*1000)</f>
        <v>-9.4999999273568392</v>
      </c>
      <c r="AX38" s="40">
        <f t="shared" ref="AX38:AX39" si="521">IF(J38="","",(J38-J$10)*1000)</f>
        <v>-0.59999999999149622</v>
      </c>
      <c r="AY38" s="40">
        <f t="shared" ref="AY38:AY39" si="522">IF(K38="","",(K38-K$10)*1000)</f>
        <v>9.9999946542084217E-2</v>
      </c>
      <c r="AZ38" s="40">
        <f t="shared" ref="AZ38:AZ39" si="523">IF(L38="","",(L38-L$10)*1000)</f>
        <v>-10.599999921396375</v>
      </c>
      <c r="BA38" s="40">
        <f t="shared" ref="BA38:BA39" si="524">IF(M38="","",(M38-M$10)*1000)</f>
        <v>-1.0999999999938836</v>
      </c>
      <c r="BB38" s="40">
        <f t="shared" ref="BB38:BB39" si="525">IF(N38="","",(N38-N$10)*1000)</f>
        <v>-4.3999999761581421</v>
      </c>
      <c r="BC38" s="40">
        <f t="shared" ref="BC38:BC39" si="526">IF(O38="","",(O38-O$10)*1000)</f>
        <v>0.40000001899898052</v>
      </c>
      <c r="BD38" s="40">
        <f t="shared" ref="BD38:BD39" si="527">IF(P38="","",(P38-P$10)*1000)</f>
        <v>-15.300000000010527</v>
      </c>
      <c r="BE38" s="40">
        <f t="shared" ref="BE38:BE39" si="528">IF(Q38="","",(Q38-Q$10)*1000)</f>
        <v>-4.4000000925734639</v>
      </c>
      <c r="BF38" s="40">
        <f t="shared" ref="BF38:BF39" si="529">IF(R38="","",(R38-R$10)*1000)</f>
        <v>3.8999998942017555</v>
      </c>
      <c r="BG38" s="40">
        <f t="shared" ref="BG38:BG39" si="530">IF(S38="","",(S38-S$10)*1000)</f>
        <v>-5.49999999999784</v>
      </c>
      <c r="BH38" s="40">
        <f t="shared" ref="BH38:BH39" si="531">IF(T38="","",(T38-T$10)*1000)</f>
        <v>-5.6999999796971679</v>
      </c>
      <c r="BI38" s="40">
        <f t="shared" ref="BI38:BI39" si="532">IF(U38="","",(U38-U$10)*1000)</f>
        <v>4.999999888241291</v>
      </c>
      <c r="BJ38" s="40">
        <f t="shared" ref="BJ38:BJ39" si="533">IF(V38="","",(V38-V$10)*1000)</f>
        <v>-0.20000000000663931</v>
      </c>
      <c r="BK38" s="40">
        <f t="shared" ref="BK38:BK39" si="534">IF(W38="","",(W38-W$10)*1000)</f>
        <v>-7.1999999927356839</v>
      </c>
      <c r="BL38" s="40">
        <f t="shared" ref="BL38:BL39" si="535">IF(X38="","",(X38-X$10)*1000)</f>
        <v>5.2999998442828655</v>
      </c>
      <c r="BM38" s="40">
        <f t="shared" ref="BM38:BM39" si="536">IF(Y38="","",(Y38-Y$10)*1000)</f>
        <v>1.9999999999953388</v>
      </c>
      <c r="BN38" s="37"/>
      <c r="BO38" s="36">
        <v>169.37029999999999</v>
      </c>
      <c r="BP38" s="36">
        <v>-3.7629999999999999</v>
      </c>
      <c r="BQ38" s="36">
        <v>-1.161</v>
      </c>
      <c r="BR38" s="36">
        <v>169.20939999999999</v>
      </c>
      <c r="BS38" s="36">
        <v>-4.2024999999999997</v>
      </c>
      <c r="BT38" s="36">
        <v>0.82689999999999997</v>
      </c>
      <c r="BU38" s="36">
        <v>169.18709999999999</v>
      </c>
      <c r="BV38" s="36">
        <v>-3.2311999999999999</v>
      </c>
      <c r="BW38" s="36">
        <v>2.9683000000000002</v>
      </c>
      <c r="BX38" s="36">
        <v>168.9598</v>
      </c>
      <c r="BY38" s="36">
        <v>0.217</v>
      </c>
      <c r="BZ38" s="36">
        <v>4.3376999999999999</v>
      </c>
      <c r="CA38" s="36">
        <v>169.19890000000001</v>
      </c>
      <c r="CB38" s="36">
        <v>3.2054</v>
      </c>
      <c r="CC38" s="36">
        <v>2.9780000000000002</v>
      </c>
      <c r="CD38" s="36">
        <v>169.19030000000001</v>
      </c>
      <c r="CE38" s="36">
        <v>4.1936</v>
      </c>
      <c r="CF38" s="36">
        <v>0.83340000000000003</v>
      </c>
      <c r="CG38" s="36">
        <v>169.2544</v>
      </c>
      <c r="CH38" s="36">
        <v>3.8651</v>
      </c>
      <c r="CI38" s="36">
        <v>-1.0859000000000001</v>
      </c>
      <c r="CJ38" s="37"/>
      <c r="CK38" s="40">
        <f t="shared" ref="CK38:CK39" si="537">IF(BO38="","",(BO38-BO$10)*1000)</f>
        <v>-4.7556221909701435</v>
      </c>
      <c r="CL38" s="40">
        <f t="shared" ref="CL38:CL39" si="538">IF(BP38="","",(BP38-BP$10)*1000)</f>
        <v>10.8522421270556</v>
      </c>
      <c r="CM38" s="40">
        <f t="shared" ref="CM38:CM39" si="539">IF(BQ38="","",(BQ38-BQ$10)*1000)</f>
        <v>-0.12944377807722063</v>
      </c>
      <c r="CN38" s="40">
        <f t="shared" ref="CN38:CN39" si="540">IF(BR38="","",(BR38-BR$10)*1000)</f>
        <v>-2.4902291373791741</v>
      </c>
      <c r="CO38" s="40">
        <f t="shared" ref="CO38:CO39" si="541">IF(BS38="","",(BS38-BS$10)*1000)</f>
        <v>9.3591535858852382</v>
      </c>
      <c r="CP38" s="40">
        <f t="shared" ref="CP38:CP39" si="542">IF(BT38="","",(BT38-BT$10)*1000)</f>
        <v>-0.56109770862122765</v>
      </c>
      <c r="CQ38" s="40">
        <f t="shared" ref="CQ38:CQ39" si="543">IF(BU38="","",(BU38-BU$10)*1000)</f>
        <v>-4.3552418708827645</v>
      </c>
      <c r="CR38" s="40">
        <f t="shared" ref="CR38:CR39" si="544">IF(BV38="","",(BV38-BV$10)*1000)</f>
        <v>9.6000867160972447</v>
      </c>
      <c r="CS38" s="40">
        <f t="shared" ref="CS38:CS39" si="545">IF(BW38="","",(BW38-BW$10)*1000)</f>
        <v>-1.0654475812819086</v>
      </c>
      <c r="CT38" s="40">
        <f t="shared" ref="CT38:CT39" si="546">IF(BX38="","",(BX38-BX$10)*1000)</f>
        <v>-3.8138646198433435</v>
      </c>
      <c r="CU38" s="40">
        <f t="shared" ref="CU38:CU39" si="547">IF(BY38="","",(BY38-BY$10)*1000)</f>
        <v>-2.2351047495592913</v>
      </c>
      <c r="CV38" s="40">
        <f t="shared" ref="CV38:CV39" si="548">IF(BZ38="","",(BZ38-BZ$10)*1000)</f>
        <v>-15.243861353807731</v>
      </c>
      <c r="CW38" s="40">
        <f t="shared" ref="CW38:CW39" si="549">IF(CA38="","",(CA38-CA$10)*1000)</f>
        <v>-2.2943418723571085</v>
      </c>
      <c r="CX38" s="40">
        <f t="shared" ref="CX38:CX39" si="550">IF(CB38="","",(CB38-CB$10)*1000)</f>
        <v>-5.3805659486627633</v>
      </c>
      <c r="CY38" s="40">
        <f t="shared" ref="CY38:CY39" si="551">IF(CC38="","",(CC38-CC$10)*1000)</f>
        <v>-5.4680565812730286</v>
      </c>
      <c r="CZ38" s="40">
        <f t="shared" ref="CZ38:CZ39" si="552">IF(CD38="","",(CD38-CD$10)*1000)</f>
        <v>-3.0480277355025009</v>
      </c>
      <c r="DA38" s="40">
        <f t="shared" ref="DA38:DA39" si="553">IF(CE38="","",(CE38-CE$10)*1000)</f>
        <v>-6.9098044299931161</v>
      </c>
      <c r="DB38" s="40">
        <f t="shared" ref="DB38:DB39" si="554">IF(CF38="","",(CF38-CF$10)*1000)</f>
        <v>-0.1465197226454551</v>
      </c>
      <c r="DC38" s="40">
        <f t="shared" ref="DC38:DC39" si="555">IF(CG38="","",(CG38-CG$10)*1000)</f>
        <v>-4.3202747279735831</v>
      </c>
      <c r="DD38" s="40">
        <f t="shared" ref="DD38:DD39" si="556">IF(CH38="","",(CH38-CH$10)*1000)</f>
        <v>-7.8439951692521603</v>
      </c>
      <c r="DE38" s="40">
        <f t="shared" ref="DE38:DE39" si="557">IF(CI38="","",(CI38-CI$10)*1000)</f>
        <v>2.0072027472743947</v>
      </c>
    </row>
    <row r="39" spans="1:109" ht="29.25" customHeight="1" x14ac:dyDescent="0.2">
      <c r="A39" s="34">
        <v>43713</v>
      </c>
      <c r="B39" s="27">
        <f t="shared" si="96"/>
        <v>114</v>
      </c>
      <c r="C39" s="35">
        <v>200.6</v>
      </c>
      <c r="D39" s="35">
        <f t="shared" si="0"/>
        <v>31.400000000000006</v>
      </c>
      <c r="E39" s="36">
        <v>823219.58259999997</v>
      </c>
      <c r="F39" s="36">
        <v>1091508.5956999999</v>
      </c>
      <c r="G39" s="36">
        <v>-125.0094</v>
      </c>
      <c r="H39" s="36">
        <v>823219.25150000001</v>
      </c>
      <c r="I39" s="36">
        <v>1091508.9264</v>
      </c>
      <c r="J39" s="36">
        <v>-123.02379999999999</v>
      </c>
      <c r="K39" s="36">
        <v>823219.64159999997</v>
      </c>
      <c r="L39" s="36">
        <v>1091508.0364999999</v>
      </c>
      <c r="M39" s="36">
        <v>-120.88290000000001</v>
      </c>
      <c r="N39" s="36">
        <v>823220.89300000004</v>
      </c>
      <c r="O39" s="36">
        <v>1091504.8154</v>
      </c>
      <c r="P39" s="36">
        <v>-119.5159</v>
      </c>
      <c r="Q39" s="36">
        <v>823222.37280000001</v>
      </c>
      <c r="R39" s="36">
        <v>1091502.2080999999</v>
      </c>
      <c r="S39" s="36">
        <v>-120.873</v>
      </c>
      <c r="T39" s="36">
        <v>823222.78280000004</v>
      </c>
      <c r="U39" s="36">
        <v>1091501.3088</v>
      </c>
      <c r="V39" s="36">
        <v>-123.0177</v>
      </c>
      <c r="W39" s="36">
        <v>823222.70209999999</v>
      </c>
      <c r="X39" s="36">
        <v>1091501.6336999999</v>
      </c>
      <c r="Y39" s="36">
        <v>-124.93640000000001</v>
      </c>
      <c r="Z39" s="36">
        <f t="shared" si="1"/>
        <v>6.7960546275081617</v>
      </c>
      <c r="AA39" s="36">
        <f t="shared" si="2"/>
        <v>5.6480267049974433</v>
      </c>
      <c r="AB39" s="36">
        <f t="shared" si="395"/>
        <v>3.7162045382282241</v>
      </c>
      <c r="AC39" s="36">
        <f t="shared" si="4"/>
        <v>3.2908269082535733</v>
      </c>
      <c r="AD39" s="36">
        <f t="shared" si="5"/>
        <v>5.3037902333865077</v>
      </c>
      <c r="AE39" s="36">
        <f t="shared" si="6"/>
        <v>6.540479948008886</v>
      </c>
      <c r="AF39" s="36">
        <f t="shared" si="396"/>
        <v>6.436598325994269</v>
      </c>
      <c r="AG39" s="36">
        <f t="shared" si="8"/>
        <v>8.3963055363765964</v>
      </c>
      <c r="AH39" s="36">
        <f t="shared" si="9"/>
        <v>7.6292891707543715</v>
      </c>
      <c r="AI39" s="40">
        <f t="shared" si="507"/>
        <v>-20.896668317528899</v>
      </c>
      <c r="AJ39" s="40">
        <f t="shared" si="508"/>
        <v>-18.344839424210058</v>
      </c>
      <c r="AK39" s="40">
        <f t="shared" si="509"/>
        <v>-16.320734207109222</v>
      </c>
      <c r="AL39" s="40">
        <f t="shared" si="510"/>
        <v>-6.8618489811935746</v>
      </c>
      <c r="AM39" s="40">
        <f t="shared" si="511"/>
        <v>-13.47583387191964</v>
      </c>
      <c r="AN39" s="40">
        <f t="shared" si="512"/>
        <v>-17.525302005702237</v>
      </c>
      <c r="AO39" s="40">
        <f t="shared" si="513"/>
        <v>-15.005304724778235</v>
      </c>
      <c r="AP39" s="40">
        <f t="shared" si="514"/>
        <v>-16.085925569392145</v>
      </c>
      <c r="AQ39" s="40">
        <f t="shared" si="515"/>
        <v>-18.728993959850726</v>
      </c>
      <c r="AR39" s="37"/>
      <c r="AS39" s="40">
        <f t="shared" si="516"/>
        <v>-0.20000000949949026</v>
      </c>
      <c r="AT39" s="40">
        <f t="shared" si="517"/>
        <v>-12.199999997392297</v>
      </c>
      <c r="AU39" s="40">
        <f t="shared" si="518"/>
        <v>0.60000000000570708</v>
      </c>
      <c r="AV39" s="40">
        <f t="shared" si="519"/>
        <v>1.7000000225380063</v>
      </c>
      <c r="AW39" s="40">
        <f t="shared" si="520"/>
        <v>-9.4999999273568392</v>
      </c>
      <c r="AX39" s="40">
        <f t="shared" si="521"/>
        <v>-0.49999999998817657</v>
      </c>
      <c r="AY39" s="40">
        <f t="shared" si="522"/>
        <v>-0.10000006295740604</v>
      </c>
      <c r="AZ39" s="40">
        <f t="shared" si="523"/>
        <v>-10.699999984353781</v>
      </c>
      <c r="BA39" s="40">
        <f t="shared" si="524"/>
        <v>-1.300000000000523</v>
      </c>
      <c r="BB39" s="40">
        <f t="shared" si="525"/>
        <v>-4.5999999856576324</v>
      </c>
      <c r="BC39" s="40">
        <f t="shared" si="526"/>
        <v>0.29999995604157448</v>
      </c>
      <c r="BD39" s="40">
        <f t="shared" si="527"/>
        <v>-15.600000000006276</v>
      </c>
      <c r="BE39" s="40">
        <f t="shared" si="528"/>
        <v>-4.5000000391155481</v>
      </c>
      <c r="BF39" s="40">
        <f t="shared" si="529"/>
        <v>3.7999998312443495</v>
      </c>
      <c r="BG39" s="40">
        <f t="shared" si="530"/>
        <v>-5.6000000000011596</v>
      </c>
      <c r="BH39" s="40">
        <f t="shared" si="531"/>
        <v>-5.6999999796971679</v>
      </c>
      <c r="BI39" s="40">
        <f t="shared" si="532"/>
        <v>4.7999999951571226</v>
      </c>
      <c r="BJ39" s="40">
        <f t="shared" si="533"/>
        <v>-0.30000000000995897</v>
      </c>
      <c r="BK39" s="40">
        <f t="shared" si="534"/>
        <v>-7.1999999927356839</v>
      </c>
      <c r="BL39" s="40">
        <f t="shared" si="535"/>
        <v>5.1999997813254595</v>
      </c>
      <c r="BM39" s="40">
        <f t="shared" si="536"/>
        <v>1.7999999999886995</v>
      </c>
      <c r="BN39" s="37"/>
      <c r="BO39" s="36">
        <v>169.36969999999999</v>
      </c>
      <c r="BP39" s="36">
        <v>-3.7629000000000001</v>
      </c>
      <c r="BQ39" s="36">
        <v>-1.1601999999999999</v>
      </c>
      <c r="BR39" s="36">
        <v>169.20939999999999</v>
      </c>
      <c r="BS39" s="36">
        <v>-4.2024999999999997</v>
      </c>
      <c r="BT39" s="36">
        <v>0.82699999999999996</v>
      </c>
      <c r="BU39" s="36">
        <v>169.18680000000001</v>
      </c>
      <c r="BV39" s="36">
        <v>-3.2311000000000001</v>
      </c>
      <c r="BW39" s="36">
        <v>2.9681000000000002</v>
      </c>
      <c r="BX39" s="36">
        <v>168.95959999999999</v>
      </c>
      <c r="BY39" s="36">
        <v>0.217</v>
      </c>
      <c r="BZ39" s="36">
        <v>4.3373999999999997</v>
      </c>
      <c r="CA39" s="36">
        <v>169.1987</v>
      </c>
      <c r="CB39" s="36">
        <v>3.2054</v>
      </c>
      <c r="CC39" s="36">
        <v>2.9779</v>
      </c>
      <c r="CD39" s="36">
        <v>169.1902</v>
      </c>
      <c r="CE39" s="36">
        <v>4.1938000000000004</v>
      </c>
      <c r="CF39" s="36">
        <v>0.83330000000000004</v>
      </c>
      <c r="CG39" s="36">
        <v>169.2544</v>
      </c>
      <c r="CH39" s="36">
        <v>3.8652000000000002</v>
      </c>
      <c r="CI39" s="36">
        <v>-1.0861000000000001</v>
      </c>
      <c r="CJ39" s="37"/>
      <c r="CK39" s="40">
        <f t="shared" si="537"/>
        <v>-5.3556221909616397</v>
      </c>
      <c r="CL39" s="40">
        <f t="shared" si="538"/>
        <v>10.952242127055367</v>
      </c>
      <c r="CM39" s="40">
        <f t="shared" si="539"/>
        <v>0.67055622192291331</v>
      </c>
      <c r="CN39" s="40">
        <f t="shared" si="540"/>
        <v>-2.4902291373791741</v>
      </c>
      <c r="CO39" s="40">
        <f t="shared" si="541"/>
        <v>9.3591535858852382</v>
      </c>
      <c r="CP39" s="40">
        <f t="shared" si="542"/>
        <v>-0.46109770862123867</v>
      </c>
      <c r="CQ39" s="40">
        <f t="shared" si="543"/>
        <v>-4.6552418708643017</v>
      </c>
      <c r="CR39" s="40">
        <f t="shared" si="544"/>
        <v>9.7000867160970117</v>
      </c>
      <c r="CS39" s="40">
        <f t="shared" si="545"/>
        <v>-1.2654475812818866</v>
      </c>
      <c r="CT39" s="40">
        <f t="shared" si="546"/>
        <v>-4.0138646198499828</v>
      </c>
      <c r="CU39" s="40">
        <f t="shared" si="547"/>
        <v>-2.2351047495592913</v>
      </c>
      <c r="CV39" s="40">
        <f t="shared" si="548"/>
        <v>-15.54386135380792</v>
      </c>
      <c r="CW39" s="40">
        <f t="shared" si="549"/>
        <v>-2.4943418723637478</v>
      </c>
      <c r="CX39" s="40">
        <f t="shared" si="550"/>
        <v>-5.3805659486627633</v>
      </c>
      <c r="CY39" s="40">
        <f t="shared" si="551"/>
        <v>-5.5680565812732397</v>
      </c>
      <c r="CZ39" s="40">
        <f t="shared" si="552"/>
        <v>-3.1480277355058206</v>
      </c>
      <c r="DA39" s="40">
        <f t="shared" si="553"/>
        <v>-6.709804429992694</v>
      </c>
      <c r="DB39" s="40">
        <f t="shared" si="554"/>
        <v>-0.24651972264544408</v>
      </c>
      <c r="DC39" s="40">
        <f t="shared" si="555"/>
        <v>-4.3202747279735831</v>
      </c>
      <c r="DD39" s="40">
        <f t="shared" si="556"/>
        <v>-7.7439951692519493</v>
      </c>
      <c r="DE39" s="40">
        <f t="shared" si="557"/>
        <v>1.8072027472744168</v>
      </c>
    </row>
    <row r="40" spans="1:109" ht="29.25" customHeight="1" x14ac:dyDescent="0.2">
      <c r="A40" s="34">
        <v>43718</v>
      </c>
      <c r="B40" s="27">
        <f t="shared" si="96"/>
        <v>119</v>
      </c>
      <c r="C40" s="35">
        <v>202.58</v>
      </c>
      <c r="D40" s="35">
        <f t="shared" si="0"/>
        <v>33.380000000000024</v>
      </c>
      <c r="E40" s="36">
        <v>823219.58380000002</v>
      </c>
      <c r="F40" s="36">
        <v>1091508.5952999999</v>
      </c>
      <c r="G40" s="36">
        <v>-125.0098</v>
      </c>
      <c r="H40" s="36">
        <v>823219.25230000005</v>
      </c>
      <c r="I40" s="36">
        <v>1091508.9257</v>
      </c>
      <c r="J40" s="36">
        <v>-123.0236</v>
      </c>
      <c r="K40" s="36">
        <v>823219.64260000002</v>
      </c>
      <c r="L40" s="36">
        <v>1091508.0359</v>
      </c>
      <c r="M40" s="36">
        <v>-120.883</v>
      </c>
      <c r="N40" s="36">
        <v>823220.89359999995</v>
      </c>
      <c r="O40" s="36">
        <v>1091504.8152000001</v>
      </c>
      <c r="P40" s="36">
        <v>-119.51649999999999</v>
      </c>
      <c r="Q40" s="36">
        <v>823222.37320000003</v>
      </c>
      <c r="R40" s="36">
        <v>1091502.2080999999</v>
      </c>
      <c r="S40" s="36">
        <v>-120.87309999999999</v>
      </c>
      <c r="T40" s="36">
        <v>823222.7831</v>
      </c>
      <c r="U40" s="36">
        <v>1091501.3089000001</v>
      </c>
      <c r="V40" s="36">
        <v>-123.01739999999999</v>
      </c>
      <c r="W40" s="36">
        <v>823222.7023</v>
      </c>
      <c r="X40" s="36">
        <v>1091501.6336999999</v>
      </c>
      <c r="Y40" s="36">
        <v>-124.9359</v>
      </c>
      <c r="Z40" s="36">
        <f t="shared" si="1"/>
        <v>6.7956660408486487</v>
      </c>
      <c r="AA40" s="36">
        <f t="shared" si="2"/>
        <v>5.6471077862280312</v>
      </c>
      <c r="AB40" s="36">
        <f t="shared" si="395"/>
        <v>3.7155392259383873</v>
      </c>
      <c r="AC40" s="36">
        <f t="shared" si="4"/>
        <v>3.2903723392588304</v>
      </c>
      <c r="AD40" s="36">
        <f t="shared" si="5"/>
        <v>5.3028907918455657</v>
      </c>
      <c r="AE40" s="36">
        <f t="shared" si="6"/>
        <v>6.5393603893147763</v>
      </c>
      <c r="AF40" s="36">
        <f t="shared" si="396"/>
        <v>6.4358004328180707</v>
      </c>
      <c r="AG40" s="36">
        <f t="shared" si="8"/>
        <v>8.3953695165269924</v>
      </c>
      <c r="AH40" s="36">
        <f t="shared" si="9"/>
        <v>7.6285239739040644</v>
      </c>
      <c r="AI40" s="40">
        <f t="shared" ref="AI40" si="558">IF(Z40="","",(Z40-Z$10)*1000)</f>
        <v>-21.285254977041923</v>
      </c>
      <c r="AJ40" s="40">
        <f t="shared" ref="AJ40" si="559">IF(AA40="","",(AA40-AA$10)*1000)</f>
        <v>-19.263758193622138</v>
      </c>
      <c r="AK40" s="40">
        <f t="shared" ref="AK40" si="560">IF(AB40="","",(AB40-AB$10)*1000)</f>
        <v>-16.986046496946017</v>
      </c>
      <c r="AL40" s="40">
        <f t="shared" ref="AL40" si="561">IF(AC40="","",(AC40-AC$10)*1000)</f>
        <v>-7.3164179759364067</v>
      </c>
      <c r="AM40" s="40">
        <f t="shared" ref="AM40" si="562">IF(AD40="","",(AD40-AD$10)*1000)</f>
        <v>-14.375275412861654</v>
      </c>
      <c r="AN40" s="40">
        <f t="shared" ref="AN40" si="563">IF(AE40="","",(AE40-AE$10)*1000)</f>
        <v>-18.644860699811971</v>
      </c>
      <c r="AO40" s="40">
        <f t="shared" ref="AO40" si="564">IF(AF40="","",(AF40-AF$10)*1000)</f>
        <v>-15.803197900976507</v>
      </c>
      <c r="AP40" s="40">
        <f t="shared" ref="AP40" si="565">IF(AG40="","",(AG40-AG$10)*1000)</f>
        <v>-17.021945418996154</v>
      </c>
      <c r="AQ40" s="40">
        <f t="shared" ref="AQ40" si="566">IF(AH40="","",(AH40-AH$10)*1000)</f>
        <v>-19.494190810157797</v>
      </c>
      <c r="AR40" s="37"/>
      <c r="AS40" s="40">
        <f t="shared" ref="AS40" si="567">IF(E40="","",(E40-E$10)*1000)</f>
        <v>1.0000000474974513</v>
      </c>
      <c r="AT40" s="40">
        <f t="shared" ref="AT40" si="568">IF(F40="","",(F40-F$10)*1000)</f>
        <v>-12.600000016391277</v>
      </c>
      <c r="AU40" s="40">
        <f t="shared" ref="AU40" si="569">IF(G40="","",(G40-G$10)*1000)</f>
        <v>0.20000000000663931</v>
      </c>
      <c r="AV40" s="40">
        <f t="shared" ref="AV40" si="570">IF(H40="","",(H40-H$10)*1000)</f>
        <v>2.5000000605359674</v>
      </c>
      <c r="AW40" s="40">
        <f t="shared" ref="AW40" si="571">IF(I40="","",(I40-I$10)*1000)</f>
        <v>-10.199999902397394</v>
      </c>
      <c r="AX40" s="40">
        <f t="shared" ref="AX40" si="572">IF(J40="","",(J40-J$10)*1000)</f>
        <v>-0.29999999999574811</v>
      </c>
      <c r="AY40" s="40">
        <f t="shared" ref="AY40" si="573">IF(K40="","",(K40-K$10)*1000)</f>
        <v>0.89999998454004526</v>
      </c>
      <c r="AZ40" s="40">
        <f t="shared" ref="AZ40" si="574">IF(L40="","",(L40-L$10)*1000)</f>
        <v>-11.29999989643693</v>
      </c>
      <c r="BA40" s="40">
        <f t="shared" ref="BA40" si="575">IF(M40="","",(M40-M$10)*1000)</f>
        <v>-1.3999999999896318</v>
      </c>
      <c r="BB40" s="40">
        <f t="shared" ref="BB40" si="576">IF(N40="","",(N40-N$10)*1000)</f>
        <v>-4.0000000735744834</v>
      </c>
      <c r="BC40" s="40">
        <f t="shared" ref="BC40" si="577">IF(O40="","",(O40-O$10)*1000)</f>
        <v>0.10000006295740604</v>
      </c>
      <c r="BD40" s="40">
        <f t="shared" ref="BD40" si="578">IF(P40="","",(P40-P$10)*1000)</f>
        <v>-16.199999999997772</v>
      </c>
      <c r="BE40" s="40">
        <f t="shared" ref="BE40" si="579">IF(Q40="","",(Q40-Q$10)*1000)</f>
        <v>-4.1000000201165676</v>
      </c>
      <c r="BF40" s="40">
        <f t="shared" ref="BF40" si="580">IF(R40="","",(R40-R$10)*1000)</f>
        <v>3.7999998312443495</v>
      </c>
      <c r="BG40" s="40">
        <f t="shared" ref="BG40" si="581">IF(S40="","",(S40-S$10)*1000)</f>
        <v>-5.6999999999902684</v>
      </c>
      <c r="BH40" s="40">
        <f t="shared" ref="BH40" si="582">IF(T40="","",(T40-T$10)*1000)</f>
        <v>-5.4000000236555934</v>
      </c>
      <c r="BI40" s="40">
        <f t="shared" ref="BI40" si="583">IF(U40="","",(U40-U$10)*1000)</f>
        <v>4.9000000581145287</v>
      </c>
      <c r="BJ40" s="40">
        <f t="shared" ref="BJ40" si="584">IF(V40="","",(V40-V$10)*1000)</f>
        <v>0</v>
      </c>
      <c r="BK40" s="40">
        <f t="shared" ref="BK40" si="585">IF(W40="","",(W40-W$10)*1000)</f>
        <v>-6.9999999832361937</v>
      </c>
      <c r="BL40" s="40">
        <f t="shared" ref="BL40" si="586">IF(X40="","",(X40-X$10)*1000)</f>
        <v>5.1999997813254595</v>
      </c>
      <c r="BM40" s="40">
        <f t="shared" ref="BM40" si="587">IF(Y40="","",(Y40-Y$10)*1000)</f>
        <v>2.299999999991087</v>
      </c>
      <c r="BN40" s="37"/>
      <c r="BO40" s="36">
        <v>169.3706</v>
      </c>
      <c r="BP40" s="36">
        <v>-3.762</v>
      </c>
      <c r="BQ40" s="36">
        <v>-1.1606000000000001</v>
      </c>
      <c r="BR40" s="36">
        <v>169.2098</v>
      </c>
      <c r="BS40" s="36">
        <v>-4.2016</v>
      </c>
      <c r="BT40" s="36">
        <v>0.82720000000000005</v>
      </c>
      <c r="BU40" s="36">
        <v>169.1875</v>
      </c>
      <c r="BV40" s="36">
        <v>-3.2302</v>
      </c>
      <c r="BW40" s="36">
        <v>2.968</v>
      </c>
      <c r="BX40" s="36">
        <v>168.96</v>
      </c>
      <c r="BY40" s="36">
        <v>0.2175</v>
      </c>
      <c r="BZ40" s="36">
        <v>4.3368000000000002</v>
      </c>
      <c r="CA40" s="36">
        <v>169.19909999999999</v>
      </c>
      <c r="CB40" s="36">
        <v>3.2056</v>
      </c>
      <c r="CC40" s="36">
        <v>2.9777999999999998</v>
      </c>
      <c r="CD40" s="36">
        <v>169.19049999999999</v>
      </c>
      <c r="CE40" s="36">
        <v>4.1938000000000004</v>
      </c>
      <c r="CF40" s="36">
        <v>0.83360000000000001</v>
      </c>
      <c r="CG40" s="36">
        <v>169.25460000000001</v>
      </c>
      <c r="CH40" s="36">
        <v>3.8653</v>
      </c>
      <c r="CI40" s="36">
        <v>-1.0855999999999999</v>
      </c>
      <c r="CJ40" s="37"/>
      <c r="CK40" s="40">
        <f t="shared" ref="CK40" si="588">IF(BO40="","",(BO40-BO$10)*1000)</f>
        <v>-4.4556221909601845</v>
      </c>
      <c r="CL40" s="40">
        <f t="shared" ref="CL40" si="589">IF(BP40="","",(BP40-BP$10)*1000)</f>
        <v>11.85224212705549</v>
      </c>
      <c r="CM40" s="40">
        <f t="shared" ref="CM40" si="590">IF(BQ40="","",(BQ40-BQ$10)*1000)</f>
        <v>0.27055622192273532</v>
      </c>
      <c r="CN40" s="40">
        <f t="shared" ref="CN40" si="591">IF(BR40="","",(BR40-BR$10)*1000)</f>
        <v>-2.0902291373658954</v>
      </c>
      <c r="CO40" s="40">
        <f t="shared" ref="CO40" si="592">IF(BS40="","",(BS40-BS$10)*1000)</f>
        <v>10.259153585884917</v>
      </c>
      <c r="CP40" s="40">
        <f t="shared" ref="CP40" si="593">IF(BT40="","",(BT40-BT$10)*1000)</f>
        <v>-0.26109770862114967</v>
      </c>
      <c r="CQ40" s="40">
        <f t="shared" ref="CQ40" si="594">IF(BU40="","",(BU40-BU$10)*1000)</f>
        <v>-3.9552418708694859</v>
      </c>
      <c r="CR40" s="40">
        <f t="shared" ref="CR40" si="595">IF(BV40="","",(BV40-BV$10)*1000)</f>
        <v>10.600086716097135</v>
      </c>
      <c r="CS40" s="40">
        <f t="shared" ref="CS40" si="596">IF(BW40="","",(BW40-BW$10)*1000)</f>
        <v>-1.3654475812820976</v>
      </c>
      <c r="CT40" s="40">
        <f t="shared" ref="CT40" si="597">IF(BX40="","",(BX40-BX$10)*1000)</f>
        <v>-3.6138646198367042</v>
      </c>
      <c r="CU40" s="40">
        <f t="shared" ref="CU40" si="598">IF(BY40="","",(BY40-BY$10)*1000)</f>
        <v>-1.7351047495592908</v>
      </c>
      <c r="CV40" s="40">
        <f t="shared" ref="CV40" si="599">IF(BZ40="","",(BZ40-BZ$10)*1000)</f>
        <v>-16.143861353807409</v>
      </c>
      <c r="CW40" s="40">
        <f t="shared" ref="CW40" si="600">IF(CA40="","",(CA40-CA$10)*1000)</f>
        <v>-2.0943418723788909</v>
      </c>
      <c r="CX40" s="40">
        <f t="shared" ref="CX40" si="601">IF(CB40="","",(CB40-CB$10)*1000)</f>
        <v>-5.1805659486627853</v>
      </c>
      <c r="CY40" s="40">
        <f t="shared" ref="CY40" si="602">IF(CC40="","",(CC40-CC$10)*1000)</f>
        <v>-5.6680565812734507</v>
      </c>
      <c r="CZ40" s="40">
        <f t="shared" ref="CZ40" si="603">IF(CD40="","",(CD40-CD$10)*1000)</f>
        <v>-2.8480277355242833</v>
      </c>
      <c r="DA40" s="40">
        <f t="shared" ref="DA40" si="604">IF(CE40="","",(CE40-CE$10)*1000)</f>
        <v>-6.709804429992694</v>
      </c>
      <c r="DB40" s="40">
        <f t="shared" ref="DB40" si="605">IF(CF40="","",(CF40-CF$10)*1000)</f>
        <v>5.3480277354522876E-2</v>
      </c>
      <c r="DC40" s="40">
        <f t="shared" ref="DC40" si="606">IF(CG40="","",(CG40-CG$10)*1000)</f>
        <v>-4.1202747279669438</v>
      </c>
      <c r="DD40" s="40">
        <f t="shared" ref="DD40" si="607">IF(CH40="","",(CH40-CH$10)*1000)</f>
        <v>-7.6439951692521824</v>
      </c>
      <c r="DE40" s="40">
        <f t="shared" ref="DE40" si="608">IF(CI40="","",(CI40-CI$10)*1000)</f>
        <v>2.3072027472745837</v>
      </c>
    </row>
    <row r="41" spans="1:109" ht="29.25" customHeight="1" x14ac:dyDescent="0.2">
      <c r="A41" s="34">
        <v>43720</v>
      </c>
      <c r="B41" s="27">
        <f t="shared" si="96"/>
        <v>121</v>
      </c>
      <c r="C41" s="35">
        <v>203.6</v>
      </c>
      <c r="D41" s="35">
        <f t="shared" si="0"/>
        <v>34.400000000000006</v>
      </c>
      <c r="E41" s="36">
        <v>823219.58369999996</v>
      </c>
      <c r="F41" s="36">
        <v>1091508.5952999999</v>
      </c>
      <c r="G41" s="36">
        <v>-125.0093</v>
      </c>
      <c r="H41" s="36">
        <v>823219.25210000004</v>
      </c>
      <c r="I41" s="36">
        <v>1091508.9256</v>
      </c>
      <c r="J41" s="36">
        <v>-123.02330000000001</v>
      </c>
      <c r="K41" s="36">
        <v>823219.64249999996</v>
      </c>
      <c r="L41" s="36">
        <v>1091508.0360999999</v>
      </c>
      <c r="M41" s="36">
        <v>-120.88290000000001</v>
      </c>
      <c r="N41" s="36">
        <v>823220.89359999995</v>
      </c>
      <c r="O41" s="36">
        <v>1091504.8156000001</v>
      </c>
      <c r="P41" s="36">
        <v>-119.5164</v>
      </c>
      <c r="Q41" s="36">
        <v>823222.37300000002</v>
      </c>
      <c r="R41" s="36">
        <v>1091502.2086</v>
      </c>
      <c r="S41" s="36">
        <v>-120.8728</v>
      </c>
      <c r="T41" s="36">
        <v>823222.78319999995</v>
      </c>
      <c r="U41" s="36">
        <v>1091501.3093000001</v>
      </c>
      <c r="V41" s="36">
        <v>-123.01690000000001</v>
      </c>
      <c r="W41" s="36">
        <v>823222.70220000006</v>
      </c>
      <c r="X41" s="36">
        <v>1091501.6343</v>
      </c>
      <c r="Y41" s="36">
        <v>-124.9354</v>
      </c>
      <c r="Z41" s="36">
        <f t="shared" si="1"/>
        <v>6.7951394767704958</v>
      </c>
      <c r="AA41" s="36">
        <f t="shared" si="2"/>
        <v>5.6466777718083687</v>
      </c>
      <c r="AB41" s="36">
        <f t="shared" si="395"/>
        <v>3.7153995355591776</v>
      </c>
      <c r="AC41" s="36">
        <f t="shared" si="4"/>
        <v>3.2901207152022836</v>
      </c>
      <c r="AD41" s="36">
        <f t="shared" si="5"/>
        <v>5.3026623596113005</v>
      </c>
      <c r="AE41" s="36">
        <f t="shared" si="6"/>
        <v>6.5389039334380108</v>
      </c>
      <c r="AF41" s="36">
        <f t="shared" si="396"/>
        <v>6.4354866567456916</v>
      </c>
      <c r="AG41" s="36">
        <f t="shared" si="8"/>
        <v>8.3950422189213452</v>
      </c>
      <c r="AH41" s="36">
        <f t="shared" si="9"/>
        <v>7.6279764327859327</v>
      </c>
      <c r="AI41" s="40">
        <f t="shared" ref="AI41" si="609">IF(Z41="","",(Z41-Z$10)*1000)</f>
        <v>-21.811819055194803</v>
      </c>
      <c r="AJ41" s="40">
        <f t="shared" ref="AJ41" si="610">IF(AA41="","",(AA41-AA$10)*1000)</f>
        <v>-19.693772613284644</v>
      </c>
      <c r="AK41" s="40">
        <f t="shared" ref="AK41" si="611">IF(AB41="","",(AB41-AB$10)*1000)</f>
        <v>-17.125736876155706</v>
      </c>
      <c r="AL41" s="40">
        <f t="shared" ref="AL41" si="612">IF(AC41="","",(AC41-AC$10)*1000)</f>
        <v>-7.5680420324832909</v>
      </c>
      <c r="AM41" s="40">
        <f t="shared" ref="AM41" si="613">IF(AD41="","",(AD41-AD$10)*1000)</f>
        <v>-14.603707647126818</v>
      </c>
      <c r="AN41" s="40">
        <f t="shared" ref="AN41" si="614">IF(AE41="","",(AE41-AE$10)*1000)</f>
        <v>-19.101316576577432</v>
      </c>
      <c r="AO41" s="40">
        <f t="shared" ref="AO41" si="615">IF(AF41="","",(AF41-AF$10)*1000)</f>
        <v>-16.116973973355542</v>
      </c>
      <c r="AP41" s="40">
        <f t="shared" ref="AP41" si="616">IF(AG41="","",(AG41-AG$10)*1000)</f>
        <v>-17.349243024643357</v>
      </c>
      <c r="AQ41" s="40">
        <f t="shared" ref="AQ41" si="617">IF(AH41="","",(AH41-AH$10)*1000)</f>
        <v>-20.041731928289508</v>
      </c>
      <c r="AR41" s="37"/>
      <c r="AS41" s="40">
        <f t="shared" ref="AS41" si="618">IF(E41="","",(E41-E$10)*1000)</f>
        <v>0.89999998454004526</v>
      </c>
      <c r="AT41" s="40">
        <f t="shared" ref="AT41" si="619">IF(F41="","",(F41-F$10)*1000)</f>
        <v>-12.600000016391277</v>
      </c>
      <c r="AU41" s="40">
        <f t="shared" ref="AU41" si="620">IF(G41="","",(G41-G$10)*1000)</f>
        <v>0.70000000000902673</v>
      </c>
      <c r="AV41" s="40">
        <f t="shared" ref="AV41" si="621">IF(H41="","",(H41-H$10)*1000)</f>
        <v>2.3000000510364771</v>
      </c>
      <c r="AW41" s="40">
        <f t="shared" ref="AW41" si="622">IF(I41="","",(I41-I$10)*1000)</f>
        <v>-10.2999999653548</v>
      </c>
      <c r="AX41" s="40">
        <f t="shared" ref="AX41" si="623">IF(J41="","",(J41-J$10)*1000)</f>
        <v>0</v>
      </c>
      <c r="AY41" s="40">
        <f t="shared" ref="AY41" si="624">IF(K41="","",(K41-K$10)*1000)</f>
        <v>0.79999992158263922</v>
      </c>
      <c r="AZ41" s="40">
        <f t="shared" ref="AZ41" si="625">IF(L41="","",(L41-L$10)*1000)</f>
        <v>-11.100000003352761</v>
      </c>
      <c r="BA41" s="40">
        <f t="shared" ref="BA41" si="626">IF(M41="","",(M41-M$10)*1000)</f>
        <v>-1.300000000000523</v>
      </c>
      <c r="BB41" s="40">
        <f t="shared" ref="BB41" si="627">IF(N41="","",(N41-N$10)*1000)</f>
        <v>-4.0000000735744834</v>
      </c>
      <c r="BC41" s="40">
        <f t="shared" ref="BC41" si="628">IF(O41="","",(O41-O$10)*1000)</f>
        <v>0.50000008195638657</v>
      </c>
      <c r="BD41" s="40">
        <f t="shared" ref="BD41" si="629">IF(P41="","",(P41-P$10)*1000)</f>
        <v>-16.100000000008663</v>
      </c>
      <c r="BE41" s="40">
        <f t="shared" ref="BE41" si="630">IF(Q41="","",(Q41-Q$10)*1000)</f>
        <v>-4.3000000296160579</v>
      </c>
      <c r="BF41" s="40">
        <f t="shared" ref="BF41" si="631">IF(R41="","",(R41-R$10)*1000)</f>
        <v>4.299999913200736</v>
      </c>
      <c r="BG41" s="40">
        <f t="shared" ref="BG41" si="632">IF(S41="","",(S41-S$10)*1000)</f>
        <v>-5.3999999999945203</v>
      </c>
      <c r="BH41" s="40">
        <f t="shared" ref="BH41" si="633">IF(T41="","",(T41-T$10)*1000)</f>
        <v>-5.3000000771135092</v>
      </c>
      <c r="BI41" s="40">
        <f t="shared" ref="BI41" si="634">IF(U41="","",(U41-U$10)*1000)</f>
        <v>5.3000000771135092</v>
      </c>
      <c r="BJ41" s="40">
        <f t="shared" ref="BJ41" si="635">IF(V41="","",(V41-V$10)*1000)</f>
        <v>0.49999999998817657</v>
      </c>
      <c r="BK41" s="40">
        <f t="shared" ref="BK41" si="636">IF(W41="","",(W41-W$10)*1000)</f>
        <v>-7.0999999297782779</v>
      </c>
      <c r="BL41" s="40">
        <f t="shared" ref="BL41" si="637">IF(X41="","",(X41-X$10)*1000)</f>
        <v>5.7999999262392521</v>
      </c>
      <c r="BM41" s="40">
        <f t="shared" ref="BM41" si="638">IF(Y41="","",(Y41-Y$10)*1000)</f>
        <v>2.7999999999934744</v>
      </c>
      <c r="BN41" s="37"/>
      <c r="BO41" s="36">
        <v>169.37100000000001</v>
      </c>
      <c r="BP41" s="36">
        <v>-3.762</v>
      </c>
      <c r="BQ41" s="36">
        <v>-1.1599999999999999</v>
      </c>
      <c r="BR41" s="36">
        <v>169.20959999999999</v>
      </c>
      <c r="BS41" s="36">
        <v>-4.2016</v>
      </c>
      <c r="BT41" s="36">
        <v>0.82750000000000001</v>
      </c>
      <c r="BU41" s="36">
        <v>169.1875</v>
      </c>
      <c r="BV41" s="36">
        <v>-3.2303999999999999</v>
      </c>
      <c r="BW41" s="36">
        <v>2.9681000000000002</v>
      </c>
      <c r="BX41" s="36">
        <v>168.96019999999999</v>
      </c>
      <c r="BY41" s="36">
        <v>0.21709999999999999</v>
      </c>
      <c r="BZ41" s="36">
        <v>4.3369</v>
      </c>
      <c r="CA41" s="36">
        <v>169.19909999999999</v>
      </c>
      <c r="CB41" s="36">
        <v>3.2050999999999998</v>
      </c>
      <c r="CC41" s="36">
        <v>2.9781</v>
      </c>
      <c r="CD41" s="36">
        <v>169.1908</v>
      </c>
      <c r="CE41" s="36">
        <v>4.1935000000000002</v>
      </c>
      <c r="CF41" s="36">
        <v>0.83409999999999995</v>
      </c>
      <c r="CG41" s="36">
        <v>169.25470000000001</v>
      </c>
      <c r="CH41" s="36">
        <v>3.8647</v>
      </c>
      <c r="CI41" s="36">
        <v>-1.0851</v>
      </c>
      <c r="CJ41" s="37"/>
      <c r="CK41" s="40">
        <f t="shared" ref="CK41" si="639">IF(BO41="","",(BO41-BO$10)*1000)</f>
        <v>-4.0556221909469059</v>
      </c>
      <c r="CL41" s="40">
        <f t="shared" ref="CL41" si="640">IF(BP41="","",(BP41-BP$10)*1000)</f>
        <v>11.85224212705549</v>
      </c>
      <c r="CM41" s="40">
        <f t="shared" ref="CM41" si="641">IF(BQ41="","",(BQ41-BQ$10)*1000)</f>
        <v>0.87055622192289128</v>
      </c>
      <c r="CN41" s="40">
        <f t="shared" ref="CN41" si="642">IF(BR41="","",(BR41-BR$10)*1000)</f>
        <v>-2.2902291373725348</v>
      </c>
      <c r="CO41" s="40">
        <f t="shared" ref="CO41" si="643">IF(BS41="","",(BS41-BS$10)*1000)</f>
        <v>10.259153585884917</v>
      </c>
      <c r="CP41" s="40">
        <f t="shared" ref="CP41" si="644">IF(BT41="","",(BT41-BT$10)*1000)</f>
        <v>3.8902291378817289E-2</v>
      </c>
      <c r="CQ41" s="40">
        <f t="shared" ref="CQ41" si="645">IF(BU41="","",(BU41-BU$10)*1000)</f>
        <v>-3.9552418708694859</v>
      </c>
      <c r="CR41" s="40">
        <f t="shared" ref="CR41" si="646">IF(BV41="","",(BV41-BV$10)*1000)</f>
        <v>10.400086716097157</v>
      </c>
      <c r="CS41" s="40">
        <f t="shared" ref="CS41" si="647">IF(BW41="","",(BW41-BW$10)*1000)</f>
        <v>-1.2654475812818866</v>
      </c>
      <c r="CT41" s="40">
        <f t="shared" ref="CT41" si="648">IF(BX41="","",(BX41-BX$10)*1000)</f>
        <v>-3.4138646198584865</v>
      </c>
      <c r="CU41" s="40">
        <f t="shared" ref="CU41" si="649">IF(BY41="","",(BY41-BY$10)*1000)</f>
        <v>-2.1351047495593023</v>
      </c>
      <c r="CV41" s="40">
        <f t="shared" ref="CV41" si="650">IF(BZ41="","",(BZ41-BZ$10)*1000)</f>
        <v>-16.043861353807642</v>
      </c>
      <c r="CW41" s="40">
        <f t="shared" ref="CW41" si="651">IF(CA41="","",(CA41-CA$10)*1000)</f>
        <v>-2.0943418723788909</v>
      </c>
      <c r="CX41" s="40">
        <f t="shared" ref="CX41" si="652">IF(CB41="","",(CB41-CB$10)*1000)</f>
        <v>-5.6805659486629523</v>
      </c>
      <c r="CY41" s="40">
        <f t="shared" ref="CY41" si="653">IF(CC41="","",(CC41-CC$10)*1000)</f>
        <v>-5.3680565812732617</v>
      </c>
      <c r="CZ41" s="40">
        <f t="shared" ref="CZ41" si="654">IF(CD41="","",(CD41-CD$10)*1000)</f>
        <v>-2.5480277355143244</v>
      </c>
      <c r="DA41" s="40">
        <f t="shared" ref="DA41" si="655">IF(CE41="","",(CE41-CE$10)*1000)</f>
        <v>-7.009804429992883</v>
      </c>
      <c r="DB41" s="40">
        <f t="shared" ref="DB41" si="656">IF(CF41="","",(CF41-CF$10)*1000)</f>
        <v>0.55348027735446781</v>
      </c>
      <c r="DC41" s="40">
        <f t="shared" ref="DC41" si="657">IF(CG41="","",(CG41-CG$10)*1000)</f>
        <v>-4.0202747279636242</v>
      </c>
      <c r="DD41" s="40">
        <f t="shared" ref="DD41" si="658">IF(CH41="","",(CH41-CH$10)*1000)</f>
        <v>-8.2439951692521163</v>
      </c>
      <c r="DE41" s="40">
        <f t="shared" ref="DE41" si="659">IF(CI41="","",(CI41-CI$10)*1000)</f>
        <v>2.8072027472745287</v>
      </c>
    </row>
    <row r="42" spans="1:109" ht="29.25" customHeight="1" x14ac:dyDescent="0.2">
      <c r="A42" s="34">
        <v>43724</v>
      </c>
      <c r="B42" s="27">
        <f t="shared" si="96"/>
        <v>125</v>
      </c>
      <c r="C42" s="35">
        <v>203.6</v>
      </c>
      <c r="D42" s="35">
        <f t="shared" si="0"/>
        <v>34.400000000000006</v>
      </c>
      <c r="E42" s="36">
        <v>823219.58319999999</v>
      </c>
      <c r="F42" s="36">
        <v>1091508.5955000001</v>
      </c>
      <c r="G42" s="36">
        <v>-125.0099</v>
      </c>
      <c r="H42" s="36">
        <v>823219.25179999997</v>
      </c>
      <c r="I42" s="36">
        <v>1091508.926</v>
      </c>
      <c r="J42" s="36">
        <v>-123.0239</v>
      </c>
      <c r="K42" s="36">
        <v>823219.64190000005</v>
      </c>
      <c r="L42" s="36">
        <v>1091508.0362</v>
      </c>
      <c r="M42" s="36">
        <v>-120.8832</v>
      </c>
      <c r="N42" s="36">
        <v>823220.89300000004</v>
      </c>
      <c r="O42" s="36">
        <v>1091504.8158</v>
      </c>
      <c r="P42" s="36">
        <v>-119.5172</v>
      </c>
      <c r="Q42" s="36">
        <v>823222.37269999995</v>
      </c>
      <c r="R42" s="36">
        <v>1091502.2087000001</v>
      </c>
      <c r="S42" s="36">
        <v>-120.8736</v>
      </c>
      <c r="T42" s="36">
        <v>823222.78260000004</v>
      </c>
      <c r="U42" s="36">
        <v>1091501.3093999999</v>
      </c>
      <c r="V42" s="36">
        <v>-123.0175</v>
      </c>
      <c r="W42" s="36">
        <v>823222.70160000003</v>
      </c>
      <c r="X42" s="36">
        <v>1091501.6343</v>
      </c>
      <c r="Y42" s="36">
        <v>-124.93600000000001</v>
      </c>
      <c r="Z42" s="36">
        <f t="shared" si="1"/>
        <v>6.7949585297237096</v>
      </c>
      <c r="AA42" s="36">
        <f t="shared" si="2"/>
        <v>5.646611937276738</v>
      </c>
      <c r="AB42" s="36">
        <f t="shared" si="395"/>
        <v>3.7151289842921336</v>
      </c>
      <c r="AC42" s="36">
        <f t="shared" si="4"/>
        <v>3.2903348551846325</v>
      </c>
      <c r="AD42" s="36">
        <f t="shared" si="5"/>
        <v>5.3025964593281989</v>
      </c>
      <c r="AE42" s="36">
        <f t="shared" si="6"/>
        <v>6.5388354964496385</v>
      </c>
      <c r="AF42" s="36">
        <f t="shared" si="396"/>
        <v>6.4356131835494885</v>
      </c>
      <c r="AG42" s="36">
        <f t="shared" si="8"/>
        <v>8.3951882147740697</v>
      </c>
      <c r="AH42" s="36">
        <f t="shared" si="9"/>
        <v>7.6281180647980227</v>
      </c>
      <c r="AI42" s="40">
        <f t="shared" ref="AI42" si="660">IF(Z42="","",(Z42-Z$10)*1000)</f>
        <v>-21.992766101980976</v>
      </c>
      <c r="AJ42" s="40">
        <f t="shared" ref="AJ42" si="661">IF(AA42="","",(AA42-AA$10)*1000)</f>
        <v>-19.759607144915314</v>
      </c>
      <c r="AK42" s="40">
        <f t="shared" ref="AK42" si="662">IF(AB42="","",(AB42-AB$10)*1000)</f>
        <v>-17.396288143199712</v>
      </c>
      <c r="AL42" s="40">
        <f t="shared" ref="AL42" si="663">IF(AC42="","",(AC42-AC$10)*1000)</f>
        <v>-7.3539020501343089</v>
      </c>
      <c r="AM42" s="40">
        <f t="shared" ref="AM42" si="664">IF(AD42="","",(AD42-AD$10)*1000)</f>
        <v>-14.669607930228423</v>
      </c>
      <c r="AN42" s="40">
        <f t="shared" ref="AN42" si="665">IF(AE42="","",(AE42-AE$10)*1000)</f>
        <v>-19.169753564949765</v>
      </c>
      <c r="AO42" s="40">
        <f t="shared" ref="AO42" si="666">IF(AF42="","",(AF42-AF$10)*1000)</f>
        <v>-15.990447169558664</v>
      </c>
      <c r="AP42" s="40">
        <f t="shared" ref="AP42" si="667">IF(AG42="","",(AG42-AG$10)*1000)</f>
        <v>-17.20324717191879</v>
      </c>
      <c r="AQ42" s="40">
        <f t="shared" ref="AQ42" si="668">IF(AH42="","",(AH42-AH$10)*1000)</f>
        <v>-19.900099916199565</v>
      </c>
      <c r="AR42" s="37"/>
      <c r="AS42" s="40">
        <f t="shared" ref="AS42" si="669">IF(E42="","",(E42-E$10)*1000)</f>
        <v>0.40000001899898052</v>
      </c>
      <c r="AT42" s="40">
        <f t="shared" ref="AT42" si="670">IF(F42="","",(F42-F$10)*1000)</f>
        <v>-12.399999890476465</v>
      </c>
      <c r="AU42" s="40">
        <f t="shared" ref="AU42" si="671">IF(G42="","",(G42-G$10)*1000)</f>
        <v>0.10000000000331966</v>
      </c>
      <c r="AV42" s="40">
        <f t="shared" ref="AV42" si="672">IF(H42="","",(H42-H$10)*1000)</f>
        <v>1.9999999785795808</v>
      </c>
      <c r="AW42" s="40">
        <f t="shared" ref="AW42" si="673">IF(I42="","",(I42-I$10)*1000)</f>
        <v>-9.8999999463558197</v>
      </c>
      <c r="AX42" s="40">
        <f t="shared" ref="AX42" si="674">IF(J42="","",(J42-J$10)*1000)</f>
        <v>-0.59999999999149622</v>
      </c>
      <c r="AY42" s="40">
        <f t="shared" ref="AY42" si="675">IF(K42="","",(K42-K$10)*1000)</f>
        <v>0.20000000949949026</v>
      </c>
      <c r="AZ42" s="40">
        <f t="shared" ref="AZ42" si="676">IF(L42="","",(L42-L$10)*1000)</f>
        <v>-10.999999940395355</v>
      </c>
      <c r="BA42" s="40">
        <f t="shared" ref="BA42" si="677">IF(M42="","",(M42-M$10)*1000)</f>
        <v>-1.5999999999962711</v>
      </c>
      <c r="BB42" s="40">
        <f t="shared" ref="BB42" si="678">IF(N42="","",(N42-N$10)*1000)</f>
        <v>-4.5999999856576324</v>
      </c>
      <c r="BC42" s="40">
        <f t="shared" ref="BC42" si="679">IF(O42="","",(O42-O$10)*1000)</f>
        <v>0.699999975040555</v>
      </c>
      <c r="BD42" s="40">
        <f t="shared" ref="BD42" si="680">IF(P42="","",(P42-P$10)*1000)</f>
        <v>-16.900000000006798</v>
      </c>
      <c r="BE42" s="40">
        <f t="shared" ref="BE42" si="681">IF(Q42="","",(Q42-Q$10)*1000)</f>
        <v>-4.6000001020729542</v>
      </c>
      <c r="BF42" s="40">
        <f t="shared" ref="BF42" si="682">IF(R42="","",(R42-R$10)*1000)</f>
        <v>4.3999999761581421</v>
      </c>
      <c r="BG42" s="40">
        <f t="shared" ref="BG42" si="683">IF(S42="","",(S42-S$10)*1000)</f>
        <v>-6.1999999999926558</v>
      </c>
      <c r="BH42" s="40">
        <f t="shared" ref="BH42" si="684">IF(T42="","",(T42-T$10)*1000)</f>
        <v>-5.8999999891966581</v>
      </c>
      <c r="BI42" s="40">
        <f t="shared" ref="BI42" si="685">IF(U42="","",(U42-U$10)*1000)</f>
        <v>5.3999999072402716</v>
      </c>
      <c r="BJ42" s="40">
        <f t="shared" ref="BJ42" si="686">IF(V42="","",(V42-V$10)*1000)</f>
        <v>-0.10000000000331966</v>
      </c>
      <c r="BK42" s="40">
        <f t="shared" ref="BK42" si="687">IF(W42="","",(W42-W$10)*1000)</f>
        <v>-7.6999999582767487</v>
      </c>
      <c r="BL42" s="40">
        <f t="shared" ref="BL42" si="688">IF(X42="","",(X42-X$10)*1000)</f>
        <v>5.7999999262392521</v>
      </c>
      <c r="BM42" s="40">
        <f t="shared" ref="BM42" si="689">IF(Y42="","",(Y42-Y$10)*1000)</f>
        <v>2.1999999999877673</v>
      </c>
      <c r="BN42" s="37"/>
      <c r="BO42" s="36">
        <v>169.37020000000001</v>
      </c>
      <c r="BP42" s="36">
        <v>-3.7624</v>
      </c>
      <c r="BQ42" s="36">
        <v>-1.1607000000000001</v>
      </c>
      <c r="BR42" s="36">
        <v>169.20949999999999</v>
      </c>
      <c r="BS42" s="36">
        <v>-4.202</v>
      </c>
      <c r="BT42" s="36">
        <v>0.82689999999999997</v>
      </c>
      <c r="BU42" s="36">
        <v>169.18700000000001</v>
      </c>
      <c r="BV42" s="36">
        <v>-3.2307000000000001</v>
      </c>
      <c r="BW42" s="36">
        <v>2.9678</v>
      </c>
      <c r="BX42" s="36">
        <v>168.9597</v>
      </c>
      <c r="BY42" s="36">
        <v>0.2167</v>
      </c>
      <c r="BZ42" s="36">
        <v>4.3361000000000001</v>
      </c>
      <c r="CA42" s="36">
        <v>169.19890000000001</v>
      </c>
      <c r="CB42" s="36">
        <v>3.2048000000000001</v>
      </c>
      <c r="CC42" s="36">
        <v>2.9773000000000001</v>
      </c>
      <c r="CD42" s="36">
        <v>169.19030000000001</v>
      </c>
      <c r="CE42" s="36">
        <v>4.1931000000000003</v>
      </c>
      <c r="CF42" s="36">
        <v>0.83350000000000002</v>
      </c>
      <c r="CG42" s="36">
        <v>169.2542</v>
      </c>
      <c r="CH42" s="36">
        <v>3.8643999999999998</v>
      </c>
      <c r="CI42" s="36">
        <v>-1.0857000000000001</v>
      </c>
      <c r="CJ42" s="37"/>
      <c r="CK42" s="40">
        <f t="shared" ref="CK42" si="690">IF(BO42="","",(BO42-BO$10)*1000)</f>
        <v>-4.8556221909450414</v>
      </c>
      <c r="CL42" s="40">
        <f t="shared" ref="CL42" si="691">IF(BP42="","",(BP42-BP$10)*1000)</f>
        <v>11.452242127055534</v>
      </c>
      <c r="CM42" s="40">
        <f t="shared" ref="CM42" si="692">IF(BQ42="","",(BQ42-BQ$10)*1000)</f>
        <v>0.17055622192274633</v>
      </c>
      <c r="CN42" s="40">
        <f t="shared" ref="CN42" si="693">IF(BR42="","",(BR42-BR$10)*1000)</f>
        <v>-2.3902291373758544</v>
      </c>
      <c r="CO42" s="40">
        <f t="shared" ref="CO42" si="694">IF(BS42="","",(BS42-BS$10)*1000)</f>
        <v>9.859153585884961</v>
      </c>
      <c r="CP42" s="40">
        <f t="shared" ref="CP42" si="695">IF(BT42="","",(BT42-BT$10)*1000)</f>
        <v>-0.56109770862122765</v>
      </c>
      <c r="CQ42" s="40">
        <f t="shared" ref="CQ42" si="696">IF(BU42="","",(BU42-BU$10)*1000)</f>
        <v>-4.4552418708576624</v>
      </c>
      <c r="CR42" s="40">
        <f t="shared" ref="CR42" si="697">IF(BV42="","",(BV42-BV$10)*1000)</f>
        <v>10.100086716096968</v>
      </c>
      <c r="CS42" s="40">
        <f t="shared" ref="CS42" si="698">IF(BW42="","",(BW42-BW$10)*1000)</f>
        <v>-1.5654475812820756</v>
      </c>
      <c r="CT42" s="40">
        <f t="shared" ref="CT42" si="699">IF(BX42="","",(BX42-BX$10)*1000)</f>
        <v>-3.9138646198466631</v>
      </c>
      <c r="CU42" s="40">
        <f t="shared" ref="CU42" si="700">IF(BY42="","",(BY42-BY$10)*1000)</f>
        <v>-2.5351047495592862</v>
      </c>
      <c r="CV42" s="40">
        <f t="shared" ref="CV42" si="701">IF(BZ42="","",(BZ42-BZ$10)*1000)</f>
        <v>-16.843861353807554</v>
      </c>
      <c r="CW42" s="40">
        <f t="shared" ref="CW42" si="702">IF(CA42="","",(CA42-CA$10)*1000)</f>
        <v>-2.2943418723571085</v>
      </c>
      <c r="CX42" s="40">
        <f t="shared" ref="CX42" si="703">IF(CB42="","",(CB42-CB$10)*1000)</f>
        <v>-5.9805659486626972</v>
      </c>
      <c r="CY42" s="40">
        <f t="shared" ref="CY42" si="704">IF(CC42="","",(CC42-CC$10)*1000)</f>
        <v>-6.1680565812731736</v>
      </c>
      <c r="CZ42" s="40">
        <f t="shared" ref="CZ42" si="705">IF(CD42="","",(CD42-CD$10)*1000)</f>
        <v>-3.0480277355025009</v>
      </c>
      <c r="DA42" s="40">
        <f t="shared" ref="DA42" si="706">IF(CE42="","",(CE42-CE$10)*1000)</f>
        <v>-7.4098044299928389</v>
      </c>
      <c r="DB42" s="40">
        <f t="shared" ref="DB42" si="707">IF(CF42="","",(CF42-CF$10)*1000)</f>
        <v>-4.6519722645466111E-2</v>
      </c>
      <c r="DC42" s="40">
        <f t="shared" ref="DC42" si="708">IF(CG42="","",(CG42-CG$10)*1000)</f>
        <v>-4.5202747279802225</v>
      </c>
      <c r="DD42" s="40">
        <f t="shared" ref="DD42" si="709">IF(CH42="","",(CH42-CH$10)*1000)</f>
        <v>-8.5439951692523053</v>
      </c>
      <c r="DE42" s="40">
        <f t="shared" ref="DE42" si="710">IF(CI42="","",(CI42-CI$10)*1000)</f>
        <v>2.2072027472743727</v>
      </c>
    </row>
    <row r="43" spans="1:109" ht="29.25" customHeight="1" x14ac:dyDescent="0.2">
      <c r="A43" s="34">
        <v>43727</v>
      </c>
      <c r="B43" s="27">
        <f t="shared" si="96"/>
        <v>128</v>
      </c>
      <c r="C43" s="35">
        <v>206.32</v>
      </c>
      <c r="D43" s="35">
        <f t="shared" si="0"/>
        <v>37.120000000000005</v>
      </c>
      <c r="E43" s="36">
        <v>823219.58490000002</v>
      </c>
      <c r="F43" s="36">
        <v>1091508.5944999999</v>
      </c>
      <c r="G43" s="36">
        <v>-125.0103</v>
      </c>
      <c r="H43" s="36">
        <v>823219.25320000004</v>
      </c>
      <c r="I43" s="36">
        <v>1091508.9247999999</v>
      </c>
      <c r="J43" s="36">
        <v>-123.024</v>
      </c>
      <c r="K43" s="36" t="s">
        <v>80</v>
      </c>
      <c r="L43" s="36" t="s">
        <v>80</v>
      </c>
      <c r="M43" s="36" t="s">
        <v>80</v>
      </c>
      <c r="N43" s="36">
        <v>823220.89410000003</v>
      </c>
      <c r="O43" s="36">
        <v>1091504.8139</v>
      </c>
      <c r="P43" s="36">
        <v>-119.5177</v>
      </c>
      <c r="Q43" s="36">
        <v>823222.37340000004</v>
      </c>
      <c r="R43" s="36">
        <v>1091502.2069000001</v>
      </c>
      <c r="S43" s="36">
        <v>-120.8741</v>
      </c>
      <c r="T43" s="36">
        <v>823222.78300000005</v>
      </c>
      <c r="U43" s="36">
        <v>1091501.3078000001</v>
      </c>
      <c r="V43" s="36">
        <v>-123.0179</v>
      </c>
      <c r="W43" s="36">
        <v>823222.70209999999</v>
      </c>
      <c r="X43" s="36">
        <v>1091501.6325999999</v>
      </c>
      <c r="Y43" s="36">
        <v>-124.9361</v>
      </c>
      <c r="Z43" s="36">
        <f t="shared" si="1"/>
        <v>6.7952627439704845</v>
      </c>
      <c r="AA43" s="36">
        <f t="shared" si="2"/>
        <v>5.6467859273885281</v>
      </c>
      <c r="AB43" s="36"/>
      <c r="AC43" s="36">
        <f t="shared" si="4"/>
        <v>3.290075751286424</v>
      </c>
      <c r="AD43" s="36">
        <f t="shared" si="5"/>
        <v>5.3020826530005891</v>
      </c>
      <c r="AE43" s="36">
        <f t="shared" si="6"/>
        <v>6.5382407611074473</v>
      </c>
      <c r="AF43" s="36"/>
      <c r="AG43" s="36">
        <f t="shared" si="8"/>
        <v>8.3951303889748203</v>
      </c>
      <c r="AH43" s="36">
        <f t="shared" si="9"/>
        <v>7.6282693377852748</v>
      </c>
      <c r="AI43" s="40">
        <f t="shared" ref="AI43" si="711">IF(Z43="","",(Z43-Z$10)*1000)</f>
        <v>-21.688551855206128</v>
      </c>
      <c r="AJ43" s="40">
        <f t="shared" ref="AJ43" si="712">IF(AA43="","",(AA43-AA$10)*1000)</f>
        <v>-19.585617033125224</v>
      </c>
      <c r="AK43" s="40"/>
      <c r="AL43" s="40">
        <f t="shared" ref="AL43" si="713">IF(AC43="","",(AC43-AC$10)*1000)</f>
        <v>-7.6130059483427992</v>
      </c>
      <c r="AM43" s="40">
        <f t="shared" ref="AM43" si="714">IF(AD43="","",(AD43-AD$10)*1000)</f>
        <v>-15.183414257838201</v>
      </c>
      <c r="AN43" s="40">
        <f t="shared" ref="AN43" si="715">IF(AE43="","",(AE43-AE$10)*1000)</f>
        <v>-19.764488907140887</v>
      </c>
      <c r="AO43" s="40"/>
      <c r="AP43" s="40">
        <f t="shared" ref="AP43" si="716">IF(AG43="","",(AG43-AG$10)*1000)</f>
        <v>-17.26107297116819</v>
      </c>
      <c r="AQ43" s="40">
        <f t="shared" ref="AQ43" si="717">IF(AH43="","",(AH43-AH$10)*1000)</f>
        <v>-19.748826928947416</v>
      </c>
      <c r="AR43" s="37"/>
      <c r="AS43" s="40">
        <f t="shared" ref="AS43:AS44" si="718">IF(E43="","",(E43-E$10)*1000)</f>
        <v>2.1000000415369868</v>
      </c>
      <c r="AT43" s="40">
        <f t="shared" ref="AT43:AT44" si="719">IF(F43="","",(F43-F$10)*1000)</f>
        <v>-13.400000054389238</v>
      </c>
      <c r="AU43" s="40">
        <f t="shared" ref="AU43:AU44" si="720">IF(G43="","",(G43-G$10)*1000)</f>
        <v>-0.29999999999574811</v>
      </c>
      <c r="AV43" s="40">
        <f t="shared" ref="AV43:AV44" si="721">IF(H43="","",(H43-H$10)*1000)</f>
        <v>3.4000000450760126</v>
      </c>
      <c r="AW43" s="40">
        <f t="shared" ref="AW43:AW44" si="722">IF(I43="","",(I43-I$10)*1000)</f>
        <v>-11.100000003352761</v>
      </c>
      <c r="AX43" s="40">
        <f t="shared" ref="AX43:AX44" si="723">IF(J43="","",(J43-J$10)*1000)</f>
        <v>-0.69999999999481588</v>
      </c>
      <c r="AY43" s="40"/>
      <c r="AZ43" s="40"/>
      <c r="BA43" s="40"/>
      <c r="BB43" s="40">
        <f t="shared" ref="BB43:BB44" si="724">IF(N43="","",(N43-N$10)*1000)</f>
        <v>-3.4999999916180968</v>
      </c>
      <c r="BC43" s="40">
        <f t="shared" ref="BC43:BC44" si="725">IF(O43="","",(O43-O$10)*1000)</f>
        <v>-1.2000000569969416</v>
      </c>
      <c r="BD43" s="40">
        <f t="shared" ref="BD43:BD44" si="726">IF(P43="","",(P43-P$10)*1000)</f>
        <v>-17.400000000009186</v>
      </c>
      <c r="BE43" s="40">
        <f t="shared" ref="BE43:BE44" si="727">IF(Q43="","",(Q43-Q$10)*1000)</f>
        <v>-3.9000000106170774</v>
      </c>
      <c r="BF43" s="40">
        <f t="shared" ref="BF43:BF44" si="728">IF(R43="","",(R43-R$10)*1000)</f>
        <v>2.6000000070780516</v>
      </c>
      <c r="BG43" s="40">
        <f t="shared" ref="BG43:BG44" si="729">IF(S43="","",(S43-S$10)*1000)</f>
        <v>-6.6999999999950433</v>
      </c>
      <c r="BH43" s="40">
        <f t="shared" ref="BH43:BH44" si="730">IF(T43="","",(T43-T$10)*1000)</f>
        <v>-5.4999999701976776</v>
      </c>
      <c r="BI43" s="40">
        <f t="shared" ref="BI43:BI44" si="731">IF(U43="","",(U43-U$10)*1000)</f>
        <v>3.8000000640749931</v>
      </c>
      <c r="BJ43" s="40">
        <f t="shared" ref="BJ43:BJ44" si="732">IF(V43="","",(V43-V$10)*1000)</f>
        <v>-0.50000000000238742</v>
      </c>
      <c r="BK43" s="40">
        <f t="shared" ref="BK43:BK44" si="733">IF(W43="","",(W43-W$10)*1000)</f>
        <v>-7.1999999927356839</v>
      </c>
      <c r="BL43" s="40">
        <f t="shared" ref="BL43:BL44" si="734">IF(X43="","",(X43-X$10)*1000)</f>
        <v>4.099999787285924</v>
      </c>
      <c r="BM43" s="40">
        <f t="shared" ref="BM43:BM44" si="735">IF(Y43="","",(Y43-Y$10)*1000)</f>
        <v>2.0999999999986585</v>
      </c>
      <c r="BN43" s="37"/>
      <c r="BO43" s="36">
        <v>169.37129999999999</v>
      </c>
      <c r="BP43" s="36">
        <v>-3.7608000000000001</v>
      </c>
      <c r="BQ43" s="36">
        <v>-1.1611</v>
      </c>
      <c r="BR43" s="36">
        <v>169.21029999999999</v>
      </c>
      <c r="BS43" s="36">
        <v>-4.2004000000000001</v>
      </c>
      <c r="BT43" s="36">
        <v>0.82679999999999998</v>
      </c>
      <c r="BU43" s="36" t="s">
        <v>81</v>
      </c>
      <c r="BV43" s="36" t="s">
        <v>81</v>
      </c>
      <c r="BW43" s="36" t="s">
        <v>81</v>
      </c>
      <c r="BX43" s="36">
        <v>168.9599</v>
      </c>
      <c r="BY43" s="36">
        <v>0.21879999999999999</v>
      </c>
      <c r="BZ43" s="36">
        <v>4.3356000000000003</v>
      </c>
      <c r="CA43" s="36">
        <v>169.19880000000001</v>
      </c>
      <c r="CB43" s="36">
        <v>3.2067999999999999</v>
      </c>
      <c r="CC43" s="36">
        <v>2.9767999999999999</v>
      </c>
      <c r="CD43" s="36">
        <v>169.19</v>
      </c>
      <c r="CE43" s="36">
        <v>4.1947000000000001</v>
      </c>
      <c r="CF43" s="36">
        <v>0.83309999999999995</v>
      </c>
      <c r="CG43" s="36">
        <v>169.25389999999999</v>
      </c>
      <c r="CH43" s="36">
        <v>3.8662000000000001</v>
      </c>
      <c r="CI43" s="36">
        <v>-1.0858000000000001</v>
      </c>
      <c r="CJ43" s="37"/>
      <c r="CK43" s="40">
        <f t="shared" ref="CK43" si="736">IF(BO43="","",(BO43-BO$10)*1000)</f>
        <v>-3.7556221909653686</v>
      </c>
      <c r="CL43" s="40">
        <f t="shared" ref="CL43" si="737">IF(BP43="","",(BP43-BP$10)*1000)</f>
        <v>13.052242127055358</v>
      </c>
      <c r="CM43" s="40">
        <f t="shared" ref="CM43" si="738">IF(BQ43="","",(BQ43-BQ$10)*1000)</f>
        <v>-0.22944377807720961</v>
      </c>
      <c r="CN43" s="40">
        <f t="shared" ref="CN43" si="739">IF(BR43="","",(BR43-BR$10)*1000)</f>
        <v>-1.5902291373777189</v>
      </c>
      <c r="CO43" s="40">
        <f t="shared" ref="CO43" si="740">IF(BS43="","",(BS43-BS$10)*1000)</f>
        <v>11.459153585884785</v>
      </c>
      <c r="CP43" s="40">
        <f t="shared" ref="CP43" si="741">IF(BT43="","",(BT43-BT$10)*1000)</f>
        <v>-0.66109770862121664</v>
      </c>
      <c r="CQ43" s="40"/>
      <c r="CR43" s="40"/>
      <c r="CS43" s="40"/>
      <c r="CT43" s="40">
        <f t="shared" ref="CT43" si="742">IF(BX43="","",(BX43-BX$10)*1000)</f>
        <v>-3.7138646198400238</v>
      </c>
      <c r="CU43" s="40">
        <f t="shared" ref="CU43" si="743">IF(BY43="","",(BY43-BY$10)*1000)</f>
        <v>-0.43510474955929523</v>
      </c>
      <c r="CV43" s="40">
        <f t="shared" ref="CV43" si="744">IF(BZ43="","",(BZ43-BZ$10)*1000)</f>
        <v>-17.343861353807277</v>
      </c>
      <c r="CW43" s="40">
        <f t="shared" ref="CW43" si="745">IF(CA43="","",(CA43-CA$10)*1000)</f>
        <v>-2.3943418723604282</v>
      </c>
      <c r="CX43" s="40">
        <f t="shared" ref="CX43" si="746">IF(CB43="","",(CB43-CB$10)*1000)</f>
        <v>-3.9805659486629175</v>
      </c>
      <c r="CY43" s="40">
        <f t="shared" ref="CY43" si="747">IF(CC43="","",(CC43-CC$10)*1000)</f>
        <v>-6.6680565812733406</v>
      </c>
      <c r="CZ43" s="40">
        <f t="shared" ref="CZ43" si="748">IF(CD43="","",(CD43-CD$10)*1000)</f>
        <v>-3.3480277355124599</v>
      </c>
      <c r="DA43" s="40">
        <f t="shared" ref="DA43" si="749">IF(CE43="","",(CE43-CE$10)*1000)</f>
        <v>-5.8098044299930152</v>
      </c>
      <c r="DB43" s="40">
        <f t="shared" ref="DB43" si="750">IF(CF43="","",(CF43-CF$10)*1000)</f>
        <v>-0.44651972264553308</v>
      </c>
      <c r="DC43" s="40">
        <f t="shared" ref="DC43" si="751">IF(CG43="","",(CG43-CG$10)*1000)</f>
        <v>-4.8202747279901814</v>
      </c>
      <c r="DD43" s="40">
        <f t="shared" ref="DD43" si="752">IF(CH43="","",(CH43-CH$10)*1000)</f>
        <v>-6.7439951692520594</v>
      </c>
      <c r="DE43" s="40">
        <f t="shared" ref="DE43" si="753">IF(CI43="","",(CI43-CI$10)*1000)</f>
        <v>2.1072027472743837</v>
      </c>
    </row>
    <row r="44" spans="1:109" ht="29.25" customHeight="1" x14ac:dyDescent="0.2">
      <c r="A44" s="34">
        <v>43731</v>
      </c>
      <c r="B44" s="27">
        <f t="shared" si="96"/>
        <v>132</v>
      </c>
      <c r="C44" s="35">
        <v>206.32</v>
      </c>
      <c r="D44" s="35">
        <f t="shared" si="0"/>
        <v>37.120000000000005</v>
      </c>
      <c r="E44" s="36">
        <v>823219.58219999995</v>
      </c>
      <c r="F44" s="36">
        <v>1091508.595</v>
      </c>
      <c r="G44" s="36">
        <v>-125.0102</v>
      </c>
      <c r="H44" s="36">
        <v>823219.25060000003</v>
      </c>
      <c r="I44" s="36">
        <v>1091508.926</v>
      </c>
      <c r="J44" s="36">
        <v>-123.02379999999999</v>
      </c>
      <c r="K44" s="36">
        <v>823219.6409</v>
      </c>
      <c r="L44" s="36">
        <v>1091508.0360000001</v>
      </c>
      <c r="M44" s="36">
        <v>-120.88290000000001</v>
      </c>
      <c r="N44" s="36">
        <v>823220.89190000005</v>
      </c>
      <c r="O44" s="36">
        <v>1091504.8149999999</v>
      </c>
      <c r="P44" s="36">
        <v>-119.5176</v>
      </c>
      <c r="Q44" s="36">
        <v>823222.37179999996</v>
      </c>
      <c r="R44" s="36">
        <v>1091502.2080000001</v>
      </c>
      <c r="S44" s="36">
        <v>-120.8737</v>
      </c>
      <c r="T44" s="36">
        <v>823222.78170000005</v>
      </c>
      <c r="U44" s="36">
        <v>1091501.3089999999</v>
      </c>
      <c r="V44" s="36">
        <v>-123.0177</v>
      </c>
      <c r="W44" s="36">
        <v>823222.70090000005</v>
      </c>
      <c r="X44" s="36">
        <v>1091501.6340000001</v>
      </c>
      <c r="Y44" s="36">
        <v>-124.9362</v>
      </c>
      <c r="Z44" s="36">
        <f t="shared" si="1"/>
        <v>6.7950253016800968</v>
      </c>
      <c r="AA44" s="36">
        <f t="shared" si="2"/>
        <v>5.646912884960515</v>
      </c>
      <c r="AB44" s="36">
        <f t="shared" si="395"/>
        <v>3.7153581376490195</v>
      </c>
      <c r="AC44" s="36">
        <f t="shared" si="4"/>
        <v>3.2902219102885342</v>
      </c>
      <c r="AD44" s="36">
        <f t="shared" si="5"/>
        <v>5.3022712162225938</v>
      </c>
      <c r="AE44" s="36">
        <f t="shared" si="6"/>
        <v>6.5385371421425065</v>
      </c>
      <c r="AF44" s="36">
        <f t="shared" si="396"/>
        <v>6.4361077872868941</v>
      </c>
      <c r="AG44" s="36">
        <f t="shared" si="8"/>
        <v>8.3956770674830334</v>
      </c>
      <c r="AH44" s="36">
        <f t="shared" si="9"/>
        <v>7.6280591692249544</v>
      </c>
      <c r="AI44" s="40">
        <f t="shared" ref="AI44:AQ45" si="754">IF(Z44="","",(Z44-Z$10)*1000)</f>
        <v>-21.925994145593819</v>
      </c>
      <c r="AJ44" s="40">
        <f t="shared" si="754"/>
        <v>-19.458659461138339</v>
      </c>
      <c r="AK44" s="40">
        <f t="shared" si="754"/>
        <v>-17.16713478631382</v>
      </c>
      <c r="AL44" s="40">
        <f t="shared" si="754"/>
        <v>-7.4668469462326748</v>
      </c>
      <c r="AM44" s="40">
        <f t="shared" si="754"/>
        <v>-14.994851035833534</v>
      </c>
      <c r="AN44" s="40">
        <f t="shared" si="754"/>
        <v>-19.468107872081752</v>
      </c>
      <c r="AO44" s="40">
        <f t="shared" si="754"/>
        <v>-15.495843432153045</v>
      </c>
      <c r="AP44" s="40">
        <f t="shared" si="754"/>
        <v>-16.714394462955084</v>
      </c>
      <c r="AQ44" s="40">
        <f t="shared" si="754"/>
        <v>-19.958995489267828</v>
      </c>
      <c r="AR44" s="37"/>
      <c r="AS44" s="40">
        <f t="shared" si="718"/>
        <v>-0.60000002849847078</v>
      </c>
      <c r="AT44" s="40">
        <f t="shared" si="719"/>
        <v>-12.899999972432852</v>
      </c>
      <c r="AU44" s="40">
        <f t="shared" si="720"/>
        <v>-0.19999999999242846</v>
      </c>
      <c r="AV44" s="40">
        <f t="shared" si="721"/>
        <v>0.80000003799796104</v>
      </c>
      <c r="AW44" s="40">
        <f t="shared" si="722"/>
        <v>-9.8999999463558197</v>
      </c>
      <c r="AX44" s="40">
        <f t="shared" si="723"/>
        <v>-0.49999999998817657</v>
      </c>
      <c r="AY44" s="40">
        <f t="shared" ref="AY44" si="755">IF(K44="","",(K44-K$10)*1000)</f>
        <v>-0.80000003799796104</v>
      </c>
      <c r="AZ44" s="40">
        <f t="shared" ref="AZ44" si="756">IF(L44="","",(L44-L$10)*1000)</f>
        <v>-11.199999833479524</v>
      </c>
      <c r="BA44" s="40">
        <f t="shared" ref="BA44" si="757">IF(M44="","",(M44-M$10)*1000)</f>
        <v>-1.300000000000523</v>
      </c>
      <c r="BB44" s="40">
        <f t="shared" si="724"/>
        <v>-5.6999999796971679</v>
      </c>
      <c r="BC44" s="40">
        <f t="shared" si="725"/>
        <v>-0.10000006295740604</v>
      </c>
      <c r="BD44" s="40">
        <f t="shared" si="726"/>
        <v>-17.300000000005866</v>
      </c>
      <c r="BE44" s="40">
        <f t="shared" si="727"/>
        <v>-5.5000000866129994</v>
      </c>
      <c r="BF44" s="40">
        <f t="shared" si="728"/>
        <v>3.7000000011175871</v>
      </c>
      <c r="BG44" s="40">
        <f t="shared" si="729"/>
        <v>-6.2999999999959755</v>
      </c>
      <c r="BH44" s="40">
        <f t="shared" si="730"/>
        <v>-6.7999999737367034</v>
      </c>
      <c r="BI44" s="40">
        <f t="shared" si="731"/>
        <v>4.999999888241291</v>
      </c>
      <c r="BJ44" s="40">
        <f t="shared" si="732"/>
        <v>-0.30000000000995897</v>
      </c>
      <c r="BK44" s="40">
        <f t="shared" si="733"/>
        <v>-8.3999999333173037</v>
      </c>
      <c r="BL44" s="40">
        <f t="shared" si="734"/>
        <v>5.4999999701976776</v>
      </c>
      <c r="BM44" s="40">
        <f t="shared" si="735"/>
        <v>1.9999999999953388</v>
      </c>
      <c r="BN44" s="37"/>
      <c r="BO44" s="36">
        <v>169.36920000000001</v>
      </c>
      <c r="BP44" s="36">
        <v>-3.7627999999999999</v>
      </c>
      <c r="BQ44" s="36">
        <v>-1.161</v>
      </c>
      <c r="BR44" s="36">
        <v>169.20840000000001</v>
      </c>
      <c r="BS44" s="36">
        <v>-4.2024999999999997</v>
      </c>
      <c r="BT44" s="36">
        <v>0.82699999999999996</v>
      </c>
      <c r="BU44" s="36">
        <v>169.1859</v>
      </c>
      <c r="BV44" s="36">
        <v>-3.2307999999999999</v>
      </c>
      <c r="BW44" s="36">
        <v>2.9681000000000002</v>
      </c>
      <c r="BX44" s="36">
        <v>168.95849999999999</v>
      </c>
      <c r="BY44" s="36">
        <v>0.21659999999999999</v>
      </c>
      <c r="BZ44" s="36">
        <v>4.3357000000000001</v>
      </c>
      <c r="CA44" s="36">
        <v>169.1978</v>
      </c>
      <c r="CB44" s="36">
        <v>3.2050999999999998</v>
      </c>
      <c r="CC44" s="36">
        <v>2.9771999999999998</v>
      </c>
      <c r="CD44" s="36">
        <v>169.1892</v>
      </c>
      <c r="CE44" s="36">
        <v>4.1932999999999998</v>
      </c>
      <c r="CF44" s="36">
        <v>0.83330000000000004</v>
      </c>
      <c r="CG44" s="36">
        <v>169.2533</v>
      </c>
      <c r="CH44" s="36">
        <v>3.8647</v>
      </c>
      <c r="CI44" s="36">
        <v>-1.0859000000000001</v>
      </c>
      <c r="CJ44" s="37"/>
      <c r="CK44" s="40">
        <f t="shared" ref="CK44" si="758">IF(BO44="","",(BO44-BO$10)*1000)</f>
        <v>-5.8556221909498163</v>
      </c>
      <c r="CL44" s="40">
        <f t="shared" ref="CL44" si="759">IF(BP44="","",(BP44-BP$10)*1000)</f>
        <v>11.052242127055578</v>
      </c>
      <c r="CM44" s="40">
        <f t="shared" ref="CM44" si="760">IF(BQ44="","",(BQ44-BQ$10)*1000)</f>
        <v>-0.12944377807722063</v>
      </c>
      <c r="CN44" s="40">
        <f t="shared" ref="CN44" si="761">IF(BR44="","",(BR44-BR$10)*1000)</f>
        <v>-3.4902291373555272</v>
      </c>
      <c r="CO44" s="40">
        <f t="shared" ref="CO44" si="762">IF(BS44="","",(BS44-BS$10)*1000)</f>
        <v>9.3591535858852382</v>
      </c>
      <c r="CP44" s="40">
        <f t="shared" ref="CP44" si="763">IF(BT44="","",(BT44-BT$10)*1000)</f>
        <v>-0.46109770862123867</v>
      </c>
      <c r="CQ44" s="40">
        <f t="shared" ref="CQ44" si="764">IF(BU44="","",(BU44-BU$10)*1000)</f>
        <v>-5.5552418708657569</v>
      </c>
      <c r="CR44" s="40">
        <f t="shared" ref="CR44" si="765">IF(BV44="","",(BV44-BV$10)*1000)</f>
        <v>10.000086716097201</v>
      </c>
      <c r="CS44" s="40">
        <f t="shared" ref="CS44" si="766">IF(BW44="","",(BW44-BW$10)*1000)</f>
        <v>-1.2654475812818866</v>
      </c>
      <c r="CT44" s="40">
        <f t="shared" ref="CT44" si="767">IF(BX44="","",(BX44-BX$10)*1000)</f>
        <v>-5.1138646198580773</v>
      </c>
      <c r="CU44" s="40">
        <f t="shared" ref="CU44" si="768">IF(BY44="","",(BY44-BY$10)*1000)</f>
        <v>-2.6351047495593027</v>
      </c>
      <c r="CV44" s="40">
        <f t="shared" ref="CV44" si="769">IF(BZ44="","",(BZ44-BZ$10)*1000)</f>
        <v>-17.24386135380751</v>
      </c>
      <c r="CW44" s="40">
        <f t="shared" ref="CW44" si="770">IF(CA44="","",(CA44-CA$10)*1000)</f>
        <v>-3.394341872365203</v>
      </c>
      <c r="CX44" s="40">
        <f t="shared" ref="CX44" si="771">IF(CB44="","",(CB44-CB$10)*1000)</f>
        <v>-5.6805659486629523</v>
      </c>
      <c r="CY44" s="40">
        <f t="shared" ref="CY44" si="772">IF(CC44="","",(CC44-CC$10)*1000)</f>
        <v>-6.2680565812733846</v>
      </c>
      <c r="CZ44" s="40">
        <f t="shared" ref="CZ44" si="773">IF(CD44="","",(CD44-CD$10)*1000)</f>
        <v>-4.1480277355105954</v>
      </c>
      <c r="DA44" s="40">
        <f t="shared" ref="DA44" si="774">IF(CE44="","",(CE44-CE$10)*1000)</f>
        <v>-7.2098044299933051</v>
      </c>
      <c r="DB44" s="40">
        <f t="shared" ref="DB44" si="775">IF(CF44="","",(CF44-CF$10)*1000)</f>
        <v>-0.24651972264544408</v>
      </c>
      <c r="DC44" s="40">
        <f t="shared" ref="DC44" si="776">IF(CG44="","",(CG44-CG$10)*1000)</f>
        <v>-5.4202747279816776</v>
      </c>
      <c r="DD44" s="40">
        <f t="shared" ref="DD44" si="777">IF(CH44="","",(CH44-CH$10)*1000)</f>
        <v>-8.2439951692521163</v>
      </c>
      <c r="DE44" s="40">
        <f t="shared" ref="DE44" si="778">IF(CI44="","",(CI44-CI$10)*1000)</f>
        <v>2.0072027472743947</v>
      </c>
    </row>
    <row r="45" spans="1:109" ht="29.25" customHeight="1" x14ac:dyDescent="0.2">
      <c r="A45" s="34">
        <v>43734</v>
      </c>
      <c r="B45" s="27">
        <f t="shared" si="96"/>
        <v>135</v>
      </c>
      <c r="C45" s="35">
        <v>206.32</v>
      </c>
      <c r="D45" s="35">
        <f t="shared" si="0"/>
        <v>37.120000000000005</v>
      </c>
      <c r="E45" s="36">
        <v>823219.58299999998</v>
      </c>
      <c r="F45" s="36">
        <v>1091508.5952999999</v>
      </c>
      <c r="G45" s="36">
        <v>-125.01009999999999</v>
      </c>
      <c r="H45" s="36">
        <v>823219.25139999995</v>
      </c>
      <c r="I45" s="36">
        <v>1091508.9256</v>
      </c>
      <c r="J45" s="36">
        <v>-123.024</v>
      </c>
      <c r="K45" s="36">
        <v>823219.64130000002</v>
      </c>
      <c r="L45" s="36">
        <v>1091508.0358</v>
      </c>
      <c r="M45" s="36">
        <v>-120.8831</v>
      </c>
      <c r="N45" s="36">
        <v>823220.89260000002</v>
      </c>
      <c r="O45" s="36">
        <v>1091504.8154</v>
      </c>
      <c r="P45" s="36">
        <v>-119.5179</v>
      </c>
      <c r="Q45" s="36">
        <v>823222.37230000005</v>
      </c>
      <c r="R45" s="36">
        <v>1091502.2083999999</v>
      </c>
      <c r="S45" s="36">
        <v>-120.87390000000001</v>
      </c>
      <c r="T45" s="36">
        <v>823222.78220000002</v>
      </c>
      <c r="U45" s="36">
        <v>1091501.3091</v>
      </c>
      <c r="V45" s="36">
        <v>-123.0175</v>
      </c>
      <c r="W45" s="36">
        <v>823222.70149999997</v>
      </c>
      <c r="X45" s="36">
        <v>1091501.6339</v>
      </c>
      <c r="Y45" s="36">
        <v>-124.9361</v>
      </c>
      <c r="Z45" s="36">
        <f t="shared" si="1"/>
        <v>6.7946270692240232</v>
      </c>
      <c r="AA45" s="36">
        <f t="shared" si="2"/>
        <v>5.6462393404987905</v>
      </c>
      <c r="AB45" s="36">
        <f t="shared" si="395"/>
        <v>3.7149022719246974</v>
      </c>
      <c r="AC45" s="36">
        <f t="shared" si="4"/>
        <v>3.2900907419816217</v>
      </c>
      <c r="AD45" s="36">
        <f t="shared" si="5"/>
        <v>5.3020682766292699</v>
      </c>
      <c r="AE45" s="36">
        <f t="shared" si="6"/>
        <v>6.538421269654525</v>
      </c>
      <c r="AF45" s="36">
        <f t="shared" si="396"/>
        <v>6.4356069178394941</v>
      </c>
      <c r="AG45" s="36">
        <f t="shared" si="8"/>
        <v>8.3950975658727387</v>
      </c>
      <c r="AH45" s="36">
        <f t="shared" si="9"/>
        <v>7.628342428645686</v>
      </c>
      <c r="AI45" s="40">
        <f t="shared" si="754"/>
        <v>-22.324226601667441</v>
      </c>
      <c r="AJ45" s="40">
        <f t="shared" si="754"/>
        <v>-20.132203922862857</v>
      </c>
      <c r="AK45" s="40">
        <f t="shared" si="754"/>
        <v>-17.623000510635922</v>
      </c>
      <c r="AL45" s="40">
        <f t="shared" si="754"/>
        <v>-7.598015253145185</v>
      </c>
      <c r="AM45" s="40">
        <f t="shared" si="754"/>
        <v>-15.197790629157382</v>
      </c>
      <c r="AN45" s="40">
        <f t="shared" si="754"/>
        <v>-19.583980360063258</v>
      </c>
      <c r="AO45" s="40">
        <f t="shared" si="754"/>
        <v>-15.996712879553066</v>
      </c>
      <c r="AP45" s="40">
        <f t="shared" si="754"/>
        <v>-17.293896073249826</v>
      </c>
      <c r="AQ45" s="40">
        <f t="shared" si="754"/>
        <v>-19.675736068536231</v>
      </c>
      <c r="AR45" s="37"/>
      <c r="AS45" s="40">
        <f t="shared" ref="AS45" si="779">IF(E45="","",(E45-E$10)*1000)</f>
        <v>0.20000000949949026</v>
      </c>
      <c r="AT45" s="40">
        <f t="shared" ref="AT45" si="780">IF(F45="","",(F45-F$10)*1000)</f>
        <v>-12.600000016391277</v>
      </c>
      <c r="AU45" s="40">
        <f t="shared" ref="AU45" si="781">IF(G45="","",(G45-G$10)*1000)</f>
        <v>-9.9999999989108801E-2</v>
      </c>
      <c r="AV45" s="40">
        <f t="shared" ref="AV45" si="782">IF(H45="","",(H45-H$10)*1000)</f>
        <v>1.5999999595806003</v>
      </c>
      <c r="AW45" s="40">
        <f t="shared" ref="AW45" si="783">IF(I45="","",(I45-I$10)*1000)</f>
        <v>-10.2999999653548</v>
      </c>
      <c r="AX45" s="40">
        <f t="shared" ref="AX45" si="784">IF(J45="","",(J45-J$10)*1000)</f>
        <v>-0.69999999999481588</v>
      </c>
      <c r="AY45" s="40">
        <f t="shared" ref="AY45" si="785">IF(K45="","",(K45-K$10)*1000)</f>
        <v>-0.40000001899898052</v>
      </c>
      <c r="AZ45" s="40">
        <f t="shared" ref="AZ45" si="786">IF(L45="","",(L45-L$10)*1000)</f>
        <v>-11.399999959394336</v>
      </c>
      <c r="BA45" s="40">
        <f t="shared" ref="BA45" si="787">IF(M45="","",(M45-M$10)*1000)</f>
        <v>-1.4999999999929514</v>
      </c>
      <c r="BB45" s="40">
        <f t="shared" ref="BB45" si="788">IF(N45="","",(N45-N$10)*1000)</f>
        <v>-5.0000000046566129</v>
      </c>
      <c r="BC45" s="40">
        <f t="shared" ref="BC45" si="789">IF(O45="","",(O45-O$10)*1000)</f>
        <v>0.29999995604157448</v>
      </c>
      <c r="BD45" s="40">
        <f t="shared" ref="BD45" si="790">IF(P45="","",(P45-P$10)*1000)</f>
        <v>-17.600000000001614</v>
      </c>
      <c r="BE45" s="40">
        <f t="shared" ref="BE45" si="791">IF(Q45="","",(Q45-Q$10)*1000)</f>
        <v>-5.0000000046566129</v>
      </c>
      <c r="BF45" s="40">
        <f t="shared" ref="BF45" si="792">IF(R45="","",(R45-R$10)*1000)</f>
        <v>4.099999787285924</v>
      </c>
      <c r="BG45" s="40">
        <f t="shared" ref="BG45" si="793">IF(S45="","",(S45-S$10)*1000)</f>
        <v>-6.5000000000026148</v>
      </c>
      <c r="BH45" s="40">
        <f t="shared" ref="BH45" si="794">IF(T45="","",(T45-T$10)*1000)</f>
        <v>-6.3000000081956387</v>
      </c>
      <c r="BI45" s="40">
        <f t="shared" ref="BI45" si="795">IF(U45="","",(U45-U$10)*1000)</f>
        <v>5.0999999511986971</v>
      </c>
      <c r="BJ45" s="40">
        <f t="shared" ref="BJ45" si="796">IF(V45="","",(V45-V$10)*1000)</f>
        <v>-0.10000000000331966</v>
      </c>
      <c r="BK45" s="40">
        <f t="shared" ref="BK45" si="797">IF(W45="","",(W45-W$10)*1000)</f>
        <v>-7.8000000212341547</v>
      </c>
      <c r="BL45" s="40">
        <f t="shared" ref="BL45" si="798">IF(X45="","",(X45-X$10)*1000)</f>
        <v>5.3999999072402716</v>
      </c>
      <c r="BM45" s="40">
        <f t="shared" ref="BM45" si="799">IF(Y45="","",(Y45-Y$10)*1000)</f>
        <v>2.0999999999986585</v>
      </c>
      <c r="BN45" s="37"/>
      <c r="BO45" s="36">
        <v>169.3699</v>
      </c>
      <c r="BP45" s="36">
        <v>-3.7623000000000002</v>
      </c>
      <c r="BQ45" s="36">
        <v>-1.1609</v>
      </c>
      <c r="BR45" s="36">
        <v>169.209</v>
      </c>
      <c r="BS45" s="36">
        <v>-4.2018000000000004</v>
      </c>
      <c r="BT45" s="36">
        <v>0.82679999999999998</v>
      </c>
      <c r="BU45" s="36">
        <v>169.18629999999999</v>
      </c>
      <c r="BV45" s="36">
        <v>-3.2305999999999999</v>
      </c>
      <c r="BW45" s="36">
        <v>2.9679000000000002</v>
      </c>
      <c r="BX45" s="36">
        <v>168.95920000000001</v>
      </c>
      <c r="BY45" s="36">
        <v>0.21679999999999999</v>
      </c>
      <c r="BZ45" s="36">
        <v>4.3353999999999999</v>
      </c>
      <c r="CA45" s="36">
        <v>169.19839999999999</v>
      </c>
      <c r="CB45" s="36">
        <v>3.2050000000000001</v>
      </c>
      <c r="CC45" s="36">
        <v>2.9769999999999999</v>
      </c>
      <c r="CD45" s="36">
        <v>169.18979999999999</v>
      </c>
      <c r="CE45" s="36">
        <v>4.1932</v>
      </c>
      <c r="CF45" s="36">
        <v>0.83350000000000002</v>
      </c>
      <c r="CG45" s="36">
        <v>169.25389999999999</v>
      </c>
      <c r="CH45" s="36">
        <v>3.8647999999999998</v>
      </c>
      <c r="CI45" s="36">
        <v>-1.0858000000000001</v>
      </c>
      <c r="CJ45" s="37"/>
      <c r="CK45" s="40">
        <f t="shared" ref="CK45" si="800">IF(BO45="","",(BO45-BO$10)*1000)</f>
        <v>-5.1556221909550004</v>
      </c>
      <c r="CL45" s="40">
        <f t="shared" ref="CL45" si="801">IF(BP45="","",(BP45-BP$10)*1000)</f>
        <v>11.552242127055301</v>
      </c>
      <c r="CM45" s="40">
        <f t="shared" ref="CM45" si="802">IF(BQ45="","",(BQ45-BQ$10)*1000)</f>
        <v>-2.9443778077231642E-2</v>
      </c>
      <c r="CN45" s="40">
        <f t="shared" ref="CN45" si="803">IF(BR45="","",(BR45-BR$10)*1000)</f>
        <v>-2.890229137364031</v>
      </c>
      <c r="CO45" s="40">
        <f t="shared" ref="CO45" si="804">IF(BS45="","",(BS45-BS$10)*1000)</f>
        <v>10.059153585884495</v>
      </c>
      <c r="CP45" s="40">
        <f t="shared" ref="CP45" si="805">IF(BT45="","",(BT45-BT$10)*1000)</f>
        <v>-0.66109770862121664</v>
      </c>
      <c r="CQ45" s="40">
        <f t="shared" ref="CQ45" si="806">IF(BU45="","",(BU45-BU$10)*1000)</f>
        <v>-5.1552418708809</v>
      </c>
      <c r="CR45" s="40">
        <f t="shared" ref="CR45" si="807">IF(BV45="","",(BV45-BV$10)*1000)</f>
        <v>10.200086716097179</v>
      </c>
      <c r="CS45" s="40">
        <f t="shared" ref="CS45" si="808">IF(BW45="","",(BW45-BW$10)*1000)</f>
        <v>-1.4654475812818646</v>
      </c>
      <c r="CT45" s="40">
        <f t="shared" ref="CT45" si="809">IF(BX45="","",(BX45-BX$10)*1000)</f>
        <v>-4.4138646198348397</v>
      </c>
      <c r="CU45" s="40">
        <f t="shared" ref="CU45" si="810">IF(BY45="","",(BY45-BY$10)*1000)</f>
        <v>-2.4351047495592972</v>
      </c>
      <c r="CV45" s="40">
        <f t="shared" ref="CV45" si="811">IF(BZ45="","",(BZ45-BZ$10)*1000)</f>
        <v>-17.543861353807699</v>
      </c>
      <c r="CW45" s="40">
        <f t="shared" ref="CW45" si="812">IF(CA45="","",(CA45-CA$10)*1000)</f>
        <v>-2.7943418723737068</v>
      </c>
      <c r="CX45" s="40">
        <f t="shared" ref="CX45" si="813">IF(CB45="","",(CB45-CB$10)*1000)</f>
        <v>-5.7805659486627192</v>
      </c>
      <c r="CY45" s="40">
        <f t="shared" ref="CY45" si="814">IF(CC45="","",(CC45-CC$10)*1000)</f>
        <v>-6.4680565812733626</v>
      </c>
      <c r="CZ45" s="40">
        <f t="shared" ref="CZ45" si="815">IF(CD45="","",(CD45-CD$10)*1000)</f>
        <v>-3.5480277355190992</v>
      </c>
      <c r="DA45" s="40">
        <f t="shared" ref="DA45" si="816">IF(CE45="","",(CE45-CE$10)*1000)</f>
        <v>-7.309804429993072</v>
      </c>
      <c r="DB45" s="40">
        <f t="shared" ref="DB45" si="817">IF(CF45="","",(CF45-CF$10)*1000)</f>
        <v>-4.6519722645466111E-2</v>
      </c>
      <c r="DC45" s="40">
        <f t="shared" ref="DC45" si="818">IF(CG45="","",(CG45-CG$10)*1000)</f>
        <v>-4.8202747279901814</v>
      </c>
      <c r="DD45" s="40">
        <f t="shared" ref="DD45" si="819">IF(CH45="","",(CH45-CH$10)*1000)</f>
        <v>-8.1439951692523493</v>
      </c>
      <c r="DE45" s="40">
        <f t="shared" ref="DE45" si="820">IF(CI45="","",(CI45-CI$10)*1000)</f>
        <v>2.1072027472743837</v>
      </c>
    </row>
    <row r="46" spans="1:109" ht="29.25" customHeight="1" x14ac:dyDescent="0.2">
      <c r="A46" s="34">
        <v>43738</v>
      </c>
      <c r="B46" s="27">
        <f t="shared" si="96"/>
        <v>139</v>
      </c>
      <c r="C46" s="35">
        <v>206.32</v>
      </c>
      <c r="D46" s="35">
        <f t="shared" si="0"/>
        <v>37.120000000000005</v>
      </c>
      <c r="E46" s="36">
        <v>823219.58299999998</v>
      </c>
      <c r="F46" s="36">
        <v>1091508.5948999999</v>
      </c>
      <c r="G46" s="36">
        <v>-125.0098</v>
      </c>
      <c r="H46" s="36">
        <v>823219.25139999995</v>
      </c>
      <c r="I46" s="36">
        <v>1091508.9251999999</v>
      </c>
      <c r="J46" s="36">
        <v>-123.0236</v>
      </c>
      <c r="K46" s="36">
        <v>823219.64190000005</v>
      </c>
      <c r="L46" s="36">
        <v>1091508.0353000001</v>
      </c>
      <c r="M46" s="36">
        <v>-120.8828</v>
      </c>
      <c r="N46" s="36">
        <v>823220.89249999996</v>
      </c>
      <c r="O46" s="36">
        <v>1091504.8152000001</v>
      </c>
      <c r="P46" s="36">
        <v>-119.5179</v>
      </c>
      <c r="Q46" s="36">
        <v>823222.37219999998</v>
      </c>
      <c r="R46" s="36">
        <v>1091502.2082</v>
      </c>
      <c r="S46" s="36">
        <v>-120.8738</v>
      </c>
      <c r="T46" s="36">
        <v>823222.78229999996</v>
      </c>
      <c r="U46" s="36">
        <v>1091501.3089000001</v>
      </c>
      <c r="V46" s="36">
        <v>-123.01730000000001</v>
      </c>
      <c r="W46" s="36">
        <v>823222.70140000002</v>
      </c>
      <c r="X46" s="36">
        <v>1091501.6339</v>
      </c>
      <c r="Y46" s="36">
        <v>-124.9359</v>
      </c>
      <c r="Z46" s="36">
        <f t="shared" si="1"/>
        <v>6.7942540391653861</v>
      </c>
      <c r="AA46" s="36">
        <f t="shared" si="2"/>
        <v>5.645816300496727</v>
      </c>
      <c r="AB46" s="36">
        <f t="shared" si="395"/>
        <v>3.7142962159749242</v>
      </c>
      <c r="AC46" s="36">
        <f t="shared" si="4"/>
        <v>3.2900495285744817</v>
      </c>
      <c r="AD46" s="36">
        <f t="shared" si="5"/>
        <v>5.3020075528118999</v>
      </c>
      <c r="AE46" s="36">
        <f t="shared" si="6"/>
        <v>6.5381582192978644</v>
      </c>
      <c r="AF46" s="36">
        <f t="shared" si="396"/>
        <v>6.4350379564503246</v>
      </c>
      <c r="AG46" s="36">
        <f t="shared" si="8"/>
        <v>8.3949580218263673</v>
      </c>
      <c r="AH46" s="36">
        <f t="shared" si="9"/>
        <v>7.6279355509039881</v>
      </c>
      <c r="AI46" s="40">
        <f t="shared" ref="AI46" si="821">IF(Z46="","",(Z46-Z$10)*1000)</f>
        <v>-22.697256660304532</v>
      </c>
      <c r="AJ46" s="40">
        <f t="shared" ref="AJ46" si="822">IF(AA46="","",(AA46-AA$10)*1000)</f>
        <v>-20.555243924926359</v>
      </c>
      <c r="AK46" s="40">
        <f t="shared" ref="AK46" si="823">IF(AB46="","",(AB46-AB$10)*1000)</f>
        <v>-18.229056460409065</v>
      </c>
      <c r="AL46" s="40">
        <f t="shared" ref="AL46" si="824">IF(AC46="","",(AC46-AC$10)*1000)</f>
        <v>-7.6392286602851023</v>
      </c>
      <c r="AM46" s="40">
        <f t="shared" ref="AM46" si="825">IF(AD46="","",(AD46-AD$10)*1000)</f>
        <v>-15.258514446527371</v>
      </c>
      <c r="AN46" s="40">
        <f t="shared" ref="AN46" si="826">IF(AE46="","",(AE46-AE$10)*1000)</f>
        <v>-19.847030716723779</v>
      </c>
      <c r="AO46" s="40">
        <f t="shared" ref="AO46" si="827">IF(AF46="","",(AF46-AF$10)*1000)</f>
        <v>-16.565674268722574</v>
      </c>
      <c r="AP46" s="40">
        <f t="shared" ref="AP46" si="828">IF(AG46="","",(AG46-AG$10)*1000)</f>
        <v>-17.433440119621224</v>
      </c>
      <c r="AQ46" s="40">
        <f t="shared" ref="AQ46" si="829">IF(AH46="","",(AH46-AH$10)*1000)</f>
        <v>-20.082613810234129</v>
      </c>
      <c r="AR46" s="37"/>
      <c r="AS46" s="40">
        <f t="shared" ref="AS46" si="830">IF(E46="","",(E46-E$10)*1000)</f>
        <v>0.20000000949949026</v>
      </c>
      <c r="AT46" s="40">
        <f t="shared" ref="AT46" si="831">IF(F46="","",(F46-F$10)*1000)</f>
        <v>-13.000000035390258</v>
      </c>
      <c r="AU46" s="40">
        <f t="shared" ref="AU46" si="832">IF(G46="","",(G46-G$10)*1000)</f>
        <v>0.20000000000663931</v>
      </c>
      <c r="AV46" s="40">
        <f t="shared" ref="AV46" si="833">IF(H46="","",(H46-H$10)*1000)</f>
        <v>1.5999999595806003</v>
      </c>
      <c r="AW46" s="40">
        <f t="shared" ref="AW46" si="834">IF(I46="","",(I46-I$10)*1000)</f>
        <v>-10.699999984353781</v>
      </c>
      <c r="AX46" s="40">
        <f t="shared" ref="AX46" si="835">IF(J46="","",(J46-J$10)*1000)</f>
        <v>-0.29999999999574811</v>
      </c>
      <c r="AY46" s="40">
        <f t="shared" ref="AY46" si="836">IF(K46="","",(K46-K$10)*1000)</f>
        <v>0.20000000949949026</v>
      </c>
      <c r="AZ46" s="40">
        <f t="shared" ref="AZ46" si="837">IF(L46="","",(L46-L$10)*1000)</f>
        <v>-11.899999808520079</v>
      </c>
      <c r="BA46" s="40">
        <f t="shared" ref="BA46" si="838">IF(M46="","",(M46-M$10)*1000)</f>
        <v>-1.1999999999972033</v>
      </c>
      <c r="BB46" s="40">
        <f t="shared" ref="BB46" si="839">IF(N46="","",(N46-N$10)*1000)</f>
        <v>-5.1000000676140189</v>
      </c>
      <c r="BC46" s="40">
        <f t="shared" ref="BC46" si="840">IF(O46="","",(O46-O$10)*1000)</f>
        <v>0.10000006295740604</v>
      </c>
      <c r="BD46" s="40">
        <f t="shared" ref="BD46" si="841">IF(P46="","",(P46-P$10)*1000)</f>
        <v>-17.600000000001614</v>
      </c>
      <c r="BE46" s="40">
        <f t="shared" ref="BE46" si="842">IF(Q46="","",(Q46-Q$10)*1000)</f>
        <v>-5.1000000676140189</v>
      </c>
      <c r="BF46" s="40">
        <f t="shared" ref="BF46" si="843">IF(R46="","",(R46-R$10)*1000)</f>
        <v>3.8999998942017555</v>
      </c>
      <c r="BG46" s="40">
        <f t="shared" ref="BG46" si="844">IF(S46="","",(S46-S$10)*1000)</f>
        <v>-6.3999999999992951</v>
      </c>
      <c r="BH46" s="40">
        <f t="shared" ref="BH46" si="845">IF(T46="","",(T46-T$10)*1000)</f>
        <v>-6.2000000616535544</v>
      </c>
      <c r="BI46" s="40">
        <f t="shared" ref="BI46" si="846">IF(U46="","",(U46-U$10)*1000)</f>
        <v>4.9000000581145287</v>
      </c>
      <c r="BJ46" s="40">
        <f t="shared" ref="BJ46" si="847">IF(V46="","",(V46-V$10)*1000)</f>
        <v>9.9999999989108801E-2</v>
      </c>
      <c r="BK46" s="40">
        <f t="shared" ref="BK46" si="848">IF(W46="","",(W46-W$10)*1000)</f>
        <v>-7.8999999677762389</v>
      </c>
      <c r="BL46" s="40">
        <f t="shared" ref="BL46" si="849">IF(X46="","",(X46-X$10)*1000)</f>
        <v>5.3999999072402716</v>
      </c>
      <c r="BM46" s="40">
        <f t="shared" ref="BM46" si="850">IF(Y46="","",(Y46-Y$10)*1000)</f>
        <v>2.299999999991087</v>
      </c>
      <c r="BN46" s="37"/>
      <c r="BO46" s="36">
        <v>169.36969999999999</v>
      </c>
      <c r="BP46" s="36">
        <v>-3.762</v>
      </c>
      <c r="BQ46" s="36">
        <v>-1.1606000000000001</v>
      </c>
      <c r="BR46" s="36">
        <v>169.2088</v>
      </c>
      <c r="BS46" s="36">
        <v>-4.2015000000000002</v>
      </c>
      <c r="BT46" s="36">
        <v>0.82720000000000005</v>
      </c>
      <c r="BU46" s="36">
        <v>169.1866</v>
      </c>
      <c r="BV46" s="36">
        <v>-3.2299000000000002</v>
      </c>
      <c r="BW46" s="36">
        <v>2.9681999999999999</v>
      </c>
      <c r="BX46" s="36">
        <v>168.959</v>
      </c>
      <c r="BY46" s="36">
        <v>0.217</v>
      </c>
      <c r="BZ46" s="36">
        <v>4.3353999999999999</v>
      </c>
      <c r="CA46" s="36">
        <v>169.19820000000001</v>
      </c>
      <c r="CB46" s="36">
        <v>3.2050999999999998</v>
      </c>
      <c r="CC46" s="36">
        <v>2.9771000000000001</v>
      </c>
      <c r="CD46" s="36">
        <v>169.18979999999999</v>
      </c>
      <c r="CE46" s="36">
        <v>4.1933999999999996</v>
      </c>
      <c r="CF46" s="36">
        <v>0.8337</v>
      </c>
      <c r="CG46" s="36">
        <v>169.25380000000001</v>
      </c>
      <c r="CH46" s="36">
        <v>3.8647</v>
      </c>
      <c r="CI46" s="36">
        <v>-1.0855999999999999</v>
      </c>
      <c r="CJ46" s="37"/>
      <c r="CK46" s="40">
        <f t="shared" ref="CK46" si="851">IF(BO46="","",(BO46-BO$10)*1000)</f>
        <v>-5.3556221909616397</v>
      </c>
      <c r="CL46" s="40">
        <f t="shared" ref="CL46" si="852">IF(BP46="","",(BP46-BP$10)*1000)</f>
        <v>11.85224212705549</v>
      </c>
      <c r="CM46" s="40">
        <f t="shared" ref="CM46" si="853">IF(BQ46="","",(BQ46-BQ$10)*1000)</f>
        <v>0.27055622192273532</v>
      </c>
      <c r="CN46" s="40">
        <f t="shared" ref="CN46" si="854">IF(BR46="","",(BR46-BR$10)*1000)</f>
        <v>-3.0902291373706703</v>
      </c>
      <c r="CO46" s="40">
        <f t="shared" ref="CO46" si="855">IF(BS46="","",(BS46-BS$10)*1000)</f>
        <v>10.359153585884684</v>
      </c>
      <c r="CP46" s="40">
        <f t="shared" ref="CP46" si="856">IF(BT46="","",(BT46-BT$10)*1000)</f>
        <v>-0.26109770862114967</v>
      </c>
      <c r="CQ46" s="40">
        <f t="shared" ref="CQ46" si="857">IF(BU46="","",(BU46-BU$10)*1000)</f>
        <v>-4.8552418708709411</v>
      </c>
      <c r="CR46" s="40">
        <f t="shared" ref="CR46" si="858">IF(BV46="","",(BV46-BV$10)*1000)</f>
        <v>10.90008671609688</v>
      </c>
      <c r="CS46" s="40">
        <f t="shared" ref="CS46" si="859">IF(BW46="","",(BW46-BW$10)*1000)</f>
        <v>-1.1654475812821197</v>
      </c>
      <c r="CT46" s="40">
        <f t="shared" ref="CT46" si="860">IF(BX46="","",(BX46-BX$10)*1000)</f>
        <v>-4.613864619841479</v>
      </c>
      <c r="CU46" s="40">
        <f t="shared" ref="CU46" si="861">IF(BY46="","",(BY46-BY$10)*1000)</f>
        <v>-2.2351047495592913</v>
      </c>
      <c r="CV46" s="40">
        <f t="shared" ref="CV46" si="862">IF(BZ46="","",(BZ46-BZ$10)*1000)</f>
        <v>-17.543861353807699</v>
      </c>
      <c r="CW46" s="40">
        <f t="shared" ref="CW46" si="863">IF(CA46="","",(CA46-CA$10)*1000)</f>
        <v>-2.9943418723519244</v>
      </c>
      <c r="CX46" s="40">
        <f t="shared" ref="CX46" si="864">IF(CB46="","",(CB46-CB$10)*1000)</f>
        <v>-5.6805659486629523</v>
      </c>
      <c r="CY46" s="40">
        <f t="shared" ref="CY46" si="865">IF(CC46="","",(CC46-CC$10)*1000)</f>
        <v>-6.3680565812731516</v>
      </c>
      <c r="CZ46" s="40">
        <f t="shared" ref="CZ46" si="866">IF(CD46="","",(CD46-CD$10)*1000)</f>
        <v>-3.5480277355190992</v>
      </c>
      <c r="DA46" s="40">
        <f t="shared" ref="DA46" si="867">IF(CE46="","",(CE46-CE$10)*1000)</f>
        <v>-7.1098044299935381</v>
      </c>
      <c r="DB46" s="40">
        <f t="shared" ref="DB46" si="868">IF(CF46="","",(CF46-CF$10)*1000)</f>
        <v>0.15348027735451186</v>
      </c>
      <c r="DC46" s="40">
        <f t="shared" ref="DC46" si="869">IF(CG46="","",(CG46-CG$10)*1000)</f>
        <v>-4.9202747279650794</v>
      </c>
      <c r="DD46" s="40">
        <f t="shared" ref="DD46" si="870">IF(CH46="","",(CH46-CH$10)*1000)</f>
        <v>-8.2439951692521163</v>
      </c>
      <c r="DE46" s="40">
        <f t="shared" ref="DE46" si="871">IF(CI46="","",(CI46-CI$10)*1000)</f>
        <v>2.3072027472745837</v>
      </c>
    </row>
    <row r="47" spans="1:109" ht="29.25" customHeight="1" x14ac:dyDescent="0.2">
      <c r="A47" s="34">
        <v>43741</v>
      </c>
      <c r="B47" s="27">
        <f t="shared" si="96"/>
        <v>142</v>
      </c>
      <c r="C47" s="35">
        <v>207.2</v>
      </c>
      <c r="D47" s="35">
        <f t="shared" si="0"/>
        <v>38</v>
      </c>
      <c r="E47" s="36">
        <v>823219.58270000003</v>
      </c>
      <c r="F47" s="36">
        <v>1091508.5948000001</v>
      </c>
      <c r="G47" s="36">
        <v>-125.0098</v>
      </c>
      <c r="H47" s="36">
        <v>823219.25109999999</v>
      </c>
      <c r="I47" s="36">
        <v>1091508.9251000001</v>
      </c>
      <c r="J47" s="36">
        <v>-123.0236</v>
      </c>
      <c r="K47" s="36">
        <v>823219.64130000002</v>
      </c>
      <c r="L47" s="36">
        <v>1091508.0352</v>
      </c>
      <c r="M47" s="36">
        <v>-120.883</v>
      </c>
      <c r="N47" s="36">
        <v>823220.8922</v>
      </c>
      <c r="O47" s="36">
        <v>1091504.8149999999</v>
      </c>
      <c r="P47" s="36">
        <v>-119.5181</v>
      </c>
      <c r="Q47" s="36">
        <v>823222.37179999996</v>
      </c>
      <c r="R47" s="36">
        <v>1091502.2080000001</v>
      </c>
      <c r="S47" s="36">
        <v>-120.87390000000001</v>
      </c>
      <c r="T47" s="36">
        <v>823222.78189999994</v>
      </c>
      <c r="U47" s="36">
        <v>1091501.3086999999</v>
      </c>
      <c r="V47" s="36">
        <v>-123.01730000000001</v>
      </c>
      <c r="W47" s="36">
        <v>823222.701</v>
      </c>
      <c r="X47" s="36">
        <v>1091501.6336000001</v>
      </c>
      <c r="Y47" s="36">
        <v>-124.9358</v>
      </c>
      <c r="Z47" s="36">
        <f t="shared" si="1"/>
        <v>6.7941480099384863</v>
      </c>
      <c r="AA47" s="36">
        <f t="shared" si="2"/>
        <v>5.645764914640524</v>
      </c>
      <c r="AB47" s="36">
        <f t="shared" si="395"/>
        <v>3.7144839292413554</v>
      </c>
      <c r="AC47" s="36">
        <f t="shared" si="4"/>
        <v>3.2899633431199309</v>
      </c>
      <c r="AD47" s="36">
        <f t="shared" si="5"/>
        <v>5.3018399089218491</v>
      </c>
      <c r="AE47" s="36">
        <f t="shared" si="6"/>
        <v>6.5379306121481191</v>
      </c>
      <c r="AF47" s="36">
        <f t="shared" si="396"/>
        <v>6.4352135084260009</v>
      </c>
      <c r="AG47" s="36">
        <f t="shared" si="8"/>
        <v>8.3950066880430736</v>
      </c>
      <c r="AH47" s="36">
        <f t="shared" si="9"/>
        <v>7.6280781544308578</v>
      </c>
      <c r="AI47" s="40">
        <f t="shared" ref="AI47" si="872">IF(Z47="","",(Z47-Z$10)*1000)</f>
        <v>-22.803285887204261</v>
      </c>
      <c r="AJ47" s="40">
        <f t="shared" ref="AJ47" si="873">IF(AA47="","",(AA47-AA$10)*1000)</f>
        <v>-20.606629781129371</v>
      </c>
      <c r="AK47" s="40">
        <f t="shared" ref="AK47" si="874">IF(AB47="","",(AB47-AB$10)*1000)</f>
        <v>-18.041343193977877</v>
      </c>
      <c r="AL47" s="40">
        <f t="shared" ref="AL47" si="875">IF(AC47="","",(AC47-AC$10)*1000)</f>
        <v>-7.7254141148359601</v>
      </c>
      <c r="AM47" s="40">
        <f t="shared" ref="AM47" si="876">IF(AD47="","",(AD47-AD$10)*1000)</f>
        <v>-15.426158336578233</v>
      </c>
      <c r="AN47" s="40">
        <f t="shared" ref="AN47" si="877">IF(AE47="","",(AE47-AE$10)*1000)</f>
        <v>-20.074637866469125</v>
      </c>
      <c r="AO47" s="40">
        <f t="shared" ref="AO47" si="878">IF(AF47="","",(AF47-AF$10)*1000)</f>
        <v>-16.390122293046261</v>
      </c>
      <c r="AP47" s="40">
        <f t="shared" ref="AP47" si="879">IF(AG47="","",(AG47-AG$10)*1000)</f>
        <v>-17.38477390291493</v>
      </c>
      <c r="AQ47" s="40">
        <f t="shared" ref="AQ47" si="880">IF(AH47="","",(AH47-AH$10)*1000)</f>
        <v>-19.940010283364451</v>
      </c>
      <c r="AR47" s="37"/>
      <c r="AS47" s="40">
        <f t="shared" ref="AS47" si="881">IF(E47="","",(E47-E$10)*1000)</f>
        <v>-9.9999946542084217E-2</v>
      </c>
      <c r="AT47" s="40">
        <f t="shared" ref="AT47" si="882">IF(F47="","",(F47-F$10)*1000)</f>
        <v>-13.09999986551702</v>
      </c>
      <c r="AU47" s="40">
        <f t="shared" ref="AU47" si="883">IF(G47="","",(G47-G$10)*1000)</f>
        <v>0.20000000000663931</v>
      </c>
      <c r="AV47" s="40">
        <f t="shared" ref="AV47" si="884">IF(H47="","",(H47-H$10)*1000)</f>
        <v>1.3000000035390258</v>
      </c>
      <c r="AW47" s="40">
        <f t="shared" ref="AW47" si="885">IF(I47="","",(I47-I$10)*1000)</f>
        <v>-10.799999814480543</v>
      </c>
      <c r="AX47" s="40">
        <f t="shared" ref="AX47" si="886">IF(J47="","",(J47-J$10)*1000)</f>
        <v>-0.29999999999574811</v>
      </c>
      <c r="AY47" s="40">
        <f t="shared" ref="AY47" si="887">IF(K47="","",(K47-K$10)*1000)</f>
        <v>-0.40000001899898052</v>
      </c>
      <c r="AZ47" s="40">
        <f t="shared" ref="AZ47" si="888">IF(L47="","",(L47-L$10)*1000)</f>
        <v>-11.999999871477485</v>
      </c>
      <c r="BA47" s="40">
        <f t="shared" ref="BA47" si="889">IF(M47="","",(M47-M$10)*1000)</f>
        <v>-1.3999999999896318</v>
      </c>
      <c r="BB47" s="40">
        <f t="shared" ref="BB47" si="890">IF(N47="","",(N47-N$10)*1000)</f>
        <v>-5.4000000236555934</v>
      </c>
      <c r="BC47" s="40">
        <f t="shared" ref="BC47" si="891">IF(O47="","",(O47-O$10)*1000)</f>
        <v>-0.10000006295740604</v>
      </c>
      <c r="BD47" s="40">
        <f t="shared" ref="BD47" si="892">IF(P47="","",(P47-P$10)*1000)</f>
        <v>-17.800000000008254</v>
      </c>
      <c r="BE47" s="40">
        <f t="shared" ref="BE47" si="893">IF(Q47="","",(Q47-Q$10)*1000)</f>
        <v>-5.5000000866129994</v>
      </c>
      <c r="BF47" s="40">
        <f t="shared" ref="BF47" si="894">IF(R47="","",(R47-R$10)*1000)</f>
        <v>3.7000000011175871</v>
      </c>
      <c r="BG47" s="40">
        <f t="shared" ref="BG47" si="895">IF(S47="","",(S47-S$10)*1000)</f>
        <v>-6.5000000000026148</v>
      </c>
      <c r="BH47" s="40">
        <f t="shared" ref="BH47" si="896">IF(T47="","",(T47-T$10)*1000)</f>
        <v>-6.600000080652535</v>
      </c>
      <c r="BI47" s="40">
        <f t="shared" ref="BI47" si="897">IF(U47="","",(U47-U$10)*1000)</f>
        <v>4.6999999321997166</v>
      </c>
      <c r="BJ47" s="40">
        <f t="shared" ref="BJ47" si="898">IF(V47="","",(V47-V$10)*1000)</f>
        <v>9.9999999989108801E-2</v>
      </c>
      <c r="BK47" s="40">
        <f t="shared" ref="BK47" si="899">IF(W47="","",(W47-W$10)*1000)</f>
        <v>-8.2999999867752194</v>
      </c>
      <c r="BL47" s="40">
        <f t="shared" ref="BL47" si="900">IF(X47="","",(X47-X$10)*1000)</f>
        <v>5.0999999511986971</v>
      </c>
      <c r="BM47" s="40">
        <f t="shared" ref="BM47" si="901">IF(Y47="","",(Y47-Y$10)*1000)</f>
        <v>2.3999999999944066</v>
      </c>
      <c r="BN47" s="37"/>
      <c r="BO47" s="36">
        <v>169.36940000000001</v>
      </c>
      <c r="BP47" s="36">
        <v>-3.762</v>
      </c>
      <c r="BQ47" s="36">
        <v>-1.1606000000000001</v>
      </c>
      <c r="BR47" s="36">
        <v>169.20849999999999</v>
      </c>
      <c r="BS47" s="36">
        <v>-4.2015000000000002</v>
      </c>
      <c r="BT47" s="36">
        <v>0.82720000000000005</v>
      </c>
      <c r="BU47" s="36">
        <v>169.18600000000001</v>
      </c>
      <c r="BV47" s="36">
        <v>-3.2301000000000002</v>
      </c>
      <c r="BW47" s="36">
        <v>2.968</v>
      </c>
      <c r="BX47" s="36">
        <v>168.95869999999999</v>
      </c>
      <c r="BY47" s="36">
        <v>0.217</v>
      </c>
      <c r="BZ47" s="36">
        <v>4.3352000000000004</v>
      </c>
      <c r="CA47" s="36">
        <v>169.1978</v>
      </c>
      <c r="CB47" s="36">
        <v>3.2050999999999998</v>
      </c>
      <c r="CC47" s="36">
        <v>2.9769999999999999</v>
      </c>
      <c r="CD47" s="36">
        <v>169.18940000000001</v>
      </c>
      <c r="CE47" s="36">
        <v>4.1935000000000002</v>
      </c>
      <c r="CF47" s="36">
        <v>0.8337</v>
      </c>
      <c r="CG47" s="36">
        <v>169.2534</v>
      </c>
      <c r="CH47" s="36">
        <v>3.8647999999999998</v>
      </c>
      <c r="CI47" s="36">
        <v>-1.0854999999999999</v>
      </c>
      <c r="CJ47" s="37"/>
      <c r="CK47" s="40">
        <f t="shared" ref="CK47" si="902">IF(BO47="","",(BO47-BO$10)*1000)</f>
        <v>-5.655622190943177</v>
      </c>
      <c r="CL47" s="40">
        <f t="shared" ref="CL47" si="903">IF(BP47="","",(BP47-BP$10)*1000)</f>
        <v>11.85224212705549</v>
      </c>
      <c r="CM47" s="40">
        <f t="shared" ref="CM47" si="904">IF(BQ47="","",(BQ47-BQ$10)*1000)</f>
        <v>0.27055622192273532</v>
      </c>
      <c r="CN47" s="40">
        <f t="shared" ref="CN47" si="905">IF(BR47="","",(BR47-BR$10)*1000)</f>
        <v>-3.3902291373806293</v>
      </c>
      <c r="CO47" s="40">
        <f t="shared" ref="CO47" si="906">IF(BS47="","",(BS47-BS$10)*1000)</f>
        <v>10.359153585884684</v>
      </c>
      <c r="CP47" s="40">
        <f t="shared" ref="CP47" si="907">IF(BT47="","",(BT47-BT$10)*1000)</f>
        <v>-0.26109770862114967</v>
      </c>
      <c r="CQ47" s="40">
        <f t="shared" ref="CQ47" si="908">IF(BU47="","",(BU47-BU$10)*1000)</f>
        <v>-5.4552418708624373</v>
      </c>
      <c r="CR47" s="40">
        <f t="shared" ref="CR47" si="909">IF(BV47="","",(BV47-BV$10)*1000)</f>
        <v>10.700086716096902</v>
      </c>
      <c r="CS47" s="40">
        <f t="shared" ref="CS47" si="910">IF(BW47="","",(BW47-BW$10)*1000)</f>
        <v>-1.3654475812820976</v>
      </c>
      <c r="CT47" s="40">
        <f t="shared" ref="CT47" si="911">IF(BX47="","",(BX47-BX$10)*1000)</f>
        <v>-4.913864619851438</v>
      </c>
      <c r="CU47" s="40">
        <f t="shared" ref="CU47" si="912">IF(BY47="","",(BY47-BY$10)*1000)</f>
        <v>-2.2351047495592913</v>
      </c>
      <c r="CV47" s="40">
        <f t="shared" ref="CV47" si="913">IF(BZ47="","",(BZ47-BZ$10)*1000)</f>
        <v>-17.743861353807233</v>
      </c>
      <c r="CW47" s="40">
        <f t="shared" ref="CW47" si="914">IF(CA47="","",(CA47-CA$10)*1000)</f>
        <v>-3.394341872365203</v>
      </c>
      <c r="CX47" s="40">
        <f t="shared" ref="CX47" si="915">IF(CB47="","",(CB47-CB$10)*1000)</f>
        <v>-5.6805659486629523</v>
      </c>
      <c r="CY47" s="40">
        <f t="shared" ref="CY47" si="916">IF(CC47="","",(CC47-CC$10)*1000)</f>
        <v>-6.4680565812733626</v>
      </c>
      <c r="CZ47" s="40">
        <f t="shared" ref="CZ47" si="917">IF(CD47="","",(CD47-CD$10)*1000)</f>
        <v>-3.9480277355039561</v>
      </c>
      <c r="DA47" s="40">
        <f t="shared" ref="DA47" si="918">IF(CE47="","",(CE47-CE$10)*1000)</f>
        <v>-7.009804429992883</v>
      </c>
      <c r="DB47" s="40">
        <f t="shared" ref="DB47" si="919">IF(CF47="","",(CF47-CF$10)*1000)</f>
        <v>0.15348027735451186</v>
      </c>
      <c r="DC47" s="40">
        <f t="shared" ref="DC47" si="920">IF(CG47="","",(CG47-CG$10)*1000)</f>
        <v>-5.320274727978358</v>
      </c>
      <c r="DD47" s="40">
        <f t="shared" ref="DD47" si="921">IF(CH47="","",(CH47-CH$10)*1000)</f>
        <v>-8.1439951692523493</v>
      </c>
      <c r="DE47" s="40">
        <f t="shared" ref="DE47" si="922">IF(CI47="","",(CI47-CI$10)*1000)</f>
        <v>2.4072027472745727</v>
      </c>
    </row>
    <row r="48" spans="1:109" ht="29.25" customHeight="1" x14ac:dyDescent="0.2">
      <c r="A48" s="34">
        <v>43746</v>
      </c>
      <c r="B48" s="27">
        <f t="shared" ref="B48" si="923">A48-A$10</f>
        <v>147</v>
      </c>
      <c r="C48" s="35">
        <v>208.3</v>
      </c>
      <c r="D48" s="35">
        <f t="shared" si="0"/>
        <v>39.100000000000023</v>
      </c>
      <c r="E48" s="36">
        <v>823219.58318333339</v>
      </c>
      <c r="F48" s="36">
        <v>1091508.5947</v>
      </c>
      <c r="G48" s="36">
        <v>-125.00996666666667</v>
      </c>
      <c r="H48" s="36">
        <v>823219.25169999991</v>
      </c>
      <c r="I48" s="36">
        <v>1091508.9250166665</v>
      </c>
      <c r="J48" s="36">
        <v>-123.02416666666666</v>
      </c>
      <c r="K48" s="36">
        <v>823219.64201666659</v>
      </c>
      <c r="L48" s="36">
        <v>1091508.0359833331</v>
      </c>
      <c r="M48" s="36">
        <v>-120.88383333333333</v>
      </c>
      <c r="N48" s="36">
        <v>823220.89256666659</v>
      </c>
      <c r="O48" s="36">
        <v>1091504.8156833334</v>
      </c>
      <c r="P48" s="36">
        <v>-119.51934999999999</v>
      </c>
      <c r="Q48" s="36">
        <v>823222.37215000007</v>
      </c>
      <c r="R48" s="36">
        <v>1091502.2091000003</v>
      </c>
      <c r="S48" s="36">
        <v>-120.87481666666666</v>
      </c>
      <c r="T48" s="36">
        <v>823222.78213333338</v>
      </c>
      <c r="U48" s="36">
        <v>1091501.3097999999</v>
      </c>
      <c r="V48" s="36">
        <v>-123.01776666666667</v>
      </c>
      <c r="W48" s="36">
        <v>823222.70133333327</v>
      </c>
      <c r="X48" s="36">
        <v>1091501.6347666665</v>
      </c>
      <c r="Y48" s="36">
        <v>-124.93603333333333</v>
      </c>
      <c r="Z48" s="36">
        <f t="shared" si="1"/>
        <v>6.7928140751691526</v>
      </c>
      <c r="AA48" s="36">
        <f t="shared" si="2"/>
        <v>5.6447146719077477</v>
      </c>
      <c r="AB48" s="36">
        <f t="shared" si="395"/>
        <v>3.7142996860073598</v>
      </c>
      <c r="AC48" s="36">
        <f t="shared" si="4"/>
        <v>3.2894883185069079</v>
      </c>
      <c r="AD48" s="36">
        <f t="shared" si="5"/>
        <v>5.3009998405992134</v>
      </c>
      <c r="AE48" s="36">
        <f t="shared" si="6"/>
        <v>6.5368437361173148</v>
      </c>
      <c r="AF48" s="36">
        <f t="shared" si="396"/>
        <v>6.4347710676404972</v>
      </c>
      <c r="AG48" s="36">
        <f t="shared" si="8"/>
        <v>8.3937789678664458</v>
      </c>
      <c r="AH48" s="36">
        <f t="shared" si="9"/>
        <v>7.6268602692839602</v>
      </c>
      <c r="AI48" s="40">
        <f t="shared" ref="AI48" si="924">IF(Z48="","",(Z48-Z$10)*1000)</f>
        <v>-24.137220656538005</v>
      </c>
      <c r="AJ48" s="40">
        <f t="shared" ref="AJ48" si="925">IF(AA48="","",(AA48-AA$10)*1000)</f>
        <v>-21.656872513905689</v>
      </c>
      <c r="AK48" s="40">
        <f t="shared" ref="AK48" si="926">IF(AB48="","",(AB48-AB$10)*1000)</f>
        <v>-18.22558642797345</v>
      </c>
      <c r="AL48" s="40">
        <f t="shared" ref="AL48" si="927">IF(AC48="","",(AC48-AC$10)*1000)</f>
        <v>-8.2004387278589164</v>
      </c>
      <c r="AM48" s="40">
        <f t="shared" ref="AM48" si="928">IF(AD48="","",(AD48-AD$10)*1000)</f>
        <v>-16.266226659213956</v>
      </c>
      <c r="AN48" s="40">
        <f t="shared" ref="AN48" si="929">IF(AE48="","",(AE48-AE$10)*1000)</f>
        <v>-21.161513897273387</v>
      </c>
      <c r="AO48" s="40">
        <f t="shared" ref="AO48" si="930">IF(AF48="","",(AF48-AF$10)*1000)</f>
        <v>-16.832563078549967</v>
      </c>
      <c r="AP48" s="40">
        <f t="shared" ref="AP48" si="931">IF(AG48="","",(AG48-AG$10)*1000)</f>
        <v>-18.612494079542685</v>
      </c>
      <c r="AQ48" s="40">
        <f t="shared" ref="AQ48" si="932">IF(AH48="","",(AH48-AH$10)*1000)</f>
        <v>-21.15789543026203</v>
      </c>
      <c r="AR48" s="37"/>
      <c r="AS48" s="40">
        <f t="shared" ref="AS48" si="933">IF(E48="","",(E48-E$10)*1000)</f>
        <v>0.3833334194496274</v>
      </c>
      <c r="AT48" s="40">
        <f t="shared" ref="AT48" si="934">IF(F48="","",(F48-F$10)*1000)</f>
        <v>-13.199999928474426</v>
      </c>
      <c r="AU48" s="40">
        <f t="shared" ref="AU48" si="935">IF(G48="","",(G48-G$10)*1000)</f>
        <v>3.3333333334439885E-2</v>
      </c>
      <c r="AV48" s="40">
        <f t="shared" ref="AV48" si="936">IF(H48="","",(H48-H$10)*1000)</f>
        <v>1.8999999156221747</v>
      </c>
      <c r="AW48" s="40">
        <f t="shared" ref="AW48" si="937">IF(I48="","",(I48-I$10)*1000)</f>
        <v>-10.883333394303918</v>
      </c>
      <c r="AX48" s="40">
        <f t="shared" ref="AX48" si="938">IF(J48="","",(J48-J$10)*1000)</f>
        <v>-0.86666666665280445</v>
      </c>
      <c r="AY48" s="40">
        <f t="shared" ref="AY48" si="939">IF(K48="","",(K48-K$10)*1000)</f>
        <v>0.3166665555909276</v>
      </c>
      <c r="AZ48" s="40">
        <f t="shared" ref="AZ48" si="940">IF(L48="","",(L48-L$10)*1000)</f>
        <v>-11.216666782274842</v>
      </c>
      <c r="BA48" s="40">
        <f t="shared" ref="BA48" si="941">IF(M48="","",(M48-M$10)*1000)</f>
        <v>-2.2333333333222072</v>
      </c>
      <c r="BB48" s="40">
        <f t="shared" ref="BB48" si="942">IF(N48="","",(N48-N$10)*1000)</f>
        <v>-5.0333334365859628</v>
      </c>
      <c r="BC48" s="40">
        <f t="shared" ref="BC48" si="943">IF(O48="","",(O48-O$10)*1000)</f>
        <v>0.58333342894911766</v>
      </c>
      <c r="BD48" s="40">
        <f t="shared" ref="BD48" si="944">IF(P48="","",(P48-P$10)*1000)</f>
        <v>-19.049999999992906</v>
      </c>
      <c r="BE48" s="40">
        <f t="shared" ref="BE48" si="945">IF(Q48="","",(Q48-Q$10)*1000)</f>
        <v>-5.1499999826774001</v>
      </c>
      <c r="BF48" s="40">
        <f t="shared" ref="BF48" si="946">IF(R48="","",(R48-R$10)*1000)</f>
        <v>4.8000002279877663</v>
      </c>
      <c r="BG48" s="40">
        <f t="shared" ref="BG48" si="947">IF(S48="","",(S48-S$10)*1000)</f>
        <v>-7.4166666666570791</v>
      </c>
      <c r="BH48" s="40">
        <f t="shared" ref="BH48" si="948">IF(T48="","",(T48-T$10)*1000)</f>
        <v>-6.3666666392236948</v>
      </c>
      <c r="BI48" s="40">
        <f t="shared" ref="BI48" si="949">IF(U48="","",(U48-U$10)*1000)</f>
        <v>5.7999999262392521</v>
      </c>
      <c r="BJ48" s="40">
        <f t="shared" ref="BJ48" si="950">IF(V48="","",(V48-V$10)*1000)</f>
        <v>-0.36666666667883874</v>
      </c>
      <c r="BK48" s="40">
        <f t="shared" ref="BK48" si="951">IF(W48="","",(W48-W$10)*1000)</f>
        <v>-7.9666667152196169</v>
      </c>
      <c r="BL48" s="40">
        <f t="shared" ref="BL48" si="952">IF(X48="","",(X48-X$10)*1000)</f>
        <v>6.2666663434356451</v>
      </c>
      <c r="BM48" s="40">
        <f t="shared" ref="BM48" si="953">IF(Y48="","",(Y48-Y$10)*1000)</f>
        <v>2.1666666666675383</v>
      </c>
      <c r="BN48" s="37"/>
      <c r="BO48" s="36">
        <v>169.36982402771821</v>
      </c>
      <c r="BP48" s="36">
        <v>-3.7617271705027711</v>
      </c>
      <c r="BQ48" s="36">
        <v>-1.1607849069438601</v>
      </c>
      <c r="BR48" s="36">
        <v>169.20901232121869</v>
      </c>
      <c r="BS48" s="36">
        <v>-4.2011926362787895</v>
      </c>
      <c r="BT48" s="36">
        <v>0.82662321012115569</v>
      </c>
      <c r="BU48" s="36">
        <v>169.18700148749039</v>
      </c>
      <c r="BV48" s="36">
        <v>-3.2305006710370359</v>
      </c>
      <c r="BW48" s="36">
        <v>2.9671766517917604</v>
      </c>
      <c r="BX48" s="36">
        <v>168.95929874159177</v>
      </c>
      <c r="BY48" s="36">
        <v>0.21657908580646307</v>
      </c>
      <c r="BZ48" s="36">
        <v>4.3339370125840873</v>
      </c>
      <c r="CA48" s="36">
        <v>169.19855566757971</v>
      </c>
      <c r="CB48" s="36">
        <v>3.2042537060614236</v>
      </c>
      <c r="CC48" s="36">
        <v>2.976077776657533</v>
      </c>
      <c r="CD48" s="36">
        <v>169.1900293500081</v>
      </c>
      <c r="CE48" s="36">
        <v>4.1925624261590677</v>
      </c>
      <c r="CF48" s="36">
        <v>0.83321303983323958</v>
      </c>
      <c r="CG48" s="36">
        <v>169.25414876715232</v>
      </c>
      <c r="CH48" s="36">
        <v>3.8638974375865711</v>
      </c>
      <c r="CI48" s="36">
        <v>-1.08569482100485</v>
      </c>
      <c r="CJ48" s="37"/>
      <c r="CK48" s="40">
        <f t="shared" ref="CK48" si="954">IF(BO48="","",(BO48-BO$10)*1000)</f>
        <v>-5.2315944727467922</v>
      </c>
      <c r="CL48" s="40">
        <f t="shared" ref="CL48" si="955">IF(BP48="","",(BP48-BP$10)*1000)</f>
        <v>12.125071624284445</v>
      </c>
      <c r="CM48" s="40">
        <f t="shared" ref="CM48" si="956">IF(BQ48="","",(BQ48-BQ$10)*1000)</f>
        <v>8.5649278062760459E-2</v>
      </c>
      <c r="CN48" s="40">
        <f t="shared" ref="CN48" si="957">IF(BR48="","",(BR48-BR$10)*1000)</f>
        <v>-2.8779079186733725</v>
      </c>
      <c r="CO48" s="40">
        <f t="shared" ref="CO48" si="958">IF(BS48="","",(BS48-BS$10)*1000)</f>
        <v>10.666517307095447</v>
      </c>
      <c r="CP48" s="40">
        <f t="shared" ref="CP48" si="959">IF(BT48="","",(BT48-BT$10)*1000)</f>
        <v>-0.83788758746550229</v>
      </c>
      <c r="CQ48" s="40">
        <f t="shared" ref="CQ48" si="960">IF(BU48="","",(BU48-BU$10)*1000)</f>
        <v>-4.4537543804779034</v>
      </c>
      <c r="CR48" s="40">
        <f t="shared" ref="CR48" si="961">IF(BV48="","",(BV48-BV$10)*1000)</f>
        <v>10.29941567906123</v>
      </c>
      <c r="CS48" s="40">
        <f t="shared" ref="CS48" si="962">IF(BW48="","",(BW48-BW$10)*1000)</f>
        <v>-2.1887957895216914</v>
      </c>
      <c r="CT48" s="40">
        <f t="shared" ref="CT48" si="963">IF(BX48="","",(BX48-BX$10)*1000)</f>
        <v>-4.3151230280784603</v>
      </c>
      <c r="CU48" s="40">
        <f t="shared" ref="CU48" si="964">IF(BY48="","",(BY48-BY$10)*1000)</f>
        <v>-2.656018943096222</v>
      </c>
      <c r="CV48" s="40">
        <f t="shared" ref="CV48" si="965">IF(BZ48="","",(BZ48-BZ$10)*1000)</f>
        <v>-19.006848769720364</v>
      </c>
      <c r="CW48" s="40">
        <f t="shared" ref="CW48" si="966">IF(CA48="","",(CA48-CA$10)*1000)</f>
        <v>-2.6386742926547413</v>
      </c>
      <c r="CX48" s="40">
        <f t="shared" ref="CX48" si="967">IF(CB48="","",(CB48-CB$10)*1000)</f>
        <v>-6.5268598872392225</v>
      </c>
      <c r="CY48" s="40">
        <f t="shared" ref="CY48" si="968">IF(CC48="","",(CC48-CC$10)*1000)</f>
        <v>-7.390279923740195</v>
      </c>
      <c r="CZ48" s="40">
        <f t="shared" ref="CZ48" si="969">IF(CD48="","",(CD48-CD$10)*1000)</f>
        <v>-3.3186777274067936</v>
      </c>
      <c r="DA48" s="40">
        <f t="shared" ref="DA48" si="970">IF(CE48="","",(CE48-CE$10)*1000)</f>
        <v>-7.9473782709253982</v>
      </c>
      <c r="DB48" s="40">
        <f t="shared" ref="DB48" si="971">IF(CF48="","",(CF48-CF$10)*1000)</f>
        <v>-0.33347988940590767</v>
      </c>
      <c r="DC48" s="40">
        <f t="shared" ref="DC48" si="972">IF(CG48="","",(CG48-CG$10)*1000)</f>
        <v>-4.5715075756618262</v>
      </c>
      <c r="DD48" s="40">
        <f t="shared" ref="DD48" si="973">IF(CH48="","",(CH48-CH$10)*1000)</f>
        <v>-9.0465575826810252</v>
      </c>
      <c r="DE48" s="40">
        <f t="shared" ref="DE48" si="974">IF(CI48="","",(CI48-CI$10)*1000)</f>
        <v>2.2123817424244407</v>
      </c>
    </row>
    <row r="49" spans="1:109" ht="29.25" customHeight="1" x14ac:dyDescent="0.2">
      <c r="A49" s="34">
        <v>43753</v>
      </c>
      <c r="B49" s="27">
        <f t="shared" ref="B49:B57" si="975">A49-A$10</f>
        <v>154</v>
      </c>
      <c r="C49" s="35">
        <v>211.5</v>
      </c>
      <c r="D49" s="35">
        <f t="shared" si="0"/>
        <v>42.300000000000011</v>
      </c>
      <c r="E49" s="36">
        <v>823219.58329999994</v>
      </c>
      <c r="F49" s="36">
        <v>1091508.5952000001</v>
      </c>
      <c r="G49" s="36">
        <v>-125.00991666666665</v>
      </c>
      <c r="H49" s="36">
        <v>823219.25190000003</v>
      </c>
      <c r="I49" s="36">
        <v>1091508.9256999998</v>
      </c>
      <c r="J49" s="36">
        <v>-123.02411666666666</v>
      </c>
      <c r="K49" s="36">
        <v>823219.64213333325</v>
      </c>
      <c r="L49" s="36">
        <v>1091508.0354833335</v>
      </c>
      <c r="M49" s="36">
        <v>-120.88370000000002</v>
      </c>
      <c r="N49" s="36">
        <v>823220.89296666672</v>
      </c>
      <c r="O49" s="36">
        <v>1091504.8163666667</v>
      </c>
      <c r="P49" s="36">
        <v>-119.51943333333332</v>
      </c>
      <c r="Q49" s="36">
        <v>823222.37243333331</v>
      </c>
      <c r="R49" s="36">
        <v>1091502.2097333334</v>
      </c>
      <c r="S49" s="36">
        <v>-120.87488333333333</v>
      </c>
      <c r="T49" s="36">
        <v>823222.78286666668</v>
      </c>
      <c r="U49" s="36">
        <v>1091501.3102500001</v>
      </c>
      <c r="V49" s="36">
        <v>-123.01756666666665</v>
      </c>
      <c r="W49" s="36"/>
      <c r="X49" s="36"/>
      <c r="Y49" s="36"/>
      <c r="Z49" s="36">
        <f t="shared" si="1"/>
        <v>6.7926589325045388</v>
      </c>
      <c r="AA49" s="36">
        <f t="shared" si="2"/>
        <v>5.6446900281546384</v>
      </c>
      <c r="AB49" s="36">
        <f t="shared" si="395"/>
        <v>3.7132896036392058</v>
      </c>
      <c r="AC49" s="36">
        <f t="shared" si="4"/>
        <v>3.289468597520977</v>
      </c>
      <c r="AD49" s="36">
        <f t="shared" si="5"/>
        <v>5.3010860120724859</v>
      </c>
      <c r="AE49" s="36"/>
      <c r="AF49" s="36">
        <f t="shared" si="396"/>
        <v>6.4338152667989208</v>
      </c>
      <c r="AG49" s="36">
        <f t="shared" si="8"/>
        <v>8.3942151033467809</v>
      </c>
      <c r="AH49" s="36" t="str">
        <f t="shared" si="9"/>
        <v/>
      </c>
      <c r="AI49" s="40">
        <f t="shared" ref="AI49" si="976">IF(Z49="","",(Z49-Z$10)*1000)</f>
        <v>-24.292363321151811</v>
      </c>
      <c r="AJ49" s="40">
        <f t="shared" ref="AJ49" si="977">IF(AA49="","",(AA49-AA$10)*1000)</f>
        <v>-21.681516267014977</v>
      </c>
      <c r="AK49" s="40">
        <f t="shared" ref="AK49" si="978">IF(AB49="","",(AB49-AB$10)*1000)</f>
        <v>-19.235668796127481</v>
      </c>
      <c r="AL49" s="40">
        <f t="shared" ref="AL49" si="979">IF(AC49="","",(AC49-AC$10)*1000)</f>
        <v>-8.2201597137898652</v>
      </c>
      <c r="AM49" s="40">
        <f t="shared" ref="AM49" si="980">IF(AD49="","",(AD49-AD$10)*1000)</f>
        <v>-16.180055185941455</v>
      </c>
      <c r="AN49" s="40"/>
      <c r="AO49" s="40">
        <f t="shared" ref="AO49" si="981">IF(AF49="","",(AF49-AF$10)*1000)</f>
        <v>-17.788363920126393</v>
      </c>
      <c r="AP49" s="40">
        <f t="shared" ref="AP49" si="982">IF(AG49="","",(AG49-AG$10)*1000)</f>
        <v>-18.176358599207632</v>
      </c>
      <c r="AQ49" s="40" t="str">
        <f t="shared" ref="AQ49" si="983">IF(AH49="","",(AH49-AH$10)*1000)</f>
        <v/>
      </c>
      <c r="AR49" s="37"/>
      <c r="AS49" s="40">
        <f t="shared" ref="AS49" si="984">IF(E49="","",(E49-E$10)*1000)</f>
        <v>0.49999996554106474</v>
      </c>
      <c r="AT49" s="40">
        <f t="shared" ref="AT49" si="985">IF(F49="","",(F49-F$10)*1000)</f>
        <v>-12.69999984651804</v>
      </c>
      <c r="AU49" s="40">
        <f t="shared" ref="AU49" si="986">IF(G49="","",(G49-G$10)*1000)</f>
        <v>8.3333333350310568E-2</v>
      </c>
      <c r="AV49" s="40">
        <f t="shared" ref="AV49" si="987">IF(H49="","",(H49-H$10)*1000)</f>
        <v>2.1000000415369868</v>
      </c>
      <c r="AW49" s="40">
        <f t="shared" ref="AW49" si="988">IF(I49="","",(I49-I$10)*1000)</f>
        <v>-10.200000135228038</v>
      </c>
      <c r="AX49" s="40">
        <f t="shared" ref="AX49" si="989">IF(J49="","",(J49-J$10)*1000)</f>
        <v>-0.81666666665114462</v>
      </c>
      <c r="AY49" s="40">
        <f t="shared" ref="AY49" si="990">IF(K49="","",(K49-K$10)*1000)</f>
        <v>0.43333321809768677</v>
      </c>
      <c r="AZ49" s="40">
        <f t="shared" ref="AZ49" si="991">IF(L49="","",(L49-L$10)*1000)</f>
        <v>-11.716666398569942</v>
      </c>
      <c r="BA49" s="40">
        <f t="shared" ref="BA49" si="992">IF(M49="","",(M49-M$10)*1000)</f>
        <v>-2.1000000000128694</v>
      </c>
      <c r="BB49" s="40">
        <f t="shared" ref="BB49" si="993">IF(N49="","",(N49-N$10)*1000)</f>
        <v>-4.6333333011716604</v>
      </c>
      <c r="BC49" s="40">
        <f t="shared" ref="BC49" si="994">IF(O49="","",(O49-O$10)*1000)</f>
        <v>1.2666666880249977</v>
      </c>
      <c r="BD49" s="40">
        <f t="shared" ref="BD49" si="995">IF(P49="","",(P49-P$10)*1000)</f>
        <v>-19.133333333329006</v>
      </c>
      <c r="BE49" s="40">
        <f t="shared" ref="BE49" si="996">IF(Q49="","",(Q49-Q$10)*1000)</f>
        <v>-4.8666667426005006</v>
      </c>
      <c r="BF49" s="40">
        <f t="shared" ref="BF49" si="997">IF(R49="","",(R49-R$10)*1000)</f>
        <v>5.4333333391696215</v>
      </c>
      <c r="BG49" s="40">
        <f t="shared" ref="BG49" si="998">IF(S49="","",(S49-S$10)*1000)</f>
        <v>-7.4833333333259588</v>
      </c>
      <c r="BH49" s="40">
        <f t="shared" ref="BH49" si="999">IF(T49="","",(T49-T$10)*1000)</f>
        <v>-5.6333333486691117</v>
      </c>
      <c r="BI49" s="40">
        <f t="shared" ref="BI49" si="1000">IF(U49="","",(U49-U$10)*1000)</f>
        <v>6.2500000931322575</v>
      </c>
      <c r="BJ49" s="40">
        <f t="shared" ref="BJ49" si="1001">IF(V49="","",(V49-V$10)*1000)</f>
        <v>-0.16666666665798857</v>
      </c>
      <c r="BK49" s="40" t="str">
        <f t="shared" ref="BK49" si="1002">IF(W49="","",(W49-W$10)*1000)</f>
        <v/>
      </c>
      <c r="BL49" s="40" t="str">
        <f t="shared" ref="BL49" si="1003">IF(X49="","",(X49-X$10)*1000)</f>
        <v/>
      </c>
      <c r="BM49" s="40" t="str">
        <f t="shared" ref="BM49" si="1004">IF(Y49="","",(Y49-Y$10)*1000)</f>
        <v/>
      </c>
      <c r="BN49" s="37"/>
      <c r="BO49" s="36">
        <v>169.37014108772101</v>
      </c>
      <c r="BP49" s="36">
        <v>-3.7621310072514107</v>
      </c>
      <c r="BQ49" s="36">
        <v>-1.1607380775438685</v>
      </c>
      <c r="BR49" s="36">
        <v>169.20948239191816</v>
      </c>
      <c r="BS49" s="36">
        <v>-4.2017274053231688</v>
      </c>
      <c r="BT49" s="36">
        <v>0.82666850941416214</v>
      </c>
      <c r="BU49" s="36">
        <v>169.18689589571619</v>
      </c>
      <c r="BV49" s="36">
        <v>-3.2299982159607872</v>
      </c>
      <c r="BW49" s="36">
        <v>2.9673110410428194</v>
      </c>
      <c r="BX49" s="36">
        <v>168.95995007070971</v>
      </c>
      <c r="BY49" s="36">
        <v>0.21612884716811026</v>
      </c>
      <c r="BZ49" s="36">
        <v>4.3338471659595683</v>
      </c>
      <c r="CA49" s="36">
        <v>169.19908012975495</v>
      </c>
      <c r="CB49" s="36">
        <v>3.2037994726617653</v>
      </c>
      <c r="CC49" s="36">
        <v>2.9760058653691175</v>
      </c>
      <c r="CD49" s="36">
        <v>169.19088415761377</v>
      </c>
      <c r="CE49" s="36">
        <v>4.192464539375016</v>
      </c>
      <c r="CF49" s="36">
        <v>0.83340449175720721</v>
      </c>
      <c r="CG49" s="36"/>
      <c r="CH49" s="36"/>
      <c r="CI49" s="36"/>
      <c r="CJ49" s="37"/>
      <c r="CK49" s="40">
        <f t="shared" ref="CK49" si="1005">IF(BO49="","",(BO49-BO$10)*1000)</f>
        <v>-4.9145344699468296</v>
      </c>
      <c r="CL49" s="40">
        <f t="shared" ref="CL49" si="1006">IF(BP49="","",(BP49-BP$10)*1000)</f>
        <v>11.721234875644804</v>
      </c>
      <c r="CM49" s="40">
        <f t="shared" ref="CM49" si="1007">IF(BQ49="","",(BQ49-BQ$10)*1000)</f>
        <v>0.13247867805432634</v>
      </c>
      <c r="CN49" s="40">
        <f t="shared" ref="CN49" si="1008">IF(BR49="","",(BR49-BR$10)*1000)</f>
        <v>-2.4078372192093411</v>
      </c>
      <c r="CO49" s="40">
        <f t="shared" ref="CO49" si="1009">IF(BS49="","",(BS49-BS$10)*1000)</f>
        <v>10.131748262716123</v>
      </c>
      <c r="CP49" s="40">
        <f t="shared" ref="CP49" si="1010">IF(BT49="","",(BT49-BT$10)*1000)</f>
        <v>-0.79258829445905121</v>
      </c>
      <c r="CQ49" s="40">
        <f t="shared" ref="CQ49" si="1011">IF(BU49="","",(BU49-BU$10)*1000)</f>
        <v>-4.5593461546786784</v>
      </c>
      <c r="CR49" s="40">
        <f t="shared" ref="CR49" si="1012">IF(BV49="","",(BV49-BV$10)*1000)</f>
        <v>10.801870755309917</v>
      </c>
      <c r="CS49" s="40">
        <f t="shared" ref="CS49" si="1013">IF(BW49="","",(BW49-BW$10)*1000)</f>
        <v>-2.054406538462672</v>
      </c>
      <c r="CT49" s="40">
        <f t="shared" ref="CT49" si="1014">IF(BX49="","",(BX49-BX$10)*1000)</f>
        <v>-3.6637939101353822</v>
      </c>
      <c r="CU49" s="40">
        <f t="shared" ref="CU49" si="1015">IF(BY49="","",(BY49-BY$10)*1000)</f>
        <v>-3.1062575814490287</v>
      </c>
      <c r="CV49" s="40">
        <f t="shared" ref="CV49" si="1016">IF(BZ49="","",(BZ49-BZ$10)*1000)</f>
        <v>-19.096695394239305</v>
      </c>
      <c r="CW49" s="40">
        <f t="shared" ref="CW49" si="1017">IF(CA49="","",(CA49-CA$10)*1000)</f>
        <v>-2.1142121174193562</v>
      </c>
      <c r="CX49" s="40">
        <f t="shared" ref="CX49" si="1018">IF(CB49="","",(CB49-CB$10)*1000)</f>
        <v>-6.981093286897444</v>
      </c>
      <c r="CY49" s="40">
        <f t="shared" ref="CY49" si="1019">IF(CC49="","",(CC49-CC$10)*1000)</f>
        <v>-7.4621912121557443</v>
      </c>
      <c r="CZ49" s="40">
        <f t="shared" ref="CZ49" si="1020">IF(CD49="","",(CD49-CD$10)*1000)</f>
        <v>-2.4638701217440939</v>
      </c>
      <c r="DA49" s="40">
        <f t="shared" ref="DA49" si="1021">IF(CE49="","",(CE49-CE$10)*1000)</f>
        <v>-8.0452650549771576</v>
      </c>
      <c r="DB49" s="40">
        <f t="shared" ref="DB49" si="1022">IF(CF49="","",(CF49-CF$10)*1000)</f>
        <v>-0.1420279654382739</v>
      </c>
      <c r="DC49" s="40" t="str">
        <f t="shared" ref="DC49" si="1023">IF(CG49="","",(CG49-CG$10)*1000)</f>
        <v/>
      </c>
      <c r="DD49" s="40" t="str">
        <f t="shared" ref="DD49" si="1024">IF(CH49="","",(CH49-CH$10)*1000)</f>
        <v/>
      </c>
      <c r="DE49" s="40" t="str">
        <f t="shared" ref="DE49" si="1025">IF(CI49="","",(CI49-CI$10)*1000)</f>
        <v/>
      </c>
    </row>
    <row r="50" spans="1:109" ht="29.25" customHeight="1" x14ac:dyDescent="0.2">
      <c r="A50" s="34">
        <v>43756</v>
      </c>
      <c r="B50" s="27">
        <f t="shared" si="975"/>
        <v>157</v>
      </c>
      <c r="C50" s="35">
        <v>213.5</v>
      </c>
      <c r="D50" s="35">
        <f t="shared" si="0"/>
        <v>44.300000000000011</v>
      </c>
      <c r="E50" s="36">
        <v>823219.58290000004</v>
      </c>
      <c r="F50" s="36">
        <v>1091508.5952000001</v>
      </c>
      <c r="G50" s="36">
        <v>-125.0094</v>
      </c>
      <c r="H50" s="36">
        <v>823219.25150000001</v>
      </c>
      <c r="I50" s="36">
        <v>1091508.9258000001</v>
      </c>
      <c r="J50" s="36">
        <v>-123.0234</v>
      </c>
      <c r="K50" s="36">
        <v>823219.64179999998</v>
      </c>
      <c r="L50" s="36">
        <v>1091508.0359</v>
      </c>
      <c r="M50" s="36">
        <v>-120.88290000000001</v>
      </c>
      <c r="N50" s="36">
        <v>823220.89240000001</v>
      </c>
      <c r="O50" s="36">
        <v>1091504.8162</v>
      </c>
      <c r="P50" s="36">
        <v>-119.5187</v>
      </c>
      <c r="Q50" s="36">
        <v>823222.37219999998</v>
      </c>
      <c r="R50" s="36">
        <v>1091502.2094000001</v>
      </c>
      <c r="S50" s="36">
        <v>-120.8741</v>
      </c>
      <c r="T50" s="36">
        <v>823222.78229999996</v>
      </c>
      <c r="U50" s="36">
        <v>1091501.31</v>
      </c>
      <c r="V50" s="36">
        <v>-123.01690000000001</v>
      </c>
      <c r="W50" s="36">
        <v>823222.70129999996</v>
      </c>
      <c r="X50" s="36">
        <v>1091501.635</v>
      </c>
      <c r="Y50" s="36">
        <v>-124.9354</v>
      </c>
      <c r="Z50" s="36">
        <f t="shared" si="1"/>
        <v>6.7928946510794495</v>
      </c>
      <c r="AA50" s="36">
        <f t="shared" si="2"/>
        <v>5.644846061734631</v>
      </c>
      <c r="AB50" s="36">
        <f t="shared" si="395"/>
        <v>3.7136922449463232</v>
      </c>
      <c r="AC50" s="36">
        <f t="shared" si="4"/>
        <v>3.2897299949476784</v>
      </c>
      <c r="AD50" s="36">
        <f t="shared" si="5"/>
        <v>5.3011851212187358</v>
      </c>
      <c r="AE50" s="36">
        <f t="shared" si="6"/>
        <v>6.537032319007646</v>
      </c>
      <c r="AF50" s="36">
        <f t="shared" si="396"/>
        <v>6.4345368014808439</v>
      </c>
      <c r="AG50" s="36">
        <f t="shared" si="8"/>
        <v>8.3944624920289233</v>
      </c>
      <c r="AH50" s="36">
        <f t="shared" si="9"/>
        <v>7.6272064742427945</v>
      </c>
      <c r="AI50" s="40">
        <f t="shared" ref="AI50:AI54" si="1026">IF(Z50="","",(Z50-Z$10)*1000)</f>
        <v>-24.05664474624114</v>
      </c>
      <c r="AJ50" s="40">
        <f t="shared" ref="AJ50" si="1027">IF(AA50="","",(AA50-AA$10)*1000)</f>
        <v>-21.525482687022368</v>
      </c>
      <c r="AK50" s="40">
        <f t="shared" ref="AK50" si="1028">IF(AB50="","",(AB50-AB$10)*1000)</f>
        <v>-18.833027489010057</v>
      </c>
      <c r="AL50" s="40">
        <f t="shared" ref="AL50" si="1029">IF(AC50="","",(AC50-AC$10)*1000)</f>
        <v>-7.9587622870884722</v>
      </c>
      <c r="AM50" s="40">
        <f t="shared" ref="AM50" si="1030">IF(AD50="","",(AD50-AD$10)*1000)</f>
        <v>-16.080946039691568</v>
      </c>
      <c r="AN50" s="40">
        <f t="shared" ref="AN50" si="1031">IF(AE50="","",(AE50-AE$10)*1000)</f>
        <v>-20.972931006942197</v>
      </c>
      <c r="AO50" s="40">
        <f t="shared" ref="AO50" si="1032">IF(AF50="","",(AF50-AF$10)*1000)</f>
        <v>-17.06682923820324</v>
      </c>
      <c r="AP50" s="40">
        <f t="shared" ref="AP50" si="1033">IF(AG50="","",(AG50-AG$10)*1000)</f>
        <v>-17.928969917065274</v>
      </c>
      <c r="AQ50" s="40">
        <f t="shared" ref="AQ50" si="1034">IF(AH50="","",(AH50-AH$10)*1000)</f>
        <v>-20.811690471427724</v>
      </c>
      <c r="AR50" s="37"/>
      <c r="AS50" s="40">
        <f t="shared" ref="AS50" si="1035">IF(E50="","",(E50-E$10)*1000)</f>
        <v>0.10000006295740604</v>
      </c>
      <c r="AT50" s="40">
        <f t="shared" ref="AT50" si="1036">IF(F50="","",(F50-F$10)*1000)</f>
        <v>-12.69999984651804</v>
      </c>
      <c r="AU50" s="40">
        <f t="shared" ref="AU50" si="1037">IF(G50="","",(G50-G$10)*1000)</f>
        <v>0.60000000000570708</v>
      </c>
      <c r="AV50" s="40">
        <f t="shared" ref="AV50" si="1038">IF(H50="","",(H50-H$10)*1000)</f>
        <v>1.7000000225380063</v>
      </c>
      <c r="AW50" s="40">
        <f t="shared" ref="AW50" si="1039">IF(I50="","",(I50-I$10)*1000)</f>
        <v>-10.099999839439988</v>
      </c>
      <c r="AX50" s="40">
        <f t="shared" ref="AX50" si="1040">IF(J50="","",(J50-J$10)*1000)</f>
        <v>-9.9999999989108801E-2</v>
      </c>
      <c r="AY50" s="40">
        <f t="shared" ref="AY50" si="1041">IF(K50="","",(K50-K$10)*1000)</f>
        <v>9.9999946542084217E-2</v>
      </c>
      <c r="AZ50" s="40">
        <f t="shared" ref="AZ50" si="1042">IF(L50="","",(L50-L$10)*1000)</f>
        <v>-11.29999989643693</v>
      </c>
      <c r="BA50" s="40">
        <f t="shared" ref="BA50" si="1043">IF(M50="","",(M50-M$10)*1000)</f>
        <v>-1.300000000000523</v>
      </c>
      <c r="BB50" s="40">
        <f t="shared" ref="BB50" si="1044">IF(N50="","",(N50-N$10)*1000)</f>
        <v>-5.2000000141561031</v>
      </c>
      <c r="BC50" s="40">
        <f t="shared" ref="BC50" si="1045">IF(O50="","",(O50-O$10)*1000)</f>
        <v>1.0999999940395355</v>
      </c>
      <c r="BD50" s="40">
        <f t="shared" ref="BD50" si="1046">IF(P50="","",(P50-P$10)*1000)</f>
        <v>-18.39999999999975</v>
      </c>
      <c r="BE50" s="40">
        <f t="shared" ref="BE50" si="1047">IF(Q50="","",(Q50-Q$10)*1000)</f>
        <v>-5.1000000676140189</v>
      </c>
      <c r="BF50" s="40">
        <f t="shared" ref="BF50" si="1048">IF(R50="","",(R50-R$10)*1000)</f>
        <v>5.0999999511986971</v>
      </c>
      <c r="BG50" s="40">
        <f t="shared" ref="BG50" si="1049">IF(S50="","",(S50-S$10)*1000)</f>
        <v>-6.6999999999950433</v>
      </c>
      <c r="BH50" s="40">
        <f t="shared" ref="BH50" si="1050">IF(T50="","",(T50-T$10)*1000)</f>
        <v>-6.2000000616535544</v>
      </c>
      <c r="BI50" s="40">
        <f t="shared" ref="BI50" si="1051">IF(U50="","",(U50-U$10)*1000)</f>
        <v>6.0000000521540642</v>
      </c>
      <c r="BJ50" s="40">
        <f t="shared" ref="BJ50" si="1052">IF(V50="","",(V50-V$10)*1000)</f>
        <v>0.49999999998817657</v>
      </c>
      <c r="BK50" s="40">
        <f t="shared" ref="BK50" si="1053">IF(W50="","",(W50-W$10)*1000)</f>
        <v>-8.000000030733645</v>
      </c>
      <c r="BL50" s="40">
        <f t="shared" ref="BL50" si="1054">IF(X50="","",(X50-X$10)*1000)</f>
        <v>6.4999999012798071</v>
      </c>
      <c r="BM50" s="40">
        <f t="shared" ref="BM50" si="1055">IF(Y50="","",(Y50-Y$10)*1000)</f>
        <v>2.7999999999934744</v>
      </c>
      <c r="BN50" s="37"/>
      <c r="BO50" s="36">
        <v>169.36977857098964</v>
      </c>
      <c r="BP50" s="36">
        <v>-3.7623000680142655</v>
      </c>
      <c r="BQ50" s="36">
        <v>-1.1602177857099036</v>
      </c>
      <c r="BR50" s="36">
        <v>169.2091621404073</v>
      </c>
      <c r="BS50" s="36">
        <v>-4.2019870956082288</v>
      </c>
      <c r="BT50" s="36">
        <v>0.82738837859592707</v>
      </c>
      <c r="BU50" s="36">
        <v>169.18676990335709</v>
      </c>
      <c r="BV50" s="36">
        <v>-3.2305167214760764</v>
      </c>
      <c r="BW50" s="36">
        <v>2.9681123009664248</v>
      </c>
      <c r="BX50" s="36">
        <v>168.95936606315993</v>
      </c>
      <c r="BY50" s="36">
        <v>0.21604039304240663</v>
      </c>
      <c r="BZ50" s="36">
        <v>4.3345863393683999</v>
      </c>
      <c r="CA50" s="36">
        <v>169.19872777759124</v>
      </c>
      <c r="CB50" s="36">
        <v>3.2040029512621291</v>
      </c>
      <c r="CC50" s="36">
        <v>2.97679272222409</v>
      </c>
      <c r="CD50" s="36">
        <v>169.19026492905743</v>
      </c>
      <c r="CE50" s="36">
        <v>4.1924516095991278</v>
      </c>
      <c r="CF50" s="36">
        <v>0.83407735070942124</v>
      </c>
      <c r="CG50" s="36">
        <v>169.25421717633074</v>
      </c>
      <c r="CH50" s="36">
        <v>3.8636718808454771</v>
      </c>
      <c r="CI50" s="36">
        <v>-1.0850621717633118</v>
      </c>
      <c r="CJ50" s="37"/>
      <c r="CK50" s="40">
        <f t="shared" ref="CK50" si="1056">IF(BO50="","",(BO50-BO$10)*1000)</f>
        <v>-5.2770512013182724</v>
      </c>
      <c r="CL50" s="40">
        <f t="shared" ref="CL50" si="1057">IF(BP50="","",(BP50-BP$10)*1000)</f>
        <v>11.55217411278997</v>
      </c>
      <c r="CM50" s="40">
        <f t="shared" ref="CM50" si="1058">IF(BQ50="","",(BQ50-BQ$10)*1000)</f>
        <v>0.65277051201917402</v>
      </c>
      <c r="CN50" s="40">
        <f t="shared" ref="CN50" si="1059">IF(BR50="","",(BR50-BR$10)*1000)</f>
        <v>-2.7280887300662471</v>
      </c>
      <c r="CO50" s="40">
        <f t="shared" ref="CO50" si="1060">IF(BS50="","",(BS50-BS$10)*1000)</f>
        <v>9.8720579776561124</v>
      </c>
      <c r="CP50" s="40">
        <f t="shared" ref="CP50" si="1061">IF(BT50="","",(BT50-BT$10)*1000)</f>
        <v>-7.2719112694130672E-2</v>
      </c>
      <c r="CQ50" s="40">
        <f t="shared" ref="CQ50" si="1062">IF(BU50="","",(BU50-BU$10)*1000)</f>
        <v>-4.6853385137808345</v>
      </c>
      <c r="CR50" s="40">
        <f t="shared" ref="CR50" si="1063">IF(BV50="","",(BV50-BV$10)*1000)</f>
        <v>10.283365240020714</v>
      </c>
      <c r="CS50" s="40">
        <f t="shared" ref="CS50" si="1064">IF(BW50="","",(BW50-BW$10)*1000)</f>
        <v>-1.2531466148573145</v>
      </c>
      <c r="CT50" s="40">
        <f t="shared" ref="CT50" si="1065">IF(BX50="","",(BX50-BX$10)*1000)</f>
        <v>-4.2478014599112157</v>
      </c>
      <c r="CU50" s="40">
        <f t="shared" ref="CU50" si="1066">IF(BY50="","",(BY50-BY$10)*1000)</f>
        <v>-3.194711707152659</v>
      </c>
      <c r="CV50" s="40">
        <f t="shared" ref="CV50" si="1067">IF(BZ50="","",(BZ50-BZ$10)*1000)</f>
        <v>-18.357521985407743</v>
      </c>
      <c r="CW50" s="40">
        <f t="shared" ref="CW50" si="1068">IF(CA50="","",(CA50-CA$10)*1000)</f>
        <v>-2.4665642811214639</v>
      </c>
      <c r="CX50" s="40">
        <f t="shared" ref="CX50" si="1069">IF(CB50="","",(CB50-CB$10)*1000)</f>
        <v>-6.7776146865337061</v>
      </c>
      <c r="CY50" s="40">
        <f t="shared" ref="CY50" si="1070">IF(CC50="","",(CC50-CC$10)*1000)</f>
        <v>-6.6753343571832602</v>
      </c>
      <c r="CZ50" s="40">
        <f t="shared" ref="CZ50" si="1071">IF(CD50="","",(CD50-CD$10)*1000)</f>
        <v>-3.0830986780756575</v>
      </c>
      <c r="DA50" s="40">
        <f t="shared" ref="DA50" si="1072">IF(CE50="","",(CE50-CE$10)*1000)</f>
        <v>-8.0581948308653395</v>
      </c>
      <c r="DB50" s="40">
        <f t="shared" ref="DB50" si="1073">IF(CF50="","",(CF50-CF$10)*1000)</f>
        <v>0.53083098677575435</v>
      </c>
      <c r="DC50" s="40">
        <f t="shared" ref="DC50" si="1074">IF(CG50="","",(CG50-CG$10)*1000)</f>
        <v>-4.5030983972367267</v>
      </c>
      <c r="DD50" s="40">
        <f t="shared" ref="DD50" si="1075">IF(CH50="","",(CH50-CH$10)*1000)</f>
        <v>-9.2721143237750603</v>
      </c>
      <c r="DE50" s="40">
        <f t="shared" ref="DE50" si="1076">IF(CI50="","",(CI50-CI$10)*1000)</f>
        <v>2.8450309839627153</v>
      </c>
    </row>
    <row r="51" spans="1:109" ht="29.25" customHeight="1" x14ac:dyDescent="0.2">
      <c r="A51" s="34">
        <v>43760</v>
      </c>
      <c r="B51" s="27">
        <f t="shared" si="975"/>
        <v>161</v>
      </c>
      <c r="C51" s="35">
        <v>215</v>
      </c>
      <c r="D51" s="35">
        <f t="shared" si="0"/>
        <v>45.800000000000011</v>
      </c>
      <c r="E51" s="36">
        <v>823219.58360000001</v>
      </c>
      <c r="F51" s="36">
        <v>1091508.5944000001</v>
      </c>
      <c r="G51" s="36">
        <v>-125.0103</v>
      </c>
      <c r="H51" s="36">
        <v>823219.25210000004</v>
      </c>
      <c r="I51" s="36">
        <v>1091508.9247999999</v>
      </c>
      <c r="J51" s="36">
        <v>-123.0244</v>
      </c>
      <c r="K51" s="36"/>
      <c r="L51" s="36"/>
      <c r="M51" s="36"/>
      <c r="N51" s="36">
        <v>823220.89300000004</v>
      </c>
      <c r="O51" s="36">
        <v>1091504.8155</v>
      </c>
      <c r="P51" s="36">
        <v>-119.5202</v>
      </c>
      <c r="Q51" s="36">
        <v>823222.3726</v>
      </c>
      <c r="R51" s="36">
        <v>1091502.2089</v>
      </c>
      <c r="S51" s="36">
        <v>-120.8754</v>
      </c>
      <c r="T51" s="36">
        <v>823222.78249999997</v>
      </c>
      <c r="U51" s="36">
        <v>1091501.3095</v>
      </c>
      <c r="V51" s="36">
        <v>-123.018</v>
      </c>
      <c r="W51" s="36">
        <v>823222.70160000003</v>
      </c>
      <c r="X51" s="36">
        <v>1091501.6344999999</v>
      </c>
      <c r="Y51" s="36">
        <v>-124.9363</v>
      </c>
      <c r="Z51" s="36">
        <f t="shared" si="1"/>
        <v>6.7923347665090752</v>
      </c>
      <c r="AA51" s="36">
        <f t="shared" si="2"/>
        <v>5.6443172252389076</v>
      </c>
      <c r="AB51" s="36"/>
      <c r="AC51" s="36">
        <f t="shared" si="4"/>
        <v>3.2893991488093577</v>
      </c>
      <c r="AD51" s="36">
        <f t="shared" si="5"/>
        <v>5.300646289850774</v>
      </c>
      <c r="AE51" s="36">
        <f t="shared" si="6"/>
        <v>6.5363548075811844</v>
      </c>
      <c r="AF51" s="36"/>
      <c r="AG51" s="36">
        <f t="shared" si="8"/>
        <v>8.3938405517795065</v>
      </c>
      <c r="AH51" s="36">
        <f t="shared" si="9"/>
        <v>7.6267691725887827</v>
      </c>
      <c r="AI51" s="40">
        <f t="shared" si="1026"/>
        <v>-24.616529316615399</v>
      </c>
      <c r="AJ51" s="40">
        <f t="shared" ref="AJ51" si="1077">IF(AA51="","",(AA51-AA$10)*1000)</f>
        <v>-22.054319182745807</v>
      </c>
      <c r="AK51" s="40"/>
      <c r="AL51" s="40">
        <f t="shared" ref="AL51" si="1078">IF(AC51="","",(AC51-AC$10)*1000)</f>
        <v>-8.2896084254091562</v>
      </c>
      <c r="AM51" s="40">
        <f t="shared" ref="AM51" si="1079">IF(AD51="","",(AD51-AD$10)*1000)</f>
        <v>-16.619777407653302</v>
      </c>
      <c r="AN51" s="40">
        <f t="shared" ref="AN51" si="1080">IF(AE51="","",(AE51-AE$10)*1000)</f>
        <v>-21.65044243340386</v>
      </c>
      <c r="AO51" s="40" t="str">
        <f t="shared" ref="AO51" si="1081">IF(AF51="","",(AF51-AF$10)*1000)</f>
        <v/>
      </c>
      <c r="AP51" s="40">
        <f t="shared" ref="AP51" si="1082">IF(AG51="","",(AG51-AG$10)*1000)</f>
        <v>-18.550910166482026</v>
      </c>
      <c r="AQ51" s="40">
        <f t="shared" ref="AQ51" si="1083">IF(AH51="","",(AH51-AH$10)*1000)</f>
        <v>-21.248992125439514</v>
      </c>
      <c r="AR51" s="37"/>
      <c r="AS51" s="40">
        <f t="shared" ref="AS51" si="1084">IF(E51="","",(E51-E$10)*1000)</f>
        <v>0.80000003799796104</v>
      </c>
      <c r="AT51" s="40">
        <f t="shared" ref="AT51" si="1085">IF(F51="","",(F51-F$10)*1000)</f>
        <v>-13.499999884516001</v>
      </c>
      <c r="AU51" s="40">
        <f t="shared" ref="AU51" si="1086">IF(G51="","",(G51-G$10)*1000)</f>
        <v>-0.29999999999574811</v>
      </c>
      <c r="AV51" s="40">
        <f t="shared" ref="AV51" si="1087">IF(H51="","",(H51-H$10)*1000)</f>
        <v>2.3000000510364771</v>
      </c>
      <c r="AW51" s="40">
        <f t="shared" ref="AW51" si="1088">IF(I51="","",(I51-I$10)*1000)</f>
        <v>-11.100000003352761</v>
      </c>
      <c r="AX51" s="40">
        <f t="shared" ref="AX51" si="1089">IF(J51="","",(J51-J$10)*1000)</f>
        <v>-1.0999999999938836</v>
      </c>
      <c r="AY51" s="40" t="str">
        <f t="shared" ref="AY51" si="1090">IF(K51="","",(K51-K$10)*1000)</f>
        <v/>
      </c>
      <c r="AZ51" s="40" t="str">
        <f t="shared" ref="AZ51" si="1091">IF(L51="","",(L51-L$10)*1000)</f>
        <v/>
      </c>
      <c r="BA51" s="40" t="str">
        <f t="shared" ref="BA51" si="1092">IF(M51="","",(M51-M$10)*1000)</f>
        <v/>
      </c>
      <c r="BB51" s="40">
        <f t="shared" ref="BB51" si="1093">IF(N51="","",(N51-N$10)*1000)</f>
        <v>-4.5999999856576324</v>
      </c>
      <c r="BC51" s="40">
        <f t="shared" ref="BC51" si="1094">IF(O51="","",(O51-O$10)*1000)</f>
        <v>0.40000001899898052</v>
      </c>
      <c r="BD51" s="40">
        <f t="shared" ref="BD51" si="1095">IF(P51="","",(P51-P$10)*1000)</f>
        <v>-19.900000000006912</v>
      </c>
      <c r="BE51" s="40">
        <f t="shared" ref="BE51" si="1096">IF(Q51="","",(Q51-Q$10)*1000)</f>
        <v>-4.7000000486150384</v>
      </c>
      <c r="BF51" s="40">
        <f t="shared" ref="BF51" si="1097">IF(R51="","",(R51-R$10)*1000)</f>
        <v>4.5999998692423105</v>
      </c>
      <c r="BG51" s="40">
        <f t="shared" ref="BG51" si="1098">IF(S51="","",(S51-S$10)*1000)</f>
        <v>-7.9999999999955662</v>
      </c>
      <c r="BH51" s="40">
        <f t="shared" ref="BH51" si="1099">IF(T51="","",(T51-T$10)*1000)</f>
        <v>-6.0000000521540642</v>
      </c>
      <c r="BI51" s="40">
        <f t="shared" ref="BI51" si="1100">IF(U51="","",(U51-U$10)*1000)</f>
        <v>5.4999999701976776</v>
      </c>
      <c r="BJ51" s="40">
        <f t="shared" ref="BJ51" si="1101">IF(V51="","",(V51-V$10)*1000)</f>
        <v>-0.60000000000570708</v>
      </c>
      <c r="BK51" s="40">
        <f t="shared" ref="BK51" si="1102">IF(W51="","",(W51-W$10)*1000)</f>
        <v>-7.6999999582767487</v>
      </c>
      <c r="BL51" s="40">
        <f t="shared" ref="BL51" si="1103">IF(X51="","",(X51-X$10)*1000)</f>
        <v>5.9999998193234205</v>
      </c>
      <c r="BM51" s="40">
        <f t="shared" ref="BM51" si="1104">IF(Y51="","",(Y51-Y$10)*1000)</f>
        <v>1.8999999999920192</v>
      </c>
      <c r="BN51" s="37"/>
      <c r="BO51" s="36">
        <v>169.37007485377728</v>
      </c>
      <c r="BP51" s="36">
        <v>-3.7612791779439982</v>
      </c>
      <c r="BQ51" s="36">
        <v>-1.1611207485377832</v>
      </c>
      <c r="BR51" s="36">
        <v>169.20928326358325</v>
      </c>
      <c r="BS51" s="36">
        <v>-4.2008272121924106</v>
      </c>
      <c r="BT51" s="36">
        <v>0.82638716736416029</v>
      </c>
      <c r="BU51" s="36"/>
      <c r="BV51" s="36"/>
      <c r="BW51" s="36"/>
      <c r="BX51" s="36">
        <v>168.95961398201877</v>
      </c>
      <c r="BY51" s="36">
        <v>0.21692838867230294</v>
      </c>
      <c r="BZ51" s="36">
        <v>4.3330838601798121</v>
      </c>
      <c r="CA51" s="36">
        <v>169.19887896838841</v>
      </c>
      <c r="CB51" s="36">
        <v>3.2046251581730898</v>
      </c>
      <c r="CC51" s="36">
        <v>2.9754912103161075</v>
      </c>
      <c r="CD51" s="36">
        <v>169.19023486143618</v>
      </c>
      <c r="CE51" s="36">
        <v>4.1929892861040345</v>
      </c>
      <c r="CF51" s="36">
        <v>0.83297765138563307</v>
      </c>
      <c r="CG51" s="36">
        <v>169.25427773797148</v>
      </c>
      <c r="CH51" s="36">
        <v>3.8642518225780038</v>
      </c>
      <c r="CI51" s="36">
        <v>-1.08596277737972</v>
      </c>
      <c r="CJ51" s="37"/>
      <c r="CK51" s="40">
        <f t="shared" ref="CK51" si="1105">IF(BO51="","",(BO51-BO$10)*1000)</f>
        <v>-4.9807684136737862</v>
      </c>
      <c r="CL51" s="40">
        <f t="shared" ref="CL51" si="1106">IF(BP51="","",(BP51-BP$10)*1000)</f>
        <v>12.573064183057259</v>
      </c>
      <c r="CM51" s="40">
        <f t="shared" ref="CM51" si="1107">IF(BQ51="","",(BQ51-BQ$10)*1000)</f>
        <v>-0.25019231586043134</v>
      </c>
      <c r="CN51" s="40">
        <f t="shared" ref="CN51" si="1108">IF(BR51="","",(BR51-BR$10)*1000)</f>
        <v>-2.6069655541220982</v>
      </c>
      <c r="CO51" s="40">
        <f t="shared" ref="CO51" si="1109">IF(BS51="","",(BS51-BS$10)*1000)</f>
        <v>11.031941393474298</v>
      </c>
      <c r="CP51" s="40">
        <f t="shared" ref="CP51" si="1110">IF(BT51="","",(BT51-BT$10)*1000)</f>
        <v>-1.073930344460905</v>
      </c>
      <c r="CQ51" s="40" t="str">
        <f t="shared" ref="CQ51:CQ52" si="1111">IF(BU51="","",(BU51-BU$10)*1000)</f>
        <v/>
      </c>
      <c r="CR51" s="40" t="str">
        <f t="shared" ref="CR51:CR52" si="1112">IF(BV51="","",(BV51-BV$10)*1000)</f>
        <v/>
      </c>
      <c r="CS51" s="40" t="str">
        <f t="shared" ref="CS51:CS52" si="1113">IF(BW51="","",(BW51-BW$10)*1000)</f>
        <v/>
      </c>
      <c r="CT51" s="40">
        <f t="shared" ref="CT51" si="1114">IF(BX51="","",(BX51-BX$10)*1000)</f>
        <v>-3.9998826010787525</v>
      </c>
      <c r="CU51" s="40">
        <f t="shared" ref="CU51" si="1115">IF(BY51="","",(BY51-BY$10)*1000)</f>
        <v>-2.3067160772563544</v>
      </c>
      <c r="CV51" s="40">
        <f t="shared" ref="CV51" si="1116">IF(BZ51="","",(BZ51-BZ$10)*1000)</f>
        <v>-19.860001173995556</v>
      </c>
      <c r="CW51" s="40">
        <f t="shared" ref="CW51" si="1117">IF(CA51="","",(CA51-CA$10)*1000)</f>
        <v>-2.3153734839524986</v>
      </c>
      <c r="CX51" s="40">
        <f t="shared" ref="CX51" si="1118">IF(CB51="","",(CB51-CB$10)*1000)</f>
        <v>-6.1554077755729963</v>
      </c>
      <c r="CY51" s="40">
        <f t="shared" ref="CY51" si="1119">IF(CC51="","",(CC51-CC$10)*1000)</f>
        <v>-7.9768462651657046</v>
      </c>
      <c r="CZ51" s="40">
        <f t="shared" ref="CZ51" si="1120">IF(CD51="","",(CD51-CD$10)*1000)</f>
        <v>-3.1131662993288955</v>
      </c>
      <c r="DA51" s="40">
        <f t="shared" ref="DA51" si="1121">IF(CE51="","",(CE51-CE$10)*1000)</f>
        <v>-7.5205183259585695</v>
      </c>
      <c r="DB51" s="40">
        <f t="shared" ref="DB51" si="1122">IF(CF51="","",(CF51-CF$10)*1000)</f>
        <v>-0.56886833701241812</v>
      </c>
      <c r="DC51" s="40">
        <f t="shared" ref="DC51" si="1123">IF(CG51="","",(CG51-CG$10)*1000)</f>
        <v>-4.4425367564997487</v>
      </c>
      <c r="DD51" s="40">
        <f t="shared" ref="DD51" si="1124">IF(CH51="","",(CH51-CH$10)*1000)</f>
        <v>-8.6921725912483261</v>
      </c>
      <c r="DE51" s="40">
        <f t="shared" ref="DE51" si="1125">IF(CI51="","",(CI51-CI$10)*1000)</f>
        <v>1.9444253675544587</v>
      </c>
    </row>
    <row r="52" spans="1:109" ht="29.25" customHeight="1" x14ac:dyDescent="0.2">
      <c r="A52" s="34">
        <v>43762</v>
      </c>
      <c r="B52" s="27">
        <f t="shared" si="975"/>
        <v>163</v>
      </c>
      <c r="C52" s="35">
        <v>215</v>
      </c>
      <c r="D52" s="35">
        <f t="shared" si="0"/>
        <v>45.800000000000011</v>
      </c>
      <c r="E52" s="36">
        <v>823219.58299999998</v>
      </c>
      <c r="F52" s="36">
        <v>1091508.5951</v>
      </c>
      <c r="G52" s="36">
        <v>-125.01009999999999</v>
      </c>
      <c r="H52" s="36">
        <v>823219.2513</v>
      </c>
      <c r="I52" s="36">
        <v>1091508.9251000001</v>
      </c>
      <c r="J52" s="36">
        <v>-123.02419999999999</v>
      </c>
      <c r="K52" s="36">
        <v>823219.64159999997</v>
      </c>
      <c r="L52" s="36">
        <v>1091508.0353999999</v>
      </c>
      <c r="M52" s="36">
        <v>-120.8839</v>
      </c>
      <c r="N52" s="36">
        <v>823220.89240000001</v>
      </c>
      <c r="O52" s="36">
        <v>1091504.8160999999</v>
      </c>
      <c r="P52" s="36">
        <v>-119.5198</v>
      </c>
      <c r="Q52" s="36">
        <v>823222.37219999998</v>
      </c>
      <c r="R52" s="36">
        <v>1091502.2093</v>
      </c>
      <c r="S52" s="36">
        <v>-120.8749</v>
      </c>
      <c r="T52" s="36">
        <v>823222.78220000002</v>
      </c>
      <c r="U52" s="36">
        <v>1091501.3097999999</v>
      </c>
      <c r="V52" s="36">
        <v>-123.0177</v>
      </c>
      <c r="W52" s="36">
        <v>823222.701</v>
      </c>
      <c r="X52" s="36">
        <v>1091501.635</v>
      </c>
      <c r="Y52" s="36">
        <v>-124.93600000000001</v>
      </c>
      <c r="Z52" s="36">
        <f t="shared" si="1"/>
        <v>6.7925520572759437</v>
      </c>
      <c r="AA52" s="36">
        <f t="shared" si="2"/>
        <v>5.6442811385892604</v>
      </c>
      <c r="AB52" s="36">
        <f t="shared" si="395"/>
        <v>3.7133760838455143</v>
      </c>
      <c r="AC52" s="36">
        <f t="shared" si="4"/>
        <v>3.2896064034559549</v>
      </c>
      <c r="AD52" s="36">
        <f t="shared" si="5"/>
        <v>5.301017651364158</v>
      </c>
      <c r="AE52" s="36">
        <f t="shared" si="6"/>
        <v>6.53648633514283</v>
      </c>
      <c r="AF52" s="36">
        <f t="shared" si="396"/>
        <v>6.43425975302846</v>
      </c>
      <c r="AG52" s="36">
        <f t="shared" si="8"/>
        <v>8.3940509381837156</v>
      </c>
      <c r="AH52" s="36">
        <f t="shared" si="9"/>
        <v>7.626952656235801</v>
      </c>
      <c r="AI52" s="40">
        <f t="shared" si="1026"/>
        <v>-24.399238549746904</v>
      </c>
      <c r="AJ52" s="40">
        <f t="shared" ref="AJ52" si="1126">IF(AA52="","",(AA52-AA$10)*1000)</f>
        <v>-22.090405832392968</v>
      </c>
      <c r="AK52" s="40">
        <f t="shared" ref="AK52" si="1127">IF(AB52="","",(AB52-AB$10)*1000)</f>
        <v>-19.149188589818955</v>
      </c>
      <c r="AL52" s="40">
        <f t="shared" ref="AL52" si="1128">IF(AC52="","",(AC52-AC$10)*1000)</f>
        <v>-8.0823537788119459</v>
      </c>
      <c r="AM52" s="40">
        <f t="shared" ref="AM52" si="1129">IF(AD52="","",(AD52-AD$10)*1000)</f>
        <v>-16.248415894269286</v>
      </c>
      <c r="AN52" s="40">
        <f t="shared" ref="AN52" si="1130">IF(AE52="","",(AE52-AE$10)*1000)</f>
        <v>-21.518914871758277</v>
      </c>
      <c r="AO52" s="40">
        <f t="shared" ref="AO52" si="1131">IF(AF52="","",(AF52-AF$10)*1000)</f>
        <v>-17.343877690587206</v>
      </c>
      <c r="AP52" s="40">
        <f t="shared" ref="AP52" si="1132">IF(AG52="","",(AG52-AG$10)*1000)</f>
        <v>-18.340523762272909</v>
      </c>
      <c r="AQ52" s="40">
        <f t="shared" ref="AQ52" si="1133">IF(AH52="","",(AH52-AH$10)*1000)</f>
        <v>-21.065508478421258</v>
      </c>
      <c r="AR52" s="37"/>
      <c r="AS52" s="40">
        <f t="shared" ref="AS52" si="1134">IF(E52="","",(E52-E$10)*1000)</f>
        <v>0.20000000949949026</v>
      </c>
      <c r="AT52" s="40">
        <f t="shared" ref="AT52" si="1135">IF(F52="","",(F52-F$10)*1000)</f>
        <v>-12.799999909475446</v>
      </c>
      <c r="AU52" s="40">
        <f t="shared" ref="AU52" si="1136">IF(G52="","",(G52-G$10)*1000)</f>
        <v>-9.9999999989108801E-2</v>
      </c>
      <c r="AV52" s="40">
        <f t="shared" ref="AV52" si="1137">IF(H52="","",(H52-H$10)*1000)</f>
        <v>1.500000013038516</v>
      </c>
      <c r="AW52" s="40">
        <f t="shared" ref="AW52" si="1138">IF(I52="","",(I52-I$10)*1000)</f>
        <v>-10.799999814480543</v>
      </c>
      <c r="AX52" s="40">
        <f t="shared" ref="AX52" si="1139">IF(J52="","",(J52-J$10)*1000)</f>
        <v>-0.89999999998724434</v>
      </c>
      <c r="AY52" s="40">
        <f t="shared" ref="AY52" si="1140">IF(K52="","",(K52-K$10)*1000)</f>
        <v>-0.10000006295740604</v>
      </c>
      <c r="AZ52" s="40">
        <f t="shared" ref="AZ52" si="1141">IF(L52="","",(L52-L$10)*1000)</f>
        <v>-11.799999978393316</v>
      </c>
      <c r="BA52" s="40">
        <f t="shared" ref="BA52" si="1142">IF(M52="","",(M52-M$10)*1000)</f>
        <v>-2.299999999991087</v>
      </c>
      <c r="BB52" s="40">
        <f t="shared" ref="BB52" si="1143">IF(N52="","",(N52-N$10)*1000)</f>
        <v>-5.2000000141561031</v>
      </c>
      <c r="BC52" s="40">
        <f t="shared" ref="BC52" si="1144">IF(O52="","",(O52-O$10)*1000)</f>
        <v>0.99999993108212948</v>
      </c>
      <c r="BD52" s="40">
        <f t="shared" ref="BD52" si="1145">IF(P52="","",(P52-P$10)*1000)</f>
        <v>-19.500000000007844</v>
      </c>
      <c r="BE52" s="40">
        <f t="shared" ref="BE52" si="1146">IF(Q52="","",(Q52-Q$10)*1000)</f>
        <v>-5.1000000676140189</v>
      </c>
      <c r="BF52" s="40">
        <f t="shared" ref="BF52" si="1147">IF(R52="","",(R52-R$10)*1000)</f>
        <v>4.999999888241291</v>
      </c>
      <c r="BG52" s="40">
        <f t="shared" ref="BG52" si="1148">IF(S52="","",(S52-S$10)*1000)</f>
        <v>-7.4999999999931788</v>
      </c>
      <c r="BH52" s="40">
        <f t="shared" ref="BH52" si="1149">IF(T52="","",(T52-T$10)*1000)</f>
        <v>-6.3000000081956387</v>
      </c>
      <c r="BI52" s="40">
        <f t="shared" ref="BI52" si="1150">IF(U52="","",(U52-U$10)*1000)</f>
        <v>5.7999999262392521</v>
      </c>
      <c r="BJ52" s="40">
        <f t="shared" ref="BJ52" si="1151">IF(V52="","",(V52-V$10)*1000)</f>
        <v>-0.30000000000995897</v>
      </c>
      <c r="BK52" s="40">
        <f t="shared" ref="BK52" si="1152">IF(W52="","",(W52-W$10)*1000)</f>
        <v>-8.2999999867752194</v>
      </c>
      <c r="BL52" s="40">
        <f t="shared" ref="BL52" si="1153">IF(X52="","",(X52-X$10)*1000)</f>
        <v>6.4999999012798071</v>
      </c>
      <c r="BM52" s="40">
        <f t="shared" ref="BM52" si="1154">IF(Y52="","",(Y52-Y$10)*1000)</f>
        <v>2.1999999999877673</v>
      </c>
      <c r="BN52" s="37"/>
      <c r="BO52" s="36">
        <v>169.36982693491848</v>
      </c>
      <c r="BP52" s="36">
        <v>-3.7621671735738706</v>
      </c>
      <c r="BQ52" s="36">
        <v>-1.1609182693491817</v>
      </c>
      <c r="BR52" s="36">
        <v>169.20868502559236</v>
      </c>
      <c r="BS52" s="36">
        <v>-4.201437221602462</v>
      </c>
      <c r="BT52" s="36">
        <v>0.8265931497440846</v>
      </c>
      <c r="BU52" s="36">
        <v>169.18637731889896</v>
      </c>
      <c r="BV52" s="36">
        <v>-3.2301481057832486</v>
      </c>
      <c r="BW52" s="36">
        <v>2.9671162268110152</v>
      </c>
      <c r="BX52" s="36">
        <v>168.95932379793234</v>
      </c>
      <c r="BY52" s="36">
        <v>0.21613102230441261</v>
      </c>
      <c r="BZ52" s="36">
        <v>4.3334867620206694</v>
      </c>
      <c r="CA52" s="36">
        <v>169.1986855123636</v>
      </c>
      <c r="CB52" s="36">
        <v>3.2040935805241255</v>
      </c>
      <c r="CC52" s="36">
        <v>2.9759931448763695</v>
      </c>
      <c r="CD52" s="36">
        <v>169.19008976944573</v>
      </c>
      <c r="CE52" s="36">
        <v>4.1925906029446596</v>
      </c>
      <c r="CF52" s="36">
        <v>0.83327910230553925</v>
      </c>
      <c r="CG52" s="36">
        <v>169.25394528875586</v>
      </c>
      <c r="CH52" s="36">
        <v>3.8635450852610123</v>
      </c>
      <c r="CI52" s="36">
        <v>-1.0856594528875689</v>
      </c>
      <c r="CJ52" s="37"/>
      <c r="CK52" s="40">
        <f t="shared" ref="CK52" si="1155">IF(BO52="","",(BO52-BO$10)*1000)</f>
        <v>-5.2286872724778277</v>
      </c>
      <c r="CL52" s="40">
        <f t="shared" ref="CL52" si="1156">IF(BP52="","",(BP52-BP$10)*1000)</f>
        <v>11.685068553184852</v>
      </c>
      <c r="CM52" s="40">
        <f t="shared" ref="CM52" si="1157">IF(BQ52="","",(BQ52-BQ$10)*1000)</f>
        <v>-4.7713127258930399E-2</v>
      </c>
      <c r="CN52" s="40">
        <f t="shared" ref="CN52" si="1158">IF(BR52="","",(BR52-BR$10)*1000)</f>
        <v>-3.205203545007862</v>
      </c>
      <c r="CO52" s="40">
        <f t="shared" ref="CO52" si="1159">IF(BS52="","",(BS52-BS$10)*1000)</f>
        <v>10.421931983422894</v>
      </c>
      <c r="CP52" s="40">
        <f t="shared" ref="CP52" si="1160">IF(BT52="","",(BT52-BT$10)*1000)</f>
        <v>-0.86794796453659728</v>
      </c>
      <c r="CQ52" s="40">
        <f t="shared" si="1111"/>
        <v>-5.0779229719069008</v>
      </c>
      <c r="CR52" s="40">
        <f t="shared" si="1112"/>
        <v>10.65198093284847</v>
      </c>
      <c r="CS52" s="40">
        <f t="shared" si="1113"/>
        <v>-2.249220770266902</v>
      </c>
      <c r="CT52" s="40">
        <f t="shared" ref="CT52" si="1161">IF(BX52="","",(BX52-BX$10)*1000)</f>
        <v>-4.2900666875027582</v>
      </c>
      <c r="CU52" s="40">
        <f t="shared" ref="CU52" si="1162">IF(BY52="","",(BY52-BY$10)*1000)</f>
        <v>-3.1040824451466777</v>
      </c>
      <c r="CV52" s="40">
        <f t="shared" ref="CV52" si="1163">IF(BZ52="","",(BZ52-BZ$10)*1000)</f>
        <v>-19.457099333138217</v>
      </c>
      <c r="CW52" s="40">
        <f t="shared" ref="CW52" si="1164">IF(CA52="","",(CA52-CA$10)*1000)</f>
        <v>-2.5088295087698498</v>
      </c>
      <c r="CX52" s="40">
        <f t="shared" ref="CX52" si="1165">IF(CB52="","",(CB52-CB$10)*1000)</f>
        <v>-6.6869854245372728</v>
      </c>
      <c r="CY52" s="40">
        <f t="shared" ref="CY52" si="1166">IF(CC52="","",(CC52-CC$10)*1000)</f>
        <v>-7.474911704903775</v>
      </c>
      <c r="CZ52" s="40">
        <f t="shared" ref="CZ52" si="1167">IF(CD52="","",(CD52-CD$10)*1000)</f>
        <v>-3.2582582897759949</v>
      </c>
      <c r="DA52" s="40">
        <f t="shared" ref="DA52" si="1168">IF(CE52="","",(CE52-CE$10)*1000)</f>
        <v>-7.919201485333538</v>
      </c>
      <c r="DB52" s="40">
        <f t="shared" ref="DB52" si="1169">IF(CF52="","",(CF52-CF$10)*1000)</f>
        <v>-0.26741741710623046</v>
      </c>
      <c r="DC52" s="40">
        <f t="shared" ref="DC52" si="1170">IF(CG52="","",(CG52-CG$10)*1000)</f>
        <v>-4.7749859721193388</v>
      </c>
      <c r="DD52" s="40">
        <f t="shared" ref="DD52" si="1171">IF(CH52="","",(CH52-CH$10)*1000)</f>
        <v>-9.398909908239883</v>
      </c>
      <c r="DE52" s="40">
        <f t="shared" ref="DE52" si="1172">IF(CI52="","",(CI52-CI$10)*1000)</f>
        <v>2.2477498597055501</v>
      </c>
    </row>
    <row r="53" spans="1:109" ht="29.25" customHeight="1" x14ac:dyDescent="0.2">
      <c r="A53" s="34">
        <v>43766</v>
      </c>
      <c r="B53" s="27">
        <f t="shared" si="975"/>
        <v>167</v>
      </c>
      <c r="C53" s="35">
        <v>215.55</v>
      </c>
      <c r="D53" s="35">
        <f t="shared" si="0"/>
        <v>46.350000000000023</v>
      </c>
      <c r="E53" s="36">
        <v>823219.58290000004</v>
      </c>
      <c r="F53" s="36">
        <v>1091508.5944000001</v>
      </c>
      <c r="G53" s="36">
        <v>-125.0098</v>
      </c>
      <c r="H53" s="36">
        <v>823219.2513</v>
      </c>
      <c r="I53" s="36">
        <v>1091508.9247000001</v>
      </c>
      <c r="J53" s="36">
        <v>-123.024</v>
      </c>
      <c r="K53" s="36">
        <v>823219.64150000003</v>
      </c>
      <c r="L53" s="36">
        <v>1091508.0349999999</v>
      </c>
      <c r="M53" s="36">
        <v>-120.88379999999999</v>
      </c>
      <c r="N53" s="36">
        <v>823220.89229999995</v>
      </c>
      <c r="O53" s="36">
        <v>1091504.8156000001</v>
      </c>
      <c r="P53" s="36">
        <v>-119.5198</v>
      </c>
      <c r="Q53" s="36">
        <v>823222.37199999997</v>
      </c>
      <c r="R53" s="36">
        <v>1091502.2089</v>
      </c>
      <c r="S53" s="36">
        <v>-120.8749</v>
      </c>
      <c r="T53" s="36">
        <v>823222.78209999995</v>
      </c>
      <c r="U53" s="36">
        <v>1091501.3093999999</v>
      </c>
      <c r="V53" s="36">
        <v>-123.0175</v>
      </c>
      <c r="W53" s="36">
        <v>823222.701</v>
      </c>
      <c r="X53" s="36">
        <v>1091501.6344999999</v>
      </c>
      <c r="Y53" s="36">
        <v>-124.9358</v>
      </c>
      <c r="Z53" s="36">
        <f t="shared" si="1"/>
        <v>6.7921983039033229</v>
      </c>
      <c r="AA53" s="36">
        <f t="shared" si="2"/>
        <v>5.6442006918457359</v>
      </c>
      <c r="AB53" s="36">
        <f t="shared" si="395"/>
        <v>3.7134260459433999</v>
      </c>
      <c r="AC53" s="36">
        <f t="shared" si="4"/>
        <v>3.289482176681044</v>
      </c>
      <c r="AD53" s="36">
        <f t="shared" si="5"/>
        <v>5.3008195377003311</v>
      </c>
      <c r="AE53" s="36">
        <f t="shared" si="6"/>
        <v>6.5363482848772625</v>
      </c>
      <c r="AF53" s="36">
        <f t="shared" si="396"/>
        <v>6.4342171760905034</v>
      </c>
      <c r="AG53" s="36">
        <f t="shared" si="8"/>
        <v>8.3940088743328314</v>
      </c>
      <c r="AH53" s="36">
        <f t="shared" si="9"/>
        <v>7.6268100554305942</v>
      </c>
      <c r="AI53" s="40">
        <f t="shared" si="1026"/>
        <v>-24.752991922367684</v>
      </c>
      <c r="AJ53" s="40">
        <f t="shared" ref="AJ53" si="1173">IF(AA53="","",(AA53-AA$10)*1000)</f>
        <v>-22.170852575917444</v>
      </c>
      <c r="AK53" s="40">
        <f t="shared" ref="AK53" si="1174">IF(AB53="","",(AB53-AB$10)*1000)</f>
        <v>-19.099226491933408</v>
      </c>
      <c r="AL53" s="40">
        <f t="shared" ref="AL53" si="1175">IF(AC53="","",(AC53-AC$10)*1000)</f>
        <v>-8.2065805537228087</v>
      </c>
      <c r="AM53" s="40">
        <f t="shared" ref="AM53" si="1176">IF(AD53="","",(AD53-AD$10)*1000)</f>
        <v>-16.446529558096223</v>
      </c>
      <c r="AN53" s="40">
        <f t="shared" ref="AN53" si="1177">IF(AE53="","",(AE53-AE$10)*1000)</f>
        <v>-21.656965137325734</v>
      </c>
      <c r="AO53" s="40">
        <f t="shared" ref="AO53" si="1178">IF(AF53="","",(AF53-AF$10)*1000)</f>
        <v>-17.386454628543824</v>
      </c>
      <c r="AP53" s="40">
        <f t="shared" ref="AP53" si="1179">IF(AG53="","",(AG53-AG$10)*1000)</f>
        <v>-18.382587613157142</v>
      </c>
      <c r="AQ53" s="40">
        <f t="shared" ref="AQ53" si="1180">IF(AH53="","",(AH53-AH$10)*1000)</f>
        <v>-21.20810928362804</v>
      </c>
      <c r="AR53" s="37"/>
      <c r="AS53" s="40">
        <f t="shared" ref="AS53" si="1181">IF(E53="","",(E53-E$10)*1000)</f>
        <v>0.10000006295740604</v>
      </c>
      <c r="AT53" s="40">
        <f t="shared" ref="AT53" si="1182">IF(F53="","",(F53-F$10)*1000)</f>
        <v>-13.499999884516001</v>
      </c>
      <c r="AU53" s="40">
        <f t="shared" ref="AU53" si="1183">IF(G53="","",(G53-G$10)*1000)</f>
        <v>0.20000000000663931</v>
      </c>
      <c r="AV53" s="40">
        <f t="shared" ref="AV53" si="1184">IF(H53="","",(H53-H$10)*1000)</f>
        <v>1.500000013038516</v>
      </c>
      <c r="AW53" s="40">
        <f t="shared" ref="AW53" si="1185">IF(I53="","",(I53-I$10)*1000)</f>
        <v>-11.199999833479524</v>
      </c>
      <c r="AX53" s="40">
        <f t="shared" ref="AX53" si="1186">IF(J53="","",(J53-J$10)*1000)</f>
        <v>-0.69999999999481588</v>
      </c>
      <c r="AY53" s="40">
        <f t="shared" ref="AY53" si="1187">IF(K53="","",(K53-K$10)*1000)</f>
        <v>-0.20000000949949026</v>
      </c>
      <c r="AZ53" s="40">
        <f t="shared" ref="AZ53" si="1188">IF(L53="","",(L53-L$10)*1000)</f>
        <v>-12.199999997392297</v>
      </c>
      <c r="BA53" s="40">
        <f t="shared" ref="BA53" si="1189">IF(M53="","",(M53-M$10)*1000)</f>
        <v>-2.1999999999877673</v>
      </c>
      <c r="BB53" s="40">
        <f t="shared" ref="BB53" si="1190">IF(N53="","",(N53-N$10)*1000)</f>
        <v>-5.3000000771135092</v>
      </c>
      <c r="BC53" s="40">
        <f t="shared" ref="BC53" si="1191">IF(O53="","",(O53-O$10)*1000)</f>
        <v>0.50000008195638657</v>
      </c>
      <c r="BD53" s="40">
        <f t="shared" ref="BD53" si="1192">IF(P53="","",(P53-P$10)*1000)</f>
        <v>-19.500000000007844</v>
      </c>
      <c r="BE53" s="40">
        <f t="shared" ref="BE53" si="1193">IF(Q53="","",(Q53-Q$10)*1000)</f>
        <v>-5.3000000771135092</v>
      </c>
      <c r="BF53" s="40">
        <f t="shared" ref="BF53" si="1194">IF(R53="","",(R53-R$10)*1000)</f>
        <v>4.5999998692423105</v>
      </c>
      <c r="BG53" s="40">
        <f t="shared" ref="BG53" si="1195">IF(S53="","",(S53-S$10)*1000)</f>
        <v>-7.4999999999931788</v>
      </c>
      <c r="BH53" s="40">
        <f t="shared" ref="BH53" si="1196">IF(T53="","",(T53-T$10)*1000)</f>
        <v>-6.4000000711530447</v>
      </c>
      <c r="BI53" s="40">
        <f t="shared" ref="BI53" si="1197">IF(U53="","",(U53-U$10)*1000)</f>
        <v>5.3999999072402716</v>
      </c>
      <c r="BJ53" s="40">
        <f t="shared" ref="BJ53" si="1198">IF(V53="","",(V53-V$10)*1000)</f>
        <v>-0.10000000000331966</v>
      </c>
      <c r="BK53" s="40">
        <f t="shared" ref="BK53" si="1199">IF(W53="","",(W53-W$10)*1000)</f>
        <v>-8.2999999867752194</v>
      </c>
      <c r="BL53" s="40">
        <f t="shared" ref="BL53" si="1200">IF(X53="","",(X53-X$10)*1000)</f>
        <v>5.9999998193234205</v>
      </c>
      <c r="BM53" s="40">
        <f t="shared" ref="BM53" si="1201">IF(Y53="","",(Y53-Y$10)*1000)</f>
        <v>2.3999999999944066</v>
      </c>
      <c r="BN53" s="37"/>
      <c r="BO53" s="36">
        <v>169.36940000000001</v>
      </c>
      <c r="BP53" s="36">
        <v>-3.7616000000000001</v>
      </c>
      <c r="BQ53" s="36">
        <v>-1.1606000000000001</v>
      </c>
      <c r="BR53" s="36">
        <v>169.20849999999999</v>
      </c>
      <c r="BS53" s="36">
        <v>-4.2011000000000003</v>
      </c>
      <c r="BT53" s="36">
        <v>0.82679999999999998</v>
      </c>
      <c r="BU53" s="36">
        <v>169.18610000000001</v>
      </c>
      <c r="BV53" s="36">
        <v>-3.2298</v>
      </c>
      <c r="BW53" s="36">
        <v>2.9672000000000001</v>
      </c>
      <c r="BX53" s="36">
        <v>168.959</v>
      </c>
      <c r="BY53" s="36">
        <v>0.2165</v>
      </c>
      <c r="BZ53" s="36">
        <v>4.3334999999999999</v>
      </c>
      <c r="CA53" s="36">
        <v>169.19829999999999</v>
      </c>
      <c r="CB53" s="36">
        <v>3.2044000000000001</v>
      </c>
      <c r="CC53" s="36">
        <v>2.976</v>
      </c>
      <c r="CD53" s="36">
        <v>169.18979999999999</v>
      </c>
      <c r="CE53" s="36">
        <v>4.1928999999999998</v>
      </c>
      <c r="CF53" s="36">
        <v>0.83350000000000002</v>
      </c>
      <c r="CG53" s="36">
        <v>169.25370000000001</v>
      </c>
      <c r="CH53" s="36">
        <v>3.8639999999999999</v>
      </c>
      <c r="CI53" s="36">
        <v>-1.0854999999999999</v>
      </c>
      <c r="CJ53" s="37"/>
      <c r="CK53" s="40">
        <f t="shared" ref="CK53" si="1202">IF(BO53="","",(BO53-BO$10)*1000)</f>
        <v>-5.655622190943177</v>
      </c>
      <c r="CL53" s="40">
        <f t="shared" ref="CL53" si="1203">IF(BP53="","",(BP53-BP$10)*1000)</f>
        <v>12.252242127055446</v>
      </c>
      <c r="CM53" s="40">
        <f t="shared" ref="CM53" si="1204">IF(BQ53="","",(BQ53-BQ$10)*1000)</f>
        <v>0.27055622192273532</v>
      </c>
      <c r="CN53" s="40">
        <f t="shared" ref="CN53" si="1205">IF(BR53="","",(BR53-BR$10)*1000)</f>
        <v>-3.3902291373806293</v>
      </c>
      <c r="CO53" s="40">
        <f t="shared" ref="CO53" si="1206">IF(BS53="","",(BS53-BS$10)*1000)</f>
        <v>10.75915358588464</v>
      </c>
      <c r="CP53" s="40">
        <f t="shared" ref="CP53" si="1207">IF(BT53="","",(BT53-BT$10)*1000)</f>
        <v>-0.66109770862121664</v>
      </c>
      <c r="CQ53" s="40">
        <f t="shared" ref="CQ53" si="1208">IF(BU53="","",(BU53-BU$10)*1000)</f>
        <v>-5.3552418708591176</v>
      </c>
      <c r="CR53" s="40">
        <f t="shared" ref="CR53" si="1209">IF(BV53="","",(BV53-BV$10)*1000)</f>
        <v>11.000086716097091</v>
      </c>
      <c r="CS53" s="40">
        <f t="shared" ref="CS53" si="1210">IF(BW53="","",(BW53-BW$10)*1000)</f>
        <v>-2.1654475812820095</v>
      </c>
      <c r="CT53" s="40">
        <f t="shared" ref="CT53" si="1211">IF(BX53="","",(BX53-BX$10)*1000)</f>
        <v>-4.613864619841479</v>
      </c>
      <c r="CU53" s="40">
        <f t="shared" ref="CU53" si="1212">IF(BY53="","",(BY53-BY$10)*1000)</f>
        <v>-2.7351047495592917</v>
      </c>
      <c r="CV53" s="40">
        <f t="shared" ref="CV53" si="1213">IF(BZ53="","",(BZ53-BZ$10)*1000)</f>
        <v>-19.443861353807712</v>
      </c>
      <c r="CW53" s="40">
        <f t="shared" ref="CW53" si="1214">IF(CA53="","",(CA53-CA$10)*1000)</f>
        <v>-2.8943418723770264</v>
      </c>
      <c r="CX53" s="40">
        <f t="shared" ref="CX53" si="1215">IF(CB53="","",(CB53-CB$10)*1000)</f>
        <v>-6.3805659486626531</v>
      </c>
      <c r="CY53" s="40">
        <f t="shared" ref="CY53" si="1216">IF(CC53="","",(CC53-CC$10)*1000)</f>
        <v>-7.4680565812732524</v>
      </c>
      <c r="CZ53" s="40">
        <f t="shared" ref="CZ53" si="1217">IF(CD53="","",(CD53-CD$10)*1000)</f>
        <v>-3.5480277355190992</v>
      </c>
      <c r="DA53" s="40">
        <f t="shared" ref="DA53" si="1218">IF(CE53="","",(CE53-CE$10)*1000)</f>
        <v>-7.609804429993261</v>
      </c>
      <c r="DB53" s="40">
        <f t="shared" ref="DB53" si="1219">IF(CF53="","",(CF53-CF$10)*1000)</f>
        <v>-4.6519722645466111E-2</v>
      </c>
      <c r="DC53" s="40">
        <f t="shared" ref="DC53" si="1220">IF(CG53="","",(CG53-CG$10)*1000)</f>
        <v>-5.020274727968399</v>
      </c>
      <c r="DD53" s="40">
        <f t="shared" ref="DD53" si="1221">IF(CH53="","",(CH53-CH$10)*1000)</f>
        <v>-8.9439951692522612</v>
      </c>
      <c r="DE53" s="40">
        <f t="shared" ref="DE53" si="1222">IF(CI53="","",(CI53-CI$10)*1000)</f>
        <v>2.4072027472745727</v>
      </c>
    </row>
    <row r="54" spans="1:109" ht="29.25" customHeight="1" x14ac:dyDescent="0.2">
      <c r="A54" s="34">
        <v>43769</v>
      </c>
      <c r="B54" s="27">
        <f t="shared" si="975"/>
        <v>170</v>
      </c>
      <c r="C54" s="35">
        <v>216.89</v>
      </c>
      <c r="D54" s="35">
        <f t="shared" si="0"/>
        <v>47.69</v>
      </c>
      <c r="E54" s="36">
        <v>823219.58299999998</v>
      </c>
      <c r="F54" s="36">
        <v>1091508.595</v>
      </c>
      <c r="G54" s="36">
        <v>-125.0097</v>
      </c>
      <c r="H54" s="36">
        <v>823219.25150000001</v>
      </c>
      <c r="I54" s="36">
        <v>1091508.9254999999</v>
      </c>
      <c r="J54" s="36">
        <v>-123.02370000000001</v>
      </c>
      <c r="K54" s="36">
        <v>823219.64170000004</v>
      </c>
      <c r="L54" s="36">
        <v>1091508.0353999999</v>
      </c>
      <c r="M54" s="36">
        <v>-120.88330000000001</v>
      </c>
      <c r="N54" s="36">
        <v>823220.89240000001</v>
      </c>
      <c r="O54" s="36">
        <v>1091504.8160000001</v>
      </c>
      <c r="P54" s="36">
        <v>-119.5198</v>
      </c>
      <c r="Q54" s="36">
        <v>823222.37230000005</v>
      </c>
      <c r="R54" s="36">
        <v>1091502.2093</v>
      </c>
      <c r="S54" s="36">
        <v>-120.8747</v>
      </c>
      <c r="T54" s="36">
        <v>823222.78220000002</v>
      </c>
      <c r="U54" s="36">
        <v>1091501.3099</v>
      </c>
      <c r="V54" s="36">
        <v>-123.01730000000001</v>
      </c>
      <c r="W54" s="36">
        <v>823222.70109999995</v>
      </c>
      <c r="X54" s="36">
        <v>1091501.6348999999</v>
      </c>
      <c r="Y54" s="36">
        <v>-124.93559999999999</v>
      </c>
      <c r="Z54" s="36">
        <f t="shared" si="1"/>
        <v>6.7922287482860826</v>
      </c>
      <c r="AA54" s="36">
        <f t="shared" si="2"/>
        <v>5.6442765938825046</v>
      </c>
      <c r="AB54" s="36">
        <f t="shared" si="395"/>
        <v>3.7132087335382322</v>
      </c>
      <c r="AC54" s="36">
        <f t="shared" si="4"/>
        <v>3.2894897644969818</v>
      </c>
      <c r="AD54" s="36">
        <f t="shared" si="5"/>
        <v>5.3006214259107489</v>
      </c>
      <c r="AE54" s="36">
        <f t="shared" si="6"/>
        <v>6.5361825663606377</v>
      </c>
      <c r="AF54" s="36">
        <f t="shared" si="396"/>
        <v>6.4342592059569581</v>
      </c>
      <c r="AG54" s="36">
        <f t="shared" si="8"/>
        <v>8.3942389058532356</v>
      </c>
      <c r="AH54" s="36">
        <f t="shared" si="9"/>
        <v>7.6269935380940881</v>
      </c>
      <c r="AI54" s="40">
        <f t="shared" si="1026"/>
        <v>-24.722547539608009</v>
      </c>
      <c r="AJ54" s="40">
        <f t="shared" ref="AJ54" si="1223">IF(AA54="","",(AA54-AA$10)*1000)</f>
        <v>-22.094950539148783</v>
      </c>
      <c r="AK54" s="40">
        <f t="shared" ref="AK54" si="1224">IF(AB54="","",(AB54-AB$10)*1000)</f>
        <v>-19.316538897101054</v>
      </c>
      <c r="AL54" s="40">
        <f t="shared" ref="AL54" si="1225">IF(AC54="","",(AC54-AC$10)*1000)</f>
        <v>-8.1989927377850158</v>
      </c>
      <c r="AM54" s="40">
        <f t="shared" ref="AM54" si="1226">IF(AD54="","",(AD54-AD$10)*1000)</f>
        <v>-16.644641347678402</v>
      </c>
      <c r="AN54" s="40">
        <f t="shared" ref="AN54" si="1227">IF(AE54="","",(AE54-AE$10)*1000)</f>
        <v>-21.82268365395057</v>
      </c>
      <c r="AO54" s="40">
        <f t="shared" ref="AO54" si="1228">IF(AF54="","",(AF54-AF$10)*1000)</f>
        <v>-17.344424762089083</v>
      </c>
      <c r="AP54" s="40">
        <f t="shared" ref="AP54" si="1229">IF(AG54="","",(AG54-AG$10)*1000)</f>
        <v>-18.152556092752903</v>
      </c>
      <c r="AQ54" s="40">
        <f t="shared" ref="AQ54" si="1230">IF(AH54="","",(AH54-AH$10)*1000)</f>
        <v>-21.024626620134157</v>
      </c>
      <c r="AR54" s="37"/>
      <c r="AS54" s="40">
        <f t="shared" ref="AS54" si="1231">IF(E54="","",(E54-E$10)*1000)</f>
        <v>0.20000000949949026</v>
      </c>
      <c r="AT54" s="40">
        <f t="shared" ref="AT54" si="1232">IF(F54="","",(F54-F$10)*1000)</f>
        <v>-12.899999972432852</v>
      </c>
      <c r="AU54" s="40">
        <f t="shared" ref="AU54" si="1233">IF(G54="","",(G54-G$10)*1000)</f>
        <v>0.30000000000995897</v>
      </c>
      <c r="AV54" s="40">
        <f t="shared" ref="AV54" si="1234">IF(H54="","",(H54-H$10)*1000)</f>
        <v>1.7000000225380063</v>
      </c>
      <c r="AW54" s="40">
        <f t="shared" ref="AW54" si="1235">IF(I54="","",(I54-I$10)*1000)</f>
        <v>-10.400000028312206</v>
      </c>
      <c r="AX54" s="40">
        <f t="shared" ref="AX54" si="1236">IF(J54="","",(J54-J$10)*1000)</f>
        <v>-0.39999999999906777</v>
      </c>
      <c r="AY54" s="40">
        <f t="shared" ref="AY54" si="1237">IF(K54="","",(K54-K$10)*1000)</f>
        <v>0</v>
      </c>
      <c r="AZ54" s="40">
        <f t="shared" ref="AZ54" si="1238">IF(L54="","",(L54-L$10)*1000)</f>
        <v>-11.799999978393316</v>
      </c>
      <c r="BA54" s="40">
        <f t="shared" ref="BA54" si="1239">IF(M54="","",(M54-M$10)*1000)</f>
        <v>-1.6999999999995907</v>
      </c>
      <c r="BB54" s="40">
        <f t="shared" ref="BB54" si="1240">IF(N54="","",(N54-N$10)*1000)</f>
        <v>-5.2000000141561031</v>
      </c>
      <c r="BC54" s="40">
        <f t="shared" ref="BC54" si="1241">IF(O54="","",(O54-O$10)*1000)</f>
        <v>0.90000010095536709</v>
      </c>
      <c r="BD54" s="40">
        <f t="shared" ref="BD54" si="1242">IF(P54="","",(P54-P$10)*1000)</f>
        <v>-19.500000000007844</v>
      </c>
      <c r="BE54" s="40">
        <f t="shared" ref="BE54" si="1243">IF(Q54="","",(Q54-Q$10)*1000)</f>
        <v>-5.0000000046566129</v>
      </c>
      <c r="BF54" s="40">
        <f t="shared" ref="BF54" si="1244">IF(R54="","",(R54-R$10)*1000)</f>
        <v>4.999999888241291</v>
      </c>
      <c r="BG54" s="40">
        <f t="shared" ref="BG54" si="1245">IF(S54="","",(S54-S$10)*1000)</f>
        <v>-7.3000000000007503</v>
      </c>
      <c r="BH54" s="40">
        <f t="shared" ref="BH54" si="1246">IF(T54="","",(T54-T$10)*1000)</f>
        <v>-6.3000000081956387</v>
      </c>
      <c r="BI54" s="40">
        <f t="shared" ref="BI54" si="1247">IF(U54="","",(U54-U$10)*1000)</f>
        <v>5.8999999891966581</v>
      </c>
      <c r="BJ54" s="40">
        <f t="shared" ref="BJ54" si="1248">IF(V54="","",(V54-V$10)*1000)</f>
        <v>9.9999999989108801E-2</v>
      </c>
      <c r="BK54" s="40">
        <f t="shared" ref="BK54" si="1249">IF(W54="","",(W54-W$10)*1000)</f>
        <v>-8.2000000402331352</v>
      </c>
      <c r="BL54" s="40">
        <f t="shared" ref="BL54" si="1250">IF(X54="","",(X54-X$10)*1000)</f>
        <v>6.399999838322401</v>
      </c>
      <c r="BM54" s="40">
        <f t="shared" ref="BM54" si="1251">IF(Y54="","",(Y54-Y$10)*1000)</f>
        <v>2.6000000000010459</v>
      </c>
      <c r="BN54" s="37"/>
      <c r="BO54" s="36">
        <v>169.36978466969083</v>
      </c>
      <c r="BP54" s="36">
        <v>-3.7620765443119115</v>
      </c>
      <c r="BQ54" s="36">
        <v>-1.1605178466969051</v>
      </c>
      <c r="BR54" s="36">
        <v>169.20903534472444</v>
      </c>
      <c r="BS54" s="36">
        <v>-4.2017152078222955</v>
      </c>
      <c r="BT54" s="36">
        <v>0.82708964655274997</v>
      </c>
      <c r="BU54" s="36">
        <v>169.18646794816092</v>
      </c>
      <c r="BV54" s="36">
        <v>-3.2301058405556109</v>
      </c>
      <c r="BW54" s="36">
        <v>2.9677153205183799</v>
      </c>
      <c r="BX54" s="36">
        <v>168.95928153280315</v>
      </c>
      <c r="BY54" s="36">
        <v>0.21622165135536439</v>
      </c>
      <c r="BZ54" s="36">
        <v>4.3334871846719665</v>
      </c>
      <c r="CA54" s="36">
        <v>169.19877614162559</v>
      </c>
      <c r="CB54" s="36">
        <v>3.2041358457517166</v>
      </c>
      <c r="CC54" s="36">
        <v>2.9761922385837352</v>
      </c>
      <c r="CD54" s="36">
        <v>169.19013203467333</v>
      </c>
      <c r="CE54" s="36">
        <v>4.1924999736826836</v>
      </c>
      <c r="CF54" s="36">
        <v>0.8336786796532607</v>
      </c>
      <c r="CG54" s="36">
        <v>169.2539936526847</v>
      </c>
      <c r="CH54" s="36">
        <v>3.8636779797014147</v>
      </c>
      <c r="CI54" s="36">
        <v>-1.0852599365268389</v>
      </c>
      <c r="CJ54" s="37"/>
      <c r="CK54" s="40">
        <f t="shared" ref="CK54" si="1252">IF(BO54="","",(BO54-BO$10)*1000)</f>
        <v>-5.2709525001262136</v>
      </c>
      <c r="CL54" s="40">
        <f t="shared" ref="CL54" si="1253">IF(BP54="","",(BP54-BP$10)*1000)</f>
        <v>11.775697815143982</v>
      </c>
      <c r="CM54" s="40">
        <f t="shared" ref="CM54" si="1254">IF(BQ54="","",(BQ54-BQ$10)*1000)</f>
        <v>0.3527095250177581</v>
      </c>
      <c r="CN54" s="40">
        <f t="shared" ref="CN54" si="1255">IF(BR54="","",(BR54-BR$10)*1000)</f>
        <v>-2.8548844129261397</v>
      </c>
      <c r="CO54" s="40">
        <f t="shared" ref="CO54" si="1256">IF(BS54="","",(BS54-BS$10)*1000)</f>
        <v>10.143945763589457</v>
      </c>
      <c r="CP54" s="40">
        <f t="shared" ref="CP54" si="1257">IF(BT54="","",(BT54-BT$10)*1000)</f>
        <v>-0.37145115587122746</v>
      </c>
      <c r="CQ54" s="40">
        <f t="shared" ref="CQ54" si="1258">IF(BU54="","",(BU54-BU$10)*1000)</f>
        <v>-4.9872937099451065</v>
      </c>
      <c r="CR54" s="40">
        <f t="shared" ref="CR54" si="1259">IF(BV54="","",(BV54-BV$10)*1000)</f>
        <v>10.694246160486198</v>
      </c>
      <c r="CS54" s="40">
        <f t="shared" ref="CS54" si="1260">IF(BW54="","",(BW54-BW$10)*1000)</f>
        <v>-1.6501270629021292</v>
      </c>
      <c r="CT54" s="40">
        <f t="shared" ref="CT54" si="1261">IF(BX54="","",(BX54-BX$10)*1000)</f>
        <v>-4.3323318166983427</v>
      </c>
      <c r="CU54" s="40">
        <f t="shared" ref="CU54" si="1262">IF(BY54="","",(BY54-BY$10)*1000)</f>
        <v>-3.0134533941948982</v>
      </c>
      <c r="CV54" s="40">
        <f t="shared" ref="CV54" si="1263">IF(BZ54="","",(BZ54-BZ$10)*1000)</f>
        <v>-19.456676681841145</v>
      </c>
      <c r="CW54" s="40">
        <f t="shared" ref="CW54" si="1264">IF(CA54="","",(CA54-CA$10)*1000)</f>
        <v>-2.4182002467796337</v>
      </c>
      <c r="CX54" s="40">
        <f t="shared" ref="CX54" si="1265">IF(CB54="","",(CB54-CB$10)*1000)</f>
        <v>-6.6447201969461744</v>
      </c>
      <c r="CY54" s="40">
        <f t="shared" ref="CY54" si="1266">IF(CC54="","",(CC54-CC$10)*1000)</f>
        <v>-7.2758179975380699</v>
      </c>
      <c r="CZ54" s="40">
        <f t="shared" ref="CZ54" si="1267">IF(CD54="","",(CD54-CD$10)*1000)</f>
        <v>-3.2159930621844524</v>
      </c>
      <c r="DA54" s="40">
        <f t="shared" ref="DA54" si="1268">IF(CE54="","",(CE54-CE$10)*1000)</f>
        <v>-8.0098307473095431</v>
      </c>
      <c r="DB54" s="40">
        <f t="shared" ref="DB54" si="1269">IF(CF54="","",(CF54-CF$10)*1000)</f>
        <v>0.13215993061521658</v>
      </c>
      <c r="DC54" s="40">
        <f t="shared" ref="DC54" si="1270">IF(CG54="","",(CG54-CG$10)*1000)</f>
        <v>-4.7266220432788941</v>
      </c>
      <c r="DD54" s="40">
        <f t="shared" ref="DD54" si="1271">IF(CH54="","",(CH54-CH$10)*1000)</f>
        <v>-9.2660154678374518</v>
      </c>
      <c r="DE54" s="40">
        <f t="shared" ref="DE54" si="1272">IF(CI54="","",(CI54-CI$10)*1000)</f>
        <v>2.6472662204355402</v>
      </c>
    </row>
    <row r="55" spans="1:109" ht="29.25" customHeight="1" x14ac:dyDescent="0.2">
      <c r="A55" s="34">
        <v>43774</v>
      </c>
      <c r="B55" s="27">
        <f t="shared" si="975"/>
        <v>175</v>
      </c>
      <c r="C55" s="35">
        <v>217.7</v>
      </c>
      <c r="D55" s="35">
        <f t="shared" si="0"/>
        <v>48.5</v>
      </c>
      <c r="E55" s="36">
        <v>823219.58330000006</v>
      </c>
      <c r="F55" s="36">
        <v>1091508.5944999999</v>
      </c>
      <c r="G55" s="36">
        <v>-125.01</v>
      </c>
      <c r="H55" s="36">
        <v>823219.25190000003</v>
      </c>
      <c r="I55" s="36">
        <v>1091508.9249</v>
      </c>
      <c r="J55" s="36">
        <v>-123.02419999999999</v>
      </c>
      <c r="K55" s="36">
        <v>823219.64199999999</v>
      </c>
      <c r="L55" s="36">
        <v>1091508.0352</v>
      </c>
      <c r="M55" s="36">
        <v>-120.8839</v>
      </c>
      <c r="N55" s="36">
        <v>823220.89249999996</v>
      </c>
      <c r="O55" s="36">
        <v>1091504.8155</v>
      </c>
      <c r="P55" s="36">
        <v>-119.5204</v>
      </c>
      <c r="Q55" s="36">
        <v>823222.37230000005</v>
      </c>
      <c r="R55" s="36">
        <v>1091502.2089</v>
      </c>
      <c r="S55" s="36">
        <v>-120.8753</v>
      </c>
      <c r="T55" s="36">
        <v>823222.78229999996</v>
      </c>
      <c r="U55" s="36">
        <v>1091501.3093999999</v>
      </c>
      <c r="V55" s="36">
        <v>-123.0176</v>
      </c>
      <c r="W55" s="36"/>
      <c r="X55" s="36"/>
      <c r="Y55" s="36"/>
      <c r="Z55" s="36">
        <f t="shared" si="1"/>
        <v>6.7919477176075516</v>
      </c>
      <c r="AA55" s="36">
        <f t="shared" si="2"/>
        <v>5.6440544964952561</v>
      </c>
      <c r="AB55" s="36">
        <f t="shared" si="395"/>
        <v>3.7134014851638351</v>
      </c>
      <c r="AC55" s="36">
        <f t="shared" si="4"/>
        <v>3.2893655331325498</v>
      </c>
      <c r="AD55" s="36">
        <f t="shared" si="5"/>
        <v>5.3004234822157485</v>
      </c>
      <c r="AE55" s="36"/>
      <c r="AF55" s="36">
        <f t="shared" si="396"/>
        <v>6.434312996827952</v>
      </c>
      <c r="AG55" s="36">
        <f t="shared" si="8"/>
        <v>8.3940221569052262</v>
      </c>
      <c r="AH55" s="36" t="str">
        <f t="shared" si="9"/>
        <v/>
      </c>
      <c r="AI55" s="40">
        <f t="shared" ref="AI55:AI56" si="1273">IF(Z55="","",(Z55-Z$10)*1000)</f>
        <v>-25.003578218139033</v>
      </c>
      <c r="AJ55" s="40">
        <f t="shared" ref="AJ55:AJ56" si="1274">IF(AA55="","",(AA55-AA$10)*1000)</f>
        <v>-22.317047926397215</v>
      </c>
      <c r="AK55" s="40">
        <f t="shared" ref="AK55:AK56" si="1275">IF(AB55="","",(AB55-AB$10)*1000)</f>
        <v>-19.123787271498216</v>
      </c>
      <c r="AL55" s="40">
        <f t="shared" ref="AL55:AL56" si="1276">IF(AC55="","",(AC55-AC$10)*1000)</f>
        <v>-8.3232241022170861</v>
      </c>
      <c r="AM55" s="40">
        <f t="shared" ref="AM55:AM56" si="1277">IF(AD55="","",(AD55-AD$10)*1000)</f>
        <v>-16.84258504267877</v>
      </c>
      <c r="AN55" s="40" t="str">
        <f t="shared" ref="AN55:AN56" si="1278">IF(AE55="","",(AE55-AE$10)*1000)</f>
        <v/>
      </c>
      <c r="AO55" s="40">
        <f t="shared" ref="AO55:AO56" si="1279">IF(AF55="","",(AF55-AF$10)*1000)</f>
        <v>-17.290633891095197</v>
      </c>
      <c r="AP55" s="40">
        <f t="shared" ref="AP55:AP56" si="1280">IF(AG55="","",(AG55-AG$10)*1000)</f>
        <v>-18.369305040762285</v>
      </c>
      <c r="AQ55" s="40" t="str">
        <f t="shared" ref="AQ55:AQ56" si="1281">IF(AH55="","",(AH55-AH$10)*1000)</f>
        <v/>
      </c>
      <c r="AR55" s="37"/>
      <c r="AS55" s="40">
        <f t="shared" ref="AS55" si="1282">IF(E55="","",(E55-E$10)*1000)</f>
        <v>0.50000008195638657</v>
      </c>
      <c r="AT55" s="40">
        <f t="shared" ref="AT55" si="1283">IF(F55="","",(F55-F$10)*1000)</f>
        <v>-13.400000054389238</v>
      </c>
      <c r="AU55" s="40">
        <f t="shared" ref="AU55" si="1284">IF(G55="","",(G55-G$10)*1000)</f>
        <v>0</v>
      </c>
      <c r="AV55" s="40">
        <f t="shared" ref="AV55" si="1285">IF(H55="","",(H55-H$10)*1000)</f>
        <v>2.1000000415369868</v>
      </c>
      <c r="AW55" s="40">
        <f t="shared" ref="AW55" si="1286">IF(I55="","",(I55-I$10)*1000)</f>
        <v>-10.999999940395355</v>
      </c>
      <c r="AX55" s="40">
        <f t="shared" ref="AX55" si="1287">IF(J55="","",(J55-J$10)*1000)</f>
        <v>-0.89999999998724434</v>
      </c>
      <c r="AY55" s="40">
        <f t="shared" ref="AY55" si="1288">IF(K55="","",(K55-K$10)*1000)</f>
        <v>0.29999995604157448</v>
      </c>
      <c r="AZ55" s="40">
        <f t="shared" ref="AZ55" si="1289">IF(L55="","",(L55-L$10)*1000)</f>
        <v>-11.999999871477485</v>
      </c>
      <c r="BA55" s="40">
        <f t="shared" ref="BA55" si="1290">IF(M55="","",(M55-M$10)*1000)</f>
        <v>-2.299999999991087</v>
      </c>
      <c r="BB55" s="40">
        <f t="shared" ref="BB55" si="1291">IF(N55="","",(N55-N$10)*1000)</f>
        <v>-5.1000000676140189</v>
      </c>
      <c r="BC55" s="40">
        <f t="shared" ref="BC55" si="1292">IF(O55="","",(O55-O$10)*1000)</f>
        <v>0.40000001899898052</v>
      </c>
      <c r="BD55" s="40">
        <f t="shared" ref="BD55" si="1293">IF(P55="","",(P55-P$10)*1000)</f>
        <v>-20.099999999999341</v>
      </c>
      <c r="BE55" s="40">
        <f t="shared" ref="BE55" si="1294">IF(Q55="","",(Q55-Q$10)*1000)</f>
        <v>-5.0000000046566129</v>
      </c>
      <c r="BF55" s="40">
        <f t="shared" ref="BF55" si="1295">IF(R55="","",(R55-R$10)*1000)</f>
        <v>4.5999998692423105</v>
      </c>
      <c r="BG55" s="40">
        <f t="shared" ref="BG55" si="1296">IF(S55="","",(S55-S$10)*1000)</f>
        <v>-7.8999999999922466</v>
      </c>
      <c r="BH55" s="40">
        <f t="shared" ref="BH55" si="1297">IF(T55="","",(T55-T$10)*1000)</f>
        <v>-6.2000000616535544</v>
      </c>
      <c r="BI55" s="40">
        <f t="shared" ref="BI55" si="1298">IF(U55="","",(U55-U$10)*1000)</f>
        <v>5.3999999072402716</v>
      </c>
      <c r="BJ55" s="40">
        <f t="shared" ref="BJ55" si="1299">IF(V55="","",(V55-V$10)*1000)</f>
        <v>-0.20000000000663931</v>
      </c>
      <c r="BK55" s="40" t="str">
        <f t="shared" ref="BK55:BK56" si="1300">IF(W55="","",(W55-W$10)*1000)</f>
        <v/>
      </c>
      <c r="BL55" s="40" t="str">
        <f t="shared" ref="BL55:BL56" si="1301">IF(X55="","",(X55-X$10)*1000)</f>
        <v/>
      </c>
      <c r="BM55" s="40" t="str">
        <f t="shared" ref="BM55:BM56" si="1302">IF(Y55="","",(Y55-Y$10)*1000)</f>
        <v/>
      </c>
      <c r="BN55" s="37"/>
      <c r="BO55" s="36">
        <v>169.36984523133157</v>
      </c>
      <c r="BP55" s="36">
        <v>-3.7614966025794052</v>
      </c>
      <c r="BQ55" s="36">
        <v>-1.1608184523133218</v>
      </c>
      <c r="BR55" s="36">
        <v>169.20914427039244</v>
      </c>
      <c r="BS55" s="36">
        <v>-4.201002371860425</v>
      </c>
      <c r="BT55" s="36">
        <v>0.82658855729607694</v>
      </c>
      <c r="BU55" s="36">
        <v>169.18665530537902</v>
      </c>
      <c r="BV55" s="36">
        <v>-3.2297977866582537</v>
      </c>
      <c r="BW55" s="36">
        <v>2.9671134469462146</v>
      </c>
      <c r="BX55" s="36">
        <v>168.9591608359199</v>
      </c>
      <c r="BY55" s="36">
        <v>0.21671706263263679</v>
      </c>
      <c r="BZ55" s="36">
        <v>4.3328883916408074</v>
      </c>
      <c r="CA55" s="36">
        <v>169.1986070808135</v>
      </c>
      <c r="CB55" s="36">
        <v>3.2044983625886405</v>
      </c>
      <c r="CC55" s="36">
        <v>2.9755939291918594</v>
      </c>
      <c r="CD55" s="36">
        <v>169.19001133779011</v>
      </c>
      <c r="CE55" s="36">
        <v>4.1929953849599748</v>
      </c>
      <c r="CF55" s="36">
        <v>0.83337988662209739</v>
      </c>
      <c r="CG55" s="36"/>
      <c r="CH55" s="36"/>
      <c r="CI55" s="36"/>
      <c r="CJ55" s="37"/>
      <c r="CK55" s="40">
        <f t="shared" ref="CK55:CK56" si="1303">IF(BO55="","",(BO55-BO$10)*1000)</f>
        <v>-5.2103908593892356</v>
      </c>
      <c r="CL55" s="40">
        <f t="shared" ref="CL55:CL56" si="1304">IF(BP55="","",(BP55-BP$10)*1000)</f>
        <v>12.355639547650288</v>
      </c>
      <c r="CM55" s="40">
        <f t="shared" ref="CM55:CM56" si="1305">IF(BQ55="","",(BQ55-BQ$10)*1000)</f>
        <v>5.2103908600997784E-2</v>
      </c>
      <c r="CN55" s="40">
        <f t="shared" ref="CN55:CN56" si="1306">IF(BR55="","",(BR55-BR$10)*1000)</f>
        <v>-2.7459587449243372</v>
      </c>
      <c r="CO55" s="40">
        <f t="shared" ref="CO55:CO56" si="1307">IF(BS55="","",(BS55-BS$10)*1000)</f>
        <v>10.856781725459896</v>
      </c>
      <c r="CP55" s="40">
        <f t="shared" ref="CP55:CP56" si="1308">IF(BT55="","",(BT55-BT$10)*1000)</f>
        <v>-0.87254041254425374</v>
      </c>
      <c r="CQ55" s="40">
        <f t="shared" ref="CQ55:CQ56" si="1309">IF(BU55="","",(BU55-BU$10)*1000)</f>
        <v>-4.7999364918496212</v>
      </c>
      <c r="CR55" s="40">
        <f t="shared" ref="CR55:CR56" si="1310">IF(BV55="","",(BV55-BV$10)*1000)</f>
        <v>11.002300057843417</v>
      </c>
      <c r="CS55" s="40">
        <f t="shared" ref="CS55:CS56" si="1311">IF(BW55="","",(BW55-BW$10)*1000)</f>
        <v>-2.2520006350674748</v>
      </c>
      <c r="CT55" s="40">
        <f t="shared" ref="CT55:CT56" si="1312">IF(BX55="","",(BX55-BX$10)*1000)</f>
        <v>-4.4530286999417967</v>
      </c>
      <c r="CU55" s="40">
        <f t="shared" ref="CU55:CU56" si="1313">IF(BY55="","",(BY55-BY$10)*1000)</f>
        <v>-2.5180421169224978</v>
      </c>
      <c r="CV55" s="40">
        <f t="shared" ref="CV55:CV56" si="1314">IF(BZ55="","",(BZ55-BZ$10)*1000)</f>
        <v>-20.055469713000207</v>
      </c>
      <c r="CW55" s="40">
        <f t="shared" ref="CW55:CW56" si="1315">IF(CA55="","",(CA55-CA$10)*1000)</f>
        <v>-2.5872610588635325</v>
      </c>
      <c r="CX55" s="40">
        <f t="shared" ref="CX55:CX56" si="1316">IF(CB55="","",(CB55-CB$10)*1000)</f>
        <v>-6.282203360022276</v>
      </c>
      <c r="CY55" s="40">
        <f t="shared" ref="CY55:CY56" si="1317">IF(CC55="","",(CC55-CC$10)*1000)</f>
        <v>-7.874127389413843</v>
      </c>
      <c r="CZ55" s="40">
        <f t="shared" ref="CZ55:CZ56" si="1318">IF(CD55="","",(CD55-CD$10)*1000)</f>
        <v>-3.3366899453994847</v>
      </c>
      <c r="DA55" s="40">
        <f t="shared" ref="DA55:DA56" si="1319">IF(CE55="","",(CE55-CE$10)*1000)</f>
        <v>-7.5144194700182965</v>
      </c>
      <c r="DB55" s="40">
        <f t="shared" ref="DB55:DB56" si="1320">IF(CF55="","",(CF55-CF$10)*1000)</f>
        <v>-0.16663310054809699</v>
      </c>
      <c r="DC55" s="40" t="str">
        <f t="shared" ref="DC55:DC56" si="1321">IF(CG55="","",(CG55-CG$10)*1000)</f>
        <v/>
      </c>
      <c r="DD55" s="40" t="str">
        <f t="shared" ref="DD55:DD56" si="1322">IF(CH55="","",(CH55-CH$10)*1000)</f>
        <v/>
      </c>
      <c r="DE55" s="40" t="str">
        <f t="shared" ref="DE55:DE56" si="1323">IF(CI55="","",(CI55-CI$10)*1000)</f>
        <v/>
      </c>
    </row>
    <row r="56" spans="1:109" ht="29.25" customHeight="1" x14ac:dyDescent="0.2">
      <c r="A56" s="34">
        <v>43776</v>
      </c>
      <c r="B56" s="27">
        <f t="shared" si="975"/>
        <v>177</v>
      </c>
      <c r="C56" s="35">
        <v>218.7</v>
      </c>
      <c r="D56" s="35">
        <f t="shared" si="0"/>
        <v>49.5</v>
      </c>
      <c r="E56" s="36">
        <v>823219.58319999999</v>
      </c>
      <c r="F56" s="36">
        <v>1091508.5944000001</v>
      </c>
      <c r="G56" s="36">
        <v>-125.00960000000001</v>
      </c>
      <c r="H56" s="36">
        <v>823219.25179999997</v>
      </c>
      <c r="I56" s="36">
        <v>1091508.9249</v>
      </c>
      <c r="J56" s="36">
        <v>-123.02379999999999</v>
      </c>
      <c r="K56" s="36">
        <v>823219.64179999998</v>
      </c>
      <c r="L56" s="36">
        <v>1091508.0356000001</v>
      </c>
      <c r="M56" s="36">
        <v>-120.884</v>
      </c>
      <c r="N56" s="36">
        <v>823220.89240000001</v>
      </c>
      <c r="O56" s="36">
        <v>1091504.8155</v>
      </c>
      <c r="P56" s="36">
        <v>-119.5204</v>
      </c>
      <c r="Q56" s="36">
        <v>823222.37219999998</v>
      </c>
      <c r="R56" s="36">
        <v>1091502.2091999999</v>
      </c>
      <c r="S56" s="36">
        <v>-120.875</v>
      </c>
      <c r="T56" s="36">
        <v>823222.78209999995</v>
      </c>
      <c r="U56" s="36">
        <v>1091501.3097000001</v>
      </c>
      <c r="V56" s="36">
        <v>-123.01739999999999</v>
      </c>
      <c r="W56" s="36">
        <v>823222.701</v>
      </c>
      <c r="X56" s="36">
        <v>1091501.6347000001</v>
      </c>
      <c r="Y56" s="36">
        <v>-124.9355</v>
      </c>
      <c r="Z56" s="36">
        <f t="shared" si="1"/>
        <v>6.7915687797668038</v>
      </c>
      <c r="AA56" s="36">
        <f t="shared" si="2"/>
        <v>5.6438061872986305</v>
      </c>
      <c r="AB56" s="36">
        <f t="shared" si="395"/>
        <v>3.7138186991689319</v>
      </c>
      <c r="AC56" s="36">
        <f t="shared" si="4"/>
        <v>3.289004239955454</v>
      </c>
      <c r="AD56" s="36">
        <f t="shared" si="5"/>
        <v>5.3000574269777276</v>
      </c>
      <c r="AE56" s="36">
        <f t="shared" si="6"/>
        <v>6.5354288772649571</v>
      </c>
      <c r="AF56" s="36">
        <f t="shared" si="396"/>
        <v>6.4344465279921979</v>
      </c>
      <c r="AG56" s="36">
        <f t="shared" si="8"/>
        <v>8.3937077676147798</v>
      </c>
      <c r="AH56" s="36">
        <f t="shared" si="9"/>
        <v>7.6265058670493806</v>
      </c>
      <c r="AI56" s="40">
        <f t="shared" si="1273"/>
        <v>-25.38251605888675</v>
      </c>
      <c r="AJ56" s="40">
        <f t="shared" si="1274"/>
        <v>-22.565357123022878</v>
      </c>
      <c r="AK56" s="40">
        <f t="shared" si="1275"/>
        <v>-18.70657326640135</v>
      </c>
      <c r="AL56" s="40">
        <f t="shared" si="1276"/>
        <v>-8.6845172793128533</v>
      </c>
      <c r="AM56" s="40">
        <f t="shared" si="1277"/>
        <v>-17.208640280699683</v>
      </c>
      <c r="AN56" s="40">
        <f t="shared" si="1278"/>
        <v>-22.576372749631091</v>
      </c>
      <c r="AO56" s="40">
        <f t="shared" si="1279"/>
        <v>-17.157102726849338</v>
      </c>
      <c r="AP56" s="40">
        <f t="shared" si="1280"/>
        <v>-18.683694331208756</v>
      </c>
      <c r="AQ56" s="40">
        <f t="shared" si="1281"/>
        <v>-21.51229766484164</v>
      </c>
      <c r="AR56" s="37"/>
      <c r="AS56" s="40">
        <f t="shared" ref="AS56" si="1324">IF(E56="","",(E56-E$10)*1000)</f>
        <v>0.40000001899898052</v>
      </c>
      <c r="AT56" s="40">
        <f t="shared" ref="AT56" si="1325">IF(F56="","",(F56-F$10)*1000)</f>
        <v>-13.499999884516001</v>
      </c>
      <c r="AU56" s="40">
        <f t="shared" ref="AU56" si="1326">IF(G56="","",(G56-G$10)*1000)</f>
        <v>0.39999999999906777</v>
      </c>
      <c r="AV56" s="40">
        <f t="shared" ref="AV56" si="1327">IF(H56="","",(H56-H$10)*1000)</f>
        <v>1.9999999785795808</v>
      </c>
      <c r="AW56" s="40">
        <f t="shared" ref="AW56" si="1328">IF(I56="","",(I56-I$10)*1000)</f>
        <v>-10.999999940395355</v>
      </c>
      <c r="AX56" s="40">
        <f t="shared" ref="AX56" si="1329">IF(J56="","",(J56-J$10)*1000)</f>
        <v>-0.49999999998817657</v>
      </c>
      <c r="AY56" s="40">
        <f t="shared" ref="AY56" si="1330">IF(K56="","",(K56-K$10)*1000)</f>
        <v>9.9999946542084217E-2</v>
      </c>
      <c r="AZ56" s="40">
        <f t="shared" ref="AZ56" si="1331">IF(L56="","",(L56-L$10)*1000)</f>
        <v>-11.599999852478504</v>
      </c>
      <c r="BA56" s="40">
        <f t="shared" ref="BA56" si="1332">IF(M56="","",(M56-M$10)*1000)</f>
        <v>-2.3999999999944066</v>
      </c>
      <c r="BB56" s="40">
        <f t="shared" ref="BB56" si="1333">IF(N56="","",(N56-N$10)*1000)</f>
        <v>-5.2000000141561031</v>
      </c>
      <c r="BC56" s="40">
        <f t="shared" ref="BC56" si="1334">IF(O56="","",(O56-O$10)*1000)</f>
        <v>0.40000001899898052</v>
      </c>
      <c r="BD56" s="40">
        <f t="shared" ref="BD56" si="1335">IF(P56="","",(P56-P$10)*1000)</f>
        <v>-20.099999999999341</v>
      </c>
      <c r="BE56" s="40">
        <f t="shared" ref="BE56" si="1336">IF(Q56="","",(Q56-Q$10)*1000)</f>
        <v>-5.1000000676140189</v>
      </c>
      <c r="BF56" s="40">
        <f t="shared" ref="BF56" si="1337">IF(R56="","",(R56-R$10)*1000)</f>
        <v>4.899999825283885</v>
      </c>
      <c r="BG56" s="40">
        <f t="shared" ref="BG56" si="1338">IF(S56="","",(S56-S$10)*1000)</f>
        <v>-7.5999999999964984</v>
      </c>
      <c r="BH56" s="40">
        <f t="shared" ref="BH56" si="1339">IF(T56="","",(T56-T$10)*1000)</f>
        <v>-6.4000000711530447</v>
      </c>
      <c r="BI56" s="40">
        <f t="shared" ref="BI56" si="1340">IF(U56="","",(U56-U$10)*1000)</f>
        <v>5.7000000961124897</v>
      </c>
      <c r="BJ56" s="40">
        <f t="shared" ref="BJ56" si="1341">IF(V56="","",(V56-V$10)*1000)</f>
        <v>0</v>
      </c>
      <c r="BK56" s="40">
        <f t="shared" si="1300"/>
        <v>-8.2999999867752194</v>
      </c>
      <c r="BL56" s="40">
        <f t="shared" si="1301"/>
        <v>6.1999999452382326</v>
      </c>
      <c r="BM56" s="40">
        <f t="shared" si="1302"/>
        <v>2.6999999999901547</v>
      </c>
      <c r="BN56" s="37"/>
      <c r="BO56" s="36">
        <v>169.36969999999999</v>
      </c>
      <c r="BP56" s="36">
        <v>-3.7614000000000001</v>
      </c>
      <c r="BQ56" s="36">
        <v>-1.1604000000000001</v>
      </c>
      <c r="BR56" s="36">
        <v>169.20910000000001</v>
      </c>
      <c r="BS56" s="36">
        <v>-4.2009999999999996</v>
      </c>
      <c r="BT56" s="36">
        <v>0.82699999999999996</v>
      </c>
      <c r="BU56" s="36">
        <v>169.1866</v>
      </c>
      <c r="BV56" s="36">
        <v>-3.2302</v>
      </c>
      <c r="BW56" s="36">
        <v>2.9670000000000001</v>
      </c>
      <c r="BX56" s="36">
        <v>168.95910000000001</v>
      </c>
      <c r="BY56" s="36">
        <v>0.2167</v>
      </c>
      <c r="BZ56" s="36">
        <v>4.3329000000000004</v>
      </c>
      <c r="CA56" s="36">
        <v>169.1986</v>
      </c>
      <c r="CB56" s="36">
        <v>3.2042000000000002</v>
      </c>
      <c r="CC56" s="36">
        <v>2.9759000000000002</v>
      </c>
      <c r="CD56" s="36">
        <v>169.19</v>
      </c>
      <c r="CE56" s="36">
        <v>4.1925999999999997</v>
      </c>
      <c r="CF56" s="36">
        <v>0.83360000000000001</v>
      </c>
      <c r="CG56" s="36">
        <v>169.25380000000001</v>
      </c>
      <c r="CH56" s="36">
        <v>3.8637999999999999</v>
      </c>
      <c r="CI56" s="36">
        <v>-1.0851999999999999</v>
      </c>
      <c r="CJ56" s="37"/>
      <c r="CK56" s="40">
        <f t="shared" si="1303"/>
        <v>-5.3556221909616397</v>
      </c>
      <c r="CL56" s="40">
        <f t="shared" si="1304"/>
        <v>12.452242127055424</v>
      </c>
      <c r="CM56" s="40">
        <f t="shared" si="1305"/>
        <v>0.47055622192271329</v>
      </c>
      <c r="CN56" s="40">
        <f t="shared" si="1306"/>
        <v>-2.7902291373607113</v>
      </c>
      <c r="CO56" s="40">
        <f t="shared" si="1307"/>
        <v>10.859153585885295</v>
      </c>
      <c r="CP56" s="40">
        <f t="shared" si="1308"/>
        <v>-0.46109770862123867</v>
      </c>
      <c r="CQ56" s="40">
        <f t="shared" si="1309"/>
        <v>-4.8552418708709411</v>
      </c>
      <c r="CR56" s="40">
        <f t="shared" si="1310"/>
        <v>10.600086716097135</v>
      </c>
      <c r="CS56" s="40">
        <f t="shared" si="1311"/>
        <v>-2.3654475812819875</v>
      </c>
      <c r="CT56" s="40">
        <f t="shared" si="1312"/>
        <v>-4.5138646198381593</v>
      </c>
      <c r="CU56" s="40">
        <f t="shared" si="1313"/>
        <v>-2.5351047495592862</v>
      </c>
      <c r="CV56" s="40">
        <f t="shared" si="1314"/>
        <v>-20.043861353807202</v>
      </c>
      <c r="CW56" s="40">
        <f t="shared" si="1315"/>
        <v>-2.5943418723670675</v>
      </c>
      <c r="CX56" s="40">
        <f t="shared" si="1316"/>
        <v>-6.5805659486626311</v>
      </c>
      <c r="CY56" s="40">
        <f t="shared" si="1317"/>
        <v>-7.5680565812730194</v>
      </c>
      <c r="CZ56" s="40">
        <f t="shared" si="1318"/>
        <v>-3.3480277355124599</v>
      </c>
      <c r="DA56" s="40">
        <f t="shared" si="1319"/>
        <v>-7.90980442999345</v>
      </c>
      <c r="DB56" s="40">
        <f t="shared" si="1320"/>
        <v>5.3480277354522876E-2</v>
      </c>
      <c r="DC56" s="40">
        <f t="shared" si="1321"/>
        <v>-4.9202747279650794</v>
      </c>
      <c r="DD56" s="40">
        <f t="shared" si="1322"/>
        <v>-9.1439951692522392</v>
      </c>
      <c r="DE56" s="40">
        <f t="shared" si="1323"/>
        <v>2.7072027472745397</v>
      </c>
    </row>
    <row r="57" spans="1:109" ht="29.25" customHeight="1" x14ac:dyDescent="0.2">
      <c r="A57" s="34">
        <v>43781</v>
      </c>
      <c r="B57" s="27">
        <f t="shared" si="975"/>
        <v>182</v>
      </c>
      <c r="C57" s="35">
        <v>218.7</v>
      </c>
      <c r="D57" s="35">
        <f t="shared" si="0"/>
        <v>49.5</v>
      </c>
      <c r="E57" s="36">
        <v>823219.58299999998</v>
      </c>
      <c r="F57" s="36">
        <v>1091508.5944000001</v>
      </c>
      <c r="G57" s="36">
        <v>-125.0097</v>
      </c>
      <c r="H57" s="36">
        <v>823219.25150000001</v>
      </c>
      <c r="I57" s="36">
        <v>1091508.9247999999</v>
      </c>
      <c r="J57" s="36">
        <v>-123.02379999999999</v>
      </c>
      <c r="K57" s="36">
        <v>823219.64170000004</v>
      </c>
      <c r="L57" s="36">
        <v>1091508.0349000001</v>
      </c>
      <c r="M57" s="36">
        <v>-120.88339999999999</v>
      </c>
      <c r="N57" s="36">
        <v>823220.8922</v>
      </c>
      <c r="O57" s="36">
        <v>1091504.8155</v>
      </c>
      <c r="P57" s="36">
        <v>-119.5204</v>
      </c>
      <c r="Q57" s="36">
        <v>823222.37199999997</v>
      </c>
      <c r="R57" s="36">
        <v>1091502.2089</v>
      </c>
      <c r="S57" s="36">
        <v>-120.8751</v>
      </c>
      <c r="T57" s="36">
        <v>823222.78189999994</v>
      </c>
      <c r="U57" s="36">
        <v>1091501.3095</v>
      </c>
      <c r="V57" s="36">
        <v>-123.01730000000001</v>
      </c>
      <c r="W57" s="36">
        <v>823222.70079999999</v>
      </c>
      <c r="X57" s="36">
        <v>1091501.6346</v>
      </c>
      <c r="Y57" s="36">
        <v>-124.93559999999999</v>
      </c>
      <c r="Z57" s="36">
        <f t="shared" si="1"/>
        <v>6.7916496037636565</v>
      </c>
      <c r="AA57" s="36">
        <f t="shared" si="2"/>
        <v>5.6437624453105286</v>
      </c>
      <c r="AB57" s="36">
        <f t="shared" si="395"/>
        <v>3.7129577980768915</v>
      </c>
      <c r="AC57" s="36">
        <f t="shared" si="4"/>
        <v>3.2892831575004089</v>
      </c>
      <c r="AD57" s="36">
        <f t="shared" si="5"/>
        <v>5.3001237438520938</v>
      </c>
      <c r="AE57" s="36">
        <f t="shared" si="6"/>
        <v>6.53556040521309</v>
      </c>
      <c r="AF57" s="36">
        <f t="shared" si="396"/>
        <v>6.4340409527003768</v>
      </c>
      <c r="AG57" s="36">
        <f t="shared" si="8"/>
        <v>8.3938406286215645</v>
      </c>
      <c r="AH57" s="36">
        <f t="shared" si="9"/>
        <v>7.6265971239482004</v>
      </c>
      <c r="AI57" s="40">
        <f t="shared" ref="AI57" si="1342">IF(Z57="","",(Z57-Z$10)*1000)</f>
        <v>-25.301692062034142</v>
      </c>
      <c r="AJ57" s="40">
        <f t="shared" ref="AJ57" si="1343">IF(AA57="","",(AA57-AA$10)*1000)</f>
        <v>-22.609099111124742</v>
      </c>
      <c r="AK57" s="40">
        <f t="shared" ref="AK57" si="1344">IF(AB57="","",(AB57-AB$10)*1000)</f>
        <v>-19.56747435844175</v>
      </c>
      <c r="AL57" s="40">
        <f t="shared" ref="AL57" si="1345">IF(AC57="","",(AC57-AC$10)*1000)</f>
        <v>-8.4055997343579492</v>
      </c>
      <c r="AM57" s="40">
        <f t="shared" ref="AM57" si="1346">IF(AD57="","",(AD57-AD$10)*1000)</f>
        <v>-17.142323406333482</v>
      </c>
      <c r="AN57" s="40">
        <f t="shared" ref="AN57" si="1347">IF(AE57="","",(AE57-AE$10)*1000)</f>
        <v>-22.44484480149822</v>
      </c>
      <c r="AO57" s="40">
        <f t="shared" ref="AO57" si="1348">IF(AF57="","",(AF57-AF$10)*1000)</f>
        <v>-17.562678018670397</v>
      </c>
      <c r="AP57" s="40">
        <f t="shared" ref="AP57" si="1349">IF(AG57="","",(AG57-AG$10)*1000)</f>
        <v>-18.550833324423976</v>
      </c>
      <c r="AQ57" s="40">
        <f t="shared" ref="AQ57" si="1350">IF(AH57="","",(AH57-AH$10)*1000)</f>
        <v>-21.421040766021804</v>
      </c>
      <c r="AR57" s="37"/>
      <c r="AS57" s="40">
        <f t="shared" ref="AS57" si="1351">IF(E57="","",(E57-E$10)*1000)</f>
        <v>0.20000000949949026</v>
      </c>
      <c r="AT57" s="40">
        <f t="shared" ref="AT57" si="1352">IF(F57="","",(F57-F$10)*1000)</f>
        <v>-13.499999884516001</v>
      </c>
      <c r="AU57" s="40">
        <f t="shared" ref="AU57" si="1353">IF(G57="","",(G57-G$10)*1000)</f>
        <v>0.30000000000995897</v>
      </c>
      <c r="AV57" s="40">
        <f t="shared" ref="AV57" si="1354">IF(H57="","",(H57-H$10)*1000)</f>
        <v>1.7000000225380063</v>
      </c>
      <c r="AW57" s="40">
        <f t="shared" ref="AW57" si="1355">IF(I57="","",(I57-I$10)*1000)</f>
        <v>-11.100000003352761</v>
      </c>
      <c r="AX57" s="40">
        <f t="shared" ref="AX57" si="1356">IF(J57="","",(J57-J$10)*1000)</f>
        <v>-0.49999999998817657</v>
      </c>
      <c r="AY57" s="40">
        <f t="shared" ref="AY57" si="1357">IF(K57="","",(K57-K$10)*1000)</f>
        <v>0</v>
      </c>
      <c r="AZ57" s="40">
        <f t="shared" ref="AZ57" si="1358">IF(L57="","",(L57-L$10)*1000)</f>
        <v>-12.299999827519059</v>
      </c>
      <c r="BA57" s="40">
        <f t="shared" ref="BA57" si="1359">IF(M57="","",(M57-M$10)*1000)</f>
        <v>-1.7999999999886995</v>
      </c>
      <c r="BB57" s="40">
        <f t="shared" ref="BB57" si="1360">IF(N57="","",(N57-N$10)*1000)</f>
        <v>-5.4000000236555934</v>
      </c>
      <c r="BC57" s="40">
        <f t="shared" ref="BC57" si="1361">IF(O57="","",(O57-O$10)*1000)</f>
        <v>0.40000001899898052</v>
      </c>
      <c r="BD57" s="40">
        <f t="shared" ref="BD57" si="1362">IF(P57="","",(P57-P$10)*1000)</f>
        <v>-20.099999999999341</v>
      </c>
      <c r="BE57" s="40">
        <f t="shared" ref="BE57" si="1363">IF(Q57="","",(Q57-Q$10)*1000)</f>
        <v>-5.3000000771135092</v>
      </c>
      <c r="BF57" s="40">
        <f t="shared" ref="BF57" si="1364">IF(R57="","",(R57-R$10)*1000)</f>
        <v>4.5999998692423105</v>
      </c>
      <c r="BG57" s="40">
        <f t="shared" ref="BG57" si="1365">IF(S57="","",(S57-S$10)*1000)</f>
        <v>-7.6999999999998181</v>
      </c>
      <c r="BH57" s="40">
        <f t="shared" ref="BH57" si="1366">IF(T57="","",(T57-T$10)*1000)</f>
        <v>-6.600000080652535</v>
      </c>
      <c r="BI57" s="40">
        <f t="shared" ref="BI57" si="1367">IF(U57="","",(U57-U$10)*1000)</f>
        <v>5.4999999701976776</v>
      </c>
      <c r="BJ57" s="40">
        <f t="shared" ref="BJ57" si="1368">IF(V57="","",(V57-V$10)*1000)</f>
        <v>9.9999999989108801E-2</v>
      </c>
      <c r="BK57" s="40">
        <f t="shared" ref="BK57" si="1369">IF(W57="","",(W57-W$10)*1000)</f>
        <v>-8.4999999962747097</v>
      </c>
      <c r="BL57" s="40">
        <f t="shared" ref="BL57" si="1370">IF(X57="","",(X57-X$10)*1000)</f>
        <v>6.0999998822808266</v>
      </c>
      <c r="BM57" s="40">
        <f t="shared" ref="BM57" si="1371">IF(Y57="","",(Y57-Y$10)*1000)</f>
        <v>2.6000000000010459</v>
      </c>
      <c r="BN57" s="37"/>
      <c r="BO57" s="36">
        <v>169.36949999999999</v>
      </c>
      <c r="BP57" s="36">
        <v>-3.7614999999999998</v>
      </c>
      <c r="BQ57" s="36">
        <v>-1.1605000000000001</v>
      </c>
      <c r="BR57" s="36">
        <v>169.20869999999999</v>
      </c>
      <c r="BS57" s="36">
        <v>-4.2011000000000003</v>
      </c>
      <c r="BT57" s="36">
        <v>0.82699999999999996</v>
      </c>
      <c r="BU57" s="36">
        <v>169.18629999999999</v>
      </c>
      <c r="BV57" s="36">
        <v>-3.2296999999999998</v>
      </c>
      <c r="BW57" s="36">
        <v>2.9676</v>
      </c>
      <c r="BX57" s="36">
        <v>168.9589</v>
      </c>
      <c r="BY57" s="36">
        <v>0.21659999999999999</v>
      </c>
      <c r="BZ57" s="36">
        <v>4.3329000000000004</v>
      </c>
      <c r="CA57" s="36">
        <v>169.19829999999999</v>
      </c>
      <c r="CB57" s="36">
        <v>3.2044000000000001</v>
      </c>
      <c r="CC57" s="36">
        <v>2.9758</v>
      </c>
      <c r="CD57" s="36">
        <v>169.18969999999999</v>
      </c>
      <c r="CE57" s="36">
        <v>4.1927000000000003</v>
      </c>
      <c r="CF57" s="36">
        <v>0.8337</v>
      </c>
      <c r="CG57" s="36">
        <v>169.25360000000001</v>
      </c>
      <c r="CH57" s="36">
        <v>3.8637999999999999</v>
      </c>
      <c r="CI57" s="36">
        <v>-1.0852999999999999</v>
      </c>
      <c r="CJ57" s="37"/>
      <c r="CK57" s="40">
        <f t="shared" ref="CK57" si="1372">IF(BO57="","",(BO57-BO$10)*1000)</f>
        <v>-5.555622190968279</v>
      </c>
      <c r="CL57" s="40">
        <f t="shared" ref="CL57" si="1373">IF(BP57="","",(BP57-BP$10)*1000)</f>
        <v>12.352242127055657</v>
      </c>
      <c r="CM57" s="40">
        <f t="shared" ref="CM57" si="1374">IF(BQ57="","",(BQ57-BQ$10)*1000)</f>
        <v>0.3705562219227243</v>
      </c>
      <c r="CN57" s="40">
        <f t="shared" ref="CN57" si="1375">IF(BR57="","",(BR57-BR$10)*1000)</f>
        <v>-3.1902291373739899</v>
      </c>
      <c r="CO57" s="40">
        <f t="shared" ref="CO57" si="1376">IF(BS57="","",(BS57-BS$10)*1000)</f>
        <v>10.75915358588464</v>
      </c>
      <c r="CP57" s="40">
        <f t="shared" ref="CP57" si="1377">IF(BT57="","",(BT57-BT$10)*1000)</f>
        <v>-0.46109770862123867</v>
      </c>
      <c r="CQ57" s="40">
        <f t="shared" ref="CQ57" si="1378">IF(BU57="","",(BU57-BU$10)*1000)</f>
        <v>-5.1552418708809</v>
      </c>
      <c r="CR57" s="40">
        <f t="shared" ref="CR57" si="1379">IF(BV57="","",(BV57-BV$10)*1000)</f>
        <v>11.100086716097302</v>
      </c>
      <c r="CS57" s="40">
        <f t="shared" ref="CS57" si="1380">IF(BW57="","",(BW57-BW$10)*1000)</f>
        <v>-1.7654475812820536</v>
      </c>
      <c r="CT57" s="40">
        <f t="shared" ref="CT57" si="1381">IF(BX57="","",(BX57-BX$10)*1000)</f>
        <v>-4.7138646198447987</v>
      </c>
      <c r="CU57" s="40">
        <f t="shared" ref="CU57" si="1382">IF(BY57="","",(BY57-BY$10)*1000)</f>
        <v>-2.6351047495593027</v>
      </c>
      <c r="CV57" s="40">
        <f t="shared" ref="CV57" si="1383">IF(BZ57="","",(BZ57-BZ$10)*1000)</f>
        <v>-20.043861353807202</v>
      </c>
      <c r="CW57" s="40">
        <f t="shared" ref="CW57" si="1384">IF(CA57="","",(CA57-CA$10)*1000)</f>
        <v>-2.8943418723770264</v>
      </c>
      <c r="CX57" s="40">
        <f t="shared" ref="CX57" si="1385">IF(CB57="","",(CB57-CB$10)*1000)</f>
        <v>-6.3805659486626531</v>
      </c>
      <c r="CY57" s="40">
        <f t="shared" ref="CY57" si="1386">IF(CC57="","",(CC57-CC$10)*1000)</f>
        <v>-7.6680565812732304</v>
      </c>
      <c r="CZ57" s="40">
        <f t="shared" ref="CZ57" si="1387">IF(CD57="","",(CD57-CD$10)*1000)</f>
        <v>-3.6480277355224189</v>
      </c>
      <c r="DA57" s="40">
        <f t="shared" ref="DA57" si="1388">IF(CE57="","",(CE57-CE$10)*1000)</f>
        <v>-7.8098044299927949</v>
      </c>
      <c r="DB57" s="40">
        <f t="shared" ref="DB57" si="1389">IF(CF57="","",(CF57-CF$10)*1000)</f>
        <v>0.15348027735451186</v>
      </c>
      <c r="DC57" s="40">
        <f t="shared" ref="DC57" si="1390">IF(CG57="","",(CG57-CG$10)*1000)</f>
        <v>-5.1202747279717187</v>
      </c>
      <c r="DD57" s="40">
        <f t="shared" ref="DD57" si="1391">IF(CH57="","",(CH57-CH$10)*1000)</f>
        <v>-9.1439951692522392</v>
      </c>
      <c r="DE57" s="40">
        <f t="shared" ref="DE57" si="1392">IF(CI57="","",(CI57-CI$10)*1000)</f>
        <v>2.6072027472745507</v>
      </c>
    </row>
    <row r="58" spans="1:109" ht="29.25" customHeight="1" x14ac:dyDescent="0.2">
      <c r="A58" s="34">
        <v>43783</v>
      </c>
      <c r="B58" s="27">
        <f t="shared" ref="B58:B72" si="1393">IF(A58="","",A58-excav)</f>
        <v>184</v>
      </c>
      <c r="C58" s="35">
        <v>220.5</v>
      </c>
      <c r="D58" s="35">
        <f t="shared" si="0"/>
        <v>51.300000000000011</v>
      </c>
      <c r="E58" s="36">
        <v>823219.58310000005</v>
      </c>
      <c r="F58" s="36">
        <v>1091508.5941999999</v>
      </c>
      <c r="G58" s="36">
        <v>-125.00960000000001</v>
      </c>
      <c r="H58" s="36">
        <v>823219.25159999996</v>
      </c>
      <c r="I58" s="36">
        <v>1091508.9245</v>
      </c>
      <c r="J58" s="36">
        <v>-123.0239</v>
      </c>
      <c r="K58" s="36">
        <v>823219.64179999998</v>
      </c>
      <c r="L58" s="36">
        <v>1091508.0345999999</v>
      </c>
      <c r="M58" s="36">
        <v>-120.8837</v>
      </c>
      <c r="N58" s="36">
        <v>823220.8922</v>
      </c>
      <c r="O58" s="36">
        <v>1091504.8154</v>
      </c>
      <c r="P58" s="36">
        <v>-119.52079999999999</v>
      </c>
      <c r="Q58" s="36">
        <v>823222.37219999998</v>
      </c>
      <c r="R58" s="36">
        <v>1091502.2089</v>
      </c>
      <c r="S58" s="36">
        <v>-120.8751</v>
      </c>
      <c r="T58" s="36">
        <v>823222.78220000002</v>
      </c>
      <c r="U58" s="36">
        <v>1091501.3095</v>
      </c>
      <c r="V58" s="36">
        <v>-123.01739999999999</v>
      </c>
      <c r="W58" s="36">
        <v>823222.701</v>
      </c>
      <c r="X58" s="36">
        <v>1091501.6344999999</v>
      </c>
      <c r="Y58" s="36">
        <v>-124.93559999999999</v>
      </c>
      <c r="Z58" s="36">
        <f t="shared" si="1"/>
        <v>6.79117056844124</v>
      </c>
      <c r="AA58" s="36">
        <f t="shared" si="2"/>
        <v>5.6434015256892378</v>
      </c>
      <c r="AB58" s="36">
        <f t="shared" si="395"/>
        <v>3.7127139951284973</v>
      </c>
      <c r="AC58" s="36">
        <f t="shared" si="4"/>
        <v>3.2891291765322568</v>
      </c>
      <c r="AD58" s="36">
        <f t="shared" si="5"/>
        <v>5.2999666385720827</v>
      </c>
      <c r="AE58" s="36">
        <f t="shared" si="6"/>
        <v>6.5352843312455402</v>
      </c>
      <c r="AF58" s="36">
        <f t="shared" si="396"/>
        <v>6.4338121366083314</v>
      </c>
      <c r="AG58" s="36">
        <f t="shared" si="8"/>
        <v>8.3936525786010883</v>
      </c>
      <c r="AH58" s="36">
        <f t="shared" si="9"/>
        <v>7.6265457777296062</v>
      </c>
      <c r="AI58" s="40">
        <f t="shared" ref="AI58" si="1394">IF(Z58="","",(Z58-Z$10)*1000)</f>
        <v>-25.780727384450586</v>
      </c>
      <c r="AJ58" s="40">
        <f t="shared" ref="AJ58" si="1395">IF(AA58="","",(AA58-AA$10)*1000)</f>
        <v>-22.970018732415554</v>
      </c>
      <c r="AK58" s="40">
        <f t="shared" ref="AK58" si="1396">IF(AB58="","",(AB58-AB$10)*1000)</f>
        <v>-19.811277306835962</v>
      </c>
      <c r="AL58" s="40">
        <f t="shared" ref="AL58" si="1397">IF(AC58="","",(AC58-AC$10)*1000)</f>
        <v>-8.5595807025100612</v>
      </c>
      <c r="AM58" s="40">
        <f t="shared" ref="AM58" si="1398">IF(AD58="","",(AD58-AD$10)*1000)</f>
        <v>-17.299428686344598</v>
      </c>
      <c r="AN58" s="40">
        <f t="shared" ref="AN58" si="1399">IF(AE58="","",(AE58-AE$10)*1000)</f>
        <v>-22.720918769048026</v>
      </c>
      <c r="AO58" s="40">
        <f t="shared" ref="AO58" si="1400">IF(AF58="","",(AF58-AF$10)*1000)</f>
        <v>-17.791494110715789</v>
      </c>
      <c r="AP58" s="40">
        <f t="shared" ref="AP58" si="1401">IF(AG58="","",(AG58-AG$10)*1000)</f>
        <v>-18.738883344900259</v>
      </c>
      <c r="AQ58" s="40">
        <f t="shared" ref="AQ58" si="1402">IF(AH58="","",(AH58-AH$10)*1000)</f>
        <v>-21.472386984616065</v>
      </c>
      <c r="AR58" s="37"/>
      <c r="AS58" s="40">
        <f t="shared" ref="AS58:AS85" si="1403">IF(E58="","",(E58-E$10)*1000)</f>
        <v>0.30000007245689631</v>
      </c>
      <c r="AT58" s="40">
        <f t="shared" ref="AT58:AT85" si="1404">IF(F58="","",(F58-F$10)*1000)</f>
        <v>-13.700000010430813</v>
      </c>
      <c r="AU58" s="40">
        <f t="shared" ref="AU58:AU85" si="1405">IF(G58="","",(G58-G$10)*1000)</f>
        <v>0.39999999999906777</v>
      </c>
      <c r="AV58" s="40">
        <f t="shared" ref="AV58:AV85" si="1406">IF(H58="","",(H58-H$10)*1000)</f>
        <v>1.7999999690800905</v>
      </c>
      <c r="AW58" s="40">
        <f t="shared" ref="AW58:AW85" si="1407">IF(I58="","",(I58-I$10)*1000)</f>
        <v>-11.399999959394336</v>
      </c>
      <c r="AX58" s="40">
        <f t="shared" ref="AX58:BA85" si="1408">IF(J58="","",(J58-J$10)*1000)</f>
        <v>-0.59999999999149622</v>
      </c>
      <c r="AY58" s="40">
        <f t="shared" ref="AY58:AY72" si="1409">IF(K58="","",(K58-K$10)*1000)</f>
        <v>9.9999946542084217E-2</v>
      </c>
      <c r="AZ58" s="40">
        <f t="shared" ref="AZ58:AZ83" si="1410">IF(L58="","",(L58-L$10)*1000)</f>
        <v>-12.600000016391277</v>
      </c>
      <c r="BA58" s="40">
        <f t="shared" ref="BA58:BA83" si="1411">IF(M58="","",(M58-M$10)*1000)</f>
        <v>-2.0999999999986585</v>
      </c>
      <c r="BB58" s="40">
        <f t="shared" ref="BB58:BB85" si="1412">IF(N58="","",(N58-N$10)*1000)</f>
        <v>-5.4000000236555934</v>
      </c>
      <c r="BC58" s="40">
        <f t="shared" ref="BC58:BC85" si="1413">IF(O58="","",(O58-O$10)*1000)</f>
        <v>0.29999995604157448</v>
      </c>
      <c r="BD58" s="40">
        <f t="shared" ref="BD58:BD85" si="1414">IF(P58="","",(P58-P$10)*1000)</f>
        <v>-20.499999999998408</v>
      </c>
      <c r="BE58" s="40">
        <f t="shared" ref="BE58:BE85" si="1415">IF(Q58="","",(Q58-Q$10)*1000)</f>
        <v>-5.1000000676140189</v>
      </c>
      <c r="BF58" s="40">
        <f t="shared" ref="BF58:BF85" si="1416">IF(R58="","",(R58-R$10)*1000)</f>
        <v>4.5999998692423105</v>
      </c>
      <c r="BG58" s="40">
        <f t="shared" ref="BG58:BJ85" si="1417">IF(S58="","",(S58-S$10)*1000)</f>
        <v>-7.6999999999998181</v>
      </c>
      <c r="BH58" s="40">
        <f t="shared" ref="BH58:BH85" si="1418">IF(T58="","",(T58-T$10)*1000)</f>
        <v>-6.3000000081956387</v>
      </c>
      <c r="BI58" s="40">
        <f t="shared" ref="BI58:BI85" si="1419">IF(U58="","",(U58-U$10)*1000)</f>
        <v>5.4999999701976776</v>
      </c>
      <c r="BJ58" s="40">
        <f t="shared" ref="BJ58:BJ85" si="1420">IF(V58="","",(V58-V$10)*1000)</f>
        <v>0</v>
      </c>
      <c r="BK58" s="40">
        <f t="shared" ref="BK58:BK85" si="1421">IF(W58="","",(W58-W$10)*1000)</f>
        <v>-8.2999999867752194</v>
      </c>
      <c r="BL58" s="40">
        <f t="shared" ref="BL58:BL85" si="1422">IF(X58="","",(X58-X$10)*1000)</f>
        <v>5.9999998193234205</v>
      </c>
      <c r="BM58" s="40">
        <f t="shared" ref="BM58:BM85" si="1423">IF(Y58="","",(Y58-Y$10)*1000)</f>
        <v>2.6000000000010459</v>
      </c>
      <c r="BN58" s="37"/>
      <c r="BO58" s="36">
        <v>169.36949999999999</v>
      </c>
      <c r="BP58" s="36">
        <v>-3.7612999999999999</v>
      </c>
      <c r="BQ58" s="36">
        <v>-1.1604000000000001</v>
      </c>
      <c r="BR58" s="36">
        <v>169.20869999999999</v>
      </c>
      <c r="BS58" s="36">
        <v>-4.2008000000000001</v>
      </c>
      <c r="BT58" s="36">
        <v>0.82689999999999997</v>
      </c>
      <c r="BU58" s="38">
        <v>169.18620000000001</v>
      </c>
      <c r="BV58" s="39">
        <v>-3.2292999999999998</v>
      </c>
      <c r="BW58" s="39">
        <v>2.9672999999999998</v>
      </c>
      <c r="BX58" s="38">
        <v>168.9588</v>
      </c>
      <c r="BY58" s="39">
        <v>0.2167</v>
      </c>
      <c r="BZ58" s="39">
        <v>4.3324999999999996</v>
      </c>
      <c r="CA58" s="38">
        <v>169.1985</v>
      </c>
      <c r="CB58" s="39">
        <v>3.2044999999999999</v>
      </c>
      <c r="CC58" s="39">
        <v>2.9758</v>
      </c>
      <c r="CD58" s="38">
        <v>169.19</v>
      </c>
      <c r="CE58" s="39">
        <v>4.1928999999999998</v>
      </c>
      <c r="CF58" s="39">
        <v>0.83360000000000001</v>
      </c>
      <c r="CG58" s="38">
        <v>169.25370000000001</v>
      </c>
      <c r="CH58" s="39">
        <v>3.8639999999999999</v>
      </c>
      <c r="CI58" s="39">
        <v>-1.0852999999999999</v>
      </c>
      <c r="CJ58" s="37"/>
      <c r="CK58" s="40">
        <f t="shared" ref="CK58:CK85" si="1424">IF(BO58="","",(BO58-BO$10)*1000)</f>
        <v>-5.555622190968279</v>
      </c>
      <c r="CL58" s="40">
        <f t="shared" ref="CL58:CL85" si="1425">IF(BP58="","",(BP58-BP$10)*1000)</f>
        <v>12.552242127055635</v>
      </c>
      <c r="CM58" s="40">
        <f t="shared" ref="CM58:CM85" si="1426">IF(BQ58="","",(BQ58-BQ$10)*1000)</f>
        <v>0.47055622192271329</v>
      </c>
      <c r="CN58" s="40">
        <f t="shared" ref="CN58:CN85" si="1427">IF(BR58="","",(BR58-BR$10)*1000)</f>
        <v>-3.1902291373739899</v>
      </c>
      <c r="CO58" s="40">
        <f t="shared" ref="CO58:CO85" si="1428">IF(BS58="","",(BS58-BS$10)*1000)</f>
        <v>11.059153585884829</v>
      </c>
      <c r="CP58" s="40">
        <f t="shared" ref="CP58:CS85" si="1429">IF(BT58="","",(BT58-BT$10)*1000)</f>
        <v>-0.56109770862122765</v>
      </c>
      <c r="CQ58" s="40">
        <f t="shared" ref="CQ58:CQ72" si="1430">IF(BU58="","",(BU58-BU$10)*1000)</f>
        <v>-5.255241870855798</v>
      </c>
      <c r="CR58" s="40">
        <f t="shared" ref="CR58:CR72" si="1431">IF(BV58="","",(BV58-BV$10)*1000)</f>
        <v>11.500086716097258</v>
      </c>
      <c r="CS58" s="40">
        <f t="shared" ref="CS58:CS72" si="1432">IF(BW58="","",(BW58-BW$10)*1000)</f>
        <v>-2.0654475812822426</v>
      </c>
      <c r="CT58" s="40">
        <f t="shared" ref="CT58:CT75" si="1433">IF(BX58="","",(BX58-BX$10)*1000)</f>
        <v>-4.8138646198481183</v>
      </c>
      <c r="CU58" s="40">
        <f t="shared" ref="CU58:CU75" si="1434">IF(BY58="","",(BY58-BY$10)*1000)</f>
        <v>-2.5351047495592862</v>
      </c>
      <c r="CV58" s="40">
        <f t="shared" ref="CV58:CV75" si="1435">IF(BZ58="","",(BZ58-BZ$10)*1000)</f>
        <v>-20.443861353808046</v>
      </c>
      <c r="CW58" s="40">
        <f t="shared" ref="CW58:CW75" si="1436">IF(CA58="","",(CA58-CA$10)*1000)</f>
        <v>-2.6943418723703871</v>
      </c>
      <c r="CX58" s="40">
        <f t="shared" ref="CX58:CX75" si="1437">IF(CB58="","",(CB58-CB$10)*1000)</f>
        <v>-6.2805659486628862</v>
      </c>
      <c r="CY58" s="40">
        <f t="shared" ref="CY58:DB75" si="1438">IF(CC58="","",(CC58-CC$10)*1000)</f>
        <v>-7.6680565812732304</v>
      </c>
      <c r="CZ58" s="40">
        <f t="shared" ref="CZ58:CZ85" si="1439">IF(CD58="","",(CD58-CD$10)*1000)</f>
        <v>-3.3480277355124599</v>
      </c>
      <c r="DA58" s="40">
        <f t="shared" ref="DA58:DA85" si="1440">IF(CE58="","",(CE58-CE$10)*1000)</f>
        <v>-7.609804429993261</v>
      </c>
      <c r="DB58" s="40">
        <f t="shared" ref="DB58:DB85" si="1441">IF(CF58="","",(CF58-CF$10)*1000)</f>
        <v>5.3480277354522876E-2</v>
      </c>
      <c r="DC58" s="40">
        <f t="shared" ref="DC58:DC75" si="1442">IF(CG58="","",(CG58-CG$10)*1000)</f>
        <v>-5.020274727968399</v>
      </c>
      <c r="DD58" s="40">
        <f t="shared" ref="DD58:DD75" si="1443">IF(CH58="","",(CH58-CH$10)*1000)</f>
        <v>-8.9439951692522612</v>
      </c>
      <c r="DE58" s="40">
        <f t="shared" ref="DE58:DE75" si="1444">IF(CI58="","",(CI58-CI$10)*1000)</f>
        <v>2.6072027472745507</v>
      </c>
    </row>
    <row r="59" spans="1:109" ht="29.25" customHeight="1" x14ac:dyDescent="0.2">
      <c r="A59" s="34">
        <v>43787</v>
      </c>
      <c r="B59" s="27">
        <f t="shared" si="1393"/>
        <v>188</v>
      </c>
      <c r="C59" s="35">
        <v>221.7</v>
      </c>
      <c r="D59" s="35">
        <f t="shared" si="0"/>
        <v>52.5</v>
      </c>
      <c r="E59" s="36">
        <v>823219.58290000004</v>
      </c>
      <c r="F59" s="36">
        <v>1091508.5944999999</v>
      </c>
      <c r="G59" s="36">
        <v>-125.0097</v>
      </c>
      <c r="H59" s="36">
        <v>823219.25139999995</v>
      </c>
      <c r="I59" s="36">
        <v>1091508.9247999999</v>
      </c>
      <c r="J59" s="36">
        <v>-123.0239</v>
      </c>
      <c r="K59" s="36">
        <v>823219.64159999997</v>
      </c>
      <c r="L59" s="36">
        <v>1091508.0347</v>
      </c>
      <c r="M59" s="36">
        <v>-120.8835</v>
      </c>
      <c r="N59" s="36">
        <v>823220.89210000006</v>
      </c>
      <c r="O59" s="36">
        <v>1091504.8154</v>
      </c>
      <c r="P59" s="36">
        <v>-119.52079999999999</v>
      </c>
      <c r="Q59" s="36">
        <v>823222.37199999997</v>
      </c>
      <c r="R59" s="36">
        <v>1091502.2089</v>
      </c>
      <c r="S59" s="36">
        <v>-120.87520000000001</v>
      </c>
      <c r="T59" s="36">
        <v>823222.78200000001</v>
      </c>
      <c r="U59" s="36">
        <v>1091501.3093999999</v>
      </c>
      <c r="V59" s="36">
        <v>-123.01739999999999</v>
      </c>
      <c r="W59" s="36">
        <v>823222.70070000004</v>
      </c>
      <c r="X59" s="36">
        <v>1091501.6346</v>
      </c>
      <c r="Y59" s="36">
        <v>-124.9355</v>
      </c>
      <c r="Z59" s="36">
        <f t="shared" ref="Z59:Z72" si="1445">IF(Xhaut="","",SQRT(((Xbasgauche-Xhaut)^2+(Ybasgauche-Yhaut)^2)+(Zbasgauche-Zhaut)^2))</f>
        <v>6.7914375988810329</v>
      </c>
      <c r="AA59" s="36">
        <f t="shared" si="2"/>
        <v>5.643649037634864</v>
      </c>
      <c r="AB59" s="36">
        <f t="shared" ref="AB59:AB72" si="1446">IF(Xhaut="","",SQRT(((Xhautgauche-Xhaut)^2+(Yhautgauche-Yhaut)^2)+(Zhautgauche-Zhaut)^2))</f>
        <v>3.7127609713238741</v>
      </c>
      <c r="AC59" s="36">
        <f t="shared" ref="AC59:AC72" si="1447">IF(Xhaut="","",SQRT(((Xhautdroit-Xhaut)^2+(Yhautdroit-Yhaut)^2)+(Zhautdroit-Zhaut)^2))</f>
        <v>3.2891253578617876</v>
      </c>
      <c r="AD59" s="36">
        <f t="shared" si="5"/>
        <v>5.2999971292615387</v>
      </c>
      <c r="AE59" s="36">
        <f t="shared" ref="AE59:AE72" si="1448">IF(Xhaut="","",SQRT(((Xbasdroit-Xhaut)^2+(Ybasdroit-Yhaut)^2)+(Zbasdroit-Zhaut)^2))</f>
        <v>6.5350974506726915</v>
      </c>
      <c r="AF59" s="36">
        <f t="shared" ref="AF59:AF72" si="1449">IF(Xhautdroit="","",SQRT(((Xhautdroit-Xhautgauche)^2+(Yhautdroit-Yhautgauche)^2)+(Zhautdroit-Zhautgauche)^2))</f>
        <v>6.433902290981905</v>
      </c>
      <c r="AG59" s="36">
        <f t="shared" si="8"/>
        <v>8.3940154735708017</v>
      </c>
      <c r="AH59" s="36">
        <f t="shared" ref="AH59:AH72" si="1450">IF(Xbasdroit="","",SQRT(((Xbasdroit-Xbasgauche)^2+(Ybasdroit-Ybasgauche)^2)+(Zbasdroit-Zbasgauche)^2))</f>
        <v>7.6266893530974746</v>
      </c>
      <c r="AI59" s="40">
        <f t="shared" ref="AI59:AI80" si="1451">IF(Z59="","",(Z59-Z$10)*1000)</f>
        <v>-25.51369694465766</v>
      </c>
      <c r="AJ59" s="40">
        <f t="shared" ref="AJ59:AJ80" si="1452">IF(AA59="","",(AA59-AA$10)*1000)</f>
        <v>-22.722506786789332</v>
      </c>
      <c r="AK59" s="40">
        <f t="shared" ref="AK59:AK77" si="1453">IF(AB59="","",(AB59-AB$10)*1000)</f>
        <v>-19.764301111459215</v>
      </c>
      <c r="AL59" s="40">
        <f t="shared" ref="AL59:AL80" si="1454">IF(AC59="","",(AC59-AC$10)*1000)</f>
        <v>-8.5633993729792302</v>
      </c>
      <c r="AM59" s="40">
        <f t="shared" ref="AM59:AM80" si="1455">IF(AD59="","",(AD59-AD$10)*1000)</f>
        <v>-17.268937996888667</v>
      </c>
      <c r="AN59" s="40">
        <f t="shared" ref="AN59:AN80" si="1456">IF(AE59="","",(AE59-AE$10)*1000)</f>
        <v>-22.907799341896684</v>
      </c>
      <c r="AO59" s="40">
        <f t="shared" ref="AO59:AO80" si="1457">IF(AF59="","",(AF59-AF$10)*1000)</f>
        <v>-17.701339737142163</v>
      </c>
      <c r="AP59" s="40">
        <f t="shared" ref="AP59:AP80" si="1458">IF(AG59="","",(AG59-AG$10)*1000)</f>
        <v>-18.375988375186836</v>
      </c>
      <c r="AQ59" s="40">
        <f t="shared" ref="AQ59:AQ80" si="1459">IF(AH59="","",(AH59-AH$10)*1000)</f>
        <v>-21.328811616747601</v>
      </c>
      <c r="AR59" s="37"/>
      <c r="AS59" s="40">
        <f t="shared" si="1403"/>
        <v>0.10000006295740604</v>
      </c>
      <c r="AT59" s="40">
        <f t="shared" si="1404"/>
        <v>-13.400000054389238</v>
      </c>
      <c r="AU59" s="40">
        <f t="shared" si="1405"/>
        <v>0.30000000000995897</v>
      </c>
      <c r="AV59" s="40">
        <f t="shared" si="1406"/>
        <v>1.5999999595806003</v>
      </c>
      <c r="AW59" s="40">
        <f t="shared" si="1407"/>
        <v>-11.100000003352761</v>
      </c>
      <c r="AX59" s="40">
        <f t="shared" si="1408"/>
        <v>-0.59999999999149622</v>
      </c>
      <c r="AY59" s="40">
        <f t="shared" si="1409"/>
        <v>-0.10000006295740604</v>
      </c>
      <c r="AZ59" s="40">
        <f t="shared" si="1410"/>
        <v>-12.499999953433871</v>
      </c>
      <c r="BA59" s="40">
        <f t="shared" si="1411"/>
        <v>-1.8999999999920192</v>
      </c>
      <c r="BB59" s="40">
        <f t="shared" si="1412"/>
        <v>-5.4999999701976776</v>
      </c>
      <c r="BC59" s="40">
        <f t="shared" si="1413"/>
        <v>0.29999995604157448</v>
      </c>
      <c r="BD59" s="40">
        <f t="shared" si="1414"/>
        <v>-20.499999999998408</v>
      </c>
      <c r="BE59" s="40">
        <f t="shared" si="1415"/>
        <v>-5.3000000771135092</v>
      </c>
      <c r="BF59" s="40">
        <f t="shared" si="1416"/>
        <v>4.5999998692423105</v>
      </c>
      <c r="BG59" s="40">
        <f t="shared" si="1417"/>
        <v>-7.8000000000031378</v>
      </c>
      <c r="BH59" s="40">
        <f t="shared" si="1418"/>
        <v>-6.5000000176951289</v>
      </c>
      <c r="BI59" s="40">
        <f t="shared" si="1419"/>
        <v>5.3999999072402716</v>
      </c>
      <c r="BJ59" s="40">
        <f t="shared" si="1420"/>
        <v>0</v>
      </c>
      <c r="BK59" s="40">
        <f t="shared" si="1421"/>
        <v>-8.5999999428167939</v>
      </c>
      <c r="BL59" s="40">
        <f t="shared" si="1422"/>
        <v>6.0999998822808266</v>
      </c>
      <c r="BM59" s="40">
        <f t="shared" si="1423"/>
        <v>2.6999999999901547</v>
      </c>
      <c r="BN59" s="37"/>
      <c r="BO59" s="36">
        <v>169.36949999999999</v>
      </c>
      <c r="BP59" s="36">
        <v>-3.7616999999999998</v>
      </c>
      <c r="BQ59" s="36">
        <v>-1.1605000000000001</v>
      </c>
      <c r="BR59" s="36">
        <v>169.20859999999999</v>
      </c>
      <c r="BS59" s="36">
        <v>-4.2011000000000003</v>
      </c>
      <c r="BT59" s="36">
        <v>0.82689999999999997</v>
      </c>
      <c r="BU59" s="38">
        <v>169.18610000000001</v>
      </c>
      <c r="BV59" s="39">
        <v>-3.2294999999999998</v>
      </c>
      <c r="BW59" s="39">
        <v>2.9674999999999998</v>
      </c>
      <c r="BX59" s="38">
        <v>168.9588</v>
      </c>
      <c r="BY59" s="39">
        <v>0.21659999999999999</v>
      </c>
      <c r="BZ59" s="39">
        <v>4.3324999999999996</v>
      </c>
      <c r="CA59" s="38">
        <v>169.19829999999999</v>
      </c>
      <c r="CB59" s="39">
        <v>3.2044000000000001</v>
      </c>
      <c r="CC59" s="39">
        <v>2.9756999999999998</v>
      </c>
      <c r="CD59" s="38">
        <v>169.18969999999999</v>
      </c>
      <c r="CE59" s="39">
        <v>4.1928999999999998</v>
      </c>
      <c r="CF59" s="39">
        <v>0.83360000000000001</v>
      </c>
      <c r="CG59" s="38">
        <v>169.2535</v>
      </c>
      <c r="CH59" s="39">
        <v>3.8637999999999999</v>
      </c>
      <c r="CI59" s="39">
        <v>-1.0851999999999999</v>
      </c>
      <c r="CJ59" s="37"/>
      <c r="CK59" s="40">
        <f t="shared" si="1424"/>
        <v>-5.555622190968279</v>
      </c>
      <c r="CL59" s="40">
        <f t="shared" si="1425"/>
        <v>12.152242127055679</v>
      </c>
      <c r="CM59" s="40">
        <f t="shared" si="1426"/>
        <v>0.3705562219227243</v>
      </c>
      <c r="CN59" s="40">
        <f t="shared" si="1427"/>
        <v>-3.2902291373773096</v>
      </c>
      <c r="CO59" s="40">
        <f t="shared" si="1428"/>
        <v>10.75915358588464</v>
      </c>
      <c r="CP59" s="40">
        <f t="shared" si="1429"/>
        <v>-0.56109770862122765</v>
      </c>
      <c r="CQ59" s="40">
        <f t="shared" si="1430"/>
        <v>-5.3552418708591176</v>
      </c>
      <c r="CR59" s="40">
        <f t="shared" si="1431"/>
        <v>11.30008671609728</v>
      </c>
      <c r="CS59" s="40">
        <f t="shared" si="1432"/>
        <v>-1.8654475812822646</v>
      </c>
      <c r="CT59" s="40">
        <f t="shared" si="1433"/>
        <v>-4.8138646198481183</v>
      </c>
      <c r="CU59" s="40">
        <f t="shared" si="1434"/>
        <v>-2.6351047495593027</v>
      </c>
      <c r="CV59" s="40">
        <f t="shared" si="1435"/>
        <v>-20.443861353808046</v>
      </c>
      <c r="CW59" s="40">
        <f t="shared" si="1436"/>
        <v>-2.8943418723770264</v>
      </c>
      <c r="CX59" s="40">
        <f t="shared" si="1437"/>
        <v>-6.3805659486626531</v>
      </c>
      <c r="CY59" s="40">
        <f t="shared" si="1438"/>
        <v>-7.7680565812734415</v>
      </c>
      <c r="CZ59" s="40">
        <f t="shared" si="1439"/>
        <v>-3.6480277355224189</v>
      </c>
      <c r="DA59" s="40">
        <f t="shared" si="1440"/>
        <v>-7.609804429993261</v>
      </c>
      <c r="DB59" s="40">
        <f t="shared" si="1441"/>
        <v>5.3480277354522876E-2</v>
      </c>
      <c r="DC59" s="40">
        <f t="shared" si="1442"/>
        <v>-5.2202747279750383</v>
      </c>
      <c r="DD59" s="40">
        <f t="shared" si="1443"/>
        <v>-9.1439951692522392</v>
      </c>
      <c r="DE59" s="40">
        <f t="shared" si="1444"/>
        <v>2.7072027472745397</v>
      </c>
    </row>
    <row r="60" spans="1:109" ht="29.25" customHeight="1" x14ac:dyDescent="0.2">
      <c r="A60" s="34">
        <v>43790</v>
      </c>
      <c r="B60" s="27">
        <f t="shared" si="1393"/>
        <v>191</v>
      </c>
      <c r="C60" s="35">
        <v>222.9</v>
      </c>
      <c r="D60" s="35">
        <f t="shared" si="0"/>
        <v>53.700000000000017</v>
      </c>
      <c r="E60" s="36">
        <v>823219.58319999999</v>
      </c>
      <c r="F60" s="36">
        <v>1091508.5941000001</v>
      </c>
      <c r="G60" s="36">
        <v>-125.0094</v>
      </c>
      <c r="H60" s="36">
        <v>823219.25170000002</v>
      </c>
      <c r="I60" s="36">
        <v>1091508.9243999999</v>
      </c>
      <c r="J60" s="36">
        <v>-123.02379999999999</v>
      </c>
      <c r="K60" s="36">
        <v>823219.64190000005</v>
      </c>
      <c r="L60" s="36">
        <v>1091508.0347</v>
      </c>
      <c r="M60" s="36">
        <v>-120.8836</v>
      </c>
      <c r="N60" s="36">
        <v>823220.89210000006</v>
      </c>
      <c r="O60" s="36">
        <v>1091504.8154</v>
      </c>
      <c r="P60" s="36">
        <v>-119.5211</v>
      </c>
      <c r="Q60" s="36">
        <v>823222.37199999997</v>
      </c>
      <c r="R60" s="36">
        <v>1091502.209</v>
      </c>
      <c r="S60" s="36">
        <v>-120.8753</v>
      </c>
      <c r="T60" s="36">
        <v>823222.78189999994</v>
      </c>
      <c r="U60" s="36">
        <v>1091501.3096</v>
      </c>
      <c r="V60" s="36">
        <v>-123.01739999999999</v>
      </c>
      <c r="W60" s="36">
        <v>823222.70079999999</v>
      </c>
      <c r="X60" s="36">
        <v>1091501.6346</v>
      </c>
      <c r="Y60" s="36">
        <v>-124.9354</v>
      </c>
      <c r="Z60" s="36">
        <f t="shared" si="1445"/>
        <v>6.7906722635705243</v>
      </c>
      <c r="AA60" s="36">
        <f t="shared" si="2"/>
        <v>5.6430222797365381</v>
      </c>
      <c r="AB60" s="36">
        <f t="shared" si="1446"/>
        <v>3.7125865350190228</v>
      </c>
      <c r="AC60" s="36">
        <f t="shared" si="1447"/>
        <v>3.2889637592106715</v>
      </c>
      <c r="AD60" s="36">
        <f t="shared" si="5"/>
        <v>5.2996312484039532</v>
      </c>
      <c r="AE60" s="36">
        <f t="shared" si="1448"/>
        <v>6.5347937090313097</v>
      </c>
      <c r="AF60" s="36">
        <f t="shared" si="1449"/>
        <v>6.4336844334155083</v>
      </c>
      <c r="AG60" s="36">
        <f t="shared" si="8"/>
        <v>8.3933028086315904</v>
      </c>
      <c r="AH60" s="36">
        <f t="shared" si="1450"/>
        <v>7.6262406211427374</v>
      </c>
      <c r="AI60" s="40">
        <f t="shared" si="1451"/>
        <v>-26.279032255166257</v>
      </c>
      <c r="AJ60" s="40">
        <f t="shared" si="1452"/>
        <v>-23.349264685115223</v>
      </c>
      <c r="AK60" s="40">
        <f t="shared" si="1453"/>
        <v>-19.93873741631047</v>
      </c>
      <c r="AL60" s="40">
        <f t="shared" si="1454"/>
        <v>-8.7249980240953207</v>
      </c>
      <c r="AM60" s="40">
        <f t="shared" si="1455"/>
        <v>-17.634818854474155</v>
      </c>
      <c r="AN60" s="40">
        <f t="shared" si="1456"/>
        <v>-23.211540983278489</v>
      </c>
      <c r="AO60" s="40">
        <f t="shared" si="1457"/>
        <v>-17.919197303538859</v>
      </c>
      <c r="AP60" s="40">
        <f t="shared" si="1458"/>
        <v>-19.08865331439813</v>
      </c>
      <c r="AQ60" s="40">
        <f t="shared" si="1459"/>
        <v>-21.77754357148487</v>
      </c>
      <c r="AR60" s="37"/>
      <c r="AS60" s="40">
        <f t="shared" si="1403"/>
        <v>0.40000001899898052</v>
      </c>
      <c r="AT60" s="40">
        <f t="shared" si="1404"/>
        <v>-13.799999840557575</v>
      </c>
      <c r="AU60" s="40">
        <f t="shared" si="1405"/>
        <v>0.60000000000570708</v>
      </c>
      <c r="AV60" s="40">
        <f t="shared" si="1406"/>
        <v>1.9000000320374966</v>
      </c>
      <c r="AW60" s="40">
        <f t="shared" si="1407"/>
        <v>-11.500000022351742</v>
      </c>
      <c r="AX60" s="40">
        <f t="shared" si="1408"/>
        <v>-0.49999999998817657</v>
      </c>
      <c r="AY60" s="40">
        <f t="shared" si="1409"/>
        <v>0.20000000949949026</v>
      </c>
      <c r="AZ60" s="40">
        <f t="shared" si="1410"/>
        <v>-12.499999953433871</v>
      </c>
      <c r="BA60" s="40">
        <f t="shared" si="1411"/>
        <v>-1.9999999999953388</v>
      </c>
      <c r="BB60" s="40">
        <f t="shared" si="1412"/>
        <v>-5.4999999701976776</v>
      </c>
      <c r="BC60" s="40">
        <f t="shared" si="1413"/>
        <v>0.29999995604157448</v>
      </c>
      <c r="BD60" s="40">
        <f t="shared" si="1414"/>
        <v>-20.800000000008367</v>
      </c>
      <c r="BE60" s="40">
        <f t="shared" si="1415"/>
        <v>-5.3000000771135092</v>
      </c>
      <c r="BF60" s="40">
        <f t="shared" si="1416"/>
        <v>4.6999999321997166</v>
      </c>
      <c r="BG60" s="40">
        <f t="shared" si="1417"/>
        <v>-7.8999999999922466</v>
      </c>
      <c r="BH60" s="40">
        <f t="shared" si="1418"/>
        <v>-6.600000080652535</v>
      </c>
      <c r="BI60" s="40">
        <f t="shared" si="1419"/>
        <v>5.6000000331550837</v>
      </c>
      <c r="BJ60" s="40">
        <f t="shared" si="1420"/>
        <v>0</v>
      </c>
      <c r="BK60" s="40">
        <f t="shared" si="1421"/>
        <v>-8.4999999962747097</v>
      </c>
      <c r="BL60" s="40">
        <f t="shared" si="1422"/>
        <v>6.0999998822808266</v>
      </c>
      <c r="BM60" s="40">
        <f t="shared" si="1423"/>
        <v>2.7999999999934744</v>
      </c>
      <c r="BN60" s="37"/>
      <c r="BO60" s="36">
        <v>169.36959999999999</v>
      </c>
      <c r="BP60" s="36">
        <v>-3.7612000000000001</v>
      </c>
      <c r="BQ60" s="36">
        <v>-1.1601999999999999</v>
      </c>
      <c r="BR60" s="36">
        <v>169.2088</v>
      </c>
      <c r="BS60" s="36">
        <v>-4.2005999999999997</v>
      </c>
      <c r="BT60" s="36">
        <v>0.82699999999999996</v>
      </c>
      <c r="BU60" s="38">
        <v>169.18639999999999</v>
      </c>
      <c r="BV60" s="39">
        <v>-3.2294</v>
      </c>
      <c r="BW60" s="39">
        <v>2.9674</v>
      </c>
      <c r="BX60" s="38">
        <v>168.9588</v>
      </c>
      <c r="BY60" s="39">
        <v>0.21659999999999999</v>
      </c>
      <c r="BZ60" s="39">
        <v>4.3322000000000003</v>
      </c>
      <c r="CA60" s="38">
        <v>169.19839999999999</v>
      </c>
      <c r="CB60" s="39">
        <v>3.2042999999999999</v>
      </c>
      <c r="CC60" s="39">
        <v>2.9756</v>
      </c>
      <c r="CD60" s="38">
        <v>169.18969999999999</v>
      </c>
      <c r="CE60" s="39">
        <v>4.1925999999999997</v>
      </c>
      <c r="CF60" s="39">
        <v>0.83360000000000001</v>
      </c>
      <c r="CG60" s="38">
        <v>169.25360000000001</v>
      </c>
      <c r="CH60" s="39">
        <v>3.8637999999999999</v>
      </c>
      <c r="CI60" s="39">
        <v>-1.0851</v>
      </c>
      <c r="CJ60" s="37"/>
      <c r="CK60" s="40">
        <f t="shared" si="1424"/>
        <v>-5.4556221909649594</v>
      </c>
      <c r="CL60" s="40">
        <f t="shared" si="1425"/>
        <v>12.652242127055402</v>
      </c>
      <c r="CM60" s="40">
        <f t="shared" si="1426"/>
        <v>0.67055622192291331</v>
      </c>
      <c r="CN60" s="40">
        <f t="shared" si="1427"/>
        <v>-3.0902291373706703</v>
      </c>
      <c r="CO60" s="40">
        <f t="shared" si="1428"/>
        <v>11.259153585885251</v>
      </c>
      <c r="CP60" s="40">
        <f t="shared" si="1429"/>
        <v>-0.46109770862123867</v>
      </c>
      <c r="CQ60" s="40">
        <f t="shared" si="1430"/>
        <v>-5.0552418708775804</v>
      </c>
      <c r="CR60" s="40">
        <f t="shared" si="1431"/>
        <v>11.400086716097046</v>
      </c>
      <c r="CS60" s="40">
        <f t="shared" si="1432"/>
        <v>-1.9654475812820316</v>
      </c>
      <c r="CT60" s="40">
        <f t="shared" si="1433"/>
        <v>-4.8138646198481183</v>
      </c>
      <c r="CU60" s="40">
        <f t="shared" si="1434"/>
        <v>-2.6351047495593027</v>
      </c>
      <c r="CV60" s="40">
        <f t="shared" si="1435"/>
        <v>-20.743861353807347</v>
      </c>
      <c r="CW60" s="40">
        <f t="shared" si="1436"/>
        <v>-2.7943418723737068</v>
      </c>
      <c r="CX60" s="40">
        <f t="shared" si="1437"/>
        <v>-6.4805659486628642</v>
      </c>
      <c r="CY60" s="40">
        <f t="shared" si="1438"/>
        <v>-7.8680565812732084</v>
      </c>
      <c r="CZ60" s="40">
        <f t="shared" si="1439"/>
        <v>-3.6480277355224189</v>
      </c>
      <c r="DA60" s="40">
        <f t="shared" si="1440"/>
        <v>-7.90980442999345</v>
      </c>
      <c r="DB60" s="40">
        <f t="shared" si="1441"/>
        <v>5.3480277354522876E-2</v>
      </c>
      <c r="DC60" s="40">
        <f t="shared" si="1442"/>
        <v>-5.1202747279717187</v>
      </c>
      <c r="DD60" s="40">
        <f t="shared" si="1443"/>
        <v>-9.1439951692522392</v>
      </c>
      <c r="DE60" s="40">
        <f t="shared" si="1444"/>
        <v>2.8072027472745287</v>
      </c>
    </row>
    <row r="61" spans="1:109" ht="29.25" customHeight="1" x14ac:dyDescent="0.2">
      <c r="A61" s="34">
        <v>43795</v>
      </c>
      <c r="B61" s="27">
        <f t="shared" si="1393"/>
        <v>196</v>
      </c>
      <c r="C61" s="35">
        <v>222.9</v>
      </c>
      <c r="D61" s="35">
        <f t="shared" si="0"/>
        <v>53.700000000000017</v>
      </c>
      <c r="E61" s="36">
        <v>823219.58299999998</v>
      </c>
      <c r="F61" s="36">
        <v>1091508.5944999999</v>
      </c>
      <c r="G61" s="36">
        <v>-125.0099</v>
      </c>
      <c r="H61" s="36">
        <v>823219.25150000001</v>
      </c>
      <c r="I61" s="36">
        <v>1091508.9249</v>
      </c>
      <c r="J61" s="36">
        <v>-123.0243</v>
      </c>
      <c r="K61" s="36">
        <v>823219.64159999997</v>
      </c>
      <c r="L61" s="36">
        <v>1091508.0351</v>
      </c>
      <c r="M61" s="36">
        <v>-120.88420000000001</v>
      </c>
      <c r="N61" s="36">
        <v>823220.89229999995</v>
      </c>
      <c r="O61" s="36">
        <v>1091504.8160999999</v>
      </c>
      <c r="P61" s="36">
        <v>-119.5215</v>
      </c>
      <c r="Q61" s="36">
        <v>823222.37210000004</v>
      </c>
      <c r="R61" s="36">
        <v>1091502.2097</v>
      </c>
      <c r="S61" s="36">
        <v>-120.8758</v>
      </c>
      <c r="T61" s="36">
        <v>823222.78209999995</v>
      </c>
      <c r="U61" s="36">
        <v>1091501.3100999999</v>
      </c>
      <c r="V61" s="36">
        <v>-123.01779999999999</v>
      </c>
      <c r="W61" s="36">
        <v>823222.701</v>
      </c>
      <c r="X61" s="36">
        <v>1091501.6353</v>
      </c>
      <c r="Y61" s="36">
        <v>-124.9359</v>
      </c>
      <c r="Z61" s="36">
        <f t="shared" si="1445"/>
        <v>6.7906632672768925</v>
      </c>
      <c r="AA61" s="36">
        <f t="shared" si="2"/>
        <v>5.6430550165811733</v>
      </c>
      <c r="AB61" s="36">
        <f t="shared" si="1446"/>
        <v>3.7125682189289662</v>
      </c>
      <c r="AC61" s="36">
        <f t="shared" si="1447"/>
        <v>3.2889599404529046</v>
      </c>
      <c r="AD61" s="36">
        <f t="shared" si="5"/>
        <v>5.2997635541958408</v>
      </c>
      <c r="AE61" s="36">
        <f t="shared" si="1448"/>
        <v>6.5348765627222329</v>
      </c>
      <c r="AF61" s="36">
        <f t="shared" si="1449"/>
        <v>6.4335826698679064</v>
      </c>
      <c r="AG61" s="36">
        <f t="shared" si="8"/>
        <v>8.3934711324375773</v>
      </c>
      <c r="AH61" s="36">
        <f t="shared" si="1450"/>
        <v>7.62613038434678</v>
      </c>
      <c r="AI61" s="40">
        <f t="shared" si="1451"/>
        <v>-26.288028548798081</v>
      </c>
      <c r="AJ61" s="40">
        <f t="shared" si="1452"/>
        <v>-23.316527840480106</v>
      </c>
      <c r="AK61" s="40">
        <f t="shared" si="1453"/>
        <v>-19.957053506367117</v>
      </c>
      <c r="AL61" s="40">
        <f t="shared" si="1454"/>
        <v>-8.7288167818622142</v>
      </c>
      <c r="AM61" s="40">
        <f t="shared" si="1455"/>
        <v>-17.502513062586544</v>
      </c>
      <c r="AN61" s="40">
        <f t="shared" si="1456"/>
        <v>-23.128687292355288</v>
      </c>
      <c r="AO61" s="40">
        <f t="shared" si="1457"/>
        <v>-18.020960851140799</v>
      </c>
      <c r="AP61" s="40">
        <f t="shared" si="1458"/>
        <v>-18.920329508411271</v>
      </c>
      <c r="AQ61" s="40">
        <f t="shared" si="1459"/>
        <v>-21.887780367442211</v>
      </c>
      <c r="AR61" s="37"/>
      <c r="AS61" s="40">
        <f t="shared" si="1403"/>
        <v>0.20000000949949026</v>
      </c>
      <c r="AT61" s="40">
        <f t="shared" si="1404"/>
        <v>-13.400000054389238</v>
      </c>
      <c r="AU61" s="40">
        <f t="shared" si="1405"/>
        <v>0.10000000000331966</v>
      </c>
      <c r="AV61" s="40">
        <f t="shared" si="1406"/>
        <v>1.7000000225380063</v>
      </c>
      <c r="AW61" s="40">
        <f t="shared" si="1407"/>
        <v>-10.999999940395355</v>
      </c>
      <c r="AX61" s="40">
        <f t="shared" si="1408"/>
        <v>-0.99999999999056399</v>
      </c>
      <c r="AY61" s="40">
        <f t="shared" si="1409"/>
        <v>-0.10000006295740604</v>
      </c>
      <c r="AZ61" s="40">
        <f t="shared" si="1410"/>
        <v>-12.099999934434891</v>
      </c>
      <c r="BA61" s="40">
        <f t="shared" si="1411"/>
        <v>-2.6000000000010459</v>
      </c>
      <c r="BB61" s="40">
        <f t="shared" si="1412"/>
        <v>-5.3000000771135092</v>
      </c>
      <c r="BC61" s="40">
        <f t="shared" si="1413"/>
        <v>0.99999993108212948</v>
      </c>
      <c r="BD61" s="40">
        <f t="shared" si="1414"/>
        <v>-21.200000000007435</v>
      </c>
      <c r="BE61" s="40">
        <f t="shared" si="1415"/>
        <v>-5.2000000141561031</v>
      </c>
      <c r="BF61" s="40">
        <f t="shared" si="1416"/>
        <v>5.3999999072402716</v>
      </c>
      <c r="BG61" s="40">
        <f t="shared" si="1417"/>
        <v>-8.399999999994634</v>
      </c>
      <c r="BH61" s="40">
        <f t="shared" si="1418"/>
        <v>-6.4000000711530447</v>
      </c>
      <c r="BI61" s="40">
        <f t="shared" si="1419"/>
        <v>6.0999998822808266</v>
      </c>
      <c r="BJ61" s="40">
        <f t="shared" si="1420"/>
        <v>-0.39999999999906777</v>
      </c>
      <c r="BK61" s="40">
        <f t="shared" si="1421"/>
        <v>-8.2999999867752194</v>
      </c>
      <c r="BL61" s="40">
        <f t="shared" si="1422"/>
        <v>6.7999998573213816</v>
      </c>
      <c r="BM61" s="40">
        <f t="shared" si="1423"/>
        <v>2.299999999991087</v>
      </c>
      <c r="BN61" s="37"/>
      <c r="BO61" s="36">
        <v>169.36959999999999</v>
      </c>
      <c r="BP61" s="36">
        <v>-3.7616000000000001</v>
      </c>
      <c r="BQ61" s="36">
        <v>-1.1607000000000001</v>
      </c>
      <c r="BR61" s="36">
        <v>169.2088</v>
      </c>
      <c r="BS61" s="36">
        <v>-4.2012</v>
      </c>
      <c r="BT61" s="36">
        <v>0.82650000000000001</v>
      </c>
      <c r="BU61" s="38">
        <v>169.18629999999999</v>
      </c>
      <c r="BV61" s="39">
        <v>-3.2299000000000002</v>
      </c>
      <c r="BW61" s="39">
        <v>2.9668000000000001</v>
      </c>
      <c r="BX61" s="38">
        <v>168.95920000000001</v>
      </c>
      <c r="BY61" s="39">
        <v>0.21609999999999999</v>
      </c>
      <c r="BZ61" s="39">
        <v>4.3318000000000003</v>
      </c>
      <c r="CA61" s="38">
        <v>169.19880000000001</v>
      </c>
      <c r="CB61" s="39">
        <v>3.2037</v>
      </c>
      <c r="CC61" s="39">
        <v>2.9750999999999999</v>
      </c>
      <c r="CD61" s="38">
        <v>169.1901</v>
      </c>
      <c r="CE61" s="39">
        <v>4.1923000000000004</v>
      </c>
      <c r="CF61" s="39">
        <v>0.83320000000000005</v>
      </c>
      <c r="CG61" s="38">
        <v>169.25409999999999</v>
      </c>
      <c r="CH61" s="39">
        <v>3.8633000000000002</v>
      </c>
      <c r="CI61" s="39">
        <v>-1.0855999999999999</v>
      </c>
      <c r="CJ61" s="37"/>
      <c r="CK61" s="40">
        <f t="shared" si="1424"/>
        <v>-5.4556221909649594</v>
      </c>
      <c r="CL61" s="40">
        <f t="shared" si="1425"/>
        <v>12.252242127055446</v>
      </c>
      <c r="CM61" s="40">
        <f t="shared" si="1426"/>
        <v>0.17055622192274633</v>
      </c>
      <c r="CN61" s="40">
        <f t="shared" si="1427"/>
        <v>-3.0902291373706703</v>
      </c>
      <c r="CO61" s="40">
        <f t="shared" si="1428"/>
        <v>10.659153585884873</v>
      </c>
      <c r="CP61" s="40">
        <f t="shared" si="1429"/>
        <v>-0.9610977086211836</v>
      </c>
      <c r="CQ61" s="40">
        <f t="shared" si="1430"/>
        <v>-5.1552418708809</v>
      </c>
      <c r="CR61" s="40">
        <f t="shared" si="1431"/>
        <v>10.90008671609688</v>
      </c>
      <c r="CS61" s="40">
        <f t="shared" si="1432"/>
        <v>-2.5654475812819655</v>
      </c>
      <c r="CT61" s="40">
        <f t="shared" si="1433"/>
        <v>-4.4138646198348397</v>
      </c>
      <c r="CU61" s="40">
        <f t="shared" si="1434"/>
        <v>-3.1351047495593032</v>
      </c>
      <c r="CV61" s="40">
        <f t="shared" si="1435"/>
        <v>-21.143861353807303</v>
      </c>
      <c r="CW61" s="40">
        <f t="shared" si="1436"/>
        <v>-2.3943418723604282</v>
      </c>
      <c r="CX61" s="40">
        <f t="shared" si="1437"/>
        <v>-7.0805659486627981</v>
      </c>
      <c r="CY61" s="40">
        <f t="shared" si="1438"/>
        <v>-8.3680565812733754</v>
      </c>
      <c r="CZ61" s="40">
        <f t="shared" si="1439"/>
        <v>-3.2480277355091403</v>
      </c>
      <c r="DA61" s="40">
        <f t="shared" si="1440"/>
        <v>-8.2098044299927508</v>
      </c>
      <c r="DB61" s="40">
        <f t="shared" si="1441"/>
        <v>-0.34651972264543307</v>
      </c>
      <c r="DC61" s="40">
        <f t="shared" si="1442"/>
        <v>-4.6202747279835421</v>
      </c>
      <c r="DD61" s="40">
        <f t="shared" si="1443"/>
        <v>-9.6439951692519621</v>
      </c>
      <c r="DE61" s="40">
        <f t="shared" si="1444"/>
        <v>2.3072027472745837</v>
      </c>
    </row>
    <row r="62" spans="1:109" ht="29.25" customHeight="1" x14ac:dyDescent="0.2">
      <c r="A62" s="34">
        <v>43797</v>
      </c>
      <c r="B62" s="27">
        <f t="shared" si="1393"/>
        <v>198</v>
      </c>
      <c r="C62" s="35">
        <v>222.9</v>
      </c>
      <c r="D62" s="35">
        <f t="shared" si="0"/>
        <v>53.700000000000017</v>
      </c>
      <c r="E62" s="36">
        <v>823219.58299999998</v>
      </c>
      <c r="F62" s="36">
        <v>1091508.5932</v>
      </c>
      <c r="G62" s="36">
        <v>-125.0098</v>
      </c>
      <c r="H62" s="36">
        <v>823219.25150000001</v>
      </c>
      <c r="I62" s="36">
        <v>1091508.9236999999</v>
      </c>
      <c r="J62" s="36">
        <v>-123.02419999999999</v>
      </c>
      <c r="K62" s="36" t="s">
        <v>81</v>
      </c>
      <c r="L62" s="36" t="s">
        <v>81</v>
      </c>
      <c r="M62" s="36" t="s">
        <v>81</v>
      </c>
      <c r="N62" s="36">
        <v>823220.89199999999</v>
      </c>
      <c r="O62" s="36">
        <v>1091504.8145999999</v>
      </c>
      <c r="P62" s="36">
        <v>-119.5215</v>
      </c>
      <c r="Q62" s="36">
        <v>823222.37159999995</v>
      </c>
      <c r="R62" s="36">
        <v>1091502.2082</v>
      </c>
      <c r="S62" s="36">
        <v>-120.8758</v>
      </c>
      <c r="T62" s="36">
        <v>823222.78159999999</v>
      </c>
      <c r="U62" s="36">
        <v>1091501.3086999999</v>
      </c>
      <c r="V62" s="36">
        <v>-123.01779999999999</v>
      </c>
      <c r="W62" s="36">
        <v>823222.70059999998</v>
      </c>
      <c r="X62" s="36">
        <v>1091501.6338</v>
      </c>
      <c r="Y62" s="36">
        <v>-124.9358</v>
      </c>
      <c r="Z62" s="36">
        <f t="shared" si="1445"/>
        <v>6.7906358944218388</v>
      </c>
      <c r="AA62" s="36">
        <f t="shared" si="2"/>
        <v>5.6431241657387758</v>
      </c>
      <c r="AB62" s="36"/>
      <c r="AC62" s="36">
        <f t="shared" si="1447"/>
        <v>3.2888699593525028</v>
      </c>
      <c r="AD62" s="36">
        <f t="shared" si="5"/>
        <v>5.2996260868013305</v>
      </c>
      <c r="AE62" s="36">
        <f t="shared" si="1448"/>
        <v>6.5347660317557326</v>
      </c>
      <c r="AF62" s="36"/>
      <c r="AG62" s="36">
        <f t="shared" si="8"/>
        <v>8.3934422002941087</v>
      </c>
      <c r="AH62" s="36">
        <f t="shared" si="1450"/>
        <v>7.6261493639117273</v>
      </c>
      <c r="AI62" s="40">
        <f t="shared" ref="AI62" si="1460">IF(Z62="","",(Z62-Z$10)*1000)</f>
        <v>-26.315401403851801</v>
      </c>
      <c r="AJ62" s="40">
        <f t="shared" ref="AJ62" si="1461">IF(AA62="","",(AA62-AA$10)*1000)</f>
        <v>-23.247378682877518</v>
      </c>
      <c r="AK62" s="40"/>
      <c r="AL62" s="40">
        <f t="shared" ref="AL62" si="1462">IF(AC62="","",(AC62-AC$10)*1000)</f>
        <v>-8.8187978822640289</v>
      </c>
      <c r="AM62" s="40">
        <f t="shared" ref="AM62" si="1463">IF(AD62="","",(AD62-AD$10)*1000)</f>
        <v>-17.639980457096804</v>
      </c>
      <c r="AN62" s="40">
        <f t="shared" ref="AN62" si="1464">IF(AE62="","",(AE62-AE$10)*1000)</f>
        <v>-23.239218258855665</v>
      </c>
      <c r="AO62" s="40"/>
      <c r="AP62" s="40">
        <f t="shared" ref="AP62" si="1465">IF(AG62="","",(AG62-AG$10)*1000)</f>
        <v>-18.949261651879823</v>
      </c>
      <c r="AQ62" s="40">
        <f t="shared" ref="AQ62" si="1466">IF(AH62="","",(AH62-AH$10)*1000)</f>
        <v>-21.868800802494981</v>
      </c>
      <c r="AR62" s="37"/>
      <c r="AS62" s="40">
        <f t="shared" si="1403"/>
        <v>0.20000000949949026</v>
      </c>
      <c r="AT62" s="40">
        <f t="shared" si="1404"/>
        <v>-14.699999941512942</v>
      </c>
      <c r="AU62" s="40">
        <f t="shared" si="1405"/>
        <v>0.20000000000663931</v>
      </c>
      <c r="AV62" s="40">
        <f t="shared" si="1406"/>
        <v>1.7000000225380063</v>
      </c>
      <c r="AW62" s="40">
        <f t="shared" si="1407"/>
        <v>-12.199999997392297</v>
      </c>
      <c r="AX62" s="40">
        <f t="shared" si="1408"/>
        <v>-0.89999999998724434</v>
      </c>
      <c r="AY62" s="40"/>
      <c r="AZ62" s="40"/>
      <c r="BA62" s="40"/>
      <c r="BB62" s="40">
        <f t="shared" si="1412"/>
        <v>-5.6000000331550837</v>
      </c>
      <c r="BC62" s="40">
        <f t="shared" si="1413"/>
        <v>-0.50000008195638657</v>
      </c>
      <c r="BD62" s="40">
        <f t="shared" si="1414"/>
        <v>-21.200000000007435</v>
      </c>
      <c r="BE62" s="40">
        <f t="shared" si="1415"/>
        <v>-5.7000000961124897</v>
      </c>
      <c r="BF62" s="40">
        <f t="shared" si="1416"/>
        <v>3.8999998942017555</v>
      </c>
      <c r="BG62" s="40">
        <f t="shared" si="1417"/>
        <v>-8.399999999994634</v>
      </c>
      <c r="BH62" s="40">
        <f t="shared" si="1418"/>
        <v>-6.9000000366941094</v>
      </c>
      <c r="BI62" s="40">
        <f t="shared" si="1419"/>
        <v>4.6999999321997166</v>
      </c>
      <c r="BJ62" s="40">
        <f t="shared" si="1420"/>
        <v>-0.39999999999906777</v>
      </c>
      <c r="BK62" s="40">
        <f t="shared" si="1421"/>
        <v>-8.7000000057742</v>
      </c>
      <c r="BL62" s="40">
        <f t="shared" si="1422"/>
        <v>5.2999998442828655</v>
      </c>
      <c r="BM62" s="40">
        <f t="shared" si="1423"/>
        <v>2.3999999999944066</v>
      </c>
      <c r="BN62" s="37"/>
      <c r="BO62" s="36">
        <v>169.369</v>
      </c>
      <c r="BP62" s="36">
        <v>-3.7604000000000002</v>
      </c>
      <c r="BQ62" s="36">
        <v>-1.1606000000000001</v>
      </c>
      <c r="BR62" s="36">
        <v>169.20830000000001</v>
      </c>
      <c r="BS62" s="36">
        <v>-4.2000999999999999</v>
      </c>
      <c r="BT62" s="36">
        <v>0.8266</v>
      </c>
      <c r="BU62" s="38" t="s">
        <v>81</v>
      </c>
      <c r="BV62" s="39" t="s">
        <v>81</v>
      </c>
      <c r="BW62" s="39" t="s">
        <v>81</v>
      </c>
      <c r="BX62" s="38">
        <v>168.95830000000001</v>
      </c>
      <c r="BY62" s="39">
        <v>0.21729999999999999</v>
      </c>
      <c r="BZ62" s="39">
        <v>4.3318000000000003</v>
      </c>
      <c r="CA62" s="38">
        <v>169.1977</v>
      </c>
      <c r="CB62" s="39">
        <v>3.2048000000000001</v>
      </c>
      <c r="CC62" s="39">
        <v>2.9750999999999999</v>
      </c>
      <c r="CD62" s="38">
        <v>169.1891</v>
      </c>
      <c r="CE62" s="39">
        <v>4.1932999999999998</v>
      </c>
      <c r="CF62" s="39">
        <v>0.83320000000000005</v>
      </c>
      <c r="CG62" s="38">
        <v>169.25309999999999</v>
      </c>
      <c r="CH62" s="39">
        <v>3.8645</v>
      </c>
      <c r="CI62" s="39">
        <v>-1.0854999999999999</v>
      </c>
      <c r="CJ62" s="37"/>
      <c r="CK62" s="40">
        <f t="shared" si="1424"/>
        <v>-6.0556221909564556</v>
      </c>
      <c r="CL62" s="40">
        <f t="shared" si="1425"/>
        <v>13.452242127055314</v>
      </c>
      <c r="CM62" s="40">
        <f t="shared" si="1426"/>
        <v>0.27055622192273532</v>
      </c>
      <c r="CN62" s="40">
        <f t="shared" si="1427"/>
        <v>-3.5902291373588469</v>
      </c>
      <c r="CO62" s="40">
        <f t="shared" si="1428"/>
        <v>11.759153585884974</v>
      </c>
      <c r="CP62" s="40">
        <f t="shared" si="1429"/>
        <v>-0.86109770862119461</v>
      </c>
      <c r="CQ62" s="40"/>
      <c r="CR62" s="40"/>
      <c r="CS62" s="40"/>
      <c r="CT62" s="40">
        <f t="shared" si="1433"/>
        <v>-5.3138646198362949</v>
      </c>
      <c r="CU62" s="40">
        <f t="shared" si="1434"/>
        <v>-1.9351047495592966</v>
      </c>
      <c r="CV62" s="40">
        <f t="shared" si="1435"/>
        <v>-21.143861353807303</v>
      </c>
      <c r="CW62" s="40">
        <f t="shared" si="1436"/>
        <v>-3.4943418723685227</v>
      </c>
      <c r="CX62" s="40">
        <f t="shared" si="1437"/>
        <v>-5.9805659486626972</v>
      </c>
      <c r="CY62" s="40">
        <f t="shared" si="1438"/>
        <v>-8.3680565812733754</v>
      </c>
      <c r="CZ62" s="40">
        <f t="shared" si="1439"/>
        <v>-4.2480277355139151</v>
      </c>
      <c r="DA62" s="40">
        <f t="shared" si="1440"/>
        <v>-7.2098044299933051</v>
      </c>
      <c r="DB62" s="40">
        <f t="shared" si="1441"/>
        <v>-0.34651972264543307</v>
      </c>
      <c r="DC62" s="40">
        <f t="shared" si="1442"/>
        <v>-5.620274727988317</v>
      </c>
      <c r="DD62" s="40">
        <f t="shared" si="1443"/>
        <v>-8.4439951692520943</v>
      </c>
      <c r="DE62" s="40">
        <f t="shared" si="1444"/>
        <v>2.4072027472745727</v>
      </c>
    </row>
    <row r="63" spans="1:109" ht="29.25" customHeight="1" x14ac:dyDescent="0.2">
      <c r="A63" s="34">
        <v>43801</v>
      </c>
      <c r="B63" s="27">
        <f t="shared" si="1393"/>
        <v>202</v>
      </c>
      <c r="C63" s="35">
        <v>222.9</v>
      </c>
      <c r="D63" s="35">
        <f t="shared" si="0"/>
        <v>53.700000000000017</v>
      </c>
      <c r="E63" s="36">
        <v>823219.58310000005</v>
      </c>
      <c r="F63" s="36">
        <v>1091508.5944000001</v>
      </c>
      <c r="G63" s="36">
        <v>-125.01</v>
      </c>
      <c r="H63" s="36">
        <v>823219.25150000001</v>
      </c>
      <c r="I63" s="36">
        <v>1091508.9247000001</v>
      </c>
      <c r="J63" s="36">
        <v>-123.0241</v>
      </c>
      <c r="K63" s="36">
        <v>823219.64170000004</v>
      </c>
      <c r="L63" s="36">
        <v>1091508.0347</v>
      </c>
      <c r="M63" s="36">
        <v>-120.88379999999999</v>
      </c>
      <c r="N63" s="36">
        <v>823220.8922</v>
      </c>
      <c r="O63" s="36">
        <v>1091504.8152999999</v>
      </c>
      <c r="P63" s="36">
        <v>-119.5214</v>
      </c>
      <c r="Q63" s="36">
        <v>823222.37190000003</v>
      </c>
      <c r="R63" s="36">
        <v>1091502.2087999999</v>
      </c>
      <c r="S63" s="36">
        <v>-120.87569999999999</v>
      </c>
      <c r="T63" s="36">
        <v>823222.78189999994</v>
      </c>
      <c r="U63" s="36">
        <v>1091501.3092</v>
      </c>
      <c r="V63" s="36">
        <v>-123.0177</v>
      </c>
      <c r="W63" s="36">
        <v>823222.70079999999</v>
      </c>
      <c r="X63" s="36">
        <v>1091501.6343</v>
      </c>
      <c r="Y63" s="36">
        <v>-124.9359</v>
      </c>
      <c r="Z63" s="36">
        <f t="shared" si="1445"/>
        <v>6.7911758614462308</v>
      </c>
      <c r="AA63" s="36">
        <f t="shared" si="2"/>
        <v>5.6434007603154077</v>
      </c>
      <c r="AB63" s="36">
        <f t="shared" si="1446"/>
        <v>3.7127375843573946</v>
      </c>
      <c r="AC63" s="36">
        <f t="shared" si="1447"/>
        <v>3.2889941973262626</v>
      </c>
      <c r="AD63" s="36">
        <f t="shared" si="5"/>
        <v>5.2997940515602604</v>
      </c>
      <c r="AE63" s="36">
        <f t="shared" si="1448"/>
        <v>6.5350290901501298</v>
      </c>
      <c r="AF63" s="36">
        <f t="shared" si="1449"/>
        <v>6.4339077130919353</v>
      </c>
      <c r="AG63" s="36">
        <f t="shared" si="8"/>
        <v>8.3940220020331058</v>
      </c>
      <c r="AH63" s="36">
        <f t="shared" si="1450"/>
        <v>7.6268300171178947</v>
      </c>
      <c r="AI63" s="40">
        <f t="shared" si="1451"/>
        <v>-25.775434379459838</v>
      </c>
      <c r="AJ63" s="40">
        <f t="shared" si="1452"/>
        <v>-22.970784106245645</v>
      </c>
      <c r="AK63" s="40">
        <f t="shared" si="1453"/>
        <v>-19.787688077938625</v>
      </c>
      <c r="AL63" s="40">
        <f t="shared" si="1454"/>
        <v>-8.6945599085042069</v>
      </c>
      <c r="AM63" s="40">
        <f t="shared" si="1455"/>
        <v>-17.472015698166921</v>
      </c>
      <c r="AN63" s="40">
        <f t="shared" si="1456"/>
        <v>-22.976159864458445</v>
      </c>
      <c r="AO63" s="40">
        <f t="shared" si="1457"/>
        <v>-17.695917627111868</v>
      </c>
      <c r="AP63" s="40">
        <f t="shared" si="1458"/>
        <v>-18.369459912882746</v>
      </c>
      <c r="AQ63" s="40">
        <f t="shared" si="1459"/>
        <v>-21.188147596327589</v>
      </c>
      <c r="AR63" s="37"/>
      <c r="AS63" s="40">
        <f t="shared" si="1403"/>
        <v>0.30000007245689631</v>
      </c>
      <c r="AT63" s="40">
        <f t="shared" si="1404"/>
        <v>-13.499999884516001</v>
      </c>
      <c r="AU63" s="40">
        <f t="shared" si="1405"/>
        <v>0</v>
      </c>
      <c r="AV63" s="40">
        <f t="shared" si="1406"/>
        <v>1.7000000225380063</v>
      </c>
      <c r="AW63" s="40">
        <f t="shared" si="1407"/>
        <v>-11.199999833479524</v>
      </c>
      <c r="AX63" s="40">
        <f t="shared" si="1408"/>
        <v>-0.79999999999813554</v>
      </c>
      <c r="AY63" s="40">
        <f t="shared" si="1409"/>
        <v>0</v>
      </c>
      <c r="AZ63" s="40">
        <f t="shared" si="1410"/>
        <v>-12.499999953433871</v>
      </c>
      <c r="BA63" s="40">
        <f t="shared" si="1411"/>
        <v>-2.1999999999877673</v>
      </c>
      <c r="BB63" s="40">
        <f t="shared" si="1412"/>
        <v>-5.4000000236555934</v>
      </c>
      <c r="BC63" s="40">
        <f t="shared" si="1413"/>
        <v>0.19999989308416843</v>
      </c>
      <c r="BD63" s="40">
        <f t="shared" si="1414"/>
        <v>-21.100000000004115</v>
      </c>
      <c r="BE63" s="40">
        <f t="shared" si="1415"/>
        <v>-5.4000000236555934</v>
      </c>
      <c r="BF63" s="40">
        <f t="shared" si="1416"/>
        <v>4.4999998062849045</v>
      </c>
      <c r="BG63" s="40">
        <f t="shared" si="1417"/>
        <v>-8.2999999999913143</v>
      </c>
      <c r="BH63" s="40">
        <f t="shared" si="1418"/>
        <v>-6.600000080652535</v>
      </c>
      <c r="BI63" s="40">
        <f t="shared" si="1419"/>
        <v>5.2000000141561031</v>
      </c>
      <c r="BJ63" s="40">
        <f t="shared" si="1420"/>
        <v>-0.30000000000995897</v>
      </c>
      <c r="BK63" s="40">
        <f t="shared" si="1421"/>
        <v>-8.4999999962747097</v>
      </c>
      <c r="BL63" s="40">
        <f t="shared" si="1422"/>
        <v>5.7999999262392521</v>
      </c>
      <c r="BM63" s="40">
        <f t="shared" si="1423"/>
        <v>2.299999999991087</v>
      </c>
      <c r="BN63" s="37"/>
      <c r="BO63" s="36">
        <v>169.36959999999999</v>
      </c>
      <c r="BP63" s="36">
        <v>-3.7614999999999998</v>
      </c>
      <c r="BQ63" s="36">
        <v>-1.1608000000000001</v>
      </c>
      <c r="BR63" s="36">
        <v>169.20869999999999</v>
      </c>
      <c r="BS63" s="36">
        <v>-4.2009999999999996</v>
      </c>
      <c r="BT63" s="36">
        <v>0.82669999999999999</v>
      </c>
      <c r="BU63" s="38">
        <v>169.18620000000001</v>
      </c>
      <c r="BV63" s="39">
        <v>-3.2294999999999998</v>
      </c>
      <c r="BW63" s="39">
        <v>2.9672000000000001</v>
      </c>
      <c r="BX63" s="38">
        <v>168.9588</v>
      </c>
      <c r="BY63" s="39">
        <v>0.21679999999999999</v>
      </c>
      <c r="BZ63" s="39">
        <v>4.3319000000000001</v>
      </c>
      <c r="CA63" s="38">
        <v>169.19820000000001</v>
      </c>
      <c r="CB63" s="39">
        <v>3.2044000000000001</v>
      </c>
      <c r="CC63" s="39">
        <v>2.9752000000000001</v>
      </c>
      <c r="CD63" s="38">
        <v>169.18960000000001</v>
      </c>
      <c r="CE63" s="39">
        <v>4.1929999999999996</v>
      </c>
      <c r="CF63" s="39">
        <v>0.83330000000000004</v>
      </c>
      <c r="CG63" s="38">
        <v>169.2535</v>
      </c>
      <c r="CH63" s="39">
        <v>3.8641000000000001</v>
      </c>
      <c r="CI63" s="39">
        <v>-1.0855999999999999</v>
      </c>
      <c r="CJ63" s="37"/>
      <c r="CK63" s="40">
        <f t="shared" si="1424"/>
        <v>-5.4556221909649594</v>
      </c>
      <c r="CL63" s="40">
        <f t="shared" si="1425"/>
        <v>12.352242127055657</v>
      </c>
      <c r="CM63" s="40">
        <f t="shared" si="1426"/>
        <v>7.0556221922757345E-2</v>
      </c>
      <c r="CN63" s="40">
        <f t="shared" si="1427"/>
        <v>-3.1902291373739899</v>
      </c>
      <c r="CO63" s="40">
        <f t="shared" si="1428"/>
        <v>10.859153585885295</v>
      </c>
      <c r="CP63" s="40">
        <f t="shared" si="1429"/>
        <v>-0.76109770862120563</v>
      </c>
      <c r="CQ63" s="40">
        <f t="shared" si="1430"/>
        <v>-5.255241870855798</v>
      </c>
      <c r="CR63" s="40">
        <f t="shared" si="1431"/>
        <v>11.30008671609728</v>
      </c>
      <c r="CS63" s="40">
        <f t="shared" si="1432"/>
        <v>-2.1654475812820095</v>
      </c>
      <c r="CT63" s="40">
        <f t="shared" si="1433"/>
        <v>-4.8138646198481183</v>
      </c>
      <c r="CU63" s="40">
        <f t="shared" si="1434"/>
        <v>-2.4351047495592972</v>
      </c>
      <c r="CV63" s="40">
        <f t="shared" si="1435"/>
        <v>-21.043861353807536</v>
      </c>
      <c r="CW63" s="40">
        <f t="shared" si="1436"/>
        <v>-2.9943418723519244</v>
      </c>
      <c r="CX63" s="40">
        <f t="shared" si="1437"/>
        <v>-6.3805659486626531</v>
      </c>
      <c r="CY63" s="40">
        <f t="shared" si="1438"/>
        <v>-8.2680565812731643</v>
      </c>
      <c r="CZ63" s="40">
        <f t="shared" si="1439"/>
        <v>-3.7480277354973168</v>
      </c>
      <c r="DA63" s="40">
        <f t="shared" si="1440"/>
        <v>-7.5098044299934941</v>
      </c>
      <c r="DB63" s="40">
        <f t="shared" si="1441"/>
        <v>-0.24651972264544408</v>
      </c>
      <c r="DC63" s="40">
        <f t="shared" si="1442"/>
        <v>-5.2202747279750383</v>
      </c>
      <c r="DD63" s="40">
        <f t="shared" si="1443"/>
        <v>-8.8439951692520502</v>
      </c>
      <c r="DE63" s="40">
        <f t="shared" si="1444"/>
        <v>2.3072027472745837</v>
      </c>
    </row>
    <row r="64" spans="1:109" ht="29.25" customHeight="1" x14ac:dyDescent="0.2">
      <c r="A64" s="34">
        <v>43803</v>
      </c>
      <c r="B64" s="27">
        <f t="shared" si="1393"/>
        <v>204</v>
      </c>
      <c r="C64" s="35">
        <v>222.9</v>
      </c>
      <c r="D64" s="35">
        <f t="shared" si="0"/>
        <v>53.700000000000017</v>
      </c>
      <c r="E64" s="36">
        <v>823219.58230000001</v>
      </c>
      <c r="F64" s="36">
        <v>1091508.5956999999</v>
      </c>
      <c r="G64" s="36">
        <v>-125.0087</v>
      </c>
      <c r="H64" s="36">
        <v>823219.25179999997</v>
      </c>
      <c r="I64" s="36">
        <v>1091508.9245</v>
      </c>
      <c r="J64" s="36">
        <v>-123.024</v>
      </c>
      <c r="K64" s="36">
        <v>823219.64170000004</v>
      </c>
      <c r="L64" s="36">
        <v>1091508.0345999999</v>
      </c>
      <c r="M64" s="36">
        <v>-120.8839</v>
      </c>
      <c r="N64" s="36">
        <v>823220.89240000001</v>
      </c>
      <c r="O64" s="36">
        <v>1091504.8155</v>
      </c>
      <c r="P64" s="36">
        <v>-119.5215</v>
      </c>
      <c r="Q64" s="36">
        <v>823222.37219999998</v>
      </c>
      <c r="R64" s="36">
        <v>1091502.2091999999</v>
      </c>
      <c r="S64" s="36">
        <v>-120.8755</v>
      </c>
      <c r="T64" s="36">
        <v>823222.78220000002</v>
      </c>
      <c r="U64" s="36">
        <v>1091501.3097000001</v>
      </c>
      <c r="V64" s="36">
        <v>-123.01739999999999</v>
      </c>
      <c r="W64" s="36">
        <v>823222.70090000005</v>
      </c>
      <c r="X64" s="36">
        <v>1091501.6348000001</v>
      </c>
      <c r="Y64" s="36">
        <v>-124.9355</v>
      </c>
      <c r="Z64" s="36">
        <f t="shared" si="1445"/>
        <v>6.7908495705183505</v>
      </c>
      <c r="AA64" s="36">
        <f t="shared" si="2"/>
        <v>5.6429562828037394</v>
      </c>
      <c r="AB64" s="36">
        <f t="shared" si="1446"/>
        <v>3.7125448225048672</v>
      </c>
      <c r="AC64" s="36">
        <f t="shared" si="1447"/>
        <v>3.2887571710974557</v>
      </c>
      <c r="AD64" s="36">
        <f t="shared" si="5"/>
        <v>5.2993673669127395</v>
      </c>
      <c r="AE64" s="36">
        <f t="shared" si="1448"/>
        <v>6.5344411191456517</v>
      </c>
      <c r="AF64" s="36">
        <f t="shared" si="1449"/>
        <v>6.4335826698184988</v>
      </c>
      <c r="AG64" s="36">
        <f t="shared" si="8"/>
        <v>8.393387084977789</v>
      </c>
      <c r="AH64" s="36">
        <f t="shared" si="1450"/>
        <v>7.6279193105281173</v>
      </c>
      <c r="AI64" s="40">
        <f t="shared" si="1451"/>
        <v>-26.101725307340118</v>
      </c>
      <c r="AJ64" s="40">
        <f t="shared" si="1452"/>
        <v>-23.415261617913963</v>
      </c>
      <c r="AK64" s="40">
        <f t="shared" si="1453"/>
        <v>-19.980449930466104</v>
      </c>
      <c r="AL64" s="40">
        <f t="shared" si="1454"/>
        <v>-8.9315861373111538</v>
      </c>
      <c r="AM64" s="40">
        <f t="shared" si="1455"/>
        <v>-17.898700345687857</v>
      </c>
      <c r="AN64" s="40">
        <f t="shared" si="1456"/>
        <v>-23.564130868936495</v>
      </c>
      <c r="AO64" s="40">
        <f t="shared" si="1457"/>
        <v>-18.020960900548388</v>
      </c>
      <c r="AP64" s="40">
        <f t="shared" si="1458"/>
        <v>-19.004376968199566</v>
      </c>
      <c r="AQ64" s="40">
        <f t="shared" si="1459"/>
        <v>-20.098854186104909</v>
      </c>
      <c r="AR64" s="37"/>
      <c r="AS64" s="40">
        <f t="shared" si="1403"/>
        <v>-0.49999996554106474</v>
      </c>
      <c r="AT64" s="40">
        <f t="shared" si="1404"/>
        <v>-12.199999997392297</v>
      </c>
      <c r="AU64" s="40">
        <f t="shared" si="1405"/>
        <v>1.300000000000523</v>
      </c>
      <c r="AV64" s="40">
        <f t="shared" si="1406"/>
        <v>1.9999999785795808</v>
      </c>
      <c r="AW64" s="40">
        <f t="shared" si="1407"/>
        <v>-11.399999959394336</v>
      </c>
      <c r="AX64" s="40">
        <f t="shared" si="1408"/>
        <v>-0.69999999999481588</v>
      </c>
      <c r="AY64" s="40">
        <f t="shared" si="1409"/>
        <v>0</v>
      </c>
      <c r="AZ64" s="40">
        <f t="shared" si="1410"/>
        <v>-12.600000016391277</v>
      </c>
      <c r="BA64" s="40">
        <f t="shared" si="1411"/>
        <v>-2.299999999991087</v>
      </c>
      <c r="BB64" s="40">
        <f t="shared" si="1412"/>
        <v>-5.2000000141561031</v>
      </c>
      <c r="BC64" s="40">
        <f t="shared" si="1413"/>
        <v>0.40000001899898052</v>
      </c>
      <c r="BD64" s="40">
        <f t="shared" si="1414"/>
        <v>-21.200000000007435</v>
      </c>
      <c r="BE64" s="40">
        <f t="shared" si="1415"/>
        <v>-5.1000000676140189</v>
      </c>
      <c r="BF64" s="40">
        <f t="shared" si="1416"/>
        <v>4.899999825283885</v>
      </c>
      <c r="BG64" s="40">
        <f t="shared" si="1417"/>
        <v>-8.0999999999988859</v>
      </c>
      <c r="BH64" s="40">
        <f t="shared" si="1418"/>
        <v>-6.3000000081956387</v>
      </c>
      <c r="BI64" s="40">
        <f t="shared" si="1419"/>
        <v>5.7000000961124897</v>
      </c>
      <c r="BJ64" s="40">
        <f t="shared" si="1420"/>
        <v>0</v>
      </c>
      <c r="BK64" s="40">
        <f t="shared" si="1421"/>
        <v>-8.3999999333173037</v>
      </c>
      <c r="BL64" s="40">
        <f t="shared" si="1422"/>
        <v>6.3000000081956387</v>
      </c>
      <c r="BM64" s="40">
        <f t="shared" si="1423"/>
        <v>2.6999999999901547</v>
      </c>
      <c r="BN64" s="37"/>
      <c r="BO64" s="36">
        <v>169.36940000000001</v>
      </c>
      <c r="BP64" s="36">
        <v>-3.7629999999999999</v>
      </c>
      <c r="BQ64" s="36">
        <v>-1.1595</v>
      </c>
      <c r="BR64" s="36">
        <v>169.2089</v>
      </c>
      <c r="BS64" s="36">
        <v>-4.2007000000000003</v>
      </c>
      <c r="BT64" s="36">
        <v>0.82679999999999998</v>
      </c>
      <c r="BU64" s="38">
        <v>169.18610000000001</v>
      </c>
      <c r="BV64" s="39">
        <v>-3.2294</v>
      </c>
      <c r="BW64" s="39">
        <v>2.9670999999999998</v>
      </c>
      <c r="BX64" s="38">
        <v>168.95910000000001</v>
      </c>
      <c r="BY64" s="39">
        <v>0.2167</v>
      </c>
      <c r="BZ64" s="39">
        <v>4.3318000000000003</v>
      </c>
      <c r="CA64" s="38">
        <v>169.1986</v>
      </c>
      <c r="CB64" s="39">
        <v>3.2042000000000002</v>
      </c>
      <c r="CC64" s="39">
        <v>2.9754</v>
      </c>
      <c r="CD64" s="38">
        <v>169.19</v>
      </c>
      <c r="CE64" s="39">
        <v>4.1927000000000003</v>
      </c>
      <c r="CF64" s="39">
        <v>0.83360000000000001</v>
      </c>
      <c r="CG64" s="38">
        <v>169.25380000000001</v>
      </c>
      <c r="CH64" s="39">
        <v>3.8637000000000001</v>
      </c>
      <c r="CI64" s="39">
        <v>-1.0851999999999999</v>
      </c>
      <c r="CJ64" s="37"/>
      <c r="CK64" s="40">
        <f t="shared" si="1424"/>
        <v>-5.655622190943177</v>
      </c>
      <c r="CL64" s="40">
        <f t="shared" si="1425"/>
        <v>10.8522421270556</v>
      </c>
      <c r="CM64" s="40">
        <f t="shared" si="1426"/>
        <v>1.3705562219228362</v>
      </c>
      <c r="CN64" s="40">
        <f t="shared" si="1427"/>
        <v>-2.9902291373673506</v>
      </c>
      <c r="CO64" s="40">
        <f t="shared" si="1428"/>
        <v>11.159153585884596</v>
      </c>
      <c r="CP64" s="40">
        <f t="shared" si="1429"/>
        <v>-0.66109770862121664</v>
      </c>
      <c r="CQ64" s="40">
        <f t="shared" si="1430"/>
        <v>-5.3552418708591176</v>
      </c>
      <c r="CR64" s="40">
        <f t="shared" si="1431"/>
        <v>11.400086716097046</v>
      </c>
      <c r="CS64" s="40">
        <f t="shared" si="1432"/>
        <v>-2.2654475812822206</v>
      </c>
      <c r="CT64" s="40">
        <f t="shared" si="1433"/>
        <v>-4.5138646198381593</v>
      </c>
      <c r="CU64" s="40">
        <f t="shared" si="1434"/>
        <v>-2.5351047495592862</v>
      </c>
      <c r="CV64" s="40">
        <f t="shared" si="1435"/>
        <v>-21.143861353807303</v>
      </c>
      <c r="CW64" s="40">
        <f t="shared" si="1436"/>
        <v>-2.5943418723670675</v>
      </c>
      <c r="CX64" s="40">
        <f t="shared" si="1437"/>
        <v>-6.5805659486626311</v>
      </c>
      <c r="CY64" s="40">
        <f t="shared" si="1438"/>
        <v>-8.0680565812731864</v>
      </c>
      <c r="CZ64" s="40">
        <f t="shared" si="1439"/>
        <v>-3.3480277355124599</v>
      </c>
      <c r="DA64" s="40">
        <f t="shared" si="1440"/>
        <v>-7.8098044299927949</v>
      </c>
      <c r="DB64" s="40">
        <f t="shared" si="1441"/>
        <v>5.3480277354522876E-2</v>
      </c>
      <c r="DC64" s="40">
        <f t="shared" si="1442"/>
        <v>-4.9202747279650794</v>
      </c>
      <c r="DD64" s="40">
        <f t="shared" si="1443"/>
        <v>-9.2439951692520061</v>
      </c>
      <c r="DE64" s="40">
        <f t="shared" si="1444"/>
        <v>2.7072027472745397</v>
      </c>
    </row>
    <row r="65" spans="1:109" ht="29.25" customHeight="1" x14ac:dyDescent="0.2">
      <c r="A65" s="34">
        <v>43808</v>
      </c>
      <c r="B65" s="27">
        <f t="shared" si="1393"/>
        <v>209</v>
      </c>
      <c r="C65" s="35">
        <v>222.9</v>
      </c>
      <c r="D65" s="35">
        <f t="shared" si="0"/>
        <v>53.700000000000017</v>
      </c>
      <c r="E65" s="36">
        <v>823219.58319999999</v>
      </c>
      <c r="F65" s="36">
        <v>1091508.594</v>
      </c>
      <c r="G65" s="36">
        <v>-125.01</v>
      </c>
      <c r="H65" s="36">
        <v>823219.25170000002</v>
      </c>
      <c r="I65" s="36">
        <v>1091508.9245</v>
      </c>
      <c r="J65" s="36">
        <v>-123.02419999999999</v>
      </c>
      <c r="K65" s="36">
        <v>823219.64179999998</v>
      </c>
      <c r="L65" s="36">
        <v>1091508.0342999999</v>
      </c>
      <c r="M65" s="36">
        <v>-120.884</v>
      </c>
      <c r="N65" s="36">
        <v>823220.89210000006</v>
      </c>
      <c r="O65" s="36">
        <v>1091504.8152999999</v>
      </c>
      <c r="P65" s="36">
        <v>-119.52200000000001</v>
      </c>
      <c r="Q65" s="36">
        <v>823222.37199999997</v>
      </c>
      <c r="R65" s="36">
        <v>1091502.2089</v>
      </c>
      <c r="S65" s="36">
        <v>-120.876</v>
      </c>
      <c r="T65" s="36">
        <v>823222.78220000002</v>
      </c>
      <c r="U65" s="36">
        <v>1091501.3095</v>
      </c>
      <c r="V65" s="36">
        <v>-123.0177</v>
      </c>
      <c r="W65" s="36">
        <v>823222.70090000005</v>
      </c>
      <c r="X65" s="36">
        <v>1091501.6344999999</v>
      </c>
      <c r="Y65" s="36">
        <v>-124.9359</v>
      </c>
      <c r="Z65" s="36">
        <f t="shared" si="1445"/>
        <v>6.7904298023929295</v>
      </c>
      <c r="AA65" s="36">
        <f t="shared" si="2"/>
        <v>5.6428575775610126</v>
      </c>
      <c r="AB65" s="36">
        <f t="shared" si="1446"/>
        <v>3.7121765974216512</v>
      </c>
      <c r="AC65" s="36">
        <f t="shared" si="1447"/>
        <v>3.2888814161354638</v>
      </c>
      <c r="AD65" s="36">
        <f t="shared" si="5"/>
        <v>5.2993424251819716</v>
      </c>
      <c r="AE65" s="36">
        <f t="shared" si="1448"/>
        <v>6.5344899793191917</v>
      </c>
      <c r="AF65" s="36">
        <f t="shared" si="1449"/>
        <v>6.4334548416561521</v>
      </c>
      <c r="AG65" s="36">
        <f t="shared" si="8"/>
        <v>8.3936105163280068</v>
      </c>
      <c r="AH65" s="36">
        <f t="shared" si="1450"/>
        <v>7.6262824726048617</v>
      </c>
      <c r="AI65" s="40">
        <f t="shared" si="1451"/>
        <v>-26.521493432761112</v>
      </c>
      <c r="AJ65" s="40">
        <f t="shared" si="1452"/>
        <v>-23.513966860640778</v>
      </c>
      <c r="AK65" s="40">
        <f t="shared" si="1453"/>
        <v>-20.348675013682094</v>
      </c>
      <c r="AL65" s="40">
        <f t="shared" si="1454"/>
        <v>-8.8073410993030343</v>
      </c>
      <c r="AM65" s="40">
        <f t="shared" si="1455"/>
        <v>-17.923642076455693</v>
      </c>
      <c r="AN65" s="40">
        <f t="shared" si="1456"/>
        <v>-23.515270695396495</v>
      </c>
      <c r="AO65" s="40">
        <f t="shared" si="1457"/>
        <v>-18.148789062895077</v>
      </c>
      <c r="AP65" s="40">
        <f t="shared" si="1458"/>
        <v>-18.780945617981715</v>
      </c>
      <c r="AQ65" s="40">
        <f t="shared" si="1459"/>
        <v>-21.735692109360549</v>
      </c>
      <c r="AR65" s="37"/>
      <c r="AS65" s="40">
        <f t="shared" si="1403"/>
        <v>0.40000001899898052</v>
      </c>
      <c r="AT65" s="40">
        <f t="shared" si="1404"/>
        <v>-13.899999903514981</v>
      </c>
      <c r="AU65" s="40">
        <f t="shared" si="1405"/>
        <v>0</v>
      </c>
      <c r="AV65" s="40">
        <f t="shared" si="1406"/>
        <v>1.9000000320374966</v>
      </c>
      <c r="AW65" s="40">
        <f t="shared" si="1407"/>
        <v>-11.399999959394336</v>
      </c>
      <c r="AX65" s="40">
        <f t="shared" si="1408"/>
        <v>-0.89999999998724434</v>
      </c>
      <c r="AY65" s="40">
        <f t="shared" si="1409"/>
        <v>9.9999946542084217E-2</v>
      </c>
      <c r="AZ65" s="40">
        <f t="shared" si="1410"/>
        <v>-12.899999972432852</v>
      </c>
      <c r="BA65" s="40">
        <f t="shared" si="1411"/>
        <v>-2.3999999999944066</v>
      </c>
      <c r="BB65" s="40">
        <f t="shared" si="1412"/>
        <v>-5.4999999701976776</v>
      </c>
      <c r="BC65" s="40">
        <f t="shared" si="1413"/>
        <v>0.19999989308416843</v>
      </c>
      <c r="BD65" s="40">
        <f t="shared" si="1414"/>
        <v>-21.700000000009823</v>
      </c>
      <c r="BE65" s="40">
        <f t="shared" si="1415"/>
        <v>-5.3000000771135092</v>
      </c>
      <c r="BF65" s="40">
        <f t="shared" si="1416"/>
        <v>4.5999998692423105</v>
      </c>
      <c r="BG65" s="40">
        <f t="shared" si="1417"/>
        <v>-8.6000000000012733</v>
      </c>
      <c r="BH65" s="40">
        <f t="shared" si="1418"/>
        <v>-6.3000000081956387</v>
      </c>
      <c r="BI65" s="40">
        <f t="shared" si="1419"/>
        <v>5.4999999701976776</v>
      </c>
      <c r="BJ65" s="40">
        <f t="shared" si="1420"/>
        <v>-0.30000000000995897</v>
      </c>
      <c r="BK65" s="40">
        <f t="shared" si="1421"/>
        <v>-8.3999999333173037</v>
      </c>
      <c r="BL65" s="40">
        <f t="shared" si="1422"/>
        <v>5.9999998193234205</v>
      </c>
      <c r="BM65" s="40">
        <f t="shared" si="1423"/>
        <v>2.299999999991087</v>
      </c>
      <c r="BN65" s="37"/>
      <c r="BO65" s="36">
        <v>169.36949999999999</v>
      </c>
      <c r="BP65" s="36">
        <v>-3.7610999999999999</v>
      </c>
      <c r="BQ65" s="36">
        <v>-1.1608000000000001</v>
      </c>
      <c r="BR65" s="36">
        <v>169.2088</v>
      </c>
      <c r="BS65" s="36">
        <v>-4.2007000000000003</v>
      </c>
      <c r="BT65" s="36">
        <v>0.8266</v>
      </c>
      <c r="BU65" s="38">
        <v>169.18610000000001</v>
      </c>
      <c r="BV65" s="39">
        <v>-3.2290999999999999</v>
      </c>
      <c r="BW65" s="39">
        <v>2.9670000000000001</v>
      </c>
      <c r="BX65" s="38">
        <v>168.95869999999999</v>
      </c>
      <c r="BY65" s="39">
        <v>0.2167</v>
      </c>
      <c r="BZ65" s="39">
        <v>4.3312999999999997</v>
      </c>
      <c r="CA65" s="38">
        <v>169.19829999999999</v>
      </c>
      <c r="CB65" s="39">
        <v>3.2044000000000001</v>
      </c>
      <c r="CC65" s="39">
        <v>2.9748999999999999</v>
      </c>
      <c r="CD65" s="38">
        <v>169.19</v>
      </c>
      <c r="CE65" s="39">
        <v>4.1928999999999998</v>
      </c>
      <c r="CF65" s="39">
        <v>0.83330000000000004</v>
      </c>
      <c r="CG65" s="38">
        <v>169.25360000000001</v>
      </c>
      <c r="CH65" s="39">
        <v>3.8639999999999999</v>
      </c>
      <c r="CI65" s="39">
        <v>-1.0855999999999999</v>
      </c>
      <c r="CJ65" s="37"/>
      <c r="CK65" s="40">
        <f t="shared" si="1424"/>
        <v>-5.555622190968279</v>
      </c>
      <c r="CL65" s="40">
        <f t="shared" si="1425"/>
        <v>12.752242127055613</v>
      </c>
      <c r="CM65" s="40">
        <f t="shared" si="1426"/>
        <v>7.0556221922757345E-2</v>
      </c>
      <c r="CN65" s="40">
        <f t="shared" si="1427"/>
        <v>-3.0902291373706703</v>
      </c>
      <c r="CO65" s="40">
        <f t="shared" si="1428"/>
        <v>11.159153585884596</v>
      </c>
      <c r="CP65" s="40">
        <f t="shared" si="1429"/>
        <v>-0.86109770862119461</v>
      </c>
      <c r="CQ65" s="40">
        <f t="shared" si="1430"/>
        <v>-5.3552418708591176</v>
      </c>
      <c r="CR65" s="40">
        <f t="shared" si="1431"/>
        <v>11.700086716097235</v>
      </c>
      <c r="CS65" s="40">
        <f t="shared" si="1432"/>
        <v>-2.3654475812819875</v>
      </c>
      <c r="CT65" s="40">
        <f t="shared" si="1433"/>
        <v>-4.913864619851438</v>
      </c>
      <c r="CU65" s="40">
        <f t="shared" si="1434"/>
        <v>-2.5351047495592862</v>
      </c>
      <c r="CV65" s="40">
        <f t="shared" si="1435"/>
        <v>-21.643861353807914</v>
      </c>
      <c r="CW65" s="40">
        <f t="shared" si="1436"/>
        <v>-2.8943418723770264</v>
      </c>
      <c r="CX65" s="40">
        <f t="shared" si="1437"/>
        <v>-6.3805659486626531</v>
      </c>
      <c r="CY65" s="40">
        <f t="shared" si="1438"/>
        <v>-8.5680565812733533</v>
      </c>
      <c r="CZ65" s="40">
        <f t="shared" si="1439"/>
        <v>-3.3480277355124599</v>
      </c>
      <c r="DA65" s="40">
        <f t="shared" si="1440"/>
        <v>-7.609804429993261</v>
      </c>
      <c r="DB65" s="40">
        <f t="shared" si="1441"/>
        <v>-0.24651972264544408</v>
      </c>
      <c r="DC65" s="40">
        <f t="shared" si="1442"/>
        <v>-5.1202747279717187</v>
      </c>
      <c r="DD65" s="40">
        <f t="shared" si="1443"/>
        <v>-8.9439951692522612</v>
      </c>
      <c r="DE65" s="40">
        <f t="shared" si="1444"/>
        <v>2.3072027472745837</v>
      </c>
    </row>
    <row r="66" spans="1:109" ht="29.25" customHeight="1" x14ac:dyDescent="0.2">
      <c r="A66" s="34">
        <v>43811</v>
      </c>
      <c r="B66" s="27">
        <f t="shared" si="1393"/>
        <v>212</v>
      </c>
      <c r="C66" s="35">
        <v>222.9</v>
      </c>
      <c r="D66" s="35">
        <f t="shared" si="0"/>
        <v>53.700000000000017</v>
      </c>
      <c r="E66" s="36">
        <v>823219.58290000004</v>
      </c>
      <c r="F66" s="36">
        <v>1091508.5944000001</v>
      </c>
      <c r="G66" s="36">
        <v>-125.0094</v>
      </c>
      <c r="H66" s="36">
        <v>823219.25150000001</v>
      </c>
      <c r="I66" s="36">
        <v>1091508.9247999999</v>
      </c>
      <c r="J66" s="36">
        <v>-123.02370000000001</v>
      </c>
      <c r="K66" s="36">
        <v>823219.64159999997</v>
      </c>
      <c r="L66" s="36">
        <v>1091508.0347</v>
      </c>
      <c r="M66" s="36">
        <v>-120.8835</v>
      </c>
      <c r="N66" s="36">
        <v>823220.89179999998</v>
      </c>
      <c r="O66" s="36">
        <v>1091504.8156000001</v>
      </c>
      <c r="P66" s="36">
        <v>-119.52160000000001</v>
      </c>
      <c r="Q66" s="36">
        <v>823222.37179999996</v>
      </c>
      <c r="R66" s="36">
        <v>1091502.2091999999</v>
      </c>
      <c r="S66" s="36">
        <v>-120.8755</v>
      </c>
      <c r="T66" s="36">
        <v>823222.78170000005</v>
      </c>
      <c r="U66" s="36">
        <v>1091501.3097000001</v>
      </c>
      <c r="V66" s="36">
        <v>-123.0172</v>
      </c>
      <c r="W66" s="36">
        <v>823222.70059999998</v>
      </c>
      <c r="X66" s="36">
        <v>1091501.6348000001</v>
      </c>
      <c r="Y66" s="36">
        <v>-124.9353</v>
      </c>
      <c r="Z66" s="36">
        <f t="shared" si="1445"/>
        <v>6.7903238133124004</v>
      </c>
      <c r="AA66" s="36">
        <f t="shared" si="2"/>
        <v>5.6427664437328762</v>
      </c>
      <c r="AB66" s="36">
        <f t="shared" si="1446"/>
        <v>3.7121929447691535</v>
      </c>
      <c r="AC66" s="36">
        <f t="shared" si="1447"/>
        <v>3.2888852474358603</v>
      </c>
      <c r="AD66" s="36">
        <f t="shared" si="5"/>
        <v>5.2992712876563592</v>
      </c>
      <c r="AE66" s="36">
        <f t="shared" si="1448"/>
        <v>6.5343242779818382</v>
      </c>
      <c r="AF66" s="36">
        <f t="shared" si="1449"/>
        <v>6.4335453904019753</v>
      </c>
      <c r="AG66" s="36">
        <f t="shared" si="8"/>
        <v>8.3935750605767083</v>
      </c>
      <c r="AH66" s="36">
        <f t="shared" si="1450"/>
        <v>7.6263737292942677</v>
      </c>
      <c r="AI66" s="40">
        <f t="shared" si="1451"/>
        <v>-26.627482513290168</v>
      </c>
      <c r="AJ66" s="40">
        <f t="shared" si="1452"/>
        <v>-23.605100688777192</v>
      </c>
      <c r="AK66" s="40">
        <f t="shared" si="1453"/>
        <v>-20.332327666179761</v>
      </c>
      <c r="AL66" s="40">
        <f t="shared" si="1454"/>
        <v>-8.8035097989065392</v>
      </c>
      <c r="AM66" s="40">
        <f t="shared" si="1455"/>
        <v>-17.994779602068078</v>
      </c>
      <c r="AN66" s="40">
        <f t="shared" si="1456"/>
        <v>-23.680972032749992</v>
      </c>
      <c r="AO66" s="40">
        <f t="shared" si="1457"/>
        <v>-18.058240317071927</v>
      </c>
      <c r="AP66" s="40">
        <f t="shared" si="1458"/>
        <v>-18.8164013692802</v>
      </c>
      <c r="AQ66" s="40">
        <f t="shared" si="1459"/>
        <v>-21.644435419954533</v>
      </c>
      <c r="AR66" s="37"/>
      <c r="AS66" s="40">
        <f t="shared" si="1403"/>
        <v>0.10000006295740604</v>
      </c>
      <c r="AT66" s="40">
        <f t="shared" si="1404"/>
        <v>-13.499999884516001</v>
      </c>
      <c r="AU66" s="40">
        <f t="shared" si="1405"/>
        <v>0.60000000000570708</v>
      </c>
      <c r="AV66" s="40">
        <f t="shared" si="1406"/>
        <v>1.7000000225380063</v>
      </c>
      <c r="AW66" s="40">
        <f t="shared" si="1407"/>
        <v>-11.100000003352761</v>
      </c>
      <c r="AX66" s="40">
        <f t="shared" si="1408"/>
        <v>-0.39999999999906777</v>
      </c>
      <c r="AY66" s="40">
        <f t="shared" si="1409"/>
        <v>-0.10000006295740604</v>
      </c>
      <c r="AZ66" s="40">
        <f t="shared" si="1410"/>
        <v>-12.499999953433871</v>
      </c>
      <c r="BA66" s="40">
        <f t="shared" si="1411"/>
        <v>-1.8999999999920192</v>
      </c>
      <c r="BB66" s="40">
        <f t="shared" si="1412"/>
        <v>-5.8000000426545739</v>
      </c>
      <c r="BC66" s="40">
        <f t="shared" si="1413"/>
        <v>0.50000008195638657</v>
      </c>
      <c r="BD66" s="40">
        <f t="shared" si="1414"/>
        <v>-21.300000000010755</v>
      </c>
      <c r="BE66" s="40">
        <f t="shared" si="1415"/>
        <v>-5.5000000866129994</v>
      </c>
      <c r="BF66" s="40">
        <f t="shared" si="1416"/>
        <v>4.899999825283885</v>
      </c>
      <c r="BG66" s="40">
        <f t="shared" si="1417"/>
        <v>-8.0999999999988859</v>
      </c>
      <c r="BH66" s="40">
        <f t="shared" si="1418"/>
        <v>-6.7999999737367034</v>
      </c>
      <c r="BI66" s="40">
        <f t="shared" si="1419"/>
        <v>5.7000000961124897</v>
      </c>
      <c r="BJ66" s="40">
        <f t="shared" si="1420"/>
        <v>0.19999999999242846</v>
      </c>
      <c r="BK66" s="40">
        <f t="shared" si="1421"/>
        <v>-8.7000000057742</v>
      </c>
      <c r="BL66" s="40">
        <f t="shared" si="1422"/>
        <v>6.3000000081956387</v>
      </c>
      <c r="BM66" s="40">
        <f t="shared" si="1423"/>
        <v>2.899999999996794</v>
      </c>
      <c r="BN66" s="37"/>
      <c r="BO66" s="36">
        <v>169.36940000000001</v>
      </c>
      <c r="BP66" s="36">
        <v>-3.7616000000000001</v>
      </c>
      <c r="BQ66" s="36">
        <v>-1.1601999999999999</v>
      </c>
      <c r="BR66" s="36">
        <v>169.20869999999999</v>
      </c>
      <c r="BS66" s="36">
        <v>-4.2011000000000003</v>
      </c>
      <c r="BT66" s="36">
        <v>0.82709999999999995</v>
      </c>
      <c r="BU66" s="38">
        <v>169.18610000000001</v>
      </c>
      <c r="BV66" s="39">
        <v>-3.2294999999999998</v>
      </c>
      <c r="BW66" s="39">
        <v>2.9674999999999998</v>
      </c>
      <c r="BX66" s="38">
        <v>168.95859999999999</v>
      </c>
      <c r="BY66" s="39">
        <v>0.21629999999999999</v>
      </c>
      <c r="BZ66" s="39">
        <v>4.3316999999999997</v>
      </c>
      <c r="CA66" s="38">
        <v>169.19829999999999</v>
      </c>
      <c r="CB66" s="39">
        <v>3.2040000000000002</v>
      </c>
      <c r="CC66" s="39">
        <v>2.9754</v>
      </c>
      <c r="CD66" s="38">
        <v>169.18960000000001</v>
      </c>
      <c r="CE66" s="39">
        <v>4.1924999999999999</v>
      </c>
      <c r="CF66" s="39">
        <v>0.83379999999999999</v>
      </c>
      <c r="CG66" s="38">
        <v>169.2535</v>
      </c>
      <c r="CH66" s="39">
        <v>3.8635999999999999</v>
      </c>
      <c r="CI66" s="39">
        <v>-1.085</v>
      </c>
      <c r="CJ66" s="37"/>
      <c r="CK66" s="40">
        <f t="shared" si="1424"/>
        <v>-5.655622190943177</v>
      </c>
      <c r="CL66" s="40">
        <f t="shared" si="1425"/>
        <v>12.252242127055446</v>
      </c>
      <c r="CM66" s="40">
        <f t="shared" si="1426"/>
        <v>0.67055622192291331</v>
      </c>
      <c r="CN66" s="40">
        <f t="shared" si="1427"/>
        <v>-3.1902291373739899</v>
      </c>
      <c r="CO66" s="40">
        <f t="shared" si="1428"/>
        <v>10.75915358588464</v>
      </c>
      <c r="CP66" s="40">
        <f t="shared" si="1429"/>
        <v>-0.36109770862124968</v>
      </c>
      <c r="CQ66" s="40">
        <f t="shared" si="1430"/>
        <v>-5.3552418708591176</v>
      </c>
      <c r="CR66" s="40">
        <f t="shared" si="1431"/>
        <v>11.30008671609728</v>
      </c>
      <c r="CS66" s="40">
        <f t="shared" si="1432"/>
        <v>-1.8654475812822646</v>
      </c>
      <c r="CT66" s="40">
        <f t="shared" si="1433"/>
        <v>-5.0138646198547576</v>
      </c>
      <c r="CU66" s="40">
        <f t="shared" si="1434"/>
        <v>-2.9351047495592972</v>
      </c>
      <c r="CV66" s="40">
        <f t="shared" si="1435"/>
        <v>-21.243861353807958</v>
      </c>
      <c r="CW66" s="40">
        <f t="shared" si="1436"/>
        <v>-2.8943418723770264</v>
      </c>
      <c r="CX66" s="40">
        <f t="shared" si="1437"/>
        <v>-6.7805659486626091</v>
      </c>
      <c r="CY66" s="40">
        <f t="shared" si="1438"/>
        <v>-8.0680565812731864</v>
      </c>
      <c r="CZ66" s="40">
        <f t="shared" si="1439"/>
        <v>-3.7480277354973168</v>
      </c>
      <c r="DA66" s="40">
        <f t="shared" si="1440"/>
        <v>-8.009804429993217</v>
      </c>
      <c r="DB66" s="40">
        <f t="shared" si="1441"/>
        <v>0.25348027735450085</v>
      </c>
      <c r="DC66" s="40">
        <f t="shared" si="1442"/>
        <v>-5.2202747279750383</v>
      </c>
      <c r="DD66" s="40">
        <f t="shared" si="1443"/>
        <v>-9.3439951692522172</v>
      </c>
      <c r="DE66" s="40">
        <f t="shared" si="1444"/>
        <v>2.9072027472745177</v>
      </c>
    </row>
    <row r="67" spans="1:109" ht="29.25" customHeight="1" x14ac:dyDescent="0.2">
      <c r="A67" s="34">
        <v>43815</v>
      </c>
      <c r="B67" s="27">
        <f t="shared" si="1393"/>
        <v>216</v>
      </c>
      <c r="C67" s="35">
        <v>222.9</v>
      </c>
      <c r="D67" s="35">
        <f t="shared" si="0"/>
        <v>53.700000000000017</v>
      </c>
      <c r="E67" s="36">
        <v>823219.58409999998</v>
      </c>
      <c r="F67" s="36">
        <v>1091508.5935</v>
      </c>
      <c r="G67" s="36">
        <v>-125.0103</v>
      </c>
      <c r="H67" s="36">
        <v>823219.25249999994</v>
      </c>
      <c r="I67" s="36">
        <v>1091508.9239000001</v>
      </c>
      <c r="J67" s="36">
        <v>-123.0244</v>
      </c>
      <c r="K67" s="36" t="s">
        <v>81</v>
      </c>
      <c r="L67" s="36" t="s">
        <v>81</v>
      </c>
      <c r="M67" s="36" t="s">
        <v>81</v>
      </c>
      <c r="N67" s="36">
        <v>823220.89240000001</v>
      </c>
      <c r="O67" s="36">
        <v>1091504.814</v>
      </c>
      <c r="P67" s="36">
        <v>-119.5228</v>
      </c>
      <c r="Q67" s="36">
        <v>823222.37170000002</v>
      </c>
      <c r="R67" s="36">
        <v>1091502.2079</v>
      </c>
      <c r="S67" s="36">
        <v>-120.8768</v>
      </c>
      <c r="T67" s="36">
        <v>823222.78130000003</v>
      </c>
      <c r="U67" s="36">
        <v>1091501.3086999999</v>
      </c>
      <c r="V67" s="36">
        <v>-123.01819999999999</v>
      </c>
      <c r="W67" s="36">
        <v>823222.70039999997</v>
      </c>
      <c r="X67" s="36">
        <v>1091501.6336000001</v>
      </c>
      <c r="Y67" s="36">
        <v>-124.9359</v>
      </c>
      <c r="Z67" s="36">
        <f t="shared" si="1445"/>
        <v>6.7903553213126413</v>
      </c>
      <c r="AA67" s="36">
        <f t="shared" si="2"/>
        <v>5.6428496861555431</v>
      </c>
      <c r="AB67" s="36" t="e">
        <f t="shared" si="1446"/>
        <v>#VALUE!</v>
      </c>
      <c r="AC67" s="36">
        <f t="shared" si="1447"/>
        <v>3.2883737165794558</v>
      </c>
      <c r="AD67" s="36">
        <f t="shared" si="5"/>
        <v>5.2983858353857007</v>
      </c>
      <c r="AE67" s="36">
        <f t="shared" si="1448"/>
        <v>6.5334110363243436</v>
      </c>
      <c r="AF67" s="36"/>
      <c r="AG67" s="36">
        <f t="shared" si="8"/>
        <v>8.3930768447806088</v>
      </c>
      <c r="AH67" s="36">
        <f t="shared" si="1450"/>
        <v>7.6260782226888484</v>
      </c>
      <c r="AI67" s="40">
        <f t="shared" si="1451"/>
        <v>-26.595974513049292</v>
      </c>
      <c r="AJ67" s="40">
        <f t="shared" si="1452"/>
        <v>-23.521858266110307</v>
      </c>
      <c r="AK67" s="40"/>
      <c r="AL67" s="40">
        <f t="shared" si="1454"/>
        <v>-9.3150406553110798</v>
      </c>
      <c r="AM67" s="40">
        <f t="shared" si="1455"/>
        <v>-18.880231872726583</v>
      </c>
      <c r="AN67" s="40">
        <f t="shared" si="1456"/>
        <v>-24.594213690244615</v>
      </c>
      <c r="AO67" s="40" t="str">
        <f t="shared" si="1457"/>
        <v/>
      </c>
      <c r="AP67" s="40">
        <f t="shared" si="1458"/>
        <v>-19.314617165379744</v>
      </c>
      <c r="AQ67" s="40">
        <f t="shared" si="1459"/>
        <v>-21.93994202537386</v>
      </c>
      <c r="AR67" s="37"/>
      <c r="AS67" s="40">
        <f t="shared" si="1403"/>
        <v>1.3000000035390258</v>
      </c>
      <c r="AT67" s="40">
        <f t="shared" si="1404"/>
        <v>-14.399999985471368</v>
      </c>
      <c r="AU67" s="40">
        <f t="shared" si="1405"/>
        <v>-0.29999999999574811</v>
      </c>
      <c r="AV67" s="40">
        <f t="shared" si="1406"/>
        <v>2.6999999536201358</v>
      </c>
      <c r="AW67" s="40">
        <f t="shared" si="1407"/>
        <v>-11.999999871477485</v>
      </c>
      <c r="AX67" s="40">
        <f t="shared" si="1408"/>
        <v>-1.0999999999938836</v>
      </c>
      <c r="AY67" s="40"/>
      <c r="AZ67" s="40"/>
      <c r="BA67" s="40"/>
      <c r="BB67" s="40">
        <f t="shared" si="1412"/>
        <v>-5.2000000141561031</v>
      </c>
      <c r="BC67" s="40">
        <f t="shared" si="1413"/>
        <v>-1.0999999940395355</v>
      </c>
      <c r="BD67" s="40">
        <f t="shared" si="1414"/>
        <v>-22.500000000007958</v>
      </c>
      <c r="BE67" s="40">
        <f t="shared" si="1415"/>
        <v>-5.6000000331550837</v>
      </c>
      <c r="BF67" s="40">
        <f t="shared" si="1416"/>
        <v>3.599999938160181</v>
      </c>
      <c r="BG67" s="40">
        <f t="shared" si="1417"/>
        <v>-9.3999999999994088</v>
      </c>
      <c r="BH67" s="40">
        <f t="shared" si="1418"/>
        <v>-7.1999999927356839</v>
      </c>
      <c r="BI67" s="40">
        <f t="shared" si="1419"/>
        <v>4.6999999321997166</v>
      </c>
      <c r="BJ67" s="40">
        <f t="shared" si="1420"/>
        <v>-0.79999999999813554</v>
      </c>
      <c r="BK67" s="40">
        <f t="shared" si="1421"/>
        <v>-8.9000000152736902</v>
      </c>
      <c r="BL67" s="40">
        <f t="shared" si="1422"/>
        <v>5.0999999511986971</v>
      </c>
      <c r="BM67" s="40">
        <f t="shared" si="1423"/>
        <v>2.299999999991087</v>
      </c>
      <c r="BN67" s="37"/>
      <c r="BO67" s="36">
        <v>169.37010000000001</v>
      </c>
      <c r="BP67" s="36">
        <v>-3.7603</v>
      </c>
      <c r="BQ67" s="36">
        <v>-1.1611</v>
      </c>
      <c r="BR67" s="36">
        <v>169.20930000000001</v>
      </c>
      <c r="BS67" s="36">
        <v>-4.1997999999999998</v>
      </c>
      <c r="BT67" s="36">
        <v>0.82640000000000002</v>
      </c>
      <c r="BU67" s="38" t="s">
        <v>81</v>
      </c>
      <c r="BV67" s="39" t="s">
        <v>81</v>
      </c>
      <c r="BW67" s="39" t="s">
        <v>81</v>
      </c>
      <c r="BX67" s="38">
        <v>168.95840000000001</v>
      </c>
      <c r="BY67" s="39">
        <v>0.218</v>
      </c>
      <c r="BZ67" s="39">
        <v>4.3304999999999998</v>
      </c>
      <c r="CA67" s="38">
        <v>169.19759999999999</v>
      </c>
      <c r="CB67" s="39">
        <v>3.2052</v>
      </c>
      <c r="CC67" s="39">
        <v>2.9741</v>
      </c>
      <c r="CD67" s="38">
        <v>169.18879999999999</v>
      </c>
      <c r="CE67" s="39">
        <v>4.1932</v>
      </c>
      <c r="CF67" s="39">
        <v>0.83279999999999998</v>
      </c>
      <c r="CG67" s="38">
        <v>169.25280000000001</v>
      </c>
      <c r="CH67" s="39">
        <v>3.8645999999999998</v>
      </c>
      <c r="CI67" s="39">
        <v>-1.0854999999999999</v>
      </c>
      <c r="CJ67" s="37"/>
      <c r="CK67" s="40">
        <f t="shared" si="1424"/>
        <v>-4.9556221909483611</v>
      </c>
      <c r="CL67" s="40">
        <f t="shared" si="1425"/>
        <v>13.552242127055525</v>
      </c>
      <c r="CM67" s="40">
        <f t="shared" si="1426"/>
        <v>-0.22944377807720961</v>
      </c>
      <c r="CN67" s="40">
        <f t="shared" si="1427"/>
        <v>-2.590229137354072</v>
      </c>
      <c r="CO67" s="40">
        <f t="shared" si="1428"/>
        <v>12.059153585885163</v>
      </c>
      <c r="CP67" s="40">
        <f t="shared" si="1429"/>
        <v>-1.0610977086211726</v>
      </c>
      <c r="CQ67" s="40"/>
      <c r="CR67" s="40"/>
      <c r="CS67" s="40"/>
      <c r="CT67" s="40">
        <f t="shared" si="1433"/>
        <v>-5.2138646198329752</v>
      </c>
      <c r="CU67" s="40">
        <f t="shared" si="1434"/>
        <v>-1.2351047495592904</v>
      </c>
      <c r="CV67" s="40">
        <f t="shared" si="1435"/>
        <v>-22.443861353807826</v>
      </c>
      <c r="CW67" s="40">
        <f t="shared" si="1436"/>
        <v>-3.5943418723718423</v>
      </c>
      <c r="CX67" s="40">
        <f t="shared" si="1437"/>
        <v>-5.5805659486627412</v>
      </c>
      <c r="CY67" s="40">
        <f t="shared" si="1438"/>
        <v>-9.3680565812732652</v>
      </c>
      <c r="CZ67" s="40">
        <f t="shared" si="1439"/>
        <v>-4.5480277355238741</v>
      </c>
      <c r="DA67" s="40">
        <f t="shared" si="1440"/>
        <v>-7.309804429993072</v>
      </c>
      <c r="DB67" s="40">
        <f t="shared" si="1441"/>
        <v>-0.74651972264550004</v>
      </c>
      <c r="DC67" s="40">
        <f t="shared" si="1442"/>
        <v>-5.9202747279698542</v>
      </c>
      <c r="DD67" s="40">
        <f t="shared" si="1443"/>
        <v>-8.3439951692523273</v>
      </c>
      <c r="DE67" s="40">
        <f t="shared" si="1444"/>
        <v>2.4072027472745727</v>
      </c>
    </row>
    <row r="68" spans="1:109" ht="29.25" customHeight="1" x14ac:dyDescent="0.2">
      <c r="A68" s="34">
        <v>43818</v>
      </c>
      <c r="B68" s="27">
        <f t="shared" si="1393"/>
        <v>219</v>
      </c>
      <c r="C68" s="35">
        <v>222.9</v>
      </c>
      <c r="D68" s="35">
        <f t="shared" si="0"/>
        <v>53.700000000000017</v>
      </c>
      <c r="E68" s="36">
        <v>823219.58299999998</v>
      </c>
      <c r="F68" s="36">
        <v>1091508.594</v>
      </c>
      <c r="G68" s="36">
        <v>-125.0099</v>
      </c>
      <c r="H68" s="36">
        <v>823219.25159999996</v>
      </c>
      <c r="I68" s="36">
        <v>1091508.925</v>
      </c>
      <c r="J68" s="36">
        <v>-123.02419999999999</v>
      </c>
      <c r="K68" s="36">
        <v>823219.64150000003</v>
      </c>
      <c r="L68" s="36">
        <v>1091508.0349999999</v>
      </c>
      <c r="M68" s="36">
        <v>-120.8841</v>
      </c>
      <c r="N68" s="36">
        <v>823220.89190000005</v>
      </c>
      <c r="O68" s="36">
        <v>1091504.8160000001</v>
      </c>
      <c r="P68" s="36">
        <v>-119.5222</v>
      </c>
      <c r="Q68" s="36">
        <v>823222.37170000002</v>
      </c>
      <c r="R68" s="36">
        <v>1091502.209</v>
      </c>
      <c r="S68" s="36">
        <v>-120.876</v>
      </c>
      <c r="T68" s="36">
        <v>823222.78200000001</v>
      </c>
      <c r="U68" s="36">
        <v>1091501.31</v>
      </c>
      <c r="V68" s="36">
        <v>-123.0177</v>
      </c>
      <c r="W68" s="36">
        <v>823222.70059999998</v>
      </c>
      <c r="X68" s="36">
        <v>1091501.635</v>
      </c>
      <c r="Y68" s="36">
        <v>-124.9357</v>
      </c>
      <c r="Z68" s="36">
        <f t="shared" si="1445"/>
        <v>6.7897978246524584</v>
      </c>
      <c r="AA68" s="36">
        <f t="shared" si="2"/>
        <v>5.6425587360503711</v>
      </c>
      <c r="AB68" s="36">
        <f t="shared" si="1446"/>
        <v>3.7121735908780429</v>
      </c>
      <c r="AC68" s="36">
        <f t="shared" si="1447"/>
        <v>3.2892296180587577</v>
      </c>
      <c r="AD68" s="36">
        <f t="shared" si="5"/>
        <v>5.2993428139927392</v>
      </c>
      <c r="AE68" s="36">
        <f t="shared" si="1448"/>
        <v>6.5342282589756735</v>
      </c>
      <c r="AF68" s="36">
        <f t="shared" si="1449"/>
        <v>6.4339982630246757</v>
      </c>
      <c r="AG68" s="36">
        <f t="shared" si="8"/>
        <v>8.3935684550844982</v>
      </c>
      <c r="AH68" s="36">
        <f t="shared" si="1450"/>
        <v>7.6257862807992973</v>
      </c>
      <c r="AI68" s="40">
        <f t="shared" si="1451"/>
        <v>-27.153471173232191</v>
      </c>
      <c r="AJ68" s="40">
        <f t="shared" si="1452"/>
        <v>-23.812808371282301</v>
      </c>
      <c r="AK68" s="40">
        <f t="shared" si="1453"/>
        <v>-20.351681557290391</v>
      </c>
      <c r="AL68" s="40">
        <f t="shared" si="1454"/>
        <v>-8.4591391760091561</v>
      </c>
      <c r="AM68" s="40">
        <f t="shared" si="1455"/>
        <v>-17.923253265688111</v>
      </c>
      <c r="AN68" s="40">
        <f t="shared" si="1456"/>
        <v>-23.77699103891473</v>
      </c>
      <c r="AO68" s="40">
        <f t="shared" si="1457"/>
        <v>-17.605367694371488</v>
      </c>
      <c r="AP68" s="40">
        <f t="shared" si="1458"/>
        <v>-18.823006861490299</v>
      </c>
      <c r="AQ68" s="40">
        <f t="shared" si="1459"/>
        <v>-22.231883914924921</v>
      </c>
      <c r="AR68" s="37"/>
      <c r="AS68" s="40">
        <f t="shared" si="1403"/>
        <v>0.20000000949949026</v>
      </c>
      <c r="AT68" s="40">
        <f t="shared" si="1404"/>
        <v>-13.899999903514981</v>
      </c>
      <c r="AU68" s="40">
        <f t="shared" si="1405"/>
        <v>0.10000000000331966</v>
      </c>
      <c r="AV68" s="40">
        <f t="shared" si="1406"/>
        <v>1.7999999690800905</v>
      </c>
      <c r="AW68" s="40">
        <f t="shared" si="1407"/>
        <v>-10.899999877437949</v>
      </c>
      <c r="AX68" s="40">
        <f t="shared" si="1408"/>
        <v>-0.89999999998724434</v>
      </c>
      <c r="AY68" s="40">
        <f t="shared" si="1409"/>
        <v>-0.20000000949949026</v>
      </c>
      <c r="AZ68" s="40">
        <f t="shared" si="1410"/>
        <v>-12.199999997392297</v>
      </c>
      <c r="BA68" s="40">
        <f t="shared" si="1411"/>
        <v>-2.4999999999977263</v>
      </c>
      <c r="BB68" s="40">
        <f t="shared" si="1412"/>
        <v>-5.6999999796971679</v>
      </c>
      <c r="BC68" s="40">
        <f t="shared" si="1413"/>
        <v>0.90000010095536709</v>
      </c>
      <c r="BD68" s="40">
        <f t="shared" si="1414"/>
        <v>-21.900000000002251</v>
      </c>
      <c r="BE68" s="40">
        <f t="shared" si="1415"/>
        <v>-5.6000000331550837</v>
      </c>
      <c r="BF68" s="40">
        <f t="shared" si="1416"/>
        <v>4.6999999321997166</v>
      </c>
      <c r="BG68" s="40">
        <f t="shared" si="1417"/>
        <v>-8.6000000000012733</v>
      </c>
      <c r="BH68" s="40">
        <f t="shared" si="1418"/>
        <v>-6.5000000176951289</v>
      </c>
      <c r="BI68" s="40">
        <f t="shared" si="1419"/>
        <v>6.0000000521540642</v>
      </c>
      <c r="BJ68" s="40">
        <f t="shared" si="1420"/>
        <v>-0.30000000000995897</v>
      </c>
      <c r="BK68" s="40">
        <f t="shared" si="1421"/>
        <v>-8.7000000057742</v>
      </c>
      <c r="BL68" s="40">
        <f t="shared" si="1422"/>
        <v>6.4999999012798071</v>
      </c>
      <c r="BM68" s="40">
        <f t="shared" si="1423"/>
        <v>2.4999999999977263</v>
      </c>
      <c r="BN68" s="37"/>
      <c r="BO68" s="36">
        <v>169.36940000000001</v>
      </c>
      <c r="BP68" s="36">
        <v>-3.7612999999999999</v>
      </c>
      <c r="BQ68" s="36">
        <v>-1.1607000000000001</v>
      </c>
      <c r="BR68" s="36">
        <v>169.20869999999999</v>
      </c>
      <c r="BS68" s="36">
        <v>-4.2008999999999999</v>
      </c>
      <c r="BT68" s="36">
        <v>0.8266</v>
      </c>
      <c r="BU68" s="38">
        <v>169.1859</v>
      </c>
      <c r="BV68" s="39">
        <v>-3.2294</v>
      </c>
      <c r="BW68" s="39">
        <v>2.9668999999999999</v>
      </c>
      <c r="BX68" s="38">
        <v>168.95859999999999</v>
      </c>
      <c r="BY68" s="39">
        <v>0.2165</v>
      </c>
      <c r="BZ68" s="39">
        <v>4.3311000000000002</v>
      </c>
      <c r="CA68" s="38">
        <v>169.19810000000001</v>
      </c>
      <c r="CB68" s="39">
        <v>3.2040999999999999</v>
      </c>
      <c r="CC68" s="39">
        <v>2.9748999999999999</v>
      </c>
      <c r="CD68" s="38">
        <v>169.18989999999999</v>
      </c>
      <c r="CE68" s="39">
        <v>4.1925999999999997</v>
      </c>
      <c r="CF68" s="39">
        <v>0.83330000000000004</v>
      </c>
      <c r="CG68" s="38">
        <v>169.2535</v>
      </c>
      <c r="CH68" s="39">
        <v>3.8635999999999999</v>
      </c>
      <c r="CI68" s="39">
        <v>-1.0853999999999999</v>
      </c>
      <c r="CJ68" s="37"/>
      <c r="CK68" s="40">
        <f t="shared" si="1424"/>
        <v>-5.655622190943177</v>
      </c>
      <c r="CL68" s="40">
        <f t="shared" si="1425"/>
        <v>12.552242127055635</v>
      </c>
      <c r="CM68" s="40">
        <f t="shared" si="1426"/>
        <v>0.17055622192274633</v>
      </c>
      <c r="CN68" s="40">
        <f t="shared" si="1427"/>
        <v>-3.1902291373739899</v>
      </c>
      <c r="CO68" s="40">
        <f t="shared" si="1428"/>
        <v>10.959153585885062</v>
      </c>
      <c r="CP68" s="40">
        <f t="shared" si="1429"/>
        <v>-0.86109770862119461</v>
      </c>
      <c r="CQ68" s="40">
        <f t="shared" si="1430"/>
        <v>-5.5552418708657569</v>
      </c>
      <c r="CR68" s="40">
        <f t="shared" si="1431"/>
        <v>11.400086716097046</v>
      </c>
      <c r="CS68" s="40">
        <f t="shared" si="1432"/>
        <v>-2.4654475812821985</v>
      </c>
      <c r="CT68" s="40">
        <f t="shared" si="1433"/>
        <v>-5.0138646198547576</v>
      </c>
      <c r="CU68" s="40">
        <f t="shared" si="1434"/>
        <v>-2.7351047495592917</v>
      </c>
      <c r="CV68" s="40">
        <f t="shared" si="1435"/>
        <v>-21.843861353807448</v>
      </c>
      <c r="CW68" s="40">
        <f t="shared" si="1436"/>
        <v>-3.094341872355244</v>
      </c>
      <c r="CX68" s="40">
        <f t="shared" si="1437"/>
        <v>-6.6805659486628421</v>
      </c>
      <c r="CY68" s="40">
        <f t="shared" si="1438"/>
        <v>-8.5680565812733533</v>
      </c>
      <c r="CZ68" s="40">
        <f t="shared" si="1439"/>
        <v>-3.4480277355157796</v>
      </c>
      <c r="DA68" s="40">
        <f t="shared" si="1440"/>
        <v>-7.90980442999345</v>
      </c>
      <c r="DB68" s="40">
        <f t="shared" si="1441"/>
        <v>-0.24651972264544408</v>
      </c>
      <c r="DC68" s="40">
        <f t="shared" si="1442"/>
        <v>-5.2202747279750383</v>
      </c>
      <c r="DD68" s="40">
        <f t="shared" si="1443"/>
        <v>-9.3439951692522172</v>
      </c>
      <c r="DE68" s="40">
        <f t="shared" si="1444"/>
        <v>2.5072027472745617</v>
      </c>
    </row>
    <row r="69" spans="1:109" ht="29.25" customHeight="1" x14ac:dyDescent="0.2">
      <c r="A69" s="34">
        <v>43837</v>
      </c>
      <c r="B69" s="27">
        <f t="shared" si="1393"/>
        <v>238</v>
      </c>
      <c r="C69" s="35">
        <v>222.9</v>
      </c>
      <c r="D69" s="35">
        <f t="shared" si="0"/>
        <v>53.700000000000017</v>
      </c>
      <c r="E69" s="36">
        <v>823219.58270000003</v>
      </c>
      <c r="F69" s="36">
        <v>1091508.5937000001</v>
      </c>
      <c r="G69" s="36">
        <v>-125.01</v>
      </c>
      <c r="H69" s="36">
        <v>823219.25139999995</v>
      </c>
      <c r="I69" s="36">
        <v>1091508.9240999999</v>
      </c>
      <c r="J69" s="36">
        <v>-123.0243</v>
      </c>
      <c r="K69" s="36">
        <v>823219.64119999995</v>
      </c>
      <c r="L69" s="36">
        <v>1091508.0342999999</v>
      </c>
      <c r="M69" s="36">
        <v>-120.884</v>
      </c>
      <c r="N69" s="36">
        <v>823220.89159999997</v>
      </c>
      <c r="O69" s="36">
        <v>1091504.8152000001</v>
      </c>
      <c r="P69" s="36">
        <v>-119.5226</v>
      </c>
      <c r="Q69" s="36">
        <v>823222.37150000001</v>
      </c>
      <c r="R69" s="36">
        <v>1091502.209</v>
      </c>
      <c r="S69" s="36">
        <v>-120.8762</v>
      </c>
      <c r="T69" s="36">
        <v>823222.78170000005</v>
      </c>
      <c r="U69" s="36">
        <v>1091501.3093999999</v>
      </c>
      <c r="V69" s="36">
        <v>-123.0176</v>
      </c>
      <c r="W69" s="36">
        <v>823222.70050000004</v>
      </c>
      <c r="X69" s="36">
        <v>1091501.6344999999</v>
      </c>
      <c r="Y69" s="36">
        <v>-124.9357</v>
      </c>
      <c r="Z69" s="36">
        <f t="shared" si="1445"/>
        <v>6.7898335929512905</v>
      </c>
      <c r="AA69" s="36">
        <f t="shared" si="2"/>
        <v>5.6422706545374526</v>
      </c>
      <c r="AB69" s="36">
        <f t="shared" si="1446"/>
        <v>3.7120769023846569</v>
      </c>
      <c r="AC69" s="36">
        <f t="shared" si="1447"/>
        <v>3.2885582570942993</v>
      </c>
      <c r="AD69" s="36">
        <f t="shared" si="5"/>
        <v>5.2988806979782224</v>
      </c>
      <c r="AE69" s="36">
        <f t="shared" si="1448"/>
        <v>6.5338061886722167</v>
      </c>
      <c r="AF69" s="36">
        <f t="shared" si="1449"/>
        <v>6.433406486398888</v>
      </c>
      <c r="AG69" s="36">
        <f t="shared" si="8"/>
        <v>8.3932543790377565</v>
      </c>
      <c r="AH69" s="36">
        <f t="shared" si="1450"/>
        <v>7.626051532230723</v>
      </c>
      <c r="AI69" s="40">
        <f t="shared" si="1451"/>
        <v>-27.117702874400074</v>
      </c>
      <c r="AJ69" s="40">
        <f t="shared" si="1452"/>
        <v>-24.100889884200782</v>
      </c>
      <c r="AK69" s="40">
        <f t="shared" si="1453"/>
        <v>-20.448370050676345</v>
      </c>
      <c r="AL69" s="40">
        <f t="shared" si="1454"/>
        <v>-9.1305001404675679</v>
      </c>
      <c r="AM69" s="40">
        <f t="shared" si="1455"/>
        <v>-18.385369280204955</v>
      </c>
      <c r="AN69" s="40">
        <f t="shared" si="1456"/>
        <v>-24.199061342371486</v>
      </c>
      <c r="AO69" s="40">
        <f t="shared" si="1457"/>
        <v>-18.197144320159175</v>
      </c>
      <c r="AP69" s="40">
        <f t="shared" si="1458"/>
        <v>-19.137082908232017</v>
      </c>
      <c r="AQ69" s="40">
        <f t="shared" si="1459"/>
        <v>-21.966632483499282</v>
      </c>
      <c r="AR69" s="37"/>
      <c r="AS69" s="40">
        <f t="shared" si="1403"/>
        <v>-9.9999946542084217E-2</v>
      </c>
      <c r="AT69" s="40">
        <f t="shared" si="1404"/>
        <v>-14.199999859556556</v>
      </c>
      <c r="AU69" s="40">
        <f t="shared" si="1405"/>
        <v>0</v>
      </c>
      <c r="AV69" s="40">
        <f t="shared" si="1406"/>
        <v>1.5999999595806003</v>
      </c>
      <c r="AW69" s="40">
        <f t="shared" si="1407"/>
        <v>-11.799999978393316</v>
      </c>
      <c r="AX69" s="40">
        <f t="shared" si="1408"/>
        <v>-0.99999999999056399</v>
      </c>
      <c r="AY69" s="40">
        <f t="shared" si="1409"/>
        <v>-0.50000008195638657</v>
      </c>
      <c r="AZ69" s="40">
        <f t="shared" si="1410"/>
        <v>-12.899999972432852</v>
      </c>
      <c r="BA69" s="40">
        <f t="shared" si="1411"/>
        <v>-2.3999999999944066</v>
      </c>
      <c r="BB69" s="40">
        <f t="shared" si="1412"/>
        <v>-6.0000000521540642</v>
      </c>
      <c r="BC69" s="40">
        <f t="shared" si="1413"/>
        <v>0.10000006295740604</v>
      </c>
      <c r="BD69" s="40">
        <f t="shared" si="1414"/>
        <v>-22.300000000001319</v>
      </c>
      <c r="BE69" s="40">
        <f t="shared" si="1415"/>
        <v>-5.8000000426545739</v>
      </c>
      <c r="BF69" s="40">
        <f t="shared" si="1416"/>
        <v>4.6999999321997166</v>
      </c>
      <c r="BG69" s="40">
        <f t="shared" si="1417"/>
        <v>-8.7999999999937017</v>
      </c>
      <c r="BH69" s="40">
        <f t="shared" si="1418"/>
        <v>-6.7999999737367034</v>
      </c>
      <c r="BI69" s="40">
        <f t="shared" si="1419"/>
        <v>5.3999999072402716</v>
      </c>
      <c r="BJ69" s="40">
        <f t="shared" si="1420"/>
        <v>-0.20000000000663931</v>
      </c>
      <c r="BK69" s="40">
        <f t="shared" si="1421"/>
        <v>-8.7999999523162842</v>
      </c>
      <c r="BL69" s="40">
        <f t="shared" si="1422"/>
        <v>5.9999998193234205</v>
      </c>
      <c r="BM69" s="40">
        <f t="shared" si="1423"/>
        <v>2.4999999999977263</v>
      </c>
      <c r="BN69" s="37"/>
      <c r="BO69" s="36">
        <v>169.369</v>
      </c>
      <c r="BP69" s="36">
        <v>-3.7610000000000001</v>
      </c>
      <c r="BQ69" s="36">
        <v>-1.1608000000000001</v>
      </c>
      <c r="BR69" s="36">
        <v>169.20840000000001</v>
      </c>
      <c r="BS69" s="36">
        <v>-4.2004999999999999</v>
      </c>
      <c r="BT69" s="36">
        <v>0.82650000000000001</v>
      </c>
      <c r="BU69" s="38">
        <v>169.18549999999999</v>
      </c>
      <c r="BV69" s="39">
        <v>-3.2292999999999998</v>
      </c>
      <c r="BW69" s="39">
        <v>2.9670000000000001</v>
      </c>
      <c r="BX69" s="38">
        <v>168.95820000000001</v>
      </c>
      <c r="BY69" s="39">
        <v>0.21659999999999999</v>
      </c>
      <c r="BZ69" s="39">
        <v>4.3307000000000002</v>
      </c>
      <c r="CA69" s="38">
        <v>169.1979</v>
      </c>
      <c r="CB69" s="39">
        <v>3.2040999999999999</v>
      </c>
      <c r="CC69" s="39">
        <v>2.9746999999999999</v>
      </c>
      <c r="CD69" s="38">
        <v>169.18950000000001</v>
      </c>
      <c r="CE69" s="39">
        <v>4.1927000000000003</v>
      </c>
      <c r="CF69" s="39">
        <v>0.83340000000000003</v>
      </c>
      <c r="CG69" s="38">
        <v>169.2533</v>
      </c>
      <c r="CH69" s="39">
        <v>3.8637999999999999</v>
      </c>
      <c r="CI69" s="39">
        <v>-1.0853999999999999</v>
      </c>
      <c r="CJ69" s="37"/>
      <c r="CK69" s="40">
        <f t="shared" si="1424"/>
        <v>-6.0556221909564556</v>
      </c>
      <c r="CL69" s="40">
        <f t="shared" si="1425"/>
        <v>12.85224212705538</v>
      </c>
      <c r="CM69" s="40">
        <f t="shared" si="1426"/>
        <v>7.0556221922757345E-2</v>
      </c>
      <c r="CN69" s="40">
        <f t="shared" si="1427"/>
        <v>-3.4902291373555272</v>
      </c>
      <c r="CO69" s="40">
        <f t="shared" si="1428"/>
        <v>11.359153585885018</v>
      </c>
      <c r="CP69" s="40">
        <f t="shared" si="1429"/>
        <v>-0.9610977086211836</v>
      </c>
      <c r="CQ69" s="40">
        <f t="shared" si="1430"/>
        <v>-5.9552418708790356</v>
      </c>
      <c r="CR69" s="40">
        <f t="shared" si="1431"/>
        <v>11.500086716097258</v>
      </c>
      <c r="CS69" s="40">
        <f t="shared" si="1432"/>
        <v>-2.3654475812819875</v>
      </c>
      <c r="CT69" s="40">
        <f t="shared" si="1433"/>
        <v>-5.4138646198396145</v>
      </c>
      <c r="CU69" s="40">
        <f t="shared" si="1434"/>
        <v>-2.6351047495593027</v>
      </c>
      <c r="CV69" s="40">
        <f t="shared" si="1435"/>
        <v>-22.243861353807404</v>
      </c>
      <c r="CW69" s="40">
        <f t="shared" si="1436"/>
        <v>-3.2943418723618834</v>
      </c>
      <c r="CX69" s="40">
        <f t="shared" si="1437"/>
        <v>-6.6805659486628421</v>
      </c>
      <c r="CY69" s="40">
        <f t="shared" si="1438"/>
        <v>-8.7680565812733313</v>
      </c>
      <c r="CZ69" s="40">
        <f t="shared" si="1439"/>
        <v>-3.8480277355006365</v>
      </c>
      <c r="DA69" s="40">
        <f t="shared" si="1440"/>
        <v>-7.8098044299927949</v>
      </c>
      <c r="DB69" s="40">
        <f t="shared" si="1441"/>
        <v>-0.1465197226454551</v>
      </c>
      <c r="DC69" s="40">
        <f t="shared" si="1442"/>
        <v>-5.4202747279816776</v>
      </c>
      <c r="DD69" s="40">
        <f t="shared" si="1443"/>
        <v>-9.1439951692522392</v>
      </c>
      <c r="DE69" s="40">
        <f t="shared" si="1444"/>
        <v>2.5072027472745617</v>
      </c>
    </row>
    <row r="70" spans="1:109" ht="29.25" customHeight="1" x14ac:dyDescent="0.2">
      <c r="A70" s="34">
        <v>43843</v>
      </c>
      <c r="B70" s="27">
        <f t="shared" si="1393"/>
        <v>244</v>
      </c>
      <c r="C70" s="35">
        <v>222.9</v>
      </c>
      <c r="D70" s="35">
        <f t="shared" si="0"/>
        <v>53.700000000000017</v>
      </c>
      <c r="E70" s="36">
        <v>823219.58270000003</v>
      </c>
      <c r="F70" s="36">
        <v>1091508.5937000001</v>
      </c>
      <c r="G70" s="36">
        <v>-125.0099</v>
      </c>
      <c r="H70" s="36">
        <v>823219.2513</v>
      </c>
      <c r="I70" s="36">
        <v>1091508.9242</v>
      </c>
      <c r="J70" s="36">
        <v>-123.0241</v>
      </c>
      <c r="K70" s="36">
        <v>823219.64130000002</v>
      </c>
      <c r="L70" s="36">
        <v>1091508.0337</v>
      </c>
      <c r="M70" s="36">
        <v>-120.8831</v>
      </c>
      <c r="N70" s="36">
        <v>823220.89150000003</v>
      </c>
      <c r="O70" s="36">
        <v>1091504.8151</v>
      </c>
      <c r="P70" s="36">
        <v>-119.5227</v>
      </c>
      <c r="Q70" s="36">
        <v>823222.3713</v>
      </c>
      <c r="R70" s="36">
        <v>1091502.2089</v>
      </c>
      <c r="S70" s="36">
        <v>-120.8762</v>
      </c>
      <c r="T70" s="36">
        <v>823222.78139999998</v>
      </c>
      <c r="U70" s="36">
        <v>1091501.3092</v>
      </c>
      <c r="V70" s="36">
        <v>-123.0175</v>
      </c>
      <c r="W70" s="36">
        <v>823222.70030000003</v>
      </c>
      <c r="X70" s="36">
        <v>1091501.6344000001</v>
      </c>
      <c r="Y70" s="36">
        <v>-124.93559999999999</v>
      </c>
      <c r="Z70" s="36">
        <f t="shared" si="1445"/>
        <v>6.7897083325121912</v>
      </c>
      <c r="AA70" s="36">
        <f t="shared" si="2"/>
        <v>5.6422301273600377</v>
      </c>
      <c r="AB70" s="36">
        <f t="shared" si="1446"/>
        <v>3.7112092584715874</v>
      </c>
      <c r="AC70" s="36">
        <f t="shared" si="1447"/>
        <v>3.288472096599993</v>
      </c>
      <c r="AD70" s="36">
        <f t="shared" si="5"/>
        <v>5.2987436114364952</v>
      </c>
      <c r="AE70" s="36">
        <f t="shared" si="1448"/>
        <v>6.5336128091142953</v>
      </c>
      <c r="AF70" s="36">
        <f t="shared" si="1449"/>
        <v>6.432825401843373</v>
      </c>
      <c r="AG70" s="36">
        <f t="shared" si="8"/>
        <v>8.3934423551769264</v>
      </c>
      <c r="AH70" s="36">
        <f t="shared" si="1450"/>
        <v>7.6260610238716922</v>
      </c>
      <c r="AI70" s="40">
        <f t="shared" si="1451"/>
        <v>-27.242963313499402</v>
      </c>
      <c r="AJ70" s="40">
        <f t="shared" si="1452"/>
        <v>-24.141417061615655</v>
      </c>
      <c r="AK70" s="40">
        <f t="shared" si="1453"/>
        <v>-21.316013963745828</v>
      </c>
      <c r="AL70" s="40">
        <f t="shared" si="1454"/>
        <v>-9.2166606347738878</v>
      </c>
      <c r="AM70" s="40">
        <f t="shared" si="1455"/>
        <v>-18.522455821932127</v>
      </c>
      <c r="AN70" s="40">
        <f t="shared" si="1456"/>
        <v>-24.392440900292911</v>
      </c>
      <c r="AO70" s="40">
        <f t="shared" si="1457"/>
        <v>-18.778228875674152</v>
      </c>
      <c r="AP70" s="40">
        <f t="shared" si="1458"/>
        <v>-18.949106769062141</v>
      </c>
      <c r="AQ70" s="40">
        <f t="shared" si="1459"/>
        <v>-21.957140842530087</v>
      </c>
      <c r="AR70" s="37"/>
      <c r="AS70" s="40">
        <f t="shared" si="1403"/>
        <v>-9.9999946542084217E-2</v>
      </c>
      <c r="AT70" s="40">
        <f t="shared" si="1404"/>
        <v>-14.199999859556556</v>
      </c>
      <c r="AU70" s="40">
        <f t="shared" si="1405"/>
        <v>0.10000000000331966</v>
      </c>
      <c r="AV70" s="40">
        <f t="shared" si="1406"/>
        <v>1.500000013038516</v>
      </c>
      <c r="AW70" s="40">
        <f t="shared" si="1407"/>
        <v>-11.69999991543591</v>
      </c>
      <c r="AX70" s="40">
        <f t="shared" si="1408"/>
        <v>-0.79999999999813554</v>
      </c>
      <c r="AY70" s="40">
        <f t="shared" si="1409"/>
        <v>-0.40000001899898052</v>
      </c>
      <c r="AZ70" s="40">
        <f t="shared" si="1410"/>
        <v>-13.499999884516001</v>
      </c>
      <c r="BA70" s="40">
        <f t="shared" si="1411"/>
        <v>-1.4999999999929514</v>
      </c>
      <c r="BB70" s="40">
        <f t="shared" si="1412"/>
        <v>-6.0999999986961484</v>
      </c>
      <c r="BC70" s="40">
        <f t="shared" si="1413"/>
        <v>0</v>
      </c>
      <c r="BD70" s="40">
        <f t="shared" si="1414"/>
        <v>-22.400000000004638</v>
      </c>
      <c r="BE70" s="40">
        <f t="shared" si="1415"/>
        <v>-6.0000000521540642</v>
      </c>
      <c r="BF70" s="40">
        <f t="shared" si="1416"/>
        <v>4.5999998692423105</v>
      </c>
      <c r="BG70" s="40">
        <f t="shared" si="1417"/>
        <v>-8.7999999999937017</v>
      </c>
      <c r="BH70" s="40">
        <f t="shared" si="1418"/>
        <v>-7.1000000461935997</v>
      </c>
      <c r="BI70" s="40">
        <f t="shared" si="1419"/>
        <v>5.2000000141561031</v>
      </c>
      <c r="BJ70" s="40">
        <f t="shared" si="1420"/>
        <v>-0.10000000000331966</v>
      </c>
      <c r="BK70" s="40">
        <f t="shared" si="1421"/>
        <v>-8.9999999618157744</v>
      </c>
      <c r="BL70" s="40">
        <f t="shared" si="1422"/>
        <v>5.8999999891966581</v>
      </c>
      <c r="BM70" s="40">
        <f t="shared" si="1423"/>
        <v>2.6000000000010459</v>
      </c>
      <c r="BN70" s="37"/>
      <c r="BO70" s="36">
        <v>169.369</v>
      </c>
      <c r="BP70" s="36">
        <v>-3.7610000000000001</v>
      </c>
      <c r="BQ70" s="36">
        <v>-1.1607000000000001</v>
      </c>
      <c r="BR70" s="36">
        <v>169.20830000000001</v>
      </c>
      <c r="BS70" s="36">
        <v>-4.2005999999999997</v>
      </c>
      <c r="BT70" s="36">
        <v>0.82669999999999999</v>
      </c>
      <c r="BU70" s="38">
        <v>169.18539999999999</v>
      </c>
      <c r="BV70" s="39">
        <v>-3.2286999999999999</v>
      </c>
      <c r="BW70" s="39">
        <v>2.9679000000000002</v>
      </c>
      <c r="BX70" s="38">
        <v>168.9581</v>
      </c>
      <c r="BY70" s="39">
        <v>0.2167</v>
      </c>
      <c r="BZ70" s="39">
        <v>4.3305999999999996</v>
      </c>
      <c r="CA70" s="38">
        <v>169.1977</v>
      </c>
      <c r="CB70" s="39">
        <v>3.2040999999999999</v>
      </c>
      <c r="CC70" s="39">
        <v>2.9746999999999999</v>
      </c>
      <c r="CD70" s="38">
        <v>169.1891</v>
      </c>
      <c r="CE70" s="39">
        <v>4.1928000000000001</v>
      </c>
      <c r="CF70" s="39">
        <v>0.83350000000000002</v>
      </c>
      <c r="CG70" s="38">
        <v>169.25309999999999</v>
      </c>
      <c r="CH70" s="39">
        <v>3.8637999999999999</v>
      </c>
      <c r="CI70" s="39">
        <v>-1.0852999999999999</v>
      </c>
      <c r="CJ70" s="37"/>
      <c r="CK70" s="40">
        <f t="shared" si="1424"/>
        <v>-6.0556221909564556</v>
      </c>
      <c r="CL70" s="40">
        <f t="shared" si="1425"/>
        <v>12.85224212705538</v>
      </c>
      <c r="CM70" s="40">
        <f t="shared" si="1426"/>
        <v>0.17055622192274633</v>
      </c>
      <c r="CN70" s="40">
        <f t="shared" si="1427"/>
        <v>-3.5902291373588469</v>
      </c>
      <c r="CO70" s="40">
        <f t="shared" si="1428"/>
        <v>11.259153585885251</v>
      </c>
      <c r="CP70" s="40">
        <f t="shared" si="1429"/>
        <v>-0.76109770862120563</v>
      </c>
      <c r="CQ70" s="40">
        <f t="shared" si="1430"/>
        <v>-6.0552418708823552</v>
      </c>
      <c r="CR70" s="40">
        <f t="shared" si="1431"/>
        <v>12.100086716097191</v>
      </c>
      <c r="CS70" s="40">
        <f t="shared" si="1432"/>
        <v>-1.4654475812818646</v>
      </c>
      <c r="CT70" s="40">
        <f t="shared" si="1433"/>
        <v>-5.5138646198429342</v>
      </c>
      <c r="CU70" s="40">
        <f t="shared" si="1434"/>
        <v>-2.5351047495592862</v>
      </c>
      <c r="CV70" s="40">
        <f t="shared" si="1435"/>
        <v>-22.343861353808059</v>
      </c>
      <c r="CW70" s="40">
        <f t="shared" si="1436"/>
        <v>-3.4943418723685227</v>
      </c>
      <c r="CX70" s="40">
        <f t="shared" si="1437"/>
        <v>-6.6805659486628421</v>
      </c>
      <c r="CY70" s="40">
        <f t="shared" si="1438"/>
        <v>-8.7680565812733313</v>
      </c>
      <c r="CZ70" s="40">
        <f t="shared" si="1439"/>
        <v>-4.2480277355139151</v>
      </c>
      <c r="DA70" s="40">
        <f t="shared" si="1440"/>
        <v>-7.709804429993028</v>
      </c>
      <c r="DB70" s="40">
        <f t="shared" si="1441"/>
        <v>-4.6519722645466111E-2</v>
      </c>
      <c r="DC70" s="40">
        <f t="shared" si="1442"/>
        <v>-5.620274727988317</v>
      </c>
      <c r="DD70" s="40">
        <f t="shared" si="1443"/>
        <v>-9.1439951692522392</v>
      </c>
      <c r="DE70" s="40">
        <f t="shared" si="1444"/>
        <v>2.6072027472745507</v>
      </c>
    </row>
    <row r="71" spans="1:109" ht="29.25" customHeight="1" x14ac:dyDescent="0.2">
      <c r="A71" s="34">
        <v>43850</v>
      </c>
      <c r="B71" s="27">
        <f t="shared" si="1393"/>
        <v>251</v>
      </c>
      <c r="C71" s="35">
        <v>222.9</v>
      </c>
      <c r="D71" s="35">
        <f t="shared" si="0"/>
        <v>53.700000000000017</v>
      </c>
      <c r="E71" s="36">
        <v>823219.58299999998</v>
      </c>
      <c r="F71" s="36">
        <v>1091508.594</v>
      </c>
      <c r="G71" s="36">
        <v>-125.00960000000001</v>
      </c>
      <c r="H71" s="36">
        <v>823219.25159999996</v>
      </c>
      <c r="I71" s="36">
        <v>1091508.9243999999</v>
      </c>
      <c r="J71" s="36">
        <v>-123.0241</v>
      </c>
      <c r="K71" s="36">
        <v>823219.64170000004</v>
      </c>
      <c r="L71" s="36">
        <v>1091508.0342999999</v>
      </c>
      <c r="M71" s="36">
        <v>-120.88379999999999</v>
      </c>
      <c r="N71" s="36">
        <v>823220.89179999998</v>
      </c>
      <c r="O71" s="36">
        <v>1091504.8156999999</v>
      </c>
      <c r="P71" s="36">
        <v>-119.52290000000001</v>
      </c>
      <c r="Q71" s="36">
        <v>823222.37170000002</v>
      </c>
      <c r="R71" s="36">
        <v>1091502.2095000001</v>
      </c>
      <c r="S71" s="36">
        <v>-120.8762</v>
      </c>
      <c r="T71" s="36">
        <v>823222.7818</v>
      </c>
      <c r="U71" s="36">
        <v>1091501.3097999999</v>
      </c>
      <c r="V71" s="36">
        <v>-123.01739999999999</v>
      </c>
      <c r="W71" s="36">
        <v>823222.70059999998</v>
      </c>
      <c r="X71" s="36">
        <v>1091501.6351000001</v>
      </c>
      <c r="Y71" s="36">
        <v>-124.9354</v>
      </c>
      <c r="Z71" s="36">
        <f t="shared" si="1445"/>
        <v>6.7891372957775413</v>
      </c>
      <c r="AA71" s="36">
        <f t="shared" si="2"/>
        <v>5.6418147053880716</v>
      </c>
      <c r="AB71" s="36">
        <f t="shared" si="1446"/>
        <v>3.7113588859079356</v>
      </c>
      <c r="AC71" s="36">
        <f t="shared" si="1447"/>
        <v>3.28843478559169</v>
      </c>
      <c r="AD71" s="36">
        <f t="shared" si="5"/>
        <v>5.2985814195855268</v>
      </c>
      <c r="AE71" s="36">
        <f t="shared" si="1448"/>
        <v>6.5332327410725188</v>
      </c>
      <c r="AF71" s="36">
        <f t="shared" si="1449"/>
        <v>6.4328261905548922</v>
      </c>
      <c r="AG71" s="36">
        <f t="shared" si="8"/>
        <v>8.3931215938906281</v>
      </c>
      <c r="AH71" s="36">
        <f t="shared" si="1450"/>
        <v>7.6256950246879498</v>
      </c>
      <c r="AI71" s="40">
        <f t="shared" si="1451"/>
        <v>-27.814000048149268</v>
      </c>
      <c r="AJ71" s="40">
        <f t="shared" si="1452"/>
        <v>-24.556839033581745</v>
      </c>
      <c r="AK71" s="40">
        <f t="shared" si="1453"/>
        <v>-21.166386527397663</v>
      </c>
      <c r="AL71" s="40">
        <f t="shared" si="1454"/>
        <v>-9.2539716430768415</v>
      </c>
      <c r="AM71" s="40">
        <f t="shared" si="1455"/>
        <v>-18.684647672900567</v>
      </c>
      <c r="AN71" s="40">
        <f t="shared" si="1456"/>
        <v>-24.772508942069393</v>
      </c>
      <c r="AO71" s="40">
        <f t="shared" si="1457"/>
        <v>-18.777440164154946</v>
      </c>
      <c r="AP71" s="40">
        <f t="shared" si="1458"/>
        <v>-19.269868055360462</v>
      </c>
      <c r="AQ71" s="40">
        <f t="shared" si="1459"/>
        <v>-22.323140026272448</v>
      </c>
      <c r="AR71" s="37"/>
      <c r="AS71" s="40">
        <f t="shared" si="1403"/>
        <v>0.20000000949949026</v>
      </c>
      <c r="AT71" s="40">
        <f t="shared" si="1404"/>
        <v>-13.899999903514981</v>
      </c>
      <c r="AU71" s="40">
        <f t="shared" si="1405"/>
        <v>0.39999999999906777</v>
      </c>
      <c r="AV71" s="40">
        <f t="shared" si="1406"/>
        <v>1.7999999690800905</v>
      </c>
      <c r="AW71" s="40">
        <f t="shared" si="1407"/>
        <v>-11.500000022351742</v>
      </c>
      <c r="AX71" s="40">
        <f t="shared" si="1408"/>
        <v>-0.79999999999813554</v>
      </c>
      <c r="AY71" s="40">
        <f t="shared" si="1409"/>
        <v>0</v>
      </c>
      <c r="AZ71" s="40">
        <f t="shared" si="1410"/>
        <v>-12.899999972432852</v>
      </c>
      <c r="BA71" s="40">
        <f t="shared" si="1411"/>
        <v>-2.1999999999877673</v>
      </c>
      <c r="BB71" s="40">
        <f t="shared" si="1412"/>
        <v>-5.8000000426545739</v>
      </c>
      <c r="BC71" s="40">
        <f t="shared" si="1413"/>
        <v>0.59999991208314896</v>
      </c>
      <c r="BD71" s="40">
        <f t="shared" si="1414"/>
        <v>-22.600000000011278</v>
      </c>
      <c r="BE71" s="40">
        <f t="shared" si="1415"/>
        <v>-5.6000000331550837</v>
      </c>
      <c r="BF71" s="40">
        <f t="shared" si="1416"/>
        <v>5.2000000141561031</v>
      </c>
      <c r="BG71" s="40">
        <f t="shared" si="1417"/>
        <v>-8.7999999999937017</v>
      </c>
      <c r="BH71" s="40">
        <f t="shared" si="1418"/>
        <v>-6.7000000271946192</v>
      </c>
      <c r="BI71" s="40">
        <f t="shared" si="1419"/>
        <v>5.7999999262392521</v>
      </c>
      <c r="BJ71" s="40">
        <f t="shared" si="1420"/>
        <v>0</v>
      </c>
      <c r="BK71" s="40">
        <f t="shared" si="1421"/>
        <v>-8.7000000057742</v>
      </c>
      <c r="BL71" s="40">
        <f t="shared" si="1422"/>
        <v>6.5999999642372131</v>
      </c>
      <c r="BM71" s="40">
        <f t="shared" si="1423"/>
        <v>2.7999999999934744</v>
      </c>
      <c r="BN71" s="37"/>
      <c r="BO71" s="36">
        <v>169.36940000000001</v>
      </c>
      <c r="BP71" s="36">
        <v>-3.7612000000000001</v>
      </c>
      <c r="BQ71" s="36">
        <v>-1.1604000000000001</v>
      </c>
      <c r="BR71" s="36">
        <v>169.20869999999999</v>
      </c>
      <c r="BS71" s="36">
        <v>-4.2007000000000003</v>
      </c>
      <c r="BT71" s="36">
        <v>0.82669999999999999</v>
      </c>
      <c r="BU71" s="38">
        <v>169.18600000000001</v>
      </c>
      <c r="BV71" s="39">
        <v>-3.2290999999999999</v>
      </c>
      <c r="BW71" s="39">
        <v>2.9672000000000001</v>
      </c>
      <c r="BX71" s="38">
        <v>168.95859999999999</v>
      </c>
      <c r="BY71" s="39">
        <v>0.2162</v>
      </c>
      <c r="BZ71" s="39">
        <v>4.3304</v>
      </c>
      <c r="CA71" s="38">
        <v>169.19829999999999</v>
      </c>
      <c r="CB71" s="39">
        <v>3.2037</v>
      </c>
      <c r="CC71" s="39">
        <v>2.9746999999999999</v>
      </c>
      <c r="CD71" s="38">
        <v>169.18969999999999</v>
      </c>
      <c r="CE71" s="39">
        <v>4.1924000000000001</v>
      </c>
      <c r="CF71" s="39">
        <v>0.83360000000000001</v>
      </c>
      <c r="CG71" s="38">
        <v>169.25360000000001</v>
      </c>
      <c r="CH71" s="39">
        <v>3.8633000000000002</v>
      </c>
      <c r="CI71" s="39">
        <v>-1.0851</v>
      </c>
      <c r="CJ71" s="37"/>
      <c r="CK71" s="40">
        <f t="shared" si="1424"/>
        <v>-5.655622190943177</v>
      </c>
      <c r="CL71" s="40">
        <f t="shared" si="1425"/>
        <v>12.652242127055402</v>
      </c>
      <c r="CM71" s="40">
        <f t="shared" si="1426"/>
        <v>0.47055622192271329</v>
      </c>
      <c r="CN71" s="40">
        <f t="shared" si="1427"/>
        <v>-3.1902291373739899</v>
      </c>
      <c r="CO71" s="40">
        <f t="shared" si="1428"/>
        <v>11.159153585884596</v>
      </c>
      <c r="CP71" s="40">
        <f t="shared" si="1429"/>
        <v>-0.76109770862120563</v>
      </c>
      <c r="CQ71" s="40">
        <f t="shared" si="1430"/>
        <v>-5.4552418708624373</v>
      </c>
      <c r="CR71" s="40">
        <f t="shared" si="1431"/>
        <v>11.700086716097235</v>
      </c>
      <c r="CS71" s="40">
        <f t="shared" si="1432"/>
        <v>-2.1654475812820095</v>
      </c>
      <c r="CT71" s="40">
        <f t="shared" si="1433"/>
        <v>-5.0138646198547576</v>
      </c>
      <c r="CU71" s="40">
        <f t="shared" si="1434"/>
        <v>-3.0351047495592862</v>
      </c>
      <c r="CV71" s="40">
        <f t="shared" si="1435"/>
        <v>-22.543861353807593</v>
      </c>
      <c r="CW71" s="40">
        <f t="shared" si="1436"/>
        <v>-2.8943418723770264</v>
      </c>
      <c r="CX71" s="40">
        <f t="shared" si="1437"/>
        <v>-7.0805659486627981</v>
      </c>
      <c r="CY71" s="40">
        <f t="shared" si="1438"/>
        <v>-8.7680565812733313</v>
      </c>
      <c r="CZ71" s="40">
        <f t="shared" si="1439"/>
        <v>-3.6480277355224189</v>
      </c>
      <c r="DA71" s="40">
        <f t="shared" si="1440"/>
        <v>-8.1098044299929839</v>
      </c>
      <c r="DB71" s="40">
        <f t="shared" si="1441"/>
        <v>5.3480277354522876E-2</v>
      </c>
      <c r="DC71" s="40">
        <f t="shared" si="1442"/>
        <v>-5.1202747279717187</v>
      </c>
      <c r="DD71" s="40">
        <f t="shared" si="1443"/>
        <v>-9.6439951692519621</v>
      </c>
      <c r="DE71" s="40">
        <f t="shared" si="1444"/>
        <v>2.8072027472745287</v>
      </c>
    </row>
    <row r="72" spans="1:109" ht="29.25" customHeight="1" x14ac:dyDescent="0.2">
      <c r="A72" s="34">
        <v>43857</v>
      </c>
      <c r="B72" s="27">
        <f t="shared" si="1393"/>
        <v>258</v>
      </c>
      <c r="C72" s="35">
        <v>222.9</v>
      </c>
      <c r="D72" s="35">
        <f t="shared" si="0"/>
        <v>53.700000000000017</v>
      </c>
      <c r="E72" s="36">
        <v>823219.58330000006</v>
      </c>
      <c r="F72" s="36">
        <v>1091508.5937999999</v>
      </c>
      <c r="G72" s="36">
        <v>-125.0098</v>
      </c>
      <c r="H72" s="36">
        <v>823219.25179999997</v>
      </c>
      <c r="I72" s="36">
        <v>1091508.9242</v>
      </c>
      <c r="J72" s="36">
        <v>-123.02419999999999</v>
      </c>
      <c r="K72" s="36">
        <v>823219.64170000004</v>
      </c>
      <c r="L72" s="36">
        <v>1091508.0342999999</v>
      </c>
      <c r="M72" s="36">
        <v>-120.8844</v>
      </c>
      <c r="N72" s="36">
        <v>823220.89170000004</v>
      </c>
      <c r="O72" s="36">
        <v>1091504.8156999999</v>
      </c>
      <c r="P72" s="36">
        <v>-119.5235</v>
      </c>
      <c r="Q72" s="36">
        <v>823222.37190000003</v>
      </c>
      <c r="R72" s="36">
        <v>1091502.2095999999</v>
      </c>
      <c r="S72" s="36">
        <v>-120.8766</v>
      </c>
      <c r="T72" s="36" t="s">
        <v>80</v>
      </c>
      <c r="U72" s="36" t="s">
        <v>80</v>
      </c>
      <c r="V72" s="36" t="s">
        <v>80</v>
      </c>
      <c r="W72" s="36">
        <v>823222.70070000004</v>
      </c>
      <c r="X72" s="36">
        <v>1091501.6351000001</v>
      </c>
      <c r="Y72" s="36">
        <v>-124.93559999999999</v>
      </c>
      <c r="Z72" s="36">
        <f t="shared" si="1445"/>
        <v>6.7886256237854505</v>
      </c>
      <c r="AA72" s="36">
        <f t="shared" si="2"/>
        <v>5.6412715544419392</v>
      </c>
      <c r="AB72" s="36">
        <f t="shared" si="1446"/>
        <v>3.711325204039857</v>
      </c>
      <c r="AC72" s="36">
        <f t="shared" si="1447"/>
        <v>3.2884082562608952</v>
      </c>
      <c r="AD72" s="36"/>
      <c r="AE72" s="36">
        <f t="shared" si="1448"/>
        <v>6.5329567401794666</v>
      </c>
      <c r="AF72" s="36">
        <f t="shared" si="1449"/>
        <v>6.4328207630805156</v>
      </c>
      <c r="AG72" s="36"/>
      <c r="AH72" s="36">
        <f t="shared" si="1450"/>
        <v>7.6254307476849412</v>
      </c>
      <c r="AI72" s="40">
        <f t="shared" ref="AI72:AI75" si="1467">IF(Z72="","",(Z72-Z$10)*1000)</f>
        <v>-28.325672040240057</v>
      </c>
      <c r="AJ72" s="40">
        <f t="shared" ref="AJ72:AJ75" si="1468">IF(AA72="","",(AA72-AA$10)*1000)</f>
        <v>-25.099989979714188</v>
      </c>
      <c r="AK72" s="40">
        <f t="shared" ref="AK72:AK75" si="1469">IF(AB72="","",(AB72-AB$10)*1000)</f>
        <v>-21.200068395476279</v>
      </c>
      <c r="AL72" s="40">
        <f t="shared" ref="AL72:AM75" si="1470">IF(AC72="","",(AC72-AC$10)*1000)</f>
        <v>-9.2805009738716748</v>
      </c>
      <c r="AM72" s="40"/>
      <c r="AN72" s="40">
        <f t="shared" ref="AN72:AN75" si="1471">IF(AE72="","",(AE72-AE$10)*1000)</f>
        <v>-25.048509835121635</v>
      </c>
      <c r="AO72" s="40">
        <f t="shared" ref="AO72:AP75" si="1472">IF(AF72="","",(AF72-AF$10)*1000)</f>
        <v>-18.782867638531542</v>
      </c>
      <c r="AP72" s="40"/>
      <c r="AQ72" s="40">
        <f t="shared" ref="AQ72:AQ75" si="1473">IF(AH72="","",(AH72-AH$10)*1000)</f>
        <v>-22.587417029281021</v>
      </c>
      <c r="AR72" s="37"/>
      <c r="AS72" s="40">
        <f t="shared" si="1403"/>
        <v>0.50000008195638657</v>
      </c>
      <c r="AT72" s="40">
        <f t="shared" si="1404"/>
        <v>-14.100000029429793</v>
      </c>
      <c r="AU72" s="40">
        <f t="shared" si="1405"/>
        <v>0.20000000000663931</v>
      </c>
      <c r="AV72" s="40">
        <f t="shared" si="1406"/>
        <v>1.9999999785795808</v>
      </c>
      <c r="AW72" s="40">
        <f t="shared" si="1407"/>
        <v>-11.69999991543591</v>
      </c>
      <c r="AX72" s="40">
        <f t="shared" si="1408"/>
        <v>-0.89999999998724434</v>
      </c>
      <c r="AY72" s="40">
        <f t="shared" si="1409"/>
        <v>0</v>
      </c>
      <c r="AZ72" s="40">
        <f t="shared" si="1410"/>
        <v>-12.899999972432852</v>
      </c>
      <c r="BA72" s="40">
        <f t="shared" si="1411"/>
        <v>-2.7999999999934744</v>
      </c>
      <c r="BB72" s="40">
        <f t="shared" si="1412"/>
        <v>-5.8999999891966581</v>
      </c>
      <c r="BC72" s="40">
        <f t="shared" si="1413"/>
        <v>0.59999991208314896</v>
      </c>
      <c r="BD72" s="40">
        <f t="shared" si="1414"/>
        <v>-23.200000000002774</v>
      </c>
      <c r="BE72" s="40">
        <f t="shared" si="1415"/>
        <v>-5.4000000236555934</v>
      </c>
      <c r="BF72" s="40">
        <f t="shared" si="1416"/>
        <v>5.2999998442828655</v>
      </c>
      <c r="BG72" s="40">
        <f t="shared" si="1417"/>
        <v>-9.1999999999927695</v>
      </c>
      <c r="BH72" s="40"/>
      <c r="BI72" s="40"/>
      <c r="BJ72" s="40"/>
      <c r="BK72" s="40">
        <f t="shared" si="1421"/>
        <v>-8.5999999428167939</v>
      </c>
      <c r="BL72" s="40">
        <f t="shared" si="1422"/>
        <v>6.5999999642372131</v>
      </c>
      <c r="BM72" s="40">
        <f t="shared" si="1423"/>
        <v>2.6000000000010459</v>
      </c>
      <c r="BN72" s="37"/>
      <c r="BO72" s="36">
        <v>169.36949999999999</v>
      </c>
      <c r="BP72" s="36">
        <v>-3.7608999999999999</v>
      </c>
      <c r="BQ72" s="36">
        <v>-1.1606000000000001</v>
      </c>
      <c r="BR72" s="36">
        <v>169.2088</v>
      </c>
      <c r="BS72" s="36">
        <v>-4.2004000000000001</v>
      </c>
      <c r="BT72" s="36">
        <v>0.8266</v>
      </c>
      <c r="BU72" s="38">
        <v>169.18600000000001</v>
      </c>
      <c r="BV72" s="39">
        <v>-3.2290999999999999</v>
      </c>
      <c r="BW72" s="39">
        <v>2.9666000000000001</v>
      </c>
      <c r="BX72" s="38">
        <v>168.95849999999999</v>
      </c>
      <c r="BY72" s="39">
        <v>0.2162</v>
      </c>
      <c r="BZ72" s="39">
        <v>4.3297999999999996</v>
      </c>
      <c r="CA72" s="38">
        <v>169.1985</v>
      </c>
      <c r="CB72" s="39">
        <v>3.2037</v>
      </c>
      <c r="CC72" s="39">
        <v>2.9742999999999999</v>
      </c>
      <c r="CD72" s="38" t="s">
        <v>80</v>
      </c>
      <c r="CE72" s="39" t="s">
        <v>80</v>
      </c>
      <c r="CF72" s="39" t="s">
        <v>80</v>
      </c>
      <c r="CG72" s="38">
        <v>169.25370000000001</v>
      </c>
      <c r="CH72" s="39">
        <v>3.8633000000000002</v>
      </c>
      <c r="CI72" s="39">
        <v>-1.0852999999999999</v>
      </c>
      <c r="CJ72" s="37"/>
      <c r="CK72" s="40">
        <f t="shared" si="1424"/>
        <v>-5.555622190968279</v>
      </c>
      <c r="CL72" s="40">
        <f t="shared" si="1425"/>
        <v>12.952242127055591</v>
      </c>
      <c r="CM72" s="40">
        <f t="shared" si="1426"/>
        <v>0.27055622192273532</v>
      </c>
      <c r="CN72" s="40">
        <f t="shared" si="1427"/>
        <v>-3.0902291373706703</v>
      </c>
      <c r="CO72" s="40">
        <f t="shared" si="1428"/>
        <v>11.459153585884785</v>
      </c>
      <c r="CP72" s="40">
        <f t="shared" si="1429"/>
        <v>-0.86109770862119461</v>
      </c>
      <c r="CQ72" s="40">
        <f t="shared" si="1430"/>
        <v>-5.4552418708624373</v>
      </c>
      <c r="CR72" s="40">
        <f t="shared" si="1431"/>
        <v>11.700086716097235</v>
      </c>
      <c r="CS72" s="40">
        <f t="shared" si="1432"/>
        <v>-2.7654475812819435</v>
      </c>
      <c r="CT72" s="40">
        <f t="shared" si="1433"/>
        <v>-5.1138646198580773</v>
      </c>
      <c r="CU72" s="40">
        <f t="shared" si="1434"/>
        <v>-3.0351047495592862</v>
      </c>
      <c r="CV72" s="40">
        <f t="shared" si="1435"/>
        <v>-23.143861353807971</v>
      </c>
      <c r="CW72" s="40">
        <f t="shared" si="1436"/>
        <v>-2.6943418723703871</v>
      </c>
      <c r="CX72" s="40">
        <f t="shared" si="1437"/>
        <v>-7.0805659486627981</v>
      </c>
      <c r="CY72" s="40">
        <f t="shared" si="1438"/>
        <v>-9.1680565812732873</v>
      </c>
      <c r="CZ72" s="40"/>
      <c r="DA72" s="40"/>
      <c r="DB72" s="40"/>
      <c r="DC72" s="40">
        <f t="shared" si="1442"/>
        <v>-5.020274727968399</v>
      </c>
      <c r="DD72" s="40">
        <f t="shared" si="1443"/>
        <v>-9.6439951692519621</v>
      </c>
      <c r="DE72" s="40">
        <f t="shared" si="1444"/>
        <v>2.6072027472745507</v>
      </c>
    </row>
    <row r="73" spans="1:109" ht="29.25" customHeight="1" x14ac:dyDescent="0.2">
      <c r="A73" s="34">
        <v>43865</v>
      </c>
      <c r="B73" s="27">
        <f t="shared" ref="B73" si="1474">IF(A73="","",A73-excav)</f>
        <v>266</v>
      </c>
      <c r="C73" s="35">
        <v>222.9</v>
      </c>
      <c r="D73" s="35">
        <f t="shared" si="0"/>
        <v>53.700000000000017</v>
      </c>
      <c r="E73" s="36">
        <v>823219.58310000005</v>
      </c>
      <c r="F73" s="36">
        <v>1091508.5939</v>
      </c>
      <c r="G73" s="36">
        <v>-125.0103</v>
      </c>
      <c r="H73" s="36">
        <v>823219.25170000002</v>
      </c>
      <c r="I73" s="36">
        <v>1091508.9243000001</v>
      </c>
      <c r="J73" s="36">
        <v>-123.0249</v>
      </c>
      <c r="K73" s="137" t="s">
        <v>85</v>
      </c>
      <c r="L73" s="138"/>
      <c r="M73" s="139"/>
      <c r="N73" s="36">
        <v>823220.89179999998</v>
      </c>
      <c r="O73" s="36">
        <v>1091504.8160000001</v>
      </c>
      <c r="P73" s="36">
        <v>-119.5244</v>
      </c>
      <c r="Q73" s="36">
        <v>823222.37199999997</v>
      </c>
      <c r="R73" s="36">
        <v>1091502.21</v>
      </c>
      <c r="S73" s="36">
        <v>-120.87730000000001</v>
      </c>
      <c r="T73" s="36">
        <v>823222.78220000002</v>
      </c>
      <c r="U73" s="36">
        <v>1091501.3103</v>
      </c>
      <c r="V73" s="36">
        <v>-123.01819999999999</v>
      </c>
      <c r="W73" s="137" t="s">
        <v>85</v>
      </c>
      <c r="X73" s="138"/>
      <c r="Y73" s="139"/>
      <c r="Z73" s="36">
        <f t="shared" ref="Z73" si="1475">IF(Xhaut="","",SQRT(((Xbasgauche-Xhaut)^2+(Ybasgauche-Yhaut)^2)+(Zbasgauche-Zhaut)^2))</f>
        <v>6.7882488838322619</v>
      </c>
      <c r="AA73" s="36">
        <f t="shared" ref="AA73" si="1476">IF(Xhaut="","",SQRT(((Xintergauche-Xhaut)^2+(Yintergauche-Yhaut)^2)+(Zintergauche-Zhaut)^2))</f>
        <v>5.6410599313932588</v>
      </c>
      <c r="AB73" s="36"/>
      <c r="AC73" s="36">
        <f t="shared" ref="AC73" si="1477">IF(Xhaut="","",SQRT(((Xhautdroit-Xhaut)^2+(Yhautdroit-Yhaut)^2)+(Zhautdroit-Zhaut)^2))</f>
        <v>3.2882467137868816</v>
      </c>
      <c r="AD73" s="36"/>
      <c r="AE73" s="36"/>
      <c r="AF73" s="36"/>
      <c r="AG73" s="36"/>
      <c r="AH73" s="36"/>
      <c r="AI73" s="40">
        <f t="shared" si="1467"/>
        <v>-28.702411993428711</v>
      </c>
      <c r="AJ73" s="40">
        <f t="shared" si="1468"/>
        <v>-25.311613028394575</v>
      </c>
      <c r="AK73" s="40" t="str">
        <f t="shared" si="1469"/>
        <v/>
      </c>
      <c r="AL73" s="40">
        <f t="shared" si="1470"/>
        <v>-9.44204344788524</v>
      </c>
      <c r="AM73" s="40" t="str">
        <f t="shared" si="1470"/>
        <v/>
      </c>
      <c r="AN73" s="40" t="str">
        <f t="shared" si="1471"/>
        <v/>
      </c>
      <c r="AO73" s="40" t="str">
        <f t="shared" si="1472"/>
        <v/>
      </c>
      <c r="AP73" s="40" t="str">
        <f t="shared" si="1472"/>
        <v/>
      </c>
      <c r="AQ73" s="40" t="str">
        <f t="shared" si="1473"/>
        <v/>
      </c>
      <c r="AR73" s="37"/>
      <c r="AS73" s="40">
        <f t="shared" si="1403"/>
        <v>0.30000007245689631</v>
      </c>
      <c r="AT73" s="40">
        <f t="shared" si="1404"/>
        <v>-13.999999966472387</v>
      </c>
      <c r="AU73" s="40">
        <f t="shared" si="1405"/>
        <v>-0.29999999999574811</v>
      </c>
      <c r="AV73" s="40">
        <f t="shared" si="1406"/>
        <v>1.9000000320374966</v>
      </c>
      <c r="AW73" s="40">
        <f t="shared" si="1407"/>
        <v>-11.599999852478504</v>
      </c>
      <c r="AX73" s="40">
        <f t="shared" si="1408"/>
        <v>-1.5999999999962711</v>
      </c>
      <c r="AY73" s="40"/>
      <c r="AZ73" s="40"/>
      <c r="BA73" s="40"/>
      <c r="BB73" s="40">
        <f t="shared" si="1412"/>
        <v>-5.8000000426545739</v>
      </c>
      <c r="BC73" s="40">
        <f t="shared" si="1413"/>
        <v>0.90000010095536709</v>
      </c>
      <c r="BD73" s="40">
        <f t="shared" si="1414"/>
        <v>-24.100000000004229</v>
      </c>
      <c r="BE73" s="40">
        <f t="shared" si="1415"/>
        <v>-5.3000000771135092</v>
      </c>
      <c r="BF73" s="40">
        <f t="shared" si="1416"/>
        <v>5.699999863281846</v>
      </c>
      <c r="BG73" s="40">
        <f t="shared" si="1417"/>
        <v>-9.9000000000017963</v>
      </c>
      <c r="BH73" s="40"/>
      <c r="BI73" s="40"/>
      <c r="BJ73" s="40"/>
      <c r="BK73" s="40"/>
      <c r="BL73" s="40" t="str">
        <f t="shared" si="1422"/>
        <v/>
      </c>
      <c r="BM73" s="40" t="str">
        <f t="shared" si="1423"/>
        <v/>
      </c>
      <c r="BN73" s="37"/>
      <c r="BO73" s="36">
        <v>169.36940000000001</v>
      </c>
      <c r="BP73" s="36">
        <v>-3.7610000000000001</v>
      </c>
      <c r="BQ73" s="36">
        <v>-1.1611</v>
      </c>
      <c r="BR73" s="36">
        <v>169.20869999999999</v>
      </c>
      <c r="BS73" s="36">
        <v>-4.2004999999999999</v>
      </c>
      <c r="BT73" s="36">
        <v>0.82589999999999997</v>
      </c>
      <c r="BU73" s="38" t="s">
        <v>80</v>
      </c>
      <c r="BV73" s="39" t="s">
        <v>80</v>
      </c>
      <c r="BW73" s="39" t="s">
        <v>80</v>
      </c>
      <c r="BX73" s="38">
        <v>168.95869999999999</v>
      </c>
      <c r="BY73" s="39">
        <v>0.216</v>
      </c>
      <c r="BZ73" s="39">
        <v>4.3289</v>
      </c>
      <c r="CA73" s="38">
        <v>169.19880000000001</v>
      </c>
      <c r="CB73" s="39">
        <v>3.2033999999999998</v>
      </c>
      <c r="CC73" s="39">
        <v>2.9735999999999998</v>
      </c>
      <c r="CD73" s="38">
        <v>169.19030000000001</v>
      </c>
      <c r="CE73" s="39">
        <v>4.1920999999999999</v>
      </c>
      <c r="CF73" s="39">
        <v>0.83279999999999998</v>
      </c>
      <c r="CG73" s="38"/>
      <c r="CH73" s="39"/>
      <c r="CI73" s="39"/>
      <c r="CJ73" s="37"/>
      <c r="CK73" s="40">
        <f t="shared" si="1424"/>
        <v>-5.655622190943177</v>
      </c>
      <c r="CL73" s="40">
        <f t="shared" si="1425"/>
        <v>12.85224212705538</v>
      </c>
      <c r="CM73" s="40">
        <f t="shared" si="1426"/>
        <v>-0.22944377807720961</v>
      </c>
      <c r="CN73" s="40">
        <f t="shared" si="1427"/>
        <v>-3.1902291373739899</v>
      </c>
      <c r="CO73" s="40">
        <f t="shared" si="1428"/>
        <v>11.359153585885018</v>
      </c>
      <c r="CP73" s="40">
        <f t="shared" si="1429"/>
        <v>-1.5610977086212285</v>
      </c>
      <c r="CQ73" s="40"/>
      <c r="CR73" s="40"/>
      <c r="CS73" s="40"/>
      <c r="CT73" s="40">
        <f t="shared" si="1433"/>
        <v>-4.913864619851438</v>
      </c>
      <c r="CU73" s="40">
        <f t="shared" si="1434"/>
        <v>-3.2351047495592922</v>
      </c>
      <c r="CV73" s="40">
        <f t="shared" si="1435"/>
        <v>-24.04386135380765</v>
      </c>
      <c r="CW73" s="40">
        <f t="shared" si="1436"/>
        <v>-2.3943418723604282</v>
      </c>
      <c r="CX73" s="40">
        <f t="shared" si="1437"/>
        <v>-7.3805659486629871</v>
      </c>
      <c r="CY73" s="40">
        <f t="shared" si="1438"/>
        <v>-9.8680565812734322</v>
      </c>
      <c r="CZ73" s="40">
        <f t="shared" si="1438"/>
        <v>-3.0480277355025009</v>
      </c>
      <c r="DA73" s="40">
        <f t="shared" si="1438"/>
        <v>-8.4098044299931729</v>
      </c>
      <c r="DB73" s="40">
        <f t="shared" si="1438"/>
        <v>-0.74651972264550004</v>
      </c>
      <c r="DC73" s="40" t="str">
        <f t="shared" si="1442"/>
        <v/>
      </c>
      <c r="DD73" s="40" t="str">
        <f t="shared" si="1443"/>
        <v/>
      </c>
      <c r="DE73" s="40" t="str">
        <f t="shared" si="1444"/>
        <v/>
      </c>
    </row>
    <row r="74" spans="1:109" ht="29.25" customHeight="1" x14ac:dyDescent="0.2">
      <c r="A74" s="34">
        <v>43867</v>
      </c>
      <c r="B74" s="27">
        <f t="shared" ref="B74:B75" si="1478">IF(A74="","",A74-excav)</f>
        <v>268</v>
      </c>
      <c r="C74" s="35">
        <v>222.9</v>
      </c>
      <c r="D74" s="35">
        <f t="shared" ref="D74:D90" si="1479">C74-PM</f>
        <v>53.700000000000017</v>
      </c>
      <c r="E74" s="36">
        <v>823219.58200000005</v>
      </c>
      <c r="F74" s="36">
        <v>1091508.594</v>
      </c>
      <c r="G74" s="36">
        <v>-125.0097</v>
      </c>
      <c r="H74" s="36">
        <v>823219.25069999998</v>
      </c>
      <c r="I74" s="36">
        <v>1091508.9243000001</v>
      </c>
      <c r="J74" s="36">
        <v>-123.0243</v>
      </c>
      <c r="K74" s="36">
        <v>823219.64080000005</v>
      </c>
      <c r="L74" s="36">
        <v>1091508.0345000001</v>
      </c>
      <c r="M74" s="36">
        <v>-120.88460000000001</v>
      </c>
      <c r="N74" s="36">
        <v>823220.89130000002</v>
      </c>
      <c r="O74" s="36">
        <v>1091504.8160999999</v>
      </c>
      <c r="P74" s="36">
        <v>-119.5234</v>
      </c>
      <c r="Q74" s="36">
        <v>823222.37170000002</v>
      </c>
      <c r="R74" s="36">
        <v>1091502.2098000001</v>
      </c>
      <c r="S74" s="36">
        <v>-120.8762</v>
      </c>
      <c r="T74" s="36">
        <v>823222.78209999995</v>
      </c>
      <c r="U74" s="36">
        <v>1091501.31</v>
      </c>
      <c r="V74" s="36">
        <v>-123.01730000000001</v>
      </c>
      <c r="W74" s="36">
        <v>823222.70090000005</v>
      </c>
      <c r="X74" s="36">
        <v>1091501.6351999999</v>
      </c>
      <c r="Y74" s="36">
        <v>-124.93559999999999</v>
      </c>
      <c r="Z74" s="36">
        <f t="shared" ref="Z74:Z75" si="1480">IF(Xhaut="","",SQRT(((Xbasgauche-Xhaut)^2+(Ybasgauche-Yhaut)^2)+(Zbasgauche-Zhaut)^2))</f>
        <v>6.7886878401266699</v>
      </c>
      <c r="AA74" s="36">
        <f t="shared" ref="AA74:AA75" si="1481">IF(Xhaut="","",SQRT(((Xintergauche-Xhaut)^2+(Yintergauche-Yhaut)^2)+(Zintergauche-Zhaut)^2))</f>
        <v>5.6413807185152063</v>
      </c>
      <c r="AB74" s="36">
        <f t="shared" ref="AB74" si="1482">IF(Xhaut="","",SQRT(((Xhautgauche-Xhaut)^2+(Yhautgauche-Yhaut)^2)+(Zhautgauche-Zhaut)^2))</f>
        <v>3.711430216337567</v>
      </c>
      <c r="AC74" s="36">
        <f t="shared" ref="AC74:AC75" si="1483">IF(Xhaut="","",SQRT(((Xhautdroit-Xhaut)^2+(Yhautdroit-Yhaut)^2)+(Zhautdroit-Zhaut)^2))</f>
        <v>3.2885333644826589</v>
      </c>
      <c r="AD74" s="36">
        <f t="shared" ref="AD74:AD75" si="1484">IF(Xhaut="","",SQRT(((Xinterdroit-Xhaut)^2+(Yinterdroit-Yhaut)^2)+(Zinterdroit-Zhaut)^2))</f>
        <v>5.2986035008227299</v>
      </c>
      <c r="AE74" s="36">
        <f t="shared" ref="AE74" si="1485">IF(Xhaut="","",SQRT(((Xbasdroit-Xhaut)^2+(Ybasdroit-Yhaut)^2)+(Zbasdroit-Zhaut)^2))</f>
        <v>6.5333518051885875</v>
      </c>
      <c r="AF74" s="36">
        <f t="shared" ref="AF74" si="1486">IF(Xhautdroit="","",SQRT(((Xhautdroit-Xhautgauche)^2+(Yhautdroit-Yhautgauche)^2)+(Zhautdroit-Zhautgauche)^2))</f>
        <v>6.4331186418239987</v>
      </c>
      <c r="AG74" s="36">
        <f t="shared" ref="AG74:AG75" si="1487">IF(Xinterdroit="","",SQRT(((Xinterdroit-Xintergauche)^2+(Yinterdroit-Yintergauche)^2)+(Zinterdroit-Zintergauche)^2))</f>
        <v>8.3933544813788874</v>
      </c>
      <c r="AH74" s="36">
        <f t="shared" ref="AH74" si="1488">IF(Xbasdroit="","",SQRT(((Xbasdroit-Xbasgauche)^2+(Ybasdroit-Ybasgauche)^2)+(Zbasdroit-Zbasgauche)^2))</f>
        <v>7.6261343721401111</v>
      </c>
      <c r="AI74" s="40">
        <f t="shared" si="1467"/>
        <v>-28.263455699020668</v>
      </c>
      <c r="AJ74" s="40">
        <f t="shared" si="1468"/>
        <v>-24.990825906447078</v>
      </c>
      <c r="AK74" s="40">
        <f t="shared" si="1469"/>
        <v>-21.095056097766296</v>
      </c>
      <c r="AL74" s="40">
        <f t="shared" si="1470"/>
        <v>-9.1553927521079714</v>
      </c>
      <c r="AM74" s="40">
        <f t="shared" si="1470"/>
        <v>-18.662566435697414</v>
      </c>
      <c r="AN74" s="40">
        <f t="shared" si="1471"/>
        <v>-24.653444826000737</v>
      </c>
      <c r="AO74" s="40">
        <f t="shared" si="1472"/>
        <v>-18.48498889504846</v>
      </c>
      <c r="AP74" s="40">
        <f t="shared" si="1472"/>
        <v>-19.036980567101125</v>
      </c>
      <c r="AQ74" s="40">
        <f t="shared" si="1473"/>
        <v>-21.883792574111105</v>
      </c>
      <c r="AR74" s="37"/>
      <c r="AS74" s="40">
        <f t="shared" si="1403"/>
        <v>-0.79999992158263922</v>
      </c>
      <c r="AT74" s="40">
        <f t="shared" si="1404"/>
        <v>-13.899999903514981</v>
      </c>
      <c r="AU74" s="40">
        <f t="shared" si="1405"/>
        <v>0.30000000000995897</v>
      </c>
      <c r="AV74" s="40">
        <f t="shared" si="1406"/>
        <v>0.89999998454004526</v>
      </c>
      <c r="AW74" s="40">
        <f t="shared" si="1407"/>
        <v>-11.599999852478504</v>
      </c>
      <c r="AX74" s="40">
        <f t="shared" si="1408"/>
        <v>-0.99999999999056399</v>
      </c>
      <c r="AY74" s="40">
        <f t="shared" si="1408"/>
        <v>-0.89999998454004526</v>
      </c>
      <c r="AZ74" s="40">
        <f t="shared" si="1408"/>
        <v>-12.69999984651804</v>
      </c>
      <c r="BA74" s="40">
        <f t="shared" si="1408"/>
        <v>-3.0000000000001137</v>
      </c>
      <c r="BB74" s="40">
        <f t="shared" si="1412"/>
        <v>-6.3000000081956387</v>
      </c>
      <c r="BC74" s="40">
        <f t="shared" si="1413"/>
        <v>0.99999993108212948</v>
      </c>
      <c r="BD74" s="40">
        <f t="shared" si="1414"/>
        <v>-23.099999999999454</v>
      </c>
      <c r="BE74" s="40">
        <f t="shared" si="1415"/>
        <v>-5.6000000331550837</v>
      </c>
      <c r="BF74" s="40">
        <f t="shared" si="1416"/>
        <v>5.4999999701976776</v>
      </c>
      <c r="BG74" s="40">
        <f t="shared" si="1417"/>
        <v>-8.7999999999937017</v>
      </c>
      <c r="BH74" s="40">
        <f t="shared" si="1417"/>
        <v>-6.4000000711530447</v>
      </c>
      <c r="BI74" s="40">
        <f t="shared" si="1417"/>
        <v>6.0000000521540642</v>
      </c>
      <c r="BJ74" s="40">
        <f t="shared" si="1417"/>
        <v>9.9999999989108801E-2</v>
      </c>
      <c r="BK74" s="40">
        <f t="shared" si="1421"/>
        <v>-8.3999999333173037</v>
      </c>
      <c r="BL74" s="40">
        <f t="shared" si="1422"/>
        <v>6.6999997943639755</v>
      </c>
      <c r="BM74" s="40">
        <f t="shared" si="1423"/>
        <v>2.6000000000010459</v>
      </c>
      <c r="BN74" s="37"/>
      <c r="BO74" s="36">
        <v>169.36845572572321</v>
      </c>
      <c r="BP74" s="36">
        <v>-3.7615929043061445</v>
      </c>
      <c r="BQ74" s="36">
        <v>-1.1605045572572266</v>
      </c>
      <c r="BR74" s="36">
        <v>169.2078031287129</v>
      </c>
      <c r="BS74" s="36">
        <v>-4.20096577914682</v>
      </c>
      <c r="BT74" s="36">
        <v>0.82650196871287562</v>
      </c>
      <c r="BU74" s="38">
        <v>169.18527189857735</v>
      </c>
      <c r="BV74" s="39">
        <v>-3.229670564633464</v>
      </c>
      <c r="BW74" s="39">
        <v>2.9664272810142194</v>
      </c>
      <c r="BX74" s="38">
        <v>168.95832687668366</v>
      </c>
      <c r="BY74" s="39">
        <v>0.21566610509579881</v>
      </c>
      <c r="BZ74" s="39">
        <v>4.3298967312331627</v>
      </c>
      <c r="CA74" s="38">
        <v>169.19844369240994</v>
      </c>
      <c r="CB74" s="39">
        <v>3.2034291084347841</v>
      </c>
      <c r="CC74" s="39">
        <v>2.9746955630758976</v>
      </c>
      <c r="CD74" s="38">
        <v>169.19008367063898</v>
      </c>
      <c r="CE74" s="39">
        <v>4.1923670791930991</v>
      </c>
      <c r="CF74" s="39">
        <v>0.83367916329359559</v>
      </c>
      <c r="CG74" s="38">
        <v>169.25393918995621</v>
      </c>
      <c r="CH74" s="39">
        <v>3.8633215617696735</v>
      </c>
      <c r="CI74" s="39">
        <v>-1.0852593918995552</v>
      </c>
      <c r="CJ74" s="37"/>
      <c r="CK74" s="40">
        <f t="shared" si="1424"/>
        <v>-6.5998964677476124</v>
      </c>
      <c r="CL74" s="40">
        <f t="shared" si="1425"/>
        <v>12.259337820911043</v>
      </c>
      <c r="CM74" s="40">
        <f t="shared" si="1426"/>
        <v>0.36599896469624582</v>
      </c>
      <c r="CN74" s="40">
        <f t="shared" si="1427"/>
        <v>-4.087100424470691</v>
      </c>
      <c r="CO74" s="40">
        <f t="shared" si="1428"/>
        <v>10.893374439064907</v>
      </c>
      <c r="CP74" s="40">
        <f t="shared" si="1429"/>
        <v>-0.95912899574557287</v>
      </c>
      <c r="CQ74" s="40">
        <f t="shared" si="1429"/>
        <v>-6.1833432935145538</v>
      </c>
      <c r="CR74" s="40">
        <f t="shared" si="1429"/>
        <v>11.12952208263307</v>
      </c>
      <c r="CS74" s="40">
        <f t="shared" si="1429"/>
        <v>-2.9381665670626944</v>
      </c>
      <c r="CT74" s="40">
        <f t="shared" si="1433"/>
        <v>-5.2869879361878702</v>
      </c>
      <c r="CU74" s="40">
        <f t="shared" si="1434"/>
        <v>-3.5689996537604793</v>
      </c>
      <c r="CV74" s="40">
        <f t="shared" si="1435"/>
        <v>-23.047130120644965</v>
      </c>
      <c r="CW74" s="40">
        <f t="shared" si="1436"/>
        <v>-2.7506494624276456</v>
      </c>
      <c r="CX74" s="40">
        <f t="shared" si="1437"/>
        <v>-7.3514575138786675</v>
      </c>
      <c r="CY74" s="40">
        <f t="shared" si="1438"/>
        <v>-8.7724935053756781</v>
      </c>
      <c r="CZ74" s="40">
        <f t="shared" si="1438"/>
        <v>-3.2643570965262825</v>
      </c>
      <c r="DA74" s="40">
        <f t="shared" si="1438"/>
        <v>-8.1427252368939662</v>
      </c>
      <c r="DB74" s="40">
        <f t="shared" si="1438"/>
        <v>0.13264357095010837</v>
      </c>
      <c r="DC74" s="40">
        <f t="shared" si="1442"/>
        <v>-4.7810847717641991</v>
      </c>
      <c r="DD74" s="40">
        <f t="shared" si="1443"/>
        <v>-9.6224333995786893</v>
      </c>
      <c r="DE74" s="40">
        <f t="shared" si="1444"/>
        <v>2.6478108477192563</v>
      </c>
    </row>
    <row r="75" spans="1:109" ht="29.25" customHeight="1" x14ac:dyDescent="0.2">
      <c r="A75" s="34">
        <v>43878</v>
      </c>
      <c r="B75" s="27">
        <f t="shared" si="1478"/>
        <v>279</v>
      </c>
      <c r="C75" s="35">
        <v>222.9</v>
      </c>
      <c r="D75" s="35">
        <f t="shared" si="1479"/>
        <v>53.700000000000017</v>
      </c>
      <c r="E75" s="36">
        <v>823219.5834</v>
      </c>
      <c r="F75" s="36">
        <v>1091508.5930000001</v>
      </c>
      <c r="G75" s="36">
        <v>-125.01049999999999</v>
      </c>
      <c r="H75" s="36">
        <v>823219.25199999998</v>
      </c>
      <c r="I75" s="36">
        <v>1091508.9238</v>
      </c>
      <c r="J75" s="36">
        <v>-123.02500000000001</v>
      </c>
      <c r="K75" s="137" t="s">
        <v>85</v>
      </c>
      <c r="L75" s="138"/>
      <c r="M75" s="139"/>
      <c r="N75" s="36">
        <v>823220.89199999999</v>
      </c>
      <c r="O75" s="36">
        <v>1091504.8151</v>
      </c>
      <c r="P75" s="36">
        <v>-119.5245</v>
      </c>
      <c r="Q75" s="36">
        <v>823222.37190000003</v>
      </c>
      <c r="R75" s="36">
        <v>1091502.209</v>
      </c>
      <c r="S75" s="36">
        <v>-120.8775</v>
      </c>
      <c r="T75" s="36">
        <v>823222.78200000001</v>
      </c>
      <c r="U75" s="36">
        <v>1091501.3093000001</v>
      </c>
      <c r="V75" s="36">
        <v>-123.0183</v>
      </c>
      <c r="W75" s="137" t="s">
        <v>85</v>
      </c>
      <c r="X75" s="138"/>
      <c r="Y75" s="139"/>
      <c r="Z75" s="36">
        <f t="shared" si="1480"/>
        <v>6.7883104209183722</v>
      </c>
      <c r="AA75" s="36">
        <f t="shared" si="1481"/>
        <v>5.6413221801189444</v>
      </c>
      <c r="AB75" s="36"/>
      <c r="AC75" s="36">
        <f t="shared" si="1483"/>
        <v>3.2882320812215986</v>
      </c>
      <c r="AD75" s="36">
        <f t="shared" si="1484"/>
        <v>5.2980536123689399</v>
      </c>
      <c r="AE75" s="36"/>
      <c r="AF75" s="36"/>
      <c r="AG75" s="36">
        <f t="shared" si="1487"/>
        <v>8.3929467494323653</v>
      </c>
      <c r="AH75" s="36"/>
      <c r="AI75" s="40">
        <f t="shared" si="1467"/>
        <v>-28.64087490731837</v>
      </c>
      <c r="AJ75" s="40">
        <f t="shared" si="1468"/>
        <v>-25.049364302708987</v>
      </c>
      <c r="AK75" s="40" t="str">
        <f t="shared" si="1469"/>
        <v/>
      </c>
      <c r="AL75" s="40">
        <f t="shared" si="1470"/>
        <v>-9.4566760131682415</v>
      </c>
      <c r="AM75" s="40">
        <f t="shared" si="1470"/>
        <v>-19.212454889487418</v>
      </c>
      <c r="AN75" s="40" t="str">
        <f t="shared" si="1471"/>
        <v/>
      </c>
      <c r="AO75" s="40" t="str">
        <f t="shared" si="1472"/>
        <v/>
      </c>
      <c r="AP75" s="40">
        <f t="shared" si="1472"/>
        <v>-19.44471251362323</v>
      </c>
      <c r="AQ75" s="40" t="str">
        <f t="shared" si="1473"/>
        <v/>
      </c>
      <c r="AR75" s="37"/>
      <c r="AS75" s="40">
        <f t="shared" si="1403"/>
        <v>0.60000002849847078</v>
      </c>
      <c r="AT75" s="40">
        <f t="shared" si="1404"/>
        <v>-14.899999834597111</v>
      </c>
      <c r="AU75" s="40">
        <f t="shared" si="1405"/>
        <v>-0.49999999998817657</v>
      </c>
      <c r="AV75" s="40">
        <f t="shared" si="1406"/>
        <v>2.199999988079071</v>
      </c>
      <c r="AW75" s="40">
        <f t="shared" si="1407"/>
        <v>-12.099999934434891</v>
      </c>
      <c r="AX75" s="40">
        <f t="shared" si="1408"/>
        <v>-1.6999999999995907</v>
      </c>
      <c r="AY75" s="40"/>
      <c r="AZ75" s="40"/>
      <c r="BA75" s="40"/>
      <c r="BB75" s="40">
        <f t="shared" si="1412"/>
        <v>-5.6000000331550837</v>
      </c>
      <c r="BC75" s="40">
        <f t="shared" si="1413"/>
        <v>0</v>
      </c>
      <c r="BD75" s="40">
        <f t="shared" si="1414"/>
        <v>-24.200000000007549</v>
      </c>
      <c r="BE75" s="40">
        <f t="shared" si="1415"/>
        <v>-5.4000000236555934</v>
      </c>
      <c r="BF75" s="40">
        <f t="shared" si="1416"/>
        <v>4.6999999321997166</v>
      </c>
      <c r="BG75" s="40">
        <f t="shared" si="1417"/>
        <v>-10.099999999994225</v>
      </c>
      <c r="BH75" s="40">
        <f t="shared" si="1417"/>
        <v>-6.5000000176951289</v>
      </c>
      <c r="BI75" s="40">
        <f t="shared" si="1417"/>
        <v>5.3000000771135092</v>
      </c>
      <c r="BJ75" s="40">
        <f t="shared" si="1417"/>
        <v>-0.90000000000145519</v>
      </c>
      <c r="BK75" s="40"/>
      <c r="BL75" s="40" t="str">
        <f t="shared" si="1422"/>
        <v/>
      </c>
      <c r="BM75" s="40" t="str">
        <f t="shared" si="1423"/>
        <v/>
      </c>
      <c r="BN75" s="37"/>
      <c r="BO75" s="36">
        <v>169.36940000000001</v>
      </c>
      <c r="BP75" s="36">
        <v>-3.7603</v>
      </c>
      <c r="BQ75" s="36">
        <v>-1.1613</v>
      </c>
      <c r="BR75" s="36">
        <v>169.2088</v>
      </c>
      <c r="BS75" s="36">
        <v>-4.2</v>
      </c>
      <c r="BT75" s="36">
        <v>0.82579999999999998</v>
      </c>
      <c r="BU75" s="38" t="s">
        <v>81</v>
      </c>
      <c r="BV75" s="39" t="s">
        <v>81</v>
      </c>
      <c r="BW75" s="39" t="s">
        <v>81</v>
      </c>
      <c r="BX75" s="38">
        <v>168.95849999999999</v>
      </c>
      <c r="BY75" s="39">
        <v>0.21690000000000001</v>
      </c>
      <c r="BZ75" s="39">
        <v>4.3288000000000002</v>
      </c>
      <c r="CA75" s="38">
        <v>169.19829999999999</v>
      </c>
      <c r="CB75" s="39">
        <v>3.2042000000000002</v>
      </c>
      <c r="CC75" s="39">
        <v>2.9733999999999998</v>
      </c>
      <c r="CD75" s="38">
        <v>169.18969999999999</v>
      </c>
      <c r="CE75" s="39">
        <v>4.1929999999999996</v>
      </c>
      <c r="CF75" s="39">
        <v>0.8327</v>
      </c>
      <c r="CG75" s="38"/>
      <c r="CH75" s="39"/>
      <c r="CI75" s="39"/>
      <c r="CJ75" s="37"/>
      <c r="CK75" s="40">
        <f t="shared" si="1424"/>
        <v>-5.655622190943177</v>
      </c>
      <c r="CL75" s="40">
        <f t="shared" si="1425"/>
        <v>13.552242127055525</v>
      </c>
      <c r="CM75" s="40">
        <f t="shared" si="1426"/>
        <v>-0.42944377807718759</v>
      </c>
      <c r="CN75" s="40">
        <f t="shared" si="1427"/>
        <v>-3.0902291373706703</v>
      </c>
      <c r="CO75" s="40">
        <f t="shared" si="1428"/>
        <v>11.859153585884741</v>
      </c>
      <c r="CP75" s="40">
        <f t="shared" si="1429"/>
        <v>-1.6610977086212175</v>
      </c>
      <c r="CQ75" s="40"/>
      <c r="CR75" s="40"/>
      <c r="CS75" s="40"/>
      <c r="CT75" s="40">
        <f t="shared" si="1433"/>
        <v>-5.1138646198580773</v>
      </c>
      <c r="CU75" s="40">
        <f t="shared" si="1434"/>
        <v>-2.3351047495592803</v>
      </c>
      <c r="CV75" s="40">
        <f t="shared" si="1435"/>
        <v>-24.143861353807416</v>
      </c>
      <c r="CW75" s="40">
        <f t="shared" si="1436"/>
        <v>-2.8943418723770264</v>
      </c>
      <c r="CX75" s="40">
        <f t="shared" si="1437"/>
        <v>-6.5805659486626311</v>
      </c>
      <c r="CY75" s="40">
        <f t="shared" si="1438"/>
        <v>-10.06805658127341</v>
      </c>
      <c r="CZ75" s="40">
        <f t="shared" si="1438"/>
        <v>-3.6480277355224189</v>
      </c>
      <c r="DA75" s="40">
        <f t="shared" si="1438"/>
        <v>-7.5098044299934941</v>
      </c>
      <c r="DB75" s="40">
        <f t="shared" si="1438"/>
        <v>-0.84651972264548903</v>
      </c>
      <c r="DC75" s="40" t="str">
        <f t="shared" si="1442"/>
        <v/>
      </c>
      <c r="DD75" s="40" t="str">
        <f t="shared" si="1443"/>
        <v/>
      </c>
      <c r="DE75" s="40" t="str">
        <f t="shared" si="1444"/>
        <v/>
      </c>
    </row>
    <row r="76" spans="1:109" ht="29.25" customHeight="1" x14ac:dyDescent="0.2">
      <c r="A76" s="95">
        <v>43886</v>
      </c>
      <c r="B76" s="94">
        <v>287</v>
      </c>
      <c r="C76" s="96">
        <v>222.9</v>
      </c>
      <c r="D76" s="35">
        <f t="shared" si="1479"/>
        <v>53.700000000000017</v>
      </c>
      <c r="E76" s="97">
        <v>823219.58349999995</v>
      </c>
      <c r="F76" s="97">
        <v>1091508.5937999999</v>
      </c>
      <c r="G76" s="97">
        <v>-125.01009999999999</v>
      </c>
      <c r="H76" s="97">
        <v>823219.25210000004</v>
      </c>
      <c r="I76" s="97">
        <v>1091508.9243000001</v>
      </c>
      <c r="J76" s="97">
        <v>-123.0247</v>
      </c>
      <c r="K76" s="137" t="s">
        <v>85</v>
      </c>
      <c r="L76" s="138"/>
      <c r="M76" s="139"/>
      <c r="N76" s="97">
        <v>823220.89210000006</v>
      </c>
      <c r="O76" s="97">
        <v>1091504.8160000001</v>
      </c>
      <c r="P76" s="97">
        <v>-119.52460000000001</v>
      </c>
      <c r="Q76" s="97">
        <v>823222.37219999998</v>
      </c>
      <c r="R76" s="97">
        <v>1091502.2102000001</v>
      </c>
      <c r="S76" s="97">
        <v>-120.87739999999999</v>
      </c>
      <c r="T76" s="97">
        <v>823222.78209999995</v>
      </c>
      <c r="U76" s="97">
        <v>1091501.3107</v>
      </c>
      <c r="V76" s="97">
        <v>-123.0181</v>
      </c>
      <c r="W76" s="137" t="s">
        <v>85</v>
      </c>
      <c r="X76" s="138"/>
      <c r="Y76" s="139"/>
      <c r="Z76" s="97">
        <v>6.7878506943522821</v>
      </c>
      <c r="AA76" s="97">
        <v>5.6407826495749482</v>
      </c>
      <c r="AB76" s="97"/>
      <c r="AC76" s="97">
        <v>3.2880020513812851</v>
      </c>
      <c r="AD76" s="97">
        <v>5.2975249258642805</v>
      </c>
      <c r="AE76" s="97">
        <v>6.5319951883005629</v>
      </c>
      <c r="AF76" s="97"/>
      <c r="AG76" s="97">
        <v>8.3921301538997621</v>
      </c>
      <c r="AH76" s="97">
        <v>7.6247007028431097</v>
      </c>
      <c r="AI76" s="101">
        <v>-29.100601473408538</v>
      </c>
      <c r="AJ76" s="101">
        <v>-25.588894846705124</v>
      </c>
      <c r="AK76" s="101" t="s">
        <v>87</v>
      </c>
      <c r="AL76" s="101">
        <v>-9.6867058534817474</v>
      </c>
      <c r="AM76" s="101">
        <v>-19.741141394146844</v>
      </c>
      <c r="AN76" s="101">
        <v>-26.010061714025312</v>
      </c>
      <c r="AO76" s="101" t="s">
        <v>87</v>
      </c>
      <c r="AP76" s="101">
        <v>-20.261308046226389</v>
      </c>
      <c r="AQ76" s="101">
        <v>-23.317461871112499</v>
      </c>
      <c r="AR76" s="98"/>
      <c r="AS76" s="101">
        <v>0.699999975040555</v>
      </c>
      <c r="AT76" s="101">
        <v>-14.100000029429793</v>
      </c>
      <c r="AU76" s="101">
        <v>-9.9999999989108801E-2</v>
      </c>
      <c r="AV76" s="101">
        <v>2.3000000510364771</v>
      </c>
      <c r="AW76" s="101">
        <v>-11.599999852478504</v>
      </c>
      <c r="AX76" s="101">
        <v>-1.3999999999896318</v>
      </c>
      <c r="AY76" s="101"/>
      <c r="AZ76" s="101"/>
      <c r="BA76" s="101"/>
      <c r="BB76" s="101">
        <v>-5.4999999701976776</v>
      </c>
      <c r="BC76" s="101">
        <v>0.90000010095536709</v>
      </c>
      <c r="BD76" s="101">
        <v>-24.300000000010868</v>
      </c>
      <c r="BE76" s="101">
        <v>-5.1000000676140189</v>
      </c>
      <c r="BF76" s="101">
        <v>5.8999999891966581</v>
      </c>
      <c r="BG76" s="101">
        <v>-9.9999999999909051</v>
      </c>
      <c r="BH76" s="101">
        <v>-6.4000000711530447</v>
      </c>
      <c r="BI76" s="101">
        <v>6.7000000271946192</v>
      </c>
      <c r="BJ76" s="101">
        <v>-0.70000000000902673</v>
      </c>
      <c r="BK76" s="101">
        <v>-8.3999999333173037</v>
      </c>
      <c r="BL76" s="101">
        <v>7.4000000022351742</v>
      </c>
      <c r="BM76" s="101">
        <v>2.299999999991087</v>
      </c>
      <c r="BN76" s="98"/>
      <c r="BO76" s="97">
        <v>169.36969999999999</v>
      </c>
      <c r="BP76" s="97">
        <v>-3.7608000000000001</v>
      </c>
      <c r="BQ76" s="97">
        <v>-1.1609</v>
      </c>
      <c r="BR76" s="97">
        <v>169.20910000000001</v>
      </c>
      <c r="BS76" s="97">
        <v>-4.2004000000000001</v>
      </c>
      <c r="BT76" s="97">
        <v>0.82609999999999995</v>
      </c>
      <c r="BU76" s="99" t="s">
        <v>81</v>
      </c>
      <c r="BV76" s="100" t="s">
        <v>81</v>
      </c>
      <c r="BW76" s="100" t="s">
        <v>81</v>
      </c>
      <c r="BX76" s="99">
        <v>168.959</v>
      </c>
      <c r="BY76" s="100">
        <v>0.21609999999999999</v>
      </c>
      <c r="BZ76" s="100">
        <v>4.3287000000000004</v>
      </c>
      <c r="CA76" s="99">
        <v>169.19909999999999</v>
      </c>
      <c r="CB76" s="100">
        <v>3.2031999999999998</v>
      </c>
      <c r="CC76" s="100">
        <v>2.9735</v>
      </c>
      <c r="CD76" s="99">
        <v>169.19040000000001</v>
      </c>
      <c r="CE76" s="100">
        <v>4.1917</v>
      </c>
      <c r="CF76" s="100">
        <v>0.83289999999999997</v>
      </c>
      <c r="CG76" s="99">
        <v>169.2542</v>
      </c>
      <c r="CH76" s="100">
        <v>3.8626999999999998</v>
      </c>
      <c r="CI76" s="100">
        <v>-1.0855999999999999</v>
      </c>
      <c r="CJ76" s="98"/>
      <c r="CK76" s="101">
        <v>-5.3556221909616397</v>
      </c>
      <c r="CL76" s="101">
        <v>13.052242127055358</v>
      </c>
      <c r="CM76" s="101">
        <v>-2.9443778077231642E-2</v>
      </c>
      <c r="CN76" s="101">
        <v>-2.7902291373607113</v>
      </c>
      <c r="CO76" s="101">
        <v>11.459153585884785</v>
      </c>
      <c r="CP76" s="101">
        <v>-1.3610977086212506</v>
      </c>
      <c r="CQ76" s="101"/>
      <c r="CR76" s="101"/>
      <c r="CS76" s="101"/>
      <c r="CT76" s="101">
        <v>-4.613864619841479</v>
      </c>
      <c r="CU76" s="101">
        <v>-3.1351047495593032</v>
      </c>
      <c r="CV76" s="101">
        <v>-24.243861353807183</v>
      </c>
      <c r="CW76" s="101">
        <v>-2.0943418723788909</v>
      </c>
      <c r="CX76" s="101">
        <v>-7.5805659486629651</v>
      </c>
      <c r="CY76" s="101">
        <v>-9.9680565812731992</v>
      </c>
      <c r="CZ76" s="101">
        <v>-2.9480277354991813</v>
      </c>
      <c r="DA76" s="101">
        <v>-8.8098044299931288</v>
      </c>
      <c r="DB76" s="101">
        <v>-0.64651972264551105</v>
      </c>
      <c r="DC76" s="101">
        <v>-4.5202747279802225</v>
      </c>
      <c r="DD76" s="101">
        <v>-10.24399516925234</v>
      </c>
      <c r="DE76" s="101">
        <v>2.3072027472745837</v>
      </c>
    </row>
    <row r="77" spans="1:109" ht="29.25" customHeight="1" x14ac:dyDescent="0.2">
      <c r="A77" s="34">
        <v>43896</v>
      </c>
      <c r="B77" s="27">
        <f t="shared" ref="B77:B85" si="1489">IF(A77="","",A77-excav)</f>
        <v>297</v>
      </c>
      <c r="C77" s="96">
        <v>222.9</v>
      </c>
      <c r="D77" s="35">
        <f t="shared" si="1479"/>
        <v>53.700000000000017</v>
      </c>
      <c r="E77" s="36">
        <v>823219.5834</v>
      </c>
      <c r="F77" s="36">
        <v>1091508.5933000001</v>
      </c>
      <c r="G77" s="36">
        <v>-125.01009999999999</v>
      </c>
      <c r="H77" s="36">
        <v>823219.25199999998</v>
      </c>
      <c r="I77" s="36">
        <v>1091508.9235</v>
      </c>
      <c r="J77" s="36">
        <v>-123.0248</v>
      </c>
      <c r="K77" s="137" t="s">
        <v>85</v>
      </c>
      <c r="L77" s="138"/>
      <c r="M77" s="139"/>
      <c r="N77" s="36">
        <v>823220.89179999998</v>
      </c>
      <c r="O77" s="36">
        <v>1091504.8154</v>
      </c>
      <c r="P77" s="36">
        <v>-119.5249</v>
      </c>
      <c r="Q77" s="36">
        <v>823222.37179999996</v>
      </c>
      <c r="R77" s="36">
        <v>1091502.2095999999</v>
      </c>
      <c r="S77" s="36">
        <v>-120.8775</v>
      </c>
      <c r="T77" s="36">
        <v>823222.78170000005</v>
      </c>
      <c r="U77" s="36">
        <v>1091501.31</v>
      </c>
      <c r="V77" s="36">
        <v>-123.0181</v>
      </c>
      <c r="W77" s="36">
        <v>823222.70059999998</v>
      </c>
      <c r="X77" s="36">
        <v>1091501.6353</v>
      </c>
      <c r="Y77" s="36">
        <v>-124.9359</v>
      </c>
      <c r="Z77" s="36">
        <f t="shared" ref="Z77:Z120" si="1490">IF(Xhaut="","",SQRT(((Xbasgauche-Xhaut)^2+(Ybasgauche-Yhaut)^2)+(Zbasgauche-Zhaut)^2))</f>
        <v>6.787625358748385</v>
      </c>
      <c r="AA77" s="36">
        <f t="shared" ref="AA77:AA89" si="1491">IF(Xhaut="","",SQRT(((Xintergauche-Xhaut)^2+(Yintergauche-Yhaut)^2)+(Zintergauche-Zhaut)^2))</f>
        <v>5.640454738812565</v>
      </c>
      <c r="AB77" s="36"/>
      <c r="AC77" s="36">
        <f t="shared" ref="AC77:AC120" si="1492">IF(Xhaut="","",SQRT(((Xhautdroit-Xhaut)^2+(Yhautdroit-Yhaut)^2)+(Zhautdroit-Zhaut)^2))</f>
        <v>3.2878747543125497</v>
      </c>
      <c r="AD77" s="36">
        <f t="shared" ref="AD77:AD120" si="1493">IF(Xhaut="","",SQRT(((Xinterdroit-Xhaut)^2+(Yinterdroit-Yhaut)^2)+(Zinterdroit-Zhaut)^2))</f>
        <v>5.2973575874774168</v>
      </c>
      <c r="AE77" s="36">
        <f t="shared" ref="AE77:AE112" si="1494">IF(Xhaut="","",SQRT(((Xbasdroit-Xhaut)^2+(Ybasdroit-Yhaut)^2)+(Zbasdroit-Zhaut)^2))</f>
        <v>6.5317466614973485</v>
      </c>
      <c r="AF77" s="36"/>
      <c r="AG77" s="36">
        <f t="shared" ref="AG77:AG89" si="1495">IF(Xinterdroit="","",SQRT(((Xinterdroit-Xintergauche)^2+(Yinterdroit-Yintergauche)^2)+(Zinterdroit-Zintergauche)^2))</f>
        <v>8.3919133235613916</v>
      </c>
      <c r="AH77" s="36">
        <f t="shared" ref="AH77:AH120" si="1496">IF(Xbasdroit="","",SQRT(((Xbasdroit-Xbasgauche)^2+(Ybasdroit-Ybasgauche)^2)+(Zbasdroit-Zbasgauche)^2))</f>
        <v>7.6247101899854082</v>
      </c>
      <c r="AI77" s="40">
        <f t="shared" si="1451"/>
        <v>-29.325937077305575</v>
      </c>
      <c r="AJ77" s="40">
        <f t="shared" si="1452"/>
        <v>-25.916805609088378</v>
      </c>
      <c r="AK77" s="40" t="str">
        <f t="shared" si="1453"/>
        <v/>
      </c>
      <c r="AL77" s="40">
        <f t="shared" si="1454"/>
        <v>-9.8140029222171243</v>
      </c>
      <c r="AM77" s="40">
        <f t="shared" si="1455"/>
        <v>-19.908479781010513</v>
      </c>
      <c r="AN77" s="40">
        <f t="shared" si="1456"/>
        <v>-26.258588517239723</v>
      </c>
      <c r="AO77" s="40" t="str">
        <f t="shared" si="1457"/>
        <v/>
      </c>
      <c r="AP77" s="40">
        <f t="shared" si="1458"/>
        <v>-20.478138384596889</v>
      </c>
      <c r="AQ77" s="40">
        <f t="shared" si="1459"/>
        <v>-23.307974728814074</v>
      </c>
      <c r="AR77" s="37"/>
      <c r="AS77" s="40">
        <f t="shared" si="1403"/>
        <v>0.60000002849847078</v>
      </c>
      <c r="AT77" s="40">
        <f t="shared" si="1404"/>
        <v>-14.599999878555536</v>
      </c>
      <c r="AU77" s="40">
        <f t="shared" si="1405"/>
        <v>-9.9999999989108801E-2</v>
      </c>
      <c r="AV77" s="40">
        <f t="shared" si="1406"/>
        <v>2.199999988079071</v>
      </c>
      <c r="AW77" s="40">
        <f t="shared" si="1407"/>
        <v>-12.399999890476465</v>
      </c>
      <c r="AX77" s="40">
        <f t="shared" si="1408"/>
        <v>-1.4999999999929514</v>
      </c>
      <c r="AY77" s="40"/>
      <c r="AZ77" s="40" t="str">
        <f t="shared" si="1410"/>
        <v/>
      </c>
      <c r="BA77" s="40" t="str">
        <f t="shared" si="1411"/>
        <v/>
      </c>
      <c r="BB77" s="40">
        <f t="shared" si="1412"/>
        <v>-5.8000000426545739</v>
      </c>
      <c r="BC77" s="40">
        <f t="shared" si="1413"/>
        <v>0.29999995604157448</v>
      </c>
      <c r="BD77" s="40">
        <f t="shared" si="1414"/>
        <v>-24.600000000006617</v>
      </c>
      <c r="BE77" s="40">
        <f t="shared" si="1415"/>
        <v>-5.5000000866129994</v>
      </c>
      <c r="BF77" s="40">
        <f t="shared" si="1416"/>
        <v>5.2999998442828655</v>
      </c>
      <c r="BG77" s="40">
        <f t="shared" si="1417"/>
        <v>-10.099999999994225</v>
      </c>
      <c r="BH77" s="40">
        <f t="shared" si="1418"/>
        <v>-6.7999999737367034</v>
      </c>
      <c r="BI77" s="40">
        <f t="shared" si="1419"/>
        <v>6.0000000521540642</v>
      </c>
      <c r="BJ77" s="40">
        <f t="shared" si="1420"/>
        <v>-0.70000000000902673</v>
      </c>
      <c r="BK77" s="40">
        <f t="shared" si="1421"/>
        <v>-8.7000000057742</v>
      </c>
      <c r="BL77" s="40">
        <f t="shared" si="1422"/>
        <v>6.7999998573213816</v>
      </c>
      <c r="BM77" s="40">
        <f t="shared" si="1423"/>
        <v>2.299999999991087</v>
      </c>
      <c r="BN77" s="37"/>
      <c r="BO77" s="36">
        <v>169.36940000000001</v>
      </c>
      <c r="BP77" s="36">
        <v>-3.7604000000000002</v>
      </c>
      <c r="BQ77" s="36">
        <v>-1.1609</v>
      </c>
      <c r="BR77" s="36">
        <v>169.20859999999999</v>
      </c>
      <c r="BS77" s="36">
        <v>-4.1997</v>
      </c>
      <c r="BT77" s="36">
        <v>0.82599999999999996</v>
      </c>
      <c r="BU77" s="38" t="s">
        <v>81</v>
      </c>
      <c r="BV77" s="39" t="s">
        <v>81</v>
      </c>
      <c r="BW77" s="39" t="s">
        <v>81</v>
      </c>
      <c r="BX77" s="38">
        <v>168.95849999999999</v>
      </c>
      <c r="BY77" s="39">
        <v>0.2165</v>
      </c>
      <c r="BZ77" s="39">
        <v>4.3284000000000002</v>
      </c>
      <c r="CA77" s="38">
        <v>169.19839999999999</v>
      </c>
      <c r="CB77" s="39">
        <v>3.2037</v>
      </c>
      <c r="CC77" s="39">
        <v>2.9733999999999998</v>
      </c>
      <c r="CD77" s="38">
        <v>169.18969999999999</v>
      </c>
      <c r="CE77" s="39">
        <v>4.1921999999999997</v>
      </c>
      <c r="CF77" s="39">
        <v>0.83289999999999997</v>
      </c>
      <c r="CG77" s="38">
        <v>169.25370000000001</v>
      </c>
      <c r="CH77" s="39">
        <v>3.8631000000000002</v>
      </c>
      <c r="CI77" s="39">
        <v>-1.0855999999999999</v>
      </c>
      <c r="CJ77" s="37"/>
      <c r="CK77" s="40">
        <f t="shared" si="1424"/>
        <v>-5.655622190943177</v>
      </c>
      <c r="CL77" s="40">
        <f t="shared" si="1425"/>
        <v>13.452242127055314</v>
      </c>
      <c r="CM77" s="40">
        <f t="shared" si="1426"/>
        <v>-2.9443778077231642E-2</v>
      </c>
      <c r="CN77" s="40">
        <f t="shared" si="1427"/>
        <v>-3.2902291373773096</v>
      </c>
      <c r="CO77" s="40">
        <f t="shared" si="1428"/>
        <v>12.15915358588493</v>
      </c>
      <c r="CP77" s="40">
        <f t="shared" si="1429"/>
        <v>-1.4610977086212396</v>
      </c>
      <c r="CQ77" s="40"/>
      <c r="CR77" s="40"/>
      <c r="CS77" s="40"/>
      <c r="CT77" s="40">
        <f t="shared" ref="CT77:CT85" si="1497">IF(BX77="","",(BX77-BX$10)*1000)</f>
        <v>-5.1138646198580773</v>
      </c>
      <c r="CU77" s="40">
        <f t="shared" ref="CU77:CU85" si="1498">IF(BY77="","",(BY77-BY$10)*1000)</f>
        <v>-2.7351047495592917</v>
      </c>
      <c r="CV77" s="40">
        <f t="shared" ref="CV77:CV85" si="1499">IF(BZ77="","",(BZ77-BZ$10)*1000)</f>
        <v>-24.543861353807372</v>
      </c>
      <c r="CW77" s="40">
        <f t="shared" ref="CW77:CW85" si="1500">IF(CA77="","",(CA77-CA$10)*1000)</f>
        <v>-2.7943418723737068</v>
      </c>
      <c r="CX77" s="40">
        <f t="shared" ref="CX77:CX85" si="1501">IF(CB77="","",(CB77-CB$10)*1000)</f>
        <v>-7.0805659486627981</v>
      </c>
      <c r="CY77" s="40">
        <f t="shared" ref="CY77:CY85" si="1502">IF(CC77="","",(CC77-CC$10)*1000)</f>
        <v>-10.06805658127341</v>
      </c>
      <c r="CZ77" s="40">
        <f t="shared" si="1439"/>
        <v>-3.6480277355224189</v>
      </c>
      <c r="DA77" s="40">
        <f t="shared" si="1440"/>
        <v>-8.309804429993406</v>
      </c>
      <c r="DB77" s="40">
        <f t="shared" si="1441"/>
        <v>-0.64651972264551105</v>
      </c>
      <c r="DC77" s="40">
        <f t="shared" ref="DC77:DC85" si="1503">IF(CG77="","",(CG77-CG$10)*1000)</f>
        <v>-5.020274727968399</v>
      </c>
      <c r="DD77" s="40">
        <f t="shared" ref="DD77:DD85" si="1504">IF(CH77="","",(CH77-CH$10)*1000)</f>
        <v>-9.8439951692519401</v>
      </c>
      <c r="DE77" s="40">
        <f t="shared" ref="DE77:DE85" si="1505">IF(CI77="","",(CI77-CI$10)*1000)</f>
        <v>2.3072027472745837</v>
      </c>
    </row>
    <row r="78" spans="1:109" ht="29.25" customHeight="1" x14ac:dyDescent="0.2">
      <c r="A78" s="34">
        <v>43970</v>
      </c>
      <c r="B78" s="27">
        <v>371</v>
      </c>
      <c r="C78" s="96">
        <v>222.9</v>
      </c>
      <c r="D78" s="35">
        <f t="shared" si="1479"/>
        <v>53.700000000000017</v>
      </c>
      <c r="E78" s="36">
        <v>823219.58299999998</v>
      </c>
      <c r="F78" s="36">
        <v>1091508.5930000001</v>
      </c>
      <c r="G78" s="36">
        <v>-125.0106</v>
      </c>
      <c r="H78" s="36">
        <v>823219.25159999996</v>
      </c>
      <c r="I78" s="36">
        <v>1091508.9240000001</v>
      </c>
      <c r="J78" s="36">
        <v>-123.02500000000001</v>
      </c>
      <c r="K78" s="137" t="s">
        <v>85</v>
      </c>
      <c r="L78" s="138"/>
      <c r="M78" s="139"/>
      <c r="N78" s="36">
        <v>823220.89119999995</v>
      </c>
      <c r="O78" s="36">
        <v>1091504.8149999999</v>
      </c>
      <c r="P78" s="36">
        <v>-119.5258</v>
      </c>
      <c r="Q78" s="36">
        <v>823222.3713</v>
      </c>
      <c r="R78" s="36">
        <v>1091502.209</v>
      </c>
      <c r="S78" s="36">
        <v>-120.8783</v>
      </c>
      <c r="T78" s="36">
        <v>823222.78119999997</v>
      </c>
      <c r="U78" s="36">
        <v>1091501.3089999999</v>
      </c>
      <c r="V78" s="36">
        <v>-123.01819999999999</v>
      </c>
      <c r="W78" s="36">
        <v>823222.69990000001</v>
      </c>
      <c r="X78" s="36">
        <v>1091501.6340000001</v>
      </c>
      <c r="Y78" s="36">
        <v>-124.9362</v>
      </c>
      <c r="Z78" s="36">
        <v>6.7873192264085409</v>
      </c>
      <c r="AA78" s="36">
        <v>5.6406178563515343</v>
      </c>
      <c r="AB78" s="36"/>
      <c r="AC78" s="36">
        <v>3.2880371439013469</v>
      </c>
      <c r="AD78" s="36">
        <v>5.297262855514953</v>
      </c>
      <c r="AE78" s="36">
        <v>6.531660190896039</v>
      </c>
      <c r="AF78" s="36"/>
      <c r="AG78" s="36">
        <v>8.3932322381468332</v>
      </c>
      <c r="AH78" s="36">
        <v>7.6255020799015174</v>
      </c>
      <c r="AI78" s="40">
        <v>-29.632069417149687</v>
      </c>
      <c r="AJ78" s="40">
        <v>-25.753688070119019</v>
      </c>
      <c r="AK78" s="40"/>
      <c r="AL78" s="40">
        <v>-9.6516133334199061</v>
      </c>
      <c r="AM78" s="40">
        <v>-20.003211743474303</v>
      </c>
      <c r="AN78" s="40">
        <v>-26.34505911854923</v>
      </c>
      <c r="AO78" s="40" t="s">
        <v>87</v>
      </c>
      <c r="AP78" s="40">
        <v>-19.159223799155356</v>
      </c>
      <c r="AQ78" s="40">
        <v>-22.51608481270484</v>
      </c>
      <c r="AR78" s="37"/>
      <c r="AS78" s="40">
        <v>0.20000000949949026</v>
      </c>
      <c r="AT78" s="40">
        <v>-14.899999834597111</v>
      </c>
      <c r="AU78" s="40">
        <v>-0.59999999999149622</v>
      </c>
      <c r="AV78" s="40">
        <v>1.7999999690800905</v>
      </c>
      <c r="AW78" s="40">
        <v>-11.899999808520079</v>
      </c>
      <c r="AX78" s="40">
        <v>-1.6999999999995907</v>
      </c>
      <c r="AY78" s="40"/>
      <c r="AZ78" s="40" t="s">
        <v>87</v>
      </c>
      <c r="BA78" s="40" t="s">
        <v>87</v>
      </c>
      <c r="BB78" s="40">
        <v>-6.4000000711530447</v>
      </c>
      <c r="BC78" s="40">
        <v>-0.10000006295740604</v>
      </c>
      <c r="BD78" s="40">
        <v>-25.500000000008072</v>
      </c>
      <c r="BE78" s="40">
        <v>-6.0000000521540642</v>
      </c>
      <c r="BF78" s="40">
        <v>4.6999999321997166</v>
      </c>
      <c r="BG78" s="40">
        <v>-10.89999999999236</v>
      </c>
      <c r="BH78" s="40">
        <v>-7.30000005569309</v>
      </c>
      <c r="BI78" s="40">
        <v>4.999999888241291</v>
      </c>
      <c r="BJ78" s="40">
        <v>-0.79999999999813554</v>
      </c>
      <c r="BK78" s="40">
        <v>-9.399999980814755</v>
      </c>
      <c r="BL78" s="40">
        <v>5.4999999701976776</v>
      </c>
      <c r="BM78" s="40">
        <v>1.9999999999953388</v>
      </c>
      <c r="BN78" s="37"/>
      <c r="BO78" s="36">
        <v>169.369</v>
      </c>
      <c r="BP78" s="36">
        <v>-3.7604000000000002</v>
      </c>
      <c r="BQ78" s="36">
        <v>-1.1614</v>
      </c>
      <c r="BR78" s="36">
        <v>169.20830000000001</v>
      </c>
      <c r="BS78" s="36">
        <v>-4.2</v>
      </c>
      <c r="BT78" s="36">
        <v>0.82579999999999998</v>
      </c>
      <c r="BU78" s="38" t="s">
        <v>81</v>
      </c>
      <c r="BV78" s="39" t="s">
        <v>81</v>
      </c>
      <c r="BW78" s="39" t="s">
        <v>81</v>
      </c>
      <c r="BX78" s="38">
        <v>168.95769999999999</v>
      </c>
      <c r="BY78" s="39">
        <v>0.2167</v>
      </c>
      <c r="BZ78" s="103">
        <v>4.3274999999999997</v>
      </c>
      <c r="CA78" s="38">
        <v>169.1978</v>
      </c>
      <c r="CB78" s="39">
        <v>3.2039</v>
      </c>
      <c r="CC78" s="39">
        <v>2.9725999999999999</v>
      </c>
      <c r="CD78" s="38">
        <v>169.18889999999999</v>
      </c>
      <c r="CE78" s="39">
        <v>4.1927000000000003</v>
      </c>
      <c r="CF78" s="39">
        <v>0.83279999999999998</v>
      </c>
      <c r="CG78" s="38">
        <v>169.2527</v>
      </c>
      <c r="CH78" s="39">
        <v>3.8637000000000001</v>
      </c>
      <c r="CI78" s="39">
        <v>-1.0858000000000001</v>
      </c>
      <c r="CJ78" s="37"/>
      <c r="CK78" s="40">
        <v>-6.0556221909564556</v>
      </c>
      <c r="CL78" s="40">
        <v>13.452242127055314</v>
      </c>
      <c r="CM78" s="40">
        <v>-0.52944377807717657</v>
      </c>
      <c r="CN78" s="40">
        <v>-3.5902291373588469</v>
      </c>
      <c r="CO78" s="40">
        <v>11.859153585884741</v>
      </c>
      <c r="CP78" s="40">
        <v>-1.6610977086212175</v>
      </c>
      <c r="CQ78" s="40"/>
      <c r="CR78" s="40"/>
      <c r="CS78" s="40"/>
      <c r="CT78" s="40">
        <v>-5.9138646198562128</v>
      </c>
      <c r="CU78" s="40">
        <v>-2.5351047495592862</v>
      </c>
      <c r="CV78" s="40">
        <v>-25.443861353807939</v>
      </c>
      <c r="CW78" s="40">
        <v>-3.394341872365203</v>
      </c>
      <c r="CX78" s="40">
        <v>-6.8805659486628201</v>
      </c>
      <c r="CY78" s="40">
        <v>-10.868056581273322</v>
      </c>
      <c r="CZ78" s="40">
        <v>-4.4480277355205544</v>
      </c>
      <c r="DA78" s="40">
        <v>-7.8098044299927949</v>
      </c>
      <c r="DB78" s="40">
        <v>-0.74651972264550004</v>
      </c>
      <c r="DC78" s="40">
        <v>-6.0202747279731739</v>
      </c>
      <c r="DD78" s="40">
        <v>-9.2439951692520061</v>
      </c>
      <c r="DE78" s="40">
        <v>2.1072027472743837</v>
      </c>
    </row>
    <row r="79" spans="1:109" ht="29.25" customHeight="1" x14ac:dyDescent="0.2">
      <c r="A79" s="34">
        <v>43977</v>
      </c>
      <c r="B79" s="27">
        <f t="shared" si="1489"/>
        <v>378</v>
      </c>
      <c r="C79" s="96">
        <v>222.9</v>
      </c>
      <c r="D79" s="35">
        <f t="shared" si="1479"/>
        <v>53.700000000000017</v>
      </c>
      <c r="E79" s="36">
        <v>823219.58409999998</v>
      </c>
      <c r="F79" s="36">
        <v>1091508.5926000001</v>
      </c>
      <c r="G79" s="36">
        <v>-125.0098</v>
      </c>
      <c r="H79" s="36">
        <v>823219.25280000002</v>
      </c>
      <c r="I79" s="36">
        <v>1091508.9232000001</v>
      </c>
      <c r="J79" s="36">
        <v>-123.0247</v>
      </c>
      <c r="K79" s="137" t="s">
        <v>85</v>
      </c>
      <c r="L79" s="138"/>
      <c r="M79" s="139"/>
      <c r="N79" s="36">
        <v>823220.89199999999</v>
      </c>
      <c r="O79" s="36">
        <v>1091504.8154</v>
      </c>
      <c r="P79" s="36">
        <v>-119.5264</v>
      </c>
      <c r="Q79" s="36">
        <v>823222.37199999997</v>
      </c>
      <c r="R79" s="36">
        <v>1091502.21</v>
      </c>
      <c r="S79" s="36">
        <v>-120.8783</v>
      </c>
      <c r="T79" s="36">
        <v>823222.78189999994</v>
      </c>
      <c r="U79" s="36">
        <v>1091501.3104000001</v>
      </c>
      <c r="V79" s="36">
        <v>-123.01779999999999</v>
      </c>
      <c r="W79" s="36">
        <v>823222.70050000004</v>
      </c>
      <c r="X79" s="36">
        <v>1091501.6355999999</v>
      </c>
      <c r="Y79" s="36">
        <v>-124.9355</v>
      </c>
      <c r="Z79" s="36">
        <f t="shared" si="1490"/>
        <v>6.7856847709721109</v>
      </c>
      <c r="AA79" s="36">
        <f t="shared" si="1491"/>
        <v>5.6390691049907185</v>
      </c>
      <c r="AB79" s="36"/>
      <c r="AC79" s="36">
        <f t="shared" si="1492"/>
        <v>3.2872698048603812</v>
      </c>
      <c r="AD79" s="36">
        <f t="shared" si="1493"/>
        <v>5.2959060574212788</v>
      </c>
      <c r="AE79" s="36">
        <f t="shared" si="1494"/>
        <v>6.5299435755923954</v>
      </c>
      <c r="AF79" s="36"/>
      <c r="AG79" s="36">
        <f t="shared" si="1495"/>
        <v>8.3910260552285472</v>
      </c>
      <c r="AH79" s="36">
        <f t="shared" si="1496"/>
        <v>7.6234715486263109</v>
      </c>
      <c r="AI79" s="40">
        <f t="shared" si="1451"/>
        <v>-31.266524853579725</v>
      </c>
      <c r="AJ79" s="40">
        <f t="shared" si="1452"/>
        <v>-27.302439430934911</v>
      </c>
      <c r="AK79" s="40"/>
      <c r="AL79" s="40">
        <f t="shared" si="1454"/>
        <v>-10.418952374385615</v>
      </c>
      <c r="AM79" s="40">
        <f t="shared" si="1455"/>
        <v>-21.360009837148475</v>
      </c>
      <c r="AN79" s="40">
        <f t="shared" si="1456"/>
        <v>-28.061674422192873</v>
      </c>
      <c r="AO79" s="40" t="str">
        <f t="shared" si="1457"/>
        <v/>
      </c>
      <c r="AP79" s="40">
        <f t="shared" si="1458"/>
        <v>-21.36540671744136</v>
      </c>
      <c r="AQ79" s="40">
        <f t="shared" si="1459"/>
        <v>-24.54661608791131</v>
      </c>
      <c r="AR79" s="37"/>
      <c r="AS79" s="40">
        <f t="shared" si="1403"/>
        <v>1.3000000035390258</v>
      </c>
      <c r="AT79" s="40">
        <f t="shared" si="1404"/>
        <v>-15.299999853596091</v>
      </c>
      <c r="AU79" s="40">
        <f t="shared" si="1405"/>
        <v>0.20000000000663931</v>
      </c>
      <c r="AV79" s="40">
        <f t="shared" si="1406"/>
        <v>3.0000000260770321</v>
      </c>
      <c r="AW79" s="40">
        <f t="shared" si="1407"/>
        <v>-12.69999984651804</v>
      </c>
      <c r="AX79" s="40">
        <f t="shared" si="1408"/>
        <v>-1.3999999999896318</v>
      </c>
      <c r="AY79" s="40"/>
      <c r="AZ79" s="40" t="str">
        <f t="shared" si="1410"/>
        <v/>
      </c>
      <c r="BA79" s="40" t="str">
        <f t="shared" si="1411"/>
        <v/>
      </c>
      <c r="BB79" s="40">
        <f t="shared" si="1412"/>
        <v>-5.6000000331550837</v>
      </c>
      <c r="BC79" s="40">
        <f t="shared" si="1413"/>
        <v>0.29999995604157448</v>
      </c>
      <c r="BD79" s="40">
        <f t="shared" si="1414"/>
        <v>-26.099999999999568</v>
      </c>
      <c r="BE79" s="40">
        <f t="shared" si="1415"/>
        <v>-5.3000000771135092</v>
      </c>
      <c r="BF79" s="40">
        <f t="shared" si="1416"/>
        <v>5.699999863281846</v>
      </c>
      <c r="BG79" s="40">
        <f t="shared" si="1417"/>
        <v>-10.89999999999236</v>
      </c>
      <c r="BH79" s="40">
        <f t="shared" si="1418"/>
        <v>-6.600000080652535</v>
      </c>
      <c r="BI79" s="40">
        <f t="shared" si="1419"/>
        <v>6.4000000711530447</v>
      </c>
      <c r="BJ79" s="40">
        <f t="shared" si="1420"/>
        <v>-0.39999999999906777</v>
      </c>
      <c r="BK79" s="40">
        <f t="shared" si="1421"/>
        <v>-8.7999999523162842</v>
      </c>
      <c r="BL79" s="40">
        <f t="shared" si="1422"/>
        <v>7.099999813362956</v>
      </c>
      <c r="BM79" s="40">
        <f t="shared" si="1423"/>
        <v>2.6999999999901547</v>
      </c>
      <c r="BN79" s="37"/>
      <c r="BO79" s="36">
        <v>169.36976722616555</v>
      </c>
      <c r="BP79" s="36">
        <v>-3.7594365262930358</v>
      </c>
      <c r="BQ79" s="36">
        <v>-1.160617672261651</v>
      </c>
      <c r="BR79" s="36">
        <v>169.20924142484517</v>
      </c>
      <c r="BS79" s="36">
        <v>-4.1990812886593973</v>
      </c>
      <c r="BT79" s="36">
        <v>0.8260875857515515</v>
      </c>
      <c r="BU79" s="38" t="s">
        <v>81</v>
      </c>
      <c r="BV79" s="39" t="s">
        <v>81</v>
      </c>
      <c r="BW79" s="39" t="s">
        <v>81</v>
      </c>
      <c r="BX79" s="38">
        <v>168.95866542469895</v>
      </c>
      <c r="BY79" s="39">
        <v>0.21659636590412029</v>
      </c>
      <c r="BZ79" s="39">
        <v>4.3268933457530068</v>
      </c>
      <c r="CA79" s="38">
        <v>169.19880011034169</v>
      </c>
      <c r="CB79" s="39">
        <v>3.2033746457062873</v>
      </c>
      <c r="CC79" s="39">
        <v>2.9725919988965899</v>
      </c>
      <c r="CD79" s="38">
        <v>169.19007147303262</v>
      </c>
      <c r="CE79" s="39">
        <v>4.1919200319502012</v>
      </c>
      <c r="CF79" s="39">
        <v>0.83317928526967933</v>
      </c>
      <c r="CG79" s="38">
        <v>169.2537457339314</v>
      </c>
      <c r="CH79" s="39">
        <v>3.8627899841207447</v>
      </c>
      <c r="CI79" s="39">
        <v>-1.0851574573393208</v>
      </c>
      <c r="CJ79" s="37"/>
      <c r="CK79" s="40">
        <f t="shared" si="1424"/>
        <v>-5.2883960254064277</v>
      </c>
      <c r="CL79" s="40">
        <f t="shared" si="1425"/>
        <v>14.415715834019682</v>
      </c>
      <c r="CM79" s="40">
        <f t="shared" si="1426"/>
        <v>0.25288396027178806</v>
      </c>
      <c r="CN79" s="40">
        <f t="shared" si="1427"/>
        <v>-2.648804292192608</v>
      </c>
      <c r="CO79" s="40">
        <f t="shared" si="1428"/>
        <v>12.777864926487581</v>
      </c>
      <c r="CP79" s="40">
        <f t="shared" si="1429"/>
        <v>-1.3735119570696952</v>
      </c>
      <c r="CQ79" s="40"/>
      <c r="CR79" s="40"/>
      <c r="CS79" s="40"/>
      <c r="CT79" s="40">
        <f t="shared" si="1497"/>
        <v>-4.9484399208949981</v>
      </c>
      <c r="CU79" s="40">
        <f t="shared" si="1498"/>
        <v>-2.6387388454389979</v>
      </c>
      <c r="CV79" s="40">
        <f t="shared" si="1499"/>
        <v>-26.05051560080085</v>
      </c>
      <c r="CW79" s="40">
        <f t="shared" si="1500"/>
        <v>-2.3942315306726414</v>
      </c>
      <c r="CX79" s="40">
        <f t="shared" si="1501"/>
        <v>-7.4059202423755188</v>
      </c>
      <c r="CY79" s="40">
        <f t="shared" si="1502"/>
        <v>-10.87605768468336</v>
      </c>
      <c r="CZ79" s="40">
        <f t="shared" si="1439"/>
        <v>-3.2765547028930087</v>
      </c>
      <c r="DA79" s="40">
        <f t="shared" si="1440"/>
        <v>-8.5897724797918684</v>
      </c>
      <c r="DB79" s="40">
        <f t="shared" si="1441"/>
        <v>-0.36723445296615864</v>
      </c>
      <c r="DC79" s="40">
        <f t="shared" si="1503"/>
        <v>-4.9745407965815502</v>
      </c>
      <c r="DD79" s="40">
        <f t="shared" si="1504"/>
        <v>-10.154011048507439</v>
      </c>
      <c r="DE79" s="40">
        <f t="shared" si="1505"/>
        <v>2.7497454079536965</v>
      </c>
    </row>
    <row r="80" spans="1:109" ht="29.25" customHeight="1" x14ac:dyDescent="0.2">
      <c r="A80" s="34">
        <v>43984</v>
      </c>
      <c r="B80" s="27">
        <f t="shared" si="1489"/>
        <v>385</v>
      </c>
      <c r="C80" s="96">
        <v>222.9</v>
      </c>
      <c r="D80" s="35">
        <f t="shared" si="1479"/>
        <v>53.700000000000017</v>
      </c>
      <c r="E80" s="36">
        <v>823219.58270000003</v>
      </c>
      <c r="F80" s="36">
        <v>1091508.5933999999</v>
      </c>
      <c r="G80" s="36">
        <v>-125.01009999999999</v>
      </c>
      <c r="H80" s="36">
        <v>823219.25139999995</v>
      </c>
      <c r="I80" s="36">
        <v>1091508.9236999999</v>
      </c>
      <c r="J80" s="36">
        <v>-123.0249</v>
      </c>
      <c r="K80" s="36">
        <v>823219.64150000003</v>
      </c>
      <c r="L80" s="36">
        <v>1091508.0337</v>
      </c>
      <c r="M80" s="36">
        <v>-120.88509999999999</v>
      </c>
      <c r="N80" s="36">
        <v>823220.89119999995</v>
      </c>
      <c r="O80" s="36">
        <v>1091504.8163000001</v>
      </c>
      <c r="P80" s="36">
        <v>-119.5262</v>
      </c>
      <c r="Q80" s="36">
        <v>823222.37150000001</v>
      </c>
      <c r="R80" s="36">
        <v>1091502.2105</v>
      </c>
      <c r="S80" s="36">
        <v>-120.87820000000001</v>
      </c>
      <c r="T80" s="36">
        <v>823222.78150000004</v>
      </c>
      <c r="U80" s="36">
        <v>1091501.3106</v>
      </c>
      <c r="V80" s="36">
        <v>-123.018</v>
      </c>
      <c r="W80" s="36">
        <v>823222.70039999997</v>
      </c>
      <c r="X80" s="36">
        <v>1091501.6359000001</v>
      </c>
      <c r="Y80" s="36">
        <v>-124.9359</v>
      </c>
      <c r="Z80" s="36">
        <f t="shared" si="1490"/>
        <v>6.7861488245202946</v>
      </c>
      <c r="AA80" s="36">
        <f t="shared" si="1491"/>
        <v>5.6392003412616427</v>
      </c>
      <c r="AB80" s="36">
        <f t="shared" ref="AB80" si="1506">IF(Xhaut="","",SQRT(((Xhautgauche-Xhaut)^2+(Yhautgauche-Yhaut)^2)+(Zhautgauche-Zhaut)^2))</f>
        <v>3.7094503716310245</v>
      </c>
      <c r="AC80" s="36">
        <f t="shared" si="1492"/>
        <v>3.287763028300601</v>
      </c>
      <c r="AD80" s="36">
        <f t="shared" si="1493"/>
        <v>5.2967757948586618</v>
      </c>
      <c r="AE80" s="36">
        <f t="shared" si="1494"/>
        <v>6.5309266486288822</v>
      </c>
      <c r="AF80" s="36">
        <f t="shared" ref="AF80" si="1507">IF(Xhautdroit="","",SQRT(((Xhautdroit-Xhautgauche)^2+(Yhautdroit-Yhautgauche)^2)+(Zhautdroit-Zhautgauche)^2))</f>
        <v>6.4313766683126312</v>
      </c>
      <c r="AG80" s="36">
        <f t="shared" si="1495"/>
        <v>8.3917188483654606</v>
      </c>
      <c r="AH80" s="36">
        <f t="shared" si="1496"/>
        <v>7.6244583530026624</v>
      </c>
      <c r="AI80" s="40">
        <f t="shared" si="1451"/>
        <v>-30.80247130539604</v>
      </c>
      <c r="AJ80" s="40">
        <f t="shared" si="1452"/>
        <v>-27.171203160010649</v>
      </c>
      <c r="AK80" s="40">
        <f t="shared" ref="AK80" si="1508">IF(AB80="","",(AB80-AB$10)*1000)</f>
        <v>-23.07490080430874</v>
      </c>
      <c r="AL80" s="40">
        <f t="shared" si="1454"/>
        <v>-9.9257289341658783</v>
      </c>
      <c r="AM80" s="40">
        <f t="shared" si="1455"/>
        <v>-20.49027239976553</v>
      </c>
      <c r="AN80" s="40">
        <f t="shared" si="1456"/>
        <v>-27.078601385706058</v>
      </c>
      <c r="AO80" s="40">
        <f t="shared" si="1457"/>
        <v>-20.226962406415971</v>
      </c>
      <c r="AP80" s="40">
        <f t="shared" si="1458"/>
        <v>-20.672613580527965</v>
      </c>
      <c r="AQ80" s="40">
        <f t="shared" si="1459"/>
        <v>-23.559811711559853</v>
      </c>
      <c r="AR80" s="37"/>
      <c r="AS80" s="40">
        <f t="shared" ref="AS80" si="1509">IF(E80="","",(E80-E$10)*1000)</f>
        <v>-9.9999946542084217E-2</v>
      </c>
      <c r="AT80" s="40">
        <f t="shared" ref="AT80" si="1510">IF(F80="","",(F80-F$10)*1000)</f>
        <v>-14.500000048428774</v>
      </c>
      <c r="AU80" s="40">
        <f t="shared" ref="AU80" si="1511">IF(G80="","",(G80-G$10)*1000)</f>
        <v>-9.9999999989108801E-2</v>
      </c>
      <c r="AV80" s="40">
        <f t="shared" ref="AV80" si="1512">IF(H80="","",(H80-H$10)*1000)</f>
        <v>1.5999999595806003</v>
      </c>
      <c r="AW80" s="40">
        <f t="shared" ref="AW80" si="1513">IF(I80="","",(I80-I$10)*1000)</f>
        <v>-12.199999997392297</v>
      </c>
      <c r="AX80" s="40">
        <f t="shared" ref="AX80" si="1514">IF(J80="","",(J80-J$10)*1000)</f>
        <v>-1.5999999999962711</v>
      </c>
      <c r="AY80" s="40">
        <f t="shared" ref="AY80" si="1515">IF(K80="","",(K80-K$10)*1000)</f>
        <v>-0.20000000949949026</v>
      </c>
      <c r="AZ80" s="40">
        <f t="shared" si="1410"/>
        <v>-13.499999884516001</v>
      </c>
      <c r="BA80" s="40">
        <f t="shared" si="1411"/>
        <v>-3.4999999999882903</v>
      </c>
      <c r="BB80" s="40">
        <f t="shared" ref="BB80" si="1516">IF(N80="","",(N80-N$10)*1000)</f>
        <v>-6.4000000711530447</v>
      </c>
      <c r="BC80" s="40">
        <f t="shared" ref="BC80" si="1517">IF(O80="","",(O80-O$10)*1000)</f>
        <v>1.2000000569969416</v>
      </c>
      <c r="BD80" s="40">
        <f t="shared" ref="BD80" si="1518">IF(P80="","",(P80-P$10)*1000)</f>
        <v>-25.90000000000714</v>
      </c>
      <c r="BE80" s="40">
        <f t="shared" ref="BE80" si="1519">IF(Q80="","",(Q80-Q$10)*1000)</f>
        <v>-5.8000000426545739</v>
      </c>
      <c r="BF80" s="40">
        <f t="shared" ref="BF80" si="1520">IF(R80="","",(R80-R$10)*1000)</f>
        <v>6.1999999452382326</v>
      </c>
      <c r="BG80" s="40">
        <f t="shared" ref="BG80" si="1521">IF(S80="","",(S80-S$10)*1000)</f>
        <v>-10.800000000003251</v>
      </c>
      <c r="BH80" s="40">
        <f t="shared" si="1418"/>
        <v>-6.9999999832361937</v>
      </c>
      <c r="BI80" s="40">
        <f t="shared" si="1419"/>
        <v>6.5999999642372131</v>
      </c>
      <c r="BJ80" s="40">
        <f t="shared" si="1420"/>
        <v>-0.60000000000570708</v>
      </c>
      <c r="BK80" s="40">
        <f t="shared" ref="BK80" si="1522">IF(W80="","",(W80-W$10)*1000)</f>
        <v>-8.9000000152736902</v>
      </c>
      <c r="BL80" s="40">
        <f t="shared" ref="BL80" si="1523">IF(X80="","",(X80-X$10)*1000)</f>
        <v>7.4000000022351742</v>
      </c>
      <c r="BM80" s="40">
        <f t="shared" ref="BM80" si="1524">IF(Y80="","",(Y80-Y$10)*1000)</f>
        <v>2.299999999991087</v>
      </c>
      <c r="BN80" s="37"/>
      <c r="BO80" s="36">
        <v>169.3688365388677</v>
      </c>
      <c r="BP80" s="36">
        <v>-3.7607532725488126</v>
      </c>
      <c r="BQ80" s="36">
        <v>-1.1609083653886785</v>
      </c>
      <c r="BR80" s="36">
        <v>169.20818394185736</v>
      </c>
      <c r="BS80" s="36">
        <v>-4.2001261473894695</v>
      </c>
      <c r="BT80" s="36">
        <v>0.82589816058141707</v>
      </c>
      <c r="BU80" s="38">
        <v>169.18556818136503</v>
      </c>
      <c r="BV80" s="39">
        <v>-3.2286496745631919</v>
      </c>
      <c r="BW80" s="39">
        <v>2.965924318186353</v>
      </c>
      <c r="BX80" s="38">
        <v>168.95832077787693</v>
      </c>
      <c r="BY80" s="39">
        <v>0.21544258134424624</v>
      </c>
      <c r="BZ80" s="39">
        <v>4.3270967922212265</v>
      </c>
      <c r="CA80" s="38">
        <v>169.19855829038804</v>
      </c>
      <c r="CB80" s="39">
        <v>3.2027101736169619</v>
      </c>
      <c r="CC80" s="39">
        <v>2.9726944170961076</v>
      </c>
      <c r="CD80" s="38">
        <v>169.18979348665809</v>
      </c>
      <c r="CE80" s="39">
        <v>4.1915697128743892</v>
      </c>
      <c r="CF80" s="39">
        <v>0.83298206513342166</v>
      </c>
      <c r="CG80" s="38">
        <v>169.25378190035227</v>
      </c>
      <c r="CH80" s="39">
        <v>3.862475831107187</v>
      </c>
      <c r="CI80" s="39">
        <v>-1.085557819003526</v>
      </c>
      <c r="CJ80" s="37"/>
      <c r="CK80" s="40">
        <f t="shared" si="1424"/>
        <v>-6.2190833232591558</v>
      </c>
      <c r="CL80" s="40">
        <f t="shared" si="1425"/>
        <v>13.098969578242858</v>
      </c>
      <c r="CM80" s="40">
        <f t="shared" si="1426"/>
        <v>-3.7809166755664592E-2</v>
      </c>
      <c r="CN80" s="40">
        <f t="shared" si="1427"/>
        <v>-3.7062872800106561</v>
      </c>
      <c r="CO80" s="40">
        <f t="shared" si="1428"/>
        <v>11.733006196415374</v>
      </c>
      <c r="CP80" s="40">
        <f t="shared" si="1429"/>
        <v>-1.5629371272041226</v>
      </c>
      <c r="CQ80" s="40">
        <f t="shared" ref="CQ80:CQ81" si="1525">IF(BU80="","",(BU80-BU$10)*1000)</f>
        <v>-5.8870605058416459</v>
      </c>
      <c r="CR80" s="40">
        <f t="shared" ref="CR80:CR81" si="1526">IF(BV80="","",(BV80-BV$10)*1000)</f>
        <v>12.150412152905243</v>
      </c>
      <c r="CS80" s="40">
        <f t="shared" ref="CS80:CS81" si="1527">IF(BW80="","",(BW80-BW$10)*1000)</f>
        <v>-3.4411293949290211</v>
      </c>
      <c r="CT80" s="40">
        <f t="shared" si="1497"/>
        <v>-5.2930867429097361</v>
      </c>
      <c r="CU80" s="40">
        <f t="shared" si="1498"/>
        <v>-3.792523405313053</v>
      </c>
      <c r="CV80" s="40">
        <f t="shared" si="1499"/>
        <v>-25.847069132581169</v>
      </c>
      <c r="CW80" s="40">
        <f t="shared" si="1500"/>
        <v>-2.6360514843304372</v>
      </c>
      <c r="CX80" s="40">
        <f t="shared" si="1501"/>
        <v>-8.0703923317009263</v>
      </c>
      <c r="CY80" s="40">
        <f t="shared" si="1502"/>
        <v>-10.773639485165631</v>
      </c>
      <c r="CZ80" s="40">
        <f t="shared" si="1439"/>
        <v>-3.5545410774204811</v>
      </c>
      <c r="DA80" s="40">
        <f t="shared" si="1440"/>
        <v>-8.9400915556039351</v>
      </c>
      <c r="DB80" s="40">
        <f t="shared" si="1441"/>
        <v>-0.56445458922382841</v>
      </c>
      <c r="DC80" s="40">
        <f t="shared" si="1503"/>
        <v>-4.9383743757118737</v>
      </c>
      <c r="DD80" s="40">
        <f t="shared" si="1504"/>
        <v>-10.468164062065188</v>
      </c>
      <c r="DE80" s="40">
        <f t="shared" si="1505"/>
        <v>2.3493837437484899</v>
      </c>
    </row>
    <row r="81" spans="1:109" ht="29.25" customHeight="1" x14ac:dyDescent="0.2">
      <c r="A81" s="34">
        <v>43990</v>
      </c>
      <c r="B81" s="27">
        <f t="shared" si="1489"/>
        <v>391</v>
      </c>
      <c r="C81" s="96">
        <v>222.9</v>
      </c>
      <c r="D81" s="35">
        <f t="shared" si="1479"/>
        <v>53.700000000000017</v>
      </c>
      <c r="E81" s="36">
        <v>823219.58369999996</v>
      </c>
      <c r="F81" s="36">
        <v>1091508.5922000001</v>
      </c>
      <c r="G81" s="36">
        <v>-125.0107</v>
      </c>
      <c r="H81" s="36">
        <v>823219.2524</v>
      </c>
      <c r="I81" s="36">
        <v>1091508.9225999999</v>
      </c>
      <c r="J81" s="36">
        <v>-123.0252</v>
      </c>
      <c r="K81" s="137" t="s">
        <v>85</v>
      </c>
      <c r="L81" s="138"/>
      <c r="M81" s="139"/>
      <c r="N81" s="36">
        <v>823220.89170000004</v>
      </c>
      <c r="O81" s="36">
        <v>1091504.8144</v>
      </c>
      <c r="P81" s="36">
        <v>-119.5266</v>
      </c>
      <c r="Q81" s="36">
        <v>823222.37150000001</v>
      </c>
      <c r="R81" s="36">
        <v>1091502.2087999999</v>
      </c>
      <c r="S81" s="36">
        <v>-120.879</v>
      </c>
      <c r="T81" s="36">
        <v>823222.78130000003</v>
      </c>
      <c r="U81" s="36">
        <v>1091501.3089999999</v>
      </c>
      <c r="V81" s="36">
        <v>-123.0183</v>
      </c>
      <c r="W81" s="36">
        <v>823222.7</v>
      </c>
      <c r="X81" s="36">
        <v>1091501.6342</v>
      </c>
      <c r="Y81" s="36">
        <v>-124.9362</v>
      </c>
      <c r="Z81" s="36">
        <f t="shared" si="1490"/>
        <v>6.7866036903964977</v>
      </c>
      <c r="AA81" s="36">
        <f t="shared" si="1491"/>
        <v>5.6395756657137213</v>
      </c>
      <c r="AB81" s="36"/>
      <c r="AC81" s="36">
        <f t="shared" si="1492"/>
        <v>3.2875439404781917</v>
      </c>
      <c r="AD81" s="36">
        <f t="shared" si="1493"/>
        <v>5.2962615315864987</v>
      </c>
      <c r="AE81" s="36">
        <f t="shared" si="1494"/>
        <v>6.5304971548945447</v>
      </c>
      <c r="AF81" s="36"/>
      <c r="AG81" s="36">
        <f t="shared" si="1495"/>
        <v>8.3916677592036226</v>
      </c>
      <c r="AH81" s="36">
        <f t="shared" si="1496"/>
        <v>7.6243452139422256</v>
      </c>
      <c r="AI81" s="40">
        <f t="shared" ref="AI81:AM85" si="1528">IF(Z81="","",(Z81-Z$10)*1000)</f>
        <v>-30.347605429192903</v>
      </c>
      <c r="AJ81" s="40">
        <f t="shared" si="1528"/>
        <v>-26.795878707932097</v>
      </c>
      <c r="AK81" s="40" t="str">
        <f t="shared" si="1528"/>
        <v/>
      </c>
      <c r="AL81" s="40">
        <f t="shared" si="1528"/>
        <v>-10.144816756575192</v>
      </c>
      <c r="AM81" s="40">
        <f t="shared" si="1528"/>
        <v>-21.004535671928615</v>
      </c>
      <c r="AN81" s="40">
        <f t="shared" ref="AN81:AP85" si="1529">IF(AE81="","",(AE81-AE$10)*1000)</f>
        <v>-27.508095120043485</v>
      </c>
      <c r="AO81" s="40" t="str">
        <f t="shared" si="1529"/>
        <v/>
      </c>
      <c r="AP81" s="40">
        <f t="shared" si="1529"/>
        <v>-20.723702742365901</v>
      </c>
      <c r="AQ81" s="40">
        <f>IF(AH81="","",(AH81-AH$10)*1000)</f>
        <v>-23.672950771996604</v>
      </c>
      <c r="AR81" s="37"/>
      <c r="AS81" s="40">
        <f t="shared" si="1403"/>
        <v>0.89999998454004526</v>
      </c>
      <c r="AT81" s="40">
        <f t="shared" si="1404"/>
        <v>-15.699999872595072</v>
      </c>
      <c r="AU81" s="40">
        <f t="shared" si="1405"/>
        <v>-0.69999999999481588</v>
      </c>
      <c r="AV81" s="40">
        <f t="shared" si="1406"/>
        <v>2.6000000070780516</v>
      </c>
      <c r="AW81" s="40">
        <f t="shared" si="1407"/>
        <v>-13.299999991431832</v>
      </c>
      <c r="AX81" s="40">
        <f t="shared" si="1408"/>
        <v>-1.8999999999920192</v>
      </c>
      <c r="AY81" s="40"/>
      <c r="AZ81" s="40" t="str">
        <f t="shared" si="1410"/>
        <v/>
      </c>
      <c r="BA81" s="40" t="str">
        <f t="shared" si="1411"/>
        <v/>
      </c>
      <c r="BB81" s="40">
        <f t="shared" si="1412"/>
        <v>-5.8999999891966581</v>
      </c>
      <c r="BC81" s="40">
        <f t="shared" si="1413"/>
        <v>-0.699999975040555</v>
      </c>
      <c r="BD81" s="40">
        <f t="shared" si="1414"/>
        <v>-26.300000000006207</v>
      </c>
      <c r="BE81" s="40">
        <f t="shared" si="1415"/>
        <v>-5.8000000426545739</v>
      </c>
      <c r="BF81" s="40">
        <f t="shared" si="1416"/>
        <v>4.4999998062849045</v>
      </c>
      <c r="BG81" s="40">
        <f t="shared" si="1417"/>
        <v>-11.600000000001387</v>
      </c>
      <c r="BH81" s="40">
        <f t="shared" si="1418"/>
        <v>-7.1999999927356839</v>
      </c>
      <c r="BI81" s="40">
        <f t="shared" si="1419"/>
        <v>4.999999888241291</v>
      </c>
      <c r="BJ81" s="40">
        <f t="shared" si="1420"/>
        <v>-0.90000000000145519</v>
      </c>
      <c r="BK81" s="40">
        <f t="shared" si="1421"/>
        <v>-9.3000000342726707</v>
      </c>
      <c r="BL81" s="40">
        <f t="shared" si="1422"/>
        <v>5.699999863281846</v>
      </c>
      <c r="BM81" s="40">
        <f t="shared" si="1423"/>
        <v>1.9999999999953388</v>
      </c>
      <c r="BN81" s="37"/>
      <c r="BO81" s="36">
        <v>169.36923564851659</v>
      </c>
      <c r="BP81" s="36">
        <v>-3.7592430702682242</v>
      </c>
      <c r="BQ81" s="36">
        <v>-1.1615123564851757</v>
      </c>
      <c r="BR81" s="36">
        <v>169.20862531674101</v>
      </c>
      <c r="BS81" s="36">
        <v>-4.1987065741106209</v>
      </c>
      <c r="BT81" s="36">
        <v>0.82559374683259534</v>
      </c>
      <c r="BU81" s="38"/>
      <c r="BV81" s="39"/>
      <c r="BW81" s="39"/>
      <c r="BX81" s="38">
        <v>168.95797088514306</v>
      </c>
      <c r="BY81" s="39">
        <v>0.21737586230637418</v>
      </c>
      <c r="BZ81" s="39">
        <v>4.326700291148569</v>
      </c>
      <c r="CA81" s="38">
        <v>169.19783978191214</v>
      </c>
      <c r="CB81" s="39">
        <v>3.2042508702264643</v>
      </c>
      <c r="CC81" s="39">
        <v>2.9719016021808642</v>
      </c>
      <c r="CD81" s="38">
        <v>169.18893598499139</v>
      </c>
      <c r="CE81" s="39">
        <v>4.1929352498158945</v>
      </c>
      <c r="CF81" s="39">
        <v>0.83269064015009064</v>
      </c>
      <c r="CG81" s="38">
        <v>169.25270087503952</v>
      </c>
      <c r="CH81" s="39">
        <v>3.8638474669046281</v>
      </c>
      <c r="CI81" s="39">
        <v>-1.0858470087503918</v>
      </c>
      <c r="CJ81" s="37"/>
      <c r="CK81" s="40">
        <f t="shared" si="1424"/>
        <v>-5.8199736743631547</v>
      </c>
      <c r="CL81" s="40">
        <f t="shared" si="1425"/>
        <v>14.60917185883126</v>
      </c>
      <c r="CM81" s="40">
        <f t="shared" si="1426"/>
        <v>-0.64180026325288964</v>
      </c>
      <c r="CN81" s="40">
        <f t="shared" si="1427"/>
        <v>-3.2649123963608417</v>
      </c>
      <c r="CO81" s="40">
        <f t="shared" si="1428"/>
        <v>13.152579475264048</v>
      </c>
      <c r="CP81" s="40">
        <f t="shared" si="1429"/>
        <v>-1.8673508760258528</v>
      </c>
      <c r="CQ81" s="40" t="str">
        <f t="shared" si="1525"/>
        <v/>
      </c>
      <c r="CR81" s="40" t="str">
        <f t="shared" si="1526"/>
        <v/>
      </c>
      <c r="CS81" s="40" t="str">
        <f t="shared" si="1527"/>
        <v/>
      </c>
      <c r="CT81" s="40">
        <f t="shared" si="1497"/>
        <v>-5.6429794767893782</v>
      </c>
      <c r="CU81" s="40">
        <f t="shared" si="1498"/>
        <v>-1.8592424431851107</v>
      </c>
      <c r="CV81" s="40">
        <f t="shared" si="1499"/>
        <v>-26.243570205238598</v>
      </c>
      <c r="CW81" s="40">
        <f t="shared" si="1500"/>
        <v>-3.3545599602291531</v>
      </c>
      <c r="CX81" s="40">
        <f t="shared" si="1501"/>
        <v>-6.5296957221985252</v>
      </c>
      <c r="CY81" s="40">
        <f t="shared" si="1502"/>
        <v>-11.566454400409043</v>
      </c>
      <c r="CZ81" s="40">
        <f t="shared" si="1439"/>
        <v>-4.412042744121436</v>
      </c>
      <c r="DA81" s="40">
        <f t="shared" si="1440"/>
        <v>-7.5745546140986164</v>
      </c>
      <c r="DB81" s="40">
        <f t="shared" si="1441"/>
        <v>-0.85587957255484071</v>
      </c>
      <c r="DC81" s="40">
        <f t="shared" si="1503"/>
        <v>-6.0193996884549961</v>
      </c>
      <c r="DD81" s="40">
        <f t="shared" si="1504"/>
        <v>-9.0965282646240375</v>
      </c>
      <c r="DE81" s="40">
        <f t="shared" si="1505"/>
        <v>2.060193996882731</v>
      </c>
    </row>
    <row r="82" spans="1:109" ht="29.25" customHeight="1" x14ac:dyDescent="0.2">
      <c r="A82" s="34">
        <v>43997</v>
      </c>
      <c r="B82" s="27">
        <f t="shared" si="1489"/>
        <v>398</v>
      </c>
      <c r="C82" s="96">
        <v>222.9</v>
      </c>
      <c r="D82" s="35">
        <f t="shared" si="1479"/>
        <v>53.700000000000017</v>
      </c>
      <c r="E82" s="36">
        <v>823219.58349999995</v>
      </c>
      <c r="F82" s="36">
        <v>1091508.5928</v>
      </c>
      <c r="G82" s="36">
        <v>-125.0094</v>
      </c>
      <c r="H82" s="36">
        <v>823219.25210000004</v>
      </c>
      <c r="I82" s="36">
        <v>1091508.9231</v>
      </c>
      <c r="J82" s="36">
        <v>-123.02419999999999</v>
      </c>
      <c r="K82" s="137" t="s">
        <v>85</v>
      </c>
      <c r="L82" s="138"/>
      <c r="M82" s="139"/>
      <c r="N82" s="36">
        <v>823220.89170000004</v>
      </c>
      <c r="O82" s="36">
        <v>1091504.8155</v>
      </c>
      <c r="P82" s="36">
        <v>-119.5256</v>
      </c>
      <c r="Q82" s="36">
        <v>823222.37170000002</v>
      </c>
      <c r="R82" s="36">
        <v>1091502.21</v>
      </c>
      <c r="S82" s="36">
        <v>-120.8779</v>
      </c>
      <c r="T82" s="36">
        <v>823222.78159999999</v>
      </c>
      <c r="U82" s="36">
        <v>1091501.3099</v>
      </c>
      <c r="V82" s="36">
        <v>-123.0171</v>
      </c>
      <c r="W82" s="36">
        <v>823222.70019999996</v>
      </c>
      <c r="X82" s="36">
        <v>1091501.6351999999</v>
      </c>
      <c r="Y82" s="36">
        <v>-124.93510000000001</v>
      </c>
      <c r="Z82" s="36">
        <f t="shared" si="1490"/>
        <v>6.7861214968425898</v>
      </c>
      <c r="AA82" s="36">
        <f t="shared" si="1491"/>
        <v>5.6392258227427465</v>
      </c>
      <c r="AB82" s="36"/>
      <c r="AC82" s="36">
        <f t="shared" si="1492"/>
        <v>3.2875135802418942</v>
      </c>
      <c r="AD82" s="36">
        <f t="shared" si="1493"/>
        <v>5.2963690977921196</v>
      </c>
      <c r="AE82" s="36">
        <f t="shared" si="1494"/>
        <v>6.5305184013614603</v>
      </c>
      <c r="AF82" s="36"/>
      <c r="AG82" s="36">
        <f t="shared" si="1495"/>
        <v>8.3915573584375682</v>
      </c>
      <c r="AH82" s="36">
        <f t="shared" si="1496"/>
        <v>7.6241417314487077</v>
      </c>
      <c r="AI82" s="40">
        <f t="shared" si="1528"/>
        <v>-30.829798983100787</v>
      </c>
      <c r="AJ82" s="40">
        <f t="shared" si="1528"/>
        <v>-27.145721678906831</v>
      </c>
      <c r="AK82" s="40" t="str">
        <f t="shared" si="1528"/>
        <v/>
      </c>
      <c r="AL82" s="40">
        <f t="shared" si="1528"/>
        <v>-10.175176992872625</v>
      </c>
      <c r="AM82" s="40">
        <f t="shared" si="1528"/>
        <v>-20.896969466307702</v>
      </c>
      <c r="AN82" s="40">
        <f t="shared" si="1529"/>
        <v>-27.486848653127893</v>
      </c>
      <c r="AO82" s="40" t="str">
        <f t="shared" si="1529"/>
        <v/>
      </c>
      <c r="AP82" s="40">
        <f t="shared" si="1529"/>
        <v>-20.834103508420299</v>
      </c>
      <c r="AQ82" s="40">
        <f>IF(AH82="","",(AH82-AH$10)*1000)</f>
        <v>-23.876433265514585</v>
      </c>
      <c r="AR82" s="37"/>
      <c r="AS82" s="40">
        <f t="shared" si="1403"/>
        <v>0.699999975040555</v>
      </c>
      <c r="AT82" s="40">
        <f t="shared" si="1404"/>
        <v>-15.099999960511923</v>
      </c>
      <c r="AU82" s="40">
        <f t="shared" si="1405"/>
        <v>0.60000000000570708</v>
      </c>
      <c r="AV82" s="40">
        <f t="shared" si="1406"/>
        <v>2.3000000510364771</v>
      </c>
      <c r="AW82" s="40">
        <f t="shared" si="1407"/>
        <v>-12.799999909475446</v>
      </c>
      <c r="AX82" s="40">
        <f t="shared" si="1408"/>
        <v>-0.89999999998724434</v>
      </c>
      <c r="AY82" s="40"/>
      <c r="AZ82" s="40" t="str">
        <f t="shared" si="1410"/>
        <v/>
      </c>
      <c r="BA82" s="40" t="str">
        <f t="shared" si="1411"/>
        <v/>
      </c>
      <c r="BB82" s="40">
        <f t="shared" si="1412"/>
        <v>-5.8999999891966581</v>
      </c>
      <c r="BC82" s="40">
        <f t="shared" si="1413"/>
        <v>0.40000001899898052</v>
      </c>
      <c r="BD82" s="40">
        <f t="shared" si="1414"/>
        <v>-25.300000000001432</v>
      </c>
      <c r="BE82" s="40">
        <f t="shared" si="1415"/>
        <v>-5.6000000331550837</v>
      </c>
      <c r="BF82" s="40">
        <f t="shared" si="1416"/>
        <v>5.699999863281846</v>
      </c>
      <c r="BG82" s="40">
        <f t="shared" si="1417"/>
        <v>-10.499999999993292</v>
      </c>
      <c r="BH82" s="40">
        <f t="shared" si="1418"/>
        <v>-6.9000000366941094</v>
      </c>
      <c r="BI82" s="40">
        <f t="shared" si="1419"/>
        <v>5.8999999891966581</v>
      </c>
      <c r="BJ82" s="40">
        <f t="shared" si="1420"/>
        <v>0.29999999999574811</v>
      </c>
      <c r="BK82" s="40">
        <f t="shared" si="1421"/>
        <v>-9.1000000247731805</v>
      </c>
      <c r="BL82" s="40">
        <f t="shared" si="1422"/>
        <v>6.6999997943639755</v>
      </c>
      <c r="BM82" s="40">
        <f t="shared" si="1423"/>
        <v>3.0999999999892225</v>
      </c>
      <c r="BN82" s="37"/>
      <c r="BO82" s="36">
        <v>169.36930798126707</v>
      </c>
      <c r="BP82" s="36">
        <v>-3.7598713758240963</v>
      </c>
      <c r="BQ82" s="36">
        <v>-1.160213079812678</v>
      </c>
      <c r="BR82" s="36">
        <v>169.20856475520577</v>
      </c>
      <c r="BS82" s="36">
        <v>-4.1992865157939381</v>
      </c>
      <c r="BT82" s="36">
        <v>0.82659435244794111</v>
      </c>
      <c r="BU82" s="38" t="s">
        <v>81</v>
      </c>
      <c r="BV82" s="39" t="s">
        <v>81</v>
      </c>
      <c r="BW82" s="39" t="s">
        <v>81</v>
      </c>
      <c r="BX82" s="38">
        <v>168.95843580235166</v>
      </c>
      <c r="BY82" s="39">
        <v>0.21637894105771247</v>
      </c>
      <c r="BZ82" s="39">
        <v>4.3276956419764758</v>
      </c>
      <c r="CA82" s="38">
        <v>169.19852822276678</v>
      </c>
      <c r="CB82" s="39">
        <v>3.2032478501218549</v>
      </c>
      <c r="CC82" s="39">
        <v>2.9729947177723375</v>
      </c>
      <c r="CD82" s="38">
        <v>169.18958825941803</v>
      </c>
      <c r="CE82" s="39">
        <v>4.192246382464611</v>
      </c>
      <c r="CF82" s="39">
        <v>0.83388411740581603</v>
      </c>
      <c r="CG82" s="38">
        <v>169.2533047854389</v>
      </c>
      <c r="CH82" s="39">
        <v>3.8630257053239605</v>
      </c>
      <c r="CI82" s="39">
        <v>-1.0847530478543916</v>
      </c>
      <c r="CJ82" s="37"/>
      <c r="CK82" s="40">
        <f t="shared" si="1424"/>
        <v>-5.7476409238859105</v>
      </c>
      <c r="CL82" s="40">
        <f t="shared" si="1425"/>
        <v>13.980866302959249</v>
      </c>
      <c r="CM82" s="40">
        <f t="shared" si="1426"/>
        <v>0.6574764092448504</v>
      </c>
      <c r="CN82" s="40">
        <f t="shared" si="1427"/>
        <v>-3.3254739315964343</v>
      </c>
      <c r="CO82" s="40">
        <f t="shared" si="1428"/>
        <v>12.572637791946839</v>
      </c>
      <c r="CP82" s="40">
        <f t="shared" si="1429"/>
        <v>-0.86674526068009072</v>
      </c>
      <c r="CQ82" s="40"/>
      <c r="CR82" s="40"/>
      <c r="CS82" s="40"/>
      <c r="CT82" s="40">
        <f t="shared" si="1497"/>
        <v>-5.1780622681860677</v>
      </c>
      <c r="CU82" s="40">
        <f t="shared" si="1498"/>
        <v>-2.8561636918468247</v>
      </c>
      <c r="CV82" s="40">
        <f t="shared" si="1499"/>
        <v>-25.248219377331793</v>
      </c>
      <c r="CW82" s="40">
        <f t="shared" si="1500"/>
        <v>-2.6661191055836753</v>
      </c>
      <c r="CX82" s="40">
        <f t="shared" si="1501"/>
        <v>-7.5327158268079231</v>
      </c>
      <c r="CY82" s="40">
        <f t="shared" si="1502"/>
        <v>-10.47333880893575</v>
      </c>
      <c r="CZ82" s="40">
        <f t="shared" si="1439"/>
        <v>-3.7597683174794838</v>
      </c>
      <c r="DA82" s="40">
        <f t="shared" si="1440"/>
        <v>-8.2634219653821006</v>
      </c>
      <c r="DB82" s="40">
        <f t="shared" si="1441"/>
        <v>0.33759768317054295</v>
      </c>
      <c r="DC82" s="40">
        <f t="shared" si="1503"/>
        <v>-5.4154892890778683</v>
      </c>
      <c r="DD82" s="40">
        <f t="shared" si="1504"/>
        <v>-9.918289845291639</v>
      </c>
      <c r="DE82" s="40">
        <f t="shared" si="1505"/>
        <v>3.1541548928828433</v>
      </c>
    </row>
    <row r="83" spans="1:109" ht="29.25" customHeight="1" x14ac:dyDescent="0.2">
      <c r="A83" s="34">
        <v>44004</v>
      </c>
      <c r="B83" s="27">
        <f t="shared" si="1489"/>
        <v>405</v>
      </c>
      <c r="C83" s="96">
        <v>222.9</v>
      </c>
      <c r="D83" s="35">
        <f t="shared" si="1479"/>
        <v>53.700000000000017</v>
      </c>
      <c r="E83" s="36">
        <v>823219.58330000006</v>
      </c>
      <c r="F83" s="36">
        <v>1091508.5930000001</v>
      </c>
      <c r="G83" s="36">
        <v>-125.01</v>
      </c>
      <c r="H83" s="36">
        <v>823219.25179999997</v>
      </c>
      <c r="I83" s="36">
        <v>1091508.9234</v>
      </c>
      <c r="J83" s="36">
        <v>-123.0248</v>
      </c>
      <c r="K83" s="137" t="s">
        <v>85</v>
      </c>
      <c r="L83" s="138"/>
      <c r="M83" s="139"/>
      <c r="N83" s="36">
        <v>823220.89139999996</v>
      </c>
      <c r="O83" s="36">
        <v>1091504.8154</v>
      </c>
      <c r="P83" s="36">
        <v>-119.526</v>
      </c>
      <c r="Q83" s="36">
        <v>823222.37139999995</v>
      </c>
      <c r="R83" s="36">
        <v>1091502.2098000001</v>
      </c>
      <c r="S83" s="36">
        <v>-120.8784</v>
      </c>
      <c r="T83" s="36">
        <v>823222.78130000003</v>
      </c>
      <c r="U83" s="36">
        <v>1091501.3097999999</v>
      </c>
      <c r="V83" s="36">
        <v>-123.0177</v>
      </c>
      <c r="W83" s="36">
        <v>823222.69979999994</v>
      </c>
      <c r="X83" s="36">
        <v>1091501.635</v>
      </c>
      <c r="Y83" s="36">
        <v>-124.9355</v>
      </c>
      <c r="Z83" s="36">
        <f t="shared" si="1490"/>
        <v>6.7864308270892169</v>
      </c>
      <c r="AA83" s="36">
        <f t="shared" si="1491"/>
        <v>5.6396412651909644</v>
      </c>
      <c r="AB83" s="36"/>
      <c r="AC83" s="36">
        <f t="shared" si="1492"/>
        <v>3.2876339698010262</v>
      </c>
      <c r="AD83" s="36">
        <f t="shared" si="1493"/>
        <v>5.2965009450095808</v>
      </c>
      <c r="AE83" s="36">
        <f t="shared" si="1494"/>
        <v>6.5305394087803732</v>
      </c>
      <c r="AF83" s="36"/>
      <c r="AG83" s="36">
        <f t="shared" si="1495"/>
        <v>8.3919202582638253</v>
      </c>
      <c r="AH83" s="36">
        <f t="shared" si="1496"/>
        <v>7.6244269621196654</v>
      </c>
      <c r="AI83" s="40">
        <f t="shared" si="1528"/>
        <v>-30.520468736473738</v>
      </c>
      <c r="AJ83" s="40">
        <f t="shared" si="1528"/>
        <v>-26.730279230688936</v>
      </c>
      <c r="AK83" s="40" t="str">
        <f t="shared" si="1528"/>
        <v/>
      </c>
      <c r="AL83" s="40">
        <f t="shared" si="1528"/>
        <v>-10.054787433740664</v>
      </c>
      <c r="AM83" s="40">
        <f t="shared" si="1528"/>
        <v>-20.765122248846524</v>
      </c>
      <c r="AN83" s="40">
        <f t="shared" si="1529"/>
        <v>-27.465841234215027</v>
      </c>
      <c r="AO83" s="40" t="str">
        <f t="shared" si="1529"/>
        <v/>
      </c>
      <c r="AP83" s="40">
        <f t="shared" si="1529"/>
        <v>-20.471203682163264</v>
      </c>
      <c r="AQ83" s="40">
        <f>IF(AH83="","",(AH83-AH$10)*1000)</f>
        <v>-23.591202594556826</v>
      </c>
      <c r="AR83" s="37"/>
      <c r="AS83" s="40">
        <f t="shared" si="1403"/>
        <v>0.50000008195638657</v>
      </c>
      <c r="AT83" s="40">
        <f t="shared" si="1404"/>
        <v>-14.899999834597111</v>
      </c>
      <c r="AU83" s="40">
        <f t="shared" si="1405"/>
        <v>0</v>
      </c>
      <c r="AV83" s="40">
        <f t="shared" si="1406"/>
        <v>1.9999999785795808</v>
      </c>
      <c r="AW83" s="40">
        <f t="shared" si="1407"/>
        <v>-12.499999953433871</v>
      </c>
      <c r="AX83" s="40">
        <f t="shared" si="1408"/>
        <v>-1.4999999999929514</v>
      </c>
      <c r="AY83" s="40"/>
      <c r="AZ83" s="40" t="str">
        <f t="shared" si="1410"/>
        <v/>
      </c>
      <c r="BA83" s="40" t="str">
        <f t="shared" si="1411"/>
        <v/>
      </c>
      <c r="BB83" s="40">
        <f t="shared" si="1412"/>
        <v>-6.2000000616535544</v>
      </c>
      <c r="BC83" s="40">
        <f t="shared" si="1413"/>
        <v>0.29999995604157448</v>
      </c>
      <c r="BD83" s="40">
        <f t="shared" si="1414"/>
        <v>-25.7000000000005</v>
      </c>
      <c r="BE83" s="40">
        <f t="shared" si="1415"/>
        <v>-5.90000010561198</v>
      </c>
      <c r="BF83" s="40">
        <f t="shared" si="1416"/>
        <v>5.4999999701976776</v>
      </c>
      <c r="BG83" s="40">
        <f t="shared" si="1417"/>
        <v>-10.99999999999568</v>
      </c>
      <c r="BH83" s="40">
        <f t="shared" si="1418"/>
        <v>-7.1999999927356839</v>
      </c>
      <c r="BI83" s="40">
        <f t="shared" si="1419"/>
        <v>5.7999999262392521</v>
      </c>
      <c r="BJ83" s="40">
        <f t="shared" si="1420"/>
        <v>-0.30000000000995897</v>
      </c>
      <c r="BK83" s="40">
        <f t="shared" si="1421"/>
        <v>-9.500000043772161</v>
      </c>
      <c r="BL83" s="40">
        <f t="shared" si="1422"/>
        <v>6.4999999012798071</v>
      </c>
      <c r="BM83" s="40">
        <f t="shared" si="1423"/>
        <v>2.6999999999901547</v>
      </c>
      <c r="BN83" s="37"/>
      <c r="BO83" s="36">
        <v>169.36921125340936</v>
      </c>
      <c r="BP83" s="36">
        <v>-3.7601371647048416</v>
      </c>
      <c r="BQ83" s="36">
        <v>-1.1608121125341029</v>
      </c>
      <c r="BR83" s="36">
        <v>169.20841966310982</v>
      </c>
      <c r="BS83" s="36">
        <v>-4.1996851990024986</v>
      </c>
      <c r="BT83" s="36">
        <v>0.82599580336889744</v>
      </c>
      <c r="BU83" s="38" t="s">
        <v>81</v>
      </c>
      <c r="BV83" s="39" t="s">
        <v>81</v>
      </c>
      <c r="BW83" s="39" t="s">
        <v>81</v>
      </c>
      <c r="BX83" s="38">
        <v>168.95812164944363</v>
      </c>
      <c r="BY83" s="39">
        <v>0.21634277468600527</v>
      </c>
      <c r="BZ83" s="39">
        <v>4.3272987835055687</v>
      </c>
      <c r="CA83" s="38">
        <v>169.19817180472953</v>
      </c>
      <c r="CB83" s="39">
        <v>3.203302312801144</v>
      </c>
      <c r="CC83" s="39">
        <v>2.9724982819526957</v>
      </c>
      <c r="CD83" s="38">
        <v>169.18927410661553</v>
      </c>
      <c r="CE83" s="39">
        <v>4.1922102161421169</v>
      </c>
      <c r="CF83" s="39">
        <v>0.83328725893383648</v>
      </c>
      <c r="CG83" s="38">
        <v>169.25285773824518</v>
      </c>
      <c r="CH83" s="39">
        <v>3.8630379028248178</v>
      </c>
      <c r="CI83" s="39">
        <v>-1.085148577382455</v>
      </c>
      <c r="CJ83" s="37"/>
      <c r="CK83" s="40">
        <f t="shared" si="1424"/>
        <v>-5.8443687815952217</v>
      </c>
      <c r="CL83" s="40">
        <f t="shared" si="1425"/>
        <v>13.715077422213895</v>
      </c>
      <c r="CM83" s="40">
        <f t="shared" si="1426"/>
        <v>5.8443687819931256E-2</v>
      </c>
      <c r="CN83" s="40">
        <f t="shared" si="1427"/>
        <v>-3.4705660275449191</v>
      </c>
      <c r="CO83" s="40">
        <f t="shared" si="1428"/>
        <v>12.173954583386326</v>
      </c>
      <c r="CP83" s="40">
        <f t="shared" si="1429"/>
        <v>-1.465294339723755</v>
      </c>
      <c r="CQ83" s="40"/>
      <c r="CR83" s="40"/>
      <c r="CS83" s="40"/>
      <c r="CT83" s="40">
        <f t="shared" si="1497"/>
        <v>-5.4922151762184512</v>
      </c>
      <c r="CU83" s="40">
        <f t="shared" si="1498"/>
        <v>-2.8923300635540219</v>
      </c>
      <c r="CV83" s="40">
        <f t="shared" si="1499"/>
        <v>-25.645077848238884</v>
      </c>
      <c r="CW83" s="40">
        <f t="shared" si="1500"/>
        <v>-3.0225371428400649</v>
      </c>
      <c r="CX83" s="40">
        <f t="shared" si="1501"/>
        <v>-7.4782531475188208</v>
      </c>
      <c r="CY83" s="40">
        <f t="shared" si="1502"/>
        <v>-10.969774628577511</v>
      </c>
      <c r="CZ83" s="40">
        <f t="shared" si="1439"/>
        <v>-4.0739211199820602</v>
      </c>
      <c r="DA83" s="40">
        <f t="shared" si="1440"/>
        <v>-8.2995882878762473</v>
      </c>
      <c r="DB83" s="40">
        <f t="shared" si="1441"/>
        <v>-0.2592607888090015</v>
      </c>
      <c r="DC83" s="40">
        <f t="shared" si="1503"/>
        <v>-5.8625364827946669</v>
      </c>
      <c r="DD83" s="40">
        <f t="shared" si="1504"/>
        <v>-9.9060923444342919</v>
      </c>
      <c r="DE83" s="40">
        <f t="shared" si="1505"/>
        <v>2.7586253648195225</v>
      </c>
    </row>
    <row r="84" spans="1:109" ht="29.25" customHeight="1" x14ac:dyDescent="0.2">
      <c r="A84" s="34">
        <v>44018</v>
      </c>
      <c r="B84" s="27">
        <f t="shared" si="1489"/>
        <v>419</v>
      </c>
      <c r="C84" s="96">
        <v>222.9</v>
      </c>
      <c r="D84" s="35">
        <f t="shared" si="1479"/>
        <v>53.700000000000017</v>
      </c>
      <c r="E84" s="36">
        <v>823219.58360000001</v>
      </c>
      <c r="F84" s="36">
        <v>1091508.5926999999</v>
      </c>
      <c r="G84" s="36">
        <v>-125.0103</v>
      </c>
      <c r="H84" s="36">
        <v>823219.2524</v>
      </c>
      <c r="I84" s="36">
        <v>1091508.9228999999</v>
      </c>
      <c r="J84" s="36">
        <v>-123.0248</v>
      </c>
      <c r="K84" s="36" t="s">
        <v>81</v>
      </c>
      <c r="L84" s="36" t="s">
        <v>81</v>
      </c>
      <c r="M84" s="36" t="s">
        <v>81</v>
      </c>
      <c r="N84" s="36">
        <v>823220.89159999997</v>
      </c>
      <c r="O84" s="36">
        <v>1091504.8152999999</v>
      </c>
      <c r="P84" s="36">
        <v>-119.52670000000001</v>
      </c>
      <c r="Q84" s="36">
        <v>823222.37150000001</v>
      </c>
      <c r="R84" s="36">
        <v>1091502.2098000001</v>
      </c>
      <c r="S84" s="36">
        <v>-120.8789</v>
      </c>
      <c r="T84" s="36">
        <v>823222.78139999998</v>
      </c>
      <c r="U84" s="36">
        <v>1091501.3097999999</v>
      </c>
      <c r="V84" s="36">
        <v>-123.01779999999999</v>
      </c>
      <c r="W84" s="36">
        <v>823222.69990000001</v>
      </c>
      <c r="X84" s="36">
        <v>1091501.6348999999</v>
      </c>
      <c r="Y84" s="36">
        <v>-124.93559999999999</v>
      </c>
      <c r="Z84" s="36">
        <f t="shared" si="1490"/>
        <v>6.7859769908286038</v>
      </c>
      <c r="AA84" s="36">
        <f t="shared" si="1491"/>
        <v>5.6387993411564405</v>
      </c>
      <c r="AB84" s="36"/>
      <c r="AC84" s="36">
        <f t="shared" si="1492"/>
        <v>3.287427428738134</v>
      </c>
      <c r="AD84" s="36">
        <f t="shared" si="1493"/>
        <v>5.2960035403885328</v>
      </c>
      <c r="AE84" s="36">
        <f t="shared" si="1494"/>
        <v>6.5300147212565021</v>
      </c>
      <c r="AF84" s="36"/>
      <c r="AG84" s="36">
        <f t="shared" si="1495"/>
        <v>8.3912562592994586</v>
      </c>
      <c r="AH84" s="36">
        <f t="shared" si="1496"/>
        <v>7.6241646506100267</v>
      </c>
      <c r="AI84" s="40">
        <f t="shared" si="1528"/>
        <v>-30.974304997086755</v>
      </c>
      <c r="AJ84" s="40">
        <f t="shared" si="1528"/>
        <v>-27.572203265212814</v>
      </c>
      <c r="AK84" s="40" t="str">
        <f t="shared" si="1528"/>
        <v/>
      </c>
      <c r="AL84" s="40">
        <f t="shared" si="1528"/>
        <v>-10.26132849663286</v>
      </c>
      <c r="AM84" s="40">
        <f t="shared" si="1528"/>
        <v>-21.262526869894494</v>
      </c>
      <c r="AN84" s="40">
        <f t="shared" si="1529"/>
        <v>-27.990528758086164</v>
      </c>
      <c r="AO84" s="40" t="str">
        <f t="shared" si="1529"/>
        <v/>
      </c>
      <c r="AP84" s="40">
        <f t="shared" si="1529"/>
        <v>-21.135202646529905</v>
      </c>
      <c r="AQ84" s="40">
        <f>IF(AH84="","",(AH84-AH$10)*1000)</f>
        <v>-23.853514104195561</v>
      </c>
      <c r="AR84" s="37"/>
      <c r="AS84" s="40">
        <f t="shared" si="1403"/>
        <v>0.80000003799796104</v>
      </c>
      <c r="AT84" s="40">
        <f t="shared" si="1404"/>
        <v>-15.200000023469329</v>
      </c>
      <c r="AU84" s="40">
        <f t="shared" si="1405"/>
        <v>-0.29999999999574811</v>
      </c>
      <c r="AV84" s="40">
        <f t="shared" si="1406"/>
        <v>2.6000000070780516</v>
      </c>
      <c r="AW84" s="40">
        <f t="shared" si="1407"/>
        <v>-13.000000035390258</v>
      </c>
      <c r="AX84" s="40">
        <f t="shared" si="1408"/>
        <v>-1.4999999999929514</v>
      </c>
      <c r="AY84" s="40"/>
      <c r="AZ84" s="40"/>
      <c r="BA84" s="40"/>
      <c r="BB84" s="40">
        <f t="shared" si="1412"/>
        <v>-6.0000000521540642</v>
      </c>
      <c r="BC84" s="40">
        <f t="shared" si="1413"/>
        <v>0.19999989308416843</v>
      </c>
      <c r="BD84" s="40">
        <f t="shared" si="1414"/>
        <v>-26.400000000009527</v>
      </c>
      <c r="BE84" s="40">
        <f t="shared" si="1415"/>
        <v>-5.8000000426545739</v>
      </c>
      <c r="BF84" s="40">
        <f t="shared" si="1416"/>
        <v>5.4999999701976776</v>
      </c>
      <c r="BG84" s="40">
        <f t="shared" si="1417"/>
        <v>-11.499999999998067</v>
      </c>
      <c r="BH84" s="40">
        <f t="shared" si="1418"/>
        <v>-7.1000000461935997</v>
      </c>
      <c r="BI84" s="40">
        <f t="shared" si="1419"/>
        <v>5.7999999262392521</v>
      </c>
      <c r="BJ84" s="40">
        <f t="shared" si="1420"/>
        <v>-0.39999999999906777</v>
      </c>
      <c r="BK84" s="40">
        <f t="shared" si="1421"/>
        <v>-9.399999980814755</v>
      </c>
      <c r="BL84" s="40">
        <f t="shared" si="1422"/>
        <v>6.399999838322401</v>
      </c>
      <c r="BM84" s="40">
        <f t="shared" si="1423"/>
        <v>2.6000000000010459</v>
      </c>
      <c r="BN84" s="37"/>
      <c r="BO84" s="36">
        <v>169.36935634530138</v>
      </c>
      <c r="BP84" s="36">
        <v>-3.7597384813344914</v>
      </c>
      <c r="BQ84" s="36">
        <v>-1.1611135634530143</v>
      </c>
      <c r="BR84" s="36">
        <v>169.20875211232544</v>
      </c>
      <c r="BS84" s="36">
        <v>-4.1989784616855408</v>
      </c>
      <c r="BT84" s="36">
        <v>0.8259924788767421</v>
      </c>
      <c r="BU84" s="38" t="s">
        <v>81</v>
      </c>
      <c r="BV84" s="39" t="s">
        <v>81</v>
      </c>
      <c r="BW84" s="39" t="s">
        <v>81</v>
      </c>
      <c r="BX84" s="38">
        <v>168.95826064263446</v>
      </c>
      <c r="BY84" s="39">
        <v>0.21651793435400946</v>
      </c>
      <c r="BZ84" s="39">
        <v>4.3265973935736497</v>
      </c>
      <c r="CA84" s="38">
        <v>169.19826243399149</v>
      </c>
      <c r="CB84" s="39">
        <v>3.2033445780287346</v>
      </c>
      <c r="CC84" s="39">
        <v>2.9719973756600808</v>
      </c>
      <c r="CD84" s="38">
        <v>169.18936473577196</v>
      </c>
      <c r="CE84" s="39">
        <v>4.1922524813205291</v>
      </c>
      <c r="CF84" s="39">
        <v>0.83318635264228647</v>
      </c>
      <c r="CG84" s="38">
        <v>169.25290610227955</v>
      </c>
      <c r="CH84" s="39">
        <v>3.8631707973144174</v>
      </c>
      <c r="CI84" s="39">
        <v>-1.0852490610227932</v>
      </c>
      <c r="CJ84" s="37"/>
      <c r="CK84" s="40">
        <f t="shared" si="1424"/>
        <v>-5.6992768895725021</v>
      </c>
      <c r="CL84" s="40">
        <f t="shared" si="1425"/>
        <v>14.113760792564101</v>
      </c>
      <c r="CM84" s="40">
        <f t="shared" si="1426"/>
        <v>-0.24300723109149658</v>
      </c>
      <c r="CN84" s="40">
        <f t="shared" si="1427"/>
        <v>-3.1381168119253289</v>
      </c>
      <c r="CO84" s="40">
        <f t="shared" si="1428"/>
        <v>12.880691900344132</v>
      </c>
      <c r="CP84" s="40">
        <f t="shared" si="1429"/>
        <v>-1.4686188318790983</v>
      </c>
      <c r="CQ84" s="40"/>
      <c r="CR84" s="40"/>
      <c r="CS84" s="40"/>
      <c r="CT84" s="40">
        <f t="shared" si="1497"/>
        <v>-5.3532219853877905</v>
      </c>
      <c r="CU84" s="40">
        <f t="shared" si="1498"/>
        <v>-2.7171703955498341</v>
      </c>
      <c r="CV84" s="40">
        <f t="shared" si="1499"/>
        <v>-26.346467780157923</v>
      </c>
      <c r="CW84" s="40">
        <f t="shared" si="1500"/>
        <v>-2.9319078808782706</v>
      </c>
      <c r="CX84" s="40">
        <f t="shared" si="1501"/>
        <v>-7.4359879199281664</v>
      </c>
      <c r="CY84" s="40">
        <f t="shared" si="1502"/>
        <v>-11.470680921192411</v>
      </c>
      <c r="CZ84" s="40">
        <f t="shared" si="1439"/>
        <v>-3.983291963550073</v>
      </c>
      <c r="DA84" s="40">
        <f t="shared" si="1440"/>
        <v>-8.257323109464032</v>
      </c>
      <c r="DB84" s="40">
        <f t="shared" si="1441"/>
        <v>-0.36016708035901956</v>
      </c>
      <c r="DC84" s="40">
        <f t="shared" si="1503"/>
        <v>-5.8141724484244151</v>
      </c>
      <c r="DD84" s="40">
        <f t="shared" si="1504"/>
        <v>-9.7731978548347698</v>
      </c>
      <c r="DE84" s="40">
        <f t="shared" si="1505"/>
        <v>2.658141724481311</v>
      </c>
    </row>
    <row r="85" spans="1:109" ht="29.25" customHeight="1" x14ac:dyDescent="0.2">
      <c r="A85" s="34">
        <v>44027</v>
      </c>
      <c r="B85" s="27">
        <f t="shared" si="1489"/>
        <v>428</v>
      </c>
      <c r="C85" s="35">
        <v>222.9</v>
      </c>
      <c r="D85" s="35">
        <f t="shared" si="1479"/>
        <v>53.700000000000017</v>
      </c>
      <c r="E85" s="36">
        <v>823219.58349999995</v>
      </c>
      <c r="F85" s="36">
        <v>1091508.5915999999</v>
      </c>
      <c r="G85" s="36">
        <v>-125.00960000000001</v>
      </c>
      <c r="H85" s="36">
        <v>823219.25230000005</v>
      </c>
      <c r="I85" s="36">
        <v>1091508.922</v>
      </c>
      <c r="J85" s="36">
        <v>-123.02419999999999</v>
      </c>
      <c r="K85" s="36" t="s">
        <v>81</v>
      </c>
      <c r="L85" s="36" t="s">
        <v>81</v>
      </c>
      <c r="M85" s="36" t="s">
        <v>81</v>
      </c>
      <c r="N85" s="36">
        <v>823220.89150000003</v>
      </c>
      <c r="O85" s="36">
        <v>1091504.8145000001</v>
      </c>
      <c r="P85" s="36">
        <v>-119.5265</v>
      </c>
      <c r="Q85" s="36">
        <v>823222.37139999995</v>
      </c>
      <c r="R85" s="36">
        <v>1091502.2091000001</v>
      </c>
      <c r="S85" s="36">
        <v>-120.8784</v>
      </c>
      <c r="T85" s="36">
        <v>823222.78130000003</v>
      </c>
      <c r="U85" s="36">
        <v>1091501.3089000001</v>
      </c>
      <c r="V85" s="36">
        <v>-123.0171</v>
      </c>
      <c r="W85" s="36">
        <v>823222.69979999994</v>
      </c>
      <c r="X85" s="36">
        <v>1091501.6340999999</v>
      </c>
      <c r="Y85" s="36">
        <v>-124.935</v>
      </c>
      <c r="Z85" s="36">
        <f t="shared" si="1490"/>
        <v>6.7854059582999975</v>
      </c>
      <c r="AA85" s="36">
        <f t="shared" si="1491"/>
        <v>5.6384783567296886</v>
      </c>
      <c r="AB85" s="36"/>
      <c r="AC85" s="36">
        <f t="shared" si="1492"/>
        <v>3.2872247838808453</v>
      </c>
      <c r="AD85" s="36">
        <f t="shared" si="1493"/>
        <v>5.2957401522591114</v>
      </c>
      <c r="AE85" s="36">
        <f t="shared" si="1494"/>
        <v>6.529683399743571</v>
      </c>
      <c r="AF85" s="36"/>
      <c r="AG85" s="36">
        <f t="shared" si="1495"/>
        <v>8.3912563433154848</v>
      </c>
      <c r="AH85" s="36">
        <f t="shared" si="1496"/>
        <v>7.6238898929761048</v>
      </c>
      <c r="AI85" s="40">
        <f t="shared" si="1528"/>
        <v>-31.545337525693107</v>
      </c>
      <c r="AJ85" s="40">
        <f t="shared" si="1528"/>
        <v>-27.893187691964805</v>
      </c>
      <c r="AK85" s="40" t="str">
        <f t="shared" si="1528"/>
        <v/>
      </c>
      <c r="AL85" s="40">
        <f t="shared" si="1528"/>
        <v>-10.463973353921574</v>
      </c>
      <c r="AM85" s="40">
        <f t="shared" si="1528"/>
        <v>-21.525914999315887</v>
      </c>
      <c r="AN85" s="40">
        <f t="shared" si="1529"/>
        <v>-28.32185027101719</v>
      </c>
      <c r="AO85" s="40"/>
      <c r="AP85" s="40">
        <f t="shared" si="1529"/>
        <v>-21.135118630503769</v>
      </c>
      <c r="AQ85" s="40">
        <f>IF(AH85="","",(AH85-AH$10)*1000)</f>
        <v>-24.12827173811749</v>
      </c>
      <c r="AR85" s="37"/>
      <c r="AS85" s="40">
        <f t="shared" si="1403"/>
        <v>0.699999975040555</v>
      </c>
      <c r="AT85" s="40">
        <f t="shared" si="1404"/>
        <v>-16.300000017508864</v>
      </c>
      <c r="AU85" s="40">
        <f t="shared" si="1405"/>
        <v>0.39999999999906777</v>
      </c>
      <c r="AV85" s="40">
        <f t="shared" si="1406"/>
        <v>2.5000000605359674</v>
      </c>
      <c r="AW85" s="40">
        <f t="shared" si="1407"/>
        <v>-13.899999903514981</v>
      </c>
      <c r="AX85" s="40">
        <f t="shared" si="1408"/>
        <v>-0.89999999998724434</v>
      </c>
      <c r="AY85" s="40"/>
      <c r="AZ85" s="40"/>
      <c r="BA85" s="40"/>
      <c r="BB85" s="40">
        <f t="shared" si="1412"/>
        <v>-6.0999999986961484</v>
      </c>
      <c r="BC85" s="40">
        <f t="shared" si="1413"/>
        <v>-0.59999991208314896</v>
      </c>
      <c r="BD85" s="40">
        <f t="shared" si="1414"/>
        <v>-26.200000000002888</v>
      </c>
      <c r="BE85" s="40">
        <f t="shared" si="1415"/>
        <v>-5.90000010561198</v>
      </c>
      <c r="BF85" s="40">
        <f t="shared" si="1416"/>
        <v>4.7999999951571226</v>
      </c>
      <c r="BG85" s="40">
        <f t="shared" si="1417"/>
        <v>-10.99999999999568</v>
      </c>
      <c r="BH85" s="40">
        <f t="shared" si="1418"/>
        <v>-7.1999999927356839</v>
      </c>
      <c r="BI85" s="40">
        <f t="shared" si="1419"/>
        <v>4.9000000581145287</v>
      </c>
      <c r="BJ85" s="40">
        <f t="shared" si="1420"/>
        <v>0.29999999999574811</v>
      </c>
      <c r="BK85" s="40">
        <f t="shared" si="1421"/>
        <v>-9.500000043772161</v>
      </c>
      <c r="BL85" s="40">
        <f t="shared" si="1422"/>
        <v>5.59999980032444</v>
      </c>
      <c r="BM85" s="40">
        <f t="shared" si="1423"/>
        <v>3.1999999999925421</v>
      </c>
      <c r="BN85" s="37"/>
      <c r="BO85" s="36">
        <v>169.36880079883085</v>
      </c>
      <c r="BP85" s="36">
        <v>-3.7587838253134307</v>
      </c>
      <c r="BQ85" s="36">
        <v>-1.1604080079883232</v>
      </c>
      <c r="BR85" s="36">
        <v>169.20828109641565</v>
      </c>
      <c r="BS85" s="36">
        <v>-4.1982050641392377</v>
      </c>
      <c r="BT85" s="36">
        <v>0.82659718903585144</v>
      </c>
      <c r="BU85" s="38" t="s">
        <v>81</v>
      </c>
      <c r="BV85" s="39" t="s">
        <v>81</v>
      </c>
      <c r="BW85" s="39" t="s">
        <v>81</v>
      </c>
      <c r="BX85" s="38">
        <v>168.95783189195225</v>
      </c>
      <c r="BY85" s="39">
        <v>0.21720070263838534</v>
      </c>
      <c r="BZ85" s="39">
        <v>4.3268016810804824</v>
      </c>
      <c r="CA85" s="38">
        <v>169.19787594833304</v>
      </c>
      <c r="CB85" s="39">
        <v>3.2039367172129274</v>
      </c>
      <c r="CC85" s="39">
        <v>2.9725012405166638</v>
      </c>
      <c r="CD85" s="38">
        <v>169.18889371986216</v>
      </c>
      <c r="CE85" s="39">
        <v>4.1930258788668562</v>
      </c>
      <c r="CF85" s="39">
        <v>0.83389106280137071</v>
      </c>
      <c r="CG85" s="38">
        <v>169.25247735139345</v>
      </c>
      <c r="CH85" s="39">
        <v>3.8638535657605777</v>
      </c>
      <c r="CI85" s="39">
        <v>-1.0846447735139435</v>
      </c>
      <c r="CJ85" s="37"/>
      <c r="CK85" s="40">
        <f t="shared" si="1424"/>
        <v>-6.2548233601091852</v>
      </c>
      <c r="CL85" s="40">
        <f t="shared" si="1425"/>
        <v>15.068416813624808</v>
      </c>
      <c r="CM85" s="40">
        <f t="shared" si="1426"/>
        <v>0.46254823359959119</v>
      </c>
      <c r="CN85" s="40">
        <f t="shared" si="1427"/>
        <v>-3.6091327217206981</v>
      </c>
      <c r="CO85" s="40">
        <f t="shared" si="1428"/>
        <v>13.654089446647255</v>
      </c>
      <c r="CP85" s="40">
        <f t="shared" si="1429"/>
        <v>-0.86390867276975314</v>
      </c>
      <c r="CQ85" s="40"/>
      <c r="CR85" s="40"/>
      <c r="CS85" s="40"/>
      <c r="CT85" s="40">
        <f t="shared" si="1497"/>
        <v>-5.7819726675916172</v>
      </c>
      <c r="CU85" s="40">
        <f t="shared" si="1498"/>
        <v>-2.0344021111739496</v>
      </c>
      <c r="CV85" s="40">
        <f t="shared" si="1499"/>
        <v>-26.142180273325266</v>
      </c>
      <c r="CW85" s="40">
        <f t="shared" si="1500"/>
        <v>-3.3183935393310549</v>
      </c>
      <c r="CX85" s="40">
        <f t="shared" si="1501"/>
        <v>-6.8438487357354028</v>
      </c>
      <c r="CY85" s="40">
        <f t="shared" si="1502"/>
        <v>-10.966816064609475</v>
      </c>
      <c r="CZ85" s="40">
        <f t="shared" si="1439"/>
        <v>-4.4543078733454422</v>
      </c>
      <c r="DA85" s="40">
        <f t="shared" si="1440"/>
        <v>-7.4839255631369284</v>
      </c>
      <c r="DB85" s="40">
        <f t="shared" si="1441"/>
        <v>0.34454307872522349</v>
      </c>
      <c r="DC85" s="40">
        <f t="shared" si="1503"/>
        <v>-6.2429233345255852</v>
      </c>
      <c r="DD85" s="40">
        <f t="shared" si="1504"/>
        <v>-9.0904294086744386</v>
      </c>
      <c r="DE85" s="40">
        <f t="shared" si="1505"/>
        <v>3.2624292333309768</v>
      </c>
    </row>
    <row r="86" spans="1:109" ht="29.25" customHeight="1" x14ac:dyDescent="0.2">
      <c r="A86" s="34">
        <v>44039</v>
      </c>
      <c r="B86" s="27">
        <f t="shared" ref="B86" si="1530">IF(A86="","",A86-excav)</f>
        <v>440</v>
      </c>
      <c r="C86" s="35">
        <v>222.9</v>
      </c>
      <c r="D86" s="35">
        <f t="shared" si="1479"/>
        <v>53.700000000000017</v>
      </c>
      <c r="E86" s="36">
        <v>823219.58380000002</v>
      </c>
      <c r="F86" s="36">
        <v>1091508.5922999999</v>
      </c>
      <c r="G86" s="36">
        <v>-125.0107</v>
      </c>
      <c r="H86" s="36">
        <v>823219.25260000001</v>
      </c>
      <c r="I86" s="36">
        <v>1091508.9228000001</v>
      </c>
      <c r="J86" s="36">
        <v>-123.0253</v>
      </c>
      <c r="K86" s="36" t="s">
        <v>81</v>
      </c>
      <c r="L86" s="36" t="s">
        <v>81</v>
      </c>
      <c r="M86" s="36" t="s">
        <v>81</v>
      </c>
      <c r="N86" s="36">
        <v>823220.89179999998</v>
      </c>
      <c r="O86" s="36">
        <v>1091504.8151</v>
      </c>
      <c r="P86" s="36">
        <v>-119.52760000000001</v>
      </c>
      <c r="Q86" s="36">
        <v>823222.37170000002</v>
      </c>
      <c r="R86" s="36">
        <v>1091502.2097</v>
      </c>
      <c r="S86" s="36">
        <v>-120.8796</v>
      </c>
      <c r="T86" s="36">
        <v>823222.78150000004</v>
      </c>
      <c r="U86" s="36">
        <v>1091501.3096</v>
      </c>
      <c r="V86" s="36">
        <v>-123.01819999999999</v>
      </c>
      <c r="W86" s="36">
        <v>823222.70030000003</v>
      </c>
      <c r="X86" s="36">
        <v>1091501.6348000001</v>
      </c>
      <c r="Y86" s="36">
        <v>-124.9361</v>
      </c>
      <c r="Z86" s="36">
        <f t="shared" si="1490"/>
        <v>6.7854616238767411</v>
      </c>
      <c r="AA86" s="36">
        <f t="shared" si="1491"/>
        <v>5.6386240538223094</v>
      </c>
      <c r="AB86" s="36"/>
      <c r="AC86" s="36">
        <f t="shared" si="1492"/>
        <v>3.2872659110733662</v>
      </c>
      <c r="AD86" s="36">
        <f t="shared" si="1493"/>
        <v>5.2956382712577614</v>
      </c>
      <c r="AE86" s="36">
        <f t="shared" si="1494"/>
        <v>6.5296900837222411</v>
      </c>
      <c r="AF86" s="36"/>
      <c r="AG86" s="36">
        <f t="shared" si="1495"/>
        <v>8.3913050153458411</v>
      </c>
      <c r="AH86" s="36">
        <f t="shared" si="1496"/>
        <v>7.6239716458708431</v>
      </c>
      <c r="AI86" s="40">
        <f t="shared" ref="AI86:AI87" si="1531">IF(Z86="","",(Z86-Z$10)*1000)</f>
        <v>-31.489671948949471</v>
      </c>
      <c r="AJ86" s="40">
        <f t="shared" ref="AJ86:AJ87" si="1532">IF(AA86="","",(AA86-AA$10)*1000)</f>
        <v>-27.747490599344005</v>
      </c>
      <c r="AK86" s="40" t="str">
        <f t="shared" ref="AK86:AK87" si="1533">IF(AB86="","",(AB86-AB$10)*1000)</f>
        <v/>
      </c>
      <c r="AL86" s="40">
        <f t="shared" ref="AL86:AL87" si="1534">IF(AC86="","",(AC86-AC$10)*1000)</f>
        <v>-10.422846161400656</v>
      </c>
      <c r="AM86" s="40">
        <f t="shared" ref="AM86:AM87" si="1535">IF(AD86="","",(AD86-AD$10)*1000)</f>
        <v>-21.627796000665889</v>
      </c>
      <c r="AN86" s="40">
        <f t="shared" ref="AN86:AN87" si="1536">IF(AE86="","",(AE86-AE$10)*1000)</f>
        <v>-28.315166292347094</v>
      </c>
      <c r="AO86" s="40"/>
      <c r="AP86" s="40">
        <f t="shared" ref="AP86:AP87" si="1537">IF(AG86="","",(AG86-AG$10)*1000)</f>
        <v>-21.086446600147468</v>
      </c>
      <c r="AQ86" s="40">
        <f t="shared" ref="AQ86:AQ87" si="1538">IF(AH86="","",(AH86-AH$10)*1000)</f>
        <v>-24.046518843379161</v>
      </c>
      <c r="AR86" s="37"/>
      <c r="AS86" s="40">
        <f t="shared" ref="AS86" si="1539">IF(E86="","",(E86-E$10)*1000)</f>
        <v>1.0000000474974513</v>
      </c>
      <c r="AT86" s="40">
        <f t="shared" ref="AT86" si="1540">IF(F86="","",(F86-F$10)*1000)</f>
        <v>-15.600000042468309</v>
      </c>
      <c r="AU86" s="40">
        <f t="shared" ref="AU86" si="1541">IF(G86="","",(G86-G$10)*1000)</f>
        <v>-0.69999999999481588</v>
      </c>
      <c r="AV86" s="40">
        <f t="shared" ref="AV86" si="1542">IF(H86="","",(H86-H$10)*1000)</f>
        <v>2.8000000165775418</v>
      </c>
      <c r="AW86" s="40">
        <f t="shared" ref="AW86" si="1543">IF(I86="","",(I86-I$10)*1000)</f>
        <v>-13.09999986551702</v>
      </c>
      <c r="AX86" s="40">
        <f t="shared" ref="AX86" si="1544">IF(J86="","",(J86-J$10)*1000)</f>
        <v>-1.9999999999953388</v>
      </c>
      <c r="AY86" s="40"/>
      <c r="AZ86" s="40"/>
      <c r="BA86" s="40"/>
      <c r="BB86" s="40">
        <f t="shared" ref="BB86" si="1545">IF(N86="","",(N86-N$10)*1000)</f>
        <v>-5.8000000426545739</v>
      </c>
      <c r="BC86" s="40">
        <f t="shared" ref="BC86" si="1546">IF(O86="","",(O86-O$10)*1000)</f>
        <v>0</v>
      </c>
      <c r="BD86" s="40">
        <f t="shared" ref="BD86" si="1547">IF(P86="","",(P86-P$10)*1000)</f>
        <v>-27.300000000010982</v>
      </c>
      <c r="BE86" s="40">
        <f t="shared" ref="BE86" si="1548">IF(Q86="","",(Q86-Q$10)*1000)</f>
        <v>-5.6000000331550837</v>
      </c>
      <c r="BF86" s="40">
        <f t="shared" ref="BF86" si="1549">IF(R86="","",(R86-R$10)*1000)</f>
        <v>5.3999999072402716</v>
      </c>
      <c r="BG86" s="40">
        <f t="shared" ref="BG86" si="1550">IF(S86="","",(S86-S$10)*1000)</f>
        <v>-12.199999999992883</v>
      </c>
      <c r="BH86" s="40">
        <f t="shared" ref="BH86" si="1551">IF(T86="","",(T86-T$10)*1000)</f>
        <v>-6.9999999832361937</v>
      </c>
      <c r="BI86" s="40">
        <f t="shared" ref="BI86" si="1552">IF(U86="","",(U86-U$10)*1000)</f>
        <v>5.6000000331550837</v>
      </c>
      <c r="BJ86" s="40">
        <f t="shared" ref="BJ86" si="1553">IF(V86="","",(V86-V$10)*1000)</f>
        <v>-0.79999999999813554</v>
      </c>
      <c r="BK86" s="40">
        <f t="shared" ref="BK86" si="1554">IF(W86="","",(W86-W$10)*1000)</f>
        <v>-8.9999999618157744</v>
      </c>
      <c r="BL86" s="40">
        <f t="shared" ref="BL86" si="1555">IF(X86="","",(X86-X$10)*1000)</f>
        <v>6.3000000081956387</v>
      </c>
      <c r="BM86" s="40">
        <f t="shared" ref="BM86" si="1556">IF(Y86="","",(Y86-Y$10)*1000)</f>
        <v>2.0999999999986585</v>
      </c>
      <c r="BN86" s="37"/>
      <c r="BO86" s="36">
        <v>169.36936854290778</v>
      </c>
      <c r="BP86" s="36">
        <v>-3.7592914340915691</v>
      </c>
      <c r="BQ86" s="36">
        <v>-1.1615136854290853</v>
      </c>
      <c r="BR86" s="36">
        <v>169.20889110561467</v>
      </c>
      <c r="BS86" s="36">
        <v>-4.1988033022285363</v>
      </c>
      <c r="BT86" s="36">
        <v>0.82549108894384915</v>
      </c>
      <c r="BU86" s="38" t="s">
        <v>81</v>
      </c>
      <c r="BV86" s="39" t="s">
        <v>81</v>
      </c>
      <c r="BW86" s="39" t="s">
        <v>81</v>
      </c>
      <c r="BX86" s="38">
        <v>168.95835737069606</v>
      </c>
      <c r="BY86" s="39">
        <v>0.2167837230730042</v>
      </c>
      <c r="BZ86" s="39">
        <v>4.3256964262930353</v>
      </c>
      <c r="CA86" s="38">
        <v>169.19840142718235</v>
      </c>
      <c r="CB86" s="39">
        <v>3.2035197376967561</v>
      </c>
      <c r="CC86" s="39">
        <v>2.971295985728176</v>
      </c>
      <c r="CD86" s="38">
        <v>169.18937083467711</v>
      </c>
      <c r="CE86" s="39">
        <v>4.1924760048611125</v>
      </c>
      <c r="CF86" s="39">
        <v>0.83278629165323537</v>
      </c>
      <c r="CG86" s="38">
        <v>169.25322635398723</v>
      </c>
      <c r="CH86" s="39">
        <v>3.8634304871774439</v>
      </c>
      <c r="CI86" s="39">
        <v>-1.0857522635398738</v>
      </c>
      <c r="CJ86" s="37"/>
      <c r="CK86" s="40">
        <f t="shared" ref="CK86:CK87" si="1557">IF(BO86="","",(BO86-BO$10)*1000)</f>
        <v>-5.6870792831773542</v>
      </c>
      <c r="CL86" s="40">
        <f t="shared" ref="CL86:CL87" si="1558">IF(BP86="","",(BP86-BP$10)*1000)</f>
        <v>14.560808035486428</v>
      </c>
      <c r="CM86" s="40">
        <f t="shared" ref="CM86:CM87" si="1559">IF(BQ86="","",(BQ86-BQ$10)*1000)</f>
        <v>-0.6431292071624739</v>
      </c>
      <c r="CN86" s="40">
        <f t="shared" ref="CN86:CN87" si="1560">IF(BR86="","",(BR86-BR$10)*1000)</f>
        <v>-2.9991235226987101</v>
      </c>
      <c r="CO86" s="40">
        <f t="shared" ref="CO86:CO87" si="1561">IF(BS86="","",(BS86-BS$10)*1000)</f>
        <v>13.055851357348658</v>
      </c>
      <c r="CP86" s="40">
        <f t="shared" ref="CP86:CP87" si="1562">IF(BT86="","",(BT86-BT$10)*1000)</f>
        <v>-1.9700087647720466</v>
      </c>
      <c r="CQ86" s="40"/>
      <c r="CR86" s="40"/>
      <c r="CS86" s="40"/>
      <c r="CT86" s="40">
        <f t="shared" ref="CT86:CT87" si="1563">IF(BX86="","",(BX86-BX$10)*1000)</f>
        <v>-5.2564939237811359</v>
      </c>
      <c r="CU86" s="40">
        <f t="shared" ref="CU86:CU87" si="1564">IF(BY86="","",(BY86-BY$10)*1000)</f>
        <v>-2.4513816765550924</v>
      </c>
      <c r="CV86" s="40">
        <f t="shared" ref="CV86:CV87" si="1565">IF(BZ86="","",(BZ86-BZ$10)*1000)</f>
        <v>-27.247435060772318</v>
      </c>
      <c r="CW86" s="40">
        <f t="shared" ref="CW86:CW87" si="1566">IF(CA86="","",(CA86-CA$10)*1000)</f>
        <v>-2.7929146900191881</v>
      </c>
      <c r="CX86" s="40">
        <f t="shared" ref="CX86:CX87" si="1567">IF(CB86="","",(CB86-CB$10)*1000)</f>
        <v>-7.2608282519066591</v>
      </c>
      <c r="CY86" s="40">
        <f t="shared" ref="CY86:CY87" si="1568">IF(CC86="","",(CC86-CC$10)*1000)</f>
        <v>-12.172070853097239</v>
      </c>
      <c r="CZ86" s="40">
        <f t="shared" ref="CZ86:CZ87" si="1569">IF(CD86="","",(CD86-CD$10)*1000)</f>
        <v>-3.9771930584038273</v>
      </c>
      <c r="DA86" s="40">
        <f t="shared" ref="DA86:DA87" si="1570">IF(CE86="","",(CE86-CE$10)*1000)</f>
        <v>-8.0337995688806174</v>
      </c>
      <c r="DB86" s="40">
        <f t="shared" ref="DB86:DB87" si="1571">IF(CF86="","",(CF86-CF$10)*1000)</f>
        <v>-0.76022806941011822</v>
      </c>
      <c r="DC86" s="40">
        <f t="shared" ref="DC86:DC87" si="1572">IF(CG86="","",(CG86-CG$10)*1000)</f>
        <v>-5.4939207407471713</v>
      </c>
      <c r="DD86" s="40">
        <f t="shared" ref="DD86:DD87" si="1573">IF(CH86="","",(CH86-CH$10)*1000)</f>
        <v>-9.5135079918082788</v>
      </c>
      <c r="DE86" s="40">
        <f t="shared" ref="DE86:DE87" si="1574">IF(CI86="","",(CI86-CI$10)*1000)</f>
        <v>2.1549392074007301</v>
      </c>
    </row>
    <row r="87" spans="1:109" ht="29.25" customHeight="1" x14ac:dyDescent="0.2">
      <c r="A87" s="34">
        <v>44053</v>
      </c>
      <c r="B87" s="27">
        <f t="shared" ref="B87:B89" si="1575">IF(A87="","",A87-excav)</f>
        <v>454</v>
      </c>
      <c r="C87" s="35">
        <v>222.9</v>
      </c>
      <c r="D87" s="35">
        <f t="shared" si="1479"/>
        <v>53.700000000000017</v>
      </c>
      <c r="E87" s="36">
        <v>823219.5834</v>
      </c>
      <c r="F87" s="36">
        <v>1091508.5921</v>
      </c>
      <c r="G87" s="36">
        <v>-125.0103</v>
      </c>
      <c r="H87" s="36">
        <v>823219.25210000004</v>
      </c>
      <c r="I87" s="36">
        <v>1091508.9225000001</v>
      </c>
      <c r="J87" s="36">
        <v>-123.0248</v>
      </c>
      <c r="K87" s="36" t="s">
        <v>81</v>
      </c>
      <c r="L87" s="36" t="s">
        <v>81</v>
      </c>
      <c r="M87" s="36" t="s">
        <v>81</v>
      </c>
      <c r="N87" s="36">
        <v>823220.89119999995</v>
      </c>
      <c r="O87" s="36">
        <v>1091504.8149000001</v>
      </c>
      <c r="P87" s="36">
        <v>-119.52760000000001</v>
      </c>
      <c r="Q87" s="36">
        <v>823222.37120000005</v>
      </c>
      <c r="R87" s="36">
        <v>1091502.2095999999</v>
      </c>
      <c r="S87" s="36">
        <v>-120.87949999999999</v>
      </c>
      <c r="T87" s="36">
        <v>823222.78110000002</v>
      </c>
      <c r="U87" s="36">
        <v>1091501.3093999999</v>
      </c>
      <c r="V87" s="36">
        <v>-123.01779999999999</v>
      </c>
      <c r="W87" s="36">
        <v>823222.6997</v>
      </c>
      <c r="X87" s="36">
        <v>1091501.6348000001</v>
      </c>
      <c r="Y87" s="36">
        <v>-124.9357</v>
      </c>
      <c r="Z87" s="36">
        <f t="shared" si="1490"/>
        <v>6.7850998496027426</v>
      </c>
      <c r="AA87" s="36">
        <f t="shared" si="1491"/>
        <v>5.6382119869352127</v>
      </c>
      <c r="AB87" s="36"/>
      <c r="AC87" s="36">
        <f t="shared" si="1492"/>
        <v>3.2871905483522705</v>
      </c>
      <c r="AD87" s="36">
        <f t="shared" si="1493"/>
        <v>5.2954459964839788</v>
      </c>
      <c r="AE87" s="36">
        <f t="shared" si="1494"/>
        <v>6.5292613571628939</v>
      </c>
      <c r="AF87" s="36"/>
      <c r="AG87" s="36">
        <f t="shared" si="1495"/>
        <v>8.3912562595106976</v>
      </c>
      <c r="AH87" s="36">
        <f t="shared" si="1496"/>
        <v>7.6237073749240363</v>
      </c>
      <c r="AI87" s="40">
        <f t="shared" si="1531"/>
        <v>-31.851446222947999</v>
      </c>
      <c r="AJ87" s="40">
        <f t="shared" si="1532"/>
        <v>-28.159557486440612</v>
      </c>
      <c r="AK87" s="40" t="str">
        <f t="shared" si="1533"/>
        <v/>
      </c>
      <c r="AL87" s="40">
        <f t="shared" si="1534"/>
        <v>-10.498208882496307</v>
      </c>
      <c r="AM87" s="40">
        <f t="shared" si="1535"/>
        <v>-21.820070774448475</v>
      </c>
      <c r="AN87" s="40">
        <f t="shared" si="1536"/>
        <v>-28.743892851694319</v>
      </c>
      <c r="AO87" s="40"/>
      <c r="AP87" s="40">
        <f t="shared" si="1537"/>
        <v>-21.135202435290878</v>
      </c>
      <c r="AQ87" s="40">
        <f t="shared" si="1538"/>
        <v>-24.310789790185972</v>
      </c>
      <c r="AR87" s="37"/>
      <c r="AS87" s="40">
        <f t="shared" ref="AS87" si="1576">IF(E87="","",(E87-E$10)*1000)</f>
        <v>0.60000002849847078</v>
      </c>
      <c r="AT87" s="40">
        <f t="shared" ref="AT87" si="1577">IF(F87="","",(F87-F$10)*1000)</f>
        <v>-15.799999935552478</v>
      </c>
      <c r="AU87" s="40">
        <f t="shared" ref="AU87" si="1578">IF(G87="","",(G87-G$10)*1000)</f>
        <v>-0.29999999999574811</v>
      </c>
      <c r="AV87" s="40">
        <f t="shared" ref="AV87" si="1579">IF(H87="","",(H87-H$10)*1000)</f>
        <v>2.3000000510364771</v>
      </c>
      <c r="AW87" s="40">
        <f t="shared" ref="AW87" si="1580">IF(I87="","",(I87-I$10)*1000)</f>
        <v>-13.399999821558595</v>
      </c>
      <c r="AX87" s="40">
        <f t="shared" ref="AX87" si="1581">IF(J87="","",(J87-J$10)*1000)</f>
        <v>-1.4999999999929514</v>
      </c>
      <c r="AY87" s="40"/>
      <c r="AZ87" s="40"/>
      <c r="BA87" s="40"/>
      <c r="BB87" s="40">
        <f t="shared" ref="BB87" si="1582">IF(N87="","",(N87-N$10)*1000)</f>
        <v>-6.4000000711530447</v>
      </c>
      <c r="BC87" s="40">
        <f t="shared" ref="BC87" si="1583">IF(O87="","",(O87-O$10)*1000)</f>
        <v>-0.19999989308416843</v>
      </c>
      <c r="BD87" s="40">
        <f t="shared" ref="BD87" si="1584">IF(P87="","",(P87-P$10)*1000)</f>
        <v>-27.300000000010982</v>
      </c>
      <c r="BE87" s="40">
        <f t="shared" ref="BE87" si="1585">IF(Q87="","",(Q87-Q$10)*1000)</f>
        <v>-6.0999999986961484</v>
      </c>
      <c r="BF87" s="40">
        <f t="shared" ref="BF87" si="1586">IF(R87="","",(R87-R$10)*1000)</f>
        <v>5.2999998442828655</v>
      </c>
      <c r="BG87" s="40">
        <f t="shared" ref="BG87" si="1587">IF(S87="","",(S87-S$10)*1000)</f>
        <v>-12.099999999989564</v>
      </c>
      <c r="BH87" s="40">
        <f t="shared" ref="BH87" si="1588">IF(T87="","",(T87-T$10)*1000)</f>
        <v>-7.4000000022351742</v>
      </c>
      <c r="BI87" s="40">
        <f t="shared" ref="BI87" si="1589">IF(U87="","",(U87-U$10)*1000)</f>
        <v>5.3999999072402716</v>
      </c>
      <c r="BJ87" s="40">
        <f t="shared" ref="BJ87" si="1590">IF(V87="","",(V87-V$10)*1000)</f>
        <v>-0.39999999999906777</v>
      </c>
      <c r="BK87" s="40">
        <f t="shared" ref="BK87" si="1591">IF(W87="","",(W87-W$10)*1000)</f>
        <v>-9.5999999903142452</v>
      </c>
      <c r="BL87" s="40">
        <f t="shared" ref="BL87" si="1592">IF(X87="","",(X87-X$10)*1000)</f>
        <v>6.3000000081956387</v>
      </c>
      <c r="BM87" s="40">
        <f t="shared" ref="BM87" si="1593">IF(Y87="","",(Y87-Y$10)*1000)</f>
        <v>2.4999999999977263</v>
      </c>
      <c r="BN87" s="37"/>
      <c r="BO87" s="36">
        <v>169.36892149571409</v>
      </c>
      <c r="BP87" s="36">
        <v>-3.7592792365907122</v>
      </c>
      <c r="BQ87" s="36">
        <v>-1.1611092149571505</v>
      </c>
      <c r="BR87" s="36">
        <v>169.20831116403687</v>
      </c>
      <c r="BS87" s="36">
        <v>-4.1987427406441427</v>
      </c>
      <c r="BT87" s="36">
        <v>0.82599688835962581</v>
      </c>
      <c r="BU87" s="38" t="s">
        <v>81</v>
      </c>
      <c r="BV87" s="39" t="s">
        <v>81</v>
      </c>
      <c r="BW87" s="39" t="s">
        <v>81</v>
      </c>
      <c r="BX87" s="38">
        <v>168.95772906508392</v>
      </c>
      <c r="BY87" s="39">
        <v>0.21671139016781546</v>
      </c>
      <c r="BZ87" s="39">
        <v>4.3257027093491445</v>
      </c>
      <c r="CA87" s="38">
        <v>169.19790601596137</v>
      </c>
      <c r="CB87" s="39">
        <v>3.2033990409682338</v>
      </c>
      <c r="CC87" s="39">
        <v>2.9714009398403931</v>
      </c>
      <c r="CD87" s="38">
        <v>169.18892378738497</v>
      </c>
      <c r="CE87" s="39">
        <v>4.1924882025729797</v>
      </c>
      <c r="CF87" s="39">
        <v>0.83319076212615073</v>
      </c>
      <c r="CG87" s="38">
        <v>169.25268257873188</v>
      </c>
      <c r="CH87" s="39">
        <v>3.8631768959593535</v>
      </c>
      <c r="CI87" s="39">
        <v>-1.085346825787326</v>
      </c>
      <c r="CJ87" s="37"/>
      <c r="CK87" s="40">
        <f t="shared" si="1557"/>
        <v>-6.1341264768657311</v>
      </c>
      <c r="CL87" s="40">
        <f t="shared" si="1558"/>
        <v>14.573005536343331</v>
      </c>
      <c r="CM87" s="40">
        <f t="shared" si="1559"/>
        <v>-0.23865873522765924</v>
      </c>
      <c r="CN87" s="40">
        <f t="shared" si="1560"/>
        <v>-3.5790651004958818</v>
      </c>
      <c r="CO87" s="40">
        <f t="shared" si="1561"/>
        <v>13.116412941742261</v>
      </c>
      <c r="CP87" s="40">
        <f t="shared" si="1562"/>
        <v>-1.4642093489953822</v>
      </c>
      <c r="CQ87" s="40"/>
      <c r="CR87" s="40"/>
      <c r="CS87" s="40"/>
      <c r="CT87" s="40">
        <f t="shared" si="1563"/>
        <v>-5.8847995359201377</v>
      </c>
      <c r="CU87" s="40">
        <f t="shared" si="1564"/>
        <v>-2.52371458174383</v>
      </c>
      <c r="CV87" s="40">
        <f t="shared" si="1565"/>
        <v>-27.241152004663149</v>
      </c>
      <c r="CW87" s="40">
        <f t="shared" si="1566"/>
        <v>-3.2883259110008112</v>
      </c>
      <c r="CX87" s="40">
        <f t="shared" si="1567"/>
        <v>-7.3815249804289884</v>
      </c>
      <c r="CY87" s="40">
        <f t="shared" si="1568"/>
        <v>-12.067116740880124</v>
      </c>
      <c r="CZ87" s="40">
        <f t="shared" si="1569"/>
        <v>-4.4242403505450056</v>
      </c>
      <c r="DA87" s="40">
        <f t="shared" si="1570"/>
        <v>-8.021601857013394</v>
      </c>
      <c r="DB87" s="40">
        <f t="shared" si="1571"/>
        <v>-0.35575759649475458</v>
      </c>
      <c r="DC87" s="40">
        <f t="shared" si="1572"/>
        <v>-6.0376959960990462</v>
      </c>
      <c r="DD87" s="40">
        <f t="shared" si="1573"/>
        <v>-9.7670992098985998</v>
      </c>
      <c r="DE87" s="40">
        <f t="shared" si="1574"/>
        <v>2.5603769599484849</v>
      </c>
    </row>
    <row r="88" spans="1:109" ht="38.25" customHeight="1" x14ac:dyDescent="0.2">
      <c r="A88" s="34">
        <v>44075</v>
      </c>
      <c r="B88" s="27">
        <f t="shared" si="1575"/>
        <v>476</v>
      </c>
      <c r="C88" s="35">
        <v>222.9</v>
      </c>
      <c r="D88" s="35">
        <f t="shared" si="1479"/>
        <v>53.700000000000017</v>
      </c>
      <c r="E88" s="36">
        <v>823219.5845</v>
      </c>
      <c r="F88" s="36">
        <v>1091508.5919999999</v>
      </c>
      <c r="G88" s="36">
        <v>-125.0106</v>
      </c>
      <c r="H88" s="36">
        <v>823219.25309999997</v>
      </c>
      <c r="I88" s="36">
        <v>1091508.9223</v>
      </c>
      <c r="J88" s="36">
        <v>-123.0256</v>
      </c>
      <c r="K88" s="36" t="s">
        <v>81</v>
      </c>
      <c r="L88" s="36" t="s">
        <v>81</v>
      </c>
      <c r="M88" s="36" t="s">
        <v>81</v>
      </c>
      <c r="N88" s="36">
        <v>823220.89199999999</v>
      </c>
      <c r="O88" s="36">
        <v>1091504.8158</v>
      </c>
      <c r="P88" s="36">
        <v>-119.5294</v>
      </c>
      <c r="Q88" s="36">
        <v>823222.37199999997</v>
      </c>
      <c r="R88" s="36">
        <v>1091502.2108</v>
      </c>
      <c r="S88" s="36">
        <v>-120.8806</v>
      </c>
      <c r="T88" s="36">
        <v>823222.78170000005</v>
      </c>
      <c r="U88" s="36">
        <v>1091501.3107</v>
      </c>
      <c r="V88" s="36">
        <v>-123.0183</v>
      </c>
      <c r="W88" s="36">
        <v>823222.70010000002</v>
      </c>
      <c r="X88" s="36">
        <v>1091501.6359000001</v>
      </c>
      <c r="Y88" s="36">
        <v>-124.9358</v>
      </c>
      <c r="Z88" s="36">
        <f t="shared" si="1490"/>
        <v>6.7832732607285493</v>
      </c>
      <c r="AA88" s="36">
        <f t="shared" si="1491"/>
        <v>5.636732200488102</v>
      </c>
      <c r="AB88" s="36"/>
      <c r="AC88" s="36">
        <f t="shared" si="1492"/>
        <v>3.2866649418290019</v>
      </c>
      <c r="AD88" s="36">
        <f t="shared" si="1493"/>
        <v>5.2942530455085768</v>
      </c>
      <c r="AE88" s="36">
        <f t="shared" si="1494"/>
        <v>6.527645102123067</v>
      </c>
      <c r="AF88" s="36"/>
      <c r="AG88" s="36">
        <f t="shared" si="1495"/>
        <v>8.3897273978193994</v>
      </c>
      <c r="AH88" s="36">
        <f t="shared" si="1496"/>
        <v>7.6223280963124367</v>
      </c>
      <c r="AI88" s="40">
        <f t="shared" ref="AI88" si="1594">IF(Z88="","",(Z88-Z$10)*1000)</f>
        <v>-33.67803509714129</v>
      </c>
      <c r="AJ88" s="40">
        <f t="shared" ref="AJ88" si="1595">IF(AA88="","",(AA88-AA$10)*1000)</f>
        <v>-29.639343933551388</v>
      </c>
      <c r="AK88" s="40" t="str">
        <f t="shared" ref="AK88" si="1596">IF(AB88="","",(AB88-AB$10)*1000)</f>
        <v/>
      </c>
      <c r="AL88" s="40">
        <f t="shared" ref="AL88" si="1597">IF(AC88="","",(AC88-AC$10)*1000)</f>
        <v>-11.023815405764914</v>
      </c>
      <c r="AM88" s="40">
        <f t="shared" ref="AM88" si="1598">IF(AD88="","",(AD88-AD$10)*1000)</f>
        <v>-23.013021749850537</v>
      </c>
      <c r="AN88" s="40">
        <f t="shared" ref="AN88" si="1599">IF(AE88="","",(AE88-AE$10)*1000)</f>
        <v>-30.360147891521194</v>
      </c>
      <c r="AO88" s="40"/>
      <c r="AP88" s="40">
        <f t="shared" ref="AP88" si="1600">IF(AG88="","",(AG88-AG$10)*1000)</f>
        <v>-22.664064126589167</v>
      </c>
      <c r="AQ88" s="40">
        <f t="shared" ref="AQ88" si="1601">IF(AH88="","",(AH88-AH$10)*1000)</f>
        <v>-25.69006840178556</v>
      </c>
      <c r="AR88" s="37"/>
      <c r="AS88" s="40">
        <f t="shared" ref="AS88" si="1602">IF(E88="","",(E88-E$10)*1000)</f>
        <v>1.7000000225380063</v>
      </c>
      <c r="AT88" s="40">
        <f t="shared" ref="AT88" si="1603">IF(F88="","",(F88-F$10)*1000)</f>
        <v>-15.899999998509884</v>
      </c>
      <c r="AU88" s="40">
        <f t="shared" ref="AU88" si="1604">IF(G88="","",(G88-G$10)*1000)</f>
        <v>-0.59999999999149622</v>
      </c>
      <c r="AV88" s="40">
        <f t="shared" ref="AV88" si="1605">IF(H88="","",(H88-H$10)*1000)</f>
        <v>3.2999999821186066</v>
      </c>
      <c r="AW88" s="40">
        <f t="shared" ref="AW88" si="1606">IF(I88="","",(I88-I$10)*1000)</f>
        <v>-13.599999947473407</v>
      </c>
      <c r="AX88" s="40">
        <f t="shared" ref="AX88" si="1607">IF(J88="","",(J88-J$10)*1000)</f>
        <v>-2.299999999991087</v>
      </c>
      <c r="AY88" s="40"/>
      <c r="AZ88" s="40"/>
      <c r="BA88" s="40"/>
      <c r="BB88" s="40">
        <f t="shared" ref="BB88" si="1608">IF(N88="","",(N88-N$10)*1000)</f>
        <v>-5.6000000331550837</v>
      </c>
      <c r="BC88" s="40">
        <f t="shared" ref="BC88" si="1609">IF(O88="","",(O88-O$10)*1000)</f>
        <v>0.699999975040555</v>
      </c>
      <c r="BD88" s="40">
        <f t="shared" ref="BD88" si="1610">IF(P88="","",(P88-P$10)*1000)</f>
        <v>-29.099999999999682</v>
      </c>
      <c r="BE88" s="40">
        <f t="shared" ref="BE88" si="1611">IF(Q88="","",(Q88-Q$10)*1000)</f>
        <v>-5.3000000771135092</v>
      </c>
      <c r="BF88" s="40">
        <f t="shared" ref="BF88" si="1612">IF(R88="","",(R88-R$10)*1000)</f>
        <v>6.4999999012798071</v>
      </c>
      <c r="BG88" s="40">
        <f t="shared" ref="BG88" si="1613">IF(S88="","",(S88-S$10)*1000)</f>
        <v>-13.199999999997658</v>
      </c>
      <c r="BH88" s="40">
        <f t="shared" ref="BH88" si="1614">IF(T88="","",(T88-T$10)*1000)</f>
        <v>-6.7999999737367034</v>
      </c>
      <c r="BI88" s="40">
        <f t="shared" ref="BI88" si="1615">IF(U88="","",(U88-U$10)*1000)</f>
        <v>6.7000000271946192</v>
      </c>
      <c r="BJ88" s="40">
        <f t="shared" ref="BJ88" si="1616">IF(V88="","",(V88-V$10)*1000)</f>
        <v>-0.90000000000145519</v>
      </c>
      <c r="BK88" s="40">
        <f t="shared" ref="BK88" si="1617">IF(W88="","",(W88-W$10)*1000)</f>
        <v>-9.1999999713152647</v>
      </c>
      <c r="BL88" s="40">
        <f t="shared" ref="BL88" si="1618">IF(X88="","",(X88-X$10)*1000)</f>
        <v>7.4000000022351742</v>
      </c>
      <c r="BM88" s="40">
        <f t="shared" ref="BM88" si="1619">IF(Y88="","",(Y88-Y$10)*1000)</f>
        <v>2.3999999999944066</v>
      </c>
      <c r="BN88" s="37"/>
      <c r="BO88" s="36">
        <v>169.3698761517351</v>
      </c>
      <c r="BP88" s="36">
        <v>-3.7587236901201408</v>
      </c>
      <c r="BQ88" s="36">
        <v>-1.1614187615173535</v>
      </c>
      <c r="BR88" s="36">
        <v>169.20913292556833</v>
      </c>
      <c r="BS88" s="36">
        <v>-4.1981388301392188</v>
      </c>
      <c r="BT88" s="36">
        <v>0.82518867074431057</v>
      </c>
      <c r="BU88" s="38" t="s">
        <v>81</v>
      </c>
      <c r="BV88" s="39" t="s">
        <v>81</v>
      </c>
      <c r="BW88" s="39" t="s">
        <v>81</v>
      </c>
      <c r="BX88" s="38">
        <v>168.95883448551101</v>
      </c>
      <c r="BY88" s="39">
        <v>0.21623384906725082</v>
      </c>
      <c r="BZ88" s="39">
        <v>4.3238916551448909</v>
      </c>
      <c r="CA88" s="38">
        <v>169.19913823196583</v>
      </c>
      <c r="CB88" s="39">
        <v>3.2026496120325425</v>
      </c>
      <c r="CC88" s="39">
        <v>2.9702886176803389</v>
      </c>
      <c r="CD88" s="38">
        <v>169.19001701030413</v>
      </c>
      <c r="CE88" s="39">
        <v>4.1915636140184622</v>
      </c>
      <c r="CF88" s="39">
        <v>0.83267982989696065</v>
      </c>
      <c r="CG88" s="38">
        <v>169.25351001277735</v>
      </c>
      <c r="CH88" s="39">
        <v>3.8623490355227457</v>
      </c>
      <c r="CI88" s="39">
        <v>-1.0854551001277741</v>
      </c>
      <c r="CJ88" s="37"/>
      <c r="CK88" s="40">
        <f t="shared" ref="CK88" si="1620">IF(BO88="","",(BO88-BO$10)*1000)</f>
        <v>-5.1794704558574267</v>
      </c>
      <c r="CL88" s="40">
        <f t="shared" ref="CL88" si="1621">IF(BP88="","",(BP88-BP$10)*1000)</f>
        <v>15.128552006914653</v>
      </c>
      <c r="CM88" s="40">
        <f t="shared" ref="CM88" si="1622">IF(BQ88="","",(BQ88-BQ$10)*1000)</f>
        <v>-0.54820529543064822</v>
      </c>
      <c r="CN88" s="40">
        <f t="shared" ref="CN88" si="1623">IF(BR88="","",(BR88-BR$10)*1000)</f>
        <v>-2.7573035690409142</v>
      </c>
      <c r="CO88" s="40">
        <f t="shared" ref="CO88" si="1624">IF(BS88="","",(BS88-BS$10)*1000)</f>
        <v>13.720323446666072</v>
      </c>
      <c r="CP88" s="40">
        <f t="shared" ref="CP88" si="1625">IF(BT88="","",(BT88-BT$10)*1000)</f>
        <v>-2.2724269643106254</v>
      </c>
      <c r="CQ88" s="40"/>
      <c r="CR88" s="40"/>
      <c r="CS88" s="40"/>
      <c r="CT88" s="40">
        <f t="shared" ref="CT88" si="1626">IF(BX88="","",(BX88-BX$10)*1000)</f>
        <v>-4.779379108839521</v>
      </c>
      <c r="CU88" s="40">
        <f t="shared" ref="CU88" si="1627">IF(BY88="","",(BY88-BY$10)*1000)</f>
        <v>-3.001255682308468</v>
      </c>
      <c r="CV88" s="40">
        <f t="shared" ref="CV88" si="1628">IF(BZ88="","",(BZ88-BZ$10)*1000)</f>
        <v>-29.052206208916687</v>
      </c>
      <c r="CW88" s="40">
        <f t="shared" ref="CW88" si="1629">IF(CA88="","",(CA88-CA$10)*1000)</f>
        <v>-2.0561099065332655</v>
      </c>
      <c r="CX88" s="40">
        <f t="shared" ref="CX88" si="1630">IF(CB88="","",(CB88-CB$10)*1000)</f>
        <v>-8.1309539161202871</v>
      </c>
      <c r="CY88" s="40">
        <f t="shared" ref="CY88" si="1631">IF(CC88="","",(CC88-CC$10)*1000)</f>
        <v>-13.179438900934315</v>
      </c>
      <c r="CZ88" s="40">
        <f t="shared" ref="CZ88" si="1632">IF(CD88="","",(CD88-CD$10)*1000)</f>
        <v>-3.3310174313783136</v>
      </c>
      <c r="DA88" s="40">
        <f t="shared" ref="DA88" si="1633">IF(CE88="","",(CE88-CE$10)*1000)</f>
        <v>-8.9461904115308855</v>
      </c>
      <c r="DB88" s="40">
        <f t="shared" ref="DB88" si="1634">IF(CF88="","",(CF88-CF$10)*1000)</f>
        <v>-0.86668982568482988</v>
      </c>
      <c r="DC88" s="40">
        <f t="shared" ref="DC88" si="1635">IF(CG88="","",(CG88-CG$10)*1000)</f>
        <v>-5.2102619506229075</v>
      </c>
      <c r="DD88" s="40">
        <f t="shared" ref="DD88" si="1636">IF(CH88="","",(CH88-CH$10)*1000)</f>
        <v>-10.594959646506474</v>
      </c>
      <c r="DE88" s="40">
        <f t="shared" ref="DE88" si="1637">IF(CI88="","",(CI88-CI$10)*1000)</f>
        <v>2.4521026195003515</v>
      </c>
    </row>
    <row r="89" spans="1:109" ht="37.5" customHeight="1" x14ac:dyDescent="0.2">
      <c r="A89" s="34">
        <v>44082</v>
      </c>
      <c r="B89" s="27">
        <f t="shared" si="1575"/>
        <v>483</v>
      </c>
      <c r="C89" s="35">
        <v>222.9</v>
      </c>
      <c r="D89" s="35">
        <f t="shared" si="1479"/>
        <v>53.700000000000017</v>
      </c>
      <c r="E89" s="36">
        <v>823219.58440000005</v>
      </c>
      <c r="F89" s="36">
        <v>1091508.5919999999</v>
      </c>
      <c r="G89" s="36">
        <v>-125.0103</v>
      </c>
      <c r="H89" s="36">
        <v>823219.25309999997</v>
      </c>
      <c r="I89" s="36">
        <v>1091508.9223</v>
      </c>
      <c r="J89" s="36">
        <v>-123.02549999999999</v>
      </c>
      <c r="K89" s="36" t="s">
        <v>81</v>
      </c>
      <c r="L89" s="36" t="s">
        <v>81</v>
      </c>
      <c r="M89" s="36" t="s">
        <v>81</v>
      </c>
      <c r="N89" s="36">
        <v>823220.8922</v>
      </c>
      <c r="O89" s="36">
        <v>1091504.8165</v>
      </c>
      <c r="P89" s="36">
        <v>-119.5294</v>
      </c>
      <c r="Q89" s="36">
        <v>823222.37230000005</v>
      </c>
      <c r="R89" s="36">
        <v>1091502.2115</v>
      </c>
      <c r="S89" s="36">
        <v>-120.8801</v>
      </c>
      <c r="T89" s="36">
        <v>823222.78200000001</v>
      </c>
      <c r="U89" s="36">
        <v>1091501.3114</v>
      </c>
      <c r="V89" s="36">
        <v>-123.018</v>
      </c>
      <c r="W89" s="36">
        <v>823222.70079999999</v>
      </c>
      <c r="X89" s="36">
        <v>1091501.6370000001</v>
      </c>
      <c r="Y89" s="36">
        <v>-124.9355</v>
      </c>
      <c r="Z89" s="36">
        <f t="shared" si="1490"/>
        <v>6.7826990129142919</v>
      </c>
      <c r="AA89" s="36">
        <f t="shared" si="1491"/>
        <v>5.636218382945744</v>
      </c>
      <c r="AB89" s="36"/>
      <c r="AC89" s="36">
        <f t="shared" si="1492"/>
        <v>3.28650445002501</v>
      </c>
      <c r="AD89" s="36">
        <f t="shared" si="1493"/>
        <v>5.29409104659854</v>
      </c>
      <c r="AE89" s="36">
        <f t="shared" si="1494"/>
        <v>6.5273403020698995</v>
      </c>
      <c r="AF89" s="36"/>
      <c r="AG89" s="36">
        <f t="shared" si="1495"/>
        <v>8.389218692452312</v>
      </c>
      <c r="AH89" s="36">
        <f t="shared" si="1496"/>
        <v>7.6216513300877597</v>
      </c>
      <c r="AI89" s="40">
        <f t="shared" ref="AI89" si="1638">IF(Z89="","",(Z89-Z$10)*1000)</f>
        <v>-34.252282911398702</v>
      </c>
      <c r="AJ89" s="40">
        <f t="shared" ref="AJ89:AJ90" si="1639">IF(AA89="","",(AA89-AA$10)*1000)</f>
        <v>-30.153161475909407</v>
      </c>
      <c r="AK89" s="40" t="str">
        <f t="shared" ref="AK89:AK90" si="1640">IF(AB89="","",(AB89-AB$10)*1000)</f>
        <v/>
      </c>
      <c r="AL89" s="40">
        <f t="shared" ref="AL89" si="1641">IF(AC89="","",(AC89-AC$10)*1000)</f>
        <v>-11.184307209756827</v>
      </c>
      <c r="AM89" s="40">
        <f t="shared" ref="AM89" si="1642">IF(AD89="","",(AD89-AD$10)*1000)</f>
        <v>-23.175020659887302</v>
      </c>
      <c r="AN89" s="40">
        <f t="shared" ref="AN89" si="1643">IF(AE89="","",(AE89-AE$10)*1000)</f>
        <v>-30.66494794468877</v>
      </c>
      <c r="AO89" s="40"/>
      <c r="AP89" s="40">
        <f t="shared" ref="AP89:AP90" si="1644">IF(AG89="","",(AG89-AG$10)*1000)</f>
        <v>-23.172769493676526</v>
      </c>
      <c r="AQ89" s="40">
        <f t="shared" ref="AQ89" si="1645">IF(AH89="","",(AH89-AH$10)*1000)</f>
        <v>-26.366834626462499</v>
      </c>
      <c r="AR89" s="37"/>
      <c r="AS89" s="40">
        <f t="shared" ref="AS89" si="1646">IF(E89="","",(E89-E$10)*1000)</f>
        <v>1.6000000759959221</v>
      </c>
      <c r="AT89" s="40">
        <f t="shared" ref="AT89" si="1647">IF(F89="","",(F89-F$10)*1000)</f>
        <v>-15.899999998509884</v>
      </c>
      <c r="AU89" s="40">
        <f t="shared" ref="AU89" si="1648">IF(G89="","",(G89-G$10)*1000)</f>
        <v>-0.29999999999574811</v>
      </c>
      <c r="AV89" s="40">
        <f t="shared" ref="AV89" si="1649">IF(H89="","",(H89-H$10)*1000)</f>
        <v>3.2999999821186066</v>
      </c>
      <c r="AW89" s="40">
        <f t="shared" ref="AW89" si="1650">IF(I89="","",(I89-I$10)*1000)</f>
        <v>-13.599999947473407</v>
      </c>
      <c r="AX89" s="40">
        <f t="shared" ref="AX89" si="1651">IF(J89="","",(J89-J$10)*1000)</f>
        <v>-2.1999999999877673</v>
      </c>
      <c r="AY89" s="40"/>
      <c r="AZ89" s="40"/>
      <c r="BA89" s="40"/>
      <c r="BB89" s="40">
        <f t="shared" ref="BB89" si="1652">IF(N89="","",(N89-N$10)*1000)</f>
        <v>-5.4000000236555934</v>
      </c>
      <c r="BC89" s="40">
        <f t="shared" ref="BC89" si="1653">IF(O89="","",(O89-O$10)*1000)</f>
        <v>1.39999995008111</v>
      </c>
      <c r="BD89" s="40">
        <f t="shared" ref="BD89" si="1654">IF(P89="","",(P89-P$10)*1000)</f>
        <v>-29.099999999999682</v>
      </c>
      <c r="BE89" s="40">
        <f t="shared" ref="BE89" si="1655">IF(Q89="","",(Q89-Q$10)*1000)</f>
        <v>-5.0000000046566129</v>
      </c>
      <c r="BF89" s="40">
        <f t="shared" ref="BF89" si="1656">IF(R89="","",(R89-R$10)*1000)</f>
        <v>7.1999998763203621</v>
      </c>
      <c r="BG89" s="40">
        <f t="shared" ref="BG89" si="1657">IF(S89="","",(S89-S$10)*1000)</f>
        <v>-12.699999999995271</v>
      </c>
      <c r="BH89" s="40">
        <f t="shared" ref="BH89" si="1658">IF(T89="","",(T89-T$10)*1000)</f>
        <v>-6.5000000176951289</v>
      </c>
      <c r="BI89" s="40">
        <f t="shared" ref="BI89" si="1659">IF(U89="","",(U89-U$10)*1000)</f>
        <v>7.4000000022351742</v>
      </c>
      <c r="BJ89" s="40">
        <f t="shared" ref="BJ89" si="1660">IF(V89="","",(V89-V$10)*1000)</f>
        <v>-0.60000000000570708</v>
      </c>
      <c r="BK89" s="40">
        <f t="shared" ref="BK89" si="1661">IF(W89="","",(W89-W$10)*1000)</f>
        <v>-8.4999999962747097</v>
      </c>
      <c r="BL89" s="40">
        <f t="shared" ref="BL89" si="1662">IF(X89="","",(X89-X$10)*1000)</f>
        <v>8.4999999962747097</v>
      </c>
      <c r="BM89" s="40">
        <f t="shared" ref="BM89" si="1663">IF(Y89="","",(Y89-Y$10)*1000)</f>
        <v>2.6999999999901547</v>
      </c>
      <c r="BN89" s="37"/>
      <c r="BO89" s="36">
        <v>169.36978552257864</v>
      </c>
      <c r="BP89" s="36">
        <v>-3.7587659552985699</v>
      </c>
      <c r="BQ89" s="36">
        <v>-1.1611178552257968</v>
      </c>
      <c r="BR89" s="36">
        <v>169.20913292556833</v>
      </c>
      <c r="BS89" s="36">
        <v>-4.1981388301392188</v>
      </c>
      <c r="BT89" s="36">
        <v>0.82528867074431389</v>
      </c>
      <c r="BU89" s="38" t="s">
        <v>81</v>
      </c>
      <c r="BV89" s="39" t="s">
        <v>81</v>
      </c>
      <c r="BW89" s="39" t="s">
        <v>81</v>
      </c>
      <c r="BX89" s="38">
        <v>168.95931160032598</v>
      </c>
      <c r="BY89" s="39">
        <v>0.21568397506148801</v>
      </c>
      <c r="BZ89" s="39">
        <v>4.3238868839967353</v>
      </c>
      <c r="CA89" s="38">
        <v>169.19970597604276</v>
      </c>
      <c r="CB89" s="39">
        <v>3.2021420032544028</v>
      </c>
      <c r="CC89" s="39">
        <v>2.9707829402395731</v>
      </c>
      <c r="CD89" s="38">
        <v>169.19058475427556</v>
      </c>
      <c r="CE89" s="39">
        <v>4.1910560051911228</v>
      </c>
      <c r="CF89" s="39">
        <v>0.83297415245723982</v>
      </c>
      <c r="CG89" s="38">
        <v>169.25460933439774</v>
      </c>
      <c r="CH89" s="39">
        <v>3.8616479706705915</v>
      </c>
      <c r="CI89" s="39">
        <v>-1.0851660933439859</v>
      </c>
      <c r="CJ89" s="37"/>
      <c r="CK89" s="40">
        <f t="shared" ref="CK89" si="1664">IF(BO89="","",(BO89-BO$10)*1000)</f>
        <v>-5.2700996123178356</v>
      </c>
      <c r="CL89" s="40">
        <f t="shared" ref="CL89" si="1665">IF(BP89="","",(BP89-BP$10)*1000)</f>
        <v>15.086286828485562</v>
      </c>
      <c r="CM89" s="40">
        <f t="shared" ref="CM89" si="1666">IF(BQ89="","",(BQ89-BQ$10)*1000)</f>
        <v>-0.24729900387399084</v>
      </c>
      <c r="CN89" s="40">
        <f t="shared" ref="CN89" si="1667">IF(BR89="","",(BR89-BR$10)*1000)</f>
        <v>-2.7573035690409142</v>
      </c>
      <c r="CO89" s="40">
        <f t="shared" ref="CO89" si="1668">IF(BS89="","",(BS89-BS$10)*1000)</f>
        <v>13.720323446666072</v>
      </c>
      <c r="CP89" s="40">
        <f t="shared" ref="CP89" si="1669">IF(BT89="","",(BT89-BT$10)*1000)</f>
        <v>-2.1724269643073058</v>
      </c>
      <c r="CQ89" s="40"/>
      <c r="CR89" s="40"/>
      <c r="CS89" s="40"/>
      <c r="CT89" s="40">
        <f t="shared" ref="CT89" si="1670">IF(BX89="","",(BX89-BX$10)*1000)</f>
        <v>-4.3022642938694844</v>
      </c>
      <c r="CU89" s="40">
        <f t="shared" ref="CU89" si="1671">IF(BY89="","",(BY89-BY$10)*1000)</f>
        <v>-3.5511296880712804</v>
      </c>
      <c r="CV89" s="40">
        <f t="shared" ref="CV89" si="1672">IF(BZ89="","",(BZ89-BZ$10)*1000)</f>
        <v>-29.056977357072356</v>
      </c>
      <c r="CW89" s="40">
        <f t="shared" ref="CW89" si="1673">IF(CA89="","",(CA89-CA$10)*1000)</f>
        <v>-1.4883658296014346</v>
      </c>
      <c r="CX89" s="40">
        <f t="shared" ref="CX89" si="1674">IF(CB89="","",(CB89-CB$10)*1000)</f>
        <v>-8.6385626942599991</v>
      </c>
      <c r="CY89" s="40">
        <f t="shared" ref="CY89" si="1675">IF(CC89="","",(CC89-CC$10)*1000)</f>
        <v>-12.685116341700109</v>
      </c>
      <c r="CZ89" s="40">
        <f t="shared" ref="CZ89" si="1676">IF(CD89="","",(CD89-CD$10)*1000)</f>
        <v>-2.7632734599478681</v>
      </c>
      <c r="DA89" s="40">
        <f t="shared" ref="DA89" si="1677">IF(CE89="","",(CE89-CE$10)*1000)</f>
        <v>-9.4537992388703529</v>
      </c>
      <c r="DB89" s="40">
        <f t="shared" ref="DB89" si="1678">IF(CF89="","",(CF89-CF$10)*1000)</f>
        <v>-0.57236726540565996</v>
      </c>
      <c r="DC89" s="40">
        <f t="shared" ref="DC89" si="1679">IF(CG89="","",(CG89-CG$10)*1000)</f>
        <v>-4.110940330235735</v>
      </c>
      <c r="DD89" s="40">
        <f t="shared" ref="DD89" si="1680">IF(CH89="","",(CH89-CH$10)*1000)</f>
        <v>-11.296024498660628</v>
      </c>
      <c r="DE89" s="40">
        <f t="shared" ref="DE89" si="1681">IF(CI89="","",(CI89-CI$10)*1000)</f>
        <v>2.741109403288533</v>
      </c>
    </row>
    <row r="90" spans="1:109" ht="37.5" customHeight="1" x14ac:dyDescent="0.2">
      <c r="A90" s="34">
        <v>44112</v>
      </c>
      <c r="B90" s="27">
        <f t="shared" ref="B90" si="1682">IF(A90="","",A90-excav)</f>
        <v>513</v>
      </c>
      <c r="C90" s="35">
        <v>222.9</v>
      </c>
      <c r="D90" s="35">
        <f t="shared" si="1479"/>
        <v>53.700000000000017</v>
      </c>
      <c r="E90" s="36">
        <v>823219.58689999999</v>
      </c>
      <c r="F90" s="36">
        <v>1091508.5911000001</v>
      </c>
      <c r="G90" s="36">
        <v>-125.0094</v>
      </c>
      <c r="H90" s="36" t="s">
        <v>81</v>
      </c>
      <c r="I90" s="36" t="s">
        <v>81</v>
      </c>
      <c r="J90" s="36" t="s">
        <v>81</v>
      </c>
      <c r="K90" s="36">
        <v>823219.64540000004</v>
      </c>
      <c r="L90" s="36">
        <v>1091508.0311</v>
      </c>
      <c r="M90" s="36">
        <v>-120.8853</v>
      </c>
      <c r="N90" s="36">
        <v>823220.89399999997</v>
      </c>
      <c r="O90" s="36">
        <v>1091504.8154</v>
      </c>
      <c r="P90" s="36">
        <v>-119.5303</v>
      </c>
      <c r="Q90" s="36">
        <v>823222.37309999997</v>
      </c>
      <c r="R90" s="36">
        <v>1091502.2113000001</v>
      </c>
      <c r="S90" s="36">
        <v>-120.881</v>
      </c>
      <c r="T90" s="36">
        <v>823222.78220000002</v>
      </c>
      <c r="U90" s="36">
        <v>1091501.3112000001</v>
      </c>
      <c r="V90" s="36">
        <v>-123.01739999999999</v>
      </c>
      <c r="W90" s="36">
        <v>823222.70079999999</v>
      </c>
      <c r="X90" s="36">
        <v>1091501.6366000001</v>
      </c>
      <c r="Y90" s="36">
        <v>-124.93429999999999</v>
      </c>
      <c r="Z90" s="36">
        <f t="shared" si="1490"/>
        <v>6.7812209601814795</v>
      </c>
      <c r="AA90" s="36"/>
      <c r="AB90" s="36">
        <f t="shared" ref="AB90:AB120" si="1683">IF(Xhaut="","",SQRT(((Xhautgauche-Xhaut)^2+(Yhautgauche-Yhaut)^2)+(Zhautgauche-Zhaut)^2))</f>
        <v>3.706177741314157</v>
      </c>
      <c r="AC90" s="36">
        <f t="shared" si="1492"/>
        <v>3.2853407904459222</v>
      </c>
      <c r="AD90" s="36">
        <f t="shared" si="1493"/>
        <v>5.2919356845222483</v>
      </c>
      <c r="AE90" s="36">
        <f t="shared" si="1494"/>
        <v>6.5247614270022547</v>
      </c>
      <c r="AF90" s="36">
        <f t="shared" ref="AF90:AF120" si="1684">IF(Xhautdroit="","",SQRT(((Xhautdroit-Xhautgauche)^2+(Yhautdroit-Yhautgauche)^2)+(Zhautdroit-Zhautgauche)^2))</f>
        <v>6.4273196449930188</v>
      </c>
      <c r="AG90" s="36"/>
      <c r="AH90" s="36">
        <f t="shared" si="1496"/>
        <v>7.6201760786661286</v>
      </c>
      <c r="AI90" s="40">
        <f t="shared" ref="AI90" si="1685">IF(Z90="","",(Z90-Z$10)*1000)</f>
        <v>-35.730335644211131</v>
      </c>
      <c r="AJ90" s="40" t="str">
        <f t="shared" si="1639"/>
        <v/>
      </c>
      <c r="AK90" s="40">
        <f t="shared" si="1640"/>
        <v>-26.347531121176271</v>
      </c>
      <c r="AL90" s="40">
        <f t="shared" ref="AL90" si="1686">IF(AC90="","",(AC90-AC$10)*1000)</f>
        <v>-12.347966788844644</v>
      </c>
      <c r="AM90" s="40">
        <f t="shared" ref="AM90" si="1687">IF(AD90="","",(AD90-AD$10)*1000)</f>
        <v>-25.330382736179047</v>
      </c>
      <c r="AN90" s="40">
        <f t="shared" ref="AN90:AO90" si="1688">IF(AE90="","",(AE90-AE$10)*1000)</f>
        <v>-33.243823012333529</v>
      </c>
      <c r="AO90" s="40">
        <f t="shared" si="1688"/>
        <v>-24.283985726028412</v>
      </c>
      <c r="AP90" s="40" t="str">
        <f t="shared" si="1644"/>
        <v/>
      </c>
      <c r="AQ90" s="40">
        <f t="shared" ref="AQ90" si="1689">IF(AH90="","",(AH90-AH$10)*1000)</f>
        <v>-27.842086048093684</v>
      </c>
      <c r="AR90" s="37"/>
      <c r="AS90" s="40">
        <f t="shared" ref="AS90" si="1690">IF(E90="","",(E90-E$10)*1000)</f>
        <v>4.1000000201165676</v>
      </c>
      <c r="AT90" s="40">
        <f t="shared" ref="AT90" si="1691">IF(F90="","",(F90-F$10)*1000)</f>
        <v>-16.799999866634607</v>
      </c>
      <c r="AU90" s="40">
        <f t="shared" ref="AU90" si="1692">IF(G90="","",(G90-G$10)*1000)</f>
        <v>0.60000000000570708</v>
      </c>
      <c r="AV90" s="40"/>
      <c r="AW90" s="40"/>
      <c r="AX90" s="40"/>
      <c r="AY90" s="40">
        <f t="shared" ref="AY90" si="1693">IF(K90="","",(K90-K$10)*1000)</f>
        <v>3.7000000011175871</v>
      </c>
      <c r="AZ90" s="40">
        <f t="shared" ref="AZ90" si="1694">IF(L90="","",(L90-L$10)*1000)</f>
        <v>-16.099999891594052</v>
      </c>
      <c r="BA90" s="40">
        <f t="shared" ref="BA90" si="1695">IF(M90="","",(M90-M$10)*1000)</f>
        <v>-3.6999999999949296</v>
      </c>
      <c r="BB90" s="40">
        <f t="shared" ref="BB90" si="1696">IF(N90="","",(N90-N$10)*1000)</f>
        <v>-3.6000000545755029</v>
      </c>
      <c r="BC90" s="40">
        <f t="shared" ref="BC90" si="1697">IF(O90="","",(O90-O$10)*1000)</f>
        <v>0.29999995604157448</v>
      </c>
      <c r="BD90" s="40">
        <f t="shared" ref="BD90" si="1698">IF(P90="","",(P90-P$10)*1000)</f>
        <v>-30.000000000001137</v>
      </c>
      <c r="BE90" s="40">
        <f t="shared" ref="BE90" si="1699">IF(Q90="","",(Q90-Q$10)*1000)</f>
        <v>-4.2000000830739737</v>
      </c>
      <c r="BF90" s="40">
        <f t="shared" ref="BF90" si="1700">IF(R90="","",(R90-R$10)*1000)</f>
        <v>6.9999999832361937</v>
      </c>
      <c r="BG90" s="40">
        <f t="shared" ref="BG90" si="1701">IF(S90="","",(S90-S$10)*1000)</f>
        <v>-13.599999999996726</v>
      </c>
      <c r="BH90" s="40">
        <f t="shared" ref="BH90" si="1702">IF(T90="","",(T90-T$10)*1000)</f>
        <v>-6.3000000081956387</v>
      </c>
      <c r="BI90" s="40">
        <f t="shared" ref="BI90" si="1703">IF(U90="","",(U90-U$10)*1000)</f>
        <v>7.2000001091510057</v>
      </c>
      <c r="BJ90" s="40">
        <f t="shared" ref="BJ90" si="1704">IF(V90="","",(V90-V$10)*1000)</f>
        <v>0</v>
      </c>
      <c r="BK90" s="40">
        <f t="shared" ref="BK90" si="1705">IF(W90="","",(W90-W$10)*1000)</f>
        <v>-8.4999999962747097</v>
      </c>
      <c r="BL90" s="40">
        <f t="shared" ref="BL90" si="1706">IF(X90="","",(X90-X$10)*1000)</f>
        <v>8.0999999772757292</v>
      </c>
      <c r="BM90" s="40">
        <f t="shared" ref="BM90" si="1707">IF(Y90="","",(Y90-Y$10)*1000)</f>
        <v>3.9000000000015689</v>
      </c>
      <c r="BN90" s="37"/>
      <c r="BO90" s="36">
        <v>169.37167086589753</v>
      </c>
      <c r="BP90" s="36">
        <v>-3.7568936625722245</v>
      </c>
      <c r="BQ90" s="36">
        <v>-1.1602367086589709</v>
      </c>
      <c r="BR90" s="36" t="s">
        <v>81</v>
      </c>
      <c r="BS90" s="36" t="s">
        <v>81</v>
      </c>
      <c r="BT90" s="36" t="s">
        <v>81</v>
      </c>
      <c r="BU90" s="38">
        <v>169.18800382513709</v>
      </c>
      <c r="BV90" s="39">
        <v>-3.2246449723851192</v>
      </c>
      <c r="BW90" s="39">
        <v>2.9656999617486264</v>
      </c>
      <c r="BX90" s="38">
        <v>168.96047800877787</v>
      </c>
      <c r="BY90" s="39">
        <v>0.21744166991525019</v>
      </c>
      <c r="BZ90" s="39">
        <v>4.3229752199122231</v>
      </c>
      <c r="CA90" s="38">
        <v>169.20034647925419</v>
      </c>
      <c r="CB90" s="39">
        <v>3.2026613831422526</v>
      </c>
      <c r="CC90" s="39">
        <v>2.9698765352074474</v>
      </c>
      <c r="CD90" s="38">
        <v>169.19068148233717</v>
      </c>
      <c r="CE90" s="39">
        <v>4.1913217939100935</v>
      </c>
      <c r="CF90" s="39">
        <v>0.83357318517663259</v>
      </c>
      <c r="CG90" s="38">
        <v>169.25444027358566</v>
      </c>
      <c r="CH90" s="39">
        <v>3.8620104875074732</v>
      </c>
      <c r="CI90" s="39">
        <v>-1.0839644027358588</v>
      </c>
      <c r="CJ90" s="37"/>
      <c r="CK90" s="40">
        <f t="shared" ref="CK90" si="1708">IF(BO90="","",(BO90-BO$10)*1000)</f>
        <v>-3.3847562934283815</v>
      </c>
      <c r="CL90" s="40">
        <f t="shared" ref="CL90" si="1709">IF(BP90="","",(BP90-BP$10)*1000)</f>
        <v>16.958579554831044</v>
      </c>
      <c r="CM90" s="40">
        <f t="shared" ref="CM90" si="1710">IF(BQ90="","",(BQ90-BQ$10)*1000)</f>
        <v>0.63384756295192801</v>
      </c>
      <c r="CN90" s="40"/>
      <c r="CO90" s="40"/>
      <c r="CP90" s="40"/>
      <c r="CQ90" s="40">
        <f t="shared" ref="CQ90" si="1711">IF(BU90="","",(BU90-BU$10)*1000)</f>
        <v>-3.451416733781798</v>
      </c>
      <c r="CR90" s="40">
        <f t="shared" ref="CR90" si="1712">IF(BV90="","",(BV90-BV$10)*1000)</f>
        <v>16.155114330977938</v>
      </c>
      <c r="CS90" s="40">
        <f t="shared" ref="CS90" si="1713">IF(BW90="","",(BW90-BW$10)*1000)</f>
        <v>-3.6654858326556905</v>
      </c>
      <c r="CT90" s="40">
        <f t="shared" ref="CT90" si="1714">IF(BX90="","",(BX90-BX$10)*1000)</f>
        <v>-3.135855841975399</v>
      </c>
      <c r="CU90" s="40">
        <f t="shared" ref="CU90" si="1715">IF(BY90="","",(BY90-BY$10)*1000)</f>
        <v>-1.7934348343091044</v>
      </c>
      <c r="CV90" s="40">
        <f t="shared" ref="CV90" si="1716">IF(BZ90="","",(BZ90-BZ$10)*1000)</f>
        <v>-29.968641441584509</v>
      </c>
      <c r="CW90" s="40">
        <f t="shared" ref="CW90" si="1717">IF(CA90="","",(CA90-CA$10)*1000)</f>
        <v>-0.84786261817271225</v>
      </c>
      <c r="CX90" s="40">
        <f t="shared" ref="CX90" si="1718">IF(CB90="","",(CB90-CB$10)*1000)</f>
        <v>-8.1191828064102189</v>
      </c>
      <c r="CY90" s="40">
        <f t="shared" ref="CY90" si="1719">IF(CC90="","",(CC90-CC$10)*1000)</f>
        <v>-13.591521373825799</v>
      </c>
      <c r="CZ90" s="40">
        <f t="shared" ref="CZ90" si="1720">IF(CD90="","",(CD90-CD$10)*1000)</f>
        <v>-2.6665453983412135</v>
      </c>
      <c r="DA90" s="40">
        <f t="shared" ref="DA90" si="1721">IF(CE90="","",(CE90-CE$10)*1000)</f>
        <v>-9.1880105198995921</v>
      </c>
      <c r="DB90" s="40">
        <f t="shared" ref="DB90" si="1722">IF(CF90="","",(CF90-CF$10)*1000)</f>
        <v>2.6665453987106957E-2</v>
      </c>
      <c r="DC90" s="40">
        <f t="shared" ref="DC90" si="1723">IF(CG90="","",(CG90-CG$10)*1000)</f>
        <v>-4.2800011423196338</v>
      </c>
      <c r="DD90" s="40">
        <f t="shared" ref="DD90" si="1724">IF(CH90="","",(CH90-CH$10)*1000)</f>
        <v>-10.933507661778918</v>
      </c>
      <c r="DE90" s="40">
        <f t="shared" ref="DE90" si="1725">IF(CI90="","",(CI90-CI$10)*1000)</f>
        <v>3.9428000114156703</v>
      </c>
    </row>
    <row r="91" spans="1:109" ht="37.5" customHeight="1" x14ac:dyDescent="0.2">
      <c r="A91" s="34">
        <v>44134</v>
      </c>
      <c r="B91" s="27">
        <f t="shared" ref="B91" si="1726">IF(A91="","",A91-excav)</f>
        <v>535</v>
      </c>
      <c r="C91" s="35">
        <v>222.9</v>
      </c>
      <c r="D91" s="35">
        <v>53.700000000000017</v>
      </c>
      <c r="E91" s="36">
        <v>823219.58299999998</v>
      </c>
      <c r="F91" s="36">
        <v>1091508.5925</v>
      </c>
      <c r="G91" s="36">
        <v>-125.0099</v>
      </c>
      <c r="H91" s="36"/>
      <c r="I91" s="36"/>
      <c r="J91" s="36"/>
      <c r="K91" s="36">
        <v>823219.64139999996</v>
      </c>
      <c r="L91" s="36">
        <v>1091508.0319000001</v>
      </c>
      <c r="M91" s="36">
        <v>-120.8843</v>
      </c>
      <c r="N91" s="36">
        <v>823220.89069999999</v>
      </c>
      <c r="O91" s="36">
        <v>1091504.8152000001</v>
      </c>
      <c r="P91" s="36">
        <v>-119.52889999999999</v>
      </c>
      <c r="Q91" s="36">
        <v>823222.37109999999</v>
      </c>
      <c r="R91" s="36">
        <v>1091502.21</v>
      </c>
      <c r="S91" s="36">
        <v>-120.8797</v>
      </c>
      <c r="T91" s="36">
        <v>823222.7807</v>
      </c>
      <c r="U91" s="36">
        <v>1091501.3093999999</v>
      </c>
      <c r="V91" s="36">
        <v>-123.017</v>
      </c>
      <c r="W91" s="36">
        <v>823222.69900000002</v>
      </c>
      <c r="X91" s="36">
        <v>1091501.6346</v>
      </c>
      <c r="Y91" s="36">
        <v>-124.93510000000001</v>
      </c>
      <c r="Z91" s="36">
        <f t="shared" si="1490"/>
        <v>6.7837626417567662</v>
      </c>
      <c r="AA91" s="36"/>
      <c r="AB91" s="36">
        <f t="shared" si="1683"/>
        <v>3.7074274827699143</v>
      </c>
      <c r="AC91" s="36">
        <f t="shared" si="1492"/>
        <v>3.2868391869028422</v>
      </c>
      <c r="AD91" s="36">
        <f t="shared" si="1493"/>
        <v>5.2942964831191839</v>
      </c>
      <c r="AE91" s="36">
        <f t="shared" si="1494"/>
        <v>6.5278758942421575</v>
      </c>
      <c r="AF91" s="36">
        <f t="shared" si="1684"/>
        <v>6.4300702065584341</v>
      </c>
      <c r="AG91" s="36"/>
      <c r="AH91" s="36">
        <f t="shared" si="1496"/>
        <v>7.624134275493943</v>
      </c>
      <c r="AI91" s="40">
        <f t="shared" ref="AI91" si="1727">IF(Z91="","",(Z91-Z$10)*1000)</f>
        <v>-33.18865406892435</v>
      </c>
      <c r="AJ91" s="40" t="str">
        <f t="shared" ref="AJ91" si="1728">IF(AA91="","",(AA91-AA$10)*1000)</f>
        <v/>
      </c>
      <c r="AK91" s="40">
        <f t="shared" ref="AK91" si="1729">IF(AB91="","",(AB91-AB$10)*1000)</f>
        <v>-25.097789665418979</v>
      </c>
      <c r="AL91" s="40">
        <f t="shared" ref="AL91" si="1730">IF(AC91="","",(AC91-AC$10)*1000)</f>
        <v>-10.849570331924685</v>
      </c>
      <c r="AM91" s="40">
        <f t="shared" ref="AM91" si="1731">IF(AD91="","",(AD91-AD$10)*1000)</f>
        <v>-22.969584139243437</v>
      </c>
      <c r="AN91" s="40">
        <f t="shared" ref="AN91" si="1732">IF(AE91="","",(AE91-AE$10)*1000)</f>
        <v>-30.129355772430699</v>
      </c>
      <c r="AO91" s="40">
        <f t="shared" ref="AO91" si="1733">IF(AF91="","",(AF91-AF$10)*1000)</f>
        <v>-21.533424160613102</v>
      </c>
      <c r="AP91" s="40" t="str">
        <f t="shared" ref="AP91" si="1734">IF(AG91="","",(AG91-AG$10)*1000)</f>
        <v/>
      </c>
      <c r="AQ91" s="40">
        <f t="shared" ref="AQ91" si="1735">IF(AH91="","",(AH91-AH$10)*1000)</f>
        <v>-23.883889220279286</v>
      </c>
      <c r="AR91" s="37"/>
      <c r="AS91" s="40">
        <f t="shared" ref="AS91" si="1736">IF(E91="","",(E91-E$10)*1000)</f>
        <v>0.20000000949949026</v>
      </c>
      <c r="AT91" s="40">
        <f t="shared" ref="AT91" si="1737">IF(F91="","",(F91-F$10)*1000)</f>
        <v>-15.399999916553497</v>
      </c>
      <c r="AU91" s="40">
        <f t="shared" ref="AU91" si="1738">IF(G91="","",(G91-G$10)*1000)</f>
        <v>0.10000000000331966</v>
      </c>
      <c r="AV91" s="40"/>
      <c r="AW91" s="40"/>
      <c r="AX91" s="40"/>
      <c r="AY91" s="40">
        <f t="shared" ref="AY91" si="1739">IF(K91="","",(K91-K$10)*1000)</f>
        <v>-0.30000007245689631</v>
      </c>
      <c r="AZ91" s="40">
        <f t="shared" ref="AZ91" si="1740">IF(L91="","",(L91-L$10)*1000)</f>
        <v>-15.299999853596091</v>
      </c>
      <c r="BA91" s="40">
        <f t="shared" ref="BA91" si="1741">IF(M91="","",(M91-M$10)*1000)</f>
        <v>-2.6999999999901547</v>
      </c>
      <c r="BB91" s="40">
        <f t="shared" ref="BB91" si="1742">IF(N91="","",(N91-N$10)*1000)</f>
        <v>-6.9000000366941094</v>
      </c>
      <c r="BC91" s="40">
        <f t="shared" ref="BC91" si="1743">IF(O91="","",(O91-O$10)*1000)</f>
        <v>0.10000006295740604</v>
      </c>
      <c r="BD91" s="40">
        <f t="shared" ref="BD91" si="1744">IF(P91="","",(P91-P$10)*1000)</f>
        <v>-28.599999999997294</v>
      </c>
      <c r="BE91" s="40">
        <f t="shared" ref="BE91" si="1745">IF(Q91="","",(Q91-Q$10)*1000)</f>
        <v>-6.2000000616535544</v>
      </c>
      <c r="BF91" s="40">
        <f t="shared" ref="BF91" si="1746">IF(R91="","",(R91-R$10)*1000)</f>
        <v>5.699999863281846</v>
      </c>
      <c r="BG91" s="40">
        <f t="shared" ref="BG91" si="1747">IF(S91="","",(S91-S$10)*1000)</f>
        <v>-12.299999999996203</v>
      </c>
      <c r="BH91" s="40">
        <f t="shared" ref="BH91" si="1748">IF(T91="","",(T91-T$10)*1000)</f>
        <v>-7.8000000212341547</v>
      </c>
      <c r="BI91" s="40">
        <f t="shared" ref="BI91" si="1749">IF(U91="","",(U91-U$10)*1000)</f>
        <v>5.3999999072402716</v>
      </c>
      <c r="BJ91" s="40">
        <f t="shared" ref="BJ91" si="1750">IF(V91="","",(V91-V$10)*1000)</f>
        <v>0.39999999999906777</v>
      </c>
      <c r="BK91" s="40">
        <f t="shared" ref="BK91" si="1751">IF(W91="","",(W91-W$10)*1000)</f>
        <v>-10.2999999653548</v>
      </c>
      <c r="BL91" s="40">
        <f t="shared" ref="BL91" si="1752">IF(X91="","",(X91-X$10)*1000)</f>
        <v>6.0999998822808266</v>
      </c>
      <c r="BM91" s="40">
        <f t="shared" ref="BM91" si="1753">IF(Y91="","",(Y91-Y$10)*1000)</f>
        <v>3.0999999999892225</v>
      </c>
      <c r="BN91" s="37"/>
      <c r="BO91" s="36">
        <v>169.36872803968924</v>
      </c>
      <c r="BP91" s="36">
        <v>-3.7598108142396276</v>
      </c>
      <c r="BQ91" s="36">
        <v>-1.1607072803968919</v>
      </c>
      <c r="BR91" s="36" t="s">
        <v>81</v>
      </c>
      <c r="BS91" s="36" t="s">
        <v>81</v>
      </c>
      <c r="BT91" s="36" t="s">
        <v>81</v>
      </c>
      <c r="BU91" s="38">
        <v>169.18471677849794</v>
      </c>
      <c r="BV91" s="39">
        <v>-3.2270606141303375</v>
      </c>
      <c r="BW91" s="39">
        <v>2.9667328322150155</v>
      </c>
      <c r="BX91" s="38">
        <v>168.95740271467503</v>
      </c>
      <c r="BY91" s="39">
        <v>0.21622817660243471</v>
      </c>
      <c r="BZ91" s="39">
        <v>4.3244059728532562</v>
      </c>
      <c r="CA91" s="38">
        <v>169.19798444751146</v>
      </c>
      <c r="CB91" s="39">
        <v>3.2029942589037383</v>
      </c>
      <c r="CC91" s="39">
        <v>2.9712001555248833</v>
      </c>
      <c r="CD91" s="38">
        <v>169.18856127054809</v>
      </c>
      <c r="CE91" s="39">
        <v>4.1923191417609269</v>
      </c>
      <c r="CF91" s="39">
        <v>0.83399438729452413</v>
      </c>
      <c r="CG91" s="38">
        <v>169.25196364386485</v>
      </c>
      <c r="CH91" s="39">
        <v>3.8630622980867972</v>
      </c>
      <c r="CI91" s="39">
        <v>-1.0847396364386555</v>
      </c>
      <c r="CJ91" s="37"/>
      <c r="CK91" s="40">
        <f t="shared" ref="CK91" si="1754">IF(BO91="","",(BO91-BO$10)*1000)</f>
        <v>-6.3275825017115039</v>
      </c>
      <c r="CL91" s="40">
        <f t="shared" ref="CL91" si="1755">IF(BP91="","",(BP91-BP$10)*1000)</f>
        <v>14.041427887427904</v>
      </c>
      <c r="CM91" s="40">
        <f t="shared" ref="CM91" si="1756">IF(BQ91="","",(BQ91-BQ$10)*1000)</f>
        <v>0.16327582503095073</v>
      </c>
      <c r="CN91" s="40"/>
      <c r="CO91" s="40"/>
      <c r="CP91" s="40"/>
      <c r="CQ91" s="40">
        <f t="shared" ref="CQ91" si="1757">IF(BU91="","",(BU91-BU$10)*1000)</f>
        <v>-6.7384633729261623</v>
      </c>
      <c r="CR91" s="40">
        <f t="shared" ref="CR91" si="1758">IF(BV91="","",(BV91-BV$10)*1000)</f>
        <v>13.739472585759582</v>
      </c>
      <c r="CS91" s="40">
        <f t="shared" ref="CS91" si="1759">IF(BW91="","",(BW91-BW$10)*1000)</f>
        <v>-2.6326153662665774</v>
      </c>
      <c r="CT91" s="40">
        <f t="shared" ref="CT91" si="1760">IF(BX91="","",(BX91-BX$10)*1000)</f>
        <v>-6.211149944817862</v>
      </c>
      <c r="CU91" s="40">
        <f t="shared" ref="CU91" si="1761">IF(BY91="","",(BY91-BY$10)*1000)</f>
        <v>-3.0069281471245821</v>
      </c>
      <c r="CV91" s="40">
        <f t="shared" ref="CV91" si="1762">IF(BZ91="","",(BZ91-BZ$10)*1000)</f>
        <v>-28.537888500551389</v>
      </c>
      <c r="CW91" s="40">
        <f t="shared" ref="CW91" si="1763">IF(CA91="","",(CA91-CA$10)*1000)</f>
        <v>-3.2098943609071284</v>
      </c>
      <c r="CX91" s="40">
        <f t="shared" ref="CX91" si="1764">IF(CB91="","",(CB91-CB$10)*1000)</f>
        <v>-7.7863070449244454</v>
      </c>
      <c r="CY91" s="40">
        <f t="shared" ref="CY91" si="1765">IF(CC91="","",(CC91-CC$10)*1000)</f>
        <v>-12.267901056389974</v>
      </c>
      <c r="CZ91" s="40">
        <f t="shared" ref="CZ91" si="1766">IF(CD91="","",(CD91-CD$10)*1000)</f>
        <v>-4.7867571874178338</v>
      </c>
      <c r="DA91" s="40">
        <f t="shared" ref="DA91" si="1767">IF(CE91="","",(CE91-CE$10)*1000)</f>
        <v>-8.1906626690662065</v>
      </c>
      <c r="DB91" s="40">
        <f t="shared" ref="DB91" si="1768">IF(CF91="","",(CF91-CF$10)*1000)</f>
        <v>0.44786757187864623</v>
      </c>
      <c r="DC91" s="40">
        <f t="shared" ref="DC91" si="1769">IF(CG91="","",(CG91-CG$10)*1000)</f>
        <v>-6.7566308631228367</v>
      </c>
      <c r="DD91" s="40">
        <f t="shared" ref="DD91" si="1770">IF(CH91="","",(CH91-CH$10)*1000)</f>
        <v>-9.8816970824548989</v>
      </c>
      <c r="DE91" s="40">
        <f t="shared" ref="DE91" si="1771">IF(CI91="","",(CI91-CI$10)*1000)</f>
        <v>3.1675663086190298</v>
      </c>
    </row>
    <row r="92" spans="1:109" s="107" customFormat="1" ht="58.5" customHeight="1" x14ac:dyDescent="0.2">
      <c r="BO92" s="108"/>
      <c r="BP92" s="108"/>
      <c r="BQ92" s="108"/>
      <c r="BR92" s="108"/>
      <c r="BS92" s="108"/>
      <c r="BT92" s="108"/>
    </row>
    <row r="93" spans="1:109" ht="37.5" customHeight="1" x14ac:dyDescent="0.2">
      <c r="A93" s="34">
        <v>44134</v>
      </c>
      <c r="B93" s="27">
        <f t="shared" ref="B93" si="1772">IF(A93="","",A93-excav)</f>
        <v>535</v>
      </c>
      <c r="C93" s="35">
        <v>222.9</v>
      </c>
      <c r="D93" s="35">
        <v>53.700000000000017</v>
      </c>
      <c r="E93" s="36">
        <v>823219.54680000001</v>
      </c>
      <c r="F93" s="36">
        <v>1091508.5597000001</v>
      </c>
      <c r="G93" s="36">
        <v>-124.9944</v>
      </c>
      <c r="H93" s="36"/>
      <c r="I93" s="36"/>
      <c r="J93" s="36"/>
      <c r="K93" s="36">
        <v>823219.60549999995</v>
      </c>
      <c r="L93" s="36">
        <v>1091507.9990999999</v>
      </c>
      <c r="M93" s="36">
        <v>-120.8687</v>
      </c>
      <c r="N93" s="36">
        <v>823220.85620000004</v>
      </c>
      <c r="O93" s="36">
        <v>1091504.7826</v>
      </c>
      <c r="P93" s="36">
        <v>-119.5133</v>
      </c>
      <c r="Q93" s="36">
        <v>823222.33779999998</v>
      </c>
      <c r="R93" s="36">
        <v>1091502.1777999999</v>
      </c>
      <c r="S93" s="36">
        <v>-120.86409999999999</v>
      </c>
      <c r="T93" s="36">
        <v>823222.74780000001</v>
      </c>
      <c r="U93" s="36">
        <v>1091501.2773</v>
      </c>
      <c r="V93" s="36">
        <v>-123.00149999999999</v>
      </c>
      <c r="W93" s="36">
        <v>823222.66599999997</v>
      </c>
      <c r="X93" s="36">
        <v>1091501.6025</v>
      </c>
      <c r="Y93" s="36">
        <v>-124.9195</v>
      </c>
      <c r="Z93" s="36">
        <f t="shared" si="1490"/>
        <v>6.7840599924058269</v>
      </c>
      <c r="AA93" s="36"/>
      <c r="AB93" s="36">
        <f t="shared" si="1683"/>
        <v>3.7077259741456166</v>
      </c>
      <c r="AC93" s="36">
        <f t="shared" si="1492"/>
        <v>3.2870628591928339</v>
      </c>
      <c r="AD93" s="36">
        <f t="shared" si="1493"/>
        <v>5.2946027131825941</v>
      </c>
      <c r="AE93" s="36">
        <f t="shared" si="1494"/>
        <v>6.528047984637694</v>
      </c>
      <c r="AF93" s="36">
        <f t="shared" si="1684"/>
        <v>6.4306312395924197</v>
      </c>
      <c r="AG93" s="36"/>
      <c r="AH93" s="36">
        <f t="shared" si="1496"/>
        <v>7.6248049477088093</v>
      </c>
      <c r="AI93" s="40">
        <f t="shared" ref="AI93" si="1773">IF(Z93="","",(Z93-Z$10)*1000)</f>
        <v>-32.891303419863682</v>
      </c>
      <c r="AJ93" s="40" t="str">
        <f t="shared" ref="AJ93" si="1774">IF(AA93="","",(AA93-AA$10)*1000)</f>
        <v/>
      </c>
      <c r="AK93" s="40">
        <f t="shared" ref="AK93" si="1775">IF(AB93="","",(AB93-AB$10)*1000)</f>
        <v>-24.79929828971672</v>
      </c>
      <c r="AL93" s="40">
        <f t="shared" ref="AL93" si="1776">IF(AC93="","",(AC93-AC$10)*1000)</f>
        <v>-10.625898041932924</v>
      </c>
      <c r="AM93" s="40">
        <f t="shared" ref="AM93" si="1777">IF(AD93="","",(AD93-AD$10)*1000)</f>
        <v>-22.663354075833197</v>
      </c>
      <c r="AN93" s="40">
        <f t="shared" ref="AN93" si="1778">IF(AE93="","",(AE93-AE$10)*1000)</f>
        <v>-29.957265376894249</v>
      </c>
      <c r="AO93" s="40">
        <f t="shared" ref="AO93" si="1779">IF(AF93="","",(AF93-AF$10)*1000)</f>
        <v>-20.972391126627521</v>
      </c>
      <c r="AP93" s="40" t="str">
        <f t="shared" ref="AP93" si="1780">IF(AG93="","",(AG93-AG$10)*1000)</f>
        <v/>
      </c>
      <c r="AQ93" s="40">
        <f t="shared" ref="AQ93" si="1781">IF(AH93="","",(AH93-AH$10)*1000)</f>
        <v>-23.213217005412901</v>
      </c>
      <c r="AR93" s="37"/>
      <c r="AS93" s="40">
        <f>AS91</f>
        <v>0.20000000949949026</v>
      </c>
      <c r="AT93" s="40">
        <f t="shared" ref="AT93:AU93" si="1782">AT91</f>
        <v>-15.399999916553497</v>
      </c>
      <c r="AU93" s="40">
        <f t="shared" si="1782"/>
        <v>0.10000000000331966</v>
      </c>
      <c r="AV93" s="40"/>
      <c r="AW93" s="40"/>
      <c r="AX93" s="40"/>
      <c r="AY93" s="40">
        <f>AY91</f>
        <v>-0.30000007245689631</v>
      </c>
      <c r="AZ93" s="40">
        <f t="shared" ref="AZ93:BA93" si="1783">AZ91</f>
        <v>-15.299999853596091</v>
      </c>
      <c r="BA93" s="40">
        <f t="shared" si="1783"/>
        <v>-2.6999999999901547</v>
      </c>
      <c r="BB93" s="40">
        <f>BB91</f>
        <v>-6.9000000366941094</v>
      </c>
      <c r="BC93" s="40">
        <f t="shared" ref="BC93:BD93" si="1784">BC91</f>
        <v>0.10000006295740604</v>
      </c>
      <c r="BD93" s="40">
        <f t="shared" si="1784"/>
        <v>-28.599999999997294</v>
      </c>
      <c r="BE93" s="40">
        <f>BE91</f>
        <v>-6.2000000616535544</v>
      </c>
      <c r="BF93" s="40">
        <f t="shared" ref="BF93:BG93" si="1785">BF91</f>
        <v>5.699999863281846</v>
      </c>
      <c r="BG93" s="40">
        <f t="shared" si="1785"/>
        <v>-12.299999999996203</v>
      </c>
      <c r="BH93" s="40">
        <f>BH91</f>
        <v>-7.8000000212341547</v>
      </c>
      <c r="BI93" s="40">
        <f t="shared" ref="BI93:BJ93" si="1786">BI91</f>
        <v>5.3999999072402716</v>
      </c>
      <c r="BJ93" s="40">
        <f t="shared" si="1786"/>
        <v>0.39999999999906777</v>
      </c>
      <c r="BK93" s="40">
        <f>BK91</f>
        <v>-10.2999999653548</v>
      </c>
      <c r="BL93" s="40">
        <f t="shared" ref="BL93:BM93" si="1787">BL91</f>
        <v>6.0999998822808266</v>
      </c>
      <c r="BM93" s="40">
        <f t="shared" si="1787"/>
        <v>3.0999999999892225</v>
      </c>
      <c r="BN93" s="37"/>
      <c r="BO93" s="36">
        <v>169.32210000000001</v>
      </c>
      <c r="BP93" s="36">
        <v>-3.7454000000000001</v>
      </c>
      <c r="BQ93" s="36">
        <v>-1.1447000000000001</v>
      </c>
      <c r="BR93" s="36"/>
      <c r="BS93" s="36"/>
      <c r="BT93" s="36"/>
      <c r="BU93" s="38">
        <v>169.13829999999999</v>
      </c>
      <c r="BV93" s="39">
        <v>-3.2124999999999999</v>
      </c>
      <c r="BW93" s="39">
        <v>2.9828000000000001</v>
      </c>
      <c r="BX93" s="38">
        <v>168.91239999999999</v>
      </c>
      <c r="BY93" s="39">
        <v>0.23119999999999999</v>
      </c>
      <c r="BZ93" s="39">
        <v>4.3404999999999996</v>
      </c>
      <c r="CA93" s="38">
        <v>169.1542</v>
      </c>
      <c r="CB93" s="39">
        <v>3.2181000000000002</v>
      </c>
      <c r="CC93" s="39">
        <v>2.9872000000000001</v>
      </c>
      <c r="CD93" s="38">
        <v>169.14519999999999</v>
      </c>
      <c r="CE93" s="39">
        <v>4.2074999999999996</v>
      </c>
      <c r="CF93" s="39">
        <v>0.84989999999999999</v>
      </c>
      <c r="CG93" s="38">
        <v>169.20849999999999</v>
      </c>
      <c r="CH93" s="39">
        <v>3.8782000000000001</v>
      </c>
      <c r="CI93" s="39">
        <v>-1.0687</v>
      </c>
      <c r="CJ93" s="37"/>
      <c r="CK93" s="40">
        <f>CK91</f>
        <v>-6.3275825017115039</v>
      </c>
      <c r="CL93" s="40">
        <f t="shared" ref="CL93:DE93" si="1788">CL91</f>
        <v>14.041427887427904</v>
      </c>
      <c r="CM93" s="40">
        <f t="shared" si="1788"/>
        <v>0.16327582503095073</v>
      </c>
      <c r="CN93" s="40"/>
      <c r="CO93" s="40"/>
      <c r="CP93" s="40"/>
      <c r="CQ93" s="40">
        <f t="shared" si="1788"/>
        <v>-6.7384633729261623</v>
      </c>
      <c r="CR93" s="40">
        <f t="shared" si="1788"/>
        <v>13.739472585759582</v>
      </c>
      <c r="CS93" s="40">
        <f t="shared" si="1788"/>
        <v>-2.6326153662665774</v>
      </c>
      <c r="CT93" s="40">
        <f t="shared" si="1788"/>
        <v>-6.211149944817862</v>
      </c>
      <c r="CU93" s="40">
        <f t="shared" si="1788"/>
        <v>-3.0069281471245821</v>
      </c>
      <c r="CV93" s="40">
        <f t="shared" si="1788"/>
        <v>-28.537888500551389</v>
      </c>
      <c r="CW93" s="40">
        <f t="shared" si="1788"/>
        <v>-3.2098943609071284</v>
      </c>
      <c r="CX93" s="40">
        <f t="shared" si="1788"/>
        <v>-7.7863070449244454</v>
      </c>
      <c r="CY93" s="40">
        <f t="shared" si="1788"/>
        <v>-12.267901056389974</v>
      </c>
      <c r="CZ93" s="40">
        <f t="shared" si="1788"/>
        <v>-4.7867571874178338</v>
      </c>
      <c r="DA93" s="40">
        <f t="shared" si="1788"/>
        <v>-8.1906626690662065</v>
      </c>
      <c r="DB93" s="40">
        <f t="shared" si="1788"/>
        <v>0.44786757187864623</v>
      </c>
      <c r="DC93" s="40">
        <f t="shared" si="1788"/>
        <v>-6.7566308631228367</v>
      </c>
      <c r="DD93" s="40">
        <f t="shared" si="1788"/>
        <v>-9.8816970824548989</v>
      </c>
      <c r="DE93" s="40">
        <f t="shared" si="1788"/>
        <v>3.1675663086190298</v>
      </c>
    </row>
    <row r="94" spans="1:109" s="107" customFormat="1" ht="58.5" customHeight="1" x14ac:dyDescent="0.2">
      <c r="BO94" s="108"/>
      <c r="BP94" s="108"/>
      <c r="BQ94" s="108"/>
      <c r="BR94" s="108"/>
      <c r="BS94" s="108"/>
      <c r="BT94" s="108"/>
    </row>
    <row r="95" spans="1:109" ht="37.5" customHeight="1" x14ac:dyDescent="0.2">
      <c r="A95" s="34">
        <v>44140</v>
      </c>
      <c r="B95" s="27">
        <f t="shared" ref="B95" si="1789">IF(A95="","",A95-excav)</f>
        <v>541</v>
      </c>
      <c r="C95" s="35">
        <v>222.9</v>
      </c>
      <c r="D95" s="35">
        <v>53.700000000000017</v>
      </c>
      <c r="E95" s="36">
        <v>823219.54700000002</v>
      </c>
      <c r="F95" s="36">
        <v>1091508.5617</v>
      </c>
      <c r="G95" s="36">
        <v>-124.995</v>
      </c>
      <c r="H95" s="36"/>
      <c r="I95" s="36"/>
      <c r="J95" s="36"/>
      <c r="K95" s="36">
        <v>823219.60589999997</v>
      </c>
      <c r="L95" s="36">
        <v>1091508.0009999999</v>
      </c>
      <c r="M95" s="36">
        <v>-120.8691</v>
      </c>
      <c r="N95" s="36">
        <v>823220.85629999998</v>
      </c>
      <c r="O95" s="36">
        <v>1091504.7845000001</v>
      </c>
      <c r="P95" s="36">
        <v>-119.514</v>
      </c>
      <c r="Q95" s="36">
        <v>823222.33739999996</v>
      </c>
      <c r="R95" s="36">
        <v>1091502.1799000001</v>
      </c>
      <c r="S95" s="36">
        <v>-120.8648</v>
      </c>
      <c r="T95" s="36">
        <v>823222.74809999997</v>
      </c>
      <c r="U95" s="36">
        <v>1091501.2797000001</v>
      </c>
      <c r="V95" s="36">
        <v>-123.00190000000001</v>
      </c>
      <c r="W95" s="36">
        <v>823222.66630000004</v>
      </c>
      <c r="X95" s="36">
        <v>1091501.6047</v>
      </c>
      <c r="Y95" s="36">
        <v>-124.9198</v>
      </c>
      <c r="Z95" s="36">
        <f t="shared" si="1490"/>
        <v>6.7840155755358724</v>
      </c>
      <c r="AA95" s="36"/>
      <c r="AB95" s="36">
        <f t="shared" si="1683"/>
        <v>3.7075151273019533</v>
      </c>
      <c r="AC95" s="36">
        <f t="shared" si="1492"/>
        <v>3.2866790244456769</v>
      </c>
      <c r="AD95" s="36">
        <f t="shared" si="1493"/>
        <v>5.2941455108357189</v>
      </c>
      <c r="AE95" s="36">
        <f t="shared" si="1494"/>
        <v>6.5276260371185186</v>
      </c>
      <c r="AF95" s="36">
        <f t="shared" si="1684"/>
        <v>6.4301101038744592</v>
      </c>
      <c r="AG95" s="36"/>
      <c r="AH95" s="36">
        <f t="shared" si="1496"/>
        <v>7.6246663224855613</v>
      </c>
      <c r="AI95" s="40">
        <f t="shared" ref="AI95" si="1790">IF(Z95="","",(Z95-Z$10)*1000)</f>
        <v>-32.935720289818171</v>
      </c>
      <c r="AJ95" s="40"/>
      <c r="AK95" s="40">
        <f t="shared" ref="AK95" si="1791">IF(AB95="","",(AB95-AB$10)*1000)</f>
        <v>-25.010145133379957</v>
      </c>
      <c r="AL95" s="40">
        <f t="shared" ref="AL95" si="1792">IF(AC95="","",(AC95-AC$10)*1000)</f>
        <v>-11.009732789089899</v>
      </c>
      <c r="AM95" s="40">
        <f t="shared" ref="AM95" si="1793">IF(AD95="","",(AD95-AD$10)*1000)</f>
        <v>-23.120556422708383</v>
      </c>
      <c r="AN95" s="40">
        <f t="shared" ref="AN95" si="1794">IF(AE95="","",(AE95-AE$10)*1000)</f>
        <v>-30.379212896069596</v>
      </c>
      <c r="AO95" s="40">
        <f t="shared" ref="AO95" si="1795">IF(AF95="","",(AF95-AF$10)*1000)</f>
        <v>-21.49352684458794</v>
      </c>
      <c r="AP95" s="40" t="str">
        <f t="shared" ref="AP95" si="1796">IF(AG95="","",(AG95-AG$10)*1000)</f>
        <v/>
      </c>
      <c r="AQ95" s="40">
        <f t="shared" ref="AQ95" si="1797">IF(AH95="","",(AH95-AH$10)*1000)</f>
        <v>-23.351842228660935</v>
      </c>
      <c r="AR95" s="37"/>
      <c r="AS95" s="40">
        <f t="shared" ref="AS95:AS100" si="1798">IF(E95="","",(E95-E$93)*1000)+AS$93</f>
        <v>0.40000001899898052</v>
      </c>
      <c r="AT95" s="40">
        <f t="shared" ref="AT95:AU95" si="1799">IF(F95="","",(F95-F$93)*1000)+AT$93</f>
        <v>-13.400000054389238</v>
      </c>
      <c r="AU95" s="40">
        <f t="shared" si="1799"/>
        <v>-0.50000000000238742</v>
      </c>
      <c r="AV95" s="40"/>
      <c r="AW95" s="40"/>
      <c r="AX95" s="40"/>
      <c r="AY95" s="40">
        <f t="shared" ref="AY95:AY100" si="1800">IF(K95="","",(K95-K$93)*1000)+AY$93</f>
        <v>9.9999946542084217E-2</v>
      </c>
      <c r="AZ95" s="40">
        <f t="shared" ref="AZ95" si="1801">IF(L95="","",(L95-L$93)*1000)+AZ$93</f>
        <v>-13.399999821558595</v>
      </c>
      <c r="BA95" s="40">
        <f t="shared" ref="BA95" si="1802">IF(M95="","",(M95-M$93)*1000)+BA$93</f>
        <v>-3.0999999999892225</v>
      </c>
      <c r="BB95" s="40">
        <f t="shared" ref="BB95:BB100" si="1803">IF(N95="","",(N95-N$93)*1000)+BB$93</f>
        <v>-6.8000000901520252</v>
      </c>
      <c r="BC95" s="40">
        <f t="shared" ref="BC95" si="1804">IF(O95="","",(O95-O$93)*1000)+BC$93</f>
        <v>2.0000000949949026</v>
      </c>
      <c r="BD95" s="40">
        <f t="shared" ref="BD95" si="1805">IF(P95="","",(P95-P$93)*1000)+BD$93</f>
        <v>-29.29999999999211</v>
      </c>
      <c r="BE95" s="40">
        <f t="shared" ref="BE95:BE100" si="1806">IF(Q95="","",(Q95-Q$93)*1000)+BE$93</f>
        <v>-6.600000080652535</v>
      </c>
      <c r="BF95" s="40">
        <f t="shared" ref="BF95" si="1807">IF(R95="","",(R95-R$93)*1000)+BF$93</f>
        <v>7.8000000212341547</v>
      </c>
      <c r="BG95" s="40">
        <f t="shared" ref="BG95" si="1808">IF(S95="","",(S95-S$93)*1000)+BG$93</f>
        <v>-13.00000000000523</v>
      </c>
      <c r="BH95" s="40">
        <f t="shared" ref="BH95:BH100" si="1809">IF(T95="","",(T95-T$93)*1000)+BH$93</f>
        <v>-7.5000000651925802</v>
      </c>
      <c r="BI95" s="40">
        <f t="shared" ref="BI95" si="1810">IF(U95="","",(U95-U$93)*1000)+BI$93</f>
        <v>7.8000000212341547</v>
      </c>
      <c r="BJ95" s="40">
        <f t="shared" ref="BJ95" si="1811">IF(V95="","",(V95-V$93)*1000)+BJ$93</f>
        <v>-1.4210854715202004E-11</v>
      </c>
      <c r="BK95" s="40">
        <f t="shared" ref="BK95:BK100" si="1812">IF(W95="","",(W95-W$93)*1000)+BK$93</f>
        <v>-9.9999998928979039</v>
      </c>
      <c r="BL95" s="40">
        <f t="shared" ref="BL95" si="1813">IF(X95="","",(X95-X$93)*1000)+BL$93</f>
        <v>8.2999998703598976</v>
      </c>
      <c r="BM95" s="40">
        <f t="shared" ref="BM95" si="1814">IF(Y95="","",(Y95-Y$93)*1000)+BM$93</f>
        <v>2.7999999999934744</v>
      </c>
      <c r="BN95" s="37"/>
      <c r="BO95" s="36">
        <v>169.32310000000001</v>
      </c>
      <c r="BP95" s="36">
        <v>-3.7471000000000001</v>
      </c>
      <c r="BQ95" s="36">
        <v>-1.1454</v>
      </c>
      <c r="BR95" s="36"/>
      <c r="BS95" s="36"/>
      <c r="BT95" s="36"/>
      <c r="BU95" s="38">
        <v>169.1395</v>
      </c>
      <c r="BV95" s="39">
        <v>-3.2141000000000002</v>
      </c>
      <c r="BW95" s="39">
        <v>2.9824000000000002</v>
      </c>
      <c r="BX95" s="38">
        <v>168.91329999999999</v>
      </c>
      <c r="BY95" s="39">
        <v>0.22950000000000001</v>
      </c>
      <c r="BZ95" s="39">
        <v>4.3396999999999997</v>
      </c>
      <c r="CA95" s="38">
        <v>169.15469999999999</v>
      </c>
      <c r="CB95" s="39">
        <v>3.2160000000000002</v>
      </c>
      <c r="CC95" s="39">
        <v>2.9864999999999999</v>
      </c>
      <c r="CD95" s="38">
        <v>169.1465</v>
      </c>
      <c r="CE95" s="39">
        <v>4.2054999999999998</v>
      </c>
      <c r="CF95" s="39">
        <v>0.84950000000000003</v>
      </c>
      <c r="CG95" s="38">
        <v>169.2097</v>
      </c>
      <c r="CH95" s="39">
        <v>3.8763000000000001</v>
      </c>
      <c r="CI95" s="39">
        <v>-1.069</v>
      </c>
      <c r="CJ95" s="37"/>
      <c r="CK95" s="40">
        <f t="shared" ref="CK95:CK100" si="1815">IF(BO95="","",(BO95-BO$93)*1000)+CK$93</f>
        <v>-5.3275825017067291</v>
      </c>
      <c r="CL95" s="40">
        <f t="shared" ref="CL95:CM95" si="1816">IF(BP95="","",(BP95-BP$93)*1000)+CL$93</f>
        <v>12.341427887427869</v>
      </c>
      <c r="CM95" s="40">
        <f t="shared" si="1816"/>
        <v>-0.53672417496897218</v>
      </c>
      <c r="CN95" s="40"/>
      <c r="CO95" s="40"/>
      <c r="CP95" s="40"/>
      <c r="CQ95" s="40">
        <f t="shared" ref="CQ95" si="1817">IF(BU95="","",(BU95-BU$93)*1000)+CQ$93</f>
        <v>-5.5384633729147481</v>
      </c>
      <c r="CR95" s="40">
        <f t="shared" ref="CR95" si="1818">IF(BV95="","",(BV95-BV$93)*1000)+CR$93</f>
        <v>12.139472585759314</v>
      </c>
      <c r="CS95" s="40">
        <f t="shared" ref="CS95:CT95" si="1819">IF(BW95="","",(BW95-BW$93)*1000)+CS$93</f>
        <v>-3.0326153662665334</v>
      </c>
      <c r="CT95" s="40">
        <f t="shared" si="1819"/>
        <v>-5.3111499448164068</v>
      </c>
      <c r="CU95" s="40">
        <f t="shared" ref="CU95" si="1820">IF(BY95="","",(BY95-BY$93)*1000)+CU$93</f>
        <v>-4.706928147124561</v>
      </c>
      <c r="CV95" s="40">
        <f t="shared" ref="CV95:CW95" si="1821">IF(BZ95="","",(BZ95-BZ$93)*1000)+CV$93</f>
        <v>-29.337888500551301</v>
      </c>
      <c r="CW95" s="40">
        <f t="shared" si="1821"/>
        <v>-2.7098943609189519</v>
      </c>
      <c r="CX95" s="40">
        <f t="shared" ref="CX95" si="1822">IF(CB95="","",(CB95-CB$93)*1000)+CX$93</f>
        <v>-9.8863070449244361</v>
      </c>
      <c r="CY95" s="40">
        <f t="shared" ref="CY95:CZ95" si="1823">IF(CC95="","",(CC95-CC$93)*1000)+CY$93</f>
        <v>-12.967901056390119</v>
      </c>
      <c r="CZ95" s="40">
        <f t="shared" si="1823"/>
        <v>-3.4867571874031</v>
      </c>
      <c r="DA95" s="40">
        <f t="shared" ref="DA95" si="1824">IF(CE95="","",(CE95-CE$93)*1000)+DA$93</f>
        <v>-10.190662669065986</v>
      </c>
      <c r="DB95" s="40">
        <f t="shared" ref="DB95:DC95" si="1825">IF(CF95="","",(CF95-CF$93)*1000)+DB$93</f>
        <v>4.7867571878690285E-2</v>
      </c>
      <c r="DC95" s="40">
        <f t="shared" si="1825"/>
        <v>-5.5566308631114225</v>
      </c>
      <c r="DD95" s="40">
        <f t="shared" ref="DD95" si="1826">IF(CH95="","",(CH95-CH$93)*1000)+DD$93</f>
        <v>-11.781697082454912</v>
      </c>
      <c r="DE95" s="40">
        <f t="shared" ref="DE95" si="1827">IF(CI95="","",(CI95-CI$93)*1000)+DE$93</f>
        <v>2.8675663086190628</v>
      </c>
    </row>
    <row r="96" spans="1:109" ht="37.5" customHeight="1" x14ac:dyDescent="0.2">
      <c r="A96" s="34">
        <v>44172</v>
      </c>
      <c r="B96" s="27">
        <f t="shared" ref="B96:B97" si="1828">IF(A96="","",A96-excav)</f>
        <v>573</v>
      </c>
      <c r="C96" s="35">
        <v>222.9</v>
      </c>
      <c r="D96" s="35">
        <v>53.700000000000017</v>
      </c>
      <c r="E96" s="36">
        <v>823219.54619999998</v>
      </c>
      <c r="F96" s="36">
        <v>1091508.5607</v>
      </c>
      <c r="G96" s="36">
        <v>-124.99379999999999</v>
      </c>
      <c r="H96" s="36"/>
      <c r="I96" s="36"/>
      <c r="J96" s="36"/>
      <c r="K96" s="36">
        <v>823219.60530000005</v>
      </c>
      <c r="L96" s="36">
        <v>1091508.0008</v>
      </c>
      <c r="M96" s="36">
        <v>-120.86960000000001</v>
      </c>
      <c r="N96" s="36">
        <v>823220.85510000004</v>
      </c>
      <c r="O96" s="36">
        <v>1091504.7848</v>
      </c>
      <c r="P96" s="36">
        <v>-119.515</v>
      </c>
      <c r="Q96" s="36">
        <v>823222.33629999997</v>
      </c>
      <c r="R96" s="36">
        <v>1091502.1809</v>
      </c>
      <c r="S96" s="36">
        <v>-120.8651</v>
      </c>
      <c r="T96" s="36">
        <v>823222.74679999996</v>
      </c>
      <c r="U96" s="36">
        <v>1091501.2803</v>
      </c>
      <c r="V96" s="36">
        <v>-123.0014</v>
      </c>
      <c r="W96" s="36">
        <v>823222.66529999999</v>
      </c>
      <c r="X96" s="36">
        <v>1091501.6057</v>
      </c>
      <c r="Y96" s="36">
        <v>-124.9191</v>
      </c>
      <c r="Z96" s="36">
        <f t="shared" si="1490"/>
        <v>6.7814371235174686</v>
      </c>
      <c r="AA96" s="36"/>
      <c r="AB96" s="36">
        <f t="shared" si="1683"/>
        <v>3.7066962648795645</v>
      </c>
      <c r="AC96" s="36">
        <f t="shared" si="1492"/>
        <v>3.2858817172416344</v>
      </c>
      <c r="AD96" s="36">
        <f t="shared" si="1493"/>
        <v>5.2929230204086535</v>
      </c>
      <c r="AE96" s="36">
        <f t="shared" si="1494"/>
        <v>6.525932704237702</v>
      </c>
      <c r="AF96" s="36">
        <f t="shared" si="1684"/>
        <v>6.4288114966568939</v>
      </c>
      <c r="AG96" s="36"/>
      <c r="AH96" s="36">
        <f t="shared" si="1496"/>
        <v>7.6227547449136637</v>
      </c>
      <c r="AI96" s="40">
        <f t="shared" ref="AI96" si="1829">IF(Z96="","",(Z96-Z$10)*1000)</f>
        <v>-35.514172308221958</v>
      </c>
      <c r="AJ96" s="40"/>
      <c r="AK96" s="40">
        <f t="shared" ref="AK96" si="1830">IF(AB96="","",(AB96-AB$10)*1000)</f>
        <v>-25.829007555768779</v>
      </c>
      <c r="AL96" s="40">
        <f t="shared" ref="AL96" si="1831">IF(AC96="","",(AC96-AC$10)*1000)</f>
        <v>-11.807039993132484</v>
      </c>
      <c r="AM96" s="40">
        <f t="shared" ref="AM96" si="1832">IF(AD96="","",(AD96-AD$10)*1000)</f>
        <v>-24.343046849773842</v>
      </c>
      <c r="AN96" s="40">
        <f t="shared" ref="AN96" si="1833">IF(AE96="","",(AE96-AE$10)*1000)</f>
        <v>-32.07254577688623</v>
      </c>
      <c r="AO96" s="40">
        <f t="shared" ref="AO96" si="1834">IF(AF96="","",(AF96-AF$10)*1000)</f>
        <v>-22.792134062153302</v>
      </c>
      <c r="AP96" s="40" t="str">
        <f t="shared" ref="AP96" si="1835">IF(AG96="","",(AG96-AG$10)*1000)</f>
        <v/>
      </c>
      <c r="AQ96" s="40">
        <f t="shared" ref="AQ96" si="1836">IF(AH96="","",(AH96-AH$10)*1000)</f>
        <v>-25.263419800558573</v>
      </c>
      <c r="AR96" s="37"/>
      <c r="AS96" s="40">
        <f t="shared" si="1798"/>
        <v>-0.40000001899898052</v>
      </c>
      <c r="AT96" s="40">
        <f t="shared" ref="AT96" si="1837">IF(F96="","",(F96-F$93)*1000)+AT$93</f>
        <v>-14.399999985471368</v>
      </c>
      <c r="AU96" s="40">
        <f t="shared" ref="AU96" si="1838">IF(G96="","",(G96-G$93)*1000)+AU$93</f>
        <v>0.70000000000902673</v>
      </c>
      <c r="AV96" s="40"/>
      <c r="AW96" s="40"/>
      <c r="AX96" s="40"/>
      <c r="AY96" s="40">
        <f t="shared" si="1800"/>
        <v>-0.49999996554106474</v>
      </c>
      <c r="AZ96" s="40">
        <f t="shared" ref="AZ96" si="1839">IF(L96="","",(L96-L$93)*1000)+AZ$93</f>
        <v>-13.599999714642763</v>
      </c>
      <c r="BA96" s="40">
        <f t="shared" ref="BA96" si="1840">IF(M96="","",(M96-M$93)*1000)+BA$93</f>
        <v>-3.5999999999916099</v>
      </c>
      <c r="BB96" s="40">
        <f t="shared" si="1803"/>
        <v>-8.000000030733645</v>
      </c>
      <c r="BC96" s="40">
        <f t="shared" ref="BC96" si="1841">IF(O96="","",(O96-O$93)*1000)+BC$93</f>
        <v>2.3000000510364771</v>
      </c>
      <c r="BD96" s="40">
        <f t="shared" ref="BD96" si="1842">IF(P96="","",(P96-P$93)*1000)+BD$93</f>
        <v>-30.299999999996885</v>
      </c>
      <c r="BE96" s="40">
        <f t="shared" si="1806"/>
        <v>-7.7000000746920705</v>
      </c>
      <c r="BF96" s="40">
        <f t="shared" ref="BF96" si="1843">IF(R96="","",(R96-R$93)*1000)+BF$93</f>
        <v>8.7999999523162842</v>
      </c>
      <c r="BG96" s="40">
        <f t="shared" ref="BG96" si="1844">IF(S96="","",(S96-S$93)*1000)+BG$93</f>
        <v>-13.300000000000978</v>
      </c>
      <c r="BH96" s="40">
        <f t="shared" si="1809"/>
        <v>-8.800000068731606</v>
      </c>
      <c r="BI96" s="40">
        <f t="shared" ref="BI96" si="1845">IF(U96="","",(U96-U$93)*1000)+BI$93</f>
        <v>8.3999999333173037</v>
      </c>
      <c r="BJ96" s="40">
        <f t="shared" ref="BJ96" si="1846">IF(V96="","",(V96-V$93)*1000)+BJ$93</f>
        <v>0.49999999998817657</v>
      </c>
      <c r="BK96" s="40">
        <f t="shared" si="1812"/>
        <v>-10.999999940395355</v>
      </c>
      <c r="BL96" s="40">
        <f t="shared" ref="BL96" si="1847">IF(X96="","",(X96-X$93)*1000)+BL$93</f>
        <v>9.2999998014420271</v>
      </c>
      <c r="BM96" s="40">
        <f t="shared" ref="BM96" si="1848">IF(Y96="","",(Y96-Y$93)*1000)+BM$93</f>
        <v>3.4999999999882903</v>
      </c>
      <c r="BN96" s="37"/>
      <c r="BO96" s="36">
        <v>169.32193615835911</v>
      </c>
      <c r="BP96" s="36">
        <v>-3.7465443210512395</v>
      </c>
      <c r="BQ96" s="36">
        <v>-1.1441393615835835</v>
      </c>
      <c r="BR96" s="36"/>
      <c r="BS96" s="36"/>
      <c r="BT96" s="36"/>
      <c r="BU96" s="38">
        <v>169.13885515808161</v>
      </c>
      <c r="BV96" s="39">
        <v>-3.2141326689079741</v>
      </c>
      <c r="BW96" s="39">
        <v>2.9818914484191765</v>
      </c>
      <c r="BX96" s="38">
        <v>168.91229009664852</v>
      </c>
      <c r="BY96" s="39">
        <v>0.2287330434034836</v>
      </c>
      <c r="BZ96" s="39">
        <v>4.3387570990335149</v>
      </c>
      <c r="CA96" s="38">
        <v>169.15414631071707</v>
      </c>
      <c r="CB96" s="39">
        <v>3.2146590675071165</v>
      </c>
      <c r="CC96" s="39">
        <v>2.9862385368928273</v>
      </c>
      <c r="CD96" s="38">
        <v>169.14553879658393</v>
      </c>
      <c r="CE96" s="39">
        <v>4.2043643371667967</v>
      </c>
      <c r="CF96" s="39">
        <v>0.85002461203414725</v>
      </c>
      <c r="CG96" s="38">
        <v>169.20920695867596</v>
      </c>
      <c r="CH96" s="39">
        <v>3.8750107655857726</v>
      </c>
      <c r="CI96" s="39">
        <v>-1.0683120695867672</v>
      </c>
      <c r="CJ96" s="37"/>
      <c r="CK96" s="40">
        <f t="shared" si="1815"/>
        <v>-6.4914241426095032</v>
      </c>
      <c r="CL96" s="40">
        <f t="shared" ref="CL96" si="1849">IF(BP96="","",(BP96-BP$93)*1000)+CL$93</f>
        <v>12.897106836188499</v>
      </c>
      <c r="CM96" s="40">
        <f t="shared" ref="CM96" si="1850">IF(BQ96="","",(BQ96-BQ$93)*1000)+CM$93</f>
        <v>0.7239142414474653</v>
      </c>
      <c r="CN96" s="40"/>
      <c r="CO96" s="40"/>
      <c r="CP96" s="40"/>
      <c r="CQ96" s="40">
        <f t="shared" ref="CQ96" si="1851">IF(BU96="","",(BU96-BU$93)*1000)+CQ$93</f>
        <v>-6.1833052913016218</v>
      </c>
      <c r="CR96" s="40">
        <f t="shared" ref="CR96" si="1852">IF(BV96="","",(BV96-BV$93)*1000)+CR$93</f>
        <v>12.106803677785383</v>
      </c>
      <c r="CS96" s="40">
        <f t="shared" ref="CS96" si="1853">IF(BW96="","",(BW96-BW$93)*1000)+CS$93</f>
        <v>-3.5411669470901685</v>
      </c>
      <c r="CT96" s="40">
        <f t="shared" ref="CT96" si="1854">IF(BX96="","",(BX96-BX$93)*1000)+CT$93</f>
        <v>-6.3210532962898469</v>
      </c>
      <c r="CU96" s="40">
        <f t="shared" ref="CU96" si="1855">IF(BY96="","",(BY96-BY$93)*1000)+CU$93</f>
        <v>-5.4738847436409666</v>
      </c>
      <c r="CV96" s="40">
        <f t="shared" ref="CV96" si="1856">IF(BZ96="","",(BZ96-BZ$93)*1000)+CV$93</f>
        <v>-30.280789467036051</v>
      </c>
      <c r="CW96" s="40">
        <f t="shared" ref="CW96" si="1857">IF(CA96="","",(CA96-CA$93)*1000)+CW$93</f>
        <v>-3.2635836438430488</v>
      </c>
      <c r="CX96" s="40">
        <f t="shared" ref="CX96" si="1858">IF(CB96="","",(CB96-CB$93)*1000)+CX$93</f>
        <v>-11.227239537808131</v>
      </c>
      <c r="CY96" s="40">
        <f t="shared" ref="CY96" si="1859">IF(CC96="","",(CC96-CC$93)*1000)+CY$93</f>
        <v>-13.229364163562796</v>
      </c>
      <c r="CZ96" s="40">
        <f t="shared" ref="CZ96" si="1860">IF(CD96="","",(CD96-CD$93)*1000)+CZ$93</f>
        <v>-4.4479606034713015</v>
      </c>
      <c r="DA96" s="40">
        <f t="shared" ref="DA96" si="1861">IF(CE96="","",(CE96-CE$93)*1000)+DA$93</f>
        <v>-11.326325502269086</v>
      </c>
      <c r="DB96" s="40">
        <f t="shared" ref="DB96" si="1862">IF(CF96="","",(CF96-CF$93)*1000)+DB$93</f>
        <v>0.57247960602591075</v>
      </c>
      <c r="DC96" s="40">
        <f t="shared" ref="DC96" si="1863">IF(CG96="","",(CG96-CG$93)*1000)+DC$93</f>
        <v>-6.0496721871459158</v>
      </c>
      <c r="DD96" s="40">
        <f t="shared" ref="DD96" si="1864">IF(CH96="","",(CH96-CH$93)*1000)+DD$93</f>
        <v>-13.07093149668237</v>
      </c>
      <c r="DE96" s="40">
        <f t="shared" ref="DE96" si="1865">IF(CI96="","",(CI96-CI$93)*1000)+DE$93</f>
        <v>3.5554967218518474</v>
      </c>
    </row>
    <row r="97" spans="1:109" ht="37.5" customHeight="1" x14ac:dyDescent="0.2">
      <c r="A97" s="34">
        <v>44186</v>
      </c>
      <c r="B97" s="27">
        <f t="shared" si="1828"/>
        <v>587</v>
      </c>
      <c r="C97" s="35">
        <v>222.9</v>
      </c>
      <c r="D97" s="35">
        <v>53.700000000000017</v>
      </c>
      <c r="E97" s="36">
        <v>823219.54599999997</v>
      </c>
      <c r="F97" s="36">
        <v>1091508.5630000001</v>
      </c>
      <c r="G97" s="36">
        <v>-124.995</v>
      </c>
      <c r="H97" s="36"/>
      <c r="I97" s="36"/>
      <c r="J97" s="36"/>
      <c r="K97" s="36">
        <v>823219.60499999998</v>
      </c>
      <c r="L97" s="36">
        <v>1091508.0020000001</v>
      </c>
      <c r="M97" s="36">
        <v>-120.869</v>
      </c>
      <c r="N97" s="36">
        <v>823220.85609999998</v>
      </c>
      <c r="O97" s="36">
        <v>1091504.7860999999</v>
      </c>
      <c r="P97" s="36">
        <v>-119.51439999999999</v>
      </c>
      <c r="Q97" s="36">
        <v>823222.33719999995</v>
      </c>
      <c r="R97" s="36">
        <v>1091502.1813999999</v>
      </c>
      <c r="S97" s="36">
        <v>-120.86450000000001</v>
      </c>
      <c r="T97" s="36">
        <v>823222.74849999999</v>
      </c>
      <c r="U97" s="36">
        <v>1091501.2805999999</v>
      </c>
      <c r="V97" s="36">
        <v>-123.0017</v>
      </c>
      <c r="W97" s="36">
        <v>823222.66619999998</v>
      </c>
      <c r="X97" s="36">
        <v>1091501.6059000001</v>
      </c>
      <c r="Y97" s="36">
        <v>-124.91970000000001</v>
      </c>
      <c r="Z97" s="36">
        <f t="shared" si="1490"/>
        <v>6.7836798259723103</v>
      </c>
      <c r="AA97" s="36"/>
      <c r="AB97" s="36">
        <f t="shared" si="1683"/>
        <v>3.7070480413900131</v>
      </c>
      <c r="AC97" s="36">
        <f t="shared" si="1492"/>
        <v>3.2864706464624271</v>
      </c>
      <c r="AD97" s="36">
        <f t="shared" si="1493"/>
        <v>5.2944281371867534</v>
      </c>
      <c r="AE97" s="36">
        <f t="shared" si="1494"/>
        <v>6.5274345756134702</v>
      </c>
      <c r="AF97" s="36">
        <f t="shared" si="1684"/>
        <v>6.429955011683905</v>
      </c>
      <c r="AG97" s="36"/>
      <c r="AH97" s="36">
        <f t="shared" si="1496"/>
        <v>7.6251267884557201</v>
      </c>
      <c r="AI97" s="40">
        <f t="shared" ref="AI97" si="1866">IF(Z97="","",(Z97-Z$10)*1000)</f>
        <v>-33.271469853380253</v>
      </c>
      <c r="AJ97" s="40"/>
      <c r="AK97" s="40">
        <f t="shared" ref="AK97" si="1867">IF(AB97="","",(AB97-AB$10)*1000)</f>
        <v>-25.477231045320181</v>
      </c>
      <c r="AL97" s="40">
        <f t="shared" ref="AL97" si="1868">IF(AC97="","",(AC97-AC$10)*1000)</f>
        <v>-11.218110772339696</v>
      </c>
      <c r="AM97" s="40">
        <f t="shared" ref="AM97" si="1869">IF(AD97="","",(AD97-AD$10)*1000)</f>
        <v>-22.837930071673895</v>
      </c>
      <c r="AN97" s="40">
        <f t="shared" ref="AN97" si="1870">IF(AE97="","",(AE97-AE$10)*1000)</f>
        <v>-30.570674401118048</v>
      </c>
      <c r="AO97" s="40">
        <f t="shared" ref="AO97" si="1871">IF(AF97="","",(AF97-AF$10)*1000)</f>
        <v>-21.648619035142147</v>
      </c>
      <c r="AP97" s="40" t="str">
        <f t="shared" ref="AP97" si="1872">IF(AG97="","",(AG97-AG$10)*1000)</f>
        <v/>
      </c>
      <c r="AQ97" s="40">
        <f t="shared" ref="AQ97" si="1873">IF(AH97="","",(AH97-AH$10)*1000)</f>
        <v>-22.891376258502127</v>
      </c>
      <c r="AR97" s="37"/>
      <c r="AS97" s="40">
        <f t="shared" si="1798"/>
        <v>-0.60000002849847078</v>
      </c>
      <c r="AT97" s="40">
        <f t="shared" ref="AT97" si="1874">IF(F97="","",(F97-F$93)*1000)+AT$93</f>
        <v>-12.099999934434891</v>
      </c>
      <c r="AU97" s="40">
        <f t="shared" ref="AU97" si="1875">IF(G97="","",(G97-G$93)*1000)+AU$93</f>
        <v>-0.50000000000238742</v>
      </c>
      <c r="AV97" s="40"/>
      <c r="AW97" s="40"/>
      <c r="AX97" s="40"/>
      <c r="AY97" s="40">
        <f t="shared" si="1800"/>
        <v>-0.80000003799796104</v>
      </c>
      <c r="AZ97" s="40">
        <f t="shared" ref="AZ97" si="1876">IF(L97="","",(L97-L$93)*1000)+AZ$93</f>
        <v>-12.399999657645822</v>
      </c>
      <c r="BA97" s="40">
        <f t="shared" ref="BA97" si="1877">IF(M97="","",(M97-M$93)*1000)+BA$93</f>
        <v>-2.9999999999859028</v>
      </c>
      <c r="BB97" s="40">
        <f t="shared" si="1803"/>
        <v>-7.0000000996515155</v>
      </c>
      <c r="BC97" s="40">
        <f t="shared" ref="BC97" si="1878">IF(O97="","",(O97-O$93)*1000)+BC$93</f>
        <v>3.599999938160181</v>
      </c>
      <c r="BD97" s="40">
        <f t="shared" ref="BD97" si="1879">IF(P97="","",(P97-P$93)*1000)+BD$93</f>
        <v>-29.699999999991178</v>
      </c>
      <c r="BE97" s="40">
        <f t="shared" si="1806"/>
        <v>-6.8000000901520252</v>
      </c>
      <c r="BF97" s="40">
        <f t="shared" ref="BF97" si="1880">IF(R97="","",(R97-R$93)*1000)+BF$93</f>
        <v>9.2999998014420271</v>
      </c>
      <c r="BG97" s="40">
        <f t="shared" ref="BG97" si="1881">IF(S97="","",(S97-S$93)*1000)+BG$93</f>
        <v>-12.700000000009481</v>
      </c>
      <c r="BH97" s="40">
        <f t="shared" si="1809"/>
        <v>-7.1000000461935997</v>
      </c>
      <c r="BI97" s="40">
        <f t="shared" ref="BI97" si="1882">IF(U97="","",(U97-U$93)*1000)+BI$93</f>
        <v>8.6999998893588781</v>
      </c>
      <c r="BJ97" s="40">
        <f t="shared" ref="BJ97" si="1883">IF(V97="","",(V97-V$93)*1000)+BJ$93</f>
        <v>0.19999999999242846</v>
      </c>
      <c r="BK97" s="40">
        <f t="shared" si="1812"/>
        <v>-10.09999995585531</v>
      </c>
      <c r="BL97" s="40">
        <f t="shared" ref="BL97" si="1884">IF(X97="","",(X97-X$93)*1000)+BL$93</f>
        <v>9.4999999273568392</v>
      </c>
      <c r="BM97" s="40">
        <f t="shared" ref="BM97" si="1885">IF(Y97="","",(Y97-Y$93)*1000)+BM$93</f>
        <v>2.8999999999825832</v>
      </c>
      <c r="BN97" s="37"/>
      <c r="BO97" s="36">
        <v>169.32286599277626</v>
      </c>
      <c r="BP97" s="36">
        <v>-3.7485381635485715</v>
      </c>
      <c r="BQ97" s="36">
        <v>-1.1452486599277734</v>
      </c>
      <c r="BR97" s="36"/>
      <c r="BS97" s="36"/>
      <c r="BT97" s="36"/>
      <c r="BU97" s="38">
        <v>169.13925951364945</v>
      </c>
      <c r="BV97" s="39">
        <v>-3.2157095318891589</v>
      </c>
      <c r="BW97" s="39">
        <v>2.9825874048635086</v>
      </c>
      <c r="BX97" s="38">
        <v>168.9137458362006</v>
      </c>
      <c r="BY97" s="39">
        <v>0.22797751582282305</v>
      </c>
      <c r="BZ97" s="39">
        <v>4.3393425416379898</v>
      </c>
      <c r="CA97" s="38">
        <v>169.15517329948855</v>
      </c>
      <c r="CB97" s="39">
        <v>3.2145863084218287</v>
      </c>
      <c r="CC97" s="39">
        <v>2.9868282670051087</v>
      </c>
      <c r="CD97" s="38">
        <v>169.14720628867235</v>
      </c>
      <c r="CE97" s="39">
        <v>4.2048109580185704</v>
      </c>
      <c r="CF97" s="39">
        <v>0.84970793711327985</v>
      </c>
      <c r="CG97" s="38">
        <v>169.21010715196144</v>
      </c>
      <c r="CH97" s="39">
        <v>3.8752098938643784</v>
      </c>
      <c r="CI97" s="39">
        <v>-1.0689210715196253</v>
      </c>
      <c r="CJ97" s="37"/>
      <c r="CK97" s="40">
        <f t="shared" si="1815"/>
        <v>-5.5615897254597257</v>
      </c>
      <c r="CL97" s="40">
        <f t="shared" ref="CL97" si="1886">IF(BP97="","",(BP97-BP$93)*1000)+CL$93</f>
        <v>10.903264338856467</v>
      </c>
      <c r="CM97" s="40">
        <f t="shared" ref="CM97" si="1887">IF(BQ97="","",(BQ97-BQ$93)*1000)+CM$93</f>
        <v>-0.38538410274235879</v>
      </c>
      <c r="CN97" s="40"/>
      <c r="CO97" s="40"/>
      <c r="CP97" s="40"/>
      <c r="CQ97" s="40">
        <f t="shared" ref="CQ97" si="1888">IF(BU97="","",(BU97-BU$93)*1000)+CQ$93</f>
        <v>-5.7789497234637111</v>
      </c>
      <c r="CR97" s="40">
        <f t="shared" ref="CR97" si="1889">IF(BV97="","",(BV97-BV$93)*1000)+CR$93</f>
        <v>10.529940696600626</v>
      </c>
      <c r="CS97" s="40">
        <f t="shared" ref="CS97" si="1890">IF(BW97="","",(BW97-BW$93)*1000)+CS$93</f>
        <v>-2.8452105027580998</v>
      </c>
      <c r="CT97" s="40">
        <f t="shared" ref="CT97" si="1891">IF(BX97="","",(BX97-BX$93)*1000)+CT$93</f>
        <v>-4.8653137442045136</v>
      </c>
      <c r="CU97" s="40">
        <f t="shared" ref="CU97" si="1892">IF(BY97="","",(BY97-BY$93)*1000)+CU$93</f>
        <v>-6.2294123243015198</v>
      </c>
      <c r="CV97" s="40">
        <f t="shared" ref="CV97" si="1893">IF(BZ97="","",(BZ97-BZ$93)*1000)+CV$93</f>
        <v>-29.695346862561145</v>
      </c>
      <c r="CW97" s="40">
        <f t="shared" ref="CW97" si="1894">IF(CA97="","",(CA97-CA$93)*1000)+CW$93</f>
        <v>-2.2365948723575002</v>
      </c>
      <c r="CX97" s="40">
        <f t="shared" ref="CX97" si="1895">IF(CB97="","",(CB97-CB$93)*1000)+CX$93</f>
        <v>-11.299998623095941</v>
      </c>
      <c r="CY97" s="40">
        <f t="shared" ref="CY97" si="1896">IF(CC97="","",(CC97-CC$93)*1000)+CY$93</f>
        <v>-12.639634051281323</v>
      </c>
      <c r="CZ97" s="40">
        <f t="shared" ref="CZ97" si="1897">IF(CD97="","",(CD97-CD$93)*1000)+CZ$93</f>
        <v>-2.7804685150556452</v>
      </c>
      <c r="DA97" s="40">
        <f t="shared" ref="DA97" si="1898">IF(CE97="","",(CE97-CE$93)*1000)+DA$93</f>
        <v>-10.87970465049537</v>
      </c>
      <c r="DB97" s="40">
        <f t="shared" ref="DB97" si="1899">IF(CF97="","",(CF97-CF$93)*1000)+DB$93</f>
        <v>0.25580468515851162</v>
      </c>
      <c r="DC97" s="40">
        <f t="shared" ref="DC97" si="1900">IF(CG97="","",(CG97-CG$93)*1000)+DC$93</f>
        <v>-5.1494789016715004</v>
      </c>
      <c r="DD97" s="40">
        <f t="shared" ref="DD97" si="1901">IF(CH97="","",(CH97-CH$93)*1000)+DD$93</f>
        <v>-12.871803218076572</v>
      </c>
      <c r="DE97" s="40">
        <f t="shared" ref="DE97" si="1902">IF(CI97="","",(CI97-CI$93)*1000)+DE$93</f>
        <v>2.9464947889936699</v>
      </c>
    </row>
    <row r="98" spans="1:109" ht="37.5" customHeight="1" x14ac:dyDescent="0.2">
      <c r="A98" s="34">
        <v>44203</v>
      </c>
      <c r="B98" s="27">
        <f t="shared" ref="B98" si="1903">IF(A98="","",A98-excav)</f>
        <v>604</v>
      </c>
      <c r="C98" s="35">
        <v>222.9</v>
      </c>
      <c r="D98" s="35">
        <v>53.700000000000017</v>
      </c>
      <c r="E98" s="36">
        <v>823219.54599999997</v>
      </c>
      <c r="F98" s="36">
        <v>1091508.5630000001</v>
      </c>
      <c r="G98" s="36">
        <v>-124.9945</v>
      </c>
      <c r="H98" s="36"/>
      <c r="I98" s="36"/>
      <c r="J98" s="36"/>
      <c r="K98" s="36">
        <v>823219.60419999994</v>
      </c>
      <c r="L98" s="36">
        <v>1091508.0023000001</v>
      </c>
      <c r="M98" s="36">
        <v>-120.869</v>
      </c>
      <c r="N98" s="36">
        <v>823220.8554</v>
      </c>
      <c r="O98" s="36">
        <v>1091504.7864000001</v>
      </c>
      <c r="P98" s="36">
        <v>-119.5145</v>
      </c>
      <c r="Q98" s="36">
        <v>823222.33730000001</v>
      </c>
      <c r="R98" s="36">
        <v>1091502.1813999999</v>
      </c>
      <c r="S98" s="36">
        <v>-120.8642</v>
      </c>
      <c r="T98" s="36">
        <v>823222.74730000005</v>
      </c>
      <c r="U98" s="36">
        <v>1091501.2805000001</v>
      </c>
      <c r="V98" s="36">
        <v>-123.00149999999999</v>
      </c>
      <c r="W98" s="36">
        <v>823222.66559999995</v>
      </c>
      <c r="X98" s="36">
        <v>1091501.6059999999</v>
      </c>
      <c r="Y98" s="36">
        <v>-124.91970000000001</v>
      </c>
      <c r="Z98" s="36">
        <f t="shared" si="1490"/>
        <v>6.78289288725263</v>
      </c>
      <c r="AA98" s="36"/>
      <c r="AB98" s="36">
        <f t="shared" si="1683"/>
        <v>3.7070452519268691</v>
      </c>
      <c r="AC98" s="36">
        <f t="shared" si="1492"/>
        <v>3.2869047295526759</v>
      </c>
      <c r="AD98" s="36">
        <f t="shared" si="1493"/>
        <v>5.2943167094629215</v>
      </c>
      <c r="AE98" s="36">
        <f t="shared" si="1494"/>
        <v>6.5274769429698081</v>
      </c>
      <c r="AF98" s="36">
        <f t="shared" si="1684"/>
        <v>6.4306092605848102</v>
      </c>
      <c r="AG98" s="36"/>
      <c r="AH98" s="36">
        <f t="shared" si="1496"/>
        <v>7.6247851249862011</v>
      </c>
      <c r="AI98" s="40">
        <f t="shared" ref="AI98" si="1904">IF(Z98="","",(Z98-Z$10)*1000)</f>
        <v>-34.058408573060639</v>
      </c>
      <c r="AJ98" s="40"/>
      <c r="AK98" s="40">
        <f t="shared" ref="AK98" si="1905">IF(AB98="","",(AB98-AB$10)*1000)</f>
        <v>-25.480020508464207</v>
      </c>
      <c r="AL98" s="40">
        <f t="shared" ref="AL98" si="1906">IF(AC98="","",(AC98-AC$10)*1000)</f>
        <v>-10.784027682090969</v>
      </c>
      <c r="AM98" s="40">
        <f t="shared" ref="AM98" si="1907">IF(AD98="","",(AD98-AD$10)*1000)</f>
        <v>-22.949357795505776</v>
      </c>
      <c r="AN98" s="40">
        <f t="shared" ref="AN98" si="1908">IF(AE98="","",(AE98-AE$10)*1000)</f>
        <v>-30.528307044780156</v>
      </c>
      <c r="AO98" s="40">
        <f t="shared" ref="AO98" si="1909">IF(AF98="","",(AF98-AF$10)*1000)</f>
        <v>-20.994370134236995</v>
      </c>
      <c r="AP98" s="40" t="str">
        <f t="shared" ref="AP98" si="1910">IF(AG98="","",(AG98-AG$10)*1000)</f>
        <v/>
      </c>
      <c r="AQ98" s="40">
        <f t="shared" ref="AQ98" si="1911">IF(AH98="","",(AH98-AH$10)*1000)</f>
        <v>-23.233039728021154</v>
      </c>
      <c r="AR98" s="37"/>
      <c r="AS98" s="40">
        <f t="shared" si="1798"/>
        <v>-0.60000002849847078</v>
      </c>
      <c r="AT98" s="40">
        <f t="shared" ref="AT98" si="1912">IF(F98="","",(F98-F$93)*1000)+AT$93</f>
        <v>-12.099999934434891</v>
      </c>
      <c r="AU98" s="40">
        <f t="shared" ref="AU98" si="1913">IF(G98="","",(G98-G$93)*1000)+AU$93</f>
        <v>0</v>
      </c>
      <c r="AV98" s="40"/>
      <c r="AW98" s="40"/>
      <c r="AX98" s="40"/>
      <c r="AY98" s="40">
        <f t="shared" si="1800"/>
        <v>-1.6000000759959221</v>
      </c>
      <c r="AZ98" s="40">
        <f t="shared" ref="AZ98" si="1914">IF(L98="","",(L98-L$93)*1000)+AZ$93</f>
        <v>-12.099999701604247</v>
      </c>
      <c r="BA98" s="40">
        <f t="shared" ref="BA98" si="1915">IF(M98="","",(M98-M$93)*1000)+BA$93</f>
        <v>-2.9999999999859028</v>
      </c>
      <c r="BB98" s="40">
        <f t="shared" si="1803"/>
        <v>-7.7000000746920705</v>
      </c>
      <c r="BC98" s="40">
        <f t="shared" ref="BC98" si="1916">IF(O98="","",(O98-O$93)*1000)+BC$93</f>
        <v>3.9000001270323992</v>
      </c>
      <c r="BD98" s="40">
        <f t="shared" ref="BD98" si="1917">IF(P98="","",(P98-P$93)*1000)+BD$93</f>
        <v>-29.799999999994498</v>
      </c>
      <c r="BE98" s="40">
        <f t="shared" si="1806"/>
        <v>-6.7000000271946192</v>
      </c>
      <c r="BF98" s="40">
        <f t="shared" ref="BF98" si="1918">IF(R98="","",(R98-R$93)*1000)+BF$93</f>
        <v>9.2999998014420271</v>
      </c>
      <c r="BG98" s="40">
        <f t="shared" ref="BG98" si="1919">IF(S98="","",(S98-S$93)*1000)+BG$93</f>
        <v>-12.399999999999523</v>
      </c>
      <c r="BH98" s="40">
        <f t="shared" si="1809"/>
        <v>-8.2999999867752194</v>
      </c>
      <c r="BI98" s="40">
        <f t="shared" ref="BI98" si="1920">IF(U98="","",(U98-U$93)*1000)+BI$93</f>
        <v>8.6000000592321157</v>
      </c>
      <c r="BJ98" s="40">
        <f t="shared" ref="BJ98" si="1921">IF(V98="","",(V98-V$93)*1000)+BJ$93</f>
        <v>0.39999999999906777</v>
      </c>
      <c r="BK98" s="40">
        <f t="shared" si="1812"/>
        <v>-10.699999984353781</v>
      </c>
      <c r="BL98" s="40">
        <f t="shared" ref="BL98" si="1922">IF(X98="","",(X98-X$93)*1000)+BL$93</f>
        <v>9.5999997574836016</v>
      </c>
      <c r="BM98" s="40">
        <f t="shared" ref="BM98" si="1923">IF(Y98="","",(Y98-Y$93)*1000)+BM$93</f>
        <v>2.8999999999825832</v>
      </c>
      <c r="BN98" s="37"/>
      <c r="BO98" s="36">
        <v>169.32272699958546</v>
      </c>
      <c r="BP98" s="36">
        <v>-3.7487133232165877</v>
      </c>
      <c r="BQ98" s="36">
        <v>-1.1448472699958643</v>
      </c>
      <c r="BR98" s="36"/>
      <c r="BS98" s="36"/>
      <c r="BT98" s="36"/>
      <c r="BU98" s="38">
        <v>169.13849221474806</v>
      </c>
      <c r="BV98" s="39">
        <v>-3.2159570242513351</v>
      </c>
      <c r="BW98" s="39">
        <v>2.9824950778525192</v>
      </c>
      <c r="BX98" s="38">
        <v>168.91323822747171</v>
      </c>
      <c r="BY98" s="39">
        <v>0.22740977164042014</v>
      </c>
      <c r="BZ98" s="39">
        <v>4.3392476177252775</v>
      </c>
      <c r="CA98" s="38">
        <v>169.15526392875054</v>
      </c>
      <c r="CB98" s="39">
        <v>3.2146285736494176</v>
      </c>
      <c r="CC98" s="39">
        <v>2.987127360712492</v>
      </c>
      <c r="CD98" s="38">
        <v>169.14607647313804</v>
      </c>
      <c r="CE98" s="39">
        <v>4.2043944046825246</v>
      </c>
      <c r="CF98" s="39">
        <v>0.84991923526862934</v>
      </c>
      <c r="CG98" s="38">
        <v>169.20960564183534</v>
      </c>
      <c r="CH98" s="39">
        <v>3.8748656735953184</v>
      </c>
      <c r="CI98" s="39">
        <v>-1.0689160564183595</v>
      </c>
      <c r="CJ98" s="37"/>
      <c r="CK98" s="40">
        <f t="shared" si="1815"/>
        <v>-5.7005829162619648</v>
      </c>
      <c r="CL98" s="40">
        <f t="shared" ref="CL98" si="1924">IF(BP98="","",(BP98-BP$93)*1000)+CL$93</f>
        <v>10.728104670840288</v>
      </c>
      <c r="CM98" s="40">
        <f t="shared" ref="CM98" si="1925">IF(BQ98="","",(BQ98-BQ$93)*1000)+CM$93</f>
        <v>1.6005829166720886E-2</v>
      </c>
      <c r="CN98" s="40"/>
      <c r="CO98" s="40"/>
      <c r="CP98" s="40"/>
      <c r="CQ98" s="40">
        <f t="shared" ref="CQ98" si="1926">IF(BU98="","",(BU98-BU$93)*1000)+CQ$93</f>
        <v>-6.5462486248577534</v>
      </c>
      <c r="CR98" s="40">
        <f t="shared" ref="CR98" si="1927">IF(BV98="","",(BV98-BV$93)*1000)+CR$93</f>
        <v>10.282448334424377</v>
      </c>
      <c r="CS98" s="40">
        <f t="shared" ref="CS98" si="1928">IF(BW98="","",(BW98-BW$93)*1000)+CS$93</f>
        <v>-2.9375375137474791</v>
      </c>
      <c r="CT98" s="40">
        <f t="shared" ref="CT98" si="1929">IF(BX98="","",(BX98-BX$93)*1000)+CT$93</f>
        <v>-5.3729224731000613</v>
      </c>
      <c r="CU98" s="40">
        <f t="shared" ref="CU98" si="1930">IF(BY98="","",(BY98-BY$93)*1000)+CU$93</f>
        <v>-6.7971565067044271</v>
      </c>
      <c r="CV98" s="40">
        <f t="shared" ref="CV98" si="1931">IF(BZ98="","",(BZ98-BZ$93)*1000)+CV$93</f>
        <v>-29.79027077527352</v>
      </c>
      <c r="CW98" s="40">
        <f t="shared" ref="CW98" si="1932">IF(CA98="","",(CA98-CA$93)*1000)+CW$93</f>
        <v>-2.1459656103672842</v>
      </c>
      <c r="CX98" s="40">
        <f t="shared" ref="CX98" si="1933">IF(CB98="","",(CB98-CB$93)*1000)+CX$93</f>
        <v>-11.257733395507064</v>
      </c>
      <c r="CY98" s="40">
        <f t="shared" ref="CY98" si="1934">IF(CC98="","",(CC98-CC$93)*1000)+CY$93</f>
        <v>-12.340540343898088</v>
      </c>
      <c r="CZ98" s="40">
        <f t="shared" ref="CZ98" si="1935">IF(CD98="","",(CD98-CD$93)*1000)+CZ$93</f>
        <v>-3.9102840493683289</v>
      </c>
      <c r="DA98" s="40">
        <f t="shared" ref="DA98" si="1936">IF(CE98="","",(CE98-CE$93)*1000)+DA$93</f>
        <v>-11.296257986541214</v>
      </c>
      <c r="DB98" s="40">
        <f t="shared" ref="DB98" si="1937">IF(CF98="","",(CF98-CF$93)*1000)+DB$93</f>
        <v>0.46710284050799356</v>
      </c>
      <c r="DC98" s="40">
        <f t="shared" ref="DC98" si="1938">IF(CG98="","",(CG98-CG$93)*1000)+DC$93</f>
        <v>-5.6509890277709474</v>
      </c>
      <c r="DD98" s="40">
        <f t="shared" ref="DD98" si="1939">IF(CH98="","",(CH98-CH$93)*1000)+DD$93</f>
        <v>-13.216023487136574</v>
      </c>
      <c r="DE98" s="40">
        <f t="shared" ref="DE98" si="1940">IF(CI98="","",(CI98-CI$93)*1000)+DE$93</f>
        <v>2.9515098902594961</v>
      </c>
    </row>
    <row r="99" spans="1:109" ht="37.5" customHeight="1" x14ac:dyDescent="0.2">
      <c r="A99" s="34">
        <v>44229</v>
      </c>
      <c r="B99" s="27">
        <f t="shared" ref="B99" si="1941">IF(A99="","",A99-excav)</f>
        <v>630</v>
      </c>
      <c r="C99" s="35">
        <v>222.9</v>
      </c>
      <c r="D99" s="35">
        <v>53.700000000000017</v>
      </c>
      <c r="E99" s="36">
        <v>823219.54599999997</v>
      </c>
      <c r="F99" s="36">
        <v>1091508.5630000001</v>
      </c>
      <c r="G99" s="36">
        <v>-124.995</v>
      </c>
      <c r="H99" s="36"/>
      <c r="I99" s="36"/>
      <c r="J99" s="36"/>
      <c r="K99" s="36">
        <v>823219.60400000005</v>
      </c>
      <c r="L99" s="36">
        <v>1091508.0020000001</v>
      </c>
      <c r="M99" s="36">
        <v>-120.87</v>
      </c>
      <c r="N99" s="36">
        <v>823220.85499999998</v>
      </c>
      <c r="O99" s="36">
        <v>1091504.7860000001</v>
      </c>
      <c r="P99" s="36">
        <v>-119.51600000000001</v>
      </c>
      <c r="Q99" s="36">
        <v>823222.33700000006</v>
      </c>
      <c r="R99" s="36">
        <v>1091502.182</v>
      </c>
      <c r="S99" s="36">
        <v>-120.86499999999999</v>
      </c>
      <c r="T99" s="36">
        <v>823222.74699999997</v>
      </c>
      <c r="U99" s="36">
        <v>1091501.281</v>
      </c>
      <c r="V99" s="36">
        <v>-123.002</v>
      </c>
      <c r="W99" s="36">
        <v>823222.66500000004</v>
      </c>
      <c r="X99" s="36">
        <v>1091501.6070000001</v>
      </c>
      <c r="Y99" s="36">
        <v>-124.92</v>
      </c>
      <c r="Z99" s="36">
        <f t="shared" si="1490"/>
        <v>6.7822305327993684</v>
      </c>
      <c r="AA99" s="36"/>
      <c r="AB99" s="36">
        <f t="shared" si="1683"/>
        <v>3.7068818432644184</v>
      </c>
      <c r="AC99" s="36">
        <f t="shared" si="1492"/>
        <v>3.2858699001159866</v>
      </c>
      <c r="AD99" s="36">
        <f t="shared" si="1493"/>
        <v>5.2930978642776338</v>
      </c>
      <c r="AE99" s="36">
        <f t="shared" si="1494"/>
        <v>6.5257457045326186</v>
      </c>
      <c r="AF99" s="36">
        <f t="shared" si="1684"/>
        <v>6.4297522503436761</v>
      </c>
      <c r="AG99" s="36"/>
      <c r="AH99" s="36">
        <f t="shared" si="1496"/>
        <v>7.6236291882854985</v>
      </c>
      <c r="AI99" s="40">
        <f t="shared" ref="AI99" si="1942">IF(Z99="","",(Z99-Z$10)*1000)</f>
        <v>-34.72076302632221</v>
      </c>
      <c r="AJ99" s="40"/>
      <c r="AK99" s="40">
        <f t="shared" ref="AK99" si="1943">IF(AB99="","",(AB99-AB$10)*1000)</f>
        <v>-25.643429170914889</v>
      </c>
      <c r="AL99" s="40">
        <f t="shared" ref="AL99" si="1944">IF(AC99="","",(AC99-AC$10)*1000)</f>
        <v>-11.818857118780279</v>
      </c>
      <c r="AM99" s="40">
        <f t="shared" ref="AM99" si="1945">IF(AD99="","",(AD99-AD$10)*1000)</f>
        <v>-24.168202980793474</v>
      </c>
      <c r="AN99" s="40">
        <f t="shared" ref="AN99" si="1946">IF(AE99="","",(AE99-AE$10)*1000)</f>
        <v>-32.259545481969631</v>
      </c>
      <c r="AO99" s="40">
        <f t="shared" ref="AO99" si="1947">IF(AF99="","",(AF99-AF$10)*1000)</f>
        <v>-21.851380375371043</v>
      </c>
      <c r="AP99" s="40" t="str">
        <f t="shared" ref="AP99" si="1948">IF(AG99="","",(AG99-AG$10)*1000)</f>
        <v/>
      </c>
      <c r="AQ99" s="40">
        <f t="shared" ref="AQ99" si="1949">IF(AH99="","",(AH99-AH$10)*1000)</f>
        <v>-24.38897642872373</v>
      </c>
      <c r="AR99" s="37"/>
      <c r="AS99" s="40">
        <f t="shared" si="1798"/>
        <v>-0.60000002849847078</v>
      </c>
      <c r="AT99" s="40">
        <f t="shared" ref="AT99" si="1950">IF(F99="","",(F99-F$93)*1000)+AT$93</f>
        <v>-12.099999934434891</v>
      </c>
      <c r="AU99" s="40">
        <f t="shared" ref="AU99" si="1951">IF(G99="","",(G99-G$93)*1000)+AU$93</f>
        <v>-0.50000000000238742</v>
      </c>
      <c r="AV99" s="40"/>
      <c r="AW99" s="40"/>
      <c r="AX99" s="40"/>
      <c r="AY99" s="40">
        <f t="shared" si="1800"/>
        <v>-1.7999999690800905</v>
      </c>
      <c r="AZ99" s="40">
        <f t="shared" ref="AZ99" si="1952">IF(L99="","",(L99-L$93)*1000)+AZ$93</f>
        <v>-12.399999657645822</v>
      </c>
      <c r="BA99" s="40">
        <f t="shared" ref="BA99" si="1953">IF(M99="","",(M99-M$93)*1000)+BA$93</f>
        <v>-3.9999999999906777</v>
      </c>
      <c r="BB99" s="40">
        <f t="shared" si="1803"/>
        <v>-8.100000093691051</v>
      </c>
      <c r="BC99" s="40">
        <f t="shared" ref="BC99" si="1954">IF(O99="","",(O99-O$93)*1000)+BC$93</f>
        <v>3.5000001080334187</v>
      </c>
      <c r="BD99" s="40">
        <f t="shared" ref="BD99" si="1955">IF(P99="","",(P99-P$93)*1000)+BD$93</f>
        <v>-31.30000000000166</v>
      </c>
      <c r="BE99" s="40">
        <f t="shared" si="1806"/>
        <v>-6.9999999832361937</v>
      </c>
      <c r="BF99" s="40">
        <f t="shared" ref="BF99" si="1956">IF(R99="","",(R99-R$93)*1000)+BF$93</f>
        <v>9.8999999463558197</v>
      </c>
      <c r="BG99" s="40">
        <f t="shared" ref="BG99" si="1957">IF(S99="","",(S99-S$93)*1000)+BG$93</f>
        <v>-13.199999999997658</v>
      </c>
      <c r="BH99" s="40">
        <f t="shared" si="1809"/>
        <v>-8.6000000592321157</v>
      </c>
      <c r="BI99" s="40">
        <f t="shared" ref="BI99" si="1958">IF(U99="","",(U99-U$93)*1000)+BI$93</f>
        <v>9.0999999083578587</v>
      </c>
      <c r="BJ99" s="40">
        <f t="shared" ref="BJ99" si="1959">IF(V99="","",(V99-V$93)*1000)+BJ$93</f>
        <v>-0.10000000000331966</v>
      </c>
      <c r="BK99" s="40">
        <f t="shared" si="1812"/>
        <v>-11.29999989643693</v>
      </c>
      <c r="BL99" s="40">
        <f t="shared" ref="BL99" si="1960">IF(X99="","",(X99-X$93)*1000)+BL$93</f>
        <v>10.599999921396375</v>
      </c>
      <c r="BM99" s="40">
        <f t="shared" ref="BM99" si="1961">IF(Y99="","",(Y99-Y$93)*1000)+BM$93</f>
        <v>2.5999999999868351</v>
      </c>
      <c r="BN99" s="37"/>
      <c r="BO99" s="36">
        <v>169.32300000000001</v>
      </c>
      <c r="BP99" s="36">
        <v>-3.7490000000000001</v>
      </c>
      <c r="BQ99" s="36">
        <v>-1.145</v>
      </c>
      <c r="BR99" s="36"/>
      <c r="BS99" s="36"/>
      <c r="BT99" s="36"/>
      <c r="BU99" s="38">
        <v>169.13800000000001</v>
      </c>
      <c r="BV99" s="39">
        <v>-3.2160000000000002</v>
      </c>
      <c r="BW99" s="39">
        <v>2.9820000000000002</v>
      </c>
      <c r="BX99" s="38">
        <v>168.91300000000001</v>
      </c>
      <c r="BY99" s="39">
        <v>0.22700000000000001</v>
      </c>
      <c r="BZ99" s="39">
        <v>4.3380000000000001</v>
      </c>
      <c r="CA99" s="38">
        <v>169.155</v>
      </c>
      <c r="CB99" s="39">
        <v>3.214</v>
      </c>
      <c r="CC99" s="39">
        <v>2.9860000000000002</v>
      </c>
      <c r="CD99" s="38">
        <v>169.14599999999999</v>
      </c>
      <c r="CE99" s="39">
        <v>4.2039999999999997</v>
      </c>
      <c r="CF99" s="39">
        <v>0.84899999999999998</v>
      </c>
      <c r="CG99" s="38">
        <v>169.209</v>
      </c>
      <c r="CH99" s="39">
        <v>3.8740000000000001</v>
      </c>
      <c r="CI99" s="39">
        <v>-1.069</v>
      </c>
      <c r="CJ99" s="37"/>
      <c r="CK99" s="40">
        <f t="shared" si="1815"/>
        <v>-5.4275825017100487</v>
      </c>
      <c r="CL99" s="40">
        <f t="shared" ref="CL99" si="1962">IF(BP99="","",(BP99-BP$93)*1000)+CL$93</f>
        <v>10.441427887427857</v>
      </c>
      <c r="CM99" s="40">
        <f t="shared" ref="CM99" si="1963">IF(BQ99="","",(BQ99-BQ$93)*1000)+CM$93</f>
        <v>-0.13672417496901623</v>
      </c>
      <c r="CN99" s="40"/>
      <c r="CO99" s="40"/>
      <c r="CP99" s="40"/>
      <c r="CQ99" s="40">
        <f t="shared" ref="CQ99" si="1964">IF(BU99="","",(BU99-BU$93)*1000)+CQ$93</f>
        <v>-7.0384633729076995</v>
      </c>
      <c r="CR99" s="40">
        <f t="shared" ref="CR99" si="1965">IF(BV99="","",(BV99-BV$93)*1000)+CR$93</f>
        <v>10.239472585759302</v>
      </c>
      <c r="CS99" s="40">
        <f t="shared" ref="CS99" si="1966">IF(BW99="","",(BW99-BW$93)*1000)+CS$93</f>
        <v>-3.4326153662664893</v>
      </c>
      <c r="CT99" s="40">
        <f t="shared" ref="CT99" si="1967">IF(BX99="","",(BX99-BX$93)*1000)+CT$93</f>
        <v>-5.611149944797944</v>
      </c>
      <c r="CU99" s="40">
        <f t="shared" ref="CU99" si="1968">IF(BY99="","",(BY99-BY$93)*1000)+CU$93</f>
        <v>-7.2069281471245636</v>
      </c>
      <c r="CV99" s="40">
        <f t="shared" ref="CV99" si="1969">IF(BZ99="","",(BZ99-BZ$93)*1000)+CV$93</f>
        <v>-31.037888500550892</v>
      </c>
      <c r="CW99" s="40">
        <f t="shared" ref="CW99" si="1970">IF(CA99="","",(CA99-CA$93)*1000)+CW$93</f>
        <v>-2.4098943609089929</v>
      </c>
      <c r="CX99" s="40">
        <f t="shared" ref="CX99" si="1971">IF(CB99="","",(CB99-CB$93)*1000)+CX$93</f>
        <v>-11.88630704492466</v>
      </c>
      <c r="CY99" s="40">
        <f t="shared" ref="CY99" si="1972">IF(CC99="","",(CC99-CC$93)*1000)+CY$93</f>
        <v>-13.467901056389842</v>
      </c>
      <c r="CZ99" s="40">
        <f t="shared" ref="CZ99" si="1973">IF(CD99="","",(CD99-CD$93)*1000)+CZ$93</f>
        <v>-3.9867571874196983</v>
      </c>
      <c r="DA99" s="40">
        <f t="shared" ref="DA99" si="1974">IF(CE99="","",(CE99-CE$93)*1000)+DA$93</f>
        <v>-11.690662669066043</v>
      </c>
      <c r="DB99" s="40">
        <f t="shared" ref="DB99" si="1975">IF(CF99="","",(CF99-CF$93)*1000)+DB$93</f>
        <v>-0.45213242812136567</v>
      </c>
      <c r="DC99" s="40">
        <f t="shared" ref="DC99" si="1976">IF(CG99="","",(CG99-CG$93)*1000)+DC$93</f>
        <v>-6.2566308631062384</v>
      </c>
      <c r="DD99" s="40">
        <f t="shared" ref="DD99" si="1977">IF(CH99="","",(CH99-CH$93)*1000)+DD$93</f>
        <v>-14.08169708245488</v>
      </c>
      <c r="DE99" s="40">
        <f t="shared" ref="DE99" si="1978">IF(CI99="","",(CI99-CI$93)*1000)+DE$93</f>
        <v>2.8675663086190628</v>
      </c>
    </row>
    <row r="100" spans="1:109" ht="37.5" customHeight="1" x14ac:dyDescent="0.2">
      <c r="A100" s="34">
        <v>44245</v>
      </c>
      <c r="B100" s="27">
        <f t="shared" ref="B100" si="1979">IF(A100="","",A100-excav)</f>
        <v>646</v>
      </c>
      <c r="C100" s="35">
        <v>222.9</v>
      </c>
      <c r="D100" s="35">
        <v>53.700000000000017</v>
      </c>
      <c r="E100" s="36">
        <v>823219.54570000002</v>
      </c>
      <c r="F100" s="36">
        <v>1091508.5629</v>
      </c>
      <c r="G100" s="36">
        <v>-124.9944</v>
      </c>
      <c r="H100" s="36"/>
      <c r="I100" s="36"/>
      <c r="J100" s="36"/>
      <c r="K100" s="36">
        <v>823219.60430000001</v>
      </c>
      <c r="L100" s="36">
        <v>1091508.0020000001</v>
      </c>
      <c r="M100" s="36">
        <v>-120.869</v>
      </c>
      <c r="N100" s="36">
        <v>823220.85510000004</v>
      </c>
      <c r="O100" s="36">
        <v>1091504.7859</v>
      </c>
      <c r="P100" s="36">
        <v>-119.51519999999999</v>
      </c>
      <c r="Q100" s="36">
        <v>823222.33689999999</v>
      </c>
      <c r="R100" s="36">
        <v>1091502.1814999999</v>
      </c>
      <c r="S100" s="36">
        <v>-120.8646</v>
      </c>
      <c r="T100" s="36">
        <v>823222.74750000006</v>
      </c>
      <c r="U100" s="36">
        <v>1091501.281</v>
      </c>
      <c r="V100" s="36">
        <v>-123.0012</v>
      </c>
      <c r="W100" s="36">
        <v>823222.66529999999</v>
      </c>
      <c r="X100" s="36">
        <v>1091501.6062</v>
      </c>
      <c r="Y100" s="36">
        <v>-124.9192</v>
      </c>
      <c r="Z100" s="36">
        <f t="shared" si="1490"/>
        <v>6.7824693143490027</v>
      </c>
      <c r="AA100" s="36"/>
      <c r="AB100" s="36">
        <f t="shared" si="1683"/>
        <v>3.7068280632632367</v>
      </c>
      <c r="AC100" s="36">
        <f t="shared" si="1492"/>
        <v>3.2862609391547246</v>
      </c>
      <c r="AD100" s="36">
        <f t="shared" si="1493"/>
        <v>5.2931746400861464</v>
      </c>
      <c r="AE100" s="36">
        <f t="shared" si="1494"/>
        <v>6.5261422088152745</v>
      </c>
      <c r="AF100" s="36">
        <f t="shared" si="1684"/>
        <v>6.4300343989476332</v>
      </c>
      <c r="AG100" s="36"/>
      <c r="AH100" s="36">
        <f t="shared" si="1496"/>
        <v>7.6245153347332772</v>
      </c>
      <c r="AI100" s="40">
        <f t="shared" ref="AI100" si="1980">IF(Z100="","",(Z100-Z$10)*1000)</f>
        <v>-34.481981476687906</v>
      </c>
      <c r="AJ100" s="40"/>
      <c r="AK100" s="40">
        <f t="shared" ref="AK100" si="1981">IF(AB100="","",(AB100-AB$10)*1000)</f>
        <v>-25.697209172096613</v>
      </c>
      <c r="AL100" s="40">
        <f t="shared" ref="AL100" si="1982">IF(AC100="","",(AC100-AC$10)*1000)</f>
        <v>-11.427818080042229</v>
      </c>
      <c r="AM100" s="40">
        <f t="shared" ref="AM100" si="1983">IF(AD100="","",(AD100-AD$10)*1000)</f>
        <v>-24.091427172280966</v>
      </c>
      <c r="AN100" s="40">
        <f t="shared" ref="AN100" si="1984">IF(AE100="","",(AE100-AE$10)*1000)</f>
        <v>-31.863041199313713</v>
      </c>
      <c r="AO100" s="40">
        <f t="shared" ref="AO100" si="1985">IF(AF100="","",(AF100-AF$10)*1000)</f>
        <v>-21.56923177141401</v>
      </c>
      <c r="AP100" s="40" t="str">
        <f t="shared" ref="AP100" si="1986">IF(AG100="","",(AG100-AG$10)*1000)</f>
        <v/>
      </c>
      <c r="AQ100" s="40">
        <f t="shared" ref="AQ100" si="1987">IF(AH100="","",(AH100-AH$10)*1000)</f>
        <v>-23.502829980944995</v>
      </c>
      <c r="AR100" s="37"/>
      <c r="AS100" s="40">
        <f t="shared" si="1798"/>
        <v>-0.89999998454004526</v>
      </c>
      <c r="AT100" s="40">
        <f t="shared" ref="AT100" si="1988">IF(F100="","",(F100-F$93)*1000)+AT$93</f>
        <v>-12.199999997392297</v>
      </c>
      <c r="AU100" s="40">
        <f t="shared" ref="AU100" si="1989">IF(G100="","",(G100-G$93)*1000)+AU$93</f>
        <v>0.10000000000331966</v>
      </c>
      <c r="AV100" s="40"/>
      <c r="AW100" s="40"/>
      <c r="AX100" s="40"/>
      <c r="AY100" s="40">
        <f t="shared" si="1800"/>
        <v>-1.500000013038516</v>
      </c>
      <c r="AZ100" s="40">
        <f t="shared" ref="AZ100" si="1990">IF(L100="","",(L100-L$93)*1000)+AZ$93</f>
        <v>-12.399999657645822</v>
      </c>
      <c r="BA100" s="40">
        <f t="shared" ref="BA100" si="1991">IF(M100="","",(M100-M$93)*1000)+BA$93</f>
        <v>-2.9999999999859028</v>
      </c>
      <c r="BB100" s="40">
        <f t="shared" si="1803"/>
        <v>-8.000000030733645</v>
      </c>
      <c r="BC100" s="40">
        <f t="shared" ref="BC100" si="1992">IF(O100="","",(O100-O$93)*1000)+BC$93</f>
        <v>3.4000000450760126</v>
      </c>
      <c r="BD100" s="40">
        <f t="shared" ref="BD100" si="1993">IF(P100="","",(P100-P$93)*1000)+BD$93</f>
        <v>-30.499999999989313</v>
      </c>
      <c r="BE100" s="40">
        <f t="shared" si="1806"/>
        <v>-7.1000000461935997</v>
      </c>
      <c r="BF100" s="40">
        <f t="shared" ref="BF100" si="1994">IF(R100="","",(R100-R$93)*1000)+BF$93</f>
        <v>9.3999998643994331</v>
      </c>
      <c r="BG100" s="40">
        <f t="shared" ref="BG100" si="1995">IF(S100="","",(S100-S$93)*1000)+BG$93</f>
        <v>-12.79999999999859</v>
      </c>
      <c r="BH100" s="40">
        <f t="shared" si="1809"/>
        <v>-8.0999999772757292</v>
      </c>
      <c r="BI100" s="40">
        <f t="shared" ref="BI100" si="1996">IF(U100="","",(U100-U$93)*1000)+BI$93</f>
        <v>9.0999999083578587</v>
      </c>
      <c r="BJ100" s="40">
        <f t="shared" ref="BJ100" si="1997">IF(V100="","",(V100-V$93)*1000)+BJ$93</f>
        <v>0.69999999999481588</v>
      </c>
      <c r="BK100" s="40">
        <f t="shared" si="1812"/>
        <v>-10.999999940395355</v>
      </c>
      <c r="BL100" s="40">
        <f t="shared" ref="BL100" si="1998">IF(X100="","",(X100-X$93)*1000)+BL$93</f>
        <v>9.7999998833984137</v>
      </c>
      <c r="BM100" s="40">
        <f t="shared" ref="BM100" si="1999">IF(Y100="","",(Y100-Y$93)*1000)+BM$93</f>
        <v>3.3999999999849706</v>
      </c>
      <c r="BN100" s="37"/>
      <c r="BO100" s="36">
        <v>169.3224128467829</v>
      </c>
      <c r="BP100" s="36">
        <v>-3.7487494895390521</v>
      </c>
      <c r="BQ100" s="36">
        <v>-1.1447441284678348</v>
      </c>
      <c r="BR100" s="36"/>
      <c r="BS100" s="36"/>
      <c r="BT100" s="36"/>
      <c r="BU100" s="38">
        <v>169.13845604842561</v>
      </c>
      <c r="BV100" s="39">
        <v>-3.2156428714487886</v>
      </c>
      <c r="BW100" s="39">
        <v>2.9824954395157448</v>
      </c>
      <c r="BX100" s="38">
        <v>168.91275501385709</v>
      </c>
      <c r="BY100" s="39">
        <v>0.22773612215478325</v>
      </c>
      <c r="BZ100" s="39">
        <v>4.3385524498614387</v>
      </c>
      <c r="CA100" s="38">
        <v>169.15494367714126</v>
      </c>
      <c r="CB100" s="39">
        <v>3.2143688835753985</v>
      </c>
      <c r="CC100" s="39">
        <v>2.9867305632285905</v>
      </c>
      <c r="CD100" s="38">
        <v>169.14646905749774</v>
      </c>
      <c r="CE100" s="39">
        <v>4.2040257892007267</v>
      </c>
      <c r="CF100" s="39">
        <v>0.85021530942502466</v>
      </c>
      <c r="CG100" s="38">
        <v>169.20941828471567</v>
      </c>
      <c r="CH100" s="39">
        <v>3.8745576194869091</v>
      </c>
      <c r="CI100" s="39">
        <v>-1.0684141828471638</v>
      </c>
      <c r="CJ100" s="37"/>
      <c r="CK100" s="40">
        <f t="shared" si="1815"/>
        <v>-6.0147357188213846</v>
      </c>
      <c r="CL100" s="40">
        <f t="shared" ref="CL100" si="2000">IF(BP100="","",(BP100-BP$93)*1000)+CL$93</f>
        <v>10.691938348375896</v>
      </c>
      <c r="CM100" s="40">
        <f t="shared" ref="CM100" si="2001">IF(BQ100="","",(BQ100-BQ$93)*1000)+CM$93</f>
        <v>0.11914735719620317</v>
      </c>
      <c r="CN100" s="40"/>
      <c r="CO100" s="40"/>
      <c r="CP100" s="40"/>
      <c r="CQ100" s="40">
        <f t="shared" ref="CQ100" si="2002">IF(BU100="","",(BU100-BU$93)*1000)+CQ$93</f>
        <v>-6.5824149473030502</v>
      </c>
      <c r="CR100" s="40">
        <f t="shared" ref="CR100" si="2003">IF(BV100="","",(BV100-BV$93)*1000)+CR$93</f>
        <v>10.596601136970918</v>
      </c>
      <c r="CS100" s="40">
        <f t="shared" ref="CS100" si="2004">IF(BW100="","",(BW100-BW$93)*1000)+CS$93</f>
        <v>-2.9371758505218892</v>
      </c>
      <c r="CT100" s="40">
        <f t="shared" ref="CT100" si="2005">IF(BX100="","",(BX100-BX$93)*1000)+CT$93</f>
        <v>-5.8561360877149582</v>
      </c>
      <c r="CU100" s="40">
        <f t="shared" ref="CU100" si="2006">IF(BY100="","",(BY100-BY$93)*1000)+CU$93</f>
        <v>-6.4708059923413161</v>
      </c>
      <c r="CV100" s="40">
        <f t="shared" ref="CV100" si="2007">IF(BZ100="","",(BZ100-BZ$93)*1000)+CV$93</f>
        <v>-30.485438639112239</v>
      </c>
      <c r="CW100" s="40">
        <f t="shared" ref="CW100" si="2008">IF(CA100="","",(CA100-CA$93)*1000)+CW$93</f>
        <v>-2.4662172196485699</v>
      </c>
      <c r="CX100" s="40">
        <f t="shared" ref="CX100" si="2009">IF(CB100="","",(CB100-CB$93)*1000)+CX$93</f>
        <v>-11.517423469526111</v>
      </c>
      <c r="CY100" s="40">
        <f t="shared" ref="CY100" si="2010">IF(CC100="","",(CC100-CC$93)*1000)+CY$93</f>
        <v>-12.737337827799511</v>
      </c>
      <c r="CZ100" s="40">
        <f t="shared" ref="CZ100" si="2011">IF(CD100="","",(CD100-CD$93)*1000)+CZ$93</f>
        <v>-3.5176996896666424</v>
      </c>
      <c r="DA100" s="40">
        <f t="shared" ref="DA100" si="2012">IF(CE100="","",(CE100-CE$93)*1000)+DA$93</f>
        <v>-11.66487346833911</v>
      </c>
      <c r="DB100" s="40">
        <f t="shared" ref="DB100" si="2013">IF(CF100="","",(CF100-CF$93)*1000)+DB$93</f>
        <v>0.7631769969033142</v>
      </c>
      <c r="DC100" s="40">
        <f t="shared" ref="DC100" si="2014">IF(CG100="","",(CG100-CG$93)*1000)+DC$93</f>
        <v>-5.8383461474420528</v>
      </c>
      <c r="DD100" s="40">
        <f t="shared" ref="DD100" si="2015">IF(CH100="","",(CH100-CH$93)*1000)+DD$93</f>
        <v>-13.524077595545858</v>
      </c>
      <c r="DE100" s="40">
        <f t="shared" ref="DE100" si="2016">IF(CI100="","",(CI100-CI$93)*1000)+DE$93</f>
        <v>3.4533834614551839</v>
      </c>
    </row>
    <row r="101" spans="1:109" ht="37.5" customHeight="1" x14ac:dyDescent="0.2">
      <c r="A101" s="34">
        <v>44273</v>
      </c>
      <c r="B101" s="27">
        <f t="shared" ref="B101" si="2017">IF(A101="","",A101-excav)</f>
        <v>674</v>
      </c>
      <c r="C101" s="35">
        <v>222.9</v>
      </c>
      <c r="D101" s="35">
        <v>53.700000000000017</v>
      </c>
      <c r="E101" s="36">
        <v>823219.54819999996</v>
      </c>
      <c r="F101" s="36">
        <v>1091508.5608000001</v>
      </c>
      <c r="G101" s="36">
        <v>-124.9948</v>
      </c>
      <c r="H101" s="36"/>
      <c r="I101" s="36"/>
      <c r="J101" s="36"/>
      <c r="K101" s="36">
        <v>823219.60580000002</v>
      </c>
      <c r="L101" s="36">
        <v>1091508.0005999999</v>
      </c>
      <c r="M101" s="36">
        <v>-120.8703</v>
      </c>
      <c r="N101" s="36">
        <v>823220.8554</v>
      </c>
      <c r="O101" s="36">
        <v>1091504.7856999999</v>
      </c>
      <c r="P101" s="36">
        <v>-119.51649999999999</v>
      </c>
      <c r="Q101" s="36">
        <v>823222.33640000003</v>
      </c>
      <c r="R101" s="36">
        <v>1091502.1812</v>
      </c>
      <c r="S101" s="36">
        <v>-120.86579999999999</v>
      </c>
      <c r="T101" s="36">
        <v>823222.74690000003</v>
      </c>
      <c r="U101" s="36">
        <v>1091501.2805999999</v>
      </c>
      <c r="V101" s="36">
        <v>-123.00190000000001</v>
      </c>
      <c r="W101" s="36">
        <v>823222.66520000005</v>
      </c>
      <c r="X101" s="36">
        <v>1091501.6043</v>
      </c>
      <c r="Y101" s="36">
        <v>-124.9192</v>
      </c>
      <c r="Z101" s="36">
        <f t="shared" si="1490"/>
        <v>6.7802597842289858</v>
      </c>
      <c r="AA101" s="36"/>
      <c r="AB101" s="36">
        <f t="shared" si="1683"/>
        <v>3.7053821139103413</v>
      </c>
      <c r="AC101" s="36">
        <f t="shared" si="1492"/>
        <v>3.2859384868803581</v>
      </c>
      <c r="AD101" s="36">
        <f t="shared" si="1493"/>
        <v>5.2925902372808116</v>
      </c>
      <c r="AE101" s="36">
        <f t="shared" si="1494"/>
        <v>6.5257834234240066</v>
      </c>
      <c r="AF101" s="36">
        <f t="shared" si="1684"/>
        <v>6.4281889338386797</v>
      </c>
      <c r="AG101" s="36"/>
      <c r="AH101" s="36">
        <f t="shared" si="1496"/>
        <v>7.6232733528158452</v>
      </c>
      <c r="AI101" s="40">
        <f t="shared" ref="AI101" si="2018">IF(Z101="","",(Z101-Z$10)*1000)</f>
        <v>-36.691511596704807</v>
      </c>
      <c r="AJ101" s="40"/>
      <c r="AK101" s="40">
        <f t="shared" ref="AK101" si="2019">IF(AB101="","",(AB101-AB$10)*1000)</f>
        <v>-27.143158524991939</v>
      </c>
      <c r="AL101" s="40">
        <f t="shared" ref="AL101" si="2020">IF(AC101="","",(AC101-AC$10)*1000)</f>
        <v>-11.750270354408787</v>
      </c>
      <c r="AM101" s="40">
        <f t="shared" ref="AM101" si="2021">IF(AD101="","",(AD101-AD$10)*1000)</f>
        <v>-24.675829977615749</v>
      </c>
      <c r="AN101" s="40">
        <f t="shared" ref="AN101" si="2022">IF(AE101="","",(AE101-AE$10)*1000)</f>
        <v>-32.221826590581593</v>
      </c>
      <c r="AO101" s="40">
        <f t="shared" ref="AO101" si="2023">IF(AF101="","",(AF101-AF$10)*1000)</f>
        <v>-23.414696880367458</v>
      </c>
      <c r="AP101" s="40" t="str">
        <f t="shared" ref="AP101" si="2024">IF(AG101="","",(AG101-AG$10)*1000)</f>
        <v/>
      </c>
      <c r="AQ101" s="40">
        <f t="shared" ref="AQ101" si="2025">IF(AH101="","",(AH101-AH$10)*1000)</f>
        <v>-24.744811898377073</v>
      </c>
      <c r="AR101" s="37"/>
      <c r="AS101" s="40">
        <f t="shared" ref="AS101" si="2026">IF(E101="","",(E101-E$93)*1000)+AS$93</f>
        <v>1.5999999595806003</v>
      </c>
      <c r="AT101" s="40">
        <f t="shared" ref="AT101" si="2027">IF(F101="","",(F101-F$93)*1000)+AT$93</f>
        <v>-14.299999922513962</v>
      </c>
      <c r="AU101" s="40">
        <f t="shared" ref="AU101" si="2028">IF(G101="","",(G101-G$93)*1000)+AU$93</f>
        <v>-0.29999999999574811</v>
      </c>
      <c r="AV101" s="40"/>
      <c r="AW101" s="40"/>
      <c r="AX101" s="40"/>
      <c r="AY101" s="40">
        <f t="shared" ref="AY101" si="2029">IF(K101="","",(K101-K$93)*1000)+AY$93</f>
        <v>0</v>
      </c>
      <c r="AZ101" s="40">
        <f t="shared" ref="AZ101" si="2030">IF(L101="","",(L101-L$93)*1000)+AZ$93</f>
        <v>-13.799999840557575</v>
      </c>
      <c r="BA101" s="40">
        <f t="shared" ref="BA101" si="2031">IF(M101="","",(M101-M$93)*1000)+BA$93</f>
        <v>-4.2999999999864258</v>
      </c>
      <c r="BB101" s="40">
        <f t="shared" ref="BB101" si="2032">IF(N101="","",(N101-N$93)*1000)+BB$93</f>
        <v>-7.7000000746920705</v>
      </c>
      <c r="BC101" s="40">
        <f t="shared" ref="BC101" si="2033">IF(O101="","",(O101-O$93)*1000)+BC$93</f>
        <v>3.1999999191612005</v>
      </c>
      <c r="BD101" s="40">
        <f t="shared" ref="BD101" si="2034">IF(P101="","",(P101-P$93)*1000)+BD$93</f>
        <v>-31.799999999989836</v>
      </c>
      <c r="BE101" s="40">
        <f t="shared" ref="BE101" si="2035">IF(Q101="","",(Q101-Q$93)*1000)+BE$93</f>
        <v>-7.6000000117346644</v>
      </c>
      <c r="BF101" s="40">
        <f t="shared" ref="BF101" si="2036">IF(R101="","",(R101-R$93)*1000)+BF$93</f>
        <v>9.0999999083578587</v>
      </c>
      <c r="BG101" s="40">
        <f t="shared" ref="BG101" si="2037">IF(S101="","",(S101-S$93)*1000)+BG$93</f>
        <v>-13.999999999995794</v>
      </c>
      <c r="BH101" s="40">
        <f t="shared" ref="BH101" si="2038">IF(T101="","",(T101-T$93)*1000)+BH$93</f>
        <v>-8.7000000057742</v>
      </c>
      <c r="BI101" s="40">
        <f t="shared" ref="BI101" si="2039">IF(U101="","",(U101-U$93)*1000)+BI$93</f>
        <v>8.6999998893588781</v>
      </c>
      <c r="BJ101" s="40">
        <f t="shared" ref="BJ101" si="2040">IF(V101="","",(V101-V$93)*1000)+BJ$93</f>
        <v>-1.4210854715202004E-11</v>
      </c>
      <c r="BK101" s="40">
        <f t="shared" ref="BK101" si="2041">IF(W101="","",(W101-W$93)*1000)+BK$93</f>
        <v>-11.099999886937439</v>
      </c>
      <c r="BL101" s="40">
        <f t="shared" ref="BL101" si="2042">IF(X101="","",(X101-X$93)*1000)+BL$93</f>
        <v>7.8999998513609171</v>
      </c>
      <c r="BM101" s="40">
        <f t="shared" ref="BM101" si="2043">IF(Y101="","",(Y101-Y$93)*1000)+BM$93</f>
        <v>3.3999999999849706</v>
      </c>
      <c r="BN101" s="37"/>
      <c r="BO101" s="36">
        <v>169.32379100766559</v>
      </c>
      <c r="BP101" s="36">
        <v>-3.7457896463020783</v>
      </c>
      <c r="BQ101" s="36">
        <v>-1.1451579100766622</v>
      </c>
      <c r="BR101" s="36"/>
      <c r="BS101" s="36"/>
      <c r="BT101" s="36"/>
      <c r="BU101" s="38">
        <v>169.1392237736197</v>
      </c>
      <c r="BV101" s="39">
        <v>-3.2137400843935633</v>
      </c>
      <c r="BW101" s="39">
        <v>2.9811877622638008</v>
      </c>
      <c r="BX101" s="38">
        <v>168.91294237097677</v>
      </c>
      <c r="BY101" s="39">
        <v>0.2280441762632098</v>
      </c>
      <c r="BZ101" s="39">
        <v>4.3372505762902307</v>
      </c>
      <c r="CA101" s="38">
        <v>169.15436373556346</v>
      </c>
      <c r="CB101" s="39">
        <v>3.2144294451598054</v>
      </c>
      <c r="CC101" s="39">
        <v>2.9855363626443676</v>
      </c>
      <c r="CD101" s="38">
        <v>169.14575622143033</v>
      </c>
      <c r="CE101" s="39">
        <v>4.2041347148195243</v>
      </c>
      <c r="CF101" s="39">
        <v>0.84952243778568004</v>
      </c>
      <c r="CG101" s="38">
        <v>169.20852461672646</v>
      </c>
      <c r="CH101" s="39">
        <v>3.8762373092309437</v>
      </c>
      <c r="CI101" s="39">
        <v>-1.0689052461672759</v>
      </c>
      <c r="CJ101" s="37"/>
      <c r="CK101" s="40">
        <f t="shared" ref="CK101" si="2044">IF(BO101="","",(BO101-BO$93)*1000)+CK$93</f>
        <v>-4.6365748361267833</v>
      </c>
      <c r="CL101" s="40">
        <f t="shared" ref="CL101" si="2045">IF(BP101="","",(BP101-BP$93)*1000)+CL$93</f>
        <v>13.651781585349632</v>
      </c>
      <c r="CM101" s="40">
        <f t="shared" ref="CM101" si="2046">IF(BQ101="","",(BQ101-BQ$93)*1000)+CM$93</f>
        <v>-0.29463425163123169</v>
      </c>
      <c r="CN101" s="40"/>
      <c r="CO101" s="40"/>
      <c r="CP101" s="40"/>
      <c r="CQ101" s="40">
        <f t="shared" ref="CQ101" si="2047">IF(BU101="","",(BU101-BU$93)*1000)+CQ$93</f>
        <v>-5.814689753208313</v>
      </c>
      <c r="CR101" s="40">
        <f t="shared" ref="CR101" si="2048">IF(BV101="","",(BV101-BV$93)*1000)+CR$93</f>
        <v>12.499388192196204</v>
      </c>
      <c r="CS101" s="40">
        <f t="shared" ref="CS101" si="2049">IF(BW101="","",(BW101-BW$93)*1000)+CS$93</f>
        <v>-4.2448531024659175</v>
      </c>
      <c r="CT101" s="40">
        <f t="shared" ref="CT101" si="2050">IF(BX101="","",(BX101-BX$93)*1000)+CT$93</f>
        <v>-5.6687789680438527</v>
      </c>
      <c r="CU101" s="40">
        <f t="shared" ref="CU101" si="2051">IF(BY101="","",(BY101-BY$93)*1000)+CU$93</f>
        <v>-6.162751883914769</v>
      </c>
      <c r="CV101" s="40">
        <f t="shared" ref="CV101" si="2052">IF(BZ101="","",(BZ101-BZ$93)*1000)+CV$93</f>
        <v>-31.787312210320273</v>
      </c>
      <c r="CW101" s="40">
        <f t="shared" ref="CW101" si="2053">IF(CA101="","",(CA101-CA$93)*1000)+CW$93</f>
        <v>-3.0461587974457416</v>
      </c>
      <c r="CX101" s="40">
        <f t="shared" ref="CX101" si="2054">IF(CB101="","",(CB101-CB$93)*1000)+CX$93</f>
        <v>-11.456861885119185</v>
      </c>
      <c r="CY101" s="40">
        <f t="shared" ref="CY101" si="2055">IF(CC101="","",(CC101-CC$93)*1000)+CY$93</f>
        <v>-13.931538412022437</v>
      </c>
      <c r="CZ101" s="40">
        <f t="shared" ref="CZ101" si="2056">IF(CD101="","",(CD101-CD$93)*1000)+CZ$93</f>
        <v>-4.2305357570739943</v>
      </c>
      <c r="DA101" s="40">
        <f t="shared" ref="DA101" si="2057">IF(CE101="","",(CE101-CE$93)*1000)+DA$93</f>
        <v>-11.555947849541504</v>
      </c>
      <c r="DB101" s="40">
        <f t="shared" ref="DB101" si="2058">IF(CF101="","",(CF101-CF$93)*1000)+DB$93</f>
        <v>7.0305357558697601E-2</v>
      </c>
      <c r="DC101" s="40">
        <f t="shared" ref="DC101" si="2059">IF(CG101="","",(CG101-CG$93)*1000)+DC$93</f>
        <v>-6.732014136645148</v>
      </c>
      <c r="DD101" s="40">
        <f t="shared" ref="DD101" si="2060">IF(CH101="","",(CH101-CH$93)*1000)+DD$93</f>
        <v>-11.844387851511318</v>
      </c>
      <c r="DE101" s="40">
        <f t="shared" ref="DE101" si="2061">IF(CI101="","",(CI101-CI$93)*1000)+DE$93</f>
        <v>2.9623201413431222</v>
      </c>
    </row>
    <row r="102" spans="1:109" ht="37.5" customHeight="1" x14ac:dyDescent="0.2">
      <c r="A102" s="34">
        <v>44287</v>
      </c>
      <c r="B102" s="27">
        <f t="shared" ref="B102:B103" si="2062">IF(A102="","",A102-excav)</f>
        <v>688</v>
      </c>
      <c r="C102" s="35">
        <v>222.9</v>
      </c>
      <c r="D102" s="35">
        <v>53.700000000000017</v>
      </c>
      <c r="E102" s="36">
        <v>823219.54579999996</v>
      </c>
      <c r="F102" s="36">
        <v>1091508.5597000001</v>
      </c>
      <c r="G102" s="36">
        <v>-124.9945</v>
      </c>
      <c r="H102" s="36"/>
      <c r="I102" s="36"/>
      <c r="J102" s="36"/>
      <c r="K102" s="36">
        <v>823219.60419999994</v>
      </c>
      <c r="L102" s="36">
        <v>1091508.0001000001</v>
      </c>
      <c r="M102" s="36">
        <v>-120.8698</v>
      </c>
      <c r="N102" s="36">
        <v>823220.85560000001</v>
      </c>
      <c r="O102" s="36">
        <v>1091504.7842000001</v>
      </c>
      <c r="P102" s="36">
        <v>-119.5166</v>
      </c>
      <c r="Q102" s="36">
        <v>823222.33810000005</v>
      </c>
      <c r="R102" s="36">
        <v>1091502.1816</v>
      </c>
      <c r="S102" s="36">
        <v>-120.8657</v>
      </c>
      <c r="T102" s="36">
        <v>823222.74849999999</v>
      </c>
      <c r="U102" s="36">
        <v>1091501.2819000001</v>
      </c>
      <c r="V102" s="36">
        <v>-123.0018</v>
      </c>
      <c r="W102" s="36">
        <v>0</v>
      </c>
      <c r="X102" s="36">
        <v>0</v>
      </c>
      <c r="Y102" s="36">
        <v>0</v>
      </c>
      <c r="Z102" s="36">
        <f t="shared" si="1490"/>
        <v>6.780661081342819</v>
      </c>
      <c r="AA102" s="36"/>
      <c r="AB102" s="36">
        <f t="shared" si="1683"/>
        <v>3.7066379658468591</v>
      </c>
      <c r="AC102" s="36">
        <f t="shared" si="1492"/>
        <v>3.2850272176415669</v>
      </c>
      <c r="AD102" s="36">
        <f t="shared" si="1493"/>
        <v>5.2911052475140572</v>
      </c>
      <c r="AE102" s="36"/>
      <c r="AF102" s="36">
        <f t="shared" si="1684"/>
        <v>6.4287765765501339</v>
      </c>
      <c r="AG102" s="36"/>
      <c r="AH102" s="36"/>
      <c r="AI102" s="40">
        <f t="shared" ref="AI102:AI103" si="2063">IF(Z102="","",(Z102-Z$10)*1000)</f>
        <v>-36.290214482871619</v>
      </c>
      <c r="AJ102" s="40"/>
      <c r="AK102" s="40">
        <f t="shared" ref="AK102:AK103" si="2064">IF(AB102="","",(AB102-AB$10)*1000)</f>
        <v>-25.887306588474157</v>
      </c>
      <c r="AL102" s="40">
        <f t="shared" ref="AL102:AL103" si="2065">IF(AC102="","",(AC102-AC$10)*1000)</f>
        <v>-12.661539593199933</v>
      </c>
      <c r="AM102" s="40">
        <f t="shared" ref="AM102:AM103" si="2066">IF(AD102="","",(AD102-AD$10)*1000)</f>
        <v>-26.160819744370123</v>
      </c>
      <c r="AN102" s="40" t="str">
        <f t="shared" ref="AN102:AN103" si="2067">IF(AE102="","",(AE102-AE$10)*1000)</f>
        <v/>
      </c>
      <c r="AO102" s="40">
        <f t="shared" ref="AO102:AO103" si="2068">IF(AF102="","",(AF102-AF$10)*1000)</f>
        <v>-22.827054168913286</v>
      </c>
      <c r="AP102" s="40" t="str">
        <f t="shared" ref="AP102:AP103" si="2069">IF(AG102="","",(AG102-AG$10)*1000)</f>
        <v/>
      </c>
      <c r="AQ102" s="40" t="str">
        <f t="shared" ref="AQ102:AQ103" si="2070">IF(AH102="","",(AH102-AH$10)*1000)</f>
        <v/>
      </c>
      <c r="AR102" s="37"/>
      <c r="AS102" s="40">
        <f t="shared" ref="AS102:AS103" si="2071">IF(E102="","",(E102-E$93)*1000)+AS$93</f>
        <v>-0.80000003799796104</v>
      </c>
      <c r="AT102" s="40">
        <f t="shared" ref="AT102:AT103" si="2072">IF(F102="","",(F102-F$93)*1000)+AT$93</f>
        <v>-15.399999916553497</v>
      </c>
      <c r="AU102" s="40">
        <f t="shared" ref="AU102:AU103" si="2073">IF(G102="","",(G102-G$93)*1000)+AU$93</f>
        <v>0</v>
      </c>
      <c r="AV102" s="40"/>
      <c r="AW102" s="40"/>
      <c r="AX102" s="40"/>
      <c r="AY102" s="40">
        <f t="shared" ref="AY102" si="2074">IF(K102="","",(K102-K$93)*1000)+AY$93</f>
        <v>-1.6000000759959221</v>
      </c>
      <c r="AZ102" s="40">
        <f t="shared" ref="AZ102" si="2075">IF(L102="","",(L102-L$93)*1000)+AZ$93</f>
        <v>-14.299999689683318</v>
      </c>
      <c r="BA102" s="40">
        <f t="shared" ref="BA102" si="2076">IF(M102="","",(M102-M$93)*1000)+BA$93</f>
        <v>-3.7999999999840384</v>
      </c>
      <c r="BB102" s="40">
        <f t="shared" ref="BB102:BB103" si="2077">IF(N102="","",(N102-N$93)*1000)+BB$93</f>
        <v>-7.5000000651925802</v>
      </c>
      <c r="BC102" s="40">
        <f t="shared" ref="BC102:BC103" si="2078">IF(O102="","",(O102-O$93)*1000)+BC$93</f>
        <v>1.7000001389533281</v>
      </c>
      <c r="BD102" s="40">
        <f t="shared" ref="BD102:BD103" si="2079">IF(P102="","",(P102-P$93)*1000)+BD$93</f>
        <v>-31.899999999993156</v>
      </c>
      <c r="BE102" s="40">
        <f t="shared" ref="BE102:BE103" si="2080">IF(Q102="","",(Q102-Q$93)*1000)+BE$93</f>
        <v>-5.8999999891966581</v>
      </c>
      <c r="BF102" s="40">
        <f t="shared" ref="BF102:BF103" si="2081">IF(R102="","",(R102-R$93)*1000)+BF$93</f>
        <v>9.4999999273568392</v>
      </c>
      <c r="BG102" s="40">
        <f t="shared" ref="BG102:BG103" si="2082">IF(S102="","",(S102-S$93)*1000)+BG$93</f>
        <v>-13.900000000006685</v>
      </c>
      <c r="BH102" s="40">
        <f t="shared" ref="BH102:BH103" si="2083">IF(T102="","",(T102-T$93)*1000)+BH$93</f>
        <v>-7.1000000461935997</v>
      </c>
      <c r="BI102" s="40">
        <f t="shared" ref="BI102:BI103" si="2084">IF(U102="","",(U102-U$93)*1000)+BI$93</f>
        <v>10.000000009313226</v>
      </c>
      <c r="BJ102" s="40">
        <f t="shared" ref="BJ102:BJ103" si="2085">IF(V102="","",(V102-V$93)*1000)+BJ$93</f>
        <v>9.9999999989108801E-2</v>
      </c>
      <c r="BK102" s="40"/>
      <c r="BL102" s="40"/>
      <c r="BM102" s="40"/>
      <c r="BN102" s="37"/>
      <c r="BO102" s="36">
        <v>169.32115098954125</v>
      </c>
      <c r="BP102" s="36">
        <v>-3.7458070898766072</v>
      </c>
      <c r="BQ102" s="36">
        <v>-1.1448315098954112</v>
      </c>
      <c r="BR102" s="36" t="s">
        <v>81</v>
      </c>
      <c r="BS102" s="36" t="s">
        <v>81</v>
      </c>
      <c r="BT102" s="36" t="s">
        <v>81</v>
      </c>
      <c r="BU102" s="38">
        <v>169.13756238033091</v>
      </c>
      <c r="BV102" s="39">
        <v>-3.213963181754004</v>
      </c>
      <c r="BW102" s="39">
        <v>2.9817043761966886</v>
      </c>
      <c r="BX102" s="38">
        <v>168.91248965147298</v>
      </c>
      <c r="BY102" s="39">
        <v>0.22948814454376149</v>
      </c>
      <c r="BZ102" s="39">
        <v>4.3371551034852729</v>
      </c>
      <c r="CA102" s="38">
        <v>169.15607349287953</v>
      </c>
      <c r="CB102" s="39">
        <v>3.2147854367496178</v>
      </c>
      <c r="CC102" s="39">
        <v>2.9856192650711932</v>
      </c>
      <c r="CD102" s="38">
        <v>169.14775573633617</v>
      </c>
      <c r="CE102" s="39">
        <v>4.2036327782459741</v>
      </c>
      <c r="CF102" s="39">
        <v>0.84960244263663753</v>
      </c>
      <c r="CG102" s="38" t="s">
        <v>81</v>
      </c>
      <c r="CH102" s="39" t="s">
        <v>81</v>
      </c>
      <c r="CI102" s="39" t="s">
        <v>81</v>
      </c>
      <c r="CJ102" s="37"/>
      <c r="CK102" s="40">
        <f t="shared" ref="CK102:CK103" si="2086">IF(BO102="","",(BO102-BO$93)*1000)+CK$93</f>
        <v>-7.2765929604656776</v>
      </c>
      <c r="CL102" s="40">
        <f t="shared" ref="CL102:CL103" si="2087">IF(BP102="","",(BP102-BP$93)*1000)+CL$93</f>
        <v>13.634338010820812</v>
      </c>
      <c r="CM102" s="40">
        <f t="shared" ref="CM102:CM103" si="2088">IF(BQ102="","",(BQ102-BQ$93)*1000)+CM$93</f>
        <v>3.1765929619842481E-2</v>
      </c>
      <c r="CN102" s="40"/>
      <c r="CO102" s="40"/>
      <c r="CP102" s="40"/>
      <c r="CQ102" s="40">
        <f t="shared" ref="CQ102" si="2089">IF(BU102="","",(BU102-BU$93)*1000)+CQ$93</f>
        <v>-7.4760830420075308</v>
      </c>
      <c r="CR102" s="40">
        <f t="shared" ref="CR102" si="2090">IF(BV102="","",(BV102-BV$93)*1000)+CR$93</f>
        <v>12.276290831755521</v>
      </c>
      <c r="CS102" s="40">
        <f t="shared" ref="CS102" si="2091">IF(BW102="","",(BW102-BW$93)*1000)+CS$93</f>
        <v>-3.7282391695780959</v>
      </c>
      <c r="CT102" s="40">
        <f t="shared" ref="CT102:CT103" si="2092">IF(BX102="","",(BX102-BX$93)*1000)+CT$93</f>
        <v>-6.1214984718276355</v>
      </c>
      <c r="CU102" s="40">
        <f t="shared" ref="CU102:CU103" si="2093">IF(BY102="","",(BY102-BY$93)*1000)+CU$93</f>
        <v>-4.7187836033630859</v>
      </c>
      <c r="CV102" s="40">
        <f t="shared" ref="CV102:CV103" si="2094">IF(BZ102="","",(BZ102-BZ$93)*1000)+CV$93</f>
        <v>-31.882785015278081</v>
      </c>
      <c r="CW102" s="40">
        <f t="shared" ref="CW102:CW103" si="2095">IF(CA102="","",(CA102-CA$93)*1000)+CW$93</f>
        <v>-1.3364014813816993</v>
      </c>
      <c r="CX102" s="40">
        <f t="shared" ref="CX102:CX103" si="2096">IF(CB102="","",(CB102-CB$93)*1000)+CX$93</f>
        <v>-11.100870295306819</v>
      </c>
      <c r="CY102" s="40">
        <f t="shared" ref="CY102:CY103" si="2097">IF(CC102="","",(CC102-CC$93)*1000)+CY$93</f>
        <v>-13.848635985196811</v>
      </c>
      <c r="CZ102" s="40">
        <f t="shared" ref="CZ102:CZ103" si="2098">IF(CD102="","",(CD102-CD$93)*1000)+CZ$93</f>
        <v>-2.2310208512408281</v>
      </c>
      <c r="DA102" s="40">
        <f t="shared" ref="DA102:DA103" si="2099">IF(CE102="","",(CE102-CE$93)*1000)+DA$93</f>
        <v>-12.057884423091636</v>
      </c>
      <c r="DB102" s="40">
        <f t="shared" ref="DB102:DB103" si="2100">IF(CF102="","",(CF102-CF$93)*1000)+DB$93</f>
        <v>0.15031020851619115</v>
      </c>
      <c r="DC102" s="40"/>
      <c r="DD102" s="40"/>
      <c r="DE102" s="40"/>
    </row>
    <row r="103" spans="1:109" ht="37.5" customHeight="1" x14ac:dyDescent="0.2">
      <c r="A103" s="34">
        <v>44308</v>
      </c>
      <c r="B103" s="27">
        <f t="shared" si="2062"/>
        <v>709</v>
      </c>
      <c r="C103" s="35">
        <v>222.9</v>
      </c>
      <c r="D103" s="35">
        <v>53.700000000000017</v>
      </c>
      <c r="E103" s="36">
        <v>823219.54599999997</v>
      </c>
      <c r="F103" s="36">
        <v>1091508.5626000001</v>
      </c>
      <c r="G103" s="36">
        <v>-124.99469999999999</v>
      </c>
      <c r="H103" s="36"/>
      <c r="I103" s="36"/>
      <c r="J103" s="36"/>
      <c r="K103" s="36"/>
      <c r="L103" s="36"/>
      <c r="M103" s="36"/>
      <c r="N103" s="36">
        <v>823220.85549999995</v>
      </c>
      <c r="O103" s="36">
        <v>1091504.7867999999</v>
      </c>
      <c r="P103" s="36">
        <v>-119.5166</v>
      </c>
      <c r="Q103" s="36">
        <v>823222.3371</v>
      </c>
      <c r="R103" s="36">
        <v>1091502.1824</v>
      </c>
      <c r="S103" s="36">
        <v>-120.8655</v>
      </c>
      <c r="T103" s="36">
        <v>823222.74719999998</v>
      </c>
      <c r="U103" s="36">
        <v>1091501.2819999999</v>
      </c>
      <c r="V103" s="36">
        <v>-123.0014</v>
      </c>
      <c r="W103" s="36">
        <v>823222.66579999996</v>
      </c>
      <c r="X103" s="36">
        <v>1091501.6073</v>
      </c>
      <c r="Y103" s="36">
        <v>-124.91930000000001</v>
      </c>
      <c r="Z103" s="36">
        <f t="shared" si="1490"/>
        <v>6.7809317576033434</v>
      </c>
      <c r="AA103" s="36"/>
      <c r="AB103" s="36"/>
      <c r="AC103" s="36">
        <f t="shared" si="1492"/>
        <v>3.2859654790210668</v>
      </c>
      <c r="AD103" s="36">
        <f t="shared" si="1493"/>
        <v>5.2920679294680477</v>
      </c>
      <c r="AE103" s="36">
        <f t="shared" si="1494"/>
        <v>6.5249960635319582</v>
      </c>
      <c r="AF103" s="36"/>
      <c r="AG103" s="36"/>
      <c r="AH103" s="36">
        <f t="shared" si="1496"/>
        <v>7.623321801572895</v>
      </c>
      <c r="AI103" s="40">
        <f t="shared" si="2063"/>
        <v>-36.019538222347158</v>
      </c>
      <c r="AJ103" s="40"/>
      <c r="AK103" s="40" t="str">
        <f t="shared" si="2064"/>
        <v/>
      </c>
      <c r="AL103" s="40">
        <f t="shared" si="2065"/>
        <v>-11.723278213700006</v>
      </c>
      <c r="AM103" s="40">
        <f t="shared" si="2066"/>
        <v>-25.198137790379604</v>
      </c>
      <c r="AN103" s="40">
        <f t="shared" si="2067"/>
        <v>-33.009186482630071</v>
      </c>
      <c r="AO103" s="40" t="str">
        <f t="shared" si="2068"/>
        <v/>
      </c>
      <c r="AP103" s="40" t="str">
        <f t="shared" si="2069"/>
        <v/>
      </c>
      <c r="AQ103" s="40">
        <f t="shared" si="2070"/>
        <v>-24.696363141327282</v>
      </c>
      <c r="AR103" s="37"/>
      <c r="AS103" s="40">
        <f t="shared" si="2071"/>
        <v>-0.60000002849847078</v>
      </c>
      <c r="AT103" s="40">
        <f t="shared" si="2072"/>
        <v>-12.499999953433871</v>
      </c>
      <c r="AU103" s="40">
        <f t="shared" si="2073"/>
        <v>-0.19999999999242846</v>
      </c>
      <c r="AV103" s="40"/>
      <c r="AW103" s="40"/>
      <c r="AX103" s="40"/>
      <c r="AY103" s="40"/>
      <c r="AZ103" s="40"/>
      <c r="BA103" s="40"/>
      <c r="BB103" s="40">
        <f t="shared" si="2077"/>
        <v>-7.6000001281499863</v>
      </c>
      <c r="BC103" s="40">
        <f t="shared" si="2078"/>
        <v>4.299999913200736</v>
      </c>
      <c r="BD103" s="40">
        <f t="shared" si="2079"/>
        <v>-31.899999999993156</v>
      </c>
      <c r="BE103" s="40">
        <f t="shared" si="2080"/>
        <v>-6.9000000366941094</v>
      </c>
      <c r="BF103" s="40">
        <f t="shared" si="2081"/>
        <v>10.2999999653548</v>
      </c>
      <c r="BG103" s="40">
        <f t="shared" si="2082"/>
        <v>-13.700000000000045</v>
      </c>
      <c r="BH103" s="40">
        <f t="shared" si="2083"/>
        <v>-8.4000000497326255</v>
      </c>
      <c r="BI103" s="40">
        <f t="shared" si="2084"/>
        <v>10.099999839439988</v>
      </c>
      <c r="BJ103" s="40">
        <f t="shared" si="2085"/>
        <v>0.49999999998817657</v>
      </c>
      <c r="BK103" s="40">
        <f t="shared" ref="BK103" si="2101">IF(W103="","",(W103-W$93)*1000)+BK$93</f>
        <v>-10.49999997485429</v>
      </c>
      <c r="BL103" s="40">
        <f t="shared" ref="BL103" si="2102">IF(X103="","",(X103-X$93)*1000)+BL$93</f>
        <v>10.899999877437949</v>
      </c>
      <c r="BM103" s="40">
        <f t="shared" ref="BM103" si="2103">IF(Y103="","",(Y103-Y$93)*1000)+BM$93</f>
        <v>3.2999999999816509</v>
      </c>
      <c r="BN103" s="37"/>
      <c r="BO103" s="36">
        <v>169.32255793877337</v>
      </c>
      <c r="BP103" s="36">
        <v>-3.7483508063797055</v>
      </c>
      <c r="BQ103" s="36">
        <v>-1.1450455793877268</v>
      </c>
      <c r="BR103" s="36"/>
      <c r="BS103" s="36"/>
      <c r="BT103" s="36"/>
      <c r="BU103" s="38"/>
      <c r="BV103" s="39"/>
      <c r="BW103" s="39"/>
      <c r="BX103" s="38">
        <v>168.91349791734186</v>
      </c>
      <c r="BY103" s="39">
        <v>0.22708952019293693</v>
      </c>
      <c r="BZ103" s="39">
        <v>4.3371450208265827</v>
      </c>
      <c r="CA103" s="38">
        <v>169.15550532241144</v>
      </c>
      <c r="CB103" s="39">
        <v>3.2136377510456597</v>
      </c>
      <c r="CC103" s="39">
        <v>2.9858249467758782</v>
      </c>
      <c r="CD103" s="38">
        <v>169.14661982179828</v>
      </c>
      <c r="CE103" s="39">
        <v>4.202992701580385</v>
      </c>
      <c r="CF103" s="39">
        <v>0.85001380178201202</v>
      </c>
      <c r="CG103" s="38">
        <v>169.21033634791758</v>
      </c>
      <c r="CH103" s="39">
        <v>3.8737720242287357</v>
      </c>
      <c r="CI103" s="39">
        <v>-1.0685233634791871</v>
      </c>
      <c r="CJ103" s="37"/>
      <c r="CK103" s="40">
        <f t="shared" si="2086"/>
        <v>-5.8696437283458636</v>
      </c>
      <c r="CL103" s="40">
        <f t="shared" si="2087"/>
        <v>11.090621507722442</v>
      </c>
      <c r="CM103" s="40">
        <f t="shared" si="2088"/>
        <v>-0.18230356269577364</v>
      </c>
      <c r="CN103" s="40"/>
      <c r="CO103" s="40"/>
      <c r="CP103" s="40"/>
      <c r="CQ103" s="40"/>
      <c r="CR103" s="40"/>
      <c r="CS103" s="40"/>
      <c r="CT103" s="40">
        <f t="shared" si="2092"/>
        <v>-5.1132326029517117</v>
      </c>
      <c r="CU103" s="40">
        <f t="shared" si="2093"/>
        <v>-7.1174079541876374</v>
      </c>
      <c r="CV103" s="40">
        <f t="shared" si="2094"/>
        <v>-31.892867673968261</v>
      </c>
      <c r="CW103" s="40">
        <f t="shared" si="2095"/>
        <v>-1.9045719494670266</v>
      </c>
      <c r="CX103" s="40">
        <f t="shared" si="2096"/>
        <v>-12.248555999264887</v>
      </c>
      <c r="CY103" s="40">
        <f t="shared" si="2097"/>
        <v>-13.642954280511876</v>
      </c>
      <c r="CZ103" s="40">
        <f t="shared" si="2098"/>
        <v>-3.3669353891241371</v>
      </c>
      <c r="DA103" s="40">
        <f t="shared" si="2099"/>
        <v>-12.69796108868082</v>
      </c>
      <c r="DB103" s="40">
        <f t="shared" si="2100"/>
        <v>0.5616693538906814</v>
      </c>
      <c r="DC103" s="40">
        <f t="shared" ref="DC103" si="2104">IF(CG103="","",(CG103-CG$93)*1000)+DC$93</f>
        <v>-4.920282945533927</v>
      </c>
      <c r="DD103" s="40">
        <f t="shared" ref="DD103" si="2105">IF(CH103="","",(CH103-CH$93)*1000)+DD$93</f>
        <v>-14.309672853719313</v>
      </c>
      <c r="DE103" s="40">
        <f t="shared" ref="DE103" si="2106">IF(CI103="","",(CI103-CI$93)*1000)+DE$93</f>
        <v>3.3442028294319304</v>
      </c>
    </row>
    <row r="104" spans="1:109" ht="37.5" customHeight="1" x14ac:dyDescent="0.2">
      <c r="A104" s="34">
        <v>44322</v>
      </c>
      <c r="B104" s="27">
        <f t="shared" ref="B104" si="2107">IF(A104="","",A104-excav)</f>
        <v>723</v>
      </c>
      <c r="C104" s="35">
        <v>222.9</v>
      </c>
      <c r="D104" s="35">
        <v>53.700000000000017</v>
      </c>
      <c r="E104" s="36">
        <v>823219.54619999998</v>
      </c>
      <c r="F104" s="36">
        <v>1091508.5621</v>
      </c>
      <c r="G104" s="36">
        <v>-124.99460000000001</v>
      </c>
      <c r="H104" s="36"/>
      <c r="I104" s="36"/>
      <c r="J104" s="36"/>
      <c r="K104" s="36">
        <v>823219.60519999999</v>
      </c>
      <c r="L104" s="36">
        <v>1091508.0016999999</v>
      </c>
      <c r="M104" s="36">
        <v>-120.8699</v>
      </c>
      <c r="N104" s="36">
        <v>823220.85560000001</v>
      </c>
      <c r="O104" s="36">
        <v>1091504.7860999999</v>
      </c>
      <c r="P104" s="36">
        <v>-119.51730000000001</v>
      </c>
      <c r="Q104" s="36">
        <v>823222.33770000003</v>
      </c>
      <c r="R104" s="36">
        <v>1091502.1821000001</v>
      </c>
      <c r="S104" s="36">
        <v>-120.866</v>
      </c>
      <c r="T104" s="36">
        <v>823222.74809999997</v>
      </c>
      <c r="U104" s="36">
        <v>1091501.2814</v>
      </c>
      <c r="V104" s="36">
        <v>-123.0018</v>
      </c>
      <c r="W104" s="36">
        <v>823222.66619999998</v>
      </c>
      <c r="X104" s="36">
        <v>1091501.6066000001</v>
      </c>
      <c r="Y104" s="36">
        <v>-124.9196</v>
      </c>
      <c r="Z104" s="36">
        <f t="shared" si="1490"/>
        <v>6.7803775448426347</v>
      </c>
      <c r="AA104" s="36"/>
      <c r="AB104" s="36">
        <f t="shared" si="1683"/>
        <v>3.7058211343804959</v>
      </c>
      <c r="AC104" s="36">
        <f t="shared" si="1492"/>
        <v>3.2857918526767986</v>
      </c>
      <c r="AD104" s="36">
        <f t="shared" si="1493"/>
        <v>5.2920901909704936</v>
      </c>
      <c r="AE104" s="36">
        <f t="shared" si="1494"/>
        <v>6.5247481099999742</v>
      </c>
      <c r="AF104" s="36">
        <f t="shared" si="1684"/>
        <v>6.4291769005104165</v>
      </c>
      <c r="AG104" s="36"/>
      <c r="AH104" s="36">
        <f t="shared" si="1496"/>
        <v>7.6235821795864824</v>
      </c>
      <c r="AI104" s="40">
        <f t="shared" ref="AI104" si="2108">IF(Z104="","",(Z104-Z$10)*1000)</f>
        <v>-36.57375098305593</v>
      </c>
      <c r="AJ104" s="40"/>
      <c r="AK104" s="40">
        <f t="shared" ref="AK104" si="2109">IF(AB104="","",(AB104-AB$10)*1000)</f>
        <v>-26.704138054837401</v>
      </c>
      <c r="AL104" s="40">
        <f t="shared" ref="AL104" si="2110">IF(AC104="","",(AC104-AC$10)*1000)</f>
        <v>-11.896904557968213</v>
      </c>
      <c r="AM104" s="40">
        <f t="shared" ref="AM104" si="2111">IF(AD104="","",(AD104-AD$10)*1000)</f>
        <v>-25.175876287933718</v>
      </c>
      <c r="AN104" s="40">
        <f t="shared" ref="AN104" si="2112">IF(AE104="","",(AE104-AE$10)*1000)</f>
        <v>-33.257140014613995</v>
      </c>
      <c r="AO104" s="40">
        <f t="shared" ref="AO104" si="2113">IF(AF104="","",(AF104-AF$10)*1000)</f>
        <v>-22.42673020863073</v>
      </c>
      <c r="AP104" s="40" t="str">
        <f t="shared" ref="AP104" si="2114">IF(AG104="","",(AG104-AG$10)*1000)</f>
        <v/>
      </c>
      <c r="AQ104" s="40">
        <f t="shared" ref="AQ104" si="2115">IF(AH104="","",(AH104-AH$10)*1000)</f>
        <v>-24.435985127739812</v>
      </c>
      <c r="AR104" s="37"/>
      <c r="AS104" s="40">
        <f t="shared" ref="AS104" si="2116">IF(E104="","",(E104-E$93)*1000)+AS$93</f>
        <v>-0.40000001899898052</v>
      </c>
      <c r="AT104" s="40">
        <f t="shared" ref="AT104" si="2117">IF(F104="","",(F104-F$93)*1000)+AT$93</f>
        <v>-13.000000035390258</v>
      </c>
      <c r="AU104" s="40">
        <f t="shared" ref="AU104" si="2118">IF(G104="","",(G104-G$93)*1000)+AU$93</f>
        <v>-0.10000000000331966</v>
      </c>
      <c r="AV104" s="40"/>
      <c r="AW104" s="40"/>
      <c r="AX104" s="40"/>
      <c r="AY104" s="40">
        <f t="shared" ref="AY104:AY106" si="2119">IF(K104="","",(K104-K$93)*1000)+AY$93</f>
        <v>-0.60000002849847078</v>
      </c>
      <c r="AZ104" s="40">
        <f t="shared" ref="AZ104:AZ106" si="2120">IF(L104="","",(L104-L$93)*1000)+AZ$93</f>
        <v>-12.69999984651804</v>
      </c>
      <c r="BA104" s="40">
        <f t="shared" ref="BA104:BA106" si="2121">IF(M104="","",(M104-M$93)*1000)+BA$93</f>
        <v>-3.899999999987358</v>
      </c>
      <c r="BB104" s="40">
        <f t="shared" ref="BB104" si="2122">IF(N104="","",(N104-N$93)*1000)+BB$93</f>
        <v>-7.5000000651925802</v>
      </c>
      <c r="BC104" s="40">
        <f t="shared" ref="BC104" si="2123">IF(O104="","",(O104-O$93)*1000)+BC$93</f>
        <v>3.599999938160181</v>
      </c>
      <c r="BD104" s="40">
        <f t="shared" ref="BD104" si="2124">IF(P104="","",(P104-P$93)*1000)+BD$93</f>
        <v>-32.600000000002183</v>
      </c>
      <c r="BE104" s="40">
        <f t="shared" ref="BE104" si="2125">IF(Q104="","",(Q104-Q$93)*1000)+BE$93</f>
        <v>-6.3000000081956387</v>
      </c>
      <c r="BF104" s="40">
        <f t="shared" ref="BF104" si="2126">IF(R104="","",(R104-R$93)*1000)+BF$93</f>
        <v>10.000000009313226</v>
      </c>
      <c r="BG104" s="40">
        <f t="shared" ref="BG104" si="2127">IF(S104="","",(S104-S$93)*1000)+BG$93</f>
        <v>-14.200000000002433</v>
      </c>
      <c r="BH104" s="40">
        <f t="shared" ref="BH104" si="2128">IF(T104="","",(T104-T$93)*1000)+BH$93</f>
        <v>-7.5000000651925802</v>
      </c>
      <c r="BI104" s="40">
        <f t="shared" ref="BI104" si="2129">IF(U104="","",(U104-U$93)*1000)+BI$93</f>
        <v>9.4999999273568392</v>
      </c>
      <c r="BJ104" s="40">
        <f t="shared" ref="BJ104" si="2130">IF(V104="","",(V104-V$93)*1000)+BJ$93</f>
        <v>9.9999999989108801E-2</v>
      </c>
      <c r="BK104" s="40">
        <f t="shared" ref="BK104" si="2131">IF(W104="","",(W104-W$93)*1000)+BK$93</f>
        <v>-10.09999995585531</v>
      </c>
      <c r="BL104" s="40">
        <f t="shared" ref="BL104" si="2132">IF(X104="","",(X104-X$93)*1000)+BL$93</f>
        <v>10.199999902397394</v>
      </c>
      <c r="BM104" s="40">
        <f t="shared" ref="BM104" si="2133">IF(Y104="","",(Y104-Y$93)*1000)+BM$93</f>
        <v>2.9999999999859028</v>
      </c>
      <c r="BN104" s="37"/>
      <c r="BO104" s="36">
        <v>169.32252787115212</v>
      </c>
      <c r="BP104" s="36">
        <v>-3.7478131298748227</v>
      </c>
      <c r="BQ104" s="36">
        <v>-1.144945278711532</v>
      </c>
      <c r="BR104" s="36"/>
      <c r="BS104" s="36"/>
      <c r="BT104" s="36"/>
      <c r="BU104" s="36">
        <v>169.13914491557296</v>
      </c>
      <c r="BV104" s="36">
        <v>-3.2149905968603472</v>
      </c>
      <c r="BW104" s="36">
        <v>2.9815885508442648</v>
      </c>
      <c r="BX104" s="38">
        <v>168.9132926902073</v>
      </c>
      <c r="BY104" s="39">
        <v>0.22776618983233218</v>
      </c>
      <c r="BZ104" s="39">
        <v>4.336447073097915</v>
      </c>
      <c r="CA104" s="38">
        <v>169.15592230208233</v>
      </c>
      <c r="CB104" s="39">
        <v>3.2141632298387077</v>
      </c>
      <c r="CC104" s="39">
        <v>2.9853207769791794</v>
      </c>
      <c r="CD104" s="38">
        <v>169.14718189345965</v>
      </c>
      <c r="CE104" s="39">
        <v>4.2039168635327524</v>
      </c>
      <c r="CF104" s="39">
        <v>0.84960818106539193</v>
      </c>
      <c r="CG104" s="38">
        <v>169.21040300835796</v>
      </c>
      <c r="CH104" s="39">
        <v>3.8745754894525999</v>
      </c>
      <c r="CI104" s="39">
        <v>-1.0688240300835901</v>
      </c>
      <c r="CJ104" s="37"/>
      <c r="CK104" s="40">
        <f t="shared" ref="CK104" si="2134">IF(BO104="","",(BO104-BO$93)*1000)+CK$93</f>
        <v>-5.8997113495991016</v>
      </c>
      <c r="CL104" s="40">
        <f t="shared" ref="CL104" si="2135">IF(BP104="","",(BP104-BP$93)*1000)+CL$93</f>
        <v>11.628298012605232</v>
      </c>
      <c r="CM104" s="40">
        <f t="shared" ref="CM104" si="2136">IF(BQ104="","",(BQ104-BQ$93)*1000)+CM$93</f>
        <v>-8.2002886500953664E-2</v>
      </c>
      <c r="CN104" s="40"/>
      <c r="CO104" s="40"/>
      <c r="CP104" s="40"/>
      <c r="CQ104" s="40">
        <f t="shared" ref="CQ104" si="2137">IF(BU104="","",(BU104-BU$93)*1000)+CQ$93</f>
        <v>-5.8935477999568775</v>
      </c>
      <c r="CR104" s="40">
        <f t="shared" ref="CR104" si="2138">IF(BV104="","",(BV104-BV$93)*1000)+CR$93</f>
        <v>11.248875725412333</v>
      </c>
      <c r="CS104" s="40">
        <f t="shared" ref="CS104" si="2139">IF(BW104="","",(BW104-BW$93)*1000)+CS$93</f>
        <v>-3.8440645220019221</v>
      </c>
      <c r="CT104" s="40">
        <f t="shared" ref="CT104" si="2140">IF(BX104="","",(BX104-BX$93)*1000)+CT$93</f>
        <v>-5.318459737509329</v>
      </c>
      <c r="CU104" s="40">
        <f t="shared" ref="CU104" si="2141">IF(BY104="","",(BY104-BY$93)*1000)+CU$93</f>
        <v>-6.4407383147923873</v>
      </c>
      <c r="CV104" s="40">
        <f t="shared" ref="CV104" si="2142">IF(BZ104="","",(BZ104-BZ$93)*1000)+CV$93</f>
        <v>-32.590815402635975</v>
      </c>
      <c r="CW104" s="40">
        <f t="shared" ref="CW104" si="2143">IF(CA104="","",(CA104-CA$93)*1000)+CW$93</f>
        <v>-1.4875922785790863</v>
      </c>
      <c r="CX104" s="40">
        <f t="shared" ref="CX104" si="2144">IF(CB104="","",(CB104-CB$93)*1000)+CX$93</f>
        <v>-11.723077206216903</v>
      </c>
      <c r="CY104" s="40">
        <f t="shared" ref="CY104" si="2145">IF(CC104="","",(CC104-CC$93)*1000)+CY$93</f>
        <v>-14.147124077210638</v>
      </c>
      <c r="CZ104" s="40">
        <f t="shared" ref="CZ104" si="2146">IF(CD104="","",(CD104-CD$93)*1000)+CZ$93</f>
        <v>-2.8048637277606758</v>
      </c>
      <c r="DA104" s="40">
        <f t="shared" ref="DA104" si="2147">IF(CE104="","",(CE104-CE$93)*1000)+DA$93</f>
        <v>-11.773799136313379</v>
      </c>
      <c r="DB104" s="40">
        <f t="shared" ref="DB104" si="2148">IF(CF104="","",(CF104-CF$93)*1000)+DB$93</f>
        <v>0.15604863727058937</v>
      </c>
      <c r="DC104" s="40">
        <f t="shared" ref="DC104" si="2149">IF(CG104="","",(CG104-CG$93)*1000)+DC$93</f>
        <v>-4.8536225051520887</v>
      </c>
      <c r="DD104" s="40">
        <f t="shared" ref="DD104" si="2150">IF(CH104="","",(CH104-CH$93)*1000)+DD$93</f>
        <v>-13.506207629855105</v>
      </c>
      <c r="DE104" s="40">
        <f t="shared" ref="DE104" si="2151">IF(CI104="","",(CI104-CI$93)*1000)+DE$93</f>
        <v>3.0435362250289533</v>
      </c>
    </row>
    <row r="105" spans="1:109" ht="37.5" customHeight="1" x14ac:dyDescent="0.2">
      <c r="A105" s="34">
        <v>44337</v>
      </c>
      <c r="B105" s="27">
        <f t="shared" ref="B105:B106" si="2152">A105-$A$10</f>
        <v>738</v>
      </c>
      <c r="C105" s="35">
        <v>222.9</v>
      </c>
      <c r="D105" s="35">
        <f t="shared" ref="D105" si="2153">C105-PM</f>
        <v>53.700000000000017</v>
      </c>
      <c r="E105" s="36">
        <v>823219.54639999999</v>
      </c>
      <c r="F105" s="36">
        <v>1091508.5608999999</v>
      </c>
      <c r="G105" s="36">
        <v>-124.9953</v>
      </c>
      <c r="H105" s="36"/>
      <c r="I105" s="36"/>
      <c r="J105" s="36"/>
      <c r="K105" s="36">
        <v>823219.60530000005</v>
      </c>
      <c r="L105" s="36">
        <v>1091508.0005000001</v>
      </c>
      <c r="M105" s="36">
        <v>-120.8703</v>
      </c>
      <c r="N105" s="36">
        <v>823220.85580000002</v>
      </c>
      <c r="O105" s="36">
        <v>1091504.7853000001</v>
      </c>
      <c r="P105" s="36">
        <v>-119.5176</v>
      </c>
      <c r="Q105" s="36">
        <v>823222.33779999998</v>
      </c>
      <c r="R105" s="36">
        <v>1091502.1810000001</v>
      </c>
      <c r="S105" s="36">
        <v>-120.86620000000001</v>
      </c>
      <c r="T105" s="36">
        <v>823222.74840000004</v>
      </c>
      <c r="U105" s="36">
        <v>1091501.2801999999</v>
      </c>
      <c r="V105" s="36">
        <v>-123.0022</v>
      </c>
      <c r="W105" s="36">
        <v>823222.66599999997</v>
      </c>
      <c r="X105" s="36">
        <v>1091501.6058</v>
      </c>
      <c r="Y105" s="36">
        <v>-124.92</v>
      </c>
      <c r="Z105" s="36">
        <f t="shared" si="1490"/>
        <v>6.7804779336492604</v>
      </c>
      <c r="AA105" s="36"/>
      <c r="AB105" s="36">
        <f t="shared" si="1683"/>
        <v>3.7055443027665036</v>
      </c>
      <c r="AC105" s="36">
        <f t="shared" si="1492"/>
        <v>3.285943464199331</v>
      </c>
      <c r="AD105" s="36">
        <f t="shared" si="1493"/>
        <v>5.292456700944256</v>
      </c>
      <c r="AE105" s="36">
        <f t="shared" si="1494"/>
        <v>6.5247199212196136</v>
      </c>
      <c r="AF105" s="36">
        <f t="shared" si="1684"/>
        <v>6.4290865066040066</v>
      </c>
      <c r="AG105" s="36"/>
      <c r="AH105" s="36">
        <f t="shared" si="1496"/>
        <v>7.6230564905768485</v>
      </c>
      <c r="AI105" s="40">
        <f t="shared" ref="AI105" si="2154">IF(Z105="","",(Z105-Z$10)*1000)</f>
        <v>-36.473362176430157</v>
      </c>
      <c r="AJ105" s="40"/>
      <c r="AK105" s="40">
        <f t="shared" ref="AK105" si="2155">IF(AB105="","",(AB105-AB$10)*1000)</f>
        <v>-26.98096966882968</v>
      </c>
      <c r="AL105" s="40">
        <f t="shared" ref="AL105" si="2156">IF(AC105="","",(AC105-AC$10)*1000)</f>
        <v>-11.745293035435811</v>
      </c>
      <c r="AM105" s="40">
        <f t="shared" ref="AM105" si="2157">IF(AD105="","",(AD105-AD$10)*1000)</f>
        <v>-24.809366314171299</v>
      </c>
      <c r="AN105" s="40">
        <f t="shared" ref="AN105:AN111" si="2158">IF(AE105="","",(AE105-AE$10)*1000)</f>
        <v>-33.285328794974589</v>
      </c>
      <c r="AO105" s="40">
        <f t="shared" ref="AO105:AO107" si="2159">IF(AF105="","",(AF105-AF$10)*1000)</f>
        <v>-22.517124115040588</v>
      </c>
      <c r="AP105" s="40" t="str">
        <f t="shared" ref="AP105" si="2160">IF(AG105="","",(AG105-AG$10)*1000)</f>
        <v/>
      </c>
      <c r="AQ105" s="40">
        <f t="shared" ref="AQ105:AQ111" si="2161">IF(AH105="","",(AH105-AH$10)*1000)</f>
        <v>-24.961674137373713</v>
      </c>
      <c r="AR105" s="37"/>
      <c r="AS105" s="40">
        <f t="shared" ref="AS105" si="2162">IF(E105="","",(E105-E$93)*1000)+AS$93</f>
        <v>-0.20000000949949026</v>
      </c>
      <c r="AT105" s="40">
        <f t="shared" ref="AT105" si="2163">IF(F105="","",(F105-F$93)*1000)+AT$93</f>
        <v>-14.200000092387199</v>
      </c>
      <c r="AU105" s="40">
        <f t="shared" ref="AU105" si="2164">IF(G105="","",(G105-G$93)*1000)+AU$93</f>
        <v>-0.79999999999813554</v>
      </c>
      <c r="AV105" s="40"/>
      <c r="AW105" s="40"/>
      <c r="AX105" s="40"/>
      <c r="AY105" s="40">
        <f t="shared" si="2119"/>
        <v>-0.49999996554106474</v>
      </c>
      <c r="AZ105" s="40">
        <f t="shared" si="2120"/>
        <v>-13.899999670684338</v>
      </c>
      <c r="BA105" s="40">
        <f t="shared" si="2121"/>
        <v>-4.2999999999864258</v>
      </c>
      <c r="BB105" s="40">
        <f t="shared" ref="BB105" si="2165">IF(N105="","",(N105-N$93)*1000)+BB$93</f>
        <v>-7.30000005569309</v>
      </c>
      <c r="BC105" s="40">
        <f t="shared" ref="BC105" si="2166">IF(O105="","",(O105-O$93)*1000)+BC$93</f>
        <v>2.8000001329928637</v>
      </c>
      <c r="BD105" s="40">
        <f t="shared" ref="BD105" si="2167">IF(P105="","",(P105-P$93)*1000)+BD$93</f>
        <v>-32.899999999997931</v>
      </c>
      <c r="BE105" s="40">
        <f t="shared" ref="BE105" si="2168">IF(Q105="","",(Q105-Q$93)*1000)+BE$93</f>
        <v>-6.2000000616535544</v>
      </c>
      <c r="BF105" s="40">
        <f t="shared" ref="BF105" si="2169">IF(R105="","",(R105-R$93)*1000)+BF$93</f>
        <v>8.9000000152736902</v>
      </c>
      <c r="BG105" s="40">
        <f t="shared" ref="BG105" si="2170">IF(S105="","",(S105-S$93)*1000)+BG$93</f>
        <v>-14.400000000009072</v>
      </c>
      <c r="BH105" s="40">
        <f t="shared" ref="BH105" si="2171">IF(T105="","",(T105-T$93)*1000)+BH$93</f>
        <v>-7.1999999927356839</v>
      </c>
      <c r="BI105" s="40">
        <f t="shared" ref="BI105" si="2172">IF(U105="","",(U105-U$93)*1000)+BI$93</f>
        <v>8.2999998703598976</v>
      </c>
      <c r="BJ105" s="40">
        <f t="shared" ref="BJ105" si="2173">IF(V105="","",(V105-V$93)*1000)+BJ$93</f>
        <v>-0.30000000000995897</v>
      </c>
      <c r="BK105" s="40">
        <f t="shared" ref="BK105" si="2174">IF(W105="","",(W105-W$93)*1000)+BK$93</f>
        <v>-10.2999999653548</v>
      </c>
      <c r="BL105" s="40">
        <f t="shared" ref="BL105" si="2175">IF(X105="","",(X105-X$93)*1000)+BL$93</f>
        <v>9.3999998643994331</v>
      </c>
      <c r="BM105" s="40">
        <f t="shared" ref="BM105" si="2176">IF(Y105="","",(Y105-Y$93)*1000)+BM$93</f>
        <v>2.5999999999868351</v>
      </c>
      <c r="BN105" s="37"/>
      <c r="BO105" s="36">
        <v>169.32220194713435</v>
      </c>
      <c r="BP105" s="36">
        <v>-3.746641048958133</v>
      </c>
      <c r="BQ105" s="36">
        <v>-1.145642019471353</v>
      </c>
      <c r="BR105" s="36" t="s">
        <v>81</v>
      </c>
      <c r="BS105" s="36" t="s">
        <v>81</v>
      </c>
      <c r="BT105" s="36" t="s">
        <v>81</v>
      </c>
      <c r="BU105" s="36">
        <v>169.13872836249715</v>
      </c>
      <c r="BV105" s="36">
        <v>-3.2138607813330986</v>
      </c>
      <c r="BW105" s="36">
        <v>2.9811927163750198</v>
      </c>
      <c r="BX105" s="36">
        <v>168.91313582710001</v>
      </c>
      <c r="BY105" s="36">
        <v>0.22857575370113259</v>
      </c>
      <c r="BZ105" s="36">
        <v>4.3361486417289967</v>
      </c>
      <c r="CA105" s="38">
        <v>169.15554801403022</v>
      </c>
      <c r="CB105" s="39">
        <v>3.2152024162657824</v>
      </c>
      <c r="CC105" s="39">
        <v>2.9851245198596814</v>
      </c>
      <c r="CD105" s="38">
        <v>169.14694659870383</v>
      </c>
      <c r="CE105" s="39">
        <v>4.2051312096770292</v>
      </c>
      <c r="CF105" s="39">
        <v>0.8492105340129541</v>
      </c>
      <c r="CG105" s="38">
        <v>169.2098836283154</v>
      </c>
      <c r="CH105" s="39">
        <v>3.875215992720328</v>
      </c>
      <c r="CI105" s="39">
        <v>-1.0692188362831558</v>
      </c>
      <c r="CJ105" s="37"/>
      <c r="CK105" s="40">
        <f t="shared" ref="CK105" si="2177">IF(BO105="","",(BO105-BO$93)*1000)+CK$93</f>
        <v>-6.2256353673717513</v>
      </c>
      <c r="CL105" s="40">
        <f t="shared" ref="CL105" si="2178">IF(BP105="","",(BP105-BP$93)*1000)+CL$93</f>
        <v>12.800378929294975</v>
      </c>
      <c r="CM105" s="40">
        <f t="shared" ref="CM105" si="2179">IF(BQ105="","",(BQ105-BQ$93)*1000)+CM$93</f>
        <v>-0.77874364632202209</v>
      </c>
      <c r="CN105" s="40"/>
      <c r="CO105" s="40"/>
      <c r="CP105" s="40"/>
      <c r="CQ105" s="40">
        <f t="shared" ref="CQ105" si="2180">IF(BU105="","",(BU105-BU$93)*1000)+CQ$93</f>
        <v>-6.3101008757655563</v>
      </c>
      <c r="CR105" s="40">
        <f t="shared" ref="CR105" si="2181">IF(BV105="","",(BV105-BV$93)*1000)+CR$93</f>
        <v>12.378691252660889</v>
      </c>
      <c r="CS105" s="40">
        <f t="shared" ref="CS105" si="2182">IF(BW105="","",(BW105-BW$93)*1000)+CS$93</f>
        <v>-4.2398989912468821</v>
      </c>
      <c r="CT105" s="40">
        <f t="shared" ref="CT105" si="2183">IF(BX105="","",(BX105-BX$93)*1000)+CT$93</f>
        <v>-5.4753228448021218</v>
      </c>
      <c r="CU105" s="40">
        <f t="shared" ref="CU105" si="2184">IF(BY105="","",(BY105-BY$93)*1000)+CU$93</f>
        <v>-5.6311744459919817</v>
      </c>
      <c r="CV105" s="40">
        <f t="shared" ref="CV105" si="2185">IF(BZ105="","",(BZ105-BZ$93)*1000)+CV$93</f>
        <v>-32.889246771554248</v>
      </c>
      <c r="CW105" s="40">
        <f t="shared" ref="CW105" si="2186">IF(CA105="","",(CA105-CA$93)*1000)+CW$93</f>
        <v>-1.8618803306935661</v>
      </c>
      <c r="CX105" s="40">
        <f t="shared" ref="CX105" si="2187">IF(CB105="","",(CB105-CB$93)*1000)+CX$93</f>
        <v>-10.683890779142224</v>
      </c>
      <c r="CY105" s="40">
        <f t="shared" ref="CY105" si="2188">IF(CC105="","",(CC105-CC$93)*1000)+CY$93</f>
        <v>-14.343381196708638</v>
      </c>
      <c r="CZ105" s="40">
        <f t="shared" ref="CZ105" si="2189">IF(CD105="","",(CD105-CD$93)*1000)+CZ$93</f>
        <v>-3.0401584835715312</v>
      </c>
      <c r="DA105" s="40">
        <f t="shared" ref="DA105" si="2190">IF(CE105="","",(CE105-CE$93)*1000)+DA$93</f>
        <v>-10.559452992036533</v>
      </c>
      <c r="DB105" s="40">
        <f t="shared" ref="DB105" si="2191">IF(CF105="","",(CF105-CF$93)*1000)+DB$93</f>
        <v>-0.24159841516724345</v>
      </c>
      <c r="DC105" s="40">
        <f t="shared" ref="DC105" si="2192">IF(CG105="","",(CG105-CG$93)*1000)+DC$93</f>
        <v>-5.3730025477136678</v>
      </c>
      <c r="DD105" s="40">
        <f t="shared" ref="DD105" si="2193">IF(CH105="","",(CH105-CH$93)*1000)+DD$93</f>
        <v>-12.865704362126973</v>
      </c>
      <c r="DE105" s="40">
        <f t="shared" ref="DE105" si="2194">IF(CI105="","",(CI105-CI$93)*1000)+DE$93</f>
        <v>2.6487300254631752</v>
      </c>
    </row>
    <row r="106" spans="1:109" ht="37.5" customHeight="1" x14ac:dyDescent="0.2">
      <c r="A106" s="34">
        <v>44351</v>
      </c>
      <c r="B106" s="27">
        <f t="shared" si="2152"/>
        <v>752</v>
      </c>
      <c r="C106" s="35">
        <v>222.9</v>
      </c>
      <c r="D106" s="35">
        <f t="shared" ref="D106" si="2195">C106-PM</f>
        <v>53.700000000000017</v>
      </c>
      <c r="E106" s="36">
        <v>823219.54619999998</v>
      </c>
      <c r="F106" s="36">
        <v>1091508.5608000001</v>
      </c>
      <c r="G106" s="36">
        <v>-124.994</v>
      </c>
      <c r="H106" s="36"/>
      <c r="I106" s="36"/>
      <c r="J106" s="36"/>
      <c r="K106" s="36">
        <v>823219.60560000001</v>
      </c>
      <c r="L106" s="36">
        <v>1091508.0005999999</v>
      </c>
      <c r="M106" s="36">
        <v>-120.86920000000001</v>
      </c>
      <c r="N106" s="36">
        <v>823220.8554</v>
      </c>
      <c r="O106" s="36">
        <v>1091504.7852</v>
      </c>
      <c r="P106" s="36">
        <v>-119.5167</v>
      </c>
      <c r="Q106" s="36">
        <v>823222.33759999997</v>
      </c>
      <c r="R106" s="36">
        <v>1091502.1812</v>
      </c>
      <c r="S106" s="36">
        <v>-120.8653</v>
      </c>
      <c r="T106" s="36">
        <v>823222.7476</v>
      </c>
      <c r="U106" s="36">
        <v>1091501.2807</v>
      </c>
      <c r="V106" s="36">
        <v>-123.00109999999999</v>
      </c>
      <c r="W106" s="36"/>
      <c r="X106" s="36"/>
      <c r="Y106" s="36"/>
      <c r="Z106" s="36">
        <f t="shared" si="1490"/>
        <v>6.7801161708659414</v>
      </c>
      <c r="AA106" s="36"/>
      <c r="AB106" s="36">
        <f t="shared" si="1683"/>
        <v>3.7054086750505921</v>
      </c>
      <c r="AC106" s="36">
        <f t="shared" si="1492"/>
        <v>3.2857959157822592</v>
      </c>
      <c r="AD106" s="36">
        <f t="shared" si="1493"/>
        <v>5.2917846186595572</v>
      </c>
      <c r="AE106" s="36"/>
      <c r="AF106" s="36">
        <f t="shared" si="1684"/>
        <v>6.4287833661473872</v>
      </c>
      <c r="AG106" s="36"/>
      <c r="AH106" s="36" t="str">
        <f t="shared" si="1496"/>
        <v/>
      </c>
      <c r="AI106" s="40">
        <f t="shared" ref="AI106:AI107" si="2196">IF(Z106="","",(Z106-Z$10)*1000)</f>
        <v>-36.835124959749166</v>
      </c>
      <c r="AJ106" s="40"/>
      <c r="AK106" s="40">
        <f t="shared" ref="AK106" si="2197">IF(AB106="","",(AB106-AB$10)*1000)</f>
        <v>-27.116597384741148</v>
      </c>
      <c r="AL106" s="40">
        <f t="shared" ref="AL106" si="2198">IF(AC106="","",(AC106-AC$10)*1000)</f>
        <v>-11.892841452507685</v>
      </c>
      <c r="AM106" s="40">
        <f t="shared" ref="AM106" si="2199">IF(AD106="","",(AD106-AD$10)*1000)</f>
        <v>-25.481448598870138</v>
      </c>
      <c r="AN106" s="40" t="str">
        <f t="shared" si="2158"/>
        <v/>
      </c>
      <c r="AO106" s="40">
        <f t="shared" si="2159"/>
        <v>-22.820264571659976</v>
      </c>
      <c r="AP106" s="40" t="str">
        <f t="shared" ref="AP106" si="2200">IF(AG106="","",(AG106-AG$10)*1000)</f>
        <v/>
      </c>
      <c r="AQ106" s="40" t="str">
        <f t="shared" si="2161"/>
        <v/>
      </c>
      <c r="AR106" s="37"/>
      <c r="AS106" s="40">
        <f t="shared" ref="AS106" si="2201">IF(E106="","",(E106-E$93)*1000)+AS$93</f>
        <v>-0.40000001899898052</v>
      </c>
      <c r="AT106" s="40">
        <f t="shared" ref="AT106" si="2202">IF(F106="","",(F106-F$93)*1000)+AT$93</f>
        <v>-14.299999922513962</v>
      </c>
      <c r="AU106" s="40">
        <f t="shared" ref="AU106" si="2203">IF(G106="","",(G106-G$93)*1000)+AU$93</f>
        <v>0.50000000000238742</v>
      </c>
      <c r="AV106" s="40"/>
      <c r="AW106" s="40"/>
      <c r="AX106" s="40"/>
      <c r="AY106" s="40">
        <f t="shared" si="2119"/>
        <v>-0.20000000949949026</v>
      </c>
      <c r="AZ106" s="40">
        <f t="shared" si="2120"/>
        <v>-13.799999840557575</v>
      </c>
      <c r="BA106" s="40">
        <f t="shared" si="2121"/>
        <v>-3.1999999999925421</v>
      </c>
      <c r="BB106" s="40">
        <f t="shared" ref="BB106" si="2204">IF(N106="","",(N106-N$93)*1000)+BB$93</f>
        <v>-7.7000000746920705</v>
      </c>
      <c r="BC106" s="40">
        <f t="shared" ref="BC106" si="2205">IF(O106="","",(O106-O$93)*1000)+BC$93</f>
        <v>2.7000000700354576</v>
      </c>
      <c r="BD106" s="40">
        <f t="shared" ref="BD106" si="2206">IF(P106="","",(P106-P$93)*1000)+BD$93</f>
        <v>-31.999999999996476</v>
      </c>
      <c r="BE106" s="40">
        <f t="shared" ref="BE106" si="2207">IF(Q106="","",(Q106-Q$93)*1000)+BE$93</f>
        <v>-6.4000000711530447</v>
      </c>
      <c r="BF106" s="40">
        <f t="shared" ref="BF106" si="2208">IF(R106="","",(R106-R$93)*1000)+BF$93</f>
        <v>9.0999999083578587</v>
      </c>
      <c r="BG106" s="40">
        <f t="shared" ref="BG106" si="2209">IF(S106="","",(S106-S$93)*1000)+BG$93</f>
        <v>-13.500000000007617</v>
      </c>
      <c r="BH106" s="40">
        <f t="shared" ref="BH106" si="2210">IF(T106="","",(T106-T$93)*1000)+BH$93</f>
        <v>-8.000000030733645</v>
      </c>
      <c r="BI106" s="40">
        <f t="shared" ref="BI106" si="2211">IF(U106="","",(U106-U$93)*1000)+BI$93</f>
        <v>8.7999999523162842</v>
      </c>
      <c r="BJ106" s="40">
        <f t="shared" ref="BJ106" si="2212">IF(V106="","",(V106-V$93)*1000)+BJ$93</f>
        <v>0.79999999999813554</v>
      </c>
      <c r="BK106" s="40"/>
      <c r="BL106" s="40"/>
      <c r="BM106" s="40"/>
      <c r="BN106" s="37"/>
      <c r="BO106" s="36">
        <v>169.32197842358673</v>
      </c>
      <c r="BP106" s="36">
        <v>-3.7466349503131937</v>
      </c>
      <c r="BQ106" s="36">
        <v>-1.1443397842358678</v>
      </c>
      <c r="BR106" s="36" t="s">
        <v>81</v>
      </c>
      <c r="BS106" s="36" t="s">
        <v>81</v>
      </c>
      <c r="BT106" s="36" t="s">
        <v>81</v>
      </c>
      <c r="BU106" s="36">
        <v>169.13904251520128</v>
      </c>
      <c r="BV106" s="36">
        <v>-3.2138246147995972</v>
      </c>
      <c r="BW106" s="36">
        <v>2.9822895748479823</v>
      </c>
      <c r="BX106" s="36">
        <v>168.91273104503549</v>
      </c>
      <c r="BY106" s="36">
        <v>0.22849732215104934</v>
      </c>
      <c r="BZ106" s="36">
        <v>4.3370526895496369</v>
      </c>
      <c r="CA106" s="38">
        <v>169.15545128596861</v>
      </c>
      <c r="CB106" s="39">
        <v>3.2149366275467859</v>
      </c>
      <c r="CC106" s="39">
        <v>2.98602548714031</v>
      </c>
      <c r="CD106" s="38">
        <v>169.14643289106976</v>
      </c>
      <c r="CE106" s="39">
        <v>4.2043399419540544</v>
      </c>
      <c r="CF106" s="39">
        <v>0.85031567108930517</v>
      </c>
      <c r="CG106" s="38" t="s">
        <v>81</v>
      </c>
      <c r="CH106" s="39" t="s">
        <v>81</v>
      </c>
      <c r="CI106" s="39" t="s">
        <v>81</v>
      </c>
      <c r="CJ106" s="37"/>
      <c r="CK106" s="40">
        <f t="shared" ref="CK106" si="2213">IF(BO106="","",(BO106-BO$93)*1000)+CK$93</f>
        <v>-6.449158914989539</v>
      </c>
      <c r="CL106" s="40">
        <f t="shared" ref="CL106" si="2214">IF(BP106="","",(BP106-BP$93)*1000)+CL$93</f>
        <v>12.806477574234254</v>
      </c>
      <c r="CM106" s="40">
        <f t="shared" ref="CM106" si="2215">IF(BQ106="","",(BQ106-BQ$93)*1000)+CM$93</f>
        <v>0.52349158916320526</v>
      </c>
      <c r="CN106" s="40"/>
      <c r="CO106" s="40"/>
      <c r="CP106" s="40"/>
      <c r="CQ106" s="40">
        <f t="shared" ref="CQ106" si="2216">IF(BU106="","",(BU106-BU$93)*1000)+CQ$93</f>
        <v>-5.9959481716305163</v>
      </c>
      <c r="CR106" s="40">
        <f t="shared" ref="CR106" si="2217">IF(BV106="","",(BV106-BV$93)*1000)+CR$93</f>
        <v>12.414857786162248</v>
      </c>
      <c r="CS106" s="40">
        <f t="shared" ref="CS106" si="2218">IF(BW106="","",(BW106-BW$93)*1000)+CS$93</f>
        <v>-3.1430405182844012</v>
      </c>
      <c r="CT106" s="40">
        <f t="shared" ref="CT106" si="2219">IF(BX106="","",(BX106-BX$93)*1000)+CT$93</f>
        <v>-5.880104909323336</v>
      </c>
      <c r="CU106" s="40">
        <f t="shared" ref="CU106" si="2220">IF(BY106="","",(BY106-BY$93)*1000)+CU$93</f>
        <v>-5.7096059960752283</v>
      </c>
      <c r="CV106" s="40">
        <f t="shared" ref="CV106" si="2221">IF(BZ106="","",(BZ106-BZ$93)*1000)+CV$93</f>
        <v>-31.985198950914118</v>
      </c>
      <c r="CW106" s="40">
        <f t="shared" ref="CW106" si="2222">IF(CA106="","",(CA106-CA$93)*1000)+CW$93</f>
        <v>-1.9586083923002207</v>
      </c>
      <c r="CX106" s="40">
        <f t="shared" ref="CX106" si="2223">IF(CB106="","",(CB106-CB$93)*1000)+CX$93</f>
        <v>-10.949679498138742</v>
      </c>
      <c r="CY106" s="40">
        <f t="shared" ref="CY106" si="2224">IF(CC106="","",(CC106-CC$93)*1000)+CY$93</f>
        <v>-13.442413916080032</v>
      </c>
      <c r="CZ106" s="40">
        <f t="shared" ref="CZ106" si="2225">IF(CD106="","",(CD106-CD$93)*1000)+CZ$93</f>
        <v>-3.5538661176417463</v>
      </c>
      <c r="DA106" s="40">
        <f t="shared" ref="DA106" si="2226">IF(CE106="","",(CE106-CE$93)*1000)+DA$93</f>
        <v>-11.35072071501142</v>
      </c>
      <c r="DB106" s="40">
        <f t="shared" ref="DB106" si="2227">IF(CF106="","",(CF106-CF$93)*1000)+DB$93</f>
        <v>0.86353866118382694</v>
      </c>
      <c r="DC106" s="40"/>
      <c r="DD106" s="40"/>
      <c r="DE106" s="40"/>
    </row>
    <row r="107" spans="1:109" ht="37.5" customHeight="1" x14ac:dyDescent="0.2">
      <c r="A107" s="34">
        <v>44357</v>
      </c>
      <c r="B107" s="27">
        <f t="shared" ref="B107" si="2228">A107-$A$10</f>
        <v>758</v>
      </c>
      <c r="C107" s="35">
        <v>222.9</v>
      </c>
      <c r="D107" s="35">
        <f t="shared" ref="D107" si="2229">C107-PM</f>
        <v>53.700000000000017</v>
      </c>
      <c r="E107" s="36">
        <v>823219.54700000002</v>
      </c>
      <c r="F107" s="36">
        <v>1091508.5606</v>
      </c>
      <c r="G107" s="36">
        <v>-124.9944</v>
      </c>
      <c r="H107" s="36"/>
      <c r="I107" s="36"/>
      <c r="J107" s="36"/>
      <c r="K107" s="36">
        <v>823219.60560000001</v>
      </c>
      <c r="L107" s="36">
        <v>1091507.9997</v>
      </c>
      <c r="M107" s="36">
        <v>-120.86960000000001</v>
      </c>
      <c r="N107" s="36">
        <v>823220.85609999998</v>
      </c>
      <c r="O107" s="36">
        <v>1091504.7845999999</v>
      </c>
      <c r="P107" s="36">
        <v>-119.51690000000001</v>
      </c>
      <c r="Q107" s="36">
        <v>823222.33799999999</v>
      </c>
      <c r="R107" s="36">
        <v>1091502.1802000001</v>
      </c>
      <c r="S107" s="36">
        <v>-120.8655</v>
      </c>
      <c r="T107" s="36">
        <v>823222.74820000003</v>
      </c>
      <c r="U107" s="36">
        <v>1091501.2797000001</v>
      </c>
      <c r="V107" s="36">
        <v>-123.00149999999999</v>
      </c>
      <c r="W107" s="36"/>
      <c r="X107" s="36"/>
      <c r="Y107" s="36"/>
      <c r="Z107" s="36">
        <f t="shared" si="1490"/>
        <v>6.7804811820708144</v>
      </c>
      <c r="AA107" s="36"/>
      <c r="AB107" s="36">
        <f t="shared" si="1683"/>
        <v>3.7054575359674029</v>
      </c>
      <c r="AC107" s="36">
        <f t="shared" si="1492"/>
        <v>3.2859776215287702</v>
      </c>
      <c r="AD107" s="36">
        <f t="shared" si="1493"/>
        <v>5.2921454608679479</v>
      </c>
      <c r="AE107" s="36"/>
      <c r="AF107" s="36">
        <f t="shared" si="1684"/>
        <v>6.4290440051138127</v>
      </c>
      <c r="AG107" s="36"/>
      <c r="AH107" s="36" t="str">
        <f t="shared" si="1496"/>
        <v/>
      </c>
      <c r="AI107" s="40">
        <f t="shared" si="2196"/>
        <v>-36.470113754876188</v>
      </c>
      <c r="AJ107" s="40"/>
      <c r="AK107" s="40">
        <f t="shared" ref="AK107" si="2230">IF(AB107="","",(AB107-AB$10)*1000)</f>
        <v>-27.06773646793037</v>
      </c>
      <c r="AL107" s="40">
        <f t="shared" ref="AL107" si="2231">IF(AC107="","",(AC107-AC$10)*1000)</f>
        <v>-11.711135705996689</v>
      </c>
      <c r="AM107" s="40">
        <f t="shared" ref="AM107" si="2232">IF(AD107="","",(AD107-AD$10)*1000)</f>
        <v>-25.120606390479416</v>
      </c>
      <c r="AN107" s="40" t="str">
        <f t="shared" si="2158"/>
        <v/>
      </c>
      <c r="AO107" s="40">
        <f t="shared" si="2159"/>
        <v>-22.559625605234501</v>
      </c>
      <c r="AP107" s="40"/>
      <c r="AQ107" s="40" t="str">
        <f t="shared" si="2161"/>
        <v/>
      </c>
      <c r="AR107" s="37"/>
      <c r="AS107" s="40">
        <f t="shared" ref="AS107" si="2233">IF(E107="","",(E107-E$93)*1000)+AS$93</f>
        <v>0.40000001899898052</v>
      </c>
      <c r="AT107" s="40">
        <f t="shared" ref="AT107" si="2234">IF(F107="","",(F107-F$93)*1000)+AT$93</f>
        <v>-14.500000048428774</v>
      </c>
      <c r="AU107" s="40">
        <f t="shared" ref="AU107" si="2235">IF(G107="","",(G107-G$93)*1000)+AU$93</f>
        <v>0.10000000000331966</v>
      </c>
      <c r="AV107" s="40"/>
      <c r="AW107" s="40"/>
      <c r="AX107" s="40"/>
      <c r="AY107" s="40">
        <f t="shared" ref="AY107" si="2236">IF(K107="","",(K107-K$93)*1000)+AY$93</f>
        <v>-0.20000000949949026</v>
      </c>
      <c r="AZ107" s="40">
        <f t="shared" ref="AZ107" si="2237">IF(L107="","",(L107-L$93)*1000)+AZ$93</f>
        <v>-14.699999708682299</v>
      </c>
      <c r="BA107" s="40">
        <f t="shared" ref="BA107" si="2238">IF(M107="","",(M107-M$93)*1000)+BA$93</f>
        <v>-3.5999999999916099</v>
      </c>
      <c r="BB107" s="40">
        <f t="shared" ref="BB107" si="2239">IF(N107="","",(N107-N$93)*1000)+BB$93</f>
        <v>-7.0000000996515155</v>
      </c>
      <c r="BC107" s="40">
        <f t="shared" ref="BC107" si="2240">IF(O107="","",(O107-O$93)*1000)+BC$93</f>
        <v>2.099999925121665</v>
      </c>
      <c r="BD107" s="40">
        <f t="shared" ref="BD107" si="2241">IF(P107="","",(P107-P$93)*1000)+BD$93</f>
        <v>-32.200000000003115</v>
      </c>
      <c r="BE107" s="40">
        <f t="shared" ref="BE107" si="2242">IF(Q107="","",(Q107-Q$93)*1000)+BE$93</f>
        <v>-6.0000000521540642</v>
      </c>
      <c r="BF107" s="40">
        <f t="shared" ref="BF107" si="2243">IF(R107="","",(R107-R$93)*1000)+BF$93</f>
        <v>8.0999999772757292</v>
      </c>
      <c r="BG107" s="40">
        <f t="shared" ref="BG107" si="2244">IF(S107="","",(S107-S$93)*1000)+BG$93</f>
        <v>-13.700000000000045</v>
      </c>
      <c r="BH107" s="40">
        <f t="shared" ref="BH107" si="2245">IF(T107="","",(T107-T$93)*1000)+BH$93</f>
        <v>-7.4000000022351742</v>
      </c>
      <c r="BI107" s="40">
        <f t="shared" ref="BI107" si="2246">IF(U107="","",(U107-U$93)*1000)+BI$93</f>
        <v>7.8000000212341547</v>
      </c>
      <c r="BJ107" s="40">
        <f t="shared" ref="BJ107" si="2247">IF(V107="","",(V107-V$93)*1000)+BJ$93</f>
        <v>0.39999999999906777</v>
      </c>
      <c r="BK107" s="40"/>
      <c r="BL107" s="40"/>
      <c r="BM107" s="40"/>
      <c r="BN107" s="37"/>
      <c r="BO107" s="36">
        <v>169.32261892680523</v>
      </c>
      <c r="BP107" s="36">
        <v>-3.7461155701651405</v>
      </c>
      <c r="BQ107" s="36">
        <v>-1.1447461892680479</v>
      </c>
      <c r="BR107" s="36" t="s">
        <v>81</v>
      </c>
      <c r="BS107" s="36" t="s">
        <v>81</v>
      </c>
      <c r="BT107" s="36" t="s">
        <v>81</v>
      </c>
      <c r="BU107" s="36">
        <v>169.13866212844792</v>
      </c>
      <c r="BV107" s="36">
        <v>-3.2130089520748628</v>
      </c>
      <c r="BW107" s="36">
        <v>2.9818933787155117</v>
      </c>
      <c r="BX107" s="38">
        <v>168.91311185818</v>
      </c>
      <c r="BY107" s="39">
        <v>0.22933695390837527</v>
      </c>
      <c r="BZ107" s="39">
        <v>4.3368488814181916</v>
      </c>
      <c r="CA107" s="38">
        <v>169.15539115082453</v>
      </c>
      <c r="CB107" s="39">
        <v>3.2160119803455585</v>
      </c>
      <c r="CC107" s="39">
        <v>2.9858260884917485</v>
      </c>
      <c r="CD107" s="38">
        <v>169.1465540143441</v>
      </c>
      <c r="CE107" s="39">
        <v>4.2054998251588582</v>
      </c>
      <c r="CF107" s="39">
        <v>0.84991445985656355</v>
      </c>
      <c r="CG107" s="38" t="s">
        <v>81</v>
      </c>
      <c r="CH107" s="39" t="s">
        <v>81</v>
      </c>
      <c r="CI107" s="39" t="s">
        <v>81</v>
      </c>
      <c r="CJ107" s="37"/>
      <c r="CK107" s="40">
        <f t="shared" ref="CK107" si="2248">IF(BO107="","",(BO107-BO$93)*1000)+CK$93</f>
        <v>-5.808655696483811</v>
      </c>
      <c r="CL107" s="40">
        <f t="shared" ref="CL107" si="2249">IF(BP107="","",(BP107-BP$93)*1000)+CL$93</f>
        <v>13.325857722287449</v>
      </c>
      <c r="CM107" s="40">
        <f t="shared" ref="CM107" si="2250">IF(BQ107="","",(BQ107-BQ$93)*1000)+CM$93</f>
        <v>0.11708655698305925</v>
      </c>
      <c r="CN107" s="40"/>
      <c r="CO107" s="40"/>
      <c r="CP107" s="40"/>
      <c r="CQ107" s="40">
        <f t="shared" ref="CQ107" si="2251">IF(BU107="","",(BU107-BU$93)*1000)+CQ$93</f>
        <v>-6.3763349249938983</v>
      </c>
      <c r="CR107" s="40">
        <f t="shared" ref="CR107" si="2252">IF(BV107="","",(BV107-BV$93)*1000)+CR$93</f>
        <v>13.230520510896682</v>
      </c>
      <c r="CS107" s="40">
        <f t="shared" ref="CS107" si="2253">IF(BW107="","",(BW107-BW$93)*1000)+CS$93</f>
        <v>-3.5392366507549511</v>
      </c>
      <c r="CT107" s="40">
        <f t="shared" ref="CT107" si="2254">IF(BX107="","",(BX107-BX$93)*1000)+CT$93</f>
        <v>-5.4992917648064576</v>
      </c>
      <c r="CU107" s="40">
        <f t="shared" ref="CU107" si="2255">IF(BY107="","",(BY107-BY$93)*1000)+CU$93</f>
        <v>-4.8699742387492968</v>
      </c>
      <c r="CV107" s="40">
        <f t="shared" ref="CV107" si="2256">IF(BZ107="","",(BZ107-BZ$93)*1000)+CV$93</f>
        <v>-32.189007082359389</v>
      </c>
      <c r="CW107" s="40">
        <f t="shared" ref="CW107" si="2257">IF(CA107="","",(CA107-CA$93)*1000)+CW$93</f>
        <v>-2.018743536382317</v>
      </c>
      <c r="CX107" s="40">
        <f t="shared" ref="CX107" si="2258">IF(CB107="","",(CB107-CB$93)*1000)+CX$93</f>
        <v>-9.8743266993661649</v>
      </c>
      <c r="CY107" s="40">
        <f t="shared" ref="CY107" si="2259">IF(CC107="","",(CC107-CC$93)*1000)+CY$93</f>
        <v>-13.641812564641587</v>
      </c>
      <c r="CZ107" s="40">
        <f t="shared" ref="CZ107" si="2260">IF(CD107="","",(CD107-CD$93)*1000)+CZ$93</f>
        <v>-3.4327428433016394</v>
      </c>
      <c r="DA107" s="40">
        <f t="shared" ref="DA107" si="2261">IF(CE107="","",(CE107-CE$93)*1000)+DA$93</f>
        <v>-10.190837510207551</v>
      </c>
      <c r="DB107" s="40">
        <f t="shared" ref="DB107" si="2262">IF(CF107="","",(CF107-CF$93)*1000)+DB$93</f>
        <v>0.46232742844221075</v>
      </c>
      <c r="DC107" s="40"/>
      <c r="DD107" s="40"/>
      <c r="DE107" s="40"/>
    </row>
    <row r="108" spans="1:109" ht="37.5" customHeight="1" x14ac:dyDescent="0.2">
      <c r="A108" s="34">
        <v>44362</v>
      </c>
      <c r="B108" s="27">
        <f t="shared" ref="B108:B115" si="2263">A108-$A$10</f>
        <v>763</v>
      </c>
      <c r="C108" s="35">
        <v>222.9</v>
      </c>
      <c r="D108" s="35">
        <f t="shared" ref="D108" si="2264">C108-PM</f>
        <v>53.700000000000017</v>
      </c>
      <c r="E108" s="36">
        <v>823219.54689999996</v>
      </c>
      <c r="F108" s="36">
        <v>1091508.5606</v>
      </c>
      <c r="G108" s="36">
        <v>-124.99469999999999</v>
      </c>
      <c r="H108" s="36"/>
      <c r="I108" s="36"/>
      <c r="J108" s="36"/>
      <c r="K108" s="36">
        <v>823219.60560000001</v>
      </c>
      <c r="L108" s="36">
        <v>1091507.9998000001</v>
      </c>
      <c r="M108" s="36">
        <v>-120.8703</v>
      </c>
      <c r="N108" s="36">
        <v>823220.85620000004</v>
      </c>
      <c r="O108" s="36">
        <v>1091504.7848</v>
      </c>
      <c r="P108" s="36">
        <v>-119.5175</v>
      </c>
      <c r="Q108" s="36">
        <v>823222.3382</v>
      </c>
      <c r="R108" s="36">
        <v>1091502.1802999999</v>
      </c>
      <c r="S108" s="36">
        <v>-120.8661</v>
      </c>
      <c r="T108" s="36">
        <v>823222.74840000004</v>
      </c>
      <c r="U108" s="36">
        <v>1091501.2796</v>
      </c>
      <c r="V108" s="36">
        <v>-123.00190000000001</v>
      </c>
      <c r="W108" s="36"/>
      <c r="X108" s="36"/>
      <c r="Y108" s="36"/>
      <c r="Z108" s="36">
        <f t="shared" si="1490"/>
        <v>6.7801660724347519</v>
      </c>
      <c r="AA108" s="36"/>
      <c r="AB108" s="36">
        <f t="shared" si="1683"/>
        <v>3.7054410264650333</v>
      </c>
      <c r="AC108" s="36">
        <f t="shared" si="1492"/>
        <v>3.2861019781148291</v>
      </c>
      <c r="AD108" s="36">
        <f t="shared" si="1493"/>
        <v>5.2922482217019118</v>
      </c>
      <c r="AE108" s="36"/>
      <c r="AF108" s="36">
        <f t="shared" si="1684"/>
        <v>6.4291290741788414</v>
      </c>
      <c r="AG108" s="36"/>
      <c r="AH108" s="36" t="str">
        <f t="shared" si="1496"/>
        <v/>
      </c>
      <c r="AI108" s="40">
        <f t="shared" ref="AI108:AI109" si="2265">IF(Z108="","",(Z108-Z$10)*1000)</f>
        <v>-36.785223390938704</v>
      </c>
      <c r="AJ108" s="40"/>
      <c r="AK108" s="40">
        <f t="shared" ref="AK108" si="2266">IF(AB108="","",(AB108-AB$10)*1000)</f>
        <v>-27.084245970300014</v>
      </c>
      <c r="AL108" s="40">
        <f t="shared" ref="AL108" si="2267">IF(AC108="","",(AC108-AC$10)*1000)</f>
        <v>-11.586779119937773</v>
      </c>
      <c r="AM108" s="40">
        <f t="shared" ref="AM108" si="2268">IF(AD108="","",(AD108-AD$10)*1000)</f>
        <v>-25.017845556515539</v>
      </c>
      <c r="AN108" s="40" t="str">
        <f t="shared" si="2158"/>
        <v/>
      </c>
      <c r="AO108" s="40">
        <f t="shared" ref="AO108:AO109" si="2269">IF(AF108="","",(AF108-AF$10)*1000)</f>
        <v>-22.474556540205803</v>
      </c>
      <c r="AP108" s="40"/>
      <c r="AQ108" s="40" t="str">
        <f t="shared" si="2161"/>
        <v/>
      </c>
      <c r="AR108" s="37"/>
      <c r="AS108" s="40">
        <f t="shared" ref="AS108" si="2270">IF(E108="","",(E108-E$93)*1000)+AS$93</f>
        <v>0.29999995604157448</v>
      </c>
      <c r="AT108" s="40">
        <f t="shared" ref="AT108" si="2271">IF(F108="","",(F108-F$93)*1000)+AT$93</f>
        <v>-14.500000048428774</v>
      </c>
      <c r="AU108" s="40">
        <f t="shared" ref="AU108" si="2272">IF(G108="","",(G108-G$93)*1000)+AU$93</f>
        <v>-0.19999999999242846</v>
      </c>
      <c r="AV108" s="40"/>
      <c r="AW108" s="40"/>
      <c r="AX108" s="40"/>
      <c r="AY108" s="40">
        <f t="shared" ref="AY108" si="2273">IF(K108="","",(K108-K$93)*1000)+AY$93</f>
        <v>-0.20000000949949026</v>
      </c>
      <c r="AZ108" s="40">
        <f t="shared" ref="AZ108" si="2274">IF(L108="","",(L108-L$93)*1000)+AZ$93</f>
        <v>-14.599999645724893</v>
      </c>
      <c r="BA108" s="40">
        <f t="shared" ref="BA108" si="2275">IF(M108="","",(M108-M$93)*1000)+BA$93</f>
        <v>-4.2999999999864258</v>
      </c>
      <c r="BB108" s="40">
        <f t="shared" ref="BB108" si="2276">IF(N108="","",(N108-N$93)*1000)+BB$93</f>
        <v>-6.9000000366941094</v>
      </c>
      <c r="BC108" s="40">
        <f t="shared" ref="BC108" si="2277">IF(O108="","",(O108-O$93)*1000)+BC$93</f>
        <v>2.3000000510364771</v>
      </c>
      <c r="BD108" s="40">
        <f t="shared" ref="BD108" si="2278">IF(P108="","",(P108-P$93)*1000)+BD$93</f>
        <v>-32.799999999994611</v>
      </c>
      <c r="BE108" s="40">
        <f t="shared" ref="BE108" si="2279">IF(Q108="","",(Q108-Q$93)*1000)+BE$93</f>
        <v>-5.8000000426545739</v>
      </c>
      <c r="BF108" s="40">
        <f t="shared" ref="BF108" si="2280">IF(R108="","",(R108-R$93)*1000)+BF$93</f>
        <v>8.1999998074024916</v>
      </c>
      <c r="BG108" s="40">
        <f t="shared" ref="BG108" si="2281">IF(S108="","",(S108-S$93)*1000)+BG$93</f>
        <v>-14.300000000005753</v>
      </c>
      <c r="BH108" s="40">
        <f t="shared" ref="BH108" si="2282">IF(T108="","",(T108-T$93)*1000)+BH$93</f>
        <v>-7.1999999927356839</v>
      </c>
      <c r="BI108" s="40">
        <f t="shared" ref="BI108" si="2283">IF(U108="","",(U108-U$93)*1000)+BI$93</f>
        <v>7.6999999582767487</v>
      </c>
      <c r="BJ108" s="40">
        <f t="shared" ref="BJ108" si="2284">IF(V108="","",(V108-V$93)*1000)+BJ$93</f>
        <v>-1.4210854715202004E-11</v>
      </c>
      <c r="BK108" s="40"/>
      <c r="BL108" s="40"/>
      <c r="BM108" s="40"/>
      <c r="BN108" s="37"/>
      <c r="BO108" s="36">
        <v>169.32252829754327</v>
      </c>
      <c r="BP108" s="36">
        <v>-3.7461578353927671</v>
      </c>
      <c r="BQ108" s="36">
        <v>-1.1450452829754312</v>
      </c>
      <c r="BR108" s="36" t="s">
        <v>81</v>
      </c>
      <c r="BS108" s="36" t="s">
        <v>81</v>
      </c>
      <c r="BT108" s="36" t="s">
        <v>81</v>
      </c>
      <c r="BU108" s="36">
        <v>169.13870439367554</v>
      </c>
      <c r="BV108" s="36">
        <v>-3.2130995813368379</v>
      </c>
      <c r="BW108" s="36">
        <v>2.9811929560632393</v>
      </c>
      <c r="BX108" s="38">
        <v>168.9132870178972</v>
      </c>
      <c r="BY108" s="39">
        <v>0.22919796061204978</v>
      </c>
      <c r="BZ108" s="39">
        <v>4.3362471298210323</v>
      </c>
      <c r="CA108" s="38">
        <v>169.15561467437217</v>
      </c>
      <c r="CB108" s="39">
        <v>3.2160058817006405</v>
      </c>
      <c r="CC108" s="39">
        <v>2.9852238532562723</v>
      </c>
      <c r="CD108" s="38">
        <v>169.14669300753496</v>
      </c>
      <c r="CE108" s="39">
        <v>4.2056749848268522</v>
      </c>
      <c r="CF108" s="39">
        <v>0.84951306992464026</v>
      </c>
      <c r="CG108" s="38" t="s">
        <v>81</v>
      </c>
      <c r="CH108" s="39" t="s">
        <v>81</v>
      </c>
      <c r="CI108" s="39" t="s">
        <v>81</v>
      </c>
      <c r="CJ108" s="37"/>
      <c r="CK108" s="40">
        <f t="shared" ref="CK108" si="2285">IF(BO108="","",(BO108-BO$93)*1000)+CK$93</f>
        <v>-5.8992849584456053</v>
      </c>
      <c r="CL108" s="40">
        <f t="shared" ref="CL108" si="2286">IF(BP108="","",(BP108-BP$93)*1000)+CL$93</f>
        <v>13.283592494660823</v>
      </c>
      <c r="CM108" s="40">
        <f t="shared" ref="CM108" si="2287">IF(BQ108="","",(BQ108-BQ$93)*1000)+CM$93</f>
        <v>-0.18200715040017634</v>
      </c>
      <c r="CN108" s="40"/>
      <c r="CO108" s="40"/>
      <c r="CP108" s="40"/>
      <c r="CQ108" s="40">
        <f t="shared" ref="CQ108" si="2288">IF(BU108="","",(BU108-BU$93)*1000)+CQ$93</f>
        <v>-6.3340696973739341</v>
      </c>
      <c r="CR108" s="40">
        <f t="shared" ref="CR108" si="2289">IF(BV108="","",(BV108-BV$93)*1000)+CR$93</f>
        <v>13.139891248921565</v>
      </c>
      <c r="CS108" s="40">
        <f t="shared" ref="CS108" si="2290">IF(BW108="","",(BW108-BW$93)*1000)+CS$93</f>
        <v>-4.2396593030273877</v>
      </c>
      <c r="CT108" s="40">
        <f t="shared" ref="CT108" si="2291">IF(BX108="","",(BX108-BX$93)*1000)+CT$93</f>
        <v>-5.3241320476047349</v>
      </c>
      <c r="CU108" s="40">
        <f t="shared" ref="CU108" si="2292">IF(BY108="","",(BY108-BY$93)*1000)+CU$93</f>
        <v>-5.0089675350747926</v>
      </c>
      <c r="CV108" s="40">
        <f t="shared" ref="CV108" si="2293">IF(BZ108="","",(BZ108-BZ$93)*1000)+CV$93</f>
        <v>-32.790758679518639</v>
      </c>
      <c r="CW108" s="40">
        <f t="shared" ref="CW108" si="2294">IF(CA108="","",(CA108-CA$93)*1000)+CW$93</f>
        <v>-1.7952199887361076</v>
      </c>
      <c r="CX108" s="40">
        <f t="shared" ref="CX108" si="2295">IF(CB108="","",(CB108-CB$93)*1000)+CX$93</f>
        <v>-9.8804253442841272</v>
      </c>
      <c r="CY108" s="40">
        <f t="shared" ref="CY108" si="2296">IF(CC108="","",(CC108-CC$93)*1000)+CY$93</f>
        <v>-14.244047800117787</v>
      </c>
      <c r="CZ108" s="40">
        <f t="shared" ref="CZ108" si="2297">IF(CD108="","",(CD108-CD$93)*1000)+CZ$93</f>
        <v>-3.2937496524425569</v>
      </c>
      <c r="DA108" s="40">
        <f t="shared" ref="DA108" si="2298">IF(CE108="","",(CE108-CE$93)*1000)+DA$93</f>
        <v>-10.015677842213577</v>
      </c>
      <c r="DB108" s="40">
        <f t="shared" ref="DB108" si="2299">IF(CF108="","",(CF108-CF$93)*1000)+DB$93</f>
        <v>6.093749651892022E-2</v>
      </c>
      <c r="DC108" s="40"/>
      <c r="DD108" s="40"/>
      <c r="DE108" s="40"/>
    </row>
    <row r="109" spans="1:109" ht="37.5" customHeight="1" x14ac:dyDescent="0.2">
      <c r="A109" s="34">
        <v>44364</v>
      </c>
      <c r="B109" s="27">
        <f t="shared" si="2263"/>
        <v>765</v>
      </c>
      <c r="C109" s="35">
        <v>222.9</v>
      </c>
      <c r="D109" s="35">
        <f t="shared" ref="D109" si="2300">C109-PM</f>
        <v>53.700000000000017</v>
      </c>
      <c r="E109" s="36"/>
      <c r="F109" s="36"/>
      <c r="G109" s="36"/>
      <c r="H109" s="36"/>
      <c r="I109" s="36"/>
      <c r="J109" s="36"/>
      <c r="K109" s="36">
        <v>823219.60510000004</v>
      </c>
      <c r="L109" s="36">
        <v>1091507.9994999999</v>
      </c>
      <c r="M109" s="36">
        <v>-120.8708</v>
      </c>
      <c r="N109" s="36">
        <v>823220.85530000005</v>
      </c>
      <c r="O109" s="36">
        <v>1091504.7844</v>
      </c>
      <c r="P109" s="36">
        <v>-119.5185</v>
      </c>
      <c r="Q109" s="36">
        <v>823222.33750000002</v>
      </c>
      <c r="R109" s="36">
        <v>1091502.1802999999</v>
      </c>
      <c r="S109" s="36">
        <v>-120.867</v>
      </c>
      <c r="T109" s="36">
        <v>823222.7476</v>
      </c>
      <c r="U109" s="36">
        <v>1091501.2801000001</v>
      </c>
      <c r="V109" s="36">
        <v>-123.00279999999999</v>
      </c>
      <c r="W109" s="36">
        <v>823222.66559999995</v>
      </c>
      <c r="X109" s="36">
        <v>1091501.6055000001</v>
      </c>
      <c r="Y109" s="36">
        <v>-124.92</v>
      </c>
      <c r="Z109" s="36"/>
      <c r="AA109" s="36"/>
      <c r="AB109" s="36">
        <f t="shared" si="1683"/>
        <v>3.7052102962545059</v>
      </c>
      <c r="AC109" s="36">
        <f t="shared" si="1492"/>
        <v>3.2858341255302697</v>
      </c>
      <c r="AD109" s="36">
        <f t="shared" si="1493"/>
        <v>5.2916220829909077</v>
      </c>
      <c r="AE109" s="36">
        <f t="shared" si="1494"/>
        <v>6.5237101061623717</v>
      </c>
      <c r="AF109" s="36">
        <f t="shared" si="1684"/>
        <v>6.4287722653864074</v>
      </c>
      <c r="AG109" s="36"/>
      <c r="AH109" s="36"/>
      <c r="AI109" s="40" t="str">
        <f t="shared" si="2265"/>
        <v/>
      </c>
      <c r="AJ109" s="40"/>
      <c r="AK109" s="40">
        <f t="shared" ref="AK109" si="2301">IF(AB109="","",(AB109-AB$10)*1000)</f>
        <v>-27.314976180827344</v>
      </c>
      <c r="AL109" s="40">
        <f t="shared" ref="AL109" si="2302">IF(AC109="","",(AC109-AC$10)*1000)</f>
        <v>-11.854631704497187</v>
      </c>
      <c r="AM109" s="40">
        <f t="shared" ref="AM109" si="2303">IF(AD109="","",(AD109-AD$10)*1000)</f>
        <v>-25.643984267519571</v>
      </c>
      <c r="AN109" s="40">
        <f t="shared" si="2158"/>
        <v>-34.295143852216547</v>
      </c>
      <c r="AO109" s="40">
        <f t="shared" si="2269"/>
        <v>-22.831365332639741</v>
      </c>
      <c r="AP109" s="40"/>
      <c r="AQ109" s="40" t="str">
        <f t="shared" si="2161"/>
        <v/>
      </c>
      <c r="AR109" s="37"/>
      <c r="AS109" s="40"/>
      <c r="AT109" s="40"/>
      <c r="AU109" s="40"/>
      <c r="AV109" s="40"/>
      <c r="AW109" s="40"/>
      <c r="AX109" s="40"/>
      <c r="AY109" s="40">
        <f t="shared" ref="AY109" si="2304">IF(K109="","",(K109-K$93)*1000)+AY$93</f>
        <v>-0.699999975040555</v>
      </c>
      <c r="AZ109" s="40">
        <f t="shared" ref="AZ109" si="2305">IF(L109="","",(L109-L$93)*1000)+AZ$93</f>
        <v>-14.899999834597111</v>
      </c>
      <c r="BA109" s="40">
        <f t="shared" ref="BA109" si="2306">IF(M109="","",(M109-M$93)*1000)+BA$93</f>
        <v>-4.7999999999888132</v>
      </c>
      <c r="BB109" s="40">
        <f t="shared" ref="BB109" si="2307">IF(N109="","",(N109-N$93)*1000)+BB$93</f>
        <v>-7.8000000212341547</v>
      </c>
      <c r="BC109" s="40">
        <f t="shared" ref="BC109" si="2308">IF(O109="","",(O109-O$93)*1000)+BC$93</f>
        <v>1.9000000320374966</v>
      </c>
      <c r="BD109" s="40">
        <f t="shared" ref="BD109" si="2309">IF(P109="","",(P109-P$93)*1000)+BD$93</f>
        <v>-33.799999999999386</v>
      </c>
      <c r="BE109" s="40">
        <f t="shared" ref="BE109" si="2310">IF(Q109="","",(Q109-Q$93)*1000)+BE$93</f>
        <v>-6.5000000176951289</v>
      </c>
      <c r="BF109" s="40">
        <f t="shared" ref="BF109" si="2311">IF(R109="","",(R109-R$93)*1000)+BF$93</f>
        <v>8.1999998074024916</v>
      </c>
      <c r="BG109" s="40">
        <f t="shared" ref="BG109" si="2312">IF(S109="","",(S109-S$93)*1000)+BG$93</f>
        <v>-15.200000000007208</v>
      </c>
      <c r="BH109" s="40">
        <f t="shared" ref="BH109" si="2313">IF(T109="","",(T109-T$93)*1000)+BH$93</f>
        <v>-8.000000030733645</v>
      </c>
      <c r="BI109" s="40">
        <f t="shared" ref="BI109" si="2314">IF(U109="","",(U109-U$93)*1000)+BI$93</f>
        <v>8.2000000402331352</v>
      </c>
      <c r="BJ109" s="40">
        <f t="shared" ref="BJ109" si="2315">IF(V109="","",(V109-V$93)*1000)+BJ$93</f>
        <v>-0.90000000000145519</v>
      </c>
      <c r="BK109" s="40">
        <f t="shared" ref="BK109" si="2316">IF(W109="","",(W109-W$93)*1000)+BK$93</f>
        <v>-10.699999984353781</v>
      </c>
      <c r="BL109" s="40">
        <f t="shared" ref="BL109" si="2317">IF(X109="","",(X109-X$93)*1000)+BL$93</f>
        <v>9.0999999083578587</v>
      </c>
      <c r="BM109" s="40">
        <f t="shared" ref="BM109" si="2318">IF(Y109="","",(Y109-Y$93)*1000)+BM$93</f>
        <v>2.5999999999868351</v>
      </c>
      <c r="BN109" s="37"/>
      <c r="BO109" s="36"/>
      <c r="BP109" s="36"/>
      <c r="BQ109" s="36"/>
      <c r="BR109" s="36"/>
      <c r="BS109" s="36"/>
      <c r="BT109" s="36"/>
      <c r="BU109" s="36">
        <v>169.13812445199935</v>
      </c>
      <c r="BV109" s="36">
        <v>-3.2130390195413869</v>
      </c>
      <c r="BW109" s="36">
        <v>2.980698755480006</v>
      </c>
      <c r="BX109" s="38">
        <v>168.91230229425491</v>
      </c>
      <c r="BY109" s="39">
        <v>0.2291800906463968</v>
      </c>
      <c r="BZ109" s="39">
        <v>4.3352569770574405</v>
      </c>
      <c r="CA109" s="38">
        <v>169.15498026996039</v>
      </c>
      <c r="CB109" s="39">
        <v>3.2157100253041397</v>
      </c>
      <c r="CC109" s="39">
        <v>2.9843301973003946</v>
      </c>
      <c r="CD109" s="38">
        <v>169.14617929990087</v>
      </c>
      <c r="CE109" s="39">
        <v>4.2048837171038675</v>
      </c>
      <c r="CF109" s="39">
        <v>0.84861820700099599</v>
      </c>
      <c r="CG109" s="38">
        <v>169.20939431589406</v>
      </c>
      <c r="CH109" s="39">
        <v>3.8753188194831818</v>
      </c>
      <c r="CI109" s="39">
        <v>-1.0697139431589449</v>
      </c>
      <c r="CJ109" s="37"/>
      <c r="CK109" s="40"/>
      <c r="CL109" s="40"/>
      <c r="CM109" s="40"/>
      <c r="CN109" s="40"/>
      <c r="CO109" s="40"/>
      <c r="CP109" s="40"/>
      <c r="CQ109" s="40">
        <f t="shared" ref="CQ109" si="2319">IF(BU109="","",(BU109-BU$93)*1000)+CQ$93</f>
        <v>-6.9140113735670639</v>
      </c>
      <c r="CR109" s="40">
        <f t="shared" ref="CR109" si="2320">IF(BV109="","",(BV109-BV$93)*1000)+CR$93</f>
        <v>13.200453044372562</v>
      </c>
      <c r="CS109" s="40">
        <f t="shared" ref="CS109" si="2321">IF(BW109="","",(BW109-BW$93)*1000)+CS$93</f>
        <v>-4.7338598862607384</v>
      </c>
      <c r="CT109" s="40">
        <f t="shared" ref="CT109" si="2322">IF(BX109="","",(BX109-BX$93)*1000)+CT$93</f>
        <v>-6.308855689894699</v>
      </c>
      <c r="CU109" s="40">
        <f t="shared" ref="CU109" si="2323">IF(BY109="","",(BY109-BY$93)*1000)+CU$93</f>
        <v>-5.0268375007277708</v>
      </c>
      <c r="CV109" s="40">
        <f t="shared" ref="CV109" si="2324">IF(BZ109="","",(BZ109-BZ$93)*1000)+CV$93</f>
        <v>-33.780911443110462</v>
      </c>
      <c r="CW109" s="40">
        <f t="shared" ref="CW109" si="2325">IF(CA109="","",(CA109-CA$93)*1000)+CW$93</f>
        <v>-2.4296244005199696</v>
      </c>
      <c r="CX109" s="40">
        <f t="shared" ref="CX109" si="2326">IF(CB109="","",(CB109-CB$93)*1000)+CX$93</f>
        <v>-10.176281740784887</v>
      </c>
      <c r="CY109" s="40">
        <f t="shared" ref="CY109" si="2327">IF(CC109="","",(CC109-CC$93)*1000)+CY$93</f>
        <v>-15.137703755995435</v>
      </c>
      <c r="CZ109" s="40">
        <f t="shared" ref="CZ109:CZ111" si="2328">IF(CD109="","",(CD109-CD$93)*1000)+CZ$93</f>
        <v>-3.8074572865411938</v>
      </c>
      <c r="DA109" s="40">
        <f t="shared" ref="DA109:DA111" si="2329">IF(CE109="","",(CE109-CE$93)*1000)+DA$93</f>
        <v>-10.806945565198234</v>
      </c>
      <c r="DB109" s="40">
        <f t="shared" ref="DB109:DB111" si="2330">IF(CF109="","",(CF109-CF$93)*1000)+DB$93</f>
        <v>-0.83392542712534823</v>
      </c>
      <c r="DC109" s="40">
        <f t="shared" ref="DC109" si="2331">IF(CG109="","",(CG109-CG$93)*1000)+DC$93</f>
        <v>-5.8623149690504306</v>
      </c>
      <c r="DD109" s="40">
        <f t="shared" ref="DD109" si="2332">IF(CH109="","",(CH109-CH$93)*1000)+DD$93</f>
        <v>-12.762877599273192</v>
      </c>
      <c r="DE109" s="40">
        <f t="shared" ref="DE109" si="2333">IF(CI109="","",(CI109-CI$93)*1000)+DE$93</f>
        <v>2.1536231496741554</v>
      </c>
    </row>
    <row r="110" spans="1:109" ht="37.5" customHeight="1" x14ac:dyDescent="0.2">
      <c r="A110" s="34">
        <v>44369</v>
      </c>
      <c r="B110" s="27">
        <f t="shared" si="2263"/>
        <v>770</v>
      </c>
      <c r="C110" s="35">
        <v>222.9</v>
      </c>
      <c r="D110" s="35">
        <f t="shared" ref="D110" si="2334">C110-PM</f>
        <v>53.700000000000017</v>
      </c>
      <c r="E110" s="36">
        <v>823219.54639999999</v>
      </c>
      <c r="F110" s="36">
        <v>1091508.56</v>
      </c>
      <c r="G110" s="36">
        <v>-124.99379999999999</v>
      </c>
      <c r="H110" s="36"/>
      <c r="I110" s="36"/>
      <c r="J110" s="36"/>
      <c r="K110" s="36">
        <v>823219.60510000004</v>
      </c>
      <c r="L110" s="36">
        <v>1091507.9993</v>
      </c>
      <c r="M110" s="36">
        <v>-120.87009999999999</v>
      </c>
      <c r="N110" s="36">
        <v>823220.85549999995</v>
      </c>
      <c r="O110" s="36">
        <v>1091504.7849000001</v>
      </c>
      <c r="P110" s="36">
        <v>-119.51779999999999</v>
      </c>
      <c r="Q110" s="36">
        <v>823222.3371</v>
      </c>
      <c r="R110" s="36">
        <v>1091502.1810999999</v>
      </c>
      <c r="S110" s="36">
        <v>-120.866</v>
      </c>
      <c r="T110" s="36">
        <v>823222.74719999998</v>
      </c>
      <c r="U110" s="36">
        <v>1091501.2805999999</v>
      </c>
      <c r="V110" s="36">
        <v>-123.0013</v>
      </c>
      <c r="W110" s="36">
        <v>823222.66520000005</v>
      </c>
      <c r="X110" s="36">
        <v>1091501.6061</v>
      </c>
      <c r="Y110" s="36">
        <v>-124.9188</v>
      </c>
      <c r="Z110" s="36">
        <f t="shared" si="1490"/>
        <v>6.7787682376412706</v>
      </c>
      <c r="AA110" s="36"/>
      <c r="AB110" s="36">
        <f t="shared" si="1683"/>
        <v>3.7046704049569126</v>
      </c>
      <c r="AC110" s="36">
        <f t="shared" si="1492"/>
        <v>3.2852026179504796</v>
      </c>
      <c r="AD110" s="36">
        <f t="shared" si="1493"/>
        <v>5.2908807991828395</v>
      </c>
      <c r="AE110" s="36">
        <f t="shared" si="1494"/>
        <v>6.5230809079042453</v>
      </c>
      <c r="AF110" s="36">
        <f t="shared" si="1684"/>
        <v>6.4276972588089105</v>
      </c>
      <c r="AG110" s="36"/>
      <c r="AH110" s="36">
        <f t="shared" si="1496"/>
        <v>7.6216312985777979</v>
      </c>
      <c r="AI110" s="40">
        <f t="shared" ref="AI110" si="2335">IF(Z110="","",(Z110-Z$10)*1000)</f>
        <v>-38.183058184420027</v>
      </c>
      <c r="AJ110" s="40"/>
      <c r="AK110" s="40">
        <f t="shared" ref="AK110" si="2336">IF(AB110="","",(AB110-AB$10)*1000)</f>
        <v>-27.854867478420697</v>
      </c>
      <c r="AL110" s="40">
        <f t="shared" ref="AL110" si="2337">IF(AC110="","",(AC110-AC$10)*1000)</f>
        <v>-12.486139284287212</v>
      </c>
      <c r="AM110" s="40">
        <f t="shared" ref="AM110" si="2338">IF(AD110="","",(AD110-AD$10)*1000)</f>
        <v>-26.385268075587831</v>
      </c>
      <c r="AN110" s="40">
        <f t="shared" si="2158"/>
        <v>-34.924342110342899</v>
      </c>
      <c r="AO110" s="40">
        <f t="shared" ref="AO110" si="2339">IF(AF110="","",(AF110-AF$10)*1000)</f>
        <v>-23.90637191013667</v>
      </c>
      <c r="AP110" s="40"/>
      <c r="AQ110" s="40">
        <f t="shared" si="2161"/>
        <v>-26.386866136424381</v>
      </c>
      <c r="AR110" s="37"/>
      <c r="AS110" s="40">
        <f t="shared" ref="AS110" si="2340">IF(E110="","",(E110-E$93)*1000)+AS$93</f>
        <v>-0.20000000949949026</v>
      </c>
      <c r="AT110" s="40">
        <f t="shared" ref="AT110" si="2341">IF(F110="","",(F110-F$93)*1000)+AT$93</f>
        <v>-15.099999960511923</v>
      </c>
      <c r="AU110" s="40">
        <f t="shared" ref="AU110" si="2342">IF(G110="","",(G110-G$93)*1000)+AU$93</f>
        <v>0.70000000000902673</v>
      </c>
      <c r="AV110" s="40"/>
      <c r="AW110" s="40"/>
      <c r="AX110" s="40"/>
      <c r="AY110" s="40">
        <f t="shared" ref="AY110" si="2343">IF(K110="","",(K110-K$93)*1000)+AY$93</f>
        <v>-0.699999975040555</v>
      </c>
      <c r="AZ110" s="40">
        <f t="shared" ref="AZ110" si="2344">IF(L110="","",(L110-L$93)*1000)+AZ$93</f>
        <v>-15.099999727681279</v>
      </c>
      <c r="BA110" s="40">
        <f t="shared" ref="BA110" si="2345">IF(M110="","",(M110-M$93)*1000)+BA$93</f>
        <v>-4.0999999999797865</v>
      </c>
      <c r="BB110" s="40">
        <f t="shared" ref="BB110" si="2346">IF(N110="","",(N110-N$93)*1000)+BB$93</f>
        <v>-7.6000001281499863</v>
      </c>
      <c r="BC110" s="40">
        <f t="shared" ref="BC110" si="2347">IF(O110="","",(O110-O$93)*1000)+BC$93</f>
        <v>2.4000001139938831</v>
      </c>
      <c r="BD110" s="40">
        <f t="shared" ref="BD110" si="2348">IF(P110="","",(P110-P$93)*1000)+BD$93</f>
        <v>-33.099999999990359</v>
      </c>
      <c r="BE110" s="40">
        <f t="shared" ref="BE110" si="2349">IF(Q110="","",(Q110-Q$93)*1000)+BE$93</f>
        <v>-6.9000000366941094</v>
      </c>
      <c r="BF110" s="40">
        <f t="shared" ref="BF110" si="2350">IF(R110="","",(R110-R$93)*1000)+BF$93</f>
        <v>8.9999998454004526</v>
      </c>
      <c r="BG110" s="40">
        <f t="shared" ref="BG110" si="2351">IF(S110="","",(S110-S$93)*1000)+BG$93</f>
        <v>-14.200000000002433</v>
      </c>
      <c r="BH110" s="40">
        <f t="shared" ref="BH110" si="2352">IF(T110="","",(T110-T$93)*1000)+BH$93</f>
        <v>-8.4000000497326255</v>
      </c>
      <c r="BI110" s="40">
        <f t="shared" ref="BI110" si="2353">IF(U110="","",(U110-U$93)*1000)+BI$93</f>
        <v>8.6999998893588781</v>
      </c>
      <c r="BJ110" s="40">
        <f t="shared" ref="BJ110" si="2354">IF(V110="","",(V110-V$93)*1000)+BJ$93</f>
        <v>0.59999999999149622</v>
      </c>
      <c r="BK110" s="40">
        <f t="shared" ref="BK110" si="2355">IF(W110="","",(W110-W$93)*1000)+BK$93</f>
        <v>-11.099999886937439</v>
      </c>
      <c r="BL110" s="40">
        <f t="shared" ref="BL110" si="2356">IF(X110="","",(X110-X$93)*1000)+BL$93</f>
        <v>9.6999998204410076</v>
      </c>
      <c r="BM110" s="40">
        <f t="shared" ref="BM110" si="2357">IF(Y110="","",(Y110-Y$93)*1000)+BM$93</f>
        <v>3.7999999999840384</v>
      </c>
      <c r="BN110" s="37"/>
      <c r="BO110" s="36">
        <v>169.32182156038101</v>
      </c>
      <c r="BP110" s="36">
        <v>-3.7458253862334288</v>
      </c>
      <c r="BQ110" s="36">
        <v>-1.1441382156038031</v>
      </c>
      <c r="BR110" s="36" t="s">
        <v>81</v>
      </c>
      <c r="BS110" s="36" t="s">
        <v>81</v>
      </c>
      <c r="BT110" s="36" t="s">
        <v>81</v>
      </c>
      <c r="BU110" s="36">
        <v>169.1380399216425</v>
      </c>
      <c r="BV110" s="36">
        <v>-3.2128577612284719</v>
      </c>
      <c r="BW110" s="36">
        <v>2.9813996007835755</v>
      </c>
      <c r="BX110" s="38">
        <v>168.91269487860751</v>
      </c>
      <c r="BY110" s="39">
        <v>0.22881147490437181</v>
      </c>
      <c r="BZ110" s="39">
        <v>4.3359530512139344</v>
      </c>
      <c r="CA110" s="38">
        <v>169.15495587474763</v>
      </c>
      <c r="CB110" s="39">
        <v>3.2148159308183151</v>
      </c>
      <c r="CC110" s="39">
        <v>2.9853304412525148</v>
      </c>
      <c r="CD110" s="38">
        <v>169.14602810900527</v>
      </c>
      <c r="CE110" s="39">
        <v>4.2042615104039571</v>
      </c>
      <c r="CF110" s="39">
        <v>0.85011971890993721</v>
      </c>
      <c r="CG110" s="38">
        <v>169.20928539033156</v>
      </c>
      <c r="CH110" s="39">
        <v>3.8746059835704871</v>
      </c>
      <c r="CI110" s="39">
        <v>-1.0680128539033262</v>
      </c>
      <c r="CJ110" s="37"/>
      <c r="CK110" s="40">
        <f t="shared" ref="CK110" si="2358">IF(BO110="","",(BO110-BO$93)*1000)+CK$93</f>
        <v>-6.6060221207067116</v>
      </c>
      <c r="CL110" s="40">
        <f t="shared" ref="CL110" si="2359">IF(BP110="","",(BP110-BP$93)*1000)+CL$93</f>
        <v>13.616041653999211</v>
      </c>
      <c r="CM110" s="40">
        <f t="shared" ref="CM110" si="2360">IF(BQ110="","",(BQ110-BQ$93)*1000)+CM$93</f>
        <v>0.72506022122786895</v>
      </c>
      <c r="CN110" s="40"/>
      <c r="CO110" s="40"/>
      <c r="CP110" s="40"/>
      <c r="CQ110" s="40">
        <f t="shared" ref="CQ110" si="2361">IF(BU110="","",(BU110-BU$93)*1000)+CQ$93</f>
        <v>-6.9985417304110342</v>
      </c>
      <c r="CR110" s="40">
        <f t="shared" ref="CR110" si="2362">IF(BV110="","",(BV110-BV$93)*1000)+CR$93</f>
        <v>13.381711357287607</v>
      </c>
      <c r="CS110" s="40">
        <f t="shared" ref="CS110" si="2363">IF(BW110="","",(BW110-BW$93)*1000)+CS$93</f>
        <v>-4.03301458269123</v>
      </c>
      <c r="CT110" s="40">
        <f t="shared" ref="CT110" si="2364">IF(BX110="","",(BX110-BX$93)*1000)+CT$93</f>
        <v>-5.9162713372984399</v>
      </c>
      <c r="CU110" s="40">
        <f t="shared" ref="CU110" si="2365">IF(BY110="","",(BY110-BY$93)*1000)+CU$93</f>
        <v>-5.3954532427527564</v>
      </c>
      <c r="CV110" s="40">
        <f t="shared" ref="CV110" si="2366">IF(BZ110="","",(BZ110-BZ$93)*1000)+CV$93</f>
        <v>-33.084837286616597</v>
      </c>
      <c r="CW110" s="40">
        <f t="shared" ref="CW110" si="2367">IF(CA110="","",(CA110-CA$93)*1000)+CW$93</f>
        <v>-2.4540196132818437</v>
      </c>
      <c r="CX110" s="40">
        <f t="shared" ref="CX110" si="2368">IF(CB110="","",(CB110-CB$93)*1000)+CX$93</f>
        <v>-11.070376226609557</v>
      </c>
      <c r="CY110" s="40">
        <f t="shared" ref="CY110" si="2369">IF(CC110="","",(CC110-CC$93)*1000)+CY$93</f>
        <v>-14.137459803875263</v>
      </c>
      <c r="CZ110" s="40">
        <f t="shared" si="2328"/>
        <v>-3.9586481821345387</v>
      </c>
      <c r="DA110" s="40">
        <f t="shared" si="2329"/>
        <v>-11.429152265108655</v>
      </c>
      <c r="DB110" s="40">
        <f t="shared" si="2330"/>
        <v>0.66758648181586278</v>
      </c>
      <c r="DC110" s="40">
        <f t="shared" ref="DC110" si="2370">IF(CG110="","",(CG110-CG$93)*1000)+DC$93</f>
        <v>-5.9712405315508477</v>
      </c>
      <c r="DD110" s="40">
        <f t="shared" ref="DD110" si="2371">IF(CH110="","",(CH110-CH$93)*1000)+DD$93</f>
        <v>-13.475713511967857</v>
      </c>
      <c r="DE110" s="40">
        <f t="shared" ref="DE110" si="2372">IF(CI110="","",(CI110-CI$93)*1000)+DE$93</f>
        <v>3.8547124052927817</v>
      </c>
    </row>
    <row r="111" spans="1:109" ht="37.5" customHeight="1" x14ac:dyDescent="0.2">
      <c r="A111" s="34">
        <v>44376</v>
      </c>
      <c r="B111" s="27">
        <f t="shared" si="2263"/>
        <v>777</v>
      </c>
      <c r="C111" s="35">
        <v>222.9</v>
      </c>
      <c r="D111" s="35">
        <f t="shared" ref="D111" si="2373">C111-PM</f>
        <v>53.700000000000017</v>
      </c>
      <c r="E111" s="36">
        <v>823219.54650000005</v>
      </c>
      <c r="F111" s="36">
        <v>1091508.56</v>
      </c>
      <c r="G111" s="36">
        <v>-124.9944</v>
      </c>
      <c r="H111" s="36"/>
      <c r="I111" s="36"/>
      <c r="J111" s="36"/>
      <c r="K111" s="36">
        <v>823219.6054</v>
      </c>
      <c r="L111" s="36">
        <v>1091507.9993</v>
      </c>
      <c r="M111" s="36">
        <v>-120.8703</v>
      </c>
      <c r="N111" s="36">
        <v>823220.85560000001</v>
      </c>
      <c r="O111" s="36">
        <v>1091504.7849000001</v>
      </c>
      <c r="P111" s="36">
        <v>-119.518</v>
      </c>
      <c r="Q111" s="36">
        <v>823222.33750000002</v>
      </c>
      <c r="R111" s="36">
        <v>1091502.1810000001</v>
      </c>
      <c r="S111" s="36">
        <v>-120.8663</v>
      </c>
      <c r="T111" s="36">
        <v>823222.74780000001</v>
      </c>
      <c r="U111" s="36">
        <v>1091501.2804</v>
      </c>
      <c r="V111" s="36">
        <v>-123.0017</v>
      </c>
      <c r="W111" s="36">
        <v>823222.66540000006</v>
      </c>
      <c r="X111" s="36">
        <v>1091501.6059999999</v>
      </c>
      <c r="Y111" s="36">
        <v>-124.91930000000001</v>
      </c>
      <c r="Z111" s="36">
        <f t="shared" si="1490"/>
        <v>6.7790913682922236</v>
      </c>
      <c r="AA111" s="36"/>
      <c r="AB111" s="36">
        <f t="shared" si="1683"/>
        <v>3.7046029057958405</v>
      </c>
      <c r="AC111" s="36">
        <f t="shared" si="1492"/>
        <v>3.285458219179445</v>
      </c>
      <c r="AD111" s="36">
        <f t="shared" si="1493"/>
        <v>5.2913237266568665</v>
      </c>
      <c r="AE111" s="36">
        <f t="shared" si="1494"/>
        <v>6.5234057777568655</v>
      </c>
      <c r="AF111" s="36">
        <f t="shared" si="1684"/>
        <v>6.4278302170535637</v>
      </c>
      <c r="AG111" s="36"/>
      <c r="AH111" s="36">
        <f t="shared" si="1496"/>
        <v>7.6217644428309947</v>
      </c>
      <c r="AI111" s="40">
        <f t="shared" ref="AI111" si="2374">IF(Z111="","",(Z111-Z$10)*1000)</f>
        <v>-37.859927533467008</v>
      </c>
      <c r="AJ111" s="40"/>
      <c r="AK111" s="40">
        <f t="shared" ref="AK111" si="2375">IF(AB111="","",(AB111-AB$10)*1000)</f>
        <v>-27.922366639492768</v>
      </c>
      <c r="AL111" s="40">
        <f t="shared" ref="AL111" si="2376">IF(AC111="","",(AC111-AC$10)*1000)</f>
        <v>-12.230538055321816</v>
      </c>
      <c r="AM111" s="40">
        <f t="shared" ref="AM111" si="2377">IF(AD111="","",(AD111-AD$10)*1000)</f>
        <v>-25.942340601560865</v>
      </c>
      <c r="AN111" s="40">
        <f t="shared" si="2158"/>
        <v>-34.599472257722752</v>
      </c>
      <c r="AO111" s="40">
        <f t="shared" ref="AO111" si="2378">IF(AF111="","",(AF111-AF$10)*1000)</f>
        <v>-23.773413665483467</v>
      </c>
      <c r="AP111" s="40"/>
      <c r="AQ111" s="40">
        <f t="shared" si="2161"/>
        <v>-26.253721883227499</v>
      </c>
      <c r="AR111" s="37"/>
      <c r="AS111" s="40">
        <f t="shared" ref="AS111" si="2379">IF(E111="","",(E111-E$93)*1000)+AS$93</f>
        <v>-9.9999946542084217E-2</v>
      </c>
      <c r="AT111" s="40">
        <f t="shared" ref="AT111" si="2380">IF(F111="","",(F111-F$93)*1000)+AT$93</f>
        <v>-15.099999960511923</v>
      </c>
      <c r="AU111" s="40">
        <f t="shared" ref="AU111" si="2381">IF(G111="","",(G111-G$93)*1000)+AU$93</f>
        <v>0.10000000000331966</v>
      </c>
      <c r="AV111" s="40"/>
      <c r="AW111" s="40"/>
      <c r="AX111" s="40"/>
      <c r="AY111" s="40">
        <f t="shared" ref="AY111" si="2382">IF(K111="","",(K111-K$93)*1000)+AY$93</f>
        <v>-0.40000001899898052</v>
      </c>
      <c r="AZ111" s="40">
        <f t="shared" ref="AZ111" si="2383">IF(L111="","",(L111-L$93)*1000)+AZ$93</f>
        <v>-15.099999727681279</v>
      </c>
      <c r="BA111" s="40">
        <f t="shared" ref="BA111" si="2384">IF(M111="","",(M111-M$93)*1000)+BA$93</f>
        <v>-4.2999999999864258</v>
      </c>
      <c r="BB111" s="40">
        <f t="shared" ref="BB111" si="2385">IF(N111="","",(N111-N$93)*1000)+BB$93</f>
        <v>-7.5000000651925802</v>
      </c>
      <c r="BC111" s="40">
        <f t="shared" ref="BC111" si="2386">IF(O111="","",(O111-O$93)*1000)+BC$93</f>
        <v>2.4000001139938831</v>
      </c>
      <c r="BD111" s="40">
        <f t="shared" ref="BD111" si="2387">IF(P111="","",(P111-P$93)*1000)+BD$93</f>
        <v>-33.299999999996999</v>
      </c>
      <c r="BE111" s="40">
        <f t="shared" ref="BE111" si="2388">IF(Q111="","",(Q111-Q$93)*1000)+BE$93</f>
        <v>-6.5000000176951289</v>
      </c>
      <c r="BF111" s="40">
        <f t="shared" ref="BF111" si="2389">IF(R111="","",(R111-R$93)*1000)+BF$93</f>
        <v>8.9000000152736902</v>
      </c>
      <c r="BG111" s="40">
        <f t="shared" ref="BG111" si="2390">IF(S111="","",(S111-S$93)*1000)+BG$93</f>
        <v>-14.499999999998181</v>
      </c>
      <c r="BH111" s="40">
        <f t="shared" ref="BH111" si="2391">IF(T111="","",(T111-T$93)*1000)+BH$93</f>
        <v>-7.8000000212341547</v>
      </c>
      <c r="BI111" s="40">
        <f t="shared" ref="BI111" si="2392">IF(U111="","",(U111-U$93)*1000)+BI$93</f>
        <v>8.4999999962747097</v>
      </c>
      <c r="BJ111" s="40">
        <f t="shared" ref="BJ111" si="2393">IF(V111="","",(V111-V$93)*1000)+BJ$93</f>
        <v>0.19999999999242846</v>
      </c>
      <c r="BK111" s="40">
        <f t="shared" ref="BK111" si="2394">IF(W111="","",(W111-W$93)*1000)+BK$93</f>
        <v>-10.899999877437949</v>
      </c>
      <c r="BL111" s="40">
        <f t="shared" ref="BL111" si="2395">IF(X111="","",(X111-X$93)*1000)+BL$93</f>
        <v>9.5999997574836016</v>
      </c>
      <c r="BM111" s="40">
        <f t="shared" ref="BM111" si="2396">IF(Y111="","",(Y111-Y$93)*1000)+BM$93</f>
        <v>3.2999999999816509</v>
      </c>
      <c r="BN111" s="37"/>
      <c r="BO111" s="36">
        <v>169.321912189643</v>
      </c>
      <c r="BP111" s="36">
        <v>-3.7457831210057893</v>
      </c>
      <c r="BQ111" s="36">
        <v>-1.1447391218964356</v>
      </c>
      <c r="BR111" s="36" t="s">
        <v>81</v>
      </c>
      <c r="BS111" s="36" t="s">
        <v>81</v>
      </c>
      <c r="BT111" s="36" t="s">
        <v>81</v>
      </c>
      <c r="BU111" s="36">
        <v>169.13831180921741</v>
      </c>
      <c r="BV111" s="36">
        <v>-3.2127309656440208</v>
      </c>
      <c r="BW111" s="36">
        <v>2.9811968819078203</v>
      </c>
      <c r="BX111" s="38">
        <v>168.9127855078695</v>
      </c>
      <c r="BY111" s="39">
        <v>0.22885374013200413</v>
      </c>
      <c r="BZ111" s="39">
        <v>4.335752144921301</v>
      </c>
      <c r="CA111" s="38">
        <v>169.15527612645531</v>
      </c>
      <c r="CB111" s="39">
        <v>3.2150756206813154</v>
      </c>
      <c r="CC111" s="39">
        <v>2.9850272387354551</v>
      </c>
      <c r="CD111" s="38">
        <v>169.14648735390375</v>
      </c>
      <c r="CE111" s="39">
        <v>4.2046963599350109</v>
      </c>
      <c r="CF111" s="39">
        <v>0.84971512646096414</v>
      </c>
      <c r="CG111" s="38">
        <v>169.20942438352236</v>
      </c>
      <c r="CH111" s="39">
        <v>3.8747811432384958</v>
      </c>
      <c r="CI111" s="39">
        <v>-1.0685142438352386</v>
      </c>
      <c r="CJ111" s="37"/>
      <c r="CK111" s="40">
        <f t="shared" ref="CK111" si="2397">IF(BO111="","",(BO111-BO$93)*1000)+CK$93</f>
        <v>-6.5153928587164955</v>
      </c>
      <c r="CL111" s="40">
        <f t="shared" ref="CL111" si="2398">IF(BP111="","",(BP111-BP$93)*1000)+CL$93</f>
        <v>13.658306881638715</v>
      </c>
      <c r="CM111" s="40">
        <f t="shared" ref="CM111" si="2399">IF(BQ111="","",(BQ111-BQ$93)*1000)+CM$93</f>
        <v>0.1241539285954385</v>
      </c>
      <c r="CN111" s="40"/>
      <c r="CO111" s="40"/>
      <c r="CP111" s="40"/>
      <c r="CQ111" s="40">
        <f t="shared" ref="CQ111" si="2400">IF(BU111="","",(BU111-BU$93)*1000)+CQ$93</f>
        <v>-6.7266541555000003</v>
      </c>
      <c r="CR111" s="40">
        <f t="shared" ref="CR111" si="2401">IF(BV111="","",(BV111-BV$93)*1000)+CR$93</f>
        <v>13.508506941738663</v>
      </c>
      <c r="CS111" s="40">
        <f t="shared" ref="CS111" si="2402">IF(BW111="","",(BW111-BW$93)*1000)+CS$93</f>
        <v>-4.2357334584464112</v>
      </c>
      <c r="CT111" s="40">
        <f t="shared" ref="CT111" si="2403">IF(BX111="","",(BX111-BX$93)*1000)+CT$93</f>
        <v>-5.8256420753082239</v>
      </c>
      <c r="CU111" s="40">
        <f t="shared" ref="CU111" si="2404">IF(BY111="","",(BY111-BY$93)*1000)+CU$93</f>
        <v>-5.3531880151204412</v>
      </c>
      <c r="CV111" s="40">
        <f t="shared" ref="CV111" si="2405">IF(BZ111="","",(BZ111-BZ$93)*1000)+CV$93</f>
        <v>-33.28574357924996</v>
      </c>
      <c r="CW111" s="40">
        <f t="shared" ref="CW111" si="2406">IF(CA111="","",(CA111-CA$93)*1000)+CW$93</f>
        <v>-2.1337679056045999</v>
      </c>
      <c r="CX111" s="40">
        <f t="shared" ref="CX111" si="2407">IF(CB111="","",(CB111-CB$93)*1000)+CX$93</f>
        <v>-10.810686363609268</v>
      </c>
      <c r="CY111" s="40">
        <f t="shared" ref="CY111" si="2408">IF(CC111="","",(CC111-CC$93)*1000)+CY$93</f>
        <v>-14.440662320934994</v>
      </c>
      <c r="CZ111" s="40">
        <f t="shared" si="2328"/>
        <v>-3.4994032836550559</v>
      </c>
      <c r="DA111" s="40">
        <f t="shared" si="2329"/>
        <v>-10.994302734054884</v>
      </c>
      <c r="DB111" s="40">
        <f t="shared" si="2330"/>
        <v>0.26299403284280043</v>
      </c>
      <c r="DC111" s="40">
        <f t="shared" ref="DC111" si="2409">IF(CG111="","",(CG111-CG$93)*1000)+DC$93</f>
        <v>-5.8322473407486086</v>
      </c>
      <c r="DD111" s="40">
        <f t="shared" ref="DD111" si="2410">IF(CH111="","",(CH111-CH$93)*1000)+DD$93</f>
        <v>-13.300553843959229</v>
      </c>
      <c r="DE111" s="40">
        <f t="shared" ref="DE111" si="2411">IF(CI111="","",(CI111-CI$93)*1000)+DE$93</f>
        <v>3.3533224733803824</v>
      </c>
    </row>
    <row r="112" spans="1:109" ht="37.5" customHeight="1" x14ac:dyDescent="0.2">
      <c r="A112" s="34">
        <v>44378</v>
      </c>
      <c r="B112" s="27">
        <f t="shared" si="2263"/>
        <v>779</v>
      </c>
      <c r="C112" s="35">
        <v>222.9</v>
      </c>
      <c r="D112" s="35">
        <f t="shared" ref="D112" si="2412">C112-PM</f>
        <v>53.700000000000017</v>
      </c>
      <c r="E112" s="36">
        <v>823219.54700000002</v>
      </c>
      <c r="F112" s="36">
        <v>1091508.5601999999</v>
      </c>
      <c r="G112" s="36">
        <v>-124.9948</v>
      </c>
      <c r="H112" s="36"/>
      <c r="I112" s="36"/>
      <c r="J112" s="36"/>
      <c r="K112" s="36">
        <v>823219.60530000005</v>
      </c>
      <c r="L112" s="36">
        <v>1091507.9994000001</v>
      </c>
      <c r="M112" s="36">
        <v>-120.8703</v>
      </c>
      <c r="N112" s="36">
        <v>823220.85589999997</v>
      </c>
      <c r="O112" s="36">
        <v>1091504.7849000001</v>
      </c>
      <c r="P112" s="36">
        <v>-119.5179</v>
      </c>
      <c r="Q112" s="36">
        <v>823222.33759999997</v>
      </c>
      <c r="R112" s="36">
        <v>1091502.1806999999</v>
      </c>
      <c r="S112" s="36">
        <v>-120.8661</v>
      </c>
      <c r="T112" s="36">
        <v>823222.74769999995</v>
      </c>
      <c r="U112" s="36">
        <v>1091501.2801000001</v>
      </c>
      <c r="V112" s="36">
        <v>-123.0018</v>
      </c>
      <c r="W112" s="36">
        <v>823222.66590000002</v>
      </c>
      <c r="X112" s="36">
        <v>1091501.6057</v>
      </c>
      <c r="Y112" s="36">
        <v>-124.9194</v>
      </c>
      <c r="Z112" s="36">
        <f t="shared" si="1490"/>
        <v>6.779568047362754</v>
      </c>
      <c r="AA112" s="36"/>
      <c r="AB112" s="36">
        <f t="shared" si="1683"/>
        <v>3.7048611809070642</v>
      </c>
      <c r="AC112" s="36">
        <f t="shared" si="1492"/>
        <v>3.2855647567700381</v>
      </c>
      <c r="AD112" s="36">
        <f t="shared" si="1493"/>
        <v>5.2915110781233334</v>
      </c>
      <c r="AE112" s="36">
        <f t="shared" si="1494"/>
        <v>6.5237730563705671</v>
      </c>
      <c r="AF112" s="36">
        <f t="shared" si="1684"/>
        <v>6.4282774225770005</v>
      </c>
      <c r="AG112" s="36"/>
      <c r="AH112" s="36">
        <f t="shared" si="1496"/>
        <v>7.6222236007548672</v>
      </c>
      <c r="AI112" s="40">
        <f t="shared" ref="AI112" si="2413">IF(Z112="","",(Z112-Z$10)*1000)</f>
        <v>-37.383248462936614</v>
      </c>
      <c r="AJ112" s="40"/>
      <c r="AK112" s="40">
        <f t="shared" ref="AK112" si="2414">IF(AB112="","",(AB112-AB$10)*1000)</f>
        <v>-27.664091528269097</v>
      </c>
      <c r="AL112" s="40">
        <f t="shared" ref="AL112" si="2415">IF(AC112="","",(AC112-AC$10)*1000)</f>
        <v>-12.124000464728724</v>
      </c>
      <c r="AM112" s="40">
        <f t="shared" ref="AM112" si="2416">IF(AD112="","",(AD112-AD$10)*1000)</f>
        <v>-25.754989135093886</v>
      </c>
      <c r="AN112" s="40">
        <f t="shared" ref="AN112" si="2417">IF(AE112="","",(AE112-AE$10)*1000)</f>
        <v>-34.232193644021081</v>
      </c>
      <c r="AO112" s="40">
        <f t="shared" ref="AO112" si="2418">IF(AF112="","",(AF112-AF$10)*1000)</f>
        <v>-23.326208142046667</v>
      </c>
      <c r="AP112" s="40"/>
      <c r="AQ112" s="40">
        <f t="shared" ref="AQ112:AQ114" si="2419">IF(AH112="","",(AH112-AH$10)*1000)</f>
        <v>-25.794563959355088</v>
      </c>
      <c r="AR112" s="37"/>
      <c r="AS112" s="40">
        <f t="shared" ref="AS112" si="2420">IF(E112="","",(E112-E$93)*1000)+AS$93</f>
        <v>0.40000001899898052</v>
      </c>
      <c r="AT112" s="40">
        <f t="shared" ref="AT112" si="2421">IF(F112="","",(F112-F$93)*1000)+AT$93</f>
        <v>-14.900000067427754</v>
      </c>
      <c r="AU112" s="40">
        <f t="shared" ref="AU112" si="2422">IF(G112="","",(G112-G$93)*1000)+AU$93</f>
        <v>-0.29999999999574811</v>
      </c>
      <c r="AV112" s="40"/>
      <c r="AW112" s="40"/>
      <c r="AX112" s="40"/>
      <c r="AY112" s="40">
        <f t="shared" ref="AY112" si="2423">IF(K112="","",(K112-K$93)*1000)+AY$93</f>
        <v>-0.49999996554106474</v>
      </c>
      <c r="AZ112" s="40">
        <f t="shared" ref="AZ112" si="2424">IF(L112="","",(L112-L$93)*1000)+AZ$93</f>
        <v>-14.999999664723873</v>
      </c>
      <c r="BA112" s="40">
        <f t="shared" ref="BA112" si="2425">IF(M112="","",(M112-M$93)*1000)+BA$93</f>
        <v>-4.2999999999864258</v>
      </c>
      <c r="BB112" s="40">
        <f t="shared" ref="BB112" si="2426">IF(N112="","",(N112-N$93)*1000)+BB$93</f>
        <v>-7.2000001091510057</v>
      </c>
      <c r="BC112" s="40">
        <f t="shared" ref="BC112" si="2427">IF(O112="","",(O112-O$93)*1000)+BC$93</f>
        <v>2.4000001139938831</v>
      </c>
      <c r="BD112" s="40">
        <f t="shared" ref="BD112" si="2428">IF(P112="","",(P112-P$93)*1000)+BD$93</f>
        <v>-33.199999999993679</v>
      </c>
      <c r="BE112" s="40">
        <f t="shared" ref="BE112" si="2429">IF(Q112="","",(Q112-Q$93)*1000)+BE$93</f>
        <v>-6.4000000711530447</v>
      </c>
      <c r="BF112" s="40">
        <f t="shared" ref="BF112" si="2430">IF(R112="","",(R112-R$93)*1000)+BF$93</f>
        <v>8.5999998264014721</v>
      </c>
      <c r="BG112" s="40">
        <f t="shared" ref="BG112" si="2431">IF(S112="","",(S112-S$93)*1000)+BG$93</f>
        <v>-14.300000000005753</v>
      </c>
      <c r="BH112" s="40">
        <f t="shared" ref="BH112" si="2432">IF(T112="","",(T112-T$93)*1000)+BH$93</f>
        <v>-7.9000000841915607</v>
      </c>
      <c r="BI112" s="40">
        <f t="shared" ref="BI112" si="2433">IF(U112="","",(U112-U$93)*1000)+BI$93</f>
        <v>8.2000000402331352</v>
      </c>
      <c r="BJ112" s="40">
        <f t="shared" ref="BJ112" si="2434">IF(V112="","",(V112-V$93)*1000)+BJ$93</f>
        <v>9.9999999989108801E-2</v>
      </c>
      <c r="BK112" s="40">
        <f t="shared" ref="BK112" si="2435">IF(W112="","",(W112-W$93)*1000)+BK$93</f>
        <v>-10.399999911896884</v>
      </c>
      <c r="BL112" s="40">
        <f t="shared" ref="BL112" si="2436">IF(X112="","",(X112-X$93)*1000)+BL$93</f>
        <v>9.2999998014420271</v>
      </c>
      <c r="BM112" s="40">
        <f t="shared" ref="BM112" si="2437">IF(Y112="","",(Y112-Y$93)*1000)+BM$93</f>
        <v>3.1999999999925421</v>
      </c>
      <c r="BN112" s="37"/>
      <c r="BO112" s="36">
        <v>169.32244986599318</v>
      </c>
      <c r="BP112" s="36">
        <v>-3.7457530533282499</v>
      </c>
      <c r="BQ112" s="36">
        <v>-1.1451444986599313</v>
      </c>
      <c r="BR112" s="36" t="s">
        <v>81</v>
      </c>
      <c r="BS112" s="36" t="s">
        <v>81</v>
      </c>
      <c r="BT112" s="36" t="s">
        <v>81</v>
      </c>
      <c r="BU112" s="36">
        <v>169.13826344528857</v>
      </c>
      <c r="BV112" s="36">
        <v>-3.2128638600844024</v>
      </c>
      <c r="BW112" s="36">
        <v>2.9811973655471178</v>
      </c>
      <c r="BX112" s="38">
        <v>168.91305739544441</v>
      </c>
      <c r="BY112" s="39">
        <v>0.22898053571642207</v>
      </c>
      <c r="BZ112" s="39">
        <v>4.3358494260455558</v>
      </c>
      <c r="CA112" s="38">
        <v>169.15523995992893</v>
      </c>
      <c r="CB112" s="39">
        <v>3.2153897736456689</v>
      </c>
      <c r="CC112" s="39">
        <v>2.9852276004007052</v>
      </c>
      <c r="CD112" s="38">
        <v>169.14626992905733</v>
      </c>
      <c r="CE112" s="39">
        <v>4.2049259822822709</v>
      </c>
      <c r="CF112" s="39">
        <v>0.84961730070942565</v>
      </c>
      <c r="CG112" s="38">
        <v>169.20975073393129</v>
      </c>
      <c r="CH112" s="39">
        <v>3.8752643568038705</v>
      </c>
      <c r="CI112" s="39">
        <v>-1.0686175073393116</v>
      </c>
      <c r="CJ112" s="37"/>
      <c r="CK112" s="40">
        <f t="shared" ref="CK112" si="2438">IF(BO112="","",(BO112-BO$93)*1000)+CK$93</f>
        <v>-5.977716508539288</v>
      </c>
      <c r="CL112" s="40">
        <f t="shared" ref="CL112" si="2439">IF(BP112="","",(BP112-BP$93)*1000)+CL$93</f>
        <v>13.68837455917804</v>
      </c>
      <c r="CM112" s="40">
        <f t="shared" ref="CM112" si="2440">IF(BQ112="","",(BQ112-BQ$93)*1000)+CM$93</f>
        <v>-0.28122283490028543</v>
      </c>
      <c r="CN112" s="40"/>
      <c r="CO112" s="40"/>
      <c r="CP112" s="40"/>
      <c r="CQ112" s="40">
        <f t="shared" ref="CQ112" si="2441">IF(BU112="","",(BU112-BU$93)*1000)+CQ$93</f>
        <v>-6.7750180843404451</v>
      </c>
      <c r="CR112" s="40">
        <f t="shared" ref="CR112" si="2442">IF(BV112="","",(BV112-BV$93)*1000)+CR$93</f>
        <v>13.375612501357104</v>
      </c>
      <c r="CS112" s="40">
        <f t="shared" ref="CS112" si="2443">IF(BW112="","",(BW112-BW$93)*1000)+CS$93</f>
        <v>-4.2352498191489119</v>
      </c>
      <c r="CT112" s="40">
        <f t="shared" ref="CT112" si="2444">IF(BX112="","",(BX112-BX$93)*1000)+CT$93</f>
        <v>-5.55375450039719</v>
      </c>
      <c r="CU112" s="40">
        <f t="shared" ref="CU112" si="2445">IF(BY112="","",(BY112-BY$93)*1000)+CU$93</f>
        <v>-5.2263924307024974</v>
      </c>
      <c r="CV112" s="40">
        <f t="shared" ref="CV112" si="2446">IF(BZ112="","",(BZ112-BZ$93)*1000)+CV$93</f>
        <v>-33.188462454995182</v>
      </c>
      <c r="CW112" s="40">
        <f t="shared" ref="CW112" si="2447">IF(CA112="","",(CA112-CA$93)*1000)+CW$93</f>
        <v>-2.1699344319756619</v>
      </c>
      <c r="CX112" s="40">
        <f t="shared" ref="CX112" si="2448">IF(CB112="","",(CB112-CB$93)*1000)+CX$93</f>
        <v>-10.496533399255714</v>
      </c>
      <c r="CY112" s="40">
        <f t="shared" ref="CY112" si="2449">IF(CC112="","",(CC112-CC$93)*1000)+CY$93</f>
        <v>-14.240300655684823</v>
      </c>
      <c r="CZ112" s="40">
        <f t="shared" ref="CZ112" si="2450">IF(CD112="","",(CD112-CD$93)*1000)+CZ$93</f>
        <v>-3.7168281300807848</v>
      </c>
      <c r="DA112" s="40">
        <f t="shared" ref="DA112" si="2451">IF(CE112="","",(CE112-CE$93)*1000)+DA$93</f>
        <v>-10.7646803867949</v>
      </c>
      <c r="DB112" s="40">
        <f t="shared" ref="DB112" si="2452">IF(CF112="","",(CF112-CF$93)*1000)+DB$93</f>
        <v>0.1651682813043065</v>
      </c>
      <c r="DC112" s="40">
        <f t="shared" ref="DC112" si="2453">IF(CG112="","",(CG112-CG$93)*1000)+DC$93</f>
        <v>-5.5058969318224626</v>
      </c>
      <c r="DD112" s="40">
        <f t="shared" ref="DD112" si="2454">IF(CH112="","",(CH112-CH$93)*1000)+DD$93</f>
        <v>-12.817340278584499</v>
      </c>
      <c r="DE112" s="40">
        <f t="shared" ref="DE112" si="2455">IF(CI112="","",(CI112-CI$93)*1000)+DE$93</f>
        <v>3.2500589693074122</v>
      </c>
    </row>
    <row r="113" spans="1:109" ht="37.5" customHeight="1" x14ac:dyDescent="0.2">
      <c r="A113" s="34">
        <v>44392</v>
      </c>
      <c r="B113" s="27">
        <f t="shared" si="2263"/>
        <v>793</v>
      </c>
      <c r="C113" s="35">
        <v>222.9</v>
      </c>
      <c r="D113" s="35">
        <f t="shared" ref="D113:D114" si="2456">C113-PM</f>
        <v>53.700000000000017</v>
      </c>
      <c r="E113" s="36">
        <v>823219.54709999997</v>
      </c>
      <c r="F113" s="36">
        <v>1091508.5608000001</v>
      </c>
      <c r="G113" s="36">
        <v>-124.9948</v>
      </c>
      <c r="H113" s="36"/>
      <c r="I113" s="36"/>
      <c r="J113" s="36"/>
      <c r="K113" s="36">
        <v>823219.60580000002</v>
      </c>
      <c r="L113" s="36">
        <v>1091508.0001000001</v>
      </c>
      <c r="M113" s="36">
        <v>-120.87009999999999</v>
      </c>
      <c r="N113" s="36">
        <v>823220.85629999998</v>
      </c>
      <c r="O113" s="36">
        <v>1091504.7853000001</v>
      </c>
      <c r="P113" s="36">
        <v>-119.518</v>
      </c>
      <c r="Q113" s="36">
        <v>823222.33810000005</v>
      </c>
      <c r="R113" s="36">
        <v>1091502.1812</v>
      </c>
      <c r="S113" s="36">
        <v>-120.86620000000001</v>
      </c>
      <c r="T113" s="36"/>
      <c r="U113" s="36"/>
      <c r="V113" s="36"/>
      <c r="W113" s="36"/>
      <c r="X113" s="36"/>
      <c r="Y113" s="36"/>
      <c r="Z113" s="36">
        <f t="shared" si="1490"/>
        <v>6.7796565643078415</v>
      </c>
      <c r="AA113" s="36"/>
      <c r="AB113" s="36">
        <f t="shared" si="1683"/>
        <v>3.7049782320066522</v>
      </c>
      <c r="AC113" s="36">
        <f t="shared" si="1492"/>
        <v>3.2855305950162768</v>
      </c>
      <c r="AD113" s="36"/>
      <c r="AE113" s="36"/>
      <c r="AF113" s="36">
        <f t="shared" si="1684"/>
        <v>6.4284582685901581</v>
      </c>
      <c r="AG113" s="36"/>
      <c r="AH113" s="36" t="str">
        <f t="shared" si="1496"/>
        <v/>
      </c>
      <c r="AI113" s="40">
        <f t="shared" ref="AI113:AI114" si="2457">IF(Z113="","",(Z113-Z$10)*1000)</f>
        <v>-37.294731517849122</v>
      </c>
      <c r="AJ113" s="40"/>
      <c r="AK113" s="40">
        <f t="shared" ref="AK113" si="2458">IF(AB113="","",(AB113-AB$10)*1000)</f>
        <v>-27.547040428681058</v>
      </c>
      <c r="AL113" s="40">
        <f t="shared" ref="AL113" si="2459">IF(AC113="","",(AC113-AC$10)*1000)</f>
        <v>-12.158162218490087</v>
      </c>
      <c r="AM113" s="40" t="str">
        <f t="shared" ref="AM113:AM114" si="2460">IF(AD113="","",(AD113-AD$10)*1000)</f>
        <v/>
      </c>
      <c r="AN113" s="40" t="str">
        <f t="shared" ref="AN113:AN115" si="2461">IF(AE113="","",(AE113-AE$10)*1000)</f>
        <v/>
      </c>
      <c r="AO113" s="40">
        <f t="shared" ref="AO113:AO114" si="2462">IF(AF113="","",(AF113-AF$10)*1000)</f>
        <v>-23.145362128889069</v>
      </c>
      <c r="AP113" s="40"/>
      <c r="AQ113" s="40" t="str">
        <f t="shared" ref="AQ113" si="2463">IF(AH113="","",(AH113-AH$10)*1000)</f>
        <v/>
      </c>
      <c r="AR113" s="37"/>
      <c r="AS113" s="40">
        <f t="shared" ref="AS113" si="2464">IF(E113="","",(E113-E$93)*1000)+AS$93</f>
        <v>0.49999996554106474</v>
      </c>
      <c r="AT113" s="40">
        <f t="shared" ref="AT113" si="2465">IF(F113="","",(F113-F$93)*1000)+AT$93</f>
        <v>-14.299999922513962</v>
      </c>
      <c r="AU113" s="40">
        <f t="shared" ref="AU113" si="2466">IF(G113="","",(G113-G$93)*1000)+AU$93</f>
        <v>-0.29999999999574811</v>
      </c>
      <c r="AV113" s="40"/>
      <c r="AW113" s="40"/>
      <c r="AX113" s="40"/>
      <c r="AY113" s="40">
        <f t="shared" ref="AY113" si="2467">IF(K113="","",(K113-K$93)*1000)+AY$93</f>
        <v>0</v>
      </c>
      <c r="AZ113" s="40">
        <f t="shared" ref="AZ113" si="2468">IF(L113="","",(L113-L$93)*1000)+AZ$93</f>
        <v>-14.299999689683318</v>
      </c>
      <c r="BA113" s="40">
        <f t="shared" ref="BA113" si="2469">IF(M113="","",(M113-M$93)*1000)+BA$93</f>
        <v>-4.0999999999797865</v>
      </c>
      <c r="BB113" s="40">
        <f t="shared" ref="BB113" si="2470">IF(N113="","",(N113-N$93)*1000)+BB$93</f>
        <v>-6.8000000901520252</v>
      </c>
      <c r="BC113" s="40">
        <f t="shared" ref="BC113" si="2471">IF(O113="","",(O113-O$93)*1000)+BC$93</f>
        <v>2.8000001329928637</v>
      </c>
      <c r="BD113" s="40">
        <f t="shared" ref="BD113" si="2472">IF(P113="","",(P113-P$93)*1000)+BD$93</f>
        <v>-33.299999999996999</v>
      </c>
      <c r="BE113" s="40">
        <f t="shared" ref="BE113" si="2473">IF(Q113="","",(Q113-Q$93)*1000)+BE$93</f>
        <v>-5.8999999891966581</v>
      </c>
      <c r="BF113" s="40">
        <f t="shared" ref="BF113" si="2474">IF(R113="","",(R113-R$93)*1000)+BF$93</f>
        <v>9.0999999083578587</v>
      </c>
      <c r="BG113" s="40">
        <f t="shared" ref="BG113" si="2475">IF(S113="","",(S113-S$93)*1000)+BG$93</f>
        <v>-14.400000000009072</v>
      </c>
      <c r="BH113" s="40"/>
      <c r="BI113" s="40"/>
      <c r="BJ113" s="40"/>
      <c r="BK113" s="40"/>
      <c r="BL113" s="40"/>
      <c r="BM113" s="40"/>
      <c r="BN113" s="37"/>
      <c r="BO113" s="36">
        <v>169.32279408641693</v>
      </c>
      <c r="BP113" s="36">
        <v>-3.7462545635106763</v>
      </c>
      <c r="BQ113" s="36">
        <v>-1.1451479408641774</v>
      </c>
      <c r="BR113" s="36" t="s">
        <v>81</v>
      </c>
      <c r="BS113" s="36" t="s">
        <v>81</v>
      </c>
      <c r="BT113" s="36" t="s">
        <v>81</v>
      </c>
      <c r="BU113" s="36">
        <v>169.13901244767843</v>
      </c>
      <c r="BV113" s="36">
        <v>-3.2132869385057266</v>
      </c>
      <c r="BW113" s="36">
        <v>2.9813898755232202</v>
      </c>
      <c r="BX113" s="38">
        <v>168.91358897309334</v>
      </c>
      <c r="BY113" s="39">
        <v>0.22878707969163037</v>
      </c>
      <c r="BZ113" s="39">
        <v>4.3357441102690615</v>
      </c>
      <c r="CA113" s="38">
        <v>169.15590443206747</v>
      </c>
      <c r="CB113" s="39">
        <v>3.2151479535864778</v>
      </c>
      <c r="CC113" s="39">
        <v>2.9851209556793208</v>
      </c>
      <c r="CD113" s="38"/>
      <c r="CE113" s="39"/>
      <c r="CF113" s="39"/>
      <c r="CG113" s="38"/>
      <c r="CH113" s="39"/>
      <c r="CI113" s="39"/>
      <c r="CJ113" s="37"/>
      <c r="CK113" s="40">
        <f t="shared" ref="CK113" si="2476">IF(BO113="","",(BO113-BO$93)*1000)+CK$93</f>
        <v>-5.6334960847834736</v>
      </c>
      <c r="CL113" s="40">
        <f t="shared" ref="CL113" si="2477">IF(BP113="","",(BP113-BP$93)*1000)+CL$93</f>
        <v>13.18686437675165</v>
      </c>
      <c r="CM113" s="40">
        <f t="shared" ref="CM113" si="2478">IF(BQ113="","",(BQ113-BQ$93)*1000)+CM$93</f>
        <v>-0.28466503914637009</v>
      </c>
      <c r="CN113" s="40"/>
      <c r="CO113" s="40"/>
      <c r="CP113" s="40"/>
      <c r="CQ113" s="40">
        <f t="shared" ref="CQ113:CQ114" si="2479">IF(BU113="","",(BU113-BU$93)*1000)+CQ$93</f>
        <v>-6.0260156944877963</v>
      </c>
      <c r="CR113" s="40">
        <f t="shared" ref="CR113:CR114" si="2480">IF(BV113="","",(BV113-BV$93)*1000)+CR$93</f>
        <v>12.95253408003294</v>
      </c>
      <c r="CS113" s="40">
        <f t="shared" ref="CS113:CS114" si="2481">IF(BW113="","",(BW113-BW$93)*1000)+CS$93</f>
        <v>-4.0427398430464834</v>
      </c>
      <c r="CT113" s="40">
        <f t="shared" ref="CT113:CT114" si="2482">IF(BX113="","",(BX113-BX$93)*1000)+CT$93</f>
        <v>-5.0221768514688847</v>
      </c>
      <c r="CU113" s="40">
        <f t="shared" ref="CU113:CU114" si="2483">IF(BY113="","",(BY113-BY$93)*1000)+CU$93</f>
        <v>-5.4198484554942024</v>
      </c>
      <c r="CV113" s="40">
        <f t="shared" ref="CV113:CV114" si="2484">IF(BZ113="","",(BZ113-BZ$93)*1000)+CV$93</f>
        <v>-33.29377823148949</v>
      </c>
      <c r="CW113" s="40">
        <f t="shared" ref="CW113:CW114" si="2485">IF(CA113="","",(CA113-CA$93)*1000)+CW$93</f>
        <v>-1.5054622934371764</v>
      </c>
      <c r="CX113" s="40">
        <f t="shared" ref="CX113:CX114" si="2486">IF(CB113="","",(CB113-CB$93)*1000)+CX$93</f>
        <v>-10.73835345844687</v>
      </c>
      <c r="CY113" s="40">
        <f t="shared" ref="CY113:CY114" si="2487">IF(CC113="","",(CC113-CC$93)*1000)+CY$93</f>
        <v>-14.346945377069265</v>
      </c>
      <c r="CZ113" s="40"/>
      <c r="DA113" s="40"/>
      <c r="DB113" s="40"/>
      <c r="DC113" s="40"/>
      <c r="DD113" s="40"/>
      <c r="DE113" s="40"/>
    </row>
    <row r="114" spans="1:109" ht="37.5" customHeight="1" x14ac:dyDescent="0.2">
      <c r="A114" s="34">
        <v>44400</v>
      </c>
      <c r="B114" s="27">
        <f t="shared" si="2263"/>
        <v>801</v>
      </c>
      <c r="C114" s="35">
        <v>222.9</v>
      </c>
      <c r="D114" s="35">
        <f t="shared" si="2456"/>
        <v>53.700000000000017</v>
      </c>
      <c r="E114" s="36">
        <v>823219.54639999999</v>
      </c>
      <c r="F114" s="36">
        <v>1091508.5595</v>
      </c>
      <c r="G114" s="36">
        <v>-124.9944</v>
      </c>
      <c r="H114" s="36"/>
      <c r="I114" s="36"/>
      <c r="J114" s="36"/>
      <c r="K114" s="36">
        <v>823219.60519999999</v>
      </c>
      <c r="L114" s="36">
        <v>1091507.9987999999</v>
      </c>
      <c r="M114" s="36">
        <v>-120.8704</v>
      </c>
      <c r="N114" s="36">
        <v>823220.85549999995</v>
      </c>
      <c r="O114" s="36">
        <v>1091504.7848</v>
      </c>
      <c r="P114" s="36">
        <v>-119.5185</v>
      </c>
      <c r="Q114" s="36">
        <v>823222.33750000002</v>
      </c>
      <c r="R114" s="36">
        <v>1091502.1810000001</v>
      </c>
      <c r="S114" s="36">
        <v>-120.8665</v>
      </c>
      <c r="T114" s="36">
        <v>823222.74750000006</v>
      </c>
      <c r="U114" s="36">
        <v>1091501.2804</v>
      </c>
      <c r="V114" s="36">
        <v>-123.0018</v>
      </c>
      <c r="W114" s="36"/>
      <c r="X114" s="36"/>
      <c r="Y114" s="36"/>
      <c r="Z114" s="36">
        <f t="shared" si="1490"/>
        <v>6.7784647015021555</v>
      </c>
      <c r="AA114" s="36"/>
      <c r="AB114" s="36">
        <f t="shared" si="1683"/>
        <v>3.7041435851455913</v>
      </c>
      <c r="AC114" s="36">
        <f t="shared" si="1492"/>
        <v>3.2853009664005723</v>
      </c>
      <c r="AD114" s="36">
        <f t="shared" si="1493"/>
        <v>5.2909226275050765</v>
      </c>
      <c r="AE114" s="36"/>
      <c r="AF114" s="36">
        <f t="shared" si="1684"/>
        <v>6.4274625894177904</v>
      </c>
      <c r="AG114" s="36"/>
      <c r="AH114" s="36" t="str">
        <f t="shared" si="1496"/>
        <v/>
      </c>
      <c r="AI114" s="40">
        <f t="shared" si="2457"/>
        <v>-38.486594323535073</v>
      </c>
      <c r="AJ114" s="40"/>
      <c r="AK114" s="40">
        <f t="shared" ref="AK114" si="2488">IF(AB114="","",(AB114-AB$10)*1000)</f>
        <v>-28.381687289741997</v>
      </c>
      <c r="AL114" s="40">
        <f t="shared" ref="AL114" si="2489">IF(AC114="","",(AC114-AC$10)*1000)</f>
        <v>-12.387790834194501</v>
      </c>
      <c r="AM114" s="40">
        <f t="shared" si="2460"/>
        <v>-26.34343975335085</v>
      </c>
      <c r="AN114" s="40" t="str">
        <f t="shared" si="2461"/>
        <v/>
      </c>
      <c r="AO114" s="40">
        <f t="shared" si="2462"/>
        <v>-24.141041301256827</v>
      </c>
      <c r="AP114" s="40"/>
      <c r="AQ114" s="40" t="str">
        <f t="shared" si="2419"/>
        <v/>
      </c>
      <c r="AR114" s="37"/>
      <c r="AS114" s="40">
        <f t="shared" ref="AS114" si="2490">IF(E114="","",(E114-E$93)*1000)+AS$93</f>
        <v>-0.20000000949949026</v>
      </c>
      <c r="AT114" s="40">
        <f t="shared" ref="AT114" si="2491">IF(F114="","",(F114-F$93)*1000)+AT$93</f>
        <v>-15.600000042468309</v>
      </c>
      <c r="AU114" s="40">
        <f t="shared" ref="AU114" si="2492">IF(G114="","",(G114-G$93)*1000)+AU$93</f>
        <v>0.10000000000331966</v>
      </c>
      <c r="AV114" s="40"/>
      <c r="AW114" s="40"/>
      <c r="AX114" s="40"/>
      <c r="AY114" s="40">
        <f t="shared" ref="AY114" si="2493">IF(K114="","",(K114-K$93)*1000)+AY$93</f>
        <v>-0.60000002849847078</v>
      </c>
      <c r="AZ114" s="40">
        <f t="shared" ref="AZ114" si="2494">IF(L114="","",(L114-L$93)*1000)+AZ$93</f>
        <v>-15.599999809637666</v>
      </c>
      <c r="BA114" s="40">
        <f t="shared" ref="BA114" si="2495">IF(M114="","",(M114-M$93)*1000)+BA$93</f>
        <v>-4.3999999999897454</v>
      </c>
      <c r="BB114" s="40">
        <f t="shared" ref="BB114" si="2496">IF(N114="","",(N114-N$93)*1000)+BB$93</f>
        <v>-7.6000001281499863</v>
      </c>
      <c r="BC114" s="40">
        <f t="shared" ref="BC114" si="2497">IF(O114="","",(O114-O$93)*1000)+BC$93</f>
        <v>2.3000000510364771</v>
      </c>
      <c r="BD114" s="40">
        <f t="shared" ref="BD114" si="2498">IF(P114="","",(P114-P$93)*1000)+BD$93</f>
        <v>-33.799999999999386</v>
      </c>
      <c r="BE114" s="40">
        <f t="shared" ref="BE114" si="2499">IF(Q114="","",(Q114-Q$93)*1000)+BE$93</f>
        <v>-6.5000000176951289</v>
      </c>
      <c r="BF114" s="40">
        <f t="shared" ref="BF114" si="2500">IF(R114="","",(R114-R$93)*1000)+BF$93</f>
        <v>8.9000000152736902</v>
      </c>
      <c r="BG114" s="40">
        <f t="shared" ref="BG114" si="2501">IF(S114="","",(S114-S$93)*1000)+BG$93</f>
        <v>-14.70000000000482</v>
      </c>
      <c r="BH114" s="40">
        <f t="shared" ref="BH114" si="2502">IF(T114="","",(T114-T$93)*1000)+BH$93</f>
        <v>-8.0999999772757292</v>
      </c>
      <c r="BI114" s="40">
        <f t="shared" ref="BI114" si="2503">IF(U114="","",(U114-U$93)*1000)+BI$93</f>
        <v>8.4999999962747097</v>
      </c>
      <c r="BJ114" s="40">
        <f t="shared" ref="BJ114" si="2504">IF(V114="","",(V114-V$93)*1000)+BJ$93</f>
        <v>9.9999999989108801E-2</v>
      </c>
      <c r="BK114" s="40"/>
      <c r="BL114" s="40"/>
      <c r="BM114" s="40"/>
      <c r="BN114" s="37"/>
      <c r="BO114" s="36">
        <v>169.32161023434134</v>
      </c>
      <c r="BP114" s="36">
        <v>-3.7453722401345777</v>
      </c>
      <c r="BQ114" s="36">
        <v>-1.1447361023434155</v>
      </c>
      <c r="BR114" s="36" t="s">
        <v>81</v>
      </c>
      <c r="BS114" s="36" t="s">
        <v>81</v>
      </c>
      <c r="BT114" s="36" t="s">
        <v>81</v>
      </c>
      <c r="BU114" s="36">
        <v>169.13791922475929</v>
      </c>
      <c r="BV114" s="36">
        <v>-3.2123623499511935</v>
      </c>
      <c r="BW114" s="36">
        <v>2.9811008077523979</v>
      </c>
      <c r="BX114" s="38">
        <v>168.91265261337989</v>
      </c>
      <c r="BY114" s="39">
        <v>0.22890210416634338</v>
      </c>
      <c r="BZ114" s="39">
        <v>4.3352534738661888</v>
      </c>
      <c r="CA114" s="38">
        <v>169.15527612645531</v>
      </c>
      <c r="CB114" s="39">
        <v>3.2150756206813154</v>
      </c>
      <c r="CC114" s="39">
        <v>2.9848272387354484</v>
      </c>
      <c r="CD114" s="38">
        <v>169.14621546632884</v>
      </c>
      <c r="CE114" s="39">
        <v>4.2045695643505621</v>
      </c>
      <c r="CF114" s="39">
        <v>0.84961784533670937</v>
      </c>
      <c r="CG114" s="38" t="s">
        <v>81</v>
      </c>
      <c r="CH114" s="39" t="s">
        <v>81</v>
      </c>
      <c r="CI114" s="39" t="s">
        <v>81</v>
      </c>
      <c r="CJ114" s="37"/>
      <c r="CK114" s="40">
        <f t="shared" ref="CK114" si="2505">IF(BO114="","",(BO114-BO$93)*1000)+CK$93</f>
        <v>-6.8173481603821529</v>
      </c>
      <c r="CL114" s="40">
        <f t="shared" ref="CL114" si="2506">IF(BP114="","",(BP114-BP$93)*1000)+CL$93</f>
        <v>14.069187752850265</v>
      </c>
      <c r="CM114" s="40">
        <f t="shared" ref="CM114" si="2507">IF(BQ114="","",(BQ114-BQ$93)*1000)+CM$93</f>
        <v>0.12717348161550568</v>
      </c>
      <c r="CN114" s="40"/>
      <c r="CO114" s="40"/>
      <c r="CP114" s="40"/>
      <c r="CQ114" s="40">
        <f t="shared" si="2479"/>
        <v>-7.1192386136260666</v>
      </c>
      <c r="CR114" s="40">
        <f t="shared" si="2480"/>
        <v>13.877122634565975</v>
      </c>
      <c r="CS114" s="40">
        <f t="shared" si="2481"/>
        <v>-4.3318076138687545</v>
      </c>
      <c r="CT114" s="40">
        <f t="shared" si="2482"/>
        <v>-5.9585365649184041</v>
      </c>
      <c r="CU114" s="40">
        <f t="shared" si="2483"/>
        <v>-5.3048239807811921</v>
      </c>
      <c r="CV114" s="40">
        <f t="shared" si="2484"/>
        <v>-33.784414634362214</v>
      </c>
      <c r="CW114" s="40">
        <f t="shared" si="2485"/>
        <v>-2.1337679056045999</v>
      </c>
      <c r="CX114" s="40">
        <f t="shared" si="2486"/>
        <v>-10.810686363609268</v>
      </c>
      <c r="CY114" s="40">
        <f t="shared" si="2487"/>
        <v>-14.640662320941633</v>
      </c>
      <c r="CZ114" s="40">
        <f t="shared" ref="CZ114" si="2508">IF(CD114="","",(CD114-CD$93)*1000)+CZ$93</f>
        <v>-3.7712908585660898</v>
      </c>
      <c r="DA114" s="40">
        <f t="shared" ref="DA114" si="2509">IF(CE114="","",(CE114-CE$93)*1000)+DA$93</f>
        <v>-11.121098318503719</v>
      </c>
      <c r="DB114" s="40">
        <f t="shared" ref="DB114" si="2510">IF(CF114="","",(CF114-CF$93)*1000)+DB$93</f>
        <v>0.16571290858802268</v>
      </c>
      <c r="DC114" s="40"/>
      <c r="DD114" s="40"/>
      <c r="DE114" s="40"/>
    </row>
    <row r="115" spans="1:109" ht="37.5" customHeight="1" x14ac:dyDescent="0.2">
      <c r="A115" s="34">
        <v>44410</v>
      </c>
      <c r="B115" s="27">
        <f t="shared" si="2263"/>
        <v>811</v>
      </c>
      <c r="C115" s="35">
        <v>222.9</v>
      </c>
      <c r="D115" s="35">
        <f t="shared" ref="D115" si="2511">C115-PM</f>
        <v>53.700000000000017</v>
      </c>
      <c r="E115" s="36">
        <v>823219.54689999996</v>
      </c>
      <c r="F115" s="36">
        <v>1091508.5600999999</v>
      </c>
      <c r="G115" s="36">
        <v>-124.99469999999999</v>
      </c>
      <c r="H115" s="36"/>
      <c r="I115" s="36"/>
      <c r="J115" s="36"/>
      <c r="K115" s="36">
        <v>823219.60560000001</v>
      </c>
      <c r="L115" s="36">
        <v>1091507.9993</v>
      </c>
      <c r="M115" s="36">
        <v>-120.8703</v>
      </c>
      <c r="N115" s="36">
        <v>823220.85620000004</v>
      </c>
      <c r="O115" s="36">
        <v>1091504.7849000001</v>
      </c>
      <c r="P115" s="36">
        <v>-119.5185</v>
      </c>
      <c r="Q115" s="36">
        <v>823222.33810000005</v>
      </c>
      <c r="R115" s="36">
        <v>1091502.1812</v>
      </c>
      <c r="S115" s="36">
        <v>-120.86669999999999</v>
      </c>
      <c r="T115" s="36">
        <v>823222.74820000003</v>
      </c>
      <c r="U115" s="36">
        <v>1091501.2803</v>
      </c>
      <c r="V115" s="36">
        <v>-123.00190000000001</v>
      </c>
      <c r="W115" s="36">
        <v>823222.66639999999</v>
      </c>
      <c r="X115" s="36">
        <v>1091501.6059000001</v>
      </c>
      <c r="Y115" s="36">
        <v>-124.9196</v>
      </c>
      <c r="Z115" s="36">
        <f t="shared" si="1490"/>
        <v>6.7790241162501514</v>
      </c>
      <c r="AA115" s="36"/>
      <c r="AB115" s="36">
        <f t="shared" si="1683"/>
        <v>3.7045554334735646</v>
      </c>
      <c r="AC115" s="36">
        <f t="shared" si="1492"/>
        <v>3.2852586717837791</v>
      </c>
      <c r="AD115" s="36">
        <f t="shared" si="1493"/>
        <v>5.2911209323438522</v>
      </c>
      <c r="AE115" s="36">
        <f t="shared" ref="AE115:AE120" si="2512">IF(Xhaut="","",SQRT(((Xbasdroit-Xhaut)^2+(Ybasdroit-Yhaut)^2)+(Zbasdroit-Zhaut)^2))</f>
        <v>6.5233998995798892</v>
      </c>
      <c r="AF115" s="36">
        <f t="shared" si="1684"/>
        <v>6.4278189785194506</v>
      </c>
      <c r="AG115" s="36"/>
      <c r="AH115" s="36">
        <f t="shared" si="1496"/>
        <v>7.6221924600114503</v>
      </c>
      <c r="AI115" s="40">
        <f t="shared" ref="AI115" si="2513">IF(Z115="","",(Z115-Z$10)*1000)</f>
        <v>-37.927179575539149</v>
      </c>
      <c r="AJ115" s="40"/>
      <c r="AK115" s="40">
        <f t="shared" ref="AK115" si="2514">IF(AB115="","",(AB115-AB$10)*1000)</f>
        <v>-27.969838961768634</v>
      </c>
      <c r="AL115" s="40">
        <f t="shared" ref="AL115" si="2515">IF(AC115="","",(AC115-AC$10)*1000)</f>
        <v>-12.430085450987782</v>
      </c>
      <c r="AM115" s="40">
        <f t="shared" ref="AM115" si="2516">IF(AD115="","",(AD115-AD$10)*1000)</f>
        <v>-26.145134914575152</v>
      </c>
      <c r="AN115" s="40">
        <f t="shared" si="2461"/>
        <v>-34.605350434699034</v>
      </c>
      <c r="AO115" s="40">
        <f t="shared" ref="AO115" si="2517">IF(AF115="","",(AF115-AF$10)*1000)</f>
        <v>-23.784652199596579</v>
      </c>
      <c r="AP115" s="40"/>
      <c r="AQ115" s="40">
        <f t="shared" ref="AQ115" si="2518">IF(AH115="","",(AH115-AH$10)*1000)</f>
        <v>-25.825704702771901</v>
      </c>
      <c r="AR115" s="37"/>
      <c r="AS115" s="40">
        <f t="shared" ref="AS115" si="2519">IF(E115="","",(E115-E$93)*1000)+AS$93</f>
        <v>0.29999995604157448</v>
      </c>
      <c r="AT115" s="40">
        <f t="shared" ref="AT115" si="2520">IF(F115="","",(F115-F$93)*1000)+AT$93</f>
        <v>-15.00000013038516</v>
      </c>
      <c r="AU115" s="40">
        <f t="shared" ref="AU115" si="2521">IF(G115="","",(G115-G$93)*1000)+AU$93</f>
        <v>-0.19999999999242846</v>
      </c>
      <c r="AV115" s="40"/>
      <c r="AW115" s="40"/>
      <c r="AX115" s="40"/>
      <c r="AY115" s="40">
        <f t="shared" ref="AY115" si="2522">IF(K115="","",(K115-K$93)*1000)+AY$93</f>
        <v>-0.20000000949949026</v>
      </c>
      <c r="AZ115" s="40">
        <f t="shared" ref="AZ115" si="2523">IF(L115="","",(L115-L$93)*1000)+AZ$93</f>
        <v>-15.099999727681279</v>
      </c>
      <c r="BA115" s="40">
        <f t="shared" ref="BA115" si="2524">IF(M115="","",(M115-M$93)*1000)+BA$93</f>
        <v>-4.2999999999864258</v>
      </c>
      <c r="BB115" s="40">
        <f t="shared" ref="BB115" si="2525">IF(N115="","",(N115-N$93)*1000)+BB$93</f>
        <v>-6.9000000366941094</v>
      </c>
      <c r="BC115" s="40">
        <f t="shared" ref="BC115" si="2526">IF(O115="","",(O115-O$93)*1000)+BC$93</f>
        <v>2.4000001139938831</v>
      </c>
      <c r="BD115" s="40">
        <f t="shared" ref="BD115" si="2527">IF(P115="","",(P115-P$93)*1000)+BD$93</f>
        <v>-33.799999999999386</v>
      </c>
      <c r="BE115" s="40">
        <f t="shared" ref="BE115" si="2528">IF(Q115="","",(Q115-Q$93)*1000)+BE$93</f>
        <v>-5.8999999891966581</v>
      </c>
      <c r="BF115" s="40">
        <f t="shared" ref="BF115" si="2529">IF(R115="","",(R115-R$93)*1000)+BF$93</f>
        <v>9.0999999083578587</v>
      </c>
      <c r="BG115" s="40">
        <f t="shared" ref="BG115" si="2530">IF(S115="","",(S115-S$93)*1000)+BG$93</f>
        <v>-14.899999999997249</v>
      </c>
      <c r="BH115" s="40">
        <f t="shared" ref="BH115" si="2531">IF(T115="","",(T115-T$93)*1000)+BH$93</f>
        <v>-7.4000000022351742</v>
      </c>
      <c r="BI115" s="40">
        <f t="shared" ref="BI115" si="2532">IF(U115="","",(U115-U$93)*1000)+BI$93</f>
        <v>8.3999999333173037</v>
      </c>
      <c r="BJ115" s="40">
        <f t="shared" ref="BJ115" si="2533">IF(V115="","",(V115-V$93)*1000)+BJ$93</f>
        <v>-1.4210854715202004E-11</v>
      </c>
      <c r="BK115" s="40">
        <f t="shared" ref="BK115" si="2534">IF(W115="","",(W115-W$93)*1000)+BK$93</f>
        <v>-9.8999999463558197</v>
      </c>
      <c r="BL115" s="40">
        <f t="shared" ref="BL115" si="2535">IF(X115="","",(X115-X$93)*1000)+BL$93</f>
        <v>9.4999999273568392</v>
      </c>
      <c r="BM115" s="40">
        <f t="shared" ref="BM115" si="2536">IF(Y115="","",(Y115-Y$93)*1000)+BM$93</f>
        <v>2.9999999999859028</v>
      </c>
      <c r="BN115" s="37"/>
      <c r="BO115" s="36">
        <v>169.32231697150357</v>
      </c>
      <c r="BP115" s="36">
        <v>-3.7457046892938775</v>
      </c>
      <c r="BQ115" s="36">
        <v>-1.1450431697150378</v>
      </c>
      <c r="BR115" s="36" t="s">
        <v>81</v>
      </c>
      <c r="BS115" s="36" t="s">
        <v>81</v>
      </c>
      <c r="BT115" s="36" t="s">
        <v>81</v>
      </c>
      <c r="BU115" s="36">
        <v>169.13849306763586</v>
      </c>
      <c r="BV115" s="36">
        <v>-3.2126464352379984</v>
      </c>
      <c r="BW115" s="36">
        <v>2.9811950693236327</v>
      </c>
      <c r="BX115" s="38">
        <v>168.91332928312482</v>
      </c>
      <c r="BY115" s="39">
        <v>0.22910733135009356</v>
      </c>
      <c r="BZ115" s="39">
        <v>4.3352467071687499</v>
      </c>
      <c r="CA115" s="38">
        <v>169.15590443206747</v>
      </c>
      <c r="CB115" s="39">
        <v>3.2151479535864778</v>
      </c>
      <c r="CC115" s="39">
        <v>2.9846209556793326</v>
      </c>
      <c r="CD115" s="38">
        <v>169.14680760551303</v>
      </c>
      <c r="CE115" s="39">
        <v>4.2049560500090468</v>
      </c>
      <c r="CF115" s="39">
        <v>0.84951192394485986</v>
      </c>
      <c r="CG115" s="38">
        <v>169.21028841037986</v>
      </c>
      <c r="CH115" s="39">
        <v>3.8752944242704084</v>
      </c>
      <c r="CI115" s="39">
        <v>-1.0688228841038097</v>
      </c>
      <c r="CJ115" s="37"/>
      <c r="CK115" s="40">
        <f t="shared" ref="CK115" si="2537">IF(BO115="","",(BO115-BO$93)*1000)+CK$93</f>
        <v>-6.1106109981494683</v>
      </c>
      <c r="CL115" s="40">
        <f t="shared" ref="CL115" si="2538">IF(BP115="","",(BP115-BP$93)*1000)+CL$93</f>
        <v>13.736738593550513</v>
      </c>
      <c r="CM115" s="40">
        <f t="shared" ref="CM115" si="2539">IF(BQ115="","",(BQ115-BQ$93)*1000)+CM$93</f>
        <v>-0.17989389000683254</v>
      </c>
      <c r="CN115" s="40"/>
      <c r="CO115" s="40"/>
      <c r="CP115" s="40"/>
      <c r="CQ115" s="40">
        <f t="shared" ref="CQ115" si="2540">IF(BU115="","",(BU115-BU$93)*1000)+CQ$93</f>
        <v>-6.5453957370493754</v>
      </c>
      <c r="CR115" s="40">
        <f t="shared" ref="CR115" si="2541">IF(BV115="","",(BV115-BV$93)*1000)+CR$93</f>
        <v>13.593037347761072</v>
      </c>
      <c r="CS115" s="40">
        <f t="shared" ref="CS115" si="2542">IF(BW115="","",(BW115-BW$93)*1000)+CS$93</f>
        <v>-4.2375460426340439</v>
      </c>
      <c r="CT115" s="40">
        <f t="shared" ref="CT115" si="2543">IF(BX115="","",(BX115-BX$93)*1000)+CT$93</f>
        <v>-5.2818668199847707</v>
      </c>
      <c r="CU115" s="40">
        <f t="shared" ref="CU115" si="2544">IF(BY115="","",(BY115-BY$93)*1000)+CU$93</f>
        <v>-5.0995967970310083</v>
      </c>
      <c r="CV115" s="40">
        <f t="shared" ref="CV115" si="2545">IF(BZ115="","",(BZ115-BZ$93)*1000)+CV$93</f>
        <v>-33.791181331801035</v>
      </c>
      <c r="CW115" s="40">
        <f t="shared" ref="CW115" si="2546">IF(CA115="","",(CA115-CA$93)*1000)+CW$93</f>
        <v>-1.5054622934371764</v>
      </c>
      <c r="CX115" s="40">
        <f t="shared" ref="CX115" si="2547">IF(CB115="","",(CB115-CB$93)*1000)+CX$93</f>
        <v>-10.73835345844687</v>
      </c>
      <c r="CY115" s="40">
        <f t="shared" ref="CY115" si="2548">IF(CC115="","",(CC115-CC$93)*1000)+CY$93</f>
        <v>-14.846945377057441</v>
      </c>
      <c r="CZ115" s="40">
        <f t="shared" ref="CZ115" si="2549">IF(CD115="","",(CD115-CD$93)*1000)+CZ$93</f>
        <v>-3.1791516743737702</v>
      </c>
      <c r="DA115" s="40">
        <f t="shared" ref="DA115" si="2550">IF(CE115="","",(CE115-CE$93)*1000)+DA$93</f>
        <v>-10.734612660018961</v>
      </c>
      <c r="DB115" s="40">
        <f t="shared" ref="DB115" si="2551">IF(CF115="","",(CF115-CF$93)*1000)+DB$93</f>
        <v>5.979151673851657E-2</v>
      </c>
      <c r="DC115" s="40">
        <f t="shared" ref="DC115" si="2552">IF(CG115="","",(CG115-CG$93)*1000)+DC$93</f>
        <v>-4.9682204832492971</v>
      </c>
      <c r="DD115" s="40">
        <f t="shared" ref="DD115" si="2553">IF(CH115="","",(CH115-CH$93)*1000)+DD$93</f>
        <v>-12.787272812046613</v>
      </c>
      <c r="DE115" s="40">
        <f t="shared" ref="DE115" si="2554">IF(CI115="","",(CI115-CI$93)*1000)+DE$93</f>
        <v>3.0446822048093569</v>
      </c>
    </row>
    <row r="116" spans="1:109" ht="37.5" customHeight="1" x14ac:dyDescent="0.2">
      <c r="A116" s="34">
        <v>44453</v>
      </c>
      <c r="B116" s="27">
        <f t="shared" ref="B116:B119" si="2555">A116-$A$10</f>
        <v>854</v>
      </c>
      <c r="C116" s="35">
        <v>222.9</v>
      </c>
      <c r="D116" s="35">
        <f t="shared" ref="D116" si="2556">C116-PM</f>
        <v>53.700000000000017</v>
      </c>
      <c r="E116" s="36">
        <v>823219.54619999998</v>
      </c>
      <c r="F116" s="36">
        <v>1091508.5592</v>
      </c>
      <c r="G116" s="36">
        <v>-124.99469999999999</v>
      </c>
      <c r="H116" s="36"/>
      <c r="I116" s="36"/>
      <c r="J116" s="36"/>
      <c r="K116" s="36">
        <v>823219.60499999998</v>
      </c>
      <c r="L116" s="36">
        <v>1091507.9983000001</v>
      </c>
      <c r="M116" s="36">
        <v>-120.8707</v>
      </c>
      <c r="N116" s="36">
        <v>823220.85640000005</v>
      </c>
      <c r="O116" s="36">
        <v>1091504.7847</v>
      </c>
      <c r="P116" s="36">
        <v>-119.51900000000001</v>
      </c>
      <c r="Q116" s="36">
        <v>823222.33739999996</v>
      </c>
      <c r="R116" s="36">
        <v>1091502.1804</v>
      </c>
      <c r="S116" s="36">
        <v>-120.8668</v>
      </c>
      <c r="T116" s="36">
        <v>823222.74780000001</v>
      </c>
      <c r="U116" s="36">
        <v>1091501.2796</v>
      </c>
      <c r="V116" s="36">
        <v>-123.0016</v>
      </c>
      <c r="W116" s="36">
        <v>823222.6655</v>
      </c>
      <c r="X116" s="36">
        <v>1091501.6054</v>
      </c>
      <c r="Y116" s="36">
        <v>-124.91930000000001</v>
      </c>
      <c r="Z116" s="36">
        <f t="shared" si="1490"/>
        <v>6.7784042945672027</v>
      </c>
      <c r="AA116" s="36"/>
      <c r="AB116" s="36">
        <f t="shared" si="1683"/>
        <v>3.7040950056695321</v>
      </c>
      <c r="AC116" s="36">
        <f t="shared" si="1492"/>
        <v>3.28516427744088</v>
      </c>
      <c r="AD116" s="36">
        <f t="shared" si="1493"/>
        <v>5.2907109852572596</v>
      </c>
      <c r="AE116" s="36">
        <f t="shared" si="2512"/>
        <v>6.5225785843929156</v>
      </c>
      <c r="AF116" s="36">
        <f t="shared" si="1684"/>
        <v>6.4275956143424899</v>
      </c>
      <c r="AG116" s="36"/>
      <c r="AH116" s="36">
        <f t="shared" si="1496"/>
        <v>7.6217486241918371</v>
      </c>
      <c r="AI116" s="40">
        <f t="shared" ref="AI116" si="2557">IF(Z116="","",(Z116-Z$10)*1000)</f>
        <v>-38.547001258487867</v>
      </c>
      <c r="AJ116" s="40"/>
      <c r="AK116" s="40">
        <f t="shared" ref="AK116" si="2558">IF(AB116="","",(AB116-AB$10)*1000)</f>
        <v>-28.430266765801182</v>
      </c>
      <c r="AL116" s="40">
        <f t="shared" ref="AL116" si="2559">IF(AC116="","",(AC116-AC$10)*1000)</f>
        <v>-12.524479793886822</v>
      </c>
      <c r="AM116" s="40">
        <f t="shared" ref="AM116" si="2560">IF(AD116="","",(AD116-AD$10)*1000)</f>
        <v>-26.55508200116774</v>
      </c>
      <c r="AN116" s="40">
        <f t="shared" ref="AN116" si="2561">IF(AE116="","",(AE116-AE$10)*1000)</f>
        <v>-35.426665621672626</v>
      </c>
      <c r="AO116" s="40">
        <f t="shared" ref="AO116" si="2562">IF(AF116="","",(AF116-AF$10)*1000)</f>
        <v>-24.008016376557251</v>
      </c>
      <c r="AP116" s="40"/>
      <c r="AQ116" s="40">
        <f t="shared" ref="AQ116" si="2563">IF(AH116="","",(AH116-AH$10)*1000)</f>
        <v>-26.269540522385171</v>
      </c>
      <c r="AR116" s="37"/>
      <c r="AS116" s="40">
        <f t="shared" ref="AS116" si="2564">IF(E116="","",(E116-E$93)*1000)+AS$93</f>
        <v>-0.40000001899898052</v>
      </c>
      <c r="AT116" s="40">
        <f t="shared" ref="AT116" si="2565">IF(F116="","",(F116-F$93)*1000)+AT$93</f>
        <v>-15.899999998509884</v>
      </c>
      <c r="AU116" s="40">
        <f t="shared" ref="AU116" si="2566">IF(G116="","",(G116-G$93)*1000)+AU$93</f>
        <v>-0.19999999999242846</v>
      </c>
      <c r="AV116" s="40"/>
      <c r="AW116" s="40"/>
      <c r="AX116" s="40"/>
      <c r="AY116" s="40">
        <f t="shared" ref="AY116" si="2567">IF(K116="","",(K116-K$93)*1000)+AY$93</f>
        <v>-0.80000003799796104</v>
      </c>
      <c r="AZ116" s="40">
        <f t="shared" ref="AZ116" si="2568">IF(L116="","",(L116-L$93)*1000)+AZ$93</f>
        <v>-16.099999658763409</v>
      </c>
      <c r="BA116" s="40">
        <f t="shared" ref="BA116" si="2569">IF(M116="","",(M116-M$93)*1000)+BA$93</f>
        <v>-4.6999999999854936</v>
      </c>
      <c r="BB116" s="40">
        <f t="shared" ref="BB116" si="2570">IF(N116="","",(N116-N$93)*1000)+BB$93</f>
        <v>-6.7000000271946192</v>
      </c>
      <c r="BC116" s="40">
        <f t="shared" ref="BC116" si="2571">IF(O116="","",(O116-O$93)*1000)+BC$93</f>
        <v>2.199999988079071</v>
      </c>
      <c r="BD116" s="40">
        <f t="shared" ref="BD116" si="2572">IF(P116="","",(P116-P$93)*1000)+BD$93</f>
        <v>-34.300000000001774</v>
      </c>
      <c r="BE116" s="40">
        <f t="shared" ref="BE116" si="2573">IF(Q116="","",(Q116-Q$93)*1000)+BE$93</f>
        <v>-6.600000080652535</v>
      </c>
      <c r="BF116" s="40">
        <f t="shared" ref="BF116" si="2574">IF(R116="","",(R116-R$93)*1000)+BF$93</f>
        <v>8.2999998703598976</v>
      </c>
      <c r="BG116" s="40">
        <f t="shared" ref="BG116" si="2575">IF(S116="","",(S116-S$93)*1000)+BG$93</f>
        <v>-15.000000000000568</v>
      </c>
      <c r="BH116" s="40">
        <f t="shared" ref="BH116" si="2576">IF(T116="","",(T116-T$93)*1000)+BH$93</f>
        <v>-7.8000000212341547</v>
      </c>
      <c r="BI116" s="40">
        <f t="shared" ref="BI116" si="2577">IF(U116="","",(U116-U$93)*1000)+BI$93</f>
        <v>7.6999999582767487</v>
      </c>
      <c r="BJ116" s="40">
        <f t="shared" ref="BJ116" si="2578">IF(V116="","",(V116-V$93)*1000)+BJ$93</f>
        <v>0.29999999999574811</v>
      </c>
      <c r="BK116" s="40">
        <f t="shared" ref="BK116" si="2579">IF(W116="","",(W116-W$93)*1000)+BK$93</f>
        <v>-10.799999930895865</v>
      </c>
      <c r="BL116" s="40">
        <f t="shared" ref="BL116" si="2580">IF(X116="","",(X116-X$93)*1000)+BL$93</f>
        <v>8.9999998454004526</v>
      </c>
      <c r="BM116" s="40">
        <f t="shared" ref="BM116" si="2581">IF(Y116="","",(Y116-Y$93)*1000)+BM$93</f>
        <v>3.2999999999816509</v>
      </c>
      <c r="BN116" s="37"/>
      <c r="BO116" s="36">
        <v>169.32130218033845</v>
      </c>
      <c r="BP116" s="36">
        <v>-3.7451848829656815</v>
      </c>
      <c r="BQ116" s="36">
        <v>-1.1450330218033855</v>
      </c>
      <c r="BR116" s="36" t="s">
        <v>81</v>
      </c>
      <c r="BS116" s="36" t="s">
        <v>81</v>
      </c>
      <c r="BT116" s="36" t="s">
        <v>81</v>
      </c>
      <c r="BU116" s="36">
        <v>169.13752664039956</v>
      </c>
      <c r="BV116" s="36">
        <v>-3.2119937344693841</v>
      </c>
      <c r="BW116" s="36">
        <v>2.9808047335960026</v>
      </c>
      <c r="BX116" s="38">
        <v>168.91342601108801</v>
      </c>
      <c r="BY116" s="39">
        <v>0.22937312028007026</v>
      </c>
      <c r="BZ116" s="39">
        <v>4.3347457398891152</v>
      </c>
      <c r="CA116" s="38">
        <v>169.15493190592605</v>
      </c>
      <c r="CB116" s="39">
        <v>3.2155771308145256</v>
      </c>
      <c r="CC116" s="39">
        <v>2.9845306809407361</v>
      </c>
      <c r="CD116" s="38">
        <v>169.14614923227961</v>
      </c>
      <c r="CE116" s="39">
        <v>4.2054213936087601</v>
      </c>
      <c r="CF116" s="39">
        <v>0.84981850767719891</v>
      </c>
      <c r="CG116" s="38">
        <v>169.20926142150995</v>
      </c>
      <c r="CH116" s="39">
        <v>3.8753671835667323</v>
      </c>
      <c r="CI116" s="39">
        <v>-1.0685126142151091</v>
      </c>
      <c r="CJ116" s="37"/>
      <c r="CK116" s="40">
        <f t="shared" ref="CK116" si="2582">IF(BO116="","",(BO116-BO$93)*1000)+CK$93</f>
        <v>-7.1254021632682907</v>
      </c>
      <c r="CL116" s="40">
        <f t="shared" ref="CL116" si="2583">IF(BP116="","",(BP116-BP$93)*1000)+CL$93</f>
        <v>14.256544921746439</v>
      </c>
      <c r="CM116" s="40">
        <f t="shared" ref="CM116" si="2584">IF(BQ116="","",(BQ116-BQ$93)*1000)+CM$93</f>
        <v>-0.16974597835450744</v>
      </c>
      <c r="CN116" s="40"/>
      <c r="CO116" s="40"/>
      <c r="CP116" s="40"/>
      <c r="CQ116" s="40">
        <f t="shared" ref="CQ116" si="2585">IF(BU116="","",(BU116-BU$93)*1000)+CQ$93</f>
        <v>-7.5118229733561748</v>
      </c>
      <c r="CR116" s="40">
        <f t="shared" ref="CR116" si="2586">IF(BV116="","",(BV116-BV$93)*1000)+CR$93</f>
        <v>14.245738116375417</v>
      </c>
      <c r="CS116" s="40">
        <f t="shared" ref="CS116" si="2587">IF(BW116="","",(BW116-BW$93)*1000)+CS$93</f>
        <v>-4.6278817702640751</v>
      </c>
      <c r="CT116" s="40">
        <f t="shared" ref="CT116" si="2588">IF(BX116="","",(BX116-BX$93)*1000)+CT$93</f>
        <v>-5.1851388568024959</v>
      </c>
      <c r="CU116" s="40">
        <f t="shared" ref="CU116" si="2589">IF(BY116="","",(BY116-BY$93)*1000)+CU$93</f>
        <v>-4.833807867054313</v>
      </c>
      <c r="CV116" s="40">
        <f t="shared" ref="CV116" si="2590">IF(BZ116="","",(BZ116-BZ$93)*1000)+CV$93</f>
        <v>-34.292148611435813</v>
      </c>
      <c r="CW116" s="40">
        <f t="shared" ref="CW116" si="2591">IF(CA116="","",(CA116-CA$93)*1000)+CW$93</f>
        <v>-2.4779884348617998</v>
      </c>
      <c r="CX116" s="40">
        <f t="shared" ref="CX116" si="2592">IF(CB116="","",(CB116-CB$93)*1000)+CX$93</f>
        <v>-10.309176230399064</v>
      </c>
      <c r="CY116" s="40">
        <f t="shared" ref="CY116" si="2593">IF(CC116="","",(CC116-CC$93)*1000)+CY$93</f>
        <v>-14.937220115653904</v>
      </c>
      <c r="CZ116" s="40">
        <f t="shared" ref="CZ116" si="2594">IF(CD116="","",(CD116-CD$93)*1000)+CZ$93</f>
        <v>-3.8375249077944318</v>
      </c>
      <c r="DA116" s="40">
        <f t="shared" ref="DA116" si="2595">IF(CE116="","",(CE116-CE$93)*1000)+DA$93</f>
        <v>-10.269269060305675</v>
      </c>
      <c r="DB116" s="40">
        <f t="shared" ref="DB116" si="2596">IF(CF116="","",(CF116-CF$93)*1000)+DB$93</f>
        <v>0.36637524907756625</v>
      </c>
      <c r="DC116" s="40">
        <f t="shared" ref="DC116" si="2597">IF(CG116="","",(CG116-CG$93)*1000)+DC$93</f>
        <v>-5.9952093531592254</v>
      </c>
      <c r="DD116" s="40">
        <f t="shared" ref="DD116" si="2598">IF(CH116="","",(CH116-CH$93)*1000)+DD$93</f>
        <v>-12.714513515722725</v>
      </c>
      <c r="DE116" s="40">
        <f t="shared" ref="DE116" si="2599">IF(CI116="","",(CI116-CI$93)*1000)+DE$93</f>
        <v>3.3549520935098887</v>
      </c>
    </row>
    <row r="117" spans="1:109" ht="37.5" customHeight="1" x14ac:dyDescent="0.2">
      <c r="A117" s="34">
        <v>44470</v>
      </c>
      <c r="B117" s="27">
        <f t="shared" si="2555"/>
        <v>871</v>
      </c>
      <c r="C117" s="35">
        <v>222.9</v>
      </c>
      <c r="D117" s="35">
        <f t="shared" ref="D117" si="2600">C117-PM</f>
        <v>53.700000000000017</v>
      </c>
      <c r="E117" s="36">
        <v>823219.54700000002</v>
      </c>
      <c r="F117" s="36">
        <v>1091508.5593000001</v>
      </c>
      <c r="G117" s="36">
        <v>-124.99469999999999</v>
      </c>
      <c r="H117" s="36"/>
      <c r="I117" s="36"/>
      <c r="J117" s="36"/>
      <c r="K117" s="36">
        <v>823219.60519999999</v>
      </c>
      <c r="L117" s="36">
        <v>1091507.9981</v>
      </c>
      <c r="M117" s="36">
        <v>-120.8708</v>
      </c>
      <c r="N117" s="36">
        <v>823220.85600000003</v>
      </c>
      <c r="O117" s="36">
        <v>1091504.7847</v>
      </c>
      <c r="P117" s="36">
        <v>-119.51949999999999</v>
      </c>
      <c r="Q117" s="36">
        <v>823222.33759999997</v>
      </c>
      <c r="R117" s="36">
        <v>1091502.1804</v>
      </c>
      <c r="S117" s="36">
        <v>-120.8668</v>
      </c>
      <c r="T117" s="36">
        <v>823222.74769999995</v>
      </c>
      <c r="U117" s="36">
        <v>1091501.2799</v>
      </c>
      <c r="V117" s="36">
        <v>-123.0016</v>
      </c>
      <c r="W117" s="36">
        <v>823222.66590000002</v>
      </c>
      <c r="X117" s="36">
        <v>1091501.6055000001</v>
      </c>
      <c r="Y117" s="36">
        <v>-124.9194</v>
      </c>
      <c r="Z117" s="36">
        <f t="shared" si="1490"/>
        <v>6.7778242232248207</v>
      </c>
      <c r="AA117" s="36"/>
      <c r="AB117" s="36">
        <f t="shared" si="1683"/>
        <v>3.7035728547100781</v>
      </c>
      <c r="AC117" s="36">
        <f t="shared" si="1492"/>
        <v>3.2852297240616268</v>
      </c>
      <c r="AD117" s="36">
        <f t="shared" si="1493"/>
        <v>5.2902903833025796</v>
      </c>
      <c r="AE117" s="36">
        <f t="shared" si="2512"/>
        <v>6.522420613492991</v>
      </c>
      <c r="AF117" s="36">
        <f t="shared" si="1684"/>
        <v>6.4274146474340439</v>
      </c>
      <c r="AG117" s="36"/>
      <c r="AH117" s="36">
        <f t="shared" si="1496"/>
        <v>7.6215839390674978</v>
      </c>
      <c r="AI117" s="40">
        <f t="shared" ref="AI117" si="2601">IF(Z117="","",(Z117-Z$10)*1000)</f>
        <v>-39.127072600869894</v>
      </c>
      <c r="AJ117" s="40"/>
      <c r="AK117" s="40">
        <f t="shared" ref="AK117" si="2602">IF(AB117="","",(AB117-AB$10)*1000)</f>
        <v>-28.952417725255142</v>
      </c>
      <c r="AL117" s="40">
        <f t="shared" ref="AL117" si="2603">IF(AC117="","",(AC117-AC$10)*1000)</f>
        <v>-12.459033173140011</v>
      </c>
      <c r="AM117" s="40">
        <f t="shared" ref="AM117" si="2604">IF(AD117="","",(AD117-AD$10)*1000)</f>
        <v>-26.975683955847707</v>
      </c>
      <c r="AN117" s="40">
        <f t="shared" ref="AN117" si="2605">IF(AE117="","",(AE117-AE$10)*1000)</f>
        <v>-35.584636521597268</v>
      </c>
      <c r="AO117" s="40">
        <f t="shared" ref="AO117" si="2606">IF(AF117="","",(AF117-AF$10)*1000)</f>
        <v>-24.188983285003296</v>
      </c>
      <c r="AP117" s="40"/>
      <c r="AQ117" s="40">
        <f t="shared" ref="AQ117" si="2607">IF(AH117="","",(AH117-AH$10)*1000)</f>
        <v>-26.434225646724485</v>
      </c>
      <c r="AR117" s="37"/>
      <c r="AS117" s="40">
        <f t="shared" ref="AS117" si="2608">IF(E117="","",(E117-E$93)*1000)+AS$93</f>
        <v>0.40000001899898052</v>
      </c>
      <c r="AT117" s="40">
        <f t="shared" ref="AT117" si="2609">IF(F117="","",(F117-F$93)*1000)+AT$93</f>
        <v>-15.799999935552478</v>
      </c>
      <c r="AU117" s="40">
        <f t="shared" ref="AU117" si="2610">IF(G117="","",(G117-G$93)*1000)+AU$93</f>
        <v>-0.19999999999242846</v>
      </c>
      <c r="AV117" s="40"/>
      <c r="AW117" s="40"/>
      <c r="AX117" s="40"/>
      <c r="AY117" s="40">
        <f t="shared" ref="AY117" si="2611">IF(K117="","",(K117-K$93)*1000)+AY$93</f>
        <v>-0.60000002849847078</v>
      </c>
      <c r="AZ117" s="40">
        <f t="shared" ref="AZ117" si="2612">IF(L117="","",(L117-L$93)*1000)+AZ$93</f>
        <v>-16.299999784678221</v>
      </c>
      <c r="BA117" s="40">
        <f t="shared" ref="BA117" si="2613">IF(M117="","",(M117-M$93)*1000)+BA$93</f>
        <v>-4.7999999999888132</v>
      </c>
      <c r="BB117" s="40">
        <f t="shared" ref="BB117" si="2614">IF(N117="","",(N117-N$93)*1000)+BB$93</f>
        <v>-7.1000000461935997</v>
      </c>
      <c r="BC117" s="40">
        <f t="shared" ref="BC117" si="2615">IF(O117="","",(O117-O$93)*1000)+BC$93</f>
        <v>2.199999988079071</v>
      </c>
      <c r="BD117" s="40">
        <f t="shared" ref="BD117" si="2616">IF(P117="","",(P117-P$93)*1000)+BD$93</f>
        <v>-34.79999999998995</v>
      </c>
      <c r="BE117" s="40">
        <f t="shared" ref="BE117" si="2617">IF(Q117="","",(Q117-Q$93)*1000)+BE$93</f>
        <v>-6.4000000711530447</v>
      </c>
      <c r="BF117" s="40">
        <f t="shared" ref="BF117" si="2618">IF(R117="","",(R117-R$93)*1000)+BF$93</f>
        <v>8.2999998703598976</v>
      </c>
      <c r="BG117" s="40">
        <f t="shared" ref="BG117" si="2619">IF(S117="","",(S117-S$93)*1000)+BG$93</f>
        <v>-15.000000000000568</v>
      </c>
      <c r="BH117" s="40">
        <f t="shared" ref="BH117" si="2620">IF(T117="","",(T117-T$93)*1000)+BH$93</f>
        <v>-7.9000000841915607</v>
      </c>
      <c r="BI117" s="40">
        <f t="shared" ref="BI117" si="2621">IF(U117="","",(U117-U$93)*1000)+BI$93</f>
        <v>7.9999999143183231</v>
      </c>
      <c r="BJ117" s="40">
        <f t="shared" ref="BJ117" si="2622">IF(V117="","",(V117-V$93)*1000)+BJ$93</f>
        <v>0.29999999999574811</v>
      </c>
      <c r="BK117" s="40">
        <f t="shared" ref="BK117" si="2623">IF(W117="","",(W117-W$93)*1000)+BK$93</f>
        <v>-10.399999911896884</v>
      </c>
      <c r="BL117" s="40">
        <f t="shared" ref="BL117" si="2624">IF(X117="","",(X117-X$93)*1000)+BL$93</f>
        <v>9.0999999083578587</v>
      </c>
      <c r="BM117" s="40">
        <f t="shared" ref="BM117" si="2625">IF(Y117="","",(Y117-Y$93)*1000)+BM$93</f>
        <v>3.1999999999925421</v>
      </c>
      <c r="BN117" s="37"/>
      <c r="BO117" s="36">
        <v>169.32206947923984</v>
      </c>
      <c r="BP117" s="36">
        <v>-3.7449373906035275</v>
      </c>
      <c r="BQ117" s="36">
        <v>-1.1450406947923994</v>
      </c>
      <c r="BR117" s="36" t="s">
        <v>81</v>
      </c>
      <c r="BS117" s="36" t="s">
        <v>81</v>
      </c>
      <c r="BT117" s="36" t="s">
        <v>81</v>
      </c>
      <c r="BU117" s="36">
        <v>169.13762336836277</v>
      </c>
      <c r="BV117" s="36">
        <v>-3.2117279455394003</v>
      </c>
      <c r="BW117" s="36">
        <v>2.9807037663163669</v>
      </c>
      <c r="BX117" s="38">
        <v>168.91306349425113</v>
      </c>
      <c r="BY117" s="39">
        <v>0.22920405946797759</v>
      </c>
      <c r="BZ117" s="39">
        <v>4.334249365057488</v>
      </c>
      <c r="CA117" s="38">
        <v>169.15511316434444</v>
      </c>
      <c r="CB117" s="39">
        <v>3.2156616612205755</v>
      </c>
      <c r="CC117" s="39">
        <v>2.9845288683565485</v>
      </c>
      <c r="CD117" s="38">
        <v>169.14618539860209</v>
      </c>
      <c r="CE117" s="39">
        <v>4.2051072408062167</v>
      </c>
      <c r="CF117" s="39">
        <v>0.84981814601397332</v>
      </c>
      <c r="CG117" s="38">
        <v>169.20966620357444</v>
      </c>
      <c r="CH117" s="39">
        <v>3.8754456151168202</v>
      </c>
      <c r="CI117" s="39">
        <v>-1.0686166620357369</v>
      </c>
      <c r="CJ117" s="37"/>
      <c r="CK117" s="40">
        <f t="shared" ref="CK117" si="2626">IF(BO117="","",(BO117-BO$93)*1000)+CK$93</f>
        <v>-6.3581032618742483</v>
      </c>
      <c r="CL117" s="40">
        <f t="shared" ref="CL117" si="2627">IF(BP117="","",(BP117-BP$93)*1000)+CL$93</f>
        <v>14.504037283900484</v>
      </c>
      <c r="CM117" s="40">
        <f t="shared" ref="CM117" si="2628">IF(BQ117="","",(BQ117-BQ$93)*1000)+CM$93</f>
        <v>-0.17741896736844787</v>
      </c>
      <c r="CN117" s="40"/>
      <c r="CO117" s="40"/>
      <c r="CP117" s="40"/>
      <c r="CQ117" s="40">
        <f t="shared" ref="CQ117" si="2629">IF(BU117="","",(BU117-BU$93)*1000)+CQ$93</f>
        <v>-7.4150950101454782</v>
      </c>
      <c r="CR117" s="40">
        <f t="shared" ref="CR117" si="2630">IF(BV117="","",(BV117-BV$93)*1000)+CR$93</f>
        <v>14.511527046359163</v>
      </c>
      <c r="CS117" s="40">
        <f t="shared" ref="CS117" si="2631">IF(BW117="","",(BW117-BW$93)*1000)+CS$93</f>
        <v>-4.7288490498997859</v>
      </c>
      <c r="CT117" s="40">
        <f t="shared" ref="CT117" si="2632">IF(BX117="","",(BX117-BX$93)*1000)+CT$93</f>
        <v>-5.5476556936753241</v>
      </c>
      <c r="CU117" s="40">
        <f t="shared" ref="CU117" si="2633">IF(BY117="","",(BY117-BY$93)*1000)+CU$93</f>
        <v>-5.0028686791469816</v>
      </c>
      <c r="CV117" s="40">
        <f t="shared" ref="CV117" si="2634">IF(BZ117="","",(BZ117-BZ$93)*1000)+CV$93</f>
        <v>-34.788523443062935</v>
      </c>
      <c r="CW117" s="40">
        <f t="shared" ref="CW117" si="2635">IF(CA117="","",(CA117-CA$93)*1000)+CW$93</f>
        <v>-2.2967300164680182</v>
      </c>
      <c r="CX117" s="40">
        <f t="shared" ref="CX117" si="2636">IF(CB117="","",(CB117-CB$93)*1000)+CX$93</f>
        <v>-10.224645824349121</v>
      </c>
      <c r="CY117" s="40">
        <f t="shared" ref="CY117" si="2637">IF(CC117="","",(CC117-CC$93)*1000)+CY$93</f>
        <v>-14.939032699841537</v>
      </c>
      <c r="CZ117" s="40">
        <f t="shared" ref="CZ117" si="2638">IF(CD117="","",(CD117-CD$93)*1000)+CZ$93</f>
        <v>-3.8013585853207132</v>
      </c>
      <c r="DA117" s="40">
        <f t="shared" ref="DA117" si="2639">IF(CE117="","",(CE117-CE$93)*1000)+DA$93</f>
        <v>-10.583421862849107</v>
      </c>
      <c r="DB117" s="40">
        <f t="shared" ref="DB117" si="2640">IF(CF117="","",(CF117-CF$93)*1000)+DB$93</f>
        <v>0.36601358585197641</v>
      </c>
      <c r="DC117" s="40">
        <f t="shared" ref="DC117" si="2641">IF(CG117="","",(CG117-CG$93)*1000)+DC$93</f>
        <v>-5.590427288666433</v>
      </c>
      <c r="DD117" s="40">
        <f t="shared" ref="DD117" si="2642">IF(CH117="","",(CH117-CH$93)*1000)+DD$93</f>
        <v>-12.636081965634816</v>
      </c>
      <c r="DE117" s="40">
        <f t="shared" ref="DE117" si="2643">IF(CI117="","",(CI117-CI$93)*1000)+DE$93</f>
        <v>3.2509042728821047</v>
      </c>
    </row>
    <row r="118" spans="1:109" ht="37.5" customHeight="1" x14ac:dyDescent="0.2">
      <c r="A118" s="34">
        <v>44489</v>
      </c>
      <c r="B118" s="27">
        <f t="shared" si="2555"/>
        <v>890</v>
      </c>
      <c r="C118" s="35">
        <v>222.9</v>
      </c>
      <c r="D118" s="35">
        <f t="shared" ref="D118" si="2644">C118-PM</f>
        <v>53.700000000000017</v>
      </c>
      <c r="E118" s="36">
        <v>823219.54639999999</v>
      </c>
      <c r="F118" s="36">
        <v>1091508.5595</v>
      </c>
      <c r="G118" s="36">
        <v>-124.9952</v>
      </c>
      <c r="H118" s="36"/>
      <c r="I118" s="36"/>
      <c r="J118" s="36"/>
      <c r="K118" s="36">
        <v>823219.60530000005</v>
      </c>
      <c r="L118" s="36">
        <v>1091507.9987999999</v>
      </c>
      <c r="M118" s="36">
        <v>-120.8711</v>
      </c>
      <c r="N118" s="36">
        <v>823220.85660000006</v>
      </c>
      <c r="O118" s="36">
        <v>1091504.7849999999</v>
      </c>
      <c r="P118" s="36">
        <v>-119.5198</v>
      </c>
      <c r="Q118" s="36">
        <v>823222.33730000001</v>
      </c>
      <c r="R118" s="36">
        <v>1091502.1806000001</v>
      </c>
      <c r="S118" s="36">
        <v>-120.8676</v>
      </c>
      <c r="T118" s="36">
        <v>823222.74789999996</v>
      </c>
      <c r="U118" s="36">
        <v>1091501.28</v>
      </c>
      <c r="V118" s="36">
        <v>-123.0022</v>
      </c>
      <c r="W118" s="36">
        <v>823222.66570000001</v>
      </c>
      <c r="X118" s="36">
        <v>1091501.6058</v>
      </c>
      <c r="Y118" s="36">
        <v>-124.91970000000001</v>
      </c>
      <c r="Z118" s="36">
        <f t="shared" si="1490"/>
        <v>6.7781619522262186</v>
      </c>
      <c r="AA118" s="36"/>
      <c r="AB118" s="36">
        <f t="shared" si="1683"/>
        <v>3.7040887975561874</v>
      </c>
      <c r="AC118" s="36">
        <f t="shared" si="1492"/>
        <v>3.2851083222656534</v>
      </c>
      <c r="AD118" s="36">
        <f t="shared" si="1493"/>
        <v>5.2904773365777151</v>
      </c>
      <c r="AE118" s="36">
        <f t="shared" si="2512"/>
        <v>6.5221986675645516</v>
      </c>
      <c r="AF118" s="36">
        <f t="shared" si="1684"/>
        <v>6.4276969038832465</v>
      </c>
      <c r="AG118" s="36"/>
      <c r="AH118" s="36">
        <f t="shared" si="1496"/>
        <v>7.6216583779053355</v>
      </c>
      <c r="AI118" s="40">
        <f t="shared" ref="AI118" si="2645">IF(Z118="","",(Z118-Z$10)*1000)</f>
        <v>-38.789343599471948</v>
      </c>
      <c r="AJ118" s="40"/>
      <c r="AK118" s="40">
        <f t="shared" ref="AK118" si="2646">IF(AB118="","",(AB118-AB$10)*1000)</f>
        <v>-28.436474879145912</v>
      </c>
      <c r="AL118" s="40">
        <f t="shared" ref="AL118" si="2647">IF(AC118="","",(AC118-AC$10)*1000)</f>
        <v>-12.58043496911343</v>
      </c>
      <c r="AM118" s="40">
        <f t="shared" ref="AM118" si="2648">IF(AD118="","",(AD118-AD$10)*1000)</f>
        <v>-26.788730680712192</v>
      </c>
      <c r="AN118" s="40">
        <f t="shared" ref="AN118" si="2649">IF(AE118="","",(AE118-AE$10)*1000)</f>
        <v>-35.80658245003665</v>
      </c>
      <c r="AO118" s="40">
        <f t="shared" ref="AO118" si="2650">IF(AF118="","",(AF118-AF$10)*1000)</f>
        <v>-23.90672683580064</v>
      </c>
      <c r="AP118" s="40"/>
      <c r="AQ118" s="40">
        <f t="shared" ref="AQ118" si="2651">IF(AH118="","",(AH118-AH$10)*1000)</f>
        <v>-26.359786808886732</v>
      </c>
      <c r="AR118" s="37"/>
      <c r="AS118" s="40">
        <f t="shared" ref="AS118" si="2652">IF(E118="","",(E118-E$93)*1000)+AS$93</f>
        <v>-0.20000000949949026</v>
      </c>
      <c r="AT118" s="40">
        <f t="shared" ref="AT118" si="2653">IF(F118="","",(F118-F$93)*1000)+AT$93</f>
        <v>-15.600000042468309</v>
      </c>
      <c r="AU118" s="40">
        <f t="shared" ref="AU118" si="2654">IF(G118="","",(G118-G$93)*1000)+AU$93</f>
        <v>-0.69999999999481588</v>
      </c>
      <c r="AV118" s="40"/>
      <c r="AW118" s="40"/>
      <c r="AX118" s="40"/>
      <c r="AY118" s="40">
        <f t="shared" ref="AY118" si="2655">IF(K118="","",(K118-K$93)*1000)+AY$93</f>
        <v>-0.49999996554106474</v>
      </c>
      <c r="AZ118" s="40">
        <f t="shared" ref="AZ118" si="2656">IF(L118="","",(L118-L$93)*1000)+AZ$93</f>
        <v>-15.599999809637666</v>
      </c>
      <c r="BA118" s="40">
        <f t="shared" ref="BA118" si="2657">IF(M118="","",(M118-M$93)*1000)+BA$93</f>
        <v>-5.0999999999845613</v>
      </c>
      <c r="BB118" s="40">
        <f t="shared" ref="BB118" si="2658">IF(N118="","",(N118-N$93)*1000)+BB$93</f>
        <v>-6.5000000176951289</v>
      </c>
      <c r="BC118" s="40">
        <f t="shared" ref="BC118" si="2659">IF(O118="","",(O118-O$93)*1000)+BC$93</f>
        <v>2.4999999441206455</v>
      </c>
      <c r="BD118" s="40">
        <f t="shared" ref="BD118" si="2660">IF(P118="","",(P118-P$93)*1000)+BD$93</f>
        <v>-35.099999999999909</v>
      </c>
      <c r="BE118" s="40">
        <f t="shared" ref="BE118" si="2661">IF(Q118="","",(Q118-Q$93)*1000)+BE$93</f>
        <v>-6.7000000271946192</v>
      </c>
      <c r="BF118" s="40">
        <f t="shared" ref="BF118" si="2662">IF(R118="","",(R118-R$93)*1000)+BF$93</f>
        <v>8.4999999962747097</v>
      </c>
      <c r="BG118" s="40">
        <f t="shared" ref="BG118" si="2663">IF(S118="","",(S118-S$93)*1000)+BG$93</f>
        <v>-15.799999999998704</v>
      </c>
      <c r="BH118" s="40">
        <f t="shared" ref="BH118" si="2664">IF(T118="","",(T118-T$93)*1000)+BH$93</f>
        <v>-7.7000000746920705</v>
      </c>
      <c r="BI118" s="40">
        <f t="shared" ref="BI118" si="2665">IF(U118="","",(U118-U$93)*1000)+BI$93</f>
        <v>8.0999999772757292</v>
      </c>
      <c r="BJ118" s="40">
        <f t="shared" ref="BJ118" si="2666">IF(V118="","",(V118-V$93)*1000)+BJ$93</f>
        <v>-0.30000000000995897</v>
      </c>
      <c r="BK118" s="40">
        <f t="shared" ref="BK118" si="2667">IF(W118="","",(W118-W$93)*1000)+BK$93</f>
        <v>-10.599999921396375</v>
      </c>
      <c r="BL118" s="40">
        <f t="shared" ref="BL118" si="2668">IF(X118="","",(X118-X$93)*1000)+BL$93</f>
        <v>9.3999998643994331</v>
      </c>
      <c r="BM118" s="40">
        <f t="shared" ref="BM118" si="2669">IF(Y118="","",(Y118-Y$93)*1000)+BM$93</f>
        <v>2.8999999999825832</v>
      </c>
      <c r="BN118" s="37"/>
      <c r="BO118" s="36">
        <v>169.32161023434134</v>
      </c>
      <c r="BP118" s="36">
        <v>-3.7453722401345777</v>
      </c>
      <c r="BQ118" s="36">
        <v>-1.1455361023434136</v>
      </c>
      <c r="BR118" s="36" t="s">
        <v>81</v>
      </c>
      <c r="BS118" s="36" t="s">
        <v>81</v>
      </c>
      <c r="BT118" s="36" t="s">
        <v>81</v>
      </c>
      <c r="BU118" s="36">
        <v>169.13800985402128</v>
      </c>
      <c r="BV118" s="36">
        <v>-3.2123200847235838</v>
      </c>
      <c r="BW118" s="36">
        <v>2.9803999014597906</v>
      </c>
      <c r="BX118" s="38">
        <v>168.91373406509089</v>
      </c>
      <c r="BY118" s="39">
        <v>0.22918576311117556</v>
      </c>
      <c r="BZ118" s="39">
        <v>4.3339426593490771</v>
      </c>
      <c r="CA118" s="38">
        <v>169.1549258072248</v>
      </c>
      <c r="CB118" s="39">
        <v>3.215353607112184</v>
      </c>
      <c r="CC118" s="39">
        <v>2.9837307419277579</v>
      </c>
      <c r="CD118" s="38">
        <v>169.14640892224816</v>
      </c>
      <c r="CE118" s="39">
        <v>4.2051011419502942</v>
      </c>
      <c r="CF118" s="39">
        <v>0.84921591077751657</v>
      </c>
      <c r="CG118" s="38">
        <v>169.20961174074046</v>
      </c>
      <c r="CH118" s="39">
        <v>3.8750891971358725</v>
      </c>
      <c r="CI118" s="39">
        <v>-1.0689161174074115</v>
      </c>
      <c r="CJ118" s="37"/>
      <c r="CK118" s="40">
        <f t="shared" ref="CK118" si="2670">IF(BO118="","",(BO118-BO$93)*1000)+CK$93</f>
        <v>-6.8173481603821529</v>
      </c>
      <c r="CL118" s="40">
        <f t="shared" ref="CL118" si="2671">IF(BP118="","",(BP118-BP$93)*1000)+CL$93</f>
        <v>14.069187752850265</v>
      </c>
      <c r="CM118" s="40">
        <f t="shared" ref="CM118" si="2672">IF(BQ118="","",(BQ118-BQ$93)*1000)+CM$93</f>
        <v>-0.67282651838262986</v>
      </c>
      <c r="CN118" s="40"/>
      <c r="CO118" s="40"/>
      <c r="CP118" s="40"/>
      <c r="CQ118" s="40">
        <f t="shared" ref="CQ118" si="2673">IF(BU118="","",(BU118-BU$93)*1000)+CQ$93</f>
        <v>-7.0286093516358505</v>
      </c>
      <c r="CR118" s="40">
        <f t="shared" ref="CR118" si="2674">IF(BV118="","",(BV118-BV$93)*1000)+CR$93</f>
        <v>13.919387862175725</v>
      </c>
      <c r="CS118" s="40">
        <f t="shared" ref="CS118" si="2675">IF(BW118="","",(BW118-BW$93)*1000)+CS$93</f>
        <v>-5.0327139064760829</v>
      </c>
      <c r="CT118" s="40">
        <f t="shared" ref="CT118" si="2676">IF(BX118="","",(BX118-BX$93)*1000)+CT$93</f>
        <v>-4.877084853916358</v>
      </c>
      <c r="CU118" s="40">
        <f t="shared" ref="CU118" si="2677">IF(BY118="","",(BY118-BY$93)*1000)+CU$93</f>
        <v>-5.0211650359490152</v>
      </c>
      <c r="CV118" s="40">
        <f t="shared" ref="CV118" si="2678">IF(BZ118="","",(BZ118-BZ$93)*1000)+CV$93</f>
        <v>-35.095229151473895</v>
      </c>
      <c r="CW118" s="40">
        <f t="shared" ref="CW118" si="2679">IF(CA118="","",(CA118-CA$93)*1000)+CW$93</f>
        <v>-2.484087136110702</v>
      </c>
      <c r="CX118" s="40">
        <f t="shared" ref="CX118" si="2680">IF(CB118="","",(CB118-CB$93)*1000)+CX$93</f>
        <v>-10.532699932740641</v>
      </c>
      <c r="CY118" s="40">
        <f t="shared" ref="CY118" si="2681">IF(CC118="","",(CC118-CC$93)*1000)+CY$93</f>
        <v>-15.737159128632161</v>
      </c>
      <c r="CZ118" s="40">
        <f t="shared" ref="CZ118" si="2682">IF(CD118="","",(CD118-CD$93)*1000)+CZ$93</f>
        <v>-3.5778349392501241</v>
      </c>
      <c r="DA118" s="40">
        <f t="shared" ref="DA118" si="2683">IF(CE118="","",(CE118-CE$93)*1000)+DA$93</f>
        <v>-10.589520718771617</v>
      </c>
      <c r="DB118" s="40">
        <f t="shared" ref="DB118" si="2684">IF(CF118="","",(CF118-CF$93)*1000)+DB$93</f>
        <v>-0.23622165060477318</v>
      </c>
      <c r="DC118" s="40">
        <f t="shared" ref="DC118" si="2685">IF(CG118="","",(CG118-CG$93)*1000)+DC$93</f>
        <v>-5.6448901226531234</v>
      </c>
      <c r="DD118" s="40">
        <f t="shared" ref="DD118" si="2686">IF(CH118="","",(CH118-CH$93)*1000)+DD$93</f>
        <v>-12.99249994658247</v>
      </c>
      <c r="DE118" s="40">
        <f t="shared" ref="DE118" si="2687">IF(CI118="","",(CI118-CI$93)*1000)+DE$93</f>
        <v>2.9514489012074652</v>
      </c>
    </row>
    <row r="119" spans="1:109" ht="37.5" customHeight="1" x14ac:dyDescent="0.2">
      <c r="A119" s="34">
        <v>44502</v>
      </c>
      <c r="B119" s="27">
        <f t="shared" si="2555"/>
        <v>903</v>
      </c>
      <c r="C119" s="35">
        <v>222.9</v>
      </c>
      <c r="D119" s="35">
        <f t="shared" ref="D119" si="2688">C119-PM</f>
        <v>53.700000000000017</v>
      </c>
      <c r="E119" s="36">
        <v>823219.54680000001</v>
      </c>
      <c r="F119" s="36">
        <v>1091508.5593000001</v>
      </c>
      <c r="G119" s="36">
        <v>-124.9941</v>
      </c>
      <c r="H119" s="36"/>
      <c r="I119" s="36"/>
      <c r="J119" s="36"/>
      <c r="K119" s="36">
        <v>823219.60589999997</v>
      </c>
      <c r="L119" s="36">
        <v>1091507.9987000001</v>
      </c>
      <c r="M119" s="36">
        <v>-120.8704</v>
      </c>
      <c r="N119" s="36">
        <v>823220.85690000001</v>
      </c>
      <c r="O119" s="36">
        <v>1091504.7851</v>
      </c>
      <c r="P119" s="36">
        <v>-119.5192</v>
      </c>
      <c r="Q119" s="36">
        <v>823222.33799999999</v>
      </c>
      <c r="R119" s="36">
        <v>1091502.1806999999</v>
      </c>
      <c r="S119" s="36">
        <v>-120.86669999999999</v>
      </c>
      <c r="T119" s="36">
        <v>823222.74769999995</v>
      </c>
      <c r="U119" s="36">
        <v>1091501.2803</v>
      </c>
      <c r="V119" s="36">
        <v>-123.0012</v>
      </c>
      <c r="W119" s="36">
        <v>823222.66590000002</v>
      </c>
      <c r="X119" s="36">
        <v>1091501.6055999999</v>
      </c>
      <c r="Y119" s="36">
        <v>-124.9186</v>
      </c>
      <c r="Z119" s="36">
        <f t="shared" si="1490"/>
        <v>6.7775716640087307</v>
      </c>
      <c r="AA119" s="36"/>
      <c r="AB119" s="36">
        <f t="shared" si="1683"/>
        <v>3.7037774502497331</v>
      </c>
      <c r="AC119" s="36">
        <f t="shared" si="1492"/>
        <v>3.2851655696917437</v>
      </c>
      <c r="AD119" s="36">
        <f t="shared" si="1493"/>
        <v>5.2899028043738516</v>
      </c>
      <c r="AE119" s="36">
        <f t="shared" si="2512"/>
        <v>6.5219032199638765</v>
      </c>
      <c r="AF119" s="36">
        <f t="shared" si="1684"/>
        <v>6.4275584868974649</v>
      </c>
      <c r="AG119" s="36"/>
      <c r="AH119" s="36">
        <f t="shared" si="1496"/>
        <v>7.6215765267215811</v>
      </c>
      <c r="AI119" s="40">
        <f t="shared" ref="AI119" si="2689">IF(Z119="","",(Z119-Z$10)*1000)</f>
        <v>-39.379631816959915</v>
      </c>
      <c r="AJ119" s="40"/>
      <c r="AK119" s="40">
        <f t="shared" ref="AK119" si="2690">IF(AB119="","",(AB119-AB$10)*1000)</f>
        <v>-28.747822185600125</v>
      </c>
      <c r="AL119" s="40">
        <f t="shared" ref="AL119" si="2691">IF(AC119="","",(AC119-AC$10)*1000)</f>
        <v>-12.523187543023173</v>
      </c>
      <c r="AM119" s="40">
        <f t="shared" ref="AM119" si="2692">IF(AD119="","",(AD119-AD$10)*1000)</f>
        <v>-27.36326288457569</v>
      </c>
      <c r="AN119" s="40">
        <f t="shared" ref="AN119" si="2693">IF(AE119="","",(AE119-AE$10)*1000)</f>
        <v>-36.102030050711775</v>
      </c>
      <c r="AO119" s="40">
        <f t="shared" ref="AO119" si="2694">IF(AF119="","",(AF119-AF$10)*1000)</f>
        <v>-24.045143821582293</v>
      </c>
      <c r="AP119" s="40"/>
      <c r="AQ119" s="40">
        <f t="shared" ref="AQ119" si="2695">IF(AH119="","",(AH119-AH$10)*1000)</f>
        <v>-26.441637992641098</v>
      </c>
      <c r="AR119" s="37"/>
      <c r="AS119" s="40">
        <f t="shared" ref="AS119" si="2696">IF(E119="","",(E119-E$93)*1000)+AS$93</f>
        <v>0.20000000949949026</v>
      </c>
      <c r="AT119" s="40">
        <f t="shared" ref="AT119" si="2697">IF(F119="","",(F119-F$93)*1000)+AT$93</f>
        <v>-15.799999935552478</v>
      </c>
      <c r="AU119" s="40">
        <f t="shared" ref="AU119" si="2698">IF(G119="","",(G119-G$93)*1000)+AU$93</f>
        <v>0.39999999999906777</v>
      </c>
      <c r="AV119" s="40"/>
      <c r="AW119" s="40"/>
      <c r="AX119" s="40"/>
      <c r="AY119" s="40">
        <f t="shared" ref="AY119" si="2699">IF(K119="","",(K119-K$93)*1000)+AY$93</f>
        <v>9.9999946542084217E-2</v>
      </c>
      <c r="AZ119" s="40">
        <f t="shared" ref="AZ119" si="2700">IF(L119="","",(L119-L$93)*1000)+AZ$93</f>
        <v>-15.699999639764428</v>
      </c>
      <c r="BA119" s="40">
        <f t="shared" ref="BA119" si="2701">IF(M119="","",(M119-M$93)*1000)+BA$93</f>
        <v>-4.3999999999897454</v>
      </c>
      <c r="BB119" s="40">
        <f t="shared" ref="BB119" si="2702">IF(N119="","",(N119-N$93)*1000)+BB$93</f>
        <v>-6.2000000616535544</v>
      </c>
      <c r="BC119" s="40">
        <f t="shared" ref="BC119" si="2703">IF(O119="","",(O119-O$93)*1000)+BC$93</f>
        <v>2.6000000070780516</v>
      </c>
      <c r="BD119" s="40">
        <f t="shared" ref="BD119" si="2704">IF(P119="","",(P119-P$93)*1000)+BD$93</f>
        <v>-34.499999999994202</v>
      </c>
      <c r="BE119" s="40">
        <f t="shared" ref="BE119" si="2705">IF(Q119="","",(Q119-Q$93)*1000)+BE$93</f>
        <v>-6.0000000521540642</v>
      </c>
      <c r="BF119" s="40">
        <f t="shared" ref="BF119" si="2706">IF(R119="","",(R119-R$93)*1000)+BF$93</f>
        <v>8.5999998264014721</v>
      </c>
      <c r="BG119" s="40">
        <f t="shared" ref="BG119" si="2707">IF(S119="","",(S119-S$93)*1000)+BG$93</f>
        <v>-14.899999999997249</v>
      </c>
      <c r="BH119" s="40">
        <f t="shared" ref="BH119" si="2708">IF(T119="","",(T119-T$93)*1000)+BH$93</f>
        <v>-7.9000000841915607</v>
      </c>
      <c r="BI119" s="40">
        <f t="shared" ref="BI119" si="2709">IF(U119="","",(U119-U$93)*1000)+BI$93</f>
        <v>8.3999999333173037</v>
      </c>
      <c r="BJ119" s="40">
        <f t="shared" ref="BJ119" si="2710">IF(V119="","",(V119-V$93)*1000)+BJ$93</f>
        <v>0.69999999999481588</v>
      </c>
      <c r="BK119" s="40">
        <f t="shared" ref="BK119" si="2711">IF(W119="","",(W119-W$93)*1000)+BK$93</f>
        <v>-10.399999911896884</v>
      </c>
      <c r="BL119" s="40">
        <f t="shared" ref="BL119" si="2712">IF(X119="","",(X119-X$93)*1000)+BL$93</f>
        <v>9.199999738484621</v>
      </c>
      <c r="BM119" s="40">
        <f t="shared" ref="BM119" si="2713">IF(Y119="","",(Y119-Y$93)*1000)+BM$93</f>
        <v>3.9999999999906777</v>
      </c>
      <c r="BN119" s="37"/>
      <c r="BO119" s="36">
        <v>169.32188822082139</v>
      </c>
      <c r="BP119" s="36">
        <v>-3.7450219210095663</v>
      </c>
      <c r="BQ119" s="36">
        <v>-1.1444388822082203</v>
      </c>
      <c r="BR119" s="36" t="s">
        <v>81</v>
      </c>
      <c r="BS119" s="36" t="s">
        <v>81</v>
      </c>
      <c r="BT119" s="36" t="s">
        <v>81</v>
      </c>
      <c r="BU119" s="36">
        <v>169.13851136404188</v>
      </c>
      <c r="BV119" s="36">
        <v>-3.2119758645037337</v>
      </c>
      <c r="BW119" s="36">
        <v>2.9810948863595712</v>
      </c>
      <c r="BX119" s="38">
        <v>168.91404821789345</v>
      </c>
      <c r="BY119" s="39">
        <v>0.22922192943365885</v>
      </c>
      <c r="BZ119" s="39">
        <v>4.3345395178210708</v>
      </c>
      <c r="CA119" s="38">
        <v>169.15560247676581</v>
      </c>
      <c r="CB119" s="39">
        <v>3.2155588344577155</v>
      </c>
      <c r="CC119" s="39">
        <v>2.9846239752323385</v>
      </c>
      <c r="CD119" s="38">
        <v>169.14635445941417</v>
      </c>
      <c r="CE119" s="39">
        <v>4.2047447239693501</v>
      </c>
      <c r="CF119" s="39">
        <v>0.85021645540585666</v>
      </c>
      <c r="CG119" s="38">
        <v>169.20970846870367</v>
      </c>
      <c r="CH119" s="39">
        <v>3.8753549860658638</v>
      </c>
      <c r="CI119" s="39">
        <v>-1.0678170846870358</v>
      </c>
      <c r="CJ119" s="37"/>
      <c r="CK119" s="40">
        <f t="shared" ref="CK119" si="2714">IF(BO119="","",(BO119-BO$93)*1000)+CK$93</f>
        <v>-6.5393616803248733</v>
      </c>
      <c r="CL119" s="40">
        <f t="shared" ref="CL119" si="2715">IF(BP119="","",(BP119-BP$93)*1000)+CL$93</f>
        <v>14.419506877861643</v>
      </c>
      <c r="CM119" s="40">
        <f t="shared" ref="CM119" si="2716">IF(BQ119="","",(BQ119-BQ$93)*1000)+CM$93</f>
        <v>0.424393616810681</v>
      </c>
      <c r="CN119" s="40"/>
      <c r="CO119" s="40"/>
      <c r="CP119" s="40"/>
      <c r="CQ119" s="40">
        <f t="shared" ref="CQ119" si="2717">IF(BU119="","",(BU119-BU$93)*1000)+CQ$93</f>
        <v>-6.5270993310377889</v>
      </c>
      <c r="CR119" s="40">
        <f t="shared" ref="CR119" si="2718">IF(BV119="","",(BV119-BV$93)*1000)+CR$93</f>
        <v>14.263608082025758</v>
      </c>
      <c r="CS119" s="40">
        <f t="shared" ref="CS119" si="2719">IF(BW119="","",(BW119-BW$93)*1000)+CS$93</f>
        <v>-4.3377290066954899</v>
      </c>
      <c r="CT119" s="40">
        <f t="shared" ref="CT119" si="2720">IF(BX119="","",(BX119-BX$93)*1000)+CT$93</f>
        <v>-4.5629320513569382</v>
      </c>
      <c r="CU119" s="40">
        <f t="shared" ref="CU119" si="2721">IF(BY119="","",(BY119-BY$93)*1000)+CU$93</f>
        <v>-4.9849987134657212</v>
      </c>
      <c r="CV119" s="40">
        <f t="shared" ref="CV119" si="2722">IF(BZ119="","",(BZ119-BZ$93)*1000)+CV$93</f>
        <v>-34.498370679480139</v>
      </c>
      <c r="CW119" s="40">
        <f t="shared" ref="CW119" si="2723">IF(CA119="","",(CA119-CA$93)*1000)+CW$93</f>
        <v>-1.8074175951028337</v>
      </c>
      <c r="CX119" s="40">
        <f t="shared" ref="CX119" si="2724">IF(CB119="","",(CB119-CB$93)*1000)+CX$93</f>
        <v>-10.327472587209119</v>
      </c>
      <c r="CY119" s="40">
        <f t="shared" ref="CY119" si="2725">IF(CC119="","",(CC119-CC$93)*1000)+CY$93</f>
        <v>-14.843925824051585</v>
      </c>
      <c r="CZ119" s="40">
        <f t="shared" ref="CZ119" si="2726">IF(CD119="","",(CD119-CD$93)*1000)+CZ$93</f>
        <v>-3.6322977732368145</v>
      </c>
      <c r="DA119" s="40">
        <f t="shared" ref="DA119" si="2727">IF(CE119="","",(CE119-CE$93)*1000)+DA$93</f>
        <v>-10.945938699715718</v>
      </c>
      <c r="DB119" s="40">
        <f t="shared" ref="DB119" si="2728">IF(CF119="","",(CF119-CF$93)*1000)+DB$93</f>
        <v>0.7643229777353211</v>
      </c>
      <c r="DC119" s="40">
        <f t="shared" ref="DC119" si="2729">IF(CG119="","",(CG119-CG$93)*1000)+DC$93</f>
        <v>-5.5481621594424269</v>
      </c>
      <c r="DD119" s="40">
        <f t="shared" ref="DD119" si="2730">IF(CH119="","",(CH119-CH$93)*1000)+DD$93</f>
        <v>-12.726711016591175</v>
      </c>
      <c r="DE119" s="40">
        <f t="shared" ref="DE119" si="2731">IF(CI119="","",(CI119-CI$93)*1000)+DE$93</f>
        <v>4.0504816215831685</v>
      </c>
    </row>
    <row r="120" spans="1:109" ht="37.5" customHeight="1" x14ac:dyDescent="0.2">
      <c r="A120" s="34">
        <v>44915</v>
      </c>
      <c r="B120" s="27">
        <f t="shared" ref="B120" si="2732">A120-$A$10</f>
        <v>1316</v>
      </c>
      <c r="C120" s="35">
        <v>222.9</v>
      </c>
      <c r="D120" s="35">
        <f t="shared" ref="D120" si="2733">C120-PM</f>
        <v>53.700000000000017</v>
      </c>
      <c r="E120" s="36">
        <v>823219.54850000003</v>
      </c>
      <c r="F120" s="36">
        <v>1091508.5566</v>
      </c>
      <c r="G120" s="36">
        <v>-124.99339999999999</v>
      </c>
      <c r="H120" s="36"/>
      <c r="I120" s="36"/>
      <c r="J120" s="36"/>
      <c r="K120" s="36">
        <v>823219.60629999998</v>
      </c>
      <c r="L120" s="36">
        <v>1091507.9938999999</v>
      </c>
      <c r="M120" s="36">
        <v>-120.8736</v>
      </c>
      <c r="N120" s="36">
        <v>823220.85609999998</v>
      </c>
      <c r="O120" s="36">
        <v>1091504.7848</v>
      </c>
      <c r="P120" s="36">
        <v>-119.5279</v>
      </c>
      <c r="Q120" s="36">
        <v>823222.3371</v>
      </c>
      <c r="R120" s="36">
        <v>1091502.1825000001</v>
      </c>
      <c r="S120" s="36">
        <v>-120.8715</v>
      </c>
      <c r="T120" s="36">
        <v>823222.74609999999</v>
      </c>
      <c r="U120" s="36">
        <v>1091501.2823999999</v>
      </c>
      <c r="V120" s="36">
        <v>-123.00190000000001</v>
      </c>
      <c r="W120" s="36">
        <v>823222.66330000001</v>
      </c>
      <c r="X120" s="36">
        <v>1091501.6083</v>
      </c>
      <c r="Y120" s="36">
        <v>-124.9177</v>
      </c>
      <c r="Z120" s="36">
        <f t="shared" si="1490"/>
        <v>6.7681595171623421</v>
      </c>
      <c r="AA120" s="36"/>
      <c r="AB120" s="36">
        <f t="shared" si="1683"/>
        <v>3.6974628245716263</v>
      </c>
      <c r="AC120" s="36">
        <f t="shared" si="1492"/>
        <v>3.2818572866022149</v>
      </c>
      <c r="AD120" s="36">
        <f t="shared" si="1493"/>
        <v>5.2827627015465435</v>
      </c>
      <c r="AE120" s="36">
        <f t="shared" si="2512"/>
        <v>6.511994174638108</v>
      </c>
      <c r="AF120" s="36">
        <f t="shared" si="1684"/>
        <v>6.4210313040405698</v>
      </c>
      <c r="AG120" s="36"/>
      <c r="AH120" s="36">
        <f t="shared" si="1496"/>
        <v>7.6148921476630429</v>
      </c>
      <c r="AI120" s="40">
        <f t="shared" ref="AI120" si="2734">IF(Z120="","",(Z120-Z$10)*1000)</f>
        <v>-48.791778663348495</v>
      </c>
      <c r="AJ120" s="40"/>
      <c r="AK120" s="40">
        <f t="shared" ref="AK120" si="2735">IF(AB120="","",(AB120-AB$10)*1000)</f>
        <v>-35.062447863706936</v>
      </c>
      <c r="AL120" s="40">
        <f t="shared" ref="AL120" si="2736">IF(AC120="","",(AC120-AC$10)*1000)</f>
        <v>-15.831470632551969</v>
      </c>
      <c r="AM120" s="40">
        <f t="shared" ref="AM120" si="2737">IF(AD120="","",(AD120-AD$10)*1000)</f>
        <v>-34.503365711883838</v>
      </c>
      <c r="AN120" s="40">
        <f t="shared" ref="AN120" si="2738">IF(AE120="","",(AE120-AE$10)*1000)</f>
        <v>-46.011075376480193</v>
      </c>
      <c r="AO120" s="40">
        <f t="shared" ref="AO120" si="2739">IF(AF120="","",(AF120-AF$10)*1000)</f>
        <v>-30.572326678477424</v>
      </c>
      <c r="AP120" s="40"/>
      <c r="AQ120" s="40">
        <f t="shared" ref="AQ120" si="2740">IF(AH120="","",(AH120-AH$10)*1000)</f>
        <v>-33.126017051179346</v>
      </c>
      <c r="AR120" s="37"/>
      <c r="AS120" s="40">
        <f t="shared" ref="AS120" si="2741">IF(E120="","",(E120-E$93)*1000)+AS$93</f>
        <v>1.9000000320374966</v>
      </c>
      <c r="AT120" s="40">
        <f t="shared" ref="AT120" si="2742">IF(F120="","",(F120-F$93)*1000)+AT$93</f>
        <v>-18.500000005587935</v>
      </c>
      <c r="AU120" s="40">
        <f t="shared" ref="AU120" si="2743">IF(G120="","",(G120-G$93)*1000)+AU$93</f>
        <v>1.1000000000080945</v>
      </c>
      <c r="AV120" s="40"/>
      <c r="AW120" s="40"/>
      <c r="AX120" s="40"/>
      <c r="AY120" s="40">
        <f t="shared" ref="AY120" si="2744">IF(K120="","",(K120-K$93)*1000)+AY$93</f>
        <v>0.49999996554106474</v>
      </c>
      <c r="AZ120" s="40">
        <f t="shared" ref="AZ120" si="2745">IF(L120="","",(L120-L$93)*1000)+AZ$93</f>
        <v>-20.499999867752194</v>
      </c>
      <c r="BA120" s="40">
        <f t="shared" ref="BA120" si="2746">IF(M120="","",(M120-M$93)*1000)+BA$93</f>
        <v>-7.5999999999822876</v>
      </c>
      <c r="BB120" s="40">
        <f t="shared" ref="BB120" si="2747">IF(N120="","",(N120-N$93)*1000)+BB$93</f>
        <v>-7.0000000996515155</v>
      </c>
      <c r="BC120" s="40">
        <f t="shared" ref="BC120" si="2748">IF(O120="","",(O120-O$93)*1000)+BC$93</f>
        <v>2.3000000510364771</v>
      </c>
      <c r="BD120" s="40">
        <f t="shared" ref="BD120" si="2749">IF(P120="","",(P120-P$93)*1000)+BD$93</f>
        <v>-43.199999999998795</v>
      </c>
      <c r="BE120" s="40">
        <f t="shared" ref="BE120" si="2750">IF(Q120="","",(Q120-Q$93)*1000)+BE$93</f>
        <v>-6.9000000366941094</v>
      </c>
      <c r="BF120" s="40">
        <f t="shared" ref="BF120" si="2751">IF(R120="","",(R120-R$93)*1000)+BF$93</f>
        <v>10.400000028312206</v>
      </c>
      <c r="BG120" s="40">
        <f t="shared" ref="BG120" si="2752">IF(S120="","",(S120-S$93)*1000)+BG$93</f>
        <v>-19.700000000000273</v>
      </c>
      <c r="BH120" s="40">
        <f t="shared" ref="BH120" si="2753">IF(T120="","",(T120-T$93)*1000)+BH$93</f>
        <v>-9.500000043772161</v>
      </c>
      <c r="BI120" s="40">
        <f t="shared" ref="BI120" si="2754">IF(U120="","",(U120-U$93)*1000)+BI$93</f>
        <v>10.499999858438969</v>
      </c>
      <c r="BJ120" s="40">
        <f t="shared" ref="BJ120" si="2755">IF(V120="","",(V120-V$93)*1000)+BJ$93</f>
        <v>-1.4210854715202004E-11</v>
      </c>
      <c r="BK120" s="40">
        <f t="shared" ref="BK120" si="2756">IF(W120="","",(W120-W$93)*1000)+BK$93</f>
        <v>-12.999999918974936</v>
      </c>
      <c r="BL120" s="40">
        <f t="shared" ref="BL120" si="2757">IF(X120="","",(X120-X$93)*1000)+BL$93</f>
        <v>11.899999808520079</v>
      </c>
      <c r="BM120" s="40">
        <f t="shared" ref="BM120" si="2758">IF(Y120="","",(Y120-Y$93)*1000)+BM$93</f>
        <v>4.8999999999921329</v>
      </c>
      <c r="BN120" s="37"/>
      <c r="BO120" s="36">
        <v>169.32228775686852</v>
      </c>
      <c r="BP120" s="36">
        <v>-3.7418564239866603</v>
      </c>
      <c r="BQ120" s="36">
        <v>-1.143742877568684</v>
      </c>
      <c r="BR120" s="36" t="s">
        <v>81</v>
      </c>
      <c r="BS120" s="36" t="s">
        <v>81</v>
      </c>
      <c r="BT120" s="36" t="s">
        <v>81</v>
      </c>
      <c r="BU120" s="36">
        <v>169.13684515113397</v>
      </c>
      <c r="BV120" s="36">
        <v>-3.2074566016490653</v>
      </c>
      <c r="BW120" s="36">
        <v>2.9779115484886631</v>
      </c>
      <c r="BX120" s="38">
        <v>168.91319638863521</v>
      </c>
      <c r="BY120" s="39">
        <v>0.22915569538442734</v>
      </c>
      <c r="BZ120" s="39">
        <v>4.3258480361136407</v>
      </c>
      <c r="CA120" s="38">
        <v>169.15554758763906</v>
      </c>
      <c r="CB120" s="39">
        <v>3.2135471217836895</v>
      </c>
      <c r="CC120" s="39">
        <v>2.9798245241236145</v>
      </c>
      <c r="CD120" s="38">
        <v>169.14579196136168</v>
      </c>
      <c r="CE120" s="39">
        <v>4.2021652675349301</v>
      </c>
      <c r="CF120" s="39">
        <v>0.84952208038637878</v>
      </c>
      <c r="CG120" s="38">
        <v>169.20849326982631</v>
      </c>
      <c r="CH120" s="39">
        <v>3.8718091022404129</v>
      </c>
      <c r="CI120" s="39">
        <v>-1.0669049326982645</v>
      </c>
      <c r="CJ120" s="37"/>
      <c r="CK120" s="40">
        <f t="shared" ref="CK120" si="2759">IF(BO120="","",(BO120-BO$93)*1000)+CK$93</f>
        <v>-6.1398256331983703</v>
      </c>
      <c r="CL120" s="40">
        <f t="shared" ref="CL120" si="2760">IF(BP120="","",(BP120-BP$93)*1000)+CL$93</f>
        <v>17.585003900767671</v>
      </c>
      <c r="CM120" s="40">
        <f t="shared" ref="CM120" si="2761">IF(BQ120="","",(BQ120-BQ$93)*1000)+CM$93</f>
        <v>1.1203982563470216</v>
      </c>
      <c r="CN120" s="40"/>
      <c r="CO120" s="40"/>
      <c r="CP120" s="40"/>
      <c r="CQ120" s="40">
        <f t="shared" ref="CQ120" si="2762">IF(BU120="","",(BU120-BU$93)*1000)+CQ$93</f>
        <v>-8.1933122389443724</v>
      </c>
      <c r="CR120" s="40">
        <f t="shared" ref="CR120" si="2763">IF(BV120="","",(BV120-BV$93)*1000)+CR$93</f>
        <v>18.782870936694174</v>
      </c>
      <c r="CS120" s="40">
        <f t="shared" ref="CS120" si="2764">IF(BW120="","",(BW120-BW$93)*1000)+CS$93</f>
        <v>-7.5210668776035661</v>
      </c>
      <c r="CT120" s="40">
        <f t="shared" ref="CT120" si="2765">IF(BX120="","",(BX120-BX$93)*1000)+CT$93</f>
        <v>-5.4147613095949509</v>
      </c>
      <c r="CU120" s="40">
        <f t="shared" ref="CU120" si="2766">IF(BY120="","",(BY120-BY$93)*1000)+CU$93</f>
        <v>-5.0512327626972269</v>
      </c>
      <c r="CV120" s="40">
        <f t="shared" ref="CV120" si="2767">IF(BZ120="","",(BZ120-BZ$93)*1000)+CV$93</f>
        <v>-43.18985238691031</v>
      </c>
      <c r="CW120" s="40">
        <f t="shared" ref="CW120" si="2768">IF(CA120="","",(CA120-CA$93)*1000)+CW$93</f>
        <v>-1.8623067218470624</v>
      </c>
      <c r="CX120" s="40">
        <f t="shared" ref="CX120" si="2769">IF(CB120="","",(CB120-CB$93)*1000)+CX$93</f>
        <v>-12.339185261235119</v>
      </c>
      <c r="CY120" s="40">
        <f t="shared" ref="CY120" si="2770">IF(CC120="","",(CC120-CC$93)*1000)+CY$93</f>
        <v>-19.643376932775514</v>
      </c>
      <c r="CZ120" s="40">
        <f t="shared" ref="CZ120" si="2771">IF(CD120="","",(CD120-CD$93)*1000)+CZ$93</f>
        <v>-4.1947958257253504</v>
      </c>
      <c r="DA120" s="40">
        <f t="shared" ref="DA120" si="2772">IF(CE120="","",(CE120-CE$93)*1000)+DA$93</f>
        <v>-13.525395134135643</v>
      </c>
      <c r="DB120" s="40">
        <f t="shared" ref="DB120" si="2773">IF(CF120="","",(CF120-CF$93)*1000)+DB$93</f>
        <v>6.9947958257432497E-2</v>
      </c>
      <c r="DC120" s="40">
        <f t="shared" ref="DC120" si="2774">IF(CG120="","",(CG120-CG$93)*1000)+DC$93</f>
        <v>-6.7633610368034169</v>
      </c>
      <c r="DD120" s="40">
        <f t="shared" ref="DD120" si="2775">IF(CH120="","",(CH120-CH$93)*1000)+DD$93</f>
        <v>-16.272594842042132</v>
      </c>
      <c r="DE120" s="40">
        <f t="shared" ref="DE120" si="2776">IF(CI120="","",(CI120-CI$93)*1000)+DE$93</f>
        <v>4.9626336103545388</v>
      </c>
    </row>
    <row r="121" spans="1:109" ht="37.5" customHeight="1" x14ac:dyDescent="0.2">
      <c r="A121" s="34"/>
      <c r="B121" s="27"/>
      <c r="C121" s="35"/>
      <c r="D121" s="35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40"/>
      <c r="AJ121" s="40"/>
      <c r="AK121" s="40"/>
      <c r="AL121" s="40"/>
      <c r="AM121" s="40"/>
      <c r="AN121" s="40"/>
      <c r="AO121" s="40"/>
      <c r="AP121" s="40"/>
      <c r="AQ121" s="40"/>
      <c r="AR121" s="37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37"/>
      <c r="BO121" s="36"/>
      <c r="BP121" s="36"/>
      <c r="BQ121" s="36"/>
      <c r="BR121" s="36"/>
      <c r="BS121" s="36"/>
      <c r="BT121" s="36"/>
      <c r="BU121" s="36"/>
      <c r="BV121" s="36"/>
      <c r="BW121" s="36"/>
      <c r="BX121" s="38"/>
      <c r="BY121" s="39"/>
      <c r="BZ121" s="39"/>
      <c r="CA121" s="38"/>
      <c r="CB121" s="39"/>
      <c r="CC121" s="39"/>
      <c r="CD121" s="38"/>
      <c r="CE121" s="39"/>
      <c r="CF121" s="39"/>
      <c r="CG121" s="38"/>
      <c r="CH121" s="39"/>
      <c r="CI121" s="39"/>
      <c r="CJ121" s="37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</row>
    <row r="122" spans="1:109" ht="37.5" customHeight="1" x14ac:dyDescent="0.2">
      <c r="A122" s="34"/>
      <c r="B122" s="27"/>
      <c r="C122" s="35"/>
      <c r="D122" s="35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40"/>
      <c r="AJ122" s="40"/>
      <c r="AK122" s="40"/>
      <c r="AL122" s="40"/>
      <c r="AM122" s="40"/>
      <c r="AN122" s="40"/>
      <c r="AO122" s="40"/>
      <c r="AP122" s="40"/>
      <c r="AQ122" s="40"/>
      <c r="AR122" s="37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37"/>
      <c r="BO122" s="36"/>
      <c r="BP122" s="36"/>
      <c r="BQ122" s="36"/>
      <c r="BR122" s="36"/>
      <c r="BS122" s="36"/>
      <c r="BT122" s="36"/>
      <c r="BU122" s="36"/>
      <c r="BV122" s="36"/>
      <c r="BW122" s="36"/>
      <c r="BX122" s="38"/>
      <c r="BY122" s="39"/>
      <c r="BZ122" s="39"/>
      <c r="CA122" s="38"/>
      <c r="CB122" s="39"/>
      <c r="CC122" s="39"/>
      <c r="CD122" s="38"/>
      <c r="CE122" s="39"/>
      <c r="CF122" s="39"/>
      <c r="CG122" s="38"/>
      <c r="CH122" s="39"/>
      <c r="CI122" s="39"/>
      <c r="CJ122" s="37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</row>
    <row r="123" spans="1:109" ht="37.5" customHeight="1" x14ac:dyDescent="0.2">
      <c r="A123" s="34"/>
      <c r="B123" s="27"/>
      <c r="C123" s="35"/>
      <c r="D123" s="35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40"/>
      <c r="AJ123" s="40"/>
      <c r="AK123" s="40"/>
      <c r="AL123" s="40"/>
      <c r="AM123" s="40"/>
      <c r="AN123" s="40"/>
      <c r="AO123" s="40"/>
      <c r="AP123" s="40"/>
      <c r="AQ123" s="40"/>
      <c r="AR123" s="37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37"/>
      <c r="BO123" s="36"/>
      <c r="BP123" s="36"/>
      <c r="BQ123" s="36"/>
      <c r="BR123" s="36"/>
      <c r="BS123" s="36"/>
      <c r="BT123" s="36"/>
      <c r="BU123" s="36"/>
      <c r="BV123" s="36"/>
      <c r="BW123" s="36"/>
      <c r="BX123" s="38"/>
      <c r="BY123" s="39"/>
      <c r="BZ123" s="39"/>
      <c r="CA123" s="38"/>
      <c r="CB123" s="39"/>
      <c r="CC123" s="39"/>
      <c r="CD123" s="38"/>
      <c r="CE123" s="39"/>
      <c r="CF123" s="39"/>
      <c r="CG123" s="38"/>
      <c r="CH123" s="39"/>
      <c r="CI123" s="39"/>
      <c r="CJ123" s="37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</row>
    <row r="124" spans="1:109" ht="37.5" customHeight="1" x14ac:dyDescent="0.2">
      <c r="A124" s="34"/>
      <c r="B124" s="27"/>
      <c r="C124" s="35"/>
      <c r="D124" s="35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40"/>
      <c r="AJ124" s="40"/>
      <c r="AK124" s="40"/>
      <c r="AL124" s="40"/>
      <c r="AM124" s="40"/>
      <c r="AN124" s="40"/>
      <c r="AO124" s="40"/>
      <c r="AP124" s="40"/>
      <c r="AQ124" s="40"/>
      <c r="AR124" s="37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37"/>
      <c r="BO124" s="36"/>
      <c r="BP124" s="36"/>
      <c r="BQ124" s="36"/>
      <c r="BR124" s="36"/>
      <c r="BS124" s="36"/>
      <c r="BT124" s="36"/>
      <c r="BU124" s="36"/>
      <c r="BV124" s="36"/>
      <c r="BW124" s="36"/>
      <c r="BX124" s="38"/>
      <c r="BY124" s="39"/>
      <c r="BZ124" s="39"/>
      <c r="CA124" s="38"/>
      <c r="CB124" s="39"/>
      <c r="CC124" s="39"/>
      <c r="CD124" s="38"/>
      <c r="CE124" s="39"/>
      <c r="CF124" s="39"/>
      <c r="CG124" s="38"/>
      <c r="CH124" s="39"/>
      <c r="CI124" s="39"/>
      <c r="CJ124" s="37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</row>
    <row r="125" spans="1:109" ht="37.5" customHeight="1" x14ac:dyDescent="0.2">
      <c r="A125" s="34"/>
      <c r="B125" s="27"/>
      <c r="C125" s="35"/>
      <c r="D125" s="35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40"/>
      <c r="AJ125" s="40"/>
      <c r="AK125" s="40"/>
      <c r="AL125" s="40"/>
      <c r="AM125" s="40"/>
      <c r="AN125" s="40"/>
      <c r="AO125" s="40"/>
      <c r="AP125" s="40"/>
      <c r="AQ125" s="40"/>
      <c r="AR125" s="37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37"/>
      <c r="BO125" s="36"/>
      <c r="BP125" s="36"/>
      <c r="BQ125" s="36"/>
      <c r="BR125" s="36"/>
      <c r="BS125" s="36"/>
      <c r="BT125" s="36"/>
      <c r="BU125" s="36"/>
      <c r="BV125" s="36"/>
      <c r="BW125" s="36"/>
      <c r="BX125" s="38"/>
      <c r="BY125" s="39"/>
      <c r="BZ125" s="39"/>
      <c r="CA125" s="38"/>
      <c r="CB125" s="39"/>
      <c r="CC125" s="39"/>
      <c r="CD125" s="38"/>
      <c r="CE125" s="39"/>
      <c r="CF125" s="39"/>
      <c r="CG125" s="38"/>
      <c r="CH125" s="39"/>
      <c r="CI125" s="39"/>
      <c r="CJ125" s="37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</row>
    <row r="126" spans="1:109" ht="37.5" customHeight="1" x14ac:dyDescent="0.2">
      <c r="A126" s="34"/>
      <c r="B126" s="27"/>
      <c r="C126" s="35"/>
      <c r="D126" s="35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40"/>
      <c r="AJ126" s="40"/>
      <c r="AK126" s="40"/>
      <c r="AL126" s="40"/>
      <c r="AM126" s="40"/>
      <c r="AN126" s="40"/>
      <c r="AO126" s="40"/>
      <c r="AP126" s="40"/>
      <c r="AQ126" s="40"/>
      <c r="AR126" s="37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37"/>
      <c r="BO126" s="36"/>
      <c r="BP126" s="36"/>
      <c r="BQ126" s="36"/>
      <c r="BR126" s="36"/>
      <c r="BS126" s="36"/>
      <c r="BT126" s="36"/>
      <c r="BU126" s="36"/>
      <c r="BV126" s="36"/>
      <c r="BW126" s="36"/>
      <c r="BX126" s="38"/>
      <c r="BY126" s="39"/>
      <c r="BZ126" s="39"/>
      <c r="CA126" s="38"/>
      <c r="CB126" s="39"/>
      <c r="CC126" s="39"/>
      <c r="CD126" s="38"/>
      <c r="CE126" s="39"/>
      <c r="CF126" s="39"/>
      <c r="CG126" s="38"/>
      <c r="CH126" s="39"/>
      <c r="CI126" s="39"/>
      <c r="CJ126" s="37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</row>
    <row r="127" spans="1:109" ht="37.5" customHeight="1" x14ac:dyDescent="0.2">
      <c r="A127" s="34"/>
      <c r="B127" s="27"/>
      <c r="C127" s="35"/>
      <c r="D127" s="35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40"/>
      <c r="AJ127" s="40"/>
      <c r="AK127" s="40"/>
      <c r="AL127" s="40"/>
      <c r="AM127" s="40"/>
      <c r="AN127" s="40"/>
      <c r="AO127" s="40"/>
      <c r="AP127" s="40"/>
      <c r="AQ127" s="40"/>
      <c r="AR127" s="37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37"/>
      <c r="BO127" s="36"/>
      <c r="BP127" s="36"/>
      <c r="BQ127" s="36"/>
      <c r="BR127" s="36"/>
      <c r="BS127" s="36"/>
      <c r="BT127" s="36"/>
      <c r="BU127" s="36"/>
      <c r="BV127" s="36"/>
      <c r="BW127" s="36"/>
      <c r="BX127" s="38"/>
      <c r="BY127" s="39"/>
      <c r="BZ127" s="39"/>
      <c r="CA127" s="38"/>
      <c r="CB127" s="39"/>
      <c r="CC127" s="39"/>
      <c r="CD127" s="38"/>
      <c r="CE127" s="39"/>
      <c r="CF127" s="39"/>
      <c r="CG127" s="38"/>
      <c r="CH127" s="39"/>
      <c r="CI127" s="39"/>
      <c r="CJ127" s="37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</row>
    <row r="128" spans="1:109" ht="37.5" customHeight="1" x14ac:dyDescent="0.2">
      <c r="A128" s="34"/>
      <c r="B128" s="27"/>
      <c r="C128" s="35"/>
      <c r="D128" s="35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40"/>
      <c r="AJ128" s="40"/>
      <c r="AK128" s="40"/>
      <c r="AL128" s="40"/>
      <c r="AM128" s="40"/>
      <c r="AN128" s="40"/>
      <c r="AO128" s="40"/>
      <c r="AP128" s="40"/>
      <c r="AQ128" s="40"/>
      <c r="AR128" s="37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37"/>
      <c r="BO128" s="36"/>
      <c r="BP128" s="36"/>
      <c r="BQ128" s="36"/>
      <c r="BR128" s="36"/>
      <c r="BS128" s="36"/>
      <c r="BT128" s="36"/>
      <c r="BU128" s="36"/>
      <c r="BV128" s="36"/>
      <c r="BW128" s="36"/>
      <c r="BX128" s="38"/>
      <c r="BY128" s="39"/>
      <c r="BZ128" s="39"/>
      <c r="CA128" s="38"/>
      <c r="CB128" s="39"/>
      <c r="CC128" s="39"/>
      <c r="CD128" s="38"/>
      <c r="CE128" s="39"/>
      <c r="CF128" s="39"/>
      <c r="CG128" s="38"/>
      <c r="CH128" s="39"/>
      <c r="CI128" s="39"/>
      <c r="CJ128" s="37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</row>
    <row r="129" spans="1:109" ht="37.5" customHeight="1" x14ac:dyDescent="0.2">
      <c r="A129" s="34"/>
      <c r="B129" s="27"/>
      <c r="C129" s="35"/>
      <c r="D129" s="35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40"/>
      <c r="AJ129" s="40"/>
      <c r="AK129" s="40"/>
      <c r="AL129" s="40"/>
      <c r="AM129" s="40"/>
      <c r="AN129" s="40"/>
      <c r="AO129" s="40"/>
      <c r="AP129" s="40"/>
      <c r="AQ129" s="40"/>
      <c r="AR129" s="37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37"/>
      <c r="BO129" s="36"/>
      <c r="BP129" s="36"/>
      <c r="BQ129" s="36"/>
      <c r="BR129" s="36"/>
      <c r="BS129" s="36"/>
      <c r="BT129" s="36"/>
      <c r="BU129" s="36"/>
      <c r="BV129" s="36"/>
      <c r="BW129" s="36"/>
      <c r="BX129" s="38"/>
      <c r="BY129" s="39"/>
      <c r="BZ129" s="39"/>
      <c r="CA129" s="38"/>
      <c r="CB129" s="39"/>
      <c r="CC129" s="39"/>
      <c r="CD129" s="38"/>
      <c r="CE129" s="39"/>
      <c r="CF129" s="39"/>
      <c r="CG129" s="38"/>
      <c r="CH129" s="39"/>
      <c r="CI129" s="39"/>
      <c r="CJ129" s="37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</row>
  </sheetData>
  <mergeCells count="46">
    <mergeCell ref="K83:M83"/>
    <mergeCell ref="K79:M79"/>
    <mergeCell ref="K77:M77"/>
    <mergeCell ref="K73:M73"/>
    <mergeCell ref="W73:Y73"/>
    <mergeCell ref="K75:M75"/>
    <mergeCell ref="W75:Y75"/>
    <mergeCell ref="K76:M76"/>
    <mergeCell ref="W76:Y76"/>
    <mergeCell ref="K78:M78"/>
    <mergeCell ref="K81:M81"/>
    <mergeCell ref="K82:M82"/>
    <mergeCell ref="A8:A9"/>
    <mergeCell ref="B8:B9"/>
    <mergeCell ref="C8:C9"/>
    <mergeCell ref="D8:D9"/>
    <mergeCell ref="E8:G8"/>
    <mergeCell ref="AI8:AQ8"/>
    <mergeCell ref="W8:Y8"/>
    <mergeCell ref="F1:W1"/>
    <mergeCell ref="K8:M8"/>
    <mergeCell ref="Q8:S8"/>
    <mergeCell ref="H8:J8"/>
    <mergeCell ref="N8:P8"/>
    <mergeCell ref="T8:V8"/>
    <mergeCell ref="DC8:DE8"/>
    <mergeCell ref="CD8:CF8"/>
    <mergeCell ref="CN8:CP8"/>
    <mergeCell ref="CZ8:DB8"/>
    <mergeCell ref="CG8:CI8"/>
    <mergeCell ref="CQ8:CS8"/>
    <mergeCell ref="CW8:CY8"/>
    <mergeCell ref="CA8:CC8"/>
    <mergeCell ref="CK8:CM8"/>
    <mergeCell ref="CT8:CV8"/>
    <mergeCell ref="AS8:AU8"/>
    <mergeCell ref="BB8:BD8"/>
    <mergeCell ref="BK8:BM8"/>
    <mergeCell ref="BX8:BZ8"/>
    <mergeCell ref="AY8:BA8"/>
    <mergeCell ref="BE8:BG8"/>
    <mergeCell ref="BU8:BW8"/>
    <mergeCell ref="BO8:BQ8"/>
    <mergeCell ref="BH8:BJ8"/>
    <mergeCell ref="BR8:BT8"/>
    <mergeCell ref="AV8:AX8"/>
  </mergeCells>
  <phoneticPr fontId="0" type="noConversion"/>
  <pageMargins left="0.55118110236220474" right="0.19685039370078741" top="0.47244094488188981" bottom="0.27559055118110237" header="0" footer="0"/>
  <pageSetup paperSize="9" scale="2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7"/>
  <dimension ref="A2:B7"/>
  <sheetViews>
    <sheetView workbookViewId="0">
      <selection activeCell="G22" sqref="F22:G22"/>
    </sheetView>
  </sheetViews>
  <sheetFormatPr baseColWidth="10" defaultRowHeight="12.75" x14ac:dyDescent="0.2"/>
  <cols>
    <col min="1" max="1" width="17" bestFit="1" customWidth="1"/>
  </cols>
  <sheetData>
    <row r="2" spans="1:2" x14ac:dyDescent="0.2">
      <c r="A2" t="s">
        <v>99</v>
      </c>
      <c r="B2">
        <v>3</v>
      </c>
    </row>
    <row r="3" spans="1:2" x14ac:dyDescent="0.2">
      <c r="A3" t="s">
        <v>100</v>
      </c>
      <c r="B3">
        <v>2</v>
      </c>
    </row>
    <row r="4" spans="1:2" x14ac:dyDescent="0.2">
      <c r="A4" t="s">
        <v>101</v>
      </c>
      <c r="B4">
        <v>3</v>
      </c>
    </row>
    <row r="5" spans="1:2" x14ac:dyDescent="0.2">
      <c r="A5" t="s">
        <v>102</v>
      </c>
      <c r="B5">
        <v>2</v>
      </c>
    </row>
    <row r="6" spans="1:2" x14ac:dyDescent="0.2">
      <c r="A6" t="s">
        <v>103</v>
      </c>
      <c r="B6">
        <v>3</v>
      </c>
    </row>
    <row r="7" spans="1:2" x14ac:dyDescent="0.2">
      <c r="A7" t="s">
        <v>104</v>
      </c>
      <c r="B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Z123"/>
  <sheetViews>
    <sheetView zoomScale="70" zoomScaleNormal="70" workbookViewId="0">
      <pane ySplit="9" topLeftCell="A31" activePane="bottomLeft" state="frozenSplit"/>
      <selection activeCell="C7" sqref="C7"/>
      <selection pane="bottomLeft" activeCell="U126" sqref="U126"/>
    </sheetView>
  </sheetViews>
  <sheetFormatPr baseColWidth="10" defaultColWidth="11.42578125" defaultRowHeight="12.75" x14ac:dyDescent="0.2"/>
  <cols>
    <col min="1" max="1" width="7.140625" style="2" customWidth="1"/>
    <col min="2" max="2" width="10.42578125" style="17" bestFit="1" customWidth="1"/>
    <col min="3" max="13" width="8.42578125" style="2" customWidth="1"/>
    <col min="14" max="14" width="9.85546875" style="2" bestFit="1" customWidth="1"/>
    <col min="15" max="16" width="8.42578125" style="2" customWidth="1"/>
    <col min="17" max="17" width="7.140625" style="2" customWidth="1"/>
    <col min="18" max="26" width="8.42578125" style="12" customWidth="1"/>
    <col min="27" max="16384" width="11.42578125" style="2"/>
  </cols>
  <sheetData>
    <row r="1" spans="1:26" ht="15.75" x14ac:dyDescent="0.2">
      <c r="U1" s="144" t="s">
        <v>9</v>
      </c>
      <c r="V1" s="144"/>
      <c r="W1" s="144"/>
      <c r="X1" s="144"/>
      <c r="Y1" s="144"/>
      <c r="Z1" s="144"/>
    </row>
    <row r="2" spans="1:26" ht="15.75" x14ac:dyDescent="0.2">
      <c r="U2" s="144" t="s">
        <v>53</v>
      </c>
      <c r="V2" s="144"/>
      <c r="W2" s="144"/>
      <c r="X2" s="144"/>
      <c r="Y2" s="144"/>
      <c r="Z2" s="144"/>
    </row>
    <row r="3" spans="1:26" ht="15" customHeight="1" x14ac:dyDescent="0.2">
      <c r="U3" s="10"/>
      <c r="V3" s="10"/>
      <c r="W3" s="10"/>
      <c r="X3" s="10"/>
      <c r="Y3" s="10"/>
    </row>
    <row r="4" spans="1:26" ht="15" customHeight="1" x14ac:dyDescent="0.2">
      <c r="J4" s="25"/>
      <c r="K4" s="25"/>
      <c r="L4" s="25"/>
      <c r="M4" s="25"/>
      <c r="N4" s="25"/>
      <c r="O4" s="25"/>
      <c r="U4" s="26"/>
      <c r="V4" s="26"/>
      <c r="W4" s="26"/>
      <c r="X4" s="26"/>
      <c r="Y4" s="26"/>
      <c r="Z4" s="26"/>
    </row>
    <row r="5" spans="1:26" ht="20.25" x14ac:dyDescent="0.2">
      <c r="A5" s="145" t="s">
        <v>61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5" customHeight="1" x14ac:dyDescent="0.2">
      <c r="J6" s="25"/>
      <c r="K6" s="25"/>
      <c r="L6" s="25"/>
      <c r="M6" s="25"/>
      <c r="N6" s="25"/>
      <c r="O6" s="25"/>
      <c r="U6" s="26"/>
      <c r="V6" s="26"/>
      <c r="W6" s="26"/>
      <c r="X6" s="26"/>
      <c r="Y6" s="26"/>
      <c r="Z6" s="26"/>
    </row>
    <row r="7" spans="1:26" ht="15" customHeight="1" thickBot="1" x14ac:dyDescent="0.25">
      <c r="J7" s="25"/>
      <c r="K7" s="25"/>
      <c r="L7" s="25"/>
      <c r="M7" s="25"/>
      <c r="N7" s="25"/>
      <c r="O7" s="25"/>
      <c r="U7" s="26"/>
      <c r="V7" s="26"/>
      <c r="W7" s="26"/>
      <c r="X7" s="26"/>
      <c r="Y7" s="26"/>
      <c r="Z7" s="26"/>
    </row>
    <row r="8" spans="1:26" ht="16.5" thickBot="1" x14ac:dyDescent="0.25">
      <c r="A8" s="9"/>
      <c r="B8" s="18"/>
      <c r="C8" s="19"/>
      <c r="D8" s="141" t="s">
        <v>48</v>
      </c>
      <c r="E8" s="142"/>
      <c r="F8" s="142"/>
      <c r="G8" s="142"/>
      <c r="H8" s="142"/>
      <c r="I8" s="142"/>
      <c r="J8" s="142"/>
      <c r="K8" s="142"/>
      <c r="L8" s="143"/>
      <c r="M8" s="6"/>
      <c r="R8" s="141" t="s">
        <v>49</v>
      </c>
      <c r="S8" s="142"/>
      <c r="T8" s="142"/>
      <c r="U8" s="142"/>
      <c r="V8" s="142"/>
      <c r="W8" s="142"/>
      <c r="X8" s="142"/>
      <c r="Y8" s="142"/>
      <c r="Z8" s="143"/>
    </row>
    <row r="9" spans="1:26" ht="35.25" customHeight="1" x14ac:dyDescent="0.2">
      <c r="A9" s="49" t="s">
        <v>10</v>
      </c>
      <c r="B9" s="54" t="s">
        <v>11</v>
      </c>
      <c r="C9" s="49" t="s">
        <v>42</v>
      </c>
      <c r="D9" s="53" t="s">
        <v>15</v>
      </c>
      <c r="E9" s="59" t="s">
        <v>50</v>
      </c>
      <c r="F9" s="53" t="s">
        <v>18</v>
      </c>
      <c r="G9" s="53" t="s">
        <v>19</v>
      </c>
      <c r="H9" s="59" t="s">
        <v>51</v>
      </c>
      <c r="I9" s="53" t="s">
        <v>16</v>
      </c>
      <c r="J9" s="53" t="s">
        <v>20</v>
      </c>
      <c r="K9" s="59" t="s">
        <v>52</v>
      </c>
      <c r="L9" s="53" t="s">
        <v>17</v>
      </c>
      <c r="R9" s="53" t="s">
        <v>15</v>
      </c>
      <c r="S9" s="59" t="s">
        <v>50</v>
      </c>
      <c r="T9" s="53" t="s">
        <v>18</v>
      </c>
      <c r="U9" s="53" t="s">
        <v>19</v>
      </c>
      <c r="V9" s="59" t="s">
        <v>51</v>
      </c>
      <c r="W9" s="53" t="s">
        <v>16</v>
      </c>
      <c r="X9" s="53" t="s">
        <v>20</v>
      </c>
      <c r="Y9" s="59" t="s">
        <v>52</v>
      </c>
      <c r="Z9" s="53" t="s">
        <v>17</v>
      </c>
    </row>
    <row r="10" spans="1:26" ht="20.100000000000001" customHeight="1" x14ac:dyDescent="0.2">
      <c r="A10" s="50">
        <f t="shared" ref="A10:A73" si="0">jours</f>
        <v>0</v>
      </c>
      <c r="B10" s="51">
        <f t="shared" ref="B10:B73" si="1">date</f>
        <v>43599</v>
      </c>
      <c r="C10" s="52">
        <f>'Résultats observations'!C10</f>
        <v>170.4</v>
      </c>
      <c r="D10" s="47">
        <f t="shared" ref="D10:D73" si="2">Ecart_BG</f>
        <v>0</v>
      </c>
      <c r="E10" s="47">
        <f t="shared" ref="E10:E73" si="3">Ecart_IG</f>
        <v>0</v>
      </c>
      <c r="F10" s="47">
        <f t="shared" ref="F10:F72" si="4">Ecart_HG</f>
        <v>0</v>
      </c>
      <c r="G10" s="47">
        <f t="shared" ref="G10:G73" si="5">Ecart_HD</f>
        <v>0</v>
      </c>
      <c r="H10" s="47">
        <f t="shared" ref="H10:H71" si="6">Ecart_ID</f>
        <v>0</v>
      </c>
      <c r="I10" s="47">
        <f t="shared" ref="I10:I72" si="7">Ecart_BD</f>
        <v>0</v>
      </c>
      <c r="J10" s="47">
        <f t="shared" ref="J10:J72" si="8">Ecart_LH</f>
        <v>0</v>
      </c>
      <c r="K10" s="47">
        <f t="shared" ref="K10:K71" si="9">Ecart_LI</f>
        <v>0</v>
      </c>
      <c r="L10" s="47">
        <f t="shared" ref="L10:L72" si="10">Ecart_LB</f>
        <v>0</v>
      </c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20.100000000000001" customHeight="1" x14ac:dyDescent="0.2">
      <c r="A11" s="50">
        <f t="shared" si="0"/>
        <v>1</v>
      </c>
      <c r="B11" s="51">
        <f t="shared" si="1"/>
        <v>43600</v>
      </c>
      <c r="C11" s="52">
        <f>'Résultats observations'!C11</f>
        <v>170.4</v>
      </c>
      <c r="D11" s="48">
        <f t="shared" si="2"/>
        <v>-0.98041206640786527</v>
      </c>
      <c r="E11" s="47">
        <f t="shared" si="3"/>
        <v>-0.48933959378505421</v>
      </c>
      <c r="F11" s="47">
        <f t="shared" si="4"/>
        <v>-0.22036813966064273</v>
      </c>
      <c r="G11" s="48">
        <f t="shared" si="5"/>
        <v>-0.14834800005658622</v>
      </c>
      <c r="H11" s="47">
        <f t="shared" si="6"/>
        <v>-0.49324903827674405</v>
      </c>
      <c r="I11" s="48">
        <f t="shared" si="7"/>
        <v>-0.11729645286617796</v>
      </c>
      <c r="J11" s="48">
        <f t="shared" si="8"/>
        <v>9.0345954278703289E-2</v>
      </c>
      <c r="K11" s="47">
        <f t="shared" si="9"/>
        <v>-0.39843061387934142</v>
      </c>
      <c r="L11" s="48">
        <f t="shared" si="10"/>
        <v>-9.11109428498591E-2</v>
      </c>
      <c r="R11" s="47">
        <f t="shared" ref="R11:S21" si="11">IF(AND(D11&lt;&gt;"",D10&lt;&gt;""),(D11-D10)/($B11-$B10),"")</f>
        <v>-0.98041206640786527</v>
      </c>
      <c r="S11" s="47">
        <f t="shared" si="11"/>
        <v>-0.48933959378505421</v>
      </c>
      <c r="T11" s="47">
        <f t="shared" ref="T11:Z11" si="12">IF(AND(F11&lt;&gt;"",F10&lt;&gt;""),(F11-F10)/($B11-$B10),"")</f>
        <v>-0.22036813966064273</v>
      </c>
      <c r="U11" s="47">
        <f t="shared" si="12"/>
        <v>-0.14834800005658622</v>
      </c>
      <c r="V11" s="47">
        <f t="shared" si="12"/>
        <v>-0.49324903827674405</v>
      </c>
      <c r="W11" s="47">
        <f t="shared" si="12"/>
        <v>-0.11729645286617796</v>
      </c>
      <c r="X11" s="47">
        <f t="shared" si="12"/>
        <v>9.0345954278703289E-2</v>
      </c>
      <c r="Y11" s="47">
        <f t="shared" si="12"/>
        <v>-0.39843061387934142</v>
      </c>
      <c r="Z11" s="47">
        <f t="shared" si="12"/>
        <v>-9.11109428498591E-2</v>
      </c>
    </row>
    <row r="12" spans="1:26" ht="20.100000000000001" customHeight="1" x14ac:dyDescent="0.2">
      <c r="A12" s="50">
        <f t="shared" si="0"/>
        <v>2</v>
      </c>
      <c r="B12" s="51">
        <f t="shared" si="1"/>
        <v>43601</v>
      </c>
      <c r="C12" s="52">
        <f>'Résultats observations'!C12</f>
        <v>170.4</v>
      </c>
      <c r="D12" s="48">
        <f t="shared" si="2"/>
        <v>-0.37805926302070247</v>
      </c>
      <c r="E12" s="47">
        <f t="shared" si="3"/>
        <v>-0.17325190238093313</v>
      </c>
      <c r="F12" s="47">
        <f t="shared" si="4"/>
        <v>-0.38849706982047039</v>
      </c>
      <c r="G12" s="48">
        <f t="shared" si="5"/>
        <v>-0.2275186139013563</v>
      </c>
      <c r="H12" s="47">
        <f t="shared" si="6"/>
        <v>-0.52382220249036493</v>
      </c>
      <c r="I12" s="48">
        <f t="shared" si="7"/>
        <v>-0.38031175937636164</v>
      </c>
      <c r="J12" s="48">
        <f t="shared" si="8"/>
        <v>-0.27700354708670716</v>
      </c>
      <c r="K12" s="47">
        <f t="shared" si="9"/>
        <v>0.10384984744149506</v>
      </c>
      <c r="L12" s="48">
        <f t="shared" si="10"/>
        <v>0.27377404146022855</v>
      </c>
      <c r="R12" s="47">
        <f t="shared" si="11"/>
        <v>0.60235280338716279</v>
      </c>
      <c r="S12" s="47">
        <f t="shared" si="11"/>
        <v>0.31608769140412107</v>
      </c>
      <c r="T12" s="47">
        <f t="shared" ref="T12:T21" si="13">IF(AND(F12&lt;&gt;"",F11&lt;&gt;""),(F12-F11)/($B12-$B11),"")</f>
        <v>-0.16812893015982766</v>
      </c>
      <c r="U12" s="47">
        <f t="shared" ref="U12:U21" si="14">IF(AND(G12&lt;&gt;"",G11&lt;&gt;""),(G12-G11)/($B12-$B11),"")</f>
        <v>-7.9170613844770088E-2</v>
      </c>
      <c r="V12" s="47">
        <f t="shared" ref="V12:V21" si="15">IF(AND(H12&lt;&gt;"",H11&lt;&gt;""),(H12-H11)/($B12-$B11),"")</f>
        <v>-3.0573164213620885E-2</v>
      </c>
      <c r="W12" s="47">
        <f t="shared" ref="W12:W21" si="16">IF(AND(I12&lt;&gt;"",I11&lt;&gt;""),(I12-I11)/($B12-$B11),"")</f>
        <v>-0.26301530651018368</v>
      </c>
      <c r="X12" s="47">
        <f t="shared" ref="X12:X21" si="17">IF(AND(J12&lt;&gt;"",J11&lt;&gt;""),(J12-J11)/($B12-$B11),"")</f>
        <v>-0.36734950136541045</v>
      </c>
      <c r="Y12" s="47">
        <f t="shared" ref="Y12:Y21" si="18">IF(AND(K12&lt;&gt;"",K11&lt;&gt;""),(K12-K11)/($B12-$B11),"")</f>
        <v>0.50228046132083648</v>
      </c>
      <c r="Z12" s="47">
        <f t="shared" ref="Z12:Z21" si="19">IF(AND(L12&lt;&gt;"",L11&lt;&gt;""),(L12-L11)/($B12-$B11),"")</f>
        <v>0.36488498431008765</v>
      </c>
    </row>
    <row r="13" spans="1:26" ht="20.100000000000001" customHeight="1" x14ac:dyDescent="0.2">
      <c r="A13" s="50">
        <f t="shared" si="0"/>
        <v>6</v>
      </c>
      <c r="B13" s="51">
        <f t="shared" si="1"/>
        <v>43605</v>
      </c>
      <c r="C13" s="52">
        <f>'Résultats observations'!C13</f>
        <v>170.4</v>
      </c>
      <c r="D13" s="48">
        <f t="shared" si="2"/>
        <v>-0.67114094449216566</v>
      </c>
      <c r="E13" s="47">
        <f t="shared" si="3"/>
        <v>-3.8351690155202789E-2</v>
      </c>
      <c r="F13" s="47">
        <f t="shared" si="4"/>
        <v>-0.31784918112487404</v>
      </c>
      <c r="G13" s="48">
        <f t="shared" si="5"/>
        <v>-0.23439664401925242</v>
      </c>
      <c r="H13" s="47">
        <f t="shared" si="6"/>
        <v>-0.21890558631643131</v>
      </c>
      <c r="I13" s="48">
        <f t="shared" si="7"/>
        <v>-0.42888979103139491</v>
      </c>
      <c r="J13" s="48">
        <f t="shared" si="8"/>
        <v>-0.31963210679908372</v>
      </c>
      <c r="K13" s="47">
        <f t="shared" si="9"/>
        <v>0.50220496721031793</v>
      </c>
      <c r="L13" s="48">
        <f t="shared" si="10"/>
        <v>-0.37545666593441496</v>
      </c>
      <c r="R13" s="47">
        <f t="shared" si="11"/>
        <v>-7.3270420367865796E-2</v>
      </c>
      <c r="S13" s="47">
        <f t="shared" si="11"/>
        <v>3.3725053056432586E-2</v>
      </c>
      <c r="T13" s="47">
        <f t="shared" si="13"/>
        <v>1.7661972173899088E-2</v>
      </c>
      <c r="U13" s="47">
        <f t="shared" si="14"/>
        <v>-1.7195075294740292E-3</v>
      </c>
      <c r="V13" s="47">
        <f t="shared" si="15"/>
        <v>7.6229154043483405E-2</v>
      </c>
      <c r="W13" s="47">
        <f t="shared" si="16"/>
        <v>-1.2144507913758318E-2</v>
      </c>
      <c r="X13" s="47">
        <f t="shared" si="17"/>
        <v>-1.0657139928094139E-2</v>
      </c>
      <c r="Y13" s="47">
        <f t="shared" si="18"/>
        <v>9.9588779942205718E-2</v>
      </c>
      <c r="Z13" s="47">
        <f t="shared" si="19"/>
        <v>-0.16230767684866088</v>
      </c>
    </row>
    <row r="14" spans="1:26" ht="20.100000000000001" customHeight="1" x14ac:dyDescent="0.2">
      <c r="A14" s="50">
        <f t="shared" si="0"/>
        <v>8</v>
      </c>
      <c r="B14" s="51">
        <f t="shared" si="1"/>
        <v>43607</v>
      </c>
      <c r="C14" s="52">
        <f>'Résultats observations'!C14</f>
        <v>172.28</v>
      </c>
      <c r="D14" s="48">
        <f t="shared" si="2"/>
        <v>-2.5297503242462938</v>
      </c>
      <c r="E14" s="47">
        <f t="shared" si="3"/>
        <v>-1.3304147965653712</v>
      </c>
      <c r="F14" s="47">
        <f t="shared" si="4"/>
        <v>-1.3998390620022505</v>
      </c>
      <c r="G14" s="48">
        <f t="shared" si="5"/>
        <v>-0.95461562133802857</v>
      </c>
      <c r="H14" s="47">
        <f t="shared" si="6"/>
        <v>-2.435402023815314</v>
      </c>
      <c r="I14" s="48">
        <f t="shared" si="7"/>
        <v>-1.7840822959556135</v>
      </c>
      <c r="J14" s="48">
        <f t="shared" si="8"/>
        <v>-1.5514603596828991</v>
      </c>
      <c r="K14" s="47">
        <f t="shared" si="9"/>
        <v>-1.5314583033738671</v>
      </c>
      <c r="L14" s="48">
        <f t="shared" si="10"/>
        <v>-2.3926834554677257</v>
      </c>
      <c r="R14" s="47">
        <f t="shared" ref="R14" si="20">IF(AND(D14&lt;&gt;"",D13&lt;&gt;""),(D14-D13)/($B14-$B13),"")</f>
        <v>-0.92930468987706405</v>
      </c>
      <c r="S14" s="47">
        <f t="shared" ref="S14" si="21">IF(AND(E14&lt;&gt;"",E13&lt;&gt;""),(E14-E13)/($B14-$B13),"")</f>
        <v>-0.64603155320508421</v>
      </c>
      <c r="T14" s="47">
        <f t="shared" ref="T14" si="22">IF(AND(F14&lt;&gt;"",F13&lt;&gt;""),(F14-F13)/($B14-$B13),"")</f>
        <v>-0.54099494043868823</v>
      </c>
      <c r="U14" s="47">
        <f t="shared" ref="U14" si="23">IF(AND(G14&lt;&gt;"",G13&lt;&gt;""),(G14-G13)/($B14-$B13),"")</f>
        <v>-0.36010948865938808</v>
      </c>
      <c r="V14" s="47">
        <f t="shared" ref="V14" si="24">IF(AND(H14&lt;&gt;"",H13&lt;&gt;""),(H14-H13)/($B14-$B13),"")</f>
        <v>-1.1082482187494413</v>
      </c>
      <c r="W14" s="47">
        <f t="shared" ref="W14" si="25">IF(AND(I14&lt;&gt;"",I13&lt;&gt;""),(I14-I13)/($B14-$B13),"")</f>
        <v>-0.67759625246210931</v>
      </c>
      <c r="X14" s="47">
        <f t="shared" ref="X14" si="26">IF(AND(J14&lt;&gt;"",J13&lt;&gt;""),(J14-J13)/($B14-$B13),"")</f>
        <v>-0.61591412644190768</v>
      </c>
      <c r="Y14" s="47"/>
      <c r="Z14" s="47">
        <f t="shared" ref="Z14" si="27">IF(AND(L14&lt;&gt;"",L13&lt;&gt;""),(L14-L13)/($B14-$B13),"")</f>
        <v>-1.0086133947666553</v>
      </c>
    </row>
    <row r="15" spans="1:26" ht="20.100000000000001" customHeight="1" x14ac:dyDescent="0.2">
      <c r="A15" s="50">
        <f t="shared" si="0"/>
        <v>22</v>
      </c>
      <c r="B15" s="51">
        <f t="shared" si="1"/>
        <v>43621</v>
      </c>
      <c r="C15" s="52">
        <f>'Résultats observations'!C15</f>
        <v>176.25</v>
      </c>
      <c r="D15" s="48">
        <f t="shared" si="2"/>
        <v>-5.4576835852691019</v>
      </c>
      <c r="E15" s="47">
        <f t="shared" si="3"/>
        <v>-4.7277778868162201</v>
      </c>
      <c r="F15" s="47">
        <f t="shared" si="4"/>
        <v>-4.1560391960451248</v>
      </c>
      <c r="G15" s="48">
        <f t="shared" si="5"/>
        <v>-2.2540529924657271</v>
      </c>
      <c r="H15" s="47">
        <f t="shared" si="6"/>
        <v>-4.7126076795898086</v>
      </c>
      <c r="I15" s="48">
        <f t="shared" si="7"/>
        <v>-3.9584360345088498</v>
      </c>
      <c r="J15" s="48">
        <f t="shared" si="8"/>
        <v>-4.9103924253461884</v>
      </c>
      <c r="K15" s="47">
        <f t="shared" si="9"/>
        <v>-6.5854613063223155</v>
      </c>
      <c r="L15" s="48">
        <f t="shared" si="10"/>
        <v>-7.1683985550565765</v>
      </c>
      <c r="R15" s="47">
        <f t="shared" ref="R15" si="28">IF(AND(D15&lt;&gt;"",D14&lt;&gt;""),(D15-D14)/($B15-$B14),"")</f>
        <v>-0.20913809007305773</v>
      </c>
      <c r="S15" s="47">
        <f t="shared" ref="S15" si="29">IF(AND(E15&lt;&gt;"",E14&lt;&gt;""),(E15-E14)/($B15-$B14),"")</f>
        <v>-0.24266879216077492</v>
      </c>
      <c r="T15" s="47">
        <f t="shared" ref="T15" si="30">IF(AND(F15&lt;&gt;"",F14&lt;&gt;""),(F15-F14)/($B15-$B14),"")</f>
        <v>-0.19687143814591959</v>
      </c>
      <c r="U15" s="47">
        <f t="shared" ref="U15" si="31">IF(AND(G15&lt;&gt;"",G14&lt;&gt;""),(G15-G14)/($B15-$B14),"")</f>
        <v>-9.2816955080549893E-2</v>
      </c>
      <c r="V15" s="47">
        <f t="shared" ref="V15" si="32">IF(AND(H15&lt;&gt;"",H14&lt;&gt;""),(H15-H14)/($B15-$B14),"")</f>
        <v>-0.16265754684103534</v>
      </c>
      <c r="W15" s="47">
        <f t="shared" ref="W15" si="33">IF(AND(I15&lt;&gt;"",I14&lt;&gt;""),(I15-I14)/($B15-$B14),"")</f>
        <v>-0.15531098132523116</v>
      </c>
      <c r="X15" s="47">
        <f t="shared" ref="X15" si="34">IF(AND(J15&lt;&gt;"",J14&lt;&gt;""),(J15-J14)/($B15-$B14),"")</f>
        <v>-0.23992371897594925</v>
      </c>
      <c r="Y15" s="47"/>
      <c r="Z15" s="47">
        <f t="shared" ref="Z15" si="35">IF(AND(L15&lt;&gt;"",L14&lt;&gt;""),(L15-L14)/($B15-$B14),"")</f>
        <v>-0.34112250711348935</v>
      </c>
    </row>
    <row r="16" spans="1:26" ht="20.100000000000001" customHeight="1" x14ac:dyDescent="0.2">
      <c r="A16" s="50">
        <f t="shared" si="0"/>
        <v>38</v>
      </c>
      <c r="B16" s="51">
        <f t="shared" si="1"/>
        <v>43637</v>
      </c>
      <c r="C16" s="52">
        <f>'Résultats observations'!C16</f>
        <v>181.24</v>
      </c>
      <c r="D16" s="48">
        <f t="shared" si="2"/>
        <v>-8.9298504498804832</v>
      </c>
      <c r="E16" s="47">
        <f t="shared" si="3"/>
        <v>-7.4136013605858864</v>
      </c>
      <c r="F16" s="47">
        <f t="shared" si="4"/>
        <v>-7.0157770916399187</v>
      </c>
      <c r="G16" s="48">
        <f t="shared" si="5"/>
        <v>-2.9884674323503724</v>
      </c>
      <c r="H16" s="47">
        <f t="shared" si="6"/>
        <v>-5.7401095461173668</v>
      </c>
      <c r="I16" s="48">
        <f t="shared" si="7"/>
        <v>-7.9403648755125289</v>
      </c>
      <c r="J16" s="48">
        <f t="shared" si="8"/>
        <v>-6.9297833423442867</v>
      </c>
      <c r="K16" s="47">
        <f t="shared" si="9"/>
        <v>-8.7233936985686711</v>
      </c>
      <c r="L16" s="48">
        <f t="shared" si="10"/>
        <v>-11.319008638455585</v>
      </c>
      <c r="M16" s="7"/>
      <c r="N16" s="7"/>
      <c r="O16" s="7"/>
      <c r="R16" s="47">
        <f t="shared" ref="R16:R17" si="36">IF(AND(D16&lt;&gt;"",D15&lt;&gt;""),(D16-D15)/($B16-$B15),"")</f>
        <v>-0.21701042903821133</v>
      </c>
      <c r="S16" s="47">
        <f t="shared" ref="S16:S17" si="37">IF(AND(E16&lt;&gt;"",E15&lt;&gt;""),(E16-E15)/($B16-$B15),"")</f>
        <v>-0.16786396711060414</v>
      </c>
      <c r="T16" s="47">
        <f t="shared" ref="T16:T17" si="38">IF(AND(F16&lt;&gt;"",F15&lt;&gt;""),(F16-F15)/($B16-$B15),"")</f>
        <v>-0.17873361847467462</v>
      </c>
      <c r="U16" s="47">
        <f t="shared" ref="U16:U17" si="39">IF(AND(G16&lt;&gt;"",G15&lt;&gt;""),(G16-G15)/($B16-$B15),"")</f>
        <v>-4.590090249279033E-2</v>
      </c>
      <c r="V16" s="47">
        <f t="shared" ref="V16:V17" si="40">IF(AND(H16&lt;&gt;"",H15&lt;&gt;""),(H16-H15)/($B16-$B15),"")</f>
        <v>-6.4218866657972384E-2</v>
      </c>
      <c r="W16" s="47">
        <f t="shared" ref="W16:W17" si="41">IF(AND(I16&lt;&gt;"",I15&lt;&gt;""),(I16-I15)/($B16-$B15),"")</f>
        <v>-0.24887055256272994</v>
      </c>
      <c r="X16" s="47">
        <f t="shared" ref="X16:X17" si="42">IF(AND(J16&lt;&gt;"",J15&lt;&gt;""),(J16-J15)/($B16-$B15),"")</f>
        <v>-0.12621193231238115</v>
      </c>
      <c r="Y16" s="47"/>
      <c r="Z16" s="47">
        <f t="shared" ref="Z16:Z17" si="43">IF(AND(L16&lt;&gt;"",L15&lt;&gt;""),(L16-L15)/($B16-$B15),"")</f>
        <v>-0.25941313021243806</v>
      </c>
    </row>
    <row r="17" spans="1:26" ht="20.100000000000001" customHeight="1" x14ac:dyDescent="0.2">
      <c r="A17" s="50">
        <f t="shared" si="0"/>
        <v>42</v>
      </c>
      <c r="B17" s="51">
        <f t="shared" si="1"/>
        <v>43641</v>
      </c>
      <c r="C17" s="52">
        <f>'Résultats observations'!C17</f>
        <v>182.12</v>
      </c>
      <c r="D17" s="48">
        <f t="shared" si="2"/>
        <v>-9.7382832239913952</v>
      </c>
      <c r="E17" s="47">
        <f t="shared" si="3"/>
        <v>-9.0532751167371472</v>
      </c>
      <c r="F17" s="47">
        <f t="shared" si="4"/>
        <v>-8.2512493754656191</v>
      </c>
      <c r="G17" s="48">
        <f t="shared" si="5"/>
        <v>-2.9526523798040216</v>
      </c>
      <c r="H17" s="47">
        <f t="shared" si="6"/>
        <v>-6.7063038413426312</v>
      </c>
      <c r="I17" s="48">
        <f t="shared" si="7"/>
        <v>-8.007005682960866</v>
      </c>
      <c r="J17" s="48">
        <f t="shared" si="8"/>
        <v>-7.4109738000407432</v>
      </c>
      <c r="K17" s="47">
        <f t="shared" si="9"/>
        <v>-9.6298324379908706</v>
      </c>
      <c r="L17" s="48">
        <f t="shared" si="10"/>
        <v>-9.9976096394769343</v>
      </c>
      <c r="R17" s="47">
        <f t="shared" si="36"/>
        <v>-0.20210819352772802</v>
      </c>
      <c r="S17" s="47">
        <f t="shared" si="37"/>
        <v>-0.40991843903781522</v>
      </c>
      <c r="T17" s="47">
        <f t="shared" si="38"/>
        <v>-0.3088680709564251</v>
      </c>
      <c r="U17" s="47">
        <f t="shared" si="39"/>
        <v>8.9537631365876891E-3</v>
      </c>
      <c r="V17" s="47">
        <f t="shared" si="40"/>
        <v>-0.24154857380631611</v>
      </c>
      <c r="W17" s="47">
        <f t="shared" si="41"/>
        <v>-1.6660201862084278E-2</v>
      </c>
      <c r="X17" s="47">
        <f t="shared" si="42"/>
        <v>-0.12029761442411413</v>
      </c>
      <c r="Y17" s="47"/>
      <c r="Z17" s="47">
        <f t="shared" si="43"/>
        <v>0.3303497497446628</v>
      </c>
    </row>
    <row r="18" spans="1:26" ht="20.100000000000001" customHeight="1" x14ac:dyDescent="0.2">
      <c r="A18" s="50">
        <f t="shared" si="0"/>
        <v>44</v>
      </c>
      <c r="B18" s="51">
        <f t="shared" si="1"/>
        <v>43643</v>
      </c>
      <c r="C18" s="52">
        <f>'Résultats observations'!C18</f>
        <v>183.33</v>
      </c>
      <c r="D18" s="48">
        <f t="shared" si="2"/>
        <v>-9.7382830944976462</v>
      </c>
      <c r="E18" s="47">
        <f t="shared" si="3"/>
        <v>-8.6567229293326164</v>
      </c>
      <c r="F18" s="47">
        <f t="shared" si="4"/>
        <v>-8.2512491737856131</v>
      </c>
      <c r="G18" s="48">
        <f t="shared" si="5"/>
        <v>-3.7444650859845829</v>
      </c>
      <c r="H18" s="47">
        <f t="shared" si="6"/>
        <v>-6.0453037059451376</v>
      </c>
      <c r="I18" s="48">
        <f t="shared" si="7"/>
        <v>-8.4930544611143688</v>
      </c>
      <c r="J18" s="48">
        <f t="shared" si="8"/>
        <v>-8.3164261709640641</v>
      </c>
      <c r="K18" s="47">
        <f t="shared" si="9"/>
        <v>-8.3033495572326643</v>
      </c>
      <c r="L18" s="48">
        <f t="shared" si="10"/>
        <v>-10.91013872002744</v>
      </c>
      <c r="R18" s="47">
        <f t="shared" ref="R18" si="44">IF(AND(D18&lt;&gt;"",D17&lt;&gt;""),(D18-D17)/($B18-$B17),"")</f>
        <v>6.4746874528509579E-8</v>
      </c>
      <c r="S18" s="47"/>
      <c r="T18" s="47">
        <f t="shared" ref="T18" si="45">IF(AND(F18&lt;&gt;"",F17&lt;&gt;""),(F18-F17)/($B18-$B17),"")</f>
        <v>1.0084000301446849E-7</v>
      </c>
      <c r="U18" s="47">
        <f t="shared" ref="U18" si="46">IF(AND(G18&lt;&gt;"",G17&lt;&gt;""),(G18-G17)/($B18-$B17),"")</f>
        <v>-0.39590635309028066</v>
      </c>
      <c r="V18" s="47">
        <f t="shared" ref="V18" si="47">IF(AND(H18&lt;&gt;"",H17&lt;&gt;""),(H18-H17)/($B18-$B17),"")</f>
        <v>0.33050006769874685</v>
      </c>
      <c r="W18" s="47"/>
      <c r="X18" s="47">
        <f t="shared" ref="X18" si="48">IF(AND(J18&lt;&gt;"",J17&lt;&gt;""),(J18-J17)/($B18-$B17),"")</f>
        <v>-0.45272618546166044</v>
      </c>
      <c r="Y18" s="47"/>
      <c r="Z18" s="47"/>
    </row>
    <row r="19" spans="1:26" ht="20.100000000000001" customHeight="1" x14ac:dyDescent="0.2">
      <c r="A19" s="50">
        <f t="shared" si="0"/>
        <v>48</v>
      </c>
      <c r="B19" s="51">
        <f t="shared" si="1"/>
        <v>43647</v>
      </c>
      <c r="C19" s="52">
        <f>'Résultats observations'!C19</f>
        <v>184.2</v>
      </c>
      <c r="D19" s="48">
        <f t="shared" si="2"/>
        <v>-11.383933061177132</v>
      </c>
      <c r="E19" s="47">
        <f t="shared" si="3"/>
        <v>-10.567755536608381</v>
      </c>
      <c r="F19" s="47">
        <f t="shared" si="4"/>
        <v>-9.6213038989536592</v>
      </c>
      <c r="G19" s="48">
        <f t="shared" si="5"/>
        <v>-3.4181352138800136</v>
      </c>
      <c r="H19" s="47">
        <f t="shared" si="6"/>
        <v>-6.9960128168808922</v>
      </c>
      <c r="I19" s="48">
        <f t="shared" si="7"/>
        <v>-9.3773462920081485</v>
      </c>
      <c r="J19" s="48">
        <f t="shared" si="8"/>
        <v>-8.6139263636564323</v>
      </c>
      <c r="K19" s="47">
        <f t="shared" si="9"/>
        <v>-10.201101731666995</v>
      </c>
      <c r="L19" s="48">
        <f t="shared" si="10"/>
        <v>-11.8654520406416</v>
      </c>
      <c r="R19" s="47">
        <f t="shared" ref="R19" si="49">IF(AND(D19&lt;&gt;"",D18&lt;&gt;""),(D19-D18)/($B19-$B18),"")</f>
        <v>-0.41141249166987137</v>
      </c>
      <c r="S19" s="47"/>
      <c r="T19" s="47">
        <f t="shared" ref="T19" si="50">IF(AND(F19&lt;&gt;"",F18&lt;&gt;""),(F19-F18)/($B19-$B18),"")</f>
        <v>-0.34251368129201154</v>
      </c>
      <c r="U19" s="47">
        <f t="shared" ref="U19" si="51">IF(AND(G19&lt;&gt;"",G18&lt;&gt;""),(G19-G18)/($B19-$B18),"")</f>
        <v>8.158246802614233E-2</v>
      </c>
      <c r="V19" s="47">
        <f t="shared" ref="V19" si="52">IF(AND(H19&lt;&gt;"",H18&lt;&gt;""),(H19-H18)/($B19-$B18),"")</f>
        <v>-0.23767727773393865</v>
      </c>
      <c r="W19" s="47"/>
      <c r="X19" s="47">
        <f t="shared" ref="X19" si="53">IF(AND(J19&lt;&gt;"",J18&lt;&gt;""),(J19-J18)/($B19-$B18),"")</f>
        <v>-7.437504817309204E-2</v>
      </c>
      <c r="Y19" s="47"/>
      <c r="Z19" s="47"/>
    </row>
    <row r="20" spans="1:26" ht="20.100000000000001" customHeight="1" x14ac:dyDescent="0.2">
      <c r="A20" s="50">
        <f t="shared" si="0"/>
        <v>50</v>
      </c>
      <c r="B20" s="51">
        <f t="shared" si="1"/>
        <v>43649</v>
      </c>
      <c r="C20" s="52">
        <f>'Résultats observations'!C20</f>
        <v>184.2</v>
      </c>
      <c r="D20" s="48">
        <f t="shared" si="2"/>
        <v>-10.941169514098625</v>
      </c>
      <c r="E20" s="47">
        <f t="shared" si="3"/>
        <v>-10.41436190257361</v>
      </c>
      <c r="F20" s="47">
        <f t="shared" si="4"/>
        <v>-9.5636154813698582</v>
      </c>
      <c r="G20" s="48">
        <f t="shared" si="5"/>
        <v>-3.428990658921105</v>
      </c>
      <c r="H20" s="47">
        <f t="shared" si="6"/>
        <v>-6.2134549655139537</v>
      </c>
      <c r="I20" s="48">
        <f t="shared" si="7"/>
        <v>-8.3939027121378018</v>
      </c>
      <c r="J20" s="48">
        <f t="shared" si="8"/>
        <v>-8.5302113201297658</v>
      </c>
      <c r="K20" s="47">
        <f t="shared" si="9"/>
        <v>-9.4203170420463778</v>
      </c>
      <c r="L20" s="48">
        <f t="shared" si="10"/>
        <v>-10.995734431225479</v>
      </c>
      <c r="N20" s="140"/>
      <c r="O20" s="140"/>
      <c r="P20" s="140"/>
      <c r="R20" s="47">
        <f t="shared" si="11"/>
        <v>0.22138177353925315</v>
      </c>
      <c r="S20" s="47">
        <f t="shared" si="11"/>
        <v>7.6696817017385399E-2</v>
      </c>
      <c r="T20" s="47">
        <f t="shared" si="13"/>
        <v>2.8844208791900527E-2</v>
      </c>
      <c r="U20" s="47">
        <f t="shared" si="14"/>
        <v>-5.4277225205456858E-3</v>
      </c>
      <c r="V20" s="47">
        <f t="shared" si="15"/>
        <v>0.39127892568346923</v>
      </c>
      <c r="W20" s="47">
        <f t="shared" si="16"/>
        <v>0.49172178993517335</v>
      </c>
      <c r="X20" s="47">
        <f t="shared" si="17"/>
        <v>4.1857521763333239E-2</v>
      </c>
      <c r="Y20" s="47">
        <f t="shared" si="18"/>
        <v>0.3903923448103086</v>
      </c>
      <c r="Z20" s="47">
        <f t="shared" si="19"/>
        <v>0.43485880470806038</v>
      </c>
    </row>
    <row r="21" spans="1:26" ht="20.100000000000001" customHeight="1" x14ac:dyDescent="0.2">
      <c r="A21" s="50">
        <f t="shared" si="0"/>
        <v>51</v>
      </c>
      <c r="B21" s="51">
        <f t="shared" si="1"/>
        <v>43650</v>
      </c>
      <c r="C21" s="52">
        <f>'Résultats observations'!C21</f>
        <v>184.2</v>
      </c>
      <c r="D21" s="48">
        <f t="shared" si="2"/>
        <v>-12.467406508463341</v>
      </c>
      <c r="E21" s="47">
        <f t="shared" si="3"/>
        <v>-11.460493025420959</v>
      </c>
      <c r="F21" s="47">
        <f t="shared" si="4"/>
        <v>-10.721811782400614</v>
      </c>
      <c r="G21" s="48">
        <f t="shared" si="5"/>
        <v>-4.2284189850212428</v>
      </c>
      <c r="H21" s="47">
        <f t="shared" si="6"/>
        <v>-8.0279862505179267</v>
      </c>
      <c r="I21" s="48">
        <f t="shared" si="7"/>
        <v>-9.6649258753904732</v>
      </c>
      <c r="J21" s="48">
        <f t="shared" si="8"/>
        <v>-9.6463195629379328</v>
      </c>
      <c r="K21" s="47">
        <f t="shared" si="9"/>
        <v>-11.023359047740655</v>
      </c>
      <c r="L21" s="48">
        <f t="shared" si="10"/>
        <v>-11.82264589300086</v>
      </c>
      <c r="R21" s="47">
        <f t="shared" si="11"/>
        <v>-1.5262369943647158</v>
      </c>
      <c r="S21" s="47">
        <f t="shared" si="11"/>
        <v>-1.0461311228473491</v>
      </c>
      <c r="T21" s="47">
        <f t="shared" si="13"/>
        <v>-1.1581963010307561</v>
      </c>
      <c r="U21" s="47">
        <f t="shared" si="14"/>
        <v>-0.79942832610013781</v>
      </c>
      <c r="V21" s="47">
        <f t="shared" si="15"/>
        <v>-1.814531285003973</v>
      </c>
      <c r="W21" s="47">
        <f t="shared" si="16"/>
        <v>-1.2710231632526714</v>
      </c>
      <c r="X21" s="47">
        <f t="shared" si="17"/>
        <v>-1.116108242808167</v>
      </c>
      <c r="Y21" s="47">
        <f t="shared" si="18"/>
        <v>-1.6030420056942773</v>
      </c>
      <c r="Z21" s="47">
        <f t="shared" si="19"/>
        <v>-0.82691146177538144</v>
      </c>
    </row>
    <row r="22" spans="1:26" ht="20.100000000000001" customHeight="1" x14ac:dyDescent="0.2">
      <c r="A22" s="50">
        <f t="shared" si="0"/>
        <v>56</v>
      </c>
      <c r="B22" s="51">
        <f t="shared" si="1"/>
        <v>43655</v>
      </c>
      <c r="C22" s="52">
        <f>'Résultats observations'!C22</f>
        <v>184.2</v>
      </c>
      <c r="D22" s="48">
        <f t="shared" si="2"/>
        <v>-13.046453852797235</v>
      </c>
      <c r="E22" s="47">
        <f t="shared" si="3"/>
        <v>-11.488017888541258</v>
      </c>
      <c r="F22" s="47">
        <f t="shared" si="4"/>
        <v>-10.991282313411954</v>
      </c>
      <c r="G22" s="48">
        <f t="shared" si="5"/>
        <v>-3.8008537238884976</v>
      </c>
      <c r="H22" s="47">
        <f t="shared" si="6"/>
        <v>-7.9009893240877815</v>
      </c>
      <c r="I22" s="48">
        <f t="shared" si="7"/>
        <v>-10.620962277164914</v>
      </c>
      <c r="J22" s="48">
        <f t="shared" si="8"/>
        <v>-9.8172541484968789</v>
      </c>
      <c r="K22" s="47">
        <f t="shared" si="9"/>
        <v>-10.664015205009036</v>
      </c>
      <c r="L22" s="48">
        <f t="shared" si="10"/>
        <v>-13.726532199647146</v>
      </c>
      <c r="R22" s="47">
        <f t="shared" ref="R22:R25" si="54">IF(AND(D22&lt;&gt;"",D21&lt;&gt;""),(D22-D21)/($B22-$B21),"")</f>
        <v>-0.11580946886677879</v>
      </c>
      <c r="S22" s="47">
        <f t="shared" ref="S22:S25" si="55">IF(AND(E22&lt;&gt;"",E21&lt;&gt;""),(E22-E21)/($B22-$B21),"")</f>
        <v>-5.5049726240596897E-3</v>
      </c>
      <c r="T22" s="47">
        <f t="shared" ref="T22:T25" si="56">IF(AND(F22&lt;&gt;"",F21&lt;&gt;""),(F22-F21)/($B22-$B21),"")</f>
        <v>-5.3894106202267977E-2</v>
      </c>
      <c r="U22" s="47">
        <f t="shared" ref="U22:U25" si="57">IF(AND(G22&lt;&gt;"",G21&lt;&gt;""),(G22-G21)/($B22-$B21),"")</f>
        <v>8.5513052226549036E-2</v>
      </c>
      <c r="V22" s="47">
        <f t="shared" ref="V22:V25" si="58">IF(AND(H22&lt;&gt;"",H21&lt;&gt;""),(H22-H21)/($B22-$B21),"")</f>
        <v>2.539938528602903E-2</v>
      </c>
      <c r="W22" s="47">
        <f t="shared" ref="W22:W25" si="59">IF(AND(I22&lt;&gt;"",I21&lt;&gt;""),(I22-I21)/($B22-$B21),"")</f>
        <v>-0.1912072803548881</v>
      </c>
      <c r="X22" s="47">
        <f t="shared" ref="X22:X25" si="60">IF(AND(J22&lt;&gt;"",J21&lt;&gt;""),(J22-J21)/($B22-$B21),"")</f>
        <v>-3.4186917111789228E-2</v>
      </c>
      <c r="Y22" s="47">
        <f t="shared" ref="Y22:Y25" si="61">IF(AND(K22&lt;&gt;"",K21&lt;&gt;""),(K22-K21)/($B22-$B21),"")</f>
        <v>7.1868768546323736E-2</v>
      </c>
      <c r="Z22" s="47">
        <f t="shared" ref="Z22:Z25" si="62">IF(AND(L22&lt;&gt;"",L21&lt;&gt;""),(L22-L21)/($B22-$B21),"")</f>
        <v>-0.38077726132925704</v>
      </c>
    </row>
    <row r="23" spans="1:26" ht="20.100000000000001" customHeight="1" x14ac:dyDescent="0.2">
      <c r="A23" s="50">
        <f t="shared" si="0"/>
        <v>58</v>
      </c>
      <c r="B23" s="51">
        <f t="shared" si="1"/>
        <v>43657</v>
      </c>
      <c r="C23" s="52">
        <f>'Résultats observations'!C23</f>
        <v>185.03</v>
      </c>
      <c r="D23" s="48">
        <f t="shared" si="2"/>
        <v>-13.789659592679193</v>
      </c>
      <c r="E23" s="47">
        <f t="shared" si="3"/>
        <v>-12.704686606246796</v>
      </c>
      <c r="F23" s="47">
        <f t="shared" si="4"/>
        <v>-11.166078612303565</v>
      </c>
      <c r="G23" s="48">
        <f t="shared" si="5"/>
        <v>-4.1494602174600992</v>
      </c>
      <c r="H23" s="47">
        <f t="shared" si="6"/>
        <v>-9.2023099320126533</v>
      </c>
      <c r="I23" s="48">
        <f t="shared" si="7"/>
        <v>-11.532925074419609</v>
      </c>
      <c r="J23" s="48">
        <f t="shared" si="8"/>
        <v>-10.156503623909074</v>
      </c>
      <c r="K23" s="47">
        <f t="shared" si="9"/>
        <v>-12.856971728478328</v>
      </c>
      <c r="L23" s="48">
        <f t="shared" si="10"/>
        <v>-14.175459344976105</v>
      </c>
      <c r="R23" s="47">
        <f t="shared" si="54"/>
        <v>-0.37160286994097902</v>
      </c>
      <c r="S23" s="47">
        <f t="shared" si="55"/>
        <v>-0.60833435885276899</v>
      </c>
      <c r="T23" s="47">
        <f t="shared" si="56"/>
        <v>-8.7398149445805373E-2</v>
      </c>
      <c r="U23" s="47">
        <f t="shared" si="57"/>
        <v>-0.17430324678580078</v>
      </c>
      <c r="V23" s="47">
        <f t="shared" si="58"/>
        <v>-0.6506603039624359</v>
      </c>
      <c r="W23" s="47">
        <f t="shared" si="59"/>
        <v>-0.45598139862734755</v>
      </c>
      <c r="X23" s="47">
        <f t="shared" si="60"/>
        <v>-0.16962473770609776</v>
      </c>
      <c r="Y23" s="47">
        <f t="shared" si="61"/>
        <v>-1.0964782617346458</v>
      </c>
      <c r="Z23" s="47">
        <f t="shared" si="62"/>
        <v>-0.22446357266447947</v>
      </c>
    </row>
    <row r="24" spans="1:26" ht="20.100000000000001" customHeight="1" x14ac:dyDescent="0.2">
      <c r="A24" s="50">
        <f t="shared" si="0"/>
        <v>62</v>
      </c>
      <c r="B24" s="51">
        <f t="shared" si="1"/>
        <v>43661</v>
      </c>
      <c r="C24" s="52">
        <f>'Résultats observations'!C24</f>
        <v>187.2</v>
      </c>
      <c r="D24" s="48">
        <f t="shared" si="2"/>
        <v>-14.018038824675116</v>
      </c>
      <c r="E24" s="47">
        <f t="shared" si="3"/>
        <v>-12.46120733606837</v>
      </c>
      <c r="F24" s="47">
        <f t="shared" si="4"/>
        <v>-11.257430674271873</v>
      </c>
      <c r="G24" s="48">
        <f t="shared" si="5"/>
        <v>-5.0186537038445778</v>
      </c>
      <c r="H24" s="47">
        <f t="shared" si="6"/>
        <v>-9.4210676728616605</v>
      </c>
      <c r="I24" s="48">
        <f t="shared" si="7"/>
        <v>-12.073398079223807</v>
      </c>
      <c r="J24" s="48">
        <f t="shared" si="8"/>
        <v>-11.215743190087224</v>
      </c>
      <c r="K24" s="47">
        <f t="shared" si="9"/>
        <v>-12.824157679903081</v>
      </c>
      <c r="L24" s="48">
        <f t="shared" si="10"/>
        <v>-15.201187403160787</v>
      </c>
      <c r="R24" s="47">
        <f t="shared" si="54"/>
        <v>-5.7094807998980812E-2</v>
      </c>
      <c r="S24" s="47">
        <f t="shared" si="55"/>
        <v>6.0869817544606519E-2</v>
      </c>
      <c r="T24" s="47">
        <f t="shared" si="56"/>
        <v>-2.2838015492077091E-2</v>
      </c>
      <c r="U24" s="47">
        <f t="shared" si="57"/>
        <v>-0.21729837159611964</v>
      </c>
      <c r="V24" s="47">
        <f t="shared" si="58"/>
        <v>-5.468943521225178E-2</v>
      </c>
      <c r="W24" s="47">
        <f t="shared" si="59"/>
        <v>-0.13511825120104959</v>
      </c>
      <c r="X24" s="47">
        <f t="shared" si="60"/>
        <v>-0.26480989154453738</v>
      </c>
      <c r="Y24" s="47">
        <f t="shared" si="61"/>
        <v>8.2035121438117642E-3</v>
      </c>
      <c r="Z24" s="47">
        <f t="shared" si="62"/>
        <v>-0.25643201454617071</v>
      </c>
    </row>
    <row r="25" spans="1:26" ht="20.100000000000001" customHeight="1" x14ac:dyDescent="0.2">
      <c r="A25" s="50">
        <f t="shared" si="0"/>
        <v>65</v>
      </c>
      <c r="B25" s="51">
        <f t="shared" si="1"/>
        <v>43664</v>
      </c>
      <c r="C25" s="52">
        <f>'Résultats observations'!C25</f>
        <v>188.17</v>
      </c>
      <c r="D25" s="48">
        <f t="shared" si="2"/>
        <v>-14.945085260211322</v>
      </c>
      <c r="E25" s="47">
        <f t="shared" si="3"/>
        <v>-13.347184940170287</v>
      </c>
      <c r="F25" s="47">
        <f t="shared" si="4"/>
        <v>-12.757260933178749</v>
      </c>
      <c r="G25" s="48">
        <f t="shared" si="5"/>
        <v>-5.1101764761596336</v>
      </c>
      <c r="H25" s="47">
        <f t="shared" si="6"/>
        <v>-10.142803082298535</v>
      </c>
      <c r="I25" s="48">
        <f t="shared" si="7"/>
        <v>-12.515397427581121</v>
      </c>
      <c r="J25" s="48">
        <f t="shared" si="8"/>
        <v>-12.307752298305275</v>
      </c>
      <c r="K25" s="47">
        <f t="shared" si="9"/>
        <v>-13.773459540837862</v>
      </c>
      <c r="L25" s="48">
        <f t="shared" si="10"/>
        <v>-15.361711164024072</v>
      </c>
      <c r="R25" s="47">
        <f t="shared" si="54"/>
        <v>-0.3090154785120684</v>
      </c>
      <c r="S25" s="47">
        <f t="shared" si="55"/>
        <v>-0.29532586803397248</v>
      </c>
      <c r="T25" s="47">
        <f t="shared" si="56"/>
        <v>-0.49994341963562522</v>
      </c>
      <c r="U25" s="47">
        <f t="shared" si="57"/>
        <v>-3.0507590771685262E-2</v>
      </c>
      <c r="V25" s="47">
        <f t="shared" si="58"/>
        <v>-0.24057846981229147</v>
      </c>
      <c r="W25" s="47">
        <f t="shared" si="59"/>
        <v>-0.14733311611910457</v>
      </c>
      <c r="X25" s="47">
        <f t="shared" si="60"/>
        <v>-0.36400303607268353</v>
      </c>
      <c r="Y25" s="47">
        <f t="shared" si="61"/>
        <v>-0.31643395364492716</v>
      </c>
      <c r="Z25" s="47">
        <f t="shared" si="62"/>
        <v>-5.35079202877616E-2</v>
      </c>
    </row>
    <row r="26" spans="1:26" ht="20.100000000000001" customHeight="1" x14ac:dyDescent="0.2">
      <c r="A26" s="50">
        <f t="shared" si="0"/>
        <v>70</v>
      </c>
      <c r="B26" s="51">
        <f t="shared" si="1"/>
        <v>43669</v>
      </c>
      <c r="C26" s="52">
        <f>'Résultats observations'!C26</f>
        <v>189.2</v>
      </c>
      <c r="D26" s="48">
        <f t="shared" si="2"/>
        <v>-15.355261863308378</v>
      </c>
      <c r="E26" s="47">
        <f t="shared" si="3"/>
        <v>-14.283759279900998</v>
      </c>
      <c r="F26" s="47">
        <f t="shared" si="4"/>
        <v>-12.479678536851946</v>
      </c>
      <c r="G26" s="48">
        <f t="shared" si="5"/>
        <v>-5.6410646621127825</v>
      </c>
      <c r="H26" s="47">
        <f t="shared" si="6"/>
        <v>-10.528966143631635</v>
      </c>
      <c r="I26" s="48">
        <f t="shared" si="7"/>
        <v>-13.359782965758349</v>
      </c>
      <c r="J26" s="48">
        <f t="shared" si="8"/>
        <v>-12.362488201624444</v>
      </c>
      <c r="K26" s="47">
        <f t="shared" si="9"/>
        <v>-14.532036331669218</v>
      </c>
      <c r="L26" s="48">
        <f t="shared" si="10"/>
        <v>-15.858853148861485</v>
      </c>
      <c r="R26" s="47">
        <f t="shared" ref="R26" si="63">IF(AND(D26&lt;&gt;"",D25&lt;&gt;""),(D26-D25)/($B26-$B25),"")</f>
        <v>-8.2035320619411323E-2</v>
      </c>
      <c r="S26" s="47">
        <f t="shared" ref="S26" si="64">IF(AND(E26&lt;&gt;"",E25&lt;&gt;""),(E26-E25)/($B26-$B25),"")</f>
        <v>-0.18731486794614227</v>
      </c>
      <c r="T26" s="47">
        <f t="shared" ref="T26" si="65">IF(AND(F26&lt;&gt;"",F25&lt;&gt;""),(F26-F25)/($B26-$B25),"")</f>
        <v>5.551647926536063E-2</v>
      </c>
      <c r="U26" s="47">
        <f t="shared" ref="U26" si="66">IF(AND(G26&lt;&gt;"",G25&lt;&gt;""),(G26-G25)/($B26-$B25),"")</f>
        <v>-0.10617763719062978</v>
      </c>
      <c r="V26" s="47">
        <f t="shared" ref="V26" si="67">IF(AND(H26&lt;&gt;"",H25&lt;&gt;""),(H26-H25)/($B26-$B25),"")</f>
        <v>-7.7232612266620038E-2</v>
      </c>
      <c r="W26" s="47">
        <f t="shared" ref="W26" si="68">IF(AND(I26&lt;&gt;"",I25&lt;&gt;""),(I26-I25)/($B26-$B25),"")</f>
        <v>-0.16887710763544561</v>
      </c>
      <c r="X26" s="47">
        <f t="shared" ref="X26" si="69">IF(AND(J26&lt;&gt;"",J25&lt;&gt;""),(J26-J25)/($B26-$B25),"")</f>
        <v>-1.0947180663833933E-2</v>
      </c>
      <c r="Y26" s="47">
        <f t="shared" ref="Y26" si="70">IF(AND(K26&lt;&gt;"",K25&lt;&gt;""),(K26-K25)/($B26-$B25),"")</f>
        <v>-0.15171535816627113</v>
      </c>
      <c r="Z26" s="47">
        <f t="shared" ref="Z26" si="71">IF(AND(L26&lt;&gt;"",L25&lt;&gt;""),(L26-L25)/($B26-$B25),"")</f>
        <v>-9.9428396967482513E-2</v>
      </c>
    </row>
    <row r="27" spans="1:26" ht="20.100000000000001" customHeight="1" x14ac:dyDescent="0.2">
      <c r="A27" s="50">
        <f t="shared" si="0"/>
        <v>76</v>
      </c>
      <c r="B27" s="51">
        <f t="shared" si="1"/>
        <v>43675</v>
      </c>
      <c r="C27" s="52">
        <f>'Résultats observations'!C27</f>
        <v>191.5</v>
      </c>
      <c r="D27" s="48">
        <f t="shared" si="2"/>
        <v>-15.715688987077314</v>
      </c>
      <c r="E27" s="47">
        <f t="shared" si="3"/>
        <v>-14.292472072209073</v>
      </c>
      <c r="F27" s="47">
        <f t="shared" si="4"/>
        <v>-13.043843407909872</v>
      </c>
      <c r="G27" s="48">
        <f t="shared" si="5"/>
        <v>-5.4823755227335624</v>
      </c>
      <c r="H27" s="47">
        <f t="shared" si="6"/>
        <v>-10.63577214494682</v>
      </c>
      <c r="I27" s="48">
        <f t="shared" si="7"/>
        <v>-13.732379764705094</v>
      </c>
      <c r="J27" s="48">
        <f t="shared" si="8"/>
        <v>-12.388695564855112</v>
      </c>
      <c r="K27" s="47">
        <f t="shared" si="9"/>
        <v>-13.808919156657495</v>
      </c>
      <c r="L27" s="48">
        <f t="shared" si="10"/>
        <v>-16.156626396315765</v>
      </c>
      <c r="R27" s="47">
        <f t="shared" ref="R27" si="72">IF(AND(D27&lt;&gt;"",D26&lt;&gt;""),(D27-D26)/($B27-$B26),"")</f>
        <v>-6.0071187294822671E-2</v>
      </c>
      <c r="S27" s="47">
        <f t="shared" ref="S27" si="73">IF(AND(E27&lt;&gt;"",E26&lt;&gt;""),(E27-E26)/($B27-$B26),"")</f>
        <v>-1.4521320513457188E-3</v>
      </c>
      <c r="T27" s="47">
        <f t="shared" ref="T27" si="74">IF(AND(F27&lt;&gt;"",F26&lt;&gt;""),(F27-F26)/($B27-$B26),"")</f>
        <v>-9.4027478509654358E-2</v>
      </c>
      <c r="U27" s="47">
        <f t="shared" ref="U27" si="75">IF(AND(G27&lt;&gt;"",G26&lt;&gt;""),(G27-G26)/($B27-$B26),"")</f>
        <v>2.6448189896536672E-2</v>
      </c>
      <c r="V27" s="47">
        <f t="shared" ref="V27" si="76">IF(AND(H27&lt;&gt;"",H26&lt;&gt;""),(H27-H26)/($B27-$B26),"")</f>
        <v>-1.7801000219197505E-2</v>
      </c>
      <c r="W27" s="47">
        <f t="shared" ref="W27" si="77">IF(AND(I27&lt;&gt;"",I26&lt;&gt;""),(I27-I26)/($B27-$B26),"")</f>
        <v>-6.2099466491124154E-2</v>
      </c>
      <c r="X27" s="47">
        <f t="shared" ref="X27" si="78">IF(AND(J27&lt;&gt;"",J26&lt;&gt;""),(J27-J26)/($B27-$B26),"")</f>
        <v>-4.3678938717780129E-3</v>
      </c>
      <c r="Y27" s="47">
        <f t="shared" ref="Y27" si="79">IF(AND(K27&lt;&gt;"",K26&lt;&gt;""),(K27-K26)/($B27-$B26),"")</f>
        <v>0.12051952916862045</v>
      </c>
      <c r="Z27" s="47">
        <f t="shared" ref="Z27" si="80">IF(AND(L27&lt;&gt;"",L26&lt;&gt;""),(L27-L26)/($B27-$B26),"")</f>
        <v>-4.9628874575713411E-2</v>
      </c>
    </row>
    <row r="28" spans="1:26" ht="20.100000000000001" customHeight="1" x14ac:dyDescent="0.2">
      <c r="A28" s="50">
        <f t="shared" si="0"/>
        <v>80</v>
      </c>
      <c r="B28" s="51">
        <f t="shared" si="1"/>
        <v>43679</v>
      </c>
      <c r="C28" s="52">
        <f>'Résultats observations'!C28</f>
        <v>193.04</v>
      </c>
      <c r="D28" s="48">
        <f t="shared" si="2"/>
        <v>-16.420985695875245</v>
      </c>
      <c r="E28" s="47">
        <f t="shared" si="3"/>
        <v>-15.094056136156553</v>
      </c>
      <c r="F28" s="47">
        <f t="shared" si="4"/>
        <v>-13.18667937870055</v>
      </c>
      <c r="G28" s="48">
        <f t="shared" si="5"/>
        <v>-6.3191486260425478</v>
      </c>
      <c r="H28" s="47">
        <f t="shared" si="6"/>
        <v>-11.453961590103034</v>
      </c>
      <c r="I28" s="48">
        <f t="shared" si="7"/>
        <v>-14.229734282960038</v>
      </c>
      <c r="J28" s="48">
        <f t="shared" si="8"/>
        <v>-13.299589234361697</v>
      </c>
      <c r="K28" s="47">
        <f t="shared" si="9"/>
        <v>-15.092071631864101</v>
      </c>
      <c r="L28" s="48">
        <f t="shared" si="10"/>
        <v>-16.490237841364497</v>
      </c>
      <c r="R28" s="47">
        <f t="shared" ref="R28" si="81">IF(AND(D28&lt;&gt;"",D27&lt;&gt;""),(D28-D27)/($B28-$B27),"")</f>
        <v>-0.17632417719948279</v>
      </c>
      <c r="S28" s="47">
        <f t="shared" ref="S28" si="82">IF(AND(E28&lt;&gt;"",E27&lt;&gt;""),(E28-E27)/($B28-$B27),"")</f>
        <v>-0.20039601598687007</v>
      </c>
      <c r="T28" s="47">
        <f t="shared" ref="T28" si="83">IF(AND(F28&lt;&gt;"",F27&lt;&gt;""),(F28-F27)/($B28-$B27),"")</f>
        <v>-3.5708992697669473E-2</v>
      </c>
      <c r="U28" s="47">
        <f t="shared" ref="U28" si="84">IF(AND(G28&lt;&gt;"",G27&lt;&gt;""),(G28-G27)/($B28-$B27),"")</f>
        <v>-0.20919327582724634</v>
      </c>
      <c r="V28" s="47">
        <f t="shared" ref="V28" si="85">IF(AND(H28&lt;&gt;"",H27&lt;&gt;""),(H28-H27)/($B28-$B27),"")</f>
        <v>-0.2045473612890536</v>
      </c>
      <c r="W28" s="47">
        <f t="shared" ref="W28" si="86">IF(AND(I28&lt;&gt;"",I27&lt;&gt;""),(I28-I27)/($B28-$B27),"")</f>
        <v>-0.12433862956373609</v>
      </c>
      <c r="X28" s="47">
        <f t="shared" ref="X28" si="87">IF(AND(J28&lt;&gt;"",J27&lt;&gt;""),(J28-J27)/($B28-$B27),"")</f>
        <v>-0.22772341737664625</v>
      </c>
      <c r="Y28" s="47">
        <f t="shared" ref="Y28" si="88">IF(AND(K28&lt;&gt;"",K27&lt;&gt;""),(K28-K27)/($B28-$B27),"")</f>
        <v>-0.32078811880165148</v>
      </c>
      <c r="Z28" s="47">
        <f t="shared" ref="Z28" si="89">IF(AND(L28&lt;&gt;"",L27&lt;&gt;""),(L28-L27)/($B28-$B27),"")</f>
        <v>-8.3402861262182881E-2</v>
      </c>
    </row>
    <row r="29" spans="1:26" ht="20.100000000000001" customHeight="1" x14ac:dyDescent="0.2">
      <c r="A29" s="50">
        <f t="shared" si="0"/>
        <v>83</v>
      </c>
      <c r="B29" s="51">
        <f t="shared" si="1"/>
        <v>43682</v>
      </c>
      <c r="C29" s="52">
        <f>'Résultats observations'!C29</f>
        <v>193</v>
      </c>
      <c r="D29" s="48">
        <f t="shared" si="2"/>
        <v>-16.684202584627883</v>
      </c>
      <c r="E29" s="47">
        <f t="shared" si="3"/>
        <v>-15.298664061028866</v>
      </c>
      <c r="F29" s="47">
        <f t="shared" si="4"/>
        <v>-13.932459355040727</v>
      </c>
      <c r="G29" s="48">
        <f t="shared" si="5"/>
        <v>-6.0435985683175986</v>
      </c>
      <c r="H29" s="47">
        <f t="shared" si="6"/>
        <v>-11.494681256591477</v>
      </c>
      <c r="I29" s="48">
        <f t="shared" si="7"/>
        <v>-14.804483607910868</v>
      </c>
      <c r="J29" s="48">
        <f t="shared" si="8"/>
        <v>-13.645052074396702</v>
      </c>
      <c r="K29" s="47">
        <f t="shared" si="9"/>
        <v>-14.83566877161735</v>
      </c>
      <c r="L29" s="48">
        <f t="shared" si="10"/>
        <v>-17.54447248028157</v>
      </c>
      <c r="R29" s="47">
        <f t="shared" ref="R29" si="90">IF(AND(D29&lt;&gt;"",D28&lt;&gt;""),(D29-D28)/($B29-$B28),"")</f>
        <v>-8.7738962917545862E-2</v>
      </c>
      <c r="S29" s="47">
        <f t="shared" ref="S29" si="91">IF(AND(E29&lt;&gt;"",E28&lt;&gt;""),(E29-E28)/($B29-$B28),"")</f>
        <v>-6.8202641624104388E-2</v>
      </c>
      <c r="T29" s="47">
        <f t="shared" ref="T29" si="92">IF(AND(F29&lt;&gt;"",F28&lt;&gt;""),(F29-F28)/($B29-$B28),"")</f>
        <v>-0.24859332544672577</v>
      </c>
      <c r="U29" s="47">
        <f t="shared" ref="U29" si="93">IF(AND(G29&lt;&gt;"",G28&lt;&gt;""),(G29-G28)/($B29-$B28),"")</f>
        <v>9.1850019241649747E-2</v>
      </c>
      <c r="V29" s="47">
        <f t="shared" ref="V29" si="94">IF(AND(H29&lt;&gt;"",H28&lt;&gt;""),(H29-H28)/($B29-$B28),"")</f>
        <v>-1.3573222162814128E-2</v>
      </c>
      <c r="W29" s="47">
        <f t="shared" ref="W29" si="95">IF(AND(I29&lt;&gt;"",I28&lt;&gt;""),(I29-I28)/($B29-$B28),"")</f>
        <v>-0.19158310831694317</v>
      </c>
      <c r="X29" s="47">
        <f t="shared" ref="X29" si="96">IF(AND(J29&lt;&gt;"",J28&lt;&gt;""),(J29-J28)/($B29-$B28),"")</f>
        <v>-0.11515428001166821</v>
      </c>
      <c r="Y29" s="47">
        <f t="shared" ref="Y29" si="97">IF(AND(K29&lt;&gt;"",K28&lt;&gt;""),(K29-K28)/($B29-$B28),"")</f>
        <v>8.5467620082250548E-2</v>
      </c>
      <c r="Z29" s="47">
        <f t="shared" ref="Z29" si="98">IF(AND(L29&lt;&gt;"",L28&lt;&gt;""),(L29-L28)/($B29-$B28),"")</f>
        <v>-0.35141154630569105</v>
      </c>
    </row>
    <row r="30" spans="1:26" ht="20.100000000000001" customHeight="1" x14ac:dyDescent="0.2">
      <c r="A30" s="50">
        <f t="shared" si="0"/>
        <v>85</v>
      </c>
      <c r="B30" s="51">
        <f t="shared" si="1"/>
        <v>43684</v>
      </c>
      <c r="C30" s="52">
        <f>'Résultats observations'!C30</f>
        <v>193.66</v>
      </c>
      <c r="D30" s="48">
        <f t="shared" si="2"/>
        <v>-17.762529514214975</v>
      </c>
      <c r="E30" s="47">
        <f t="shared" si="3"/>
        <v>-15.55404606384414</v>
      </c>
      <c r="F30" s="47">
        <f t="shared" si="4"/>
        <v>-14.307952378636468</v>
      </c>
      <c r="G30" s="48">
        <f t="shared" si="5"/>
        <v>-6.4842998774561345</v>
      </c>
      <c r="H30" s="47">
        <f t="shared" si="6"/>
        <v>-11.921582667389963</v>
      </c>
      <c r="I30" s="48">
        <f t="shared" si="7"/>
        <v>-14.892912600041441</v>
      </c>
      <c r="J30" s="48">
        <f t="shared" si="8"/>
        <v>-14.247877074615722</v>
      </c>
      <c r="K30" s="47">
        <f t="shared" si="9"/>
        <v>-15.302412758114059</v>
      </c>
      <c r="L30" s="48">
        <f t="shared" si="10"/>
        <v>-17.650028107124349</v>
      </c>
      <c r="R30" s="47">
        <f t="shared" ref="R30:R31" si="99">IF(AND(D30&lt;&gt;"",D29&lt;&gt;""),(D30-D29)/($B30-$B29),"")</f>
        <v>-0.53916346479354615</v>
      </c>
      <c r="S30" s="47">
        <f t="shared" ref="S30:S31" si="100">IF(AND(E30&lt;&gt;"",E29&lt;&gt;""),(E30-E29)/($B30-$B29),"")</f>
        <v>-0.12769100140763712</v>
      </c>
      <c r="T30" s="47">
        <f t="shared" ref="T30:T31" si="101">IF(AND(F30&lt;&gt;"",F29&lt;&gt;""),(F30-F29)/($B30-$B29),"")</f>
        <v>-0.1877465117978705</v>
      </c>
      <c r="U30" s="47">
        <f t="shared" ref="U30:U31" si="102">IF(AND(G30&lt;&gt;"",G29&lt;&gt;""),(G30-G29)/($B30-$B29),"")</f>
        <v>-0.22035065456926795</v>
      </c>
      <c r="V30" s="47">
        <f t="shared" ref="V30:V31" si="103">IF(AND(H30&lt;&gt;"",H29&lt;&gt;""),(H30-H29)/($B30-$B29),"")</f>
        <v>-0.21345070539924293</v>
      </c>
      <c r="W30" s="47">
        <f t="shared" ref="W30:W31" si="104">IF(AND(I30&lt;&gt;"",I29&lt;&gt;""),(I30-I29)/($B30-$B29),"")</f>
        <v>-4.4214496065286824E-2</v>
      </c>
      <c r="X30" s="47">
        <f t="shared" ref="X30:X31" si="105">IF(AND(J30&lt;&gt;"",J29&lt;&gt;""),(J30-J29)/($B30-$B29),"")</f>
        <v>-0.30141250010951026</v>
      </c>
      <c r="Y30" s="47">
        <f t="shared" ref="Y30:Y31" si="106">IF(AND(K30&lt;&gt;"",K29&lt;&gt;""),(K30-K29)/($B30-$B29),"")</f>
        <v>-0.23337199324835467</v>
      </c>
      <c r="Z30" s="47">
        <f t="shared" ref="Z30:Z31" si="107">IF(AND(L30&lt;&gt;"",L29&lt;&gt;""),(L30-L29)/($B30-$B29),"")</f>
        <v>-5.2777813421389652E-2</v>
      </c>
    </row>
    <row r="31" spans="1:26" ht="20.100000000000001" customHeight="1" x14ac:dyDescent="0.2">
      <c r="A31" s="50">
        <f t="shared" si="0"/>
        <v>86</v>
      </c>
      <c r="B31" s="51">
        <f t="shared" si="1"/>
        <v>43685</v>
      </c>
      <c r="C31" s="52">
        <f>'Résultats observations'!C31</f>
        <v>193.66</v>
      </c>
      <c r="D31" s="48">
        <f t="shared" si="2"/>
        <v>-17.364319337995759</v>
      </c>
      <c r="E31" s="47">
        <f t="shared" si="3"/>
        <v>-15.798556687069976</v>
      </c>
      <c r="F31" s="47">
        <f t="shared" si="4"/>
        <v>-13.579187851094243</v>
      </c>
      <c r="G31" s="48">
        <f t="shared" si="5"/>
        <v>-6.6154962405540196</v>
      </c>
      <c r="H31" s="47">
        <f t="shared" si="6"/>
        <v>-12.29267897958497</v>
      </c>
      <c r="I31" s="48">
        <f t="shared" si="7"/>
        <v>-15.821341034723879</v>
      </c>
      <c r="J31" s="48">
        <f t="shared" si="8"/>
        <v>-13.554496985791253</v>
      </c>
      <c r="K31" s="47">
        <f t="shared" si="9"/>
        <v>-15.512656089947896</v>
      </c>
      <c r="L31" s="48">
        <f t="shared" si="10"/>
        <v>-17.974208799843794</v>
      </c>
      <c r="R31" s="47">
        <f t="shared" si="99"/>
        <v>0.39821017621921584</v>
      </c>
      <c r="S31" s="47">
        <f t="shared" si="100"/>
        <v>-0.24451062322583539</v>
      </c>
      <c r="T31" s="47">
        <f t="shared" si="101"/>
        <v>0.72876452754222498</v>
      </c>
      <c r="U31" s="47">
        <f t="shared" si="102"/>
        <v>-0.13119636309788518</v>
      </c>
      <c r="V31" s="47">
        <f t="shared" si="103"/>
        <v>-0.37109631219500727</v>
      </c>
      <c r="W31" s="47">
        <f t="shared" si="104"/>
        <v>-0.92842843468243785</v>
      </c>
      <c r="X31" s="47">
        <f t="shared" si="105"/>
        <v>0.693380088824469</v>
      </c>
      <c r="Y31" s="47">
        <f t="shared" si="106"/>
        <v>-0.21024333183383703</v>
      </c>
      <c r="Z31" s="47">
        <f t="shared" si="107"/>
        <v>-0.32418069271944461</v>
      </c>
    </row>
    <row r="32" spans="1:26" ht="20.100000000000001" customHeight="1" x14ac:dyDescent="0.2">
      <c r="A32" s="50">
        <f t="shared" si="0"/>
        <v>90</v>
      </c>
      <c r="B32" s="51">
        <f t="shared" si="1"/>
        <v>43689</v>
      </c>
      <c r="C32" s="52">
        <f>'Résultats observations'!C32</f>
        <v>194.79</v>
      </c>
      <c r="D32" s="48">
        <f t="shared" si="2"/>
        <v>-17.626104973214929</v>
      </c>
      <c r="E32" s="47">
        <f t="shared" si="3"/>
        <v>-16.105178162055367</v>
      </c>
      <c r="F32" s="47">
        <f t="shared" si="4"/>
        <v>-13.702285240055456</v>
      </c>
      <c r="G32" s="48">
        <f t="shared" si="5"/>
        <v>-6.6081369431301162</v>
      </c>
      <c r="H32" s="47">
        <f t="shared" si="6"/>
        <v>-12.419600075561199</v>
      </c>
      <c r="I32" s="48">
        <f t="shared" si="7"/>
        <v>-16.18050691954398</v>
      </c>
      <c r="J32" s="48">
        <f t="shared" si="8"/>
        <v>-13.30077992682277</v>
      </c>
      <c r="K32" s="47">
        <f t="shared" si="9"/>
        <v>-15.512729331447872</v>
      </c>
      <c r="L32" s="48">
        <f t="shared" si="10"/>
        <v>-17.931397166653262</v>
      </c>
      <c r="R32" s="47">
        <f t="shared" ref="R32" si="108">IF(AND(D32&lt;&gt;"",D31&lt;&gt;""),(D32-D31)/($B32-$B31),"")</f>
        <v>-6.5446408804792355E-2</v>
      </c>
      <c r="S32" s="47">
        <f t="shared" ref="S32" si="109">IF(AND(E32&lt;&gt;"",E31&lt;&gt;""),(E32-E31)/($B32-$B31),"")</f>
        <v>-7.6655368746347818E-2</v>
      </c>
      <c r="T32" s="47">
        <f t="shared" ref="T32:T36" si="110">IF(AND(F32&lt;&gt;"",F31&lt;&gt;""),(F32-F31)/($B32-$B31),"")</f>
        <v>-3.0774347240303257E-2</v>
      </c>
      <c r="U32" s="47">
        <f t="shared" ref="U32" si="111">IF(AND(G32&lt;&gt;"",G31&lt;&gt;""),(G32-G31)/($B32-$B31),"")</f>
        <v>1.8398243559758498E-3</v>
      </c>
      <c r="V32" s="47">
        <f t="shared" ref="V32" si="112">IF(AND(H32&lt;&gt;"",H31&lt;&gt;""),(H32-H31)/($B32-$B31),"")</f>
        <v>-3.1730273994057256E-2</v>
      </c>
      <c r="W32" s="47">
        <f t="shared" ref="W32" si="113">IF(AND(I32&lt;&gt;"",I31&lt;&gt;""),(I32-I31)/($B32-$B31),"")</f>
        <v>-8.9791471205025175E-2</v>
      </c>
      <c r="X32" s="47">
        <f t="shared" ref="X32:X36" si="114">IF(AND(J32&lt;&gt;"",J31&lt;&gt;""),(J32-J31)/($B32-$B31),"")</f>
        <v>6.342926474212085E-2</v>
      </c>
      <c r="Y32" s="47">
        <f t="shared" ref="Y32" si="115">IF(AND(K32&lt;&gt;"",K31&lt;&gt;""),(K32-K31)/($B32-$B31),"")</f>
        <v>-1.8310374994001677E-5</v>
      </c>
      <c r="Z32" s="47">
        <f t="shared" ref="Z32" si="116">IF(AND(L32&lt;&gt;"",L31&lt;&gt;""),(L32-L31)/($B32-$B31),"")</f>
        <v>1.0702908297632874E-2</v>
      </c>
    </row>
    <row r="33" spans="1:26" ht="20.100000000000001" customHeight="1" x14ac:dyDescent="0.2">
      <c r="A33" s="50">
        <f t="shared" si="0"/>
        <v>91</v>
      </c>
      <c r="B33" s="51">
        <f t="shared" si="1"/>
        <v>43690</v>
      </c>
      <c r="C33" s="52">
        <f>'Résultats observations'!C33</f>
        <v>194.79</v>
      </c>
      <c r="D33" s="48">
        <f t="shared" si="2"/>
        <v>-17.722442544582329</v>
      </c>
      <c r="E33" s="47">
        <f t="shared" si="3"/>
        <v>-15.767087445441419</v>
      </c>
      <c r="F33" s="47"/>
      <c r="G33" s="48">
        <f t="shared" si="5"/>
        <v>-6.8098943270697987</v>
      </c>
      <c r="H33" s="47">
        <f t="shared" si="6"/>
        <v>-12.882573357439142</v>
      </c>
      <c r="I33" s="48">
        <f t="shared" si="7"/>
        <v>-16.788539767324195</v>
      </c>
      <c r="J33" s="48"/>
      <c r="K33" s="47">
        <f t="shared" si="9"/>
        <v>-15.446619961169361</v>
      </c>
      <c r="L33" s="48">
        <f t="shared" si="10"/>
        <v>-18.664157344319143</v>
      </c>
      <c r="R33" s="47">
        <f t="shared" ref="R33" si="117">IF(AND(D33&lt;&gt;"",D32&lt;&gt;""),(D33-D32)/($B33-$B32),"")</f>
        <v>-9.6337571367399732E-2</v>
      </c>
      <c r="S33" s="47">
        <f t="shared" ref="S33" si="118">IF(AND(E33&lt;&gt;"",E32&lt;&gt;""),(E33-E32)/($B33-$B32),"")</f>
        <v>0.33809071661394796</v>
      </c>
      <c r="T33" s="47" t="str">
        <f t="shared" si="110"/>
        <v/>
      </c>
      <c r="U33" s="47">
        <f t="shared" ref="U33" si="119">IF(AND(G33&lt;&gt;"",G32&lt;&gt;""),(G33-G32)/($B33-$B32),"")</f>
        <v>-0.20175738393968246</v>
      </c>
      <c r="V33" s="47">
        <f t="shared" ref="V33" si="120">IF(AND(H33&lt;&gt;"",H32&lt;&gt;""),(H33-H32)/($B33-$B32),"")</f>
        <v>-0.46297328187794307</v>
      </c>
      <c r="W33" s="47">
        <f t="shared" ref="W33" si="121">IF(AND(I33&lt;&gt;"",I32&lt;&gt;""),(I33-I32)/($B33-$B32),"")</f>
        <v>-0.60803284778021549</v>
      </c>
      <c r="X33" s="47" t="str">
        <f t="shared" si="114"/>
        <v/>
      </c>
      <c r="Y33" s="47">
        <f t="shared" ref="Y33" si="122">IF(AND(K33&lt;&gt;"",K32&lt;&gt;""),(K33-K32)/($B33-$B32),"")</f>
        <v>6.6109370278510937E-2</v>
      </c>
      <c r="Z33" s="47">
        <f t="shared" ref="Z33" si="123">IF(AND(L33&lt;&gt;"",L32&lt;&gt;""),(L33-L32)/($B33-$B32),"")</f>
        <v>-0.73276017766588097</v>
      </c>
    </row>
    <row r="34" spans="1:26" ht="20.100000000000001" customHeight="1" x14ac:dyDescent="0.2">
      <c r="A34" s="50">
        <f t="shared" si="0"/>
        <v>97</v>
      </c>
      <c r="B34" s="51">
        <f t="shared" si="1"/>
        <v>43696</v>
      </c>
      <c r="C34" s="52">
        <f>'Résultats observations'!C34</f>
        <v>195.4</v>
      </c>
      <c r="D34" s="48">
        <f t="shared" si="2"/>
        <v>-19.834669703858943</v>
      </c>
      <c r="E34" s="47">
        <f t="shared" si="3"/>
        <v>-17.730598258832053</v>
      </c>
      <c r="F34" s="47"/>
      <c r="G34" s="48">
        <f t="shared" si="5"/>
        <v>-7.1453705296842251</v>
      </c>
      <c r="H34" s="47">
        <f t="shared" si="6"/>
        <v>-13.181744762730929</v>
      </c>
      <c r="I34" s="48">
        <f t="shared" si="7"/>
        <v>-17.485725577454758</v>
      </c>
      <c r="J34" s="48"/>
      <c r="K34" s="47">
        <f t="shared" si="9"/>
        <v>-16.818248764220556</v>
      </c>
      <c r="L34" s="48">
        <f t="shared" si="10"/>
        <v>-19.250829333945951</v>
      </c>
      <c r="R34" s="47">
        <f t="shared" ref="R34" si="124">IF(AND(D34&lt;&gt;"",D33&lt;&gt;""),(D34-D33)/($B34-$B33),"")</f>
        <v>-0.35203785987943564</v>
      </c>
      <c r="S34" s="47">
        <f t="shared" ref="S34" si="125">IF(AND(E34&lt;&gt;"",E33&lt;&gt;""),(E34-E33)/($B34-$B33),"")</f>
        <v>-0.32725180223177236</v>
      </c>
      <c r="T34" s="47" t="str">
        <f t="shared" si="110"/>
        <v/>
      </c>
      <c r="U34" s="47">
        <f t="shared" ref="U34" si="126">IF(AND(G34&lt;&gt;"",G33&lt;&gt;""),(G34-G33)/($B34-$B33),"")</f>
        <v>-5.591270043573774E-2</v>
      </c>
      <c r="V34" s="47">
        <f t="shared" ref="V34" si="127">IF(AND(H34&lt;&gt;"",H33&lt;&gt;""),(H34-H33)/($B34-$B33),"")</f>
        <v>-4.9861900881964516E-2</v>
      </c>
      <c r="W34" s="47">
        <f t="shared" ref="W34" si="128">IF(AND(I34&lt;&gt;"",I33&lt;&gt;""),(I34-I33)/($B34-$B33),"")</f>
        <v>-0.11619763502176046</v>
      </c>
      <c r="X34" s="47" t="str">
        <f t="shared" si="114"/>
        <v/>
      </c>
      <c r="Y34" s="47">
        <f t="shared" ref="Y34" si="129">IF(AND(K34&lt;&gt;"",K33&lt;&gt;""),(K34-K33)/($B34-$B33),"")</f>
        <v>-0.22860480050853246</v>
      </c>
      <c r="Z34" s="47">
        <f t="shared" ref="Z34" si="130">IF(AND(L34&lt;&gt;"",L33&lt;&gt;""),(L34-L33)/($B34-$B33),"")</f>
        <v>-9.7778664937801338E-2</v>
      </c>
    </row>
    <row r="35" spans="1:26" ht="20.100000000000001" customHeight="1" x14ac:dyDescent="0.2">
      <c r="A35" s="50">
        <f t="shared" si="0"/>
        <v>100</v>
      </c>
      <c r="B35" s="51">
        <f t="shared" si="1"/>
        <v>43699</v>
      </c>
      <c r="C35" s="52">
        <f>'Résultats observations'!C35</f>
        <v>196.35</v>
      </c>
      <c r="D35" s="48">
        <f t="shared" si="2"/>
        <v>-19.366688162059553</v>
      </c>
      <c r="E35" s="47">
        <f t="shared" si="3"/>
        <v>-17.753000121711437</v>
      </c>
      <c r="F35" s="47">
        <f t="shared" si="4"/>
        <v>-15.725137899440966</v>
      </c>
      <c r="G35" s="48">
        <f t="shared" si="5"/>
        <v>-6.8446025097750329</v>
      </c>
      <c r="H35" s="47">
        <f t="shared" si="6"/>
        <v>-13.206869732441895</v>
      </c>
      <c r="I35" s="48">
        <f t="shared" si="7"/>
        <v>-16.931899163493469</v>
      </c>
      <c r="J35" s="48">
        <f t="shared" si="8"/>
        <v>-15.015381379004822</v>
      </c>
      <c r="K35" s="47">
        <f t="shared" si="9"/>
        <v>-16.468468614791121</v>
      </c>
      <c r="L35" s="48">
        <f t="shared" si="10"/>
        <v>-18.728833495603503</v>
      </c>
      <c r="R35" s="47">
        <f t="shared" ref="R35:R36" si="131">IF(AND(D35&lt;&gt;"",D34&lt;&gt;""),(D35-D34)/($B35-$B34),"")</f>
        <v>0.15599384726646312</v>
      </c>
      <c r="S35" s="47">
        <f t="shared" ref="S35:S36" si="132">IF(AND(E35&lt;&gt;"",E34&lt;&gt;""),(E35-E34)/($B35-$B34),"")</f>
        <v>-7.4672876264614274E-3</v>
      </c>
      <c r="T35" s="47" t="str">
        <f t="shared" si="110"/>
        <v/>
      </c>
      <c r="U35" s="47">
        <f t="shared" ref="U35:U36" si="133">IF(AND(G35&lt;&gt;"",G34&lt;&gt;""),(G35-G34)/($B35-$B34),"")</f>
        <v>0.1002560066363974</v>
      </c>
      <c r="V35" s="47">
        <f t="shared" ref="V35:V36" si="134">IF(AND(H35&lt;&gt;"",H34&lt;&gt;""),(H35-H34)/($B35-$B34),"")</f>
        <v>-8.3749899036552247E-3</v>
      </c>
      <c r="W35" s="47">
        <f t="shared" ref="W35:W36" si="135">IF(AND(I35&lt;&gt;"",I34&lt;&gt;""),(I35-I34)/($B35-$B34),"")</f>
        <v>0.18460880465376306</v>
      </c>
      <c r="X35" s="47" t="str">
        <f t="shared" si="114"/>
        <v/>
      </c>
      <c r="Y35" s="47">
        <f t="shared" ref="Y35:Y36" si="136">IF(AND(K35&lt;&gt;"",K34&lt;&gt;""),(K35-K34)/($B35-$B34),"")</f>
        <v>0.116593383143145</v>
      </c>
      <c r="Z35" s="47">
        <f t="shared" ref="Z35:Z36" si="137">IF(AND(L35&lt;&gt;"",L34&lt;&gt;""),(L35-L34)/($B35-$B34),"")</f>
        <v>0.1739986127808161</v>
      </c>
    </row>
    <row r="36" spans="1:26" ht="20.100000000000001" customHeight="1" x14ac:dyDescent="0.2">
      <c r="A36" s="50">
        <f t="shared" si="0"/>
        <v>104</v>
      </c>
      <c r="B36" s="51">
        <f t="shared" si="1"/>
        <v>43703</v>
      </c>
      <c r="C36" s="52">
        <f>'Résultats observations'!C36</f>
        <v>196.35</v>
      </c>
      <c r="D36" s="48">
        <f t="shared" si="2"/>
        <v>-19.400075713133624</v>
      </c>
      <c r="E36" s="47">
        <f t="shared" si="3"/>
        <v>-17.625852747660709</v>
      </c>
      <c r="F36" s="47">
        <f t="shared" si="4"/>
        <v>-15.646025010602305</v>
      </c>
      <c r="G36" s="48">
        <f t="shared" si="5"/>
        <v>-6.7455474455613285</v>
      </c>
      <c r="H36" s="47">
        <f t="shared" si="6"/>
        <v>-13.018855850366329</v>
      </c>
      <c r="I36" s="48">
        <f t="shared" si="7"/>
        <v>-16.9452426101806</v>
      </c>
      <c r="J36" s="48">
        <f t="shared" si="8"/>
        <v>-14.685059689131919</v>
      </c>
      <c r="K36" s="47">
        <f t="shared" si="9"/>
        <v>-15.953068910233625</v>
      </c>
      <c r="L36" s="48">
        <f t="shared" si="10"/>
        <v>-18.519818745727612</v>
      </c>
      <c r="R36" s="47">
        <f t="shared" si="131"/>
        <v>-8.3468877685177745E-3</v>
      </c>
      <c r="S36" s="47">
        <f t="shared" si="132"/>
        <v>3.1786843512682239E-2</v>
      </c>
      <c r="T36" s="47">
        <f t="shared" si="110"/>
        <v>1.9778222209665408E-2</v>
      </c>
      <c r="U36" s="47">
        <f t="shared" si="133"/>
        <v>2.4763766053426117E-2</v>
      </c>
      <c r="V36" s="47">
        <f t="shared" si="134"/>
        <v>4.7003470518891532E-2</v>
      </c>
      <c r="W36" s="47">
        <f t="shared" si="135"/>
        <v>-3.3358616717826806E-3</v>
      </c>
      <c r="X36" s="47">
        <f t="shared" si="114"/>
        <v>8.2580422468225834E-2</v>
      </c>
      <c r="Y36" s="47">
        <f t="shared" si="136"/>
        <v>0.12884992613937385</v>
      </c>
      <c r="Z36" s="47">
        <f t="shared" si="137"/>
        <v>5.2253687468972743E-2</v>
      </c>
    </row>
    <row r="37" spans="1:26" ht="20.100000000000001" customHeight="1" x14ac:dyDescent="0.2">
      <c r="A37" s="50">
        <f t="shared" si="0"/>
        <v>107</v>
      </c>
      <c r="B37" s="51">
        <f t="shared" si="1"/>
        <v>43706</v>
      </c>
      <c r="C37" s="52">
        <f>'Résultats observations'!C37</f>
        <v>198.3</v>
      </c>
      <c r="D37" s="48">
        <f t="shared" si="2"/>
        <v>-19.836875030055268</v>
      </c>
      <c r="E37" s="47">
        <f t="shared" si="3"/>
        <v>-17.961500800346641</v>
      </c>
      <c r="F37" s="47">
        <f t="shared" si="4"/>
        <v>-16.151112024099579</v>
      </c>
      <c r="G37" s="48">
        <f t="shared" si="5"/>
        <v>-6.8692939311825185</v>
      </c>
      <c r="H37" s="47">
        <f t="shared" si="6"/>
        <v>-13.313467590267969</v>
      </c>
      <c r="I37" s="48">
        <f t="shared" si="7"/>
        <v>-17.166228857351307</v>
      </c>
      <c r="J37" s="48">
        <f t="shared" si="8"/>
        <v>-15.126428049990537</v>
      </c>
      <c r="K37" s="47">
        <f t="shared" si="9"/>
        <v>-16.127909593322443</v>
      </c>
      <c r="L37" s="48">
        <f t="shared" si="10"/>
        <v>-18.693804706970241</v>
      </c>
      <c r="R37" s="47">
        <f t="shared" ref="R37:R38" si="138">IF(AND(D37&lt;&gt;"",D36&lt;&gt;""),(D37-D36)/($B37-$B36),"")</f>
        <v>-0.14559977230721444</v>
      </c>
      <c r="S37" s="47">
        <f t="shared" ref="S37:S38" si="139">IF(AND(E37&lt;&gt;"",E36&lt;&gt;""),(E37-E36)/($B37-$B36),"")</f>
        <v>-0.11188268422864429</v>
      </c>
      <c r="T37" s="47">
        <f t="shared" ref="T37:T38" si="140">IF(AND(F37&lt;&gt;"",F36&lt;&gt;""),(F37-F36)/($B37-$B36),"")</f>
        <v>-0.16836233783242469</v>
      </c>
      <c r="U37" s="47">
        <f t="shared" ref="U37:U38" si="141">IF(AND(G37&lt;&gt;"",G36&lt;&gt;""),(G37-G36)/($B37-$B36),"")</f>
        <v>-4.1248828540396687E-2</v>
      </c>
      <c r="V37" s="47">
        <f t="shared" ref="V37:V38" si="142">IF(AND(H37&lt;&gt;"",H36&lt;&gt;""),(H37-H36)/($B37-$B36),"")</f>
        <v>-9.8203913300546716E-2</v>
      </c>
      <c r="W37" s="47">
        <f t="shared" ref="W37:W38" si="143">IF(AND(I37&lt;&gt;"",I36&lt;&gt;""),(I37-I36)/($B37-$B36),"")</f>
        <v>-7.3662082390235639E-2</v>
      </c>
      <c r="X37" s="47">
        <f t="shared" ref="X37:X38" si="144">IF(AND(J37&lt;&gt;"",J36&lt;&gt;""),(J37-J36)/($B37-$B36),"")</f>
        <v>-0.14712278695287276</v>
      </c>
      <c r="Y37" s="47">
        <f t="shared" ref="Y37:Y38" si="145">IF(AND(K37&lt;&gt;"",K36&lt;&gt;""),(K37-K36)/($B37-$B36),"")</f>
        <v>-5.8280227696272391E-2</v>
      </c>
      <c r="Z37" s="47">
        <f t="shared" ref="Z37:Z38" si="146">IF(AND(L37&lt;&gt;"",L36&lt;&gt;""),(L37-L36)/($B37-$B36),"")</f>
        <v>-5.7995320414209552E-2</v>
      </c>
    </row>
    <row r="38" spans="1:26" ht="20.100000000000001" customHeight="1" x14ac:dyDescent="0.2">
      <c r="A38" s="50">
        <f t="shared" si="0"/>
        <v>111</v>
      </c>
      <c r="B38" s="51">
        <f t="shared" si="1"/>
        <v>43710</v>
      </c>
      <c r="C38" s="52">
        <f>'Résultats observations'!C38</f>
        <v>199.4</v>
      </c>
      <c r="D38" s="48">
        <f t="shared" si="2"/>
        <v>-19.898439656867772</v>
      </c>
      <c r="E38" s="47">
        <f t="shared" si="3"/>
        <v>-18.111052033059849</v>
      </c>
      <c r="F38" s="47">
        <f t="shared" si="4"/>
        <v>-16.283948200856546</v>
      </c>
      <c r="G38" s="48">
        <f t="shared" si="5"/>
        <v>-6.8243312974964887</v>
      </c>
      <c r="H38" s="47">
        <f t="shared" si="6"/>
        <v>-13.481153546194058</v>
      </c>
      <c r="I38" s="48">
        <f t="shared" si="7"/>
        <v>-17.497742162323249</v>
      </c>
      <c r="J38" s="48">
        <f t="shared" si="8"/>
        <v>-15.047889497790123</v>
      </c>
      <c r="K38" s="47">
        <f t="shared" si="9"/>
        <v>-16.267228597776295</v>
      </c>
      <c r="L38" s="48">
        <f t="shared" si="10"/>
        <v>-18.650019850153576</v>
      </c>
      <c r="R38" s="47">
        <f t="shared" si="138"/>
        <v>-1.5391156703126185E-2</v>
      </c>
      <c r="S38" s="47">
        <f t="shared" si="139"/>
        <v>-3.7387808178301896E-2</v>
      </c>
      <c r="T38" s="47">
        <f t="shared" si="140"/>
        <v>-3.3209044189241865E-2</v>
      </c>
      <c r="U38" s="47">
        <f t="shared" si="141"/>
        <v>1.1240658421507455E-2</v>
      </c>
      <c r="V38" s="47">
        <f t="shared" si="142"/>
        <v>-4.1921488981522259E-2</v>
      </c>
      <c r="W38" s="47">
        <f t="shared" si="143"/>
        <v>-8.2878326242985523E-2</v>
      </c>
      <c r="X38" s="47">
        <f t="shared" si="144"/>
        <v>1.9634638050103348E-2</v>
      </c>
      <c r="Y38" s="47">
        <f t="shared" si="145"/>
        <v>-3.4829751113463203E-2</v>
      </c>
      <c r="Z38" s="47">
        <f t="shared" si="146"/>
        <v>1.0946214204166083E-2</v>
      </c>
    </row>
    <row r="39" spans="1:26" ht="20.100000000000001" customHeight="1" x14ac:dyDescent="0.2">
      <c r="A39" s="50">
        <f t="shared" si="0"/>
        <v>114</v>
      </c>
      <c r="B39" s="51">
        <f t="shared" si="1"/>
        <v>43713</v>
      </c>
      <c r="C39" s="52">
        <f>'Résultats observations'!C39</f>
        <v>200.6</v>
      </c>
      <c r="D39" s="48">
        <f t="shared" si="2"/>
        <v>-20.896668317528899</v>
      </c>
      <c r="E39" s="47">
        <f t="shared" si="3"/>
        <v>-18.344839424210058</v>
      </c>
      <c r="F39" s="47">
        <f t="shared" si="4"/>
        <v>-16.320734207109222</v>
      </c>
      <c r="G39" s="48">
        <f t="shared" si="5"/>
        <v>-6.8618489811935746</v>
      </c>
      <c r="H39" s="47">
        <f t="shared" si="6"/>
        <v>-13.47583387191964</v>
      </c>
      <c r="I39" s="48">
        <f t="shared" si="7"/>
        <v>-17.525302005702237</v>
      </c>
      <c r="J39" s="48">
        <f t="shared" si="8"/>
        <v>-15.005304724778235</v>
      </c>
      <c r="K39" s="47">
        <f t="shared" si="9"/>
        <v>-16.085925569392145</v>
      </c>
      <c r="L39" s="48">
        <f t="shared" si="10"/>
        <v>-18.728993959850726</v>
      </c>
      <c r="R39" s="47">
        <f t="shared" ref="R39" si="147">IF(AND(D39&lt;&gt;"",D38&lt;&gt;""),(D39-D38)/($B39-$B38),"")</f>
        <v>-0.33274288688704229</v>
      </c>
      <c r="S39" s="47">
        <f t="shared" ref="S39" si="148">IF(AND(E39&lt;&gt;"",E38&lt;&gt;""),(E39-E38)/($B39-$B38),"")</f>
        <v>-7.7929130383402878E-2</v>
      </c>
      <c r="T39" s="47">
        <f t="shared" ref="T39" si="149">IF(AND(F39&lt;&gt;"",F38&lt;&gt;""),(F39-F38)/($B39-$B38),"")</f>
        <v>-1.2262002084225307E-2</v>
      </c>
      <c r="U39" s="47">
        <f t="shared" ref="U39" si="150">IF(AND(G39&lt;&gt;"",G38&lt;&gt;""),(G39-G38)/($B39-$B38),"")</f>
        <v>-1.2505894565695286E-2</v>
      </c>
      <c r="V39" s="47">
        <f t="shared" ref="V39" si="151">IF(AND(H39&lt;&gt;"",H38&lt;&gt;""),(H39-H38)/($B39-$B38),"")</f>
        <v>1.7732247581392357E-3</v>
      </c>
      <c r="W39" s="47">
        <f t="shared" ref="W39" si="152">IF(AND(I39&lt;&gt;"",I38&lt;&gt;""),(I39-I38)/($B39-$B38),"")</f>
        <v>-9.1866144596626977E-3</v>
      </c>
      <c r="X39" s="47">
        <f t="shared" ref="X39" si="153">IF(AND(J39&lt;&gt;"",J38&lt;&gt;""),(J39-J38)/($B39-$B38),"")</f>
        <v>1.41949243372963E-2</v>
      </c>
      <c r="Y39" s="47">
        <f t="shared" ref="Y39" si="154">IF(AND(K39&lt;&gt;"",K38&lt;&gt;""),(K39-K38)/($B39-$B38),"")</f>
        <v>6.0434342794716635E-2</v>
      </c>
      <c r="Z39" s="47">
        <f t="shared" ref="Z39" si="155">IF(AND(L39&lt;&gt;"",L38&lt;&gt;""),(L39-L38)/($B39-$B38),"")</f>
        <v>-2.6324703232383229E-2</v>
      </c>
    </row>
    <row r="40" spans="1:26" ht="20.100000000000001" customHeight="1" x14ac:dyDescent="0.2">
      <c r="A40" s="50">
        <f t="shared" si="0"/>
        <v>119</v>
      </c>
      <c r="B40" s="51">
        <f t="shared" si="1"/>
        <v>43718</v>
      </c>
      <c r="C40" s="52">
        <f>'Résultats observations'!C40</f>
        <v>202.58</v>
      </c>
      <c r="D40" s="48">
        <f t="shared" si="2"/>
        <v>-21.285254977041923</v>
      </c>
      <c r="E40" s="47">
        <f t="shared" si="3"/>
        <v>-19.263758193622138</v>
      </c>
      <c r="F40" s="47">
        <f t="shared" si="4"/>
        <v>-16.986046496946017</v>
      </c>
      <c r="G40" s="48">
        <f t="shared" si="5"/>
        <v>-7.3164179759364067</v>
      </c>
      <c r="H40" s="47">
        <f t="shared" si="6"/>
        <v>-14.375275412861654</v>
      </c>
      <c r="I40" s="48">
        <f t="shared" si="7"/>
        <v>-18.644860699811971</v>
      </c>
      <c r="J40" s="48">
        <f t="shared" si="8"/>
        <v>-15.803197900976507</v>
      </c>
      <c r="K40" s="47">
        <f t="shared" si="9"/>
        <v>-17.021945418996154</v>
      </c>
      <c r="L40" s="48">
        <f t="shared" si="10"/>
        <v>-19.494190810157797</v>
      </c>
      <c r="R40" s="47">
        <f t="shared" ref="R40:R41" si="156">IF(AND(D40&lt;&gt;"",D39&lt;&gt;""),(D40-D39)/($B40-$B39),"")</f>
        <v>-7.7717331902604769E-2</v>
      </c>
      <c r="S40" s="47">
        <f t="shared" ref="S40:S41" si="157">IF(AND(E40&lt;&gt;"",E39&lt;&gt;""),(E40-E39)/($B40-$B39),"")</f>
        <v>-0.18378375388241608</v>
      </c>
      <c r="T40" s="47">
        <f t="shared" ref="T40:T41" si="158">IF(AND(F40&lt;&gt;"",F39&lt;&gt;""),(F40-F39)/($B40-$B39),"")</f>
        <v>-0.13306245796735894</v>
      </c>
      <c r="U40" s="47">
        <f t="shared" ref="U40:U41" si="159">IF(AND(G40&lt;&gt;"",G39&lt;&gt;""),(G40-G39)/($B40-$B39),"")</f>
        <v>-9.0913798948566438E-2</v>
      </c>
      <c r="V40" s="47">
        <f t="shared" ref="V40:V41" si="160">IF(AND(H40&lt;&gt;"",H39&lt;&gt;""),(H40-H39)/($B40-$B39),"")</f>
        <v>-0.17988830818840285</v>
      </c>
      <c r="W40" s="47">
        <f t="shared" ref="W40:W41" si="161">IF(AND(I40&lt;&gt;"",I39&lt;&gt;""),(I40-I39)/($B40-$B39),"")</f>
        <v>-0.22391173882194693</v>
      </c>
      <c r="X40" s="47">
        <f t="shared" ref="X40:X41" si="162">IF(AND(J40&lt;&gt;"",J39&lt;&gt;""),(J40-J39)/($B40-$B39),"")</f>
        <v>-0.15957863523965443</v>
      </c>
      <c r="Y40" s="47">
        <f t="shared" ref="Y40:Y41" si="163">IF(AND(K40&lt;&gt;"",K39&lt;&gt;""),(K40-K39)/($B40-$B39),"")</f>
        <v>-0.18720396992080168</v>
      </c>
      <c r="Z40" s="47">
        <f t="shared" ref="Z40:Z41" si="164">IF(AND(L40&lt;&gt;"",L39&lt;&gt;""),(L40-L39)/($B40-$B39),"")</f>
        <v>-0.1530393700614141</v>
      </c>
    </row>
    <row r="41" spans="1:26" ht="20.100000000000001" customHeight="1" x14ac:dyDescent="0.2">
      <c r="A41" s="50">
        <f t="shared" si="0"/>
        <v>121</v>
      </c>
      <c r="B41" s="51">
        <f t="shared" si="1"/>
        <v>43720</v>
      </c>
      <c r="C41" s="52">
        <f>'Résultats observations'!C41</f>
        <v>203.6</v>
      </c>
      <c r="D41" s="48">
        <f t="shared" si="2"/>
        <v>-21.811819055194803</v>
      </c>
      <c r="E41" s="47">
        <f t="shared" si="3"/>
        <v>-19.693772613284644</v>
      </c>
      <c r="F41" s="47">
        <f t="shared" si="4"/>
        <v>-17.125736876155706</v>
      </c>
      <c r="G41" s="48">
        <f t="shared" si="5"/>
        <v>-7.5680420324832909</v>
      </c>
      <c r="H41" s="47">
        <f t="shared" si="6"/>
        <v>-14.603707647126818</v>
      </c>
      <c r="I41" s="48">
        <f t="shared" si="7"/>
        <v>-19.101316576577432</v>
      </c>
      <c r="J41" s="48">
        <f t="shared" si="8"/>
        <v>-16.116973973355542</v>
      </c>
      <c r="K41" s="47">
        <f t="shared" si="9"/>
        <v>-17.349243024643357</v>
      </c>
      <c r="L41" s="48">
        <f t="shared" si="10"/>
        <v>-20.041731928289508</v>
      </c>
      <c r="R41" s="47">
        <f t="shared" si="156"/>
        <v>-0.2632820390764401</v>
      </c>
      <c r="S41" s="47">
        <f t="shared" si="157"/>
        <v>-0.21500720983125277</v>
      </c>
      <c r="T41" s="47">
        <f t="shared" si="158"/>
        <v>-6.9845189604844649E-2</v>
      </c>
      <c r="U41" s="47">
        <f t="shared" si="159"/>
        <v>-0.12581202827344207</v>
      </c>
      <c r="V41" s="47">
        <f t="shared" si="160"/>
        <v>-0.11421611713258173</v>
      </c>
      <c r="W41" s="47">
        <f t="shared" si="161"/>
        <v>-0.22822793838273014</v>
      </c>
      <c r="X41" s="47">
        <f t="shared" si="162"/>
        <v>-0.15688803618951752</v>
      </c>
      <c r="Y41" s="47">
        <f t="shared" si="163"/>
        <v>-0.16364880282360161</v>
      </c>
      <c r="Z41" s="47">
        <f t="shared" si="164"/>
        <v>-0.27377055906585568</v>
      </c>
    </row>
    <row r="42" spans="1:26" ht="20.100000000000001" customHeight="1" x14ac:dyDescent="0.2">
      <c r="A42" s="50">
        <f t="shared" si="0"/>
        <v>125</v>
      </c>
      <c r="B42" s="51">
        <f t="shared" si="1"/>
        <v>43724</v>
      </c>
      <c r="C42" s="52">
        <f>'Résultats observations'!C42</f>
        <v>203.6</v>
      </c>
      <c r="D42" s="48">
        <f t="shared" si="2"/>
        <v>-21.992766101980976</v>
      </c>
      <c r="E42" s="47">
        <f t="shared" si="3"/>
        <v>-19.759607144915314</v>
      </c>
      <c r="F42" s="47">
        <f t="shared" si="4"/>
        <v>-17.396288143199712</v>
      </c>
      <c r="G42" s="48">
        <f t="shared" si="5"/>
        <v>-7.3539020501343089</v>
      </c>
      <c r="H42" s="47">
        <f t="shared" si="6"/>
        <v>-14.669607930228423</v>
      </c>
      <c r="I42" s="48">
        <f t="shared" si="7"/>
        <v>-19.169753564949765</v>
      </c>
      <c r="J42" s="48">
        <f t="shared" si="8"/>
        <v>-15.990447169558664</v>
      </c>
      <c r="K42" s="47">
        <f t="shared" si="9"/>
        <v>-17.20324717191879</v>
      </c>
      <c r="L42" s="48">
        <f t="shared" si="10"/>
        <v>-19.900099916199565</v>
      </c>
      <c r="R42" s="47">
        <f t="shared" ref="R42" si="165">IF(AND(D42&lt;&gt;"",D41&lt;&gt;""),(D42-D41)/($B42-$B41),"")</f>
        <v>-4.5236761696543226E-2</v>
      </c>
      <c r="S42" s="47">
        <f t="shared" ref="S42" si="166">IF(AND(E42&lt;&gt;"",E41&lt;&gt;""),(E42-E41)/($B42-$B41),"")</f>
        <v>-1.6458632907667692E-2</v>
      </c>
      <c r="T42" s="47">
        <f t="shared" ref="T42" si="167">IF(AND(F42&lt;&gt;"",F41&lt;&gt;""),(F42-F41)/($B42-$B41),"")</f>
        <v>-6.7637816761001446E-2</v>
      </c>
      <c r="U42" s="47">
        <f t="shared" ref="U42" si="168">IF(AND(G42&lt;&gt;"",G41&lt;&gt;""),(G42-G41)/($B42-$B41),"")</f>
        <v>5.3534995587245504E-2</v>
      </c>
      <c r="V42" s="47">
        <f t="shared" ref="V42" si="169">IF(AND(H42&lt;&gt;"",H41&lt;&gt;""),(H42-H41)/($B42-$B41),"")</f>
        <v>-1.6475070775401335E-2</v>
      </c>
      <c r="W42" s="47">
        <f t="shared" ref="W42" si="170">IF(AND(I42&lt;&gt;"",I41&lt;&gt;""),(I42-I41)/($B42-$B41),"")</f>
        <v>-1.7109247093083368E-2</v>
      </c>
      <c r="X42" s="47">
        <f t="shared" ref="X42" si="171">IF(AND(J42&lt;&gt;"",J41&lt;&gt;""),(J42-J41)/($B42-$B41),"")</f>
        <v>3.1631700949219521E-2</v>
      </c>
      <c r="Y42" s="47">
        <f t="shared" ref="Y42" si="172">IF(AND(K42&lt;&gt;"",K41&lt;&gt;""),(K42-K41)/($B42-$B41),"")</f>
        <v>3.6498963181141875E-2</v>
      </c>
      <c r="Z42" s="47">
        <f t="shared" ref="Z42" si="173">IF(AND(L42&lt;&gt;"",L41&lt;&gt;""),(L42-L41)/($B42-$B41),"")</f>
        <v>3.5408003022485701E-2</v>
      </c>
    </row>
    <row r="43" spans="1:26" ht="20.100000000000001" customHeight="1" x14ac:dyDescent="0.2">
      <c r="A43" s="50">
        <f t="shared" si="0"/>
        <v>128</v>
      </c>
      <c r="B43" s="51">
        <f t="shared" si="1"/>
        <v>43727</v>
      </c>
      <c r="C43" s="52">
        <f>'Résultats observations'!C43</f>
        <v>206.32</v>
      </c>
      <c r="D43" s="48">
        <f t="shared" si="2"/>
        <v>-21.688551855206128</v>
      </c>
      <c r="E43" s="47">
        <f t="shared" si="3"/>
        <v>-19.585617033125224</v>
      </c>
      <c r="F43" s="47"/>
      <c r="G43" s="48">
        <f t="shared" si="5"/>
        <v>-7.6130059483427992</v>
      </c>
      <c r="H43" s="47">
        <f t="shared" si="6"/>
        <v>-15.183414257838201</v>
      </c>
      <c r="I43" s="48">
        <f t="shared" si="7"/>
        <v>-19.764488907140887</v>
      </c>
      <c r="J43" s="48"/>
      <c r="K43" s="47">
        <f t="shared" si="9"/>
        <v>-17.26107297116819</v>
      </c>
      <c r="L43" s="48">
        <f t="shared" si="10"/>
        <v>-19.748826928947416</v>
      </c>
      <c r="R43" s="47">
        <f t="shared" ref="R43:R44" si="174">IF(AND(D43&lt;&gt;"",D42&lt;&gt;""),(D43-D42)/($B43-$B42),"")</f>
        <v>0.10140474892494922</v>
      </c>
      <c r="S43" s="47">
        <f t="shared" ref="S43:S44" si="175">IF(AND(E43&lt;&gt;"",E42&lt;&gt;""),(E43-E42)/($B43-$B42),"")</f>
        <v>5.799670393002998E-2</v>
      </c>
      <c r="T43" s="47" t="str">
        <f t="shared" ref="T43:T44" si="176">IF(AND(F43&lt;&gt;"",F42&lt;&gt;""),(F43-F42)/($B43-$B42),"")</f>
        <v/>
      </c>
      <c r="U43" s="47">
        <f t="shared" ref="U43:U44" si="177">IF(AND(G43&lt;&gt;"",G42&lt;&gt;""),(G43-G42)/($B43-$B42),"")</f>
        <v>-8.6367966069496774E-2</v>
      </c>
      <c r="V43" s="47">
        <f t="shared" ref="V43:V44" si="178">IF(AND(H43&lt;&gt;"",H42&lt;&gt;""),(H43-H42)/($B43-$B42),"")</f>
        <v>-0.17126877586992606</v>
      </c>
      <c r="W43" s="47">
        <f t="shared" ref="W43:W44" si="179">IF(AND(I43&lt;&gt;"",I42&lt;&gt;""),(I43-I42)/($B43-$B42),"")</f>
        <v>-0.19824511406370723</v>
      </c>
      <c r="X43" s="47" t="str">
        <f t="shared" ref="X43:X44" si="180">IF(AND(J43&lt;&gt;"",J42&lt;&gt;""),(J43-J42)/($B43-$B42),"")</f>
        <v/>
      </c>
      <c r="Y43" s="47">
        <f t="shared" ref="Y43:Y44" si="181">IF(AND(K43&lt;&gt;"",K42&lt;&gt;""),(K43-K42)/($B43-$B42),"")</f>
        <v>-1.9275266416466746E-2</v>
      </c>
      <c r="Z43" s="47">
        <f t="shared" ref="Z43:Z44" si="182">IF(AND(L43&lt;&gt;"",L42&lt;&gt;""),(L43-L42)/($B43-$B42),"")</f>
        <v>5.0424329084049667E-2</v>
      </c>
    </row>
    <row r="44" spans="1:26" ht="20.100000000000001" customHeight="1" x14ac:dyDescent="0.2">
      <c r="A44" s="50">
        <f t="shared" si="0"/>
        <v>132</v>
      </c>
      <c r="B44" s="51">
        <f t="shared" si="1"/>
        <v>43731</v>
      </c>
      <c r="C44" s="52">
        <f>'Résultats observations'!C44</f>
        <v>206.32</v>
      </c>
      <c r="D44" s="48">
        <f t="shared" si="2"/>
        <v>-21.925994145593819</v>
      </c>
      <c r="E44" s="47">
        <f t="shared" si="3"/>
        <v>-19.458659461138339</v>
      </c>
      <c r="F44" s="47">
        <f t="shared" si="4"/>
        <v>-17.16713478631382</v>
      </c>
      <c r="G44" s="48">
        <f t="shared" si="5"/>
        <v>-7.4668469462326748</v>
      </c>
      <c r="H44" s="47">
        <f t="shared" si="6"/>
        <v>-14.994851035833534</v>
      </c>
      <c r="I44" s="48">
        <f t="shared" si="7"/>
        <v>-19.468107872081752</v>
      </c>
      <c r="J44" s="48">
        <f t="shared" si="8"/>
        <v>-15.495843432153045</v>
      </c>
      <c r="K44" s="47">
        <f t="shared" si="9"/>
        <v>-16.714394462955084</v>
      </c>
      <c r="L44" s="48">
        <f t="shared" si="10"/>
        <v>-19.958995489267828</v>
      </c>
      <c r="R44" s="47">
        <f t="shared" si="174"/>
        <v>-5.9360572596922623E-2</v>
      </c>
      <c r="S44" s="47">
        <f t="shared" si="175"/>
        <v>3.173939299672135E-2</v>
      </c>
      <c r="T44" s="47" t="str">
        <f t="shared" si="176"/>
        <v/>
      </c>
      <c r="U44" s="47">
        <f t="shared" si="177"/>
        <v>3.6539750527531112E-2</v>
      </c>
      <c r="V44" s="47">
        <f t="shared" si="178"/>
        <v>4.7140805501166838E-2</v>
      </c>
      <c r="W44" s="47">
        <f t="shared" si="179"/>
        <v>7.4095258764783622E-2</v>
      </c>
      <c r="X44" s="47" t="str">
        <f t="shared" si="180"/>
        <v/>
      </c>
      <c r="Y44" s="47">
        <f t="shared" si="181"/>
        <v>0.13666962705327634</v>
      </c>
      <c r="Z44" s="47">
        <f t="shared" si="182"/>
        <v>-5.2542140080102939E-2</v>
      </c>
    </row>
    <row r="45" spans="1:26" ht="20.100000000000001" customHeight="1" x14ac:dyDescent="0.2">
      <c r="A45" s="50">
        <f t="shared" si="0"/>
        <v>135</v>
      </c>
      <c r="B45" s="51">
        <f t="shared" si="1"/>
        <v>43734</v>
      </c>
      <c r="C45" s="52">
        <f>'Résultats observations'!C45</f>
        <v>206.32</v>
      </c>
      <c r="D45" s="48">
        <f t="shared" si="2"/>
        <v>-22.324226601667441</v>
      </c>
      <c r="E45" s="47">
        <f t="shared" si="3"/>
        <v>-20.132203922862857</v>
      </c>
      <c r="F45" s="47">
        <f t="shared" si="4"/>
        <v>-17.623000510635922</v>
      </c>
      <c r="G45" s="48">
        <f t="shared" si="5"/>
        <v>-7.598015253145185</v>
      </c>
      <c r="H45" s="47">
        <f t="shared" si="6"/>
        <v>-15.197790629157382</v>
      </c>
      <c r="I45" s="48">
        <f t="shared" si="7"/>
        <v>-19.583980360063258</v>
      </c>
      <c r="J45" s="48">
        <f t="shared" si="8"/>
        <v>-15.996712879553066</v>
      </c>
      <c r="K45" s="47">
        <f t="shared" si="9"/>
        <v>-17.293896073249826</v>
      </c>
      <c r="L45" s="48">
        <f t="shared" si="10"/>
        <v>-19.675736068536231</v>
      </c>
      <c r="R45" s="47">
        <f t="shared" ref="R45:R47" si="183">IF(AND(D45&lt;&gt;"",D44&lt;&gt;""),(D45-D44)/($B45-$B44),"")</f>
        <v>-0.13274415202454057</v>
      </c>
      <c r="S45" s="47">
        <f t="shared" ref="S45:S47" si="184">IF(AND(E45&lt;&gt;"",E44&lt;&gt;""),(E45-E44)/($B45-$B44),"")</f>
        <v>-0.22451482057483929</v>
      </c>
      <c r="T45" s="47">
        <f t="shared" ref="T45:T47" si="185">IF(AND(F45&lt;&gt;"",F44&lt;&gt;""),(F45-F44)/($B45-$B44),"")</f>
        <v>-0.15195524144070069</v>
      </c>
      <c r="U45" s="47">
        <f t="shared" ref="U45:U47" si="186">IF(AND(G45&lt;&gt;"",G44&lt;&gt;""),(G45-G44)/($B45-$B44),"")</f>
        <v>-4.3722768970836746E-2</v>
      </c>
      <c r="V45" s="47">
        <f t="shared" ref="V45:V47" si="187">IF(AND(H45&lt;&gt;"",H44&lt;&gt;""),(H45-H44)/($B45-$B44),"")</f>
        <v>-6.7646531107949201E-2</v>
      </c>
      <c r="W45" s="47">
        <f t="shared" ref="W45:W47" si="188">IF(AND(I45&lt;&gt;"",I44&lt;&gt;""),(I45-I44)/($B45-$B44),"")</f>
        <v>-3.8624162660501803E-2</v>
      </c>
      <c r="X45" s="47">
        <f t="shared" ref="X45:X47" si="189">IF(AND(J45&lt;&gt;"",J44&lt;&gt;""),(J45-J44)/($B45-$B44),"")</f>
        <v>-0.16695648246667361</v>
      </c>
      <c r="Y45" s="47">
        <f t="shared" ref="Y45:Y47" si="190">IF(AND(K45&lt;&gt;"",K44&lt;&gt;""),(K45-K44)/($B45-$B44),"")</f>
        <v>-0.19316720343158048</v>
      </c>
      <c r="Z45" s="47">
        <f t="shared" ref="Z45:Z47" si="191">IF(AND(L45&lt;&gt;"",L44&lt;&gt;""),(L45-L44)/($B45-$B44),"")</f>
        <v>9.4419806910532131E-2</v>
      </c>
    </row>
    <row r="46" spans="1:26" ht="20.100000000000001" customHeight="1" x14ac:dyDescent="0.2">
      <c r="A46" s="50">
        <f t="shared" si="0"/>
        <v>139</v>
      </c>
      <c r="B46" s="51">
        <f t="shared" si="1"/>
        <v>43738</v>
      </c>
      <c r="C46" s="52">
        <f>'Résultats observations'!C46</f>
        <v>206.32</v>
      </c>
      <c r="D46" s="48">
        <f t="shared" si="2"/>
        <v>-22.697256660304532</v>
      </c>
      <c r="E46" s="47">
        <f t="shared" si="3"/>
        <v>-20.555243924926359</v>
      </c>
      <c r="F46" s="47">
        <f t="shared" si="4"/>
        <v>-18.229056460409065</v>
      </c>
      <c r="G46" s="48">
        <f t="shared" si="5"/>
        <v>-7.6392286602851023</v>
      </c>
      <c r="H46" s="47">
        <f t="shared" si="6"/>
        <v>-15.258514446527371</v>
      </c>
      <c r="I46" s="48">
        <f t="shared" si="7"/>
        <v>-19.847030716723779</v>
      </c>
      <c r="J46" s="48">
        <f t="shared" si="8"/>
        <v>-16.565674268722574</v>
      </c>
      <c r="K46" s="47">
        <f t="shared" si="9"/>
        <v>-17.433440119621224</v>
      </c>
      <c r="L46" s="48">
        <f t="shared" si="10"/>
        <v>-20.082613810234129</v>
      </c>
      <c r="R46" s="47">
        <f t="shared" si="183"/>
        <v>-9.32575146592729E-2</v>
      </c>
      <c r="S46" s="47">
        <f t="shared" si="184"/>
        <v>-0.10576000051587542</v>
      </c>
      <c r="T46" s="47">
        <f t="shared" si="185"/>
        <v>-0.15151398744328581</v>
      </c>
      <c r="U46" s="47">
        <f t="shared" si="186"/>
        <v>-1.030335178497932E-2</v>
      </c>
      <c r="V46" s="47">
        <f t="shared" si="187"/>
        <v>-1.5180954342497444E-2</v>
      </c>
      <c r="W46" s="47">
        <f t="shared" si="188"/>
        <v>-6.5762589165130336E-2</v>
      </c>
      <c r="X46" s="47">
        <f t="shared" si="189"/>
        <v>-0.14224034729237722</v>
      </c>
      <c r="Y46" s="47">
        <f t="shared" si="190"/>
        <v>-3.4886011592849542E-2</v>
      </c>
      <c r="Z46" s="47">
        <f t="shared" si="191"/>
        <v>-0.10171943542447437</v>
      </c>
    </row>
    <row r="47" spans="1:26" ht="20.100000000000001" customHeight="1" x14ac:dyDescent="0.2">
      <c r="A47" s="50">
        <f t="shared" si="0"/>
        <v>142</v>
      </c>
      <c r="B47" s="51">
        <f t="shared" si="1"/>
        <v>43741</v>
      </c>
      <c r="C47" s="52">
        <f>'Résultats observations'!C47</f>
        <v>207.2</v>
      </c>
      <c r="D47" s="48">
        <f t="shared" si="2"/>
        <v>-22.803285887204261</v>
      </c>
      <c r="E47" s="47">
        <f t="shared" si="3"/>
        <v>-20.606629781129371</v>
      </c>
      <c r="F47" s="47">
        <f t="shared" si="4"/>
        <v>-18.041343193977877</v>
      </c>
      <c r="G47" s="48">
        <f t="shared" si="5"/>
        <v>-7.7254141148359601</v>
      </c>
      <c r="H47" s="47">
        <f t="shared" si="6"/>
        <v>-15.426158336578233</v>
      </c>
      <c r="I47" s="48">
        <f t="shared" si="7"/>
        <v>-20.074637866469125</v>
      </c>
      <c r="J47" s="48">
        <f t="shared" si="8"/>
        <v>-16.390122293046261</v>
      </c>
      <c r="K47" s="47">
        <f t="shared" si="9"/>
        <v>-17.38477390291493</v>
      </c>
      <c r="L47" s="48">
        <f t="shared" si="10"/>
        <v>-19.940010283364451</v>
      </c>
      <c r="R47" s="47">
        <f t="shared" si="183"/>
        <v>-3.5343075633242904E-2</v>
      </c>
      <c r="S47" s="47">
        <f t="shared" si="184"/>
        <v>-1.7128618734337426E-2</v>
      </c>
      <c r="T47" s="47">
        <f t="shared" si="185"/>
        <v>6.2571088810396233E-2</v>
      </c>
      <c r="U47" s="47">
        <f t="shared" si="186"/>
        <v>-2.8728484850285934E-2</v>
      </c>
      <c r="V47" s="47">
        <f t="shared" si="187"/>
        <v>-5.5881296683620484E-2</v>
      </c>
      <c r="W47" s="47">
        <f t="shared" si="188"/>
        <v>-7.5869049915115269E-2</v>
      </c>
      <c r="X47" s="47">
        <f t="shared" si="189"/>
        <v>5.8517325225437844E-2</v>
      </c>
      <c r="Y47" s="47">
        <f t="shared" si="190"/>
        <v>1.6222072235431522E-2</v>
      </c>
      <c r="Z47" s="47">
        <f t="shared" si="191"/>
        <v>4.7534508956559307E-2</v>
      </c>
    </row>
    <row r="48" spans="1:26" ht="20.100000000000001" customHeight="1" x14ac:dyDescent="0.2">
      <c r="A48" s="50">
        <f t="shared" si="0"/>
        <v>147</v>
      </c>
      <c r="B48" s="51">
        <f t="shared" si="1"/>
        <v>43746</v>
      </c>
      <c r="C48" s="52">
        <f>'Résultats observations'!C48</f>
        <v>208.3</v>
      </c>
      <c r="D48" s="48">
        <f t="shared" si="2"/>
        <v>-24.137220656538005</v>
      </c>
      <c r="E48" s="47">
        <f t="shared" si="3"/>
        <v>-21.656872513905689</v>
      </c>
      <c r="F48" s="47">
        <f t="shared" si="4"/>
        <v>-18.22558642797345</v>
      </c>
      <c r="G48" s="48">
        <f t="shared" si="5"/>
        <v>-8.2004387278589164</v>
      </c>
      <c r="H48" s="47">
        <f t="shared" si="6"/>
        <v>-16.266226659213956</v>
      </c>
      <c r="I48" s="48">
        <f t="shared" si="7"/>
        <v>-21.161513897273387</v>
      </c>
      <c r="J48" s="48">
        <f t="shared" si="8"/>
        <v>-16.832563078549967</v>
      </c>
      <c r="K48" s="47">
        <f t="shared" si="9"/>
        <v>-18.612494079542685</v>
      </c>
      <c r="L48" s="48">
        <f t="shared" si="10"/>
        <v>-21.15789543026203</v>
      </c>
      <c r="R48" s="47">
        <f t="shared" ref="R48" si="192">IF(AND(D48&lt;&gt;"",D47&lt;&gt;""),(D48-D47)/($B48-$B47),"")</f>
        <v>-0.26678695386674889</v>
      </c>
      <c r="S48" s="47">
        <f t="shared" ref="S48" si="193">IF(AND(E48&lt;&gt;"",E47&lt;&gt;""),(E48-E47)/($B48-$B47),"")</f>
        <v>-0.21004854655526373</v>
      </c>
      <c r="T48" s="47">
        <f t="shared" ref="T48" si="194">IF(AND(F48&lt;&gt;"",F47&lt;&gt;""),(F48-F47)/($B48-$B47),"")</f>
        <v>-3.6848646799114704E-2</v>
      </c>
      <c r="U48" s="47">
        <f t="shared" ref="U48" si="195">IF(AND(G48&lt;&gt;"",G47&lt;&gt;""),(G48-G47)/($B48-$B47),"")</f>
        <v>-9.5004922604591258E-2</v>
      </c>
      <c r="V48" s="47">
        <f t="shared" ref="V48" si="196">IF(AND(H48&lt;&gt;"",H47&lt;&gt;""),(H48-H47)/($B48-$B47),"")</f>
        <v>-0.16801366452714461</v>
      </c>
      <c r="W48" s="47">
        <f t="shared" ref="W48" si="197">IF(AND(I48&lt;&gt;"",I47&lt;&gt;""),(I48-I47)/($B48-$B47),"")</f>
        <v>-0.21737520616085249</v>
      </c>
      <c r="X48" s="47">
        <f t="shared" ref="X48" si="198">IF(AND(J48&lt;&gt;"",J47&lt;&gt;""),(J48-J47)/($B48-$B47),"")</f>
        <v>-8.8488157100741205E-2</v>
      </c>
      <c r="Y48" s="47">
        <f t="shared" ref="Y48" si="199">IF(AND(K48&lt;&gt;"",K47&lt;&gt;""),(K48-K47)/($B48-$B47),"")</f>
        <v>-0.24554403532555114</v>
      </c>
      <c r="Z48" s="47">
        <f t="shared" ref="Z48" si="200">IF(AND(L48&lt;&gt;"",L47&lt;&gt;""),(L48-L47)/($B48-$B47),"")</f>
        <v>-0.24357702937951586</v>
      </c>
    </row>
    <row r="49" spans="1:26" ht="20.100000000000001" customHeight="1" x14ac:dyDescent="0.2">
      <c r="A49" s="50">
        <f t="shared" si="0"/>
        <v>154</v>
      </c>
      <c r="B49" s="51">
        <f t="shared" si="1"/>
        <v>43753</v>
      </c>
      <c r="C49" s="52">
        <f>'Résultats observations'!C49</f>
        <v>211.5</v>
      </c>
      <c r="D49" s="48">
        <f t="shared" si="2"/>
        <v>-24.292363321151811</v>
      </c>
      <c r="E49" s="47">
        <f t="shared" si="3"/>
        <v>-21.681516267014977</v>
      </c>
      <c r="F49" s="47">
        <f t="shared" si="4"/>
        <v>-19.235668796127481</v>
      </c>
      <c r="G49" s="48">
        <f t="shared" si="5"/>
        <v>-8.2201597137898652</v>
      </c>
      <c r="H49" s="47">
        <f t="shared" si="6"/>
        <v>-16.180055185941455</v>
      </c>
      <c r="I49" s="48"/>
      <c r="J49" s="48">
        <f t="shared" si="8"/>
        <v>-17.788363920126393</v>
      </c>
      <c r="K49" s="47">
        <f t="shared" si="9"/>
        <v>-18.176358599207632</v>
      </c>
      <c r="L49" s="48"/>
      <c r="R49" s="47">
        <f t="shared" ref="R49:R55" si="201">IF(AND(D49&lt;&gt;"",D48&lt;&gt;""),(D49-D48)/($B49-$B48),"")</f>
        <v>-2.2163237801972206E-2</v>
      </c>
      <c r="S49" s="47">
        <f t="shared" ref="S49:S55" si="202">IF(AND(E49&lt;&gt;"",E48&lt;&gt;""),(E49-E48)/($B49-$B48),"")</f>
        <v>-3.5205361584697164E-3</v>
      </c>
      <c r="T49" s="47">
        <f t="shared" ref="T49:T55" si="203">IF(AND(F49&lt;&gt;"",F48&lt;&gt;""),(F49-F48)/($B49-$B48),"")</f>
        <v>-0.14429748116486149</v>
      </c>
      <c r="U49" s="47">
        <f t="shared" ref="U49:U55" si="204">IF(AND(G49&lt;&gt;"",G48&lt;&gt;""),(G49-G48)/($B49-$B48),"")</f>
        <v>-2.8172837044212634E-3</v>
      </c>
      <c r="V49" s="47">
        <f t="shared" ref="V49:V55" si="205">IF(AND(H49&lt;&gt;"",H48&lt;&gt;""),(H49-H48)/($B49-$B48),"")</f>
        <v>1.2310210467500074E-2</v>
      </c>
      <c r="W49" s="47" t="str">
        <f t="shared" ref="W49:W55" si="206">IF(AND(I49&lt;&gt;"",I48&lt;&gt;""),(I49-I48)/($B49-$B48),"")</f>
        <v/>
      </c>
      <c r="X49" s="47">
        <f t="shared" ref="X49:X55" si="207">IF(AND(J49&lt;&gt;"",J48&lt;&gt;""),(J49-J48)/($B49-$B48),"")</f>
        <v>-0.1365429773680609</v>
      </c>
      <c r="Y49" s="47">
        <f t="shared" ref="Y49:Y55" si="208">IF(AND(K49&lt;&gt;"",K48&lt;&gt;""),(K49-K48)/($B49-$B48),"")</f>
        <v>6.2305068619293379E-2</v>
      </c>
      <c r="Z49" s="47" t="str">
        <f t="shared" ref="Z49:Z55" si="209">IF(AND(L49&lt;&gt;"",L48&lt;&gt;""),(L49-L48)/($B49-$B48),"")</f>
        <v/>
      </c>
    </row>
    <row r="50" spans="1:26" ht="20.100000000000001" customHeight="1" x14ac:dyDescent="0.2">
      <c r="A50" s="50">
        <f t="shared" si="0"/>
        <v>157</v>
      </c>
      <c r="B50" s="51">
        <f t="shared" si="1"/>
        <v>43756</v>
      </c>
      <c r="C50" s="52">
        <f>'Résultats observations'!C50</f>
        <v>213.5</v>
      </c>
      <c r="D50" s="48">
        <f t="shared" si="2"/>
        <v>-24.05664474624114</v>
      </c>
      <c r="E50" s="47">
        <f t="shared" si="3"/>
        <v>-21.525482687022368</v>
      </c>
      <c r="F50" s="47">
        <f t="shared" si="4"/>
        <v>-18.833027489010057</v>
      </c>
      <c r="G50" s="48">
        <f t="shared" si="5"/>
        <v>-7.9587622870884722</v>
      </c>
      <c r="H50" s="47">
        <f t="shared" si="6"/>
        <v>-16.080946039691568</v>
      </c>
      <c r="I50" s="48">
        <f t="shared" si="7"/>
        <v>-20.972931006942197</v>
      </c>
      <c r="J50" s="48">
        <f t="shared" si="8"/>
        <v>-17.06682923820324</v>
      </c>
      <c r="K50" s="47">
        <f t="shared" si="9"/>
        <v>-17.928969917065274</v>
      </c>
      <c r="L50" s="48">
        <f t="shared" si="10"/>
        <v>-20.811690471427724</v>
      </c>
      <c r="R50" s="47">
        <f t="shared" si="201"/>
        <v>7.8572858303556828E-2</v>
      </c>
      <c r="S50" s="47">
        <f t="shared" si="202"/>
        <v>5.2011193330869787E-2</v>
      </c>
      <c r="T50" s="47">
        <f t="shared" si="203"/>
        <v>0.13421376903914131</v>
      </c>
      <c r="U50" s="47">
        <f t="shared" si="204"/>
        <v>8.7132475567130996E-2</v>
      </c>
      <c r="V50" s="47">
        <f t="shared" si="205"/>
        <v>3.3036382083295734E-2</v>
      </c>
      <c r="W50" s="47" t="str">
        <f t="shared" si="206"/>
        <v/>
      </c>
      <c r="X50" s="47">
        <f t="shared" si="207"/>
        <v>0.24051156064105092</v>
      </c>
      <c r="Y50" s="47">
        <f t="shared" si="208"/>
        <v>8.2462894047452551E-2</v>
      </c>
      <c r="Z50" s="47" t="str">
        <f t="shared" si="209"/>
        <v/>
      </c>
    </row>
    <row r="51" spans="1:26" ht="20.100000000000001" customHeight="1" x14ac:dyDescent="0.2">
      <c r="A51" s="50">
        <f t="shared" si="0"/>
        <v>161</v>
      </c>
      <c r="B51" s="51">
        <f t="shared" si="1"/>
        <v>43760</v>
      </c>
      <c r="C51" s="52">
        <f>'Résultats observations'!C51</f>
        <v>215</v>
      </c>
      <c r="D51" s="48">
        <f t="shared" si="2"/>
        <v>-24.616529316615399</v>
      </c>
      <c r="E51" s="47">
        <f t="shared" si="3"/>
        <v>-22.054319182745807</v>
      </c>
      <c r="F51" s="47"/>
      <c r="G51" s="48">
        <f t="shared" si="5"/>
        <v>-8.2896084254091562</v>
      </c>
      <c r="H51" s="47">
        <f t="shared" si="6"/>
        <v>-16.619777407653302</v>
      </c>
      <c r="I51" s="48">
        <f t="shared" si="7"/>
        <v>-21.65044243340386</v>
      </c>
      <c r="J51" s="48"/>
      <c r="K51" s="47">
        <f t="shared" si="9"/>
        <v>-18.550910166482026</v>
      </c>
      <c r="L51" s="48">
        <f t="shared" si="10"/>
        <v>-21.248992125439514</v>
      </c>
      <c r="R51" s="47">
        <f t="shared" si="201"/>
        <v>-0.13997114259356458</v>
      </c>
      <c r="S51" s="47">
        <f t="shared" si="202"/>
        <v>-0.13220912393085982</v>
      </c>
      <c r="T51" s="47" t="str">
        <f t="shared" si="203"/>
        <v/>
      </c>
      <c r="U51" s="47">
        <f t="shared" si="204"/>
        <v>-8.2711534580170998E-2</v>
      </c>
      <c r="V51" s="47">
        <f t="shared" si="205"/>
        <v>-0.13470784199043351</v>
      </c>
      <c r="W51" s="47">
        <f t="shared" si="206"/>
        <v>-0.16937785661541582</v>
      </c>
      <c r="X51" s="47" t="str">
        <f t="shared" si="207"/>
        <v/>
      </c>
      <c r="Y51" s="47">
        <f t="shared" si="208"/>
        <v>-0.15548506235418813</v>
      </c>
      <c r="Z51" s="47">
        <f t="shared" si="209"/>
        <v>-0.10932541350294755</v>
      </c>
    </row>
    <row r="52" spans="1:26" ht="20.100000000000001" customHeight="1" x14ac:dyDescent="0.2">
      <c r="A52" s="50">
        <f t="shared" si="0"/>
        <v>163</v>
      </c>
      <c r="B52" s="51">
        <f t="shared" si="1"/>
        <v>43762</v>
      </c>
      <c r="C52" s="52">
        <f>'Résultats observations'!C52</f>
        <v>215</v>
      </c>
      <c r="D52" s="48">
        <f t="shared" si="2"/>
        <v>-24.399238549746904</v>
      </c>
      <c r="E52" s="47">
        <f t="shared" si="3"/>
        <v>-22.090405832392968</v>
      </c>
      <c r="F52" s="47">
        <f t="shared" si="4"/>
        <v>-19.149188589818955</v>
      </c>
      <c r="G52" s="48">
        <f t="shared" si="5"/>
        <v>-8.0823537788119459</v>
      </c>
      <c r="H52" s="47">
        <f t="shared" si="6"/>
        <v>-16.248415894269286</v>
      </c>
      <c r="I52" s="48">
        <f t="shared" si="7"/>
        <v>-21.518914871758277</v>
      </c>
      <c r="J52" s="48">
        <f t="shared" si="8"/>
        <v>-17.343877690587206</v>
      </c>
      <c r="K52" s="47">
        <f t="shared" si="9"/>
        <v>-18.340523762272909</v>
      </c>
      <c r="L52" s="48">
        <f t="shared" si="10"/>
        <v>-21.065508478421258</v>
      </c>
      <c r="R52" s="47">
        <f t="shared" si="201"/>
        <v>0.10864538343424712</v>
      </c>
      <c r="S52" s="47">
        <f t="shared" si="202"/>
        <v>-1.8043324823580065E-2</v>
      </c>
      <c r="T52" s="47" t="str">
        <f t="shared" si="203"/>
        <v/>
      </c>
      <c r="U52" s="47">
        <f t="shared" si="204"/>
        <v>0.10362732329860513</v>
      </c>
      <c r="V52" s="47">
        <f t="shared" si="205"/>
        <v>0.18568075669200823</v>
      </c>
      <c r="W52" s="47">
        <f t="shared" si="206"/>
        <v>6.5763780822791773E-2</v>
      </c>
      <c r="X52" s="47" t="str">
        <f t="shared" si="207"/>
        <v/>
      </c>
      <c r="Y52" s="47">
        <f t="shared" si="208"/>
        <v>0.10519320210455874</v>
      </c>
      <c r="Z52" s="47">
        <f t="shared" si="209"/>
        <v>9.1741823509128295E-2</v>
      </c>
    </row>
    <row r="53" spans="1:26" ht="20.100000000000001" customHeight="1" x14ac:dyDescent="0.2">
      <c r="A53" s="50">
        <f t="shared" si="0"/>
        <v>167</v>
      </c>
      <c r="B53" s="51">
        <f t="shared" si="1"/>
        <v>43766</v>
      </c>
      <c r="C53" s="52">
        <f>'Résultats observations'!C53</f>
        <v>215.55</v>
      </c>
      <c r="D53" s="48">
        <f t="shared" si="2"/>
        <v>-24.752991922367684</v>
      </c>
      <c r="E53" s="47">
        <f t="shared" si="3"/>
        <v>-22.170852575917444</v>
      </c>
      <c r="F53" s="47">
        <f t="shared" si="4"/>
        <v>-19.099226491933408</v>
      </c>
      <c r="G53" s="48">
        <f t="shared" si="5"/>
        <v>-8.2065805537228087</v>
      </c>
      <c r="H53" s="47">
        <f t="shared" si="6"/>
        <v>-16.446529558096223</v>
      </c>
      <c r="I53" s="48">
        <f t="shared" si="7"/>
        <v>-21.656965137325734</v>
      </c>
      <c r="J53" s="48">
        <f t="shared" si="8"/>
        <v>-17.386454628543824</v>
      </c>
      <c r="K53" s="47">
        <f t="shared" si="9"/>
        <v>-18.382587613157142</v>
      </c>
      <c r="L53" s="48">
        <f t="shared" si="10"/>
        <v>-21.20810928362804</v>
      </c>
      <c r="R53" s="47">
        <f t="shared" si="201"/>
        <v>-8.8438343155194943E-2</v>
      </c>
      <c r="S53" s="47">
        <f t="shared" si="202"/>
        <v>-2.0111685881119001E-2</v>
      </c>
      <c r="T53" s="47">
        <f t="shared" si="203"/>
        <v>1.2490524471386877E-2</v>
      </c>
      <c r="U53" s="47">
        <f t="shared" si="204"/>
        <v>-3.105669372771569E-2</v>
      </c>
      <c r="V53" s="47">
        <f t="shared" si="205"/>
        <v>-4.9528415956734406E-2</v>
      </c>
      <c r="W53" s="47">
        <f t="shared" si="206"/>
        <v>-3.4512566391864397E-2</v>
      </c>
      <c r="X53" s="47">
        <f t="shared" si="207"/>
        <v>-1.0644234489154414E-2</v>
      </c>
      <c r="Y53" s="47">
        <f t="shared" si="208"/>
        <v>-1.0515962721058258E-2</v>
      </c>
      <c r="Z53" s="47">
        <f t="shared" si="209"/>
        <v>-3.5650201301695716E-2</v>
      </c>
    </row>
    <row r="54" spans="1:26" ht="20.100000000000001" customHeight="1" x14ac:dyDescent="0.2">
      <c r="A54" s="50">
        <f t="shared" si="0"/>
        <v>170</v>
      </c>
      <c r="B54" s="51">
        <f t="shared" si="1"/>
        <v>43769</v>
      </c>
      <c r="C54" s="52">
        <f>'Résultats observations'!C54</f>
        <v>216.89</v>
      </c>
      <c r="D54" s="48">
        <f t="shared" si="2"/>
        <v>-24.722547539608009</v>
      </c>
      <c r="E54" s="47">
        <f t="shared" si="3"/>
        <v>-22.094950539148783</v>
      </c>
      <c r="F54" s="47">
        <f t="shared" si="4"/>
        <v>-19.316538897101054</v>
      </c>
      <c r="G54" s="48">
        <f t="shared" si="5"/>
        <v>-8.1989927377850158</v>
      </c>
      <c r="H54" s="47">
        <f t="shared" si="6"/>
        <v>-16.644641347678402</v>
      </c>
      <c r="I54" s="48">
        <f t="shared" si="7"/>
        <v>-21.82268365395057</v>
      </c>
      <c r="J54" s="48">
        <f t="shared" si="8"/>
        <v>-17.344424762089083</v>
      </c>
      <c r="K54" s="47">
        <f t="shared" si="9"/>
        <v>-18.152556092752903</v>
      </c>
      <c r="L54" s="48">
        <f t="shared" si="10"/>
        <v>-21.024626620134157</v>
      </c>
      <c r="R54" s="47">
        <f t="shared" si="201"/>
        <v>1.014812758655855E-2</v>
      </c>
      <c r="S54" s="47">
        <f t="shared" si="202"/>
        <v>2.530067892288675E-2</v>
      </c>
      <c r="T54" s="47">
        <f t="shared" si="203"/>
        <v>-7.2437468389215567E-2</v>
      </c>
      <c r="U54" s="47">
        <f t="shared" si="204"/>
        <v>2.529271979264299E-3</v>
      </c>
      <c r="V54" s="47">
        <f t="shared" si="205"/>
        <v>-6.6037263194059406E-2</v>
      </c>
      <c r="W54" s="47">
        <f t="shared" si="206"/>
        <v>-5.5239505541611798E-2</v>
      </c>
      <c r="X54" s="47">
        <f t="shared" si="207"/>
        <v>1.4009955484913425E-2</v>
      </c>
      <c r="Y54" s="47">
        <f t="shared" si="208"/>
        <v>7.6677173468079715E-2</v>
      </c>
      <c r="Z54" s="47">
        <f t="shared" si="209"/>
        <v>6.116088783129451E-2</v>
      </c>
    </row>
    <row r="55" spans="1:26" ht="20.100000000000001" customHeight="1" x14ac:dyDescent="0.2">
      <c r="A55" s="50">
        <f t="shared" si="0"/>
        <v>175</v>
      </c>
      <c r="B55" s="51">
        <f t="shared" si="1"/>
        <v>43774</v>
      </c>
      <c r="C55" s="52">
        <f>'Résultats observations'!C55</f>
        <v>217.7</v>
      </c>
      <c r="D55" s="48">
        <f t="shared" si="2"/>
        <v>-25.003578218139033</v>
      </c>
      <c r="E55" s="47">
        <f t="shared" si="3"/>
        <v>-22.317047926397215</v>
      </c>
      <c r="F55" s="47">
        <f t="shared" si="4"/>
        <v>-19.123787271498216</v>
      </c>
      <c r="G55" s="48">
        <f t="shared" si="5"/>
        <v>-8.3232241022170861</v>
      </c>
      <c r="H55" s="47">
        <f t="shared" si="6"/>
        <v>-16.84258504267877</v>
      </c>
      <c r="I55" s="48"/>
      <c r="J55" s="48">
        <f t="shared" si="8"/>
        <v>-17.290633891095197</v>
      </c>
      <c r="K55" s="47">
        <f t="shared" si="9"/>
        <v>-18.369305040762285</v>
      </c>
      <c r="L55" s="48"/>
      <c r="R55" s="47">
        <f t="shared" si="201"/>
        <v>-5.6206135706204918E-2</v>
      </c>
      <c r="S55" s="47">
        <f t="shared" si="202"/>
        <v>-4.441947744968644E-2</v>
      </c>
      <c r="T55" s="47">
        <f t="shared" si="203"/>
        <v>3.8550325120567663E-2</v>
      </c>
      <c r="U55" s="47">
        <f t="shared" si="204"/>
        <v>-2.4846272886414056E-2</v>
      </c>
      <c r="V55" s="47">
        <f t="shared" si="205"/>
        <v>-3.9588739000073758E-2</v>
      </c>
      <c r="W55" s="47" t="str">
        <f t="shared" si="206"/>
        <v/>
      </c>
      <c r="X55" s="47">
        <f t="shared" si="207"/>
        <v>1.0758174198777226E-2</v>
      </c>
      <c r="Y55" s="47">
        <f t="shared" si="208"/>
        <v>-4.334978960187641E-2</v>
      </c>
      <c r="Z55" s="47" t="str">
        <f t="shared" si="209"/>
        <v/>
      </c>
    </row>
    <row r="56" spans="1:26" ht="20.100000000000001" customHeight="1" x14ac:dyDescent="0.2">
      <c r="A56" s="50">
        <f t="shared" si="0"/>
        <v>177</v>
      </c>
      <c r="B56" s="51">
        <f t="shared" si="1"/>
        <v>43776</v>
      </c>
      <c r="C56" s="52">
        <f>'Résultats observations'!C56</f>
        <v>218.7</v>
      </c>
      <c r="D56" s="48">
        <f t="shared" si="2"/>
        <v>-25.38251605888675</v>
      </c>
      <c r="E56" s="47">
        <f t="shared" si="3"/>
        <v>-22.565357123022878</v>
      </c>
      <c r="F56" s="47">
        <f t="shared" si="4"/>
        <v>-18.70657326640135</v>
      </c>
      <c r="G56" s="48">
        <f t="shared" si="5"/>
        <v>-8.6845172793128533</v>
      </c>
      <c r="H56" s="47">
        <f t="shared" si="6"/>
        <v>-17.208640280699683</v>
      </c>
      <c r="I56" s="48">
        <f t="shared" si="7"/>
        <v>-22.576372749631091</v>
      </c>
      <c r="J56" s="48">
        <f t="shared" si="8"/>
        <v>-17.157102726849338</v>
      </c>
      <c r="K56" s="47">
        <f t="shared" si="9"/>
        <v>-18.683694331208756</v>
      </c>
      <c r="L56" s="48">
        <f t="shared" si="10"/>
        <v>-21.51229766484164</v>
      </c>
      <c r="R56" s="47">
        <f t="shared" ref="R56:R58" si="210">IF(AND(D56&lt;&gt;"",D55&lt;&gt;""),(D56-D55)/($B56-$B55),"")</f>
        <v>-0.18946892037385865</v>
      </c>
      <c r="S56" s="47">
        <f t="shared" ref="S56:S58" si="211">IF(AND(E56&lt;&gt;"",E55&lt;&gt;""),(E56-E55)/($B56-$B55),"")</f>
        <v>-0.12415459831283115</v>
      </c>
      <c r="T56" s="47">
        <f t="shared" ref="T56:T58" si="212">IF(AND(F56&lt;&gt;"",F55&lt;&gt;""),(F56-F55)/($B56-$B55),"")</f>
        <v>0.20860700254843323</v>
      </c>
      <c r="U56" s="47">
        <f t="shared" ref="U56:U58" si="213">IF(AND(G56&lt;&gt;"",G55&lt;&gt;""),(G56-G55)/($B56-$B55),"")</f>
        <v>-0.18064658854788362</v>
      </c>
      <c r="V56" s="47">
        <f t="shared" ref="V56:V58" si="214">IF(AND(H56&lt;&gt;"",H55&lt;&gt;""),(H56-H55)/($B56-$B55),"")</f>
        <v>-0.18302761901045628</v>
      </c>
      <c r="W56" s="47" t="str">
        <f t="shared" ref="W56:W58" si="215">IF(AND(I56&lt;&gt;"",I55&lt;&gt;""),(I56-I55)/($B56-$B55),"")</f>
        <v/>
      </c>
      <c r="X56" s="47">
        <f t="shared" ref="X56:X58" si="216">IF(AND(J56&lt;&gt;"",J55&lt;&gt;""),(J56-J55)/($B56-$B55),"")</f>
        <v>6.6765582122929601E-2</v>
      </c>
      <c r="Y56" s="47">
        <f t="shared" ref="Y56:Y58" si="217">IF(AND(K56&lt;&gt;"",K55&lt;&gt;""),(K56-K55)/($B56-$B55),"")</f>
        <v>-0.15719464522323534</v>
      </c>
      <c r="Z56" s="47" t="str">
        <f t="shared" ref="Z56:Z58" si="218">IF(AND(L56&lt;&gt;"",L55&lt;&gt;""),(L56-L55)/($B56-$B55),"")</f>
        <v/>
      </c>
    </row>
    <row r="57" spans="1:26" ht="20.100000000000001" customHeight="1" x14ac:dyDescent="0.2">
      <c r="A57" s="50">
        <f t="shared" si="0"/>
        <v>182</v>
      </c>
      <c r="B57" s="51">
        <f t="shared" si="1"/>
        <v>43781</v>
      </c>
      <c r="C57" s="52">
        <f>'Résultats observations'!C57</f>
        <v>218.7</v>
      </c>
      <c r="D57" s="48">
        <f t="shared" si="2"/>
        <v>-25.301692062034142</v>
      </c>
      <c r="E57" s="47">
        <f t="shared" si="3"/>
        <v>-22.609099111124742</v>
      </c>
      <c r="F57" s="47">
        <f t="shared" si="4"/>
        <v>-19.56747435844175</v>
      </c>
      <c r="G57" s="48">
        <f t="shared" si="5"/>
        <v>-8.4055997343579492</v>
      </c>
      <c r="H57" s="47">
        <f t="shared" si="6"/>
        <v>-17.142323406333482</v>
      </c>
      <c r="I57" s="48">
        <f t="shared" si="7"/>
        <v>-22.44484480149822</v>
      </c>
      <c r="J57" s="48">
        <f t="shared" si="8"/>
        <v>-17.562678018670397</v>
      </c>
      <c r="K57" s="47">
        <f t="shared" si="9"/>
        <v>-18.550833324423976</v>
      </c>
      <c r="L57" s="48">
        <f t="shared" si="10"/>
        <v>-21.421040766021804</v>
      </c>
      <c r="R57" s="47">
        <f t="shared" si="210"/>
        <v>1.6164799370521621E-2</v>
      </c>
      <c r="S57" s="47">
        <f t="shared" si="211"/>
        <v>-8.7483976203728275E-3</v>
      </c>
      <c r="T57" s="47">
        <f t="shared" si="212"/>
        <v>-0.17218021840808007</v>
      </c>
      <c r="U57" s="47">
        <f t="shared" si="213"/>
        <v>5.5783508990980835E-2</v>
      </c>
      <c r="V57" s="47">
        <f t="shared" si="214"/>
        <v>1.3263374873240252E-2</v>
      </c>
      <c r="W57" s="47">
        <f t="shared" si="215"/>
        <v>2.6305589626574033E-2</v>
      </c>
      <c r="X57" s="47">
        <f t="shared" si="216"/>
        <v>-8.1115058364211734E-2</v>
      </c>
      <c r="Y57" s="47">
        <f t="shared" si="217"/>
        <v>2.6572201356955816E-2</v>
      </c>
      <c r="Z57" s="47">
        <f t="shared" si="218"/>
        <v>1.8251379763967179E-2</v>
      </c>
    </row>
    <row r="58" spans="1:26" ht="20.100000000000001" customHeight="1" x14ac:dyDescent="0.2">
      <c r="A58" s="50">
        <f t="shared" si="0"/>
        <v>184</v>
      </c>
      <c r="B58" s="51">
        <f t="shared" si="1"/>
        <v>43783</v>
      </c>
      <c r="C58" s="52">
        <f>'Résultats observations'!C58</f>
        <v>220.5</v>
      </c>
      <c r="D58" s="48">
        <f t="shared" si="2"/>
        <v>-25.780727384450586</v>
      </c>
      <c r="E58" s="47">
        <f t="shared" si="3"/>
        <v>-22.970018732415554</v>
      </c>
      <c r="F58" s="47">
        <f t="shared" si="4"/>
        <v>-19.811277306835962</v>
      </c>
      <c r="G58" s="48">
        <f t="shared" si="5"/>
        <v>-8.5595807025100612</v>
      </c>
      <c r="H58" s="47">
        <f t="shared" si="6"/>
        <v>-17.299428686344598</v>
      </c>
      <c r="I58" s="48">
        <f t="shared" si="7"/>
        <v>-22.720918769048026</v>
      </c>
      <c r="J58" s="48">
        <f t="shared" si="8"/>
        <v>-17.791494110715789</v>
      </c>
      <c r="K58" s="47">
        <f t="shared" si="9"/>
        <v>-18.738883344900259</v>
      </c>
      <c r="L58" s="48">
        <f t="shared" si="10"/>
        <v>-21.472386984616065</v>
      </c>
      <c r="R58" s="47">
        <f t="shared" si="210"/>
        <v>-0.23951766120822171</v>
      </c>
      <c r="S58" s="47">
        <f t="shared" si="211"/>
        <v>-0.18045981064540584</v>
      </c>
      <c r="T58" s="47">
        <f t="shared" si="212"/>
        <v>-0.12190147419710584</v>
      </c>
      <c r="U58" s="47">
        <f t="shared" si="213"/>
        <v>-7.6990484076056021E-2</v>
      </c>
      <c r="V58" s="47">
        <f t="shared" si="214"/>
        <v>-7.8552640005558061E-2</v>
      </c>
      <c r="W58" s="47">
        <f t="shared" si="215"/>
        <v>-0.13803698377490292</v>
      </c>
      <c r="X58" s="47">
        <f t="shared" si="216"/>
        <v>-0.11440804602269594</v>
      </c>
      <c r="Y58" s="47">
        <f t="shared" si="217"/>
        <v>-9.4025010238141249E-2</v>
      </c>
      <c r="Z58" s="47">
        <f t="shared" si="218"/>
        <v>-2.5673109297130736E-2</v>
      </c>
    </row>
    <row r="59" spans="1:26" ht="20.100000000000001" customHeight="1" x14ac:dyDescent="0.2">
      <c r="A59" s="50">
        <f t="shared" si="0"/>
        <v>188</v>
      </c>
      <c r="B59" s="51">
        <f t="shared" si="1"/>
        <v>43787</v>
      </c>
      <c r="C59" s="52">
        <f>'Résultats observations'!C59</f>
        <v>221.7</v>
      </c>
      <c r="D59" s="48">
        <f t="shared" si="2"/>
        <v>-25.51369694465766</v>
      </c>
      <c r="E59" s="47">
        <f t="shared" si="3"/>
        <v>-22.722506786789332</v>
      </c>
      <c r="F59" s="47">
        <f t="shared" si="4"/>
        <v>-19.764301111459215</v>
      </c>
      <c r="G59" s="48">
        <f t="shared" si="5"/>
        <v>-8.5633993729792302</v>
      </c>
      <c r="H59" s="47">
        <f t="shared" si="6"/>
        <v>-17.268937996888667</v>
      </c>
      <c r="I59" s="48">
        <f t="shared" si="7"/>
        <v>-22.907799341896684</v>
      </c>
      <c r="J59" s="48">
        <f t="shared" si="8"/>
        <v>-17.701339737142163</v>
      </c>
      <c r="K59" s="47">
        <f t="shared" si="9"/>
        <v>-18.375988375186836</v>
      </c>
      <c r="L59" s="48">
        <f t="shared" si="10"/>
        <v>-21.328811616747601</v>
      </c>
      <c r="R59" s="47">
        <f t="shared" ref="R59" si="219">IF(AND(D59&lt;&gt;"",D58&lt;&gt;""),(D59-D58)/($B59-$B58),"")</f>
        <v>6.6757609948231433E-2</v>
      </c>
      <c r="S59" s="47">
        <f t="shared" ref="S59" si="220">IF(AND(E59&lt;&gt;"",E58&lt;&gt;""),(E59-E58)/($B59-$B58),"")</f>
        <v>6.1877986406555507E-2</v>
      </c>
      <c r="T59" s="47">
        <f t="shared" ref="T59" si="221">IF(AND(F59&lt;&gt;"",F58&lt;&gt;""),(F59-F58)/($B59-$B58),"")</f>
        <v>1.1744048844186672E-2</v>
      </c>
      <c r="U59" s="47">
        <f t="shared" ref="U59" si="222">IF(AND(G59&lt;&gt;"",G58&lt;&gt;""),(G59-G58)/($B59-$B58),"")</f>
        <v>-9.5466761729223748E-4</v>
      </c>
      <c r="V59" s="47">
        <f t="shared" ref="V59" si="223">IF(AND(H59&lt;&gt;"",H58&lt;&gt;""),(H59-H58)/($B59-$B58),"")</f>
        <v>7.6226723639827298E-3</v>
      </c>
      <c r="W59" s="47">
        <f t="shared" ref="W59" si="224">IF(AND(I59&lt;&gt;"",I58&lt;&gt;""),(I59-I58)/($B59-$B58),"")</f>
        <v>-4.6720143212164444E-2</v>
      </c>
      <c r="X59" s="47">
        <f t="shared" ref="X59" si="225">IF(AND(J59&lt;&gt;"",J58&lt;&gt;""),(J59-J58)/($B59-$B58),"")</f>
        <v>2.2538593393406359E-2</v>
      </c>
      <c r="Y59" s="47">
        <f t="shared" ref="Y59" si="226">IF(AND(K59&lt;&gt;"",K58&lt;&gt;""),(K59-K58)/($B59-$B58),"")</f>
        <v>9.0723742428355791E-2</v>
      </c>
      <c r="Z59" s="47">
        <f t="shared" ref="Z59" si="227">IF(AND(L59&lt;&gt;"",L58&lt;&gt;""),(L59-L58)/($B59-$B58),"")</f>
        <v>3.5893841967116202E-2</v>
      </c>
    </row>
    <row r="60" spans="1:26" ht="20.100000000000001" customHeight="1" x14ac:dyDescent="0.2">
      <c r="A60" s="50">
        <f t="shared" si="0"/>
        <v>191</v>
      </c>
      <c r="B60" s="51">
        <f t="shared" si="1"/>
        <v>43790</v>
      </c>
      <c r="C60" s="52">
        <f>'Résultats observations'!C60</f>
        <v>222.9</v>
      </c>
      <c r="D60" s="48">
        <f t="shared" si="2"/>
        <v>-26.279032255166257</v>
      </c>
      <c r="E60" s="47">
        <f t="shared" si="3"/>
        <v>-23.349264685115223</v>
      </c>
      <c r="F60" s="47">
        <f t="shared" si="4"/>
        <v>-19.93873741631047</v>
      </c>
      <c r="G60" s="48">
        <f t="shared" si="5"/>
        <v>-8.7249980240953207</v>
      </c>
      <c r="H60" s="47">
        <f t="shared" si="6"/>
        <v>-17.634818854474155</v>
      </c>
      <c r="I60" s="48">
        <f t="shared" si="7"/>
        <v>-23.211540983278489</v>
      </c>
      <c r="J60" s="48">
        <f t="shared" si="8"/>
        <v>-17.919197303538859</v>
      </c>
      <c r="K60" s="47">
        <f t="shared" si="9"/>
        <v>-19.08865331439813</v>
      </c>
      <c r="L60" s="48">
        <f t="shared" si="10"/>
        <v>-21.77754357148487</v>
      </c>
      <c r="R60" s="47">
        <f t="shared" ref="R60" si="228">IF(AND(D60&lt;&gt;"",D59&lt;&gt;""),(D60-D59)/($B60-$B59),"")</f>
        <v>-0.25511177016953229</v>
      </c>
      <c r="S60" s="47">
        <f t="shared" ref="S60" si="229">IF(AND(E60&lt;&gt;"",E59&lt;&gt;""),(E60-E59)/($B60-$B59),"")</f>
        <v>-0.20891929944196383</v>
      </c>
      <c r="T60" s="47">
        <f t="shared" ref="T60" si="230">IF(AND(F60&lt;&gt;"",F59&lt;&gt;""),(F60-F59)/($B60-$B59),"")</f>
        <v>-5.8145434950418462E-2</v>
      </c>
      <c r="U60" s="47">
        <f t="shared" ref="U60" si="231">IF(AND(G60&lt;&gt;"",G59&lt;&gt;""),(G60-G59)/($B60-$B59),"")</f>
        <v>-5.3866217038696838E-2</v>
      </c>
      <c r="V60" s="47">
        <f t="shared" ref="V60" si="232">IF(AND(H60&lt;&gt;"",H59&lt;&gt;""),(H60-H59)/($B60-$B59),"")</f>
        <v>-0.12196028586182923</v>
      </c>
      <c r="W60" s="47">
        <f t="shared" ref="W60" si="233">IF(AND(I60&lt;&gt;"",I59&lt;&gt;""),(I60-I59)/($B60-$B59),"")</f>
        <v>-0.10124721379393502</v>
      </c>
      <c r="X60" s="47">
        <f t="shared" ref="X60" si="234">IF(AND(J60&lt;&gt;"",J59&lt;&gt;""),(J60-J59)/($B60-$B59),"")</f>
        <v>-7.2619188798898435E-2</v>
      </c>
      <c r="Y60" s="47">
        <f t="shared" ref="Y60" si="235">IF(AND(K60&lt;&gt;"",K59&lt;&gt;""),(K60-K59)/($B60-$B59),"")</f>
        <v>-0.23755497973709794</v>
      </c>
      <c r="Z60" s="47">
        <f t="shared" ref="Z60" si="236">IF(AND(L60&lt;&gt;"",L59&lt;&gt;""),(L60-L59)/($B60-$B59),"")</f>
        <v>-0.1495773182457564</v>
      </c>
    </row>
    <row r="61" spans="1:26" ht="20.100000000000001" customHeight="1" x14ac:dyDescent="0.2">
      <c r="A61" s="50">
        <f t="shared" si="0"/>
        <v>196</v>
      </c>
      <c r="B61" s="51">
        <f t="shared" si="1"/>
        <v>43795</v>
      </c>
      <c r="C61" s="52">
        <f>'Résultats observations'!C61</f>
        <v>222.9</v>
      </c>
      <c r="D61" s="48">
        <f t="shared" si="2"/>
        <v>-26.288028548798081</v>
      </c>
      <c r="E61" s="47">
        <f t="shared" si="3"/>
        <v>-23.316527840480106</v>
      </c>
      <c r="F61" s="47">
        <f t="shared" si="4"/>
        <v>-19.957053506367117</v>
      </c>
      <c r="G61" s="48">
        <f t="shared" si="5"/>
        <v>-8.7288167818622142</v>
      </c>
      <c r="H61" s="47">
        <f t="shared" si="6"/>
        <v>-17.502513062586544</v>
      </c>
      <c r="I61" s="48">
        <f t="shared" si="7"/>
        <v>-23.128687292355288</v>
      </c>
      <c r="J61" s="48">
        <f t="shared" si="8"/>
        <v>-18.020960851140799</v>
      </c>
      <c r="K61" s="47">
        <f t="shared" si="9"/>
        <v>-18.920329508411271</v>
      </c>
      <c r="L61" s="48">
        <f t="shared" si="10"/>
        <v>-21.887780367442211</v>
      </c>
      <c r="R61" s="47">
        <f t="shared" ref="R61" si="237">IF(AND(D61&lt;&gt;"",D60&lt;&gt;""),(D61-D60)/($B61-$B60),"")</f>
        <v>-1.7992587263648829E-3</v>
      </c>
      <c r="S61" s="47">
        <f t="shared" ref="S61" si="238">IF(AND(E61&lt;&gt;"",E60&lt;&gt;""),(E61-E60)/($B61-$B60),"")</f>
        <v>6.5473689270234559E-3</v>
      </c>
      <c r="T61" s="47">
        <f t="shared" ref="T61" si="239">IF(AND(F61&lt;&gt;"",F60&lt;&gt;""),(F61-F60)/($B61-$B60),"")</f>
        <v>-3.6632180113294055E-3</v>
      </c>
      <c r="U61" s="47">
        <f t="shared" ref="U61" si="240">IF(AND(G61&lt;&gt;"",G60&lt;&gt;""),(G61-G60)/($B61-$B60),"")</f>
        <v>-7.6375155337871092E-4</v>
      </c>
      <c r="V61" s="47">
        <f t="shared" ref="V61" si="241">IF(AND(H61&lt;&gt;"",H60&lt;&gt;""),(H61-H60)/($B61-$B60),"")</f>
        <v>2.6461158377522054E-2</v>
      </c>
      <c r="W61" s="47">
        <f t="shared" ref="W61" si="242">IF(AND(I61&lt;&gt;"",I60&lt;&gt;""),(I61-I60)/($B61-$B60),"")</f>
        <v>1.6570738184640277E-2</v>
      </c>
      <c r="X61" s="47">
        <f t="shared" ref="X61" si="243">IF(AND(J61&lt;&gt;"",J60&lt;&gt;""),(J61-J60)/($B61-$B60),"")</f>
        <v>-2.0352709520388146E-2</v>
      </c>
      <c r="Y61" s="47">
        <f t="shared" ref="Y61" si="244">IF(AND(K61&lt;&gt;"",K60&lt;&gt;""),(K61-K60)/($B61-$B60),"")</f>
        <v>3.3664761197371718E-2</v>
      </c>
      <c r="Z61" s="47">
        <f t="shared" ref="Z61" si="245">IF(AND(L61&lt;&gt;"",L60&lt;&gt;""),(L61-L60)/($B61-$B60),"")</f>
        <v>-2.2047359191468274E-2</v>
      </c>
    </row>
    <row r="62" spans="1:26" ht="20.100000000000001" customHeight="1" x14ac:dyDescent="0.2">
      <c r="A62" s="50">
        <f t="shared" si="0"/>
        <v>198</v>
      </c>
      <c r="B62" s="51">
        <f t="shared" si="1"/>
        <v>43797</v>
      </c>
      <c r="C62" s="52">
        <f>'Résultats observations'!C62</f>
        <v>222.9</v>
      </c>
      <c r="D62" s="48">
        <f t="shared" si="2"/>
        <v>-26.315401403851801</v>
      </c>
      <c r="E62" s="47">
        <f t="shared" si="3"/>
        <v>-23.247378682877518</v>
      </c>
      <c r="F62" s="47"/>
      <c r="G62" s="48">
        <f t="shared" si="5"/>
        <v>-8.8187978822640289</v>
      </c>
      <c r="H62" s="47">
        <f t="shared" si="6"/>
        <v>-17.639980457096804</v>
      </c>
      <c r="I62" s="48">
        <f t="shared" si="7"/>
        <v>-23.239218258855665</v>
      </c>
      <c r="J62" s="48"/>
      <c r="K62" s="47">
        <f t="shared" si="9"/>
        <v>-18.949261651879823</v>
      </c>
      <c r="L62" s="48">
        <f t="shared" si="10"/>
        <v>-21.868800802494981</v>
      </c>
      <c r="R62" s="47">
        <f t="shared" ref="R62:R63" si="246">IF(AND(D62&lt;&gt;"",D61&lt;&gt;""),(D62-D61)/($B62-$B61),"")</f>
        <v>-1.3686427526860001E-2</v>
      </c>
      <c r="S62" s="47">
        <f t="shared" ref="S62:S63" si="247">IF(AND(E62&lt;&gt;"",E61&lt;&gt;""),(E62-E61)/($B62-$B61),"")</f>
        <v>3.4574578801294109E-2</v>
      </c>
      <c r="T62" s="47" t="str">
        <f t="shared" ref="T62:T63" si="248">IF(AND(F62&lt;&gt;"",F61&lt;&gt;""),(F62-F61)/($B62-$B61),"")</f>
        <v/>
      </c>
      <c r="U62" s="47">
        <f t="shared" ref="U62:U63" si="249">IF(AND(G62&lt;&gt;"",G61&lt;&gt;""),(G62-G61)/($B62-$B61),"")</f>
        <v>-4.4990550200907364E-2</v>
      </c>
      <c r="V62" s="47">
        <f t="shared" ref="V62:V63" si="250">IF(AND(H62&lt;&gt;"",H61&lt;&gt;""),(H62-H61)/($B62-$B61),"")</f>
        <v>-6.8733697255130011E-2</v>
      </c>
      <c r="W62" s="47">
        <f t="shared" ref="W62:W63" si="251">IF(AND(I62&lt;&gt;"",I61&lt;&gt;""),(I62-I61)/($B62-$B61),"")</f>
        <v>-5.5265483250188652E-2</v>
      </c>
      <c r="X62" s="47" t="str">
        <f t="shared" ref="X62:X63" si="252">IF(AND(J62&lt;&gt;"",J61&lt;&gt;""),(J62-J61)/($B62-$B61),"")</f>
        <v/>
      </c>
      <c r="Y62" s="47">
        <f t="shared" ref="Y62:Y63" si="253">IF(AND(K62&lt;&gt;"",K61&lt;&gt;""),(K62-K61)/($B62-$B61),"")</f>
        <v>-1.4466071734275943E-2</v>
      </c>
      <c r="Z62" s="47">
        <f t="shared" ref="Z62:Z63" si="254">IF(AND(L62&lt;&gt;"",L61&lt;&gt;""),(L62-L61)/($B62-$B61),"")</f>
        <v>9.4897824736150937E-3</v>
      </c>
    </row>
    <row r="63" spans="1:26" ht="20.100000000000001" customHeight="1" x14ac:dyDescent="0.2">
      <c r="A63" s="50">
        <f t="shared" si="0"/>
        <v>202</v>
      </c>
      <c r="B63" s="51">
        <f t="shared" si="1"/>
        <v>43801</v>
      </c>
      <c r="C63" s="52">
        <f>'Résultats observations'!C63</f>
        <v>222.9</v>
      </c>
      <c r="D63" s="48">
        <f t="shared" si="2"/>
        <v>-25.775434379459838</v>
      </c>
      <c r="E63" s="47">
        <f t="shared" si="3"/>
        <v>-22.970784106245645</v>
      </c>
      <c r="F63" s="47">
        <f t="shared" si="4"/>
        <v>-19.787688077938625</v>
      </c>
      <c r="G63" s="48">
        <f t="shared" si="5"/>
        <v>-8.6945599085042069</v>
      </c>
      <c r="H63" s="47">
        <f t="shared" si="6"/>
        <v>-17.472015698166921</v>
      </c>
      <c r="I63" s="48">
        <f t="shared" si="7"/>
        <v>-22.976159864458445</v>
      </c>
      <c r="J63" s="48">
        <f t="shared" si="8"/>
        <v>-17.695917627111868</v>
      </c>
      <c r="K63" s="47">
        <f t="shared" si="9"/>
        <v>-18.369459912882746</v>
      </c>
      <c r="L63" s="48">
        <f t="shared" si="10"/>
        <v>-21.188147596327589</v>
      </c>
      <c r="R63" s="47">
        <f t="shared" si="246"/>
        <v>0.13499175609799074</v>
      </c>
      <c r="S63" s="47">
        <f t="shared" si="247"/>
        <v>6.9148644157968064E-2</v>
      </c>
      <c r="T63" s="47" t="str">
        <f t="shared" si="248"/>
        <v/>
      </c>
      <c r="U63" s="47">
        <f t="shared" si="249"/>
        <v>3.105949343995551E-2</v>
      </c>
      <c r="V63" s="47">
        <f t="shared" si="250"/>
        <v>4.1991189732470957E-2</v>
      </c>
      <c r="W63" s="47">
        <f t="shared" si="251"/>
        <v>6.5764598599304946E-2</v>
      </c>
      <c r="X63" s="47" t="str">
        <f t="shared" si="252"/>
        <v/>
      </c>
      <c r="Y63" s="47">
        <f t="shared" si="253"/>
        <v>0.14495043474926916</v>
      </c>
      <c r="Z63" s="47">
        <f t="shared" si="254"/>
        <v>0.170163301541848</v>
      </c>
    </row>
    <row r="64" spans="1:26" ht="20.100000000000001" customHeight="1" x14ac:dyDescent="0.2">
      <c r="A64" s="50">
        <f t="shared" si="0"/>
        <v>204</v>
      </c>
      <c r="B64" s="51">
        <f t="shared" si="1"/>
        <v>43803</v>
      </c>
      <c r="C64" s="52">
        <f>'Résultats observations'!C64</f>
        <v>222.9</v>
      </c>
      <c r="D64" s="48">
        <f t="shared" si="2"/>
        <v>-26.101725307340118</v>
      </c>
      <c r="E64" s="47">
        <f t="shared" si="3"/>
        <v>-23.415261617913963</v>
      </c>
      <c r="F64" s="47">
        <f t="shared" si="4"/>
        <v>-19.980449930466104</v>
      </c>
      <c r="G64" s="48">
        <f t="shared" si="5"/>
        <v>-8.9315861373111538</v>
      </c>
      <c r="H64" s="47">
        <f t="shared" si="6"/>
        <v>-17.898700345687857</v>
      </c>
      <c r="I64" s="48">
        <f t="shared" si="7"/>
        <v>-23.564130868936495</v>
      </c>
      <c r="J64" s="48">
        <f t="shared" si="8"/>
        <v>-18.020960900548388</v>
      </c>
      <c r="K64" s="47">
        <f t="shared" si="9"/>
        <v>-19.004376968199566</v>
      </c>
      <c r="L64" s="48">
        <f t="shared" si="10"/>
        <v>-20.098854186104909</v>
      </c>
      <c r="R64" s="47">
        <f t="shared" ref="R64:R65" si="255">IF(AND(D64&lt;&gt;"",D63&lt;&gt;""),(D64-D63)/($B64-$B63),"")</f>
        <v>-0.16314546394013973</v>
      </c>
      <c r="S64" s="47">
        <f t="shared" ref="S64:S65" si="256">IF(AND(E64&lt;&gt;"",E63&lt;&gt;""),(E64-E63)/($B64-$B63),"")</f>
        <v>-0.22223875583415875</v>
      </c>
      <c r="T64" s="47">
        <f t="shared" ref="T64:T65" si="257">IF(AND(F64&lt;&gt;"",F63&lt;&gt;""),(F64-F63)/($B64-$B63),"")</f>
        <v>-9.6380926263739397E-2</v>
      </c>
      <c r="U64" s="47">
        <f t="shared" ref="U64:U65" si="258">IF(AND(G64&lt;&gt;"",G63&lt;&gt;""),(G64-G63)/($B64-$B63),"")</f>
        <v>-0.11851311440347345</v>
      </c>
      <c r="V64" s="47">
        <f t="shared" ref="V64:V65" si="259">IF(AND(H64&lt;&gt;"",H63&lt;&gt;""),(H64-H63)/($B64-$B63),"")</f>
        <v>-0.21334232376046813</v>
      </c>
      <c r="W64" s="47">
        <f t="shared" ref="W64:W65" si="260">IF(AND(I64&lt;&gt;"",I63&lt;&gt;""),(I64-I63)/($B64-$B63),"")</f>
        <v>-0.29398550223902475</v>
      </c>
      <c r="X64" s="47">
        <f t="shared" ref="X64:X65" si="261">IF(AND(J64&lt;&gt;"",J63&lt;&gt;""),(J64-J63)/($B64-$B63),"")</f>
        <v>-0.16252163671826025</v>
      </c>
      <c r="Y64" s="47">
        <f t="shared" ref="Y64:Y65" si="262">IF(AND(K64&lt;&gt;"",K63&lt;&gt;""),(K64-K63)/($B64-$B63),"")</f>
        <v>-0.31745852765840965</v>
      </c>
      <c r="Z64" s="47">
        <f t="shared" ref="Z64:Z65" si="263">IF(AND(L64&lt;&gt;"",L63&lt;&gt;""),(L64-L63)/($B64-$B63),"")</f>
        <v>0.54464670511134017</v>
      </c>
    </row>
    <row r="65" spans="1:26" ht="20.100000000000001" customHeight="1" x14ac:dyDescent="0.2">
      <c r="A65" s="50">
        <f t="shared" si="0"/>
        <v>209</v>
      </c>
      <c r="B65" s="51">
        <f t="shared" si="1"/>
        <v>43808</v>
      </c>
      <c r="C65" s="52">
        <f>'Résultats observations'!C65</f>
        <v>222.9</v>
      </c>
      <c r="D65" s="48">
        <f t="shared" si="2"/>
        <v>-26.521493432761112</v>
      </c>
      <c r="E65" s="47">
        <f t="shared" si="3"/>
        <v>-23.513966860640778</v>
      </c>
      <c r="F65" s="47">
        <f t="shared" si="4"/>
        <v>-20.348675013682094</v>
      </c>
      <c r="G65" s="48">
        <f t="shared" si="5"/>
        <v>-8.8073410993030343</v>
      </c>
      <c r="H65" s="47">
        <f t="shared" si="6"/>
        <v>-17.923642076455693</v>
      </c>
      <c r="I65" s="48">
        <f t="shared" si="7"/>
        <v>-23.515270695396495</v>
      </c>
      <c r="J65" s="48">
        <f t="shared" si="8"/>
        <v>-18.148789062895077</v>
      </c>
      <c r="K65" s="47">
        <f t="shared" si="9"/>
        <v>-18.780945617981715</v>
      </c>
      <c r="L65" s="48">
        <f t="shared" si="10"/>
        <v>-21.735692109360549</v>
      </c>
      <c r="R65" s="47">
        <f t="shared" si="255"/>
        <v>-8.3953625084198791E-2</v>
      </c>
      <c r="S65" s="47">
        <f t="shared" si="256"/>
        <v>-1.9741048545363071E-2</v>
      </c>
      <c r="T65" s="47">
        <f t="shared" si="257"/>
        <v>-7.3645016643197891E-2</v>
      </c>
      <c r="U65" s="47">
        <f t="shared" si="258"/>
        <v>2.4849007601623896E-2</v>
      </c>
      <c r="V65" s="47">
        <f t="shared" si="259"/>
        <v>-4.9883461535671358E-3</v>
      </c>
      <c r="W65" s="47">
        <f t="shared" si="260"/>
        <v>9.7720347079999215E-3</v>
      </c>
      <c r="X65" s="47">
        <f t="shared" si="261"/>
        <v>-2.5565632469337629E-2</v>
      </c>
      <c r="Y65" s="47">
        <f t="shared" si="262"/>
        <v>4.4686270043570175E-2</v>
      </c>
      <c r="Z65" s="47">
        <f t="shared" si="263"/>
        <v>-0.32736758465112814</v>
      </c>
    </row>
    <row r="66" spans="1:26" ht="20.100000000000001" customHeight="1" x14ac:dyDescent="0.2">
      <c r="A66" s="50">
        <f t="shared" si="0"/>
        <v>212</v>
      </c>
      <c r="B66" s="51">
        <f t="shared" si="1"/>
        <v>43811</v>
      </c>
      <c r="C66" s="52">
        <f>'Résultats observations'!C66</f>
        <v>222.9</v>
      </c>
      <c r="D66" s="48">
        <f t="shared" si="2"/>
        <v>-26.627482513290168</v>
      </c>
      <c r="E66" s="47">
        <f t="shared" si="3"/>
        <v>-23.605100688777192</v>
      </c>
      <c r="F66" s="47">
        <f t="shared" si="4"/>
        <v>-20.332327666179761</v>
      </c>
      <c r="G66" s="48">
        <f t="shared" si="5"/>
        <v>-8.8035097989065392</v>
      </c>
      <c r="H66" s="47">
        <f t="shared" si="6"/>
        <v>-17.994779602068078</v>
      </c>
      <c r="I66" s="48">
        <f t="shared" si="7"/>
        <v>-23.680972032749992</v>
      </c>
      <c r="J66" s="48">
        <f t="shared" si="8"/>
        <v>-18.058240317071927</v>
      </c>
      <c r="K66" s="47">
        <f t="shared" si="9"/>
        <v>-18.8164013692802</v>
      </c>
      <c r="L66" s="48">
        <f t="shared" si="10"/>
        <v>-21.644435419954533</v>
      </c>
      <c r="R66" s="47">
        <f t="shared" ref="R66" si="264">IF(AND(D66&lt;&gt;"",D65&lt;&gt;""),(D66-D65)/($B66-$B65),"")</f>
        <v>-3.5329693509685477E-2</v>
      </c>
      <c r="S66" s="47">
        <f t="shared" ref="S66" si="265">IF(AND(E66&lt;&gt;"",E65&lt;&gt;""),(E66-E65)/($B66-$B65),"")</f>
        <v>-3.0377942712137933E-2</v>
      </c>
      <c r="T66" s="47">
        <f t="shared" ref="T66" si="266">IF(AND(F66&lt;&gt;"",F65&lt;&gt;""),(F66-F65)/($B66-$B65),"")</f>
        <v>5.4491158341107848E-3</v>
      </c>
      <c r="U66" s="47">
        <f t="shared" ref="U66" si="267">IF(AND(G66&lt;&gt;"",G65&lt;&gt;""),(G66-G65)/($B66-$B65),"")</f>
        <v>1.2771001321650506E-3</v>
      </c>
      <c r="V66" s="47">
        <f t="shared" ref="V66" si="268">IF(AND(H66&lt;&gt;"",H65&lt;&gt;""),(H66-H65)/($B66-$B65),"")</f>
        <v>-2.3712508537461947E-2</v>
      </c>
      <c r="W66" s="47">
        <f t="shared" ref="W66" si="269">IF(AND(I66&lt;&gt;"",I65&lt;&gt;""),(I66-I65)/($B66-$B65),"")</f>
        <v>-5.5233779117832192E-2</v>
      </c>
      <c r="X66" s="47">
        <f t="shared" ref="X66" si="270">IF(AND(J66&lt;&gt;"",J65&lt;&gt;""),(J66-J65)/($B66-$B65),"")</f>
        <v>3.0182915274383031E-2</v>
      </c>
      <c r="Y66" s="47">
        <f t="shared" ref="Y66" si="271">IF(AND(K66&lt;&gt;"",K65&lt;&gt;""),(K66-K65)/($B66-$B65),"")</f>
        <v>-1.1818583766161813E-2</v>
      </c>
      <c r="Z66" s="47">
        <f t="shared" ref="Z66" si="272">IF(AND(L66&lt;&gt;"",L65&lt;&gt;""),(L66-L65)/($B66-$B65),"")</f>
        <v>3.0418896468672092E-2</v>
      </c>
    </row>
    <row r="67" spans="1:26" ht="20.100000000000001" customHeight="1" x14ac:dyDescent="0.2">
      <c r="A67" s="50">
        <f t="shared" si="0"/>
        <v>216</v>
      </c>
      <c r="B67" s="51">
        <f t="shared" si="1"/>
        <v>43815</v>
      </c>
      <c r="C67" s="52">
        <f>'Résultats observations'!C67</f>
        <v>222.9</v>
      </c>
      <c r="D67" s="48">
        <f t="shared" si="2"/>
        <v>-26.595974513049292</v>
      </c>
      <c r="E67" s="47">
        <f t="shared" si="3"/>
        <v>-23.521858266110307</v>
      </c>
      <c r="F67" s="47"/>
      <c r="G67" s="48">
        <f t="shared" si="5"/>
        <v>-9.3150406553110798</v>
      </c>
      <c r="H67" s="47">
        <f t="shared" si="6"/>
        <v>-18.880231872726583</v>
      </c>
      <c r="I67" s="48">
        <f t="shared" si="7"/>
        <v>-24.594213690244615</v>
      </c>
      <c r="J67" s="48"/>
      <c r="K67" s="47">
        <f t="shared" si="9"/>
        <v>-19.314617165379744</v>
      </c>
      <c r="L67" s="48">
        <f t="shared" si="10"/>
        <v>-21.93994202537386</v>
      </c>
      <c r="R67" s="47">
        <f t="shared" ref="R67:R68" si="273">IF(AND(D67&lt;&gt;"",D66&lt;&gt;""),(D67-D66)/($B67-$B66),"")</f>
        <v>7.8770000602190748E-3</v>
      </c>
      <c r="S67" s="47">
        <f t="shared" ref="S67:S68" si="274">IF(AND(E67&lt;&gt;"",E66&lt;&gt;""),(E67-E66)/($B67-$B66),"")</f>
        <v>2.0810605666721216E-2</v>
      </c>
      <c r="T67" s="47" t="str">
        <f t="shared" ref="T67:T68" si="275">IF(AND(F67&lt;&gt;"",F66&lt;&gt;""),(F67-F66)/($B67-$B66),"")</f>
        <v/>
      </c>
      <c r="U67" s="47">
        <f t="shared" ref="U67:U68" si="276">IF(AND(G67&lt;&gt;"",G66&lt;&gt;""),(G67-G66)/($B67-$B66),"")</f>
        <v>-0.12788271410113516</v>
      </c>
      <c r="V67" s="47">
        <f t="shared" ref="V67:V68" si="277">IF(AND(H67&lt;&gt;"",H66&lt;&gt;""),(H67-H66)/($B67-$B66),"")</f>
        <v>-0.2213630676646261</v>
      </c>
      <c r="W67" s="47">
        <f t="shared" ref="W67:W68" si="278">IF(AND(I67&lt;&gt;"",I66&lt;&gt;""),(I67-I66)/($B67-$B66),"")</f>
        <v>-0.22831041437365585</v>
      </c>
      <c r="X67" s="47" t="str">
        <f t="shared" ref="X67:X68" si="279">IF(AND(J67&lt;&gt;"",J66&lt;&gt;""),(J67-J66)/($B67-$B66),"")</f>
        <v/>
      </c>
      <c r="Y67" s="47">
        <f t="shared" ref="Y67:Y68" si="280">IF(AND(K67&lt;&gt;"",K66&lt;&gt;""),(K67-K66)/($B67-$B66),"")</f>
        <v>-0.12455394902488592</v>
      </c>
      <c r="Z67" s="47">
        <f t="shared" ref="Z67:Z68" si="281">IF(AND(L67&lt;&gt;"",L66&lt;&gt;""),(L67-L66)/($B67-$B66),"")</f>
        <v>-7.3876651354831679E-2</v>
      </c>
    </row>
    <row r="68" spans="1:26" ht="20.100000000000001" customHeight="1" x14ac:dyDescent="0.2">
      <c r="A68" s="50">
        <f t="shared" si="0"/>
        <v>219</v>
      </c>
      <c r="B68" s="51">
        <f t="shared" si="1"/>
        <v>43818</v>
      </c>
      <c r="C68" s="52">
        <f>'Résultats observations'!C68</f>
        <v>222.9</v>
      </c>
      <c r="D68" s="48">
        <f t="shared" si="2"/>
        <v>-27.153471173232191</v>
      </c>
      <c r="E68" s="47">
        <f t="shared" si="3"/>
        <v>-23.812808371282301</v>
      </c>
      <c r="F68" s="47">
        <f t="shared" si="4"/>
        <v>-20.351681557290391</v>
      </c>
      <c r="G68" s="48">
        <f t="shared" si="5"/>
        <v>-8.4591391760091561</v>
      </c>
      <c r="H68" s="47">
        <f t="shared" si="6"/>
        <v>-17.923253265688111</v>
      </c>
      <c r="I68" s="48">
        <f t="shared" si="7"/>
        <v>-23.77699103891473</v>
      </c>
      <c r="J68" s="48">
        <f t="shared" si="8"/>
        <v>-17.605367694371488</v>
      </c>
      <c r="K68" s="47">
        <f t="shared" si="9"/>
        <v>-18.823006861490299</v>
      </c>
      <c r="L68" s="48">
        <f t="shared" si="10"/>
        <v>-22.231883914924921</v>
      </c>
      <c r="R68" s="47">
        <f t="shared" si="273"/>
        <v>-0.18583222006096634</v>
      </c>
      <c r="S68" s="47">
        <f t="shared" si="274"/>
        <v>-9.6983368390664751E-2</v>
      </c>
      <c r="T68" s="47" t="str">
        <f t="shared" si="275"/>
        <v/>
      </c>
      <c r="U68" s="47">
        <f t="shared" si="276"/>
        <v>0.28530049310064126</v>
      </c>
      <c r="V68" s="47">
        <f t="shared" si="277"/>
        <v>0.31899286901282409</v>
      </c>
      <c r="W68" s="47">
        <f t="shared" si="278"/>
        <v>0.27240755044329507</v>
      </c>
      <c r="X68" s="47" t="str">
        <f t="shared" si="279"/>
        <v/>
      </c>
      <c r="Y68" s="47">
        <f t="shared" si="280"/>
        <v>0.16387010129648161</v>
      </c>
      <c r="Z68" s="47">
        <f t="shared" si="281"/>
        <v>-9.7313963183687235E-2</v>
      </c>
    </row>
    <row r="69" spans="1:26" ht="20.100000000000001" customHeight="1" x14ac:dyDescent="0.2">
      <c r="A69" s="50">
        <f t="shared" si="0"/>
        <v>238</v>
      </c>
      <c r="B69" s="51">
        <f t="shared" si="1"/>
        <v>43837</v>
      </c>
      <c r="C69" s="52">
        <f>'Résultats observations'!C69</f>
        <v>222.9</v>
      </c>
      <c r="D69" s="48">
        <f t="shared" si="2"/>
        <v>-27.117702874400074</v>
      </c>
      <c r="E69" s="47">
        <f t="shared" si="3"/>
        <v>-24.100889884200782</v>
      </c>
      <c r="F69" s="47">
        <f t="shared" si="4"/>
        <v>-20.448370050676345</v>
      </c>
      <c r="G69" s="48">
        <f t="shared" si="5"/>
        <v>-9.1305001404675679</v>
      </c>
      <c r="H69" s="47">
        <f t="shared" si="6"/>
        <v>-18.385369280204955</v>
      </c>
      <c r="I69" s="48">
        <f t="shared" si="7"/>
        <v>-24.199061342371486</v>
      </c>
      <c r="J69" s="48">
        <f t="shared" si="8"/>
        <v>-18.197144320159175</v>
      </c>
      <c r="K69" s="47">
        <f t="shared" si="9"/>
        <v>-19.137082908232017</v>
      </c>
      <c r="L69" s="48">
        <f t="shared" si="10"/>
        <v>-21.966632483499282</v>
      </c>
      <c r="R69" s="47">
        <f t="shared" ref="R69:R72" si="282">IF(AND(D69&lt;&gt;"",D68&lt;&gt;""),(D69-D68)/($B69-$B68),"")</f>
        <v>1.8825420437956471E-3</v>
      </c>
      <c r="S69" s="47">
        <f t="shared" ref="S69:S72" si="283">IF(AND(E69&lt;&gt;"",E68&lt;&gt;""),(E69-E68)/($B69-$B68),"")</f>
        <v>-1.5162184890446372E-2</v>
      </c>
      <c r="T69" s="47">
        <f t="shared" ref="T69:T72" si="284">IF(AND(F69&lt;&gt;"",F68&lt;&gt;""),(F69-F68)/($B69-$B68),"")</f>
        <v>-5.0888680729449815E-3</v>
      </c>
      <c r="U69" s="47">
        <f t="shared" ref="U69:U72" si="285">IF(AND(G69&lt;&gt;"",G68&lt;&gt;""),(G69-G68)/($B69-$B68),"")</f>
        <v>-3.5334787603074305E-2</v>
      </c>
      <c r="V69" s="47">
        <f t="shared" ref="V69:V72" si="286">IF(AND(H69&lt;&gt;"",H68&lt;&gt;""),(H69-H68)/($B69-$B68),"")</f>
        <v>-2.4321895500886558E-2</v>
      </c>
      <c r="W69" s="47">
        <f t="shared" ref="W69:W72" si="287">IF(AND(I69&lt;&gt;"",I68&lt;&gt;""),(I69-I68)/($B69-$B68),"")</f>
        <v>-2.2214226497724018E-2</v>
      </c>
      <c r="X69" s="47">
        <f t="shared" ref="X69:X72" si="288">IF(AND(J69&lt;&gt;"",J68&lt;&gt;""),(J69-J68)/($B69-$B68),"")</f>
        <v>-3.1146138199351987E-2</v>
      </c>
      <c r="Y69" s="47">
        <f t="shared" ref="Y69:Y72" si="289">IF(AND(K69&lt;&gt;"",K68&lt;&gt;""),(K69-K68)/($B69-$B68),"")</f>
        <v>-1.6530318249564108E-2</v>
      </c>
      <c r="Z69" s="47">
        <f t="shared" ref="Z69:Z72" si="290">IF(AND(L69&lt;&gt;"",L68&lt;&gt;""),(L69-L68)/($B69-$B68),"")</f>
        <v>1.3960601653981018E-2</v>
      </c>
    </row>
    <row r="70" spans="1:26" ht="20.100000000000001" customHeight="1" x14ac:dyDescent="0.2">
      <c r="A70" s="50">
        <f t="shared" si="0"/>
        <v>244</v>
      </c>
      <c r="B70" s="51">
        <f t="shared" si="1"/>
        <v>43843</v>
      </c>
      <c r="C70" s="52">
        <f>'Résultats observations'!C70</f>
        <v>222.9</v>
      </c>
      <c r="D70" s="48">
        <f t="shared" si="2"/>
        <v>-27.242963313499402</v>
      </c>
      <c r="E70" s="47">
        <f t="shared" si="3"/>
        <v>-24.141417061615655</v>
      </c>
      <c r="F70" s="47">
        <f t="shared" si="4"/>
        <v>-21.316013963745828</v>
      </c>
      <c r="G70" s="48">
        <f t="shared" si="5"/>
        <v>-9.2166606347738878</v>
      </c>
      <c r="H70" s="47">
        <f t="shared" si="6"/>
        <v>-18.522455821932127</v>
      </c>
      <c r="I70" s="48">
        <f t="shared" si="7"/>
        <v>-24.392440900292911</v>
      </c>
      <c r="J70" s="48">
        <f t="shared" si="8"/>
        <v>-18.778228875674152</v>
      </c>
      <c r="K70" s="47">
        <f t="shared" si="9"/>
        <v>-18.949106769062141</v>
      </c>
      <c r="L70" s="48">
        <f t="shared" si="10"/>
        <v>-21.957140842530087</v>
      </c>
      <c r="R70" s="47">
        <f t="shared" si="282"/>
        <v>-2.0876739849888064E-2</v>
      </c>
      <c r="S70" s="47">
        <f t="shared" si="283"/>
        <v>-6.7545295691454994E-3</v>
      </c>
      <c r="T70" s="47">
        <f t="shared" si="284"/>
        <v>-0.14460731884491373</v>
      </c>
      <c r="U70" s="47">
        <f t="shared" si="285"/>
        <v>-1.4360082384386649E-2</v>
      </c>
      <c r="V70" s="47">
        <f t="shared" si="286"/>
        <v>-2.2847756954528602E-2</v>
      </c>
      <c r="W70" s="47">
        <f t="shared" si="287"/>
        <v>-3.2229926320237468E-2</v>
      </c>
      <c r="X70" s="47">
        <f t="shared" si="288"/>
        <v>-9.6847425919162802E-2</v>
      </c>
      <c r="Y70" s="47">
        <f t="shared" si="289"/>
        <v>3.1329356528312736E-2</v>
      </c>
      <c r="Z70" s="47">
        <f t="shared" si="290"/>
        <v>1.581940161532458E-3</v>
      </c>
    </row>
    <row r="71" spans="1:26" ht="20.100000000000001" customHeight="1" x14ac:dyDescent="0.2">
      <c r="A71" s="50">
        <f t="shared" si="0"/>
        <v>251</v>
      </c>
      <c r="B71" s="51">
        <f t="shared" si="1"/>
        <v>43850</v>
      </c>
      <c r="C71" s="52">
        <f>'Résultats observations'!C71</f>
        <v>222.9</v>
      </c>
      <c r="D71" s="48">
        <f t="shared" si="2"/>
        <v>-27.814000048149268</v>
      </c>
      <c r="E71" s="47">
        <f t="shared" si="3"/>
        <v>-24.556839033581745</v>
      </c>
      <c r="F71" s="47">
        <f t="shared" si="4"/>
        <v>-21.166386527397663</v>
      </c>
      <c r="G71" s="48">
        <f t="shared" si="5"/>
        <v>-9.2539716430768415</v>
      </c>
      <c r="H71" s="47">
        <f t="shared" si="6"/>
        <v>-18.684647672900567</v>
      </c>
      <c r="I71" s="48">
        <f t="shared" si="7"/>
        <v>-24.772508942069393</v>
      </c>
      <c r="J71" s="48">
        <f t="shared" si="8"/>
        <v>-18.777440164154946</v>
      </c>
      <c r="K71" s="47">
        <f t="shared" si="9"/>
        <v>-19.269868055360462</v>
      </c>
      <c r="L71" s="48">
        <f t="shared" si="10"/>
        <v>-22.323140026272448</v>
      </c>
      <c r="R71" s="47">
        <f t="shared" si="282"/>
        <v>-8.1576676378552246E-2</v>
      </c>
      <c r="S71" s="47">
        <f t="shared" si="283"/>
        <v>-5.9345995995155727E-2</v>
      </c>
      <c r="T71" s="47">
        <f t="shared" si="284"/>
        <v>2.1375348049737904E-2</v>
      </c>
      <c r="U71" s="47">
        <f t="shared" si="285"/>
        <v>-5.3301440432791071E-3</v>
      </c>
      <c r="V71" s="47">
        <f t="shared" si="286"/>
        <v>-2.317026442406294E-2</v>
      </c>
      <c r="W71" s="47">
        <f t="shared" si="287"/>
        <v>-5.4295434539497478E-2</v>
      </c>
      <c r="X71" s="47">
        <f t="shared" si="288"/>
        <v>1.1267307417231873E-4</v>
      </c>
      <c r="Y71" s="47">
        <f t="shared" si="289"/>
        <v>-4.5823040899760158E-2</v>
      </c>
      <c r="Z71" s="47">
        <f t="shared" si="290"/>
        <v>-5.2285597677480054E-2</v>
      </c>
    </row>
    <row r="72" spans="1:26" ht="20.100000000000001" customHeight="1" x14ac:dyDescent="0.2">
      <c r="A72" s="50">
        <f t="shared" si="0"/>
        <v>258</v>
      </c>
      <c r="B72" s="51">
        <f t="shared" si="1"/>
        <v>43857</v>
      </c>
      <c r="C72" s="52">
        <f>'Résultats observations'!C72</f>
        <v>222.9</v>
      </c>
      <c r="D72" s="48">
        <f t="shared" si="2"/>
        <v>-28.325672040240057</v>
      </c>
      <c r="E72" s="47">
        <f t="shared" si="3"/>
        <v>-25.099989979714188</v>
      </c>
      <c r="F72" s="47">
        <f t="shared" si="4"/>
        <v>-21.200068395476279</v>
      </c>
      <c r="G72" s="48">
        <f t="shared" si="5"/>
        <v>-9.2805009738716748</v>
      </c>
      <c r="H72" s="47"/>
      <c r="I72" s="48">
        <f t="shared" si="7"/>
        <v>-25.048509835121635</v>
      </c>
      <c r="J72" s="48">
        <f t="shared" si="8"/>
        <v>-18.782867638531542</v>
      </c>
      <c r="K72" s="47"/>
      <c r="L72" s="48">
        <f t="shared" si="10"/>
        <v>-22.587417029281021</v>
      </c>
      <c r="R72" s="47">
        <f t="shared" si="282"/>
        <v>-7.3095998870112824E-2</v>
      </c>
      <c r="S72" s="47">
        <f t="shared" si="283"/>
        <v>-7.7592992304634636E-2</v>
      </c>
      <c r="T72" s="47">
        <f t="shared" si="284"/>
        <v>-4.8116954398023737E-3</v>
      </c>
      <c r="U72" s="47">
        <f t="shared" si="285"/>
        <v>-3.7899043992619041E-3</v>
      </c>
      <c r="V72" s="47" t="str">
        <f t="shared" si="286"/>
        <v/>
      </c>
      <c r="W72" s="47">
        <f t="shared" si="287"/>
        <v>-3.9428699007463104E-2</v>
      </c>
      <c r="X72" s="47">
        <f t="shared" si="288"/>
        <v>-7.753534823708362E-4</v>
      </c>
      <c r="Y72" s="47" t="str">
        <f t="shared" si="289"/>
        <v/>
      </c>
      <c r="Z72" s="47">
        <f t="shared" si="290"/>
        <v>-3.775385757265326E-2</v>
      </c>
    </row>
    <row r="73" spans="1:26" ht="20.100000000000001" customHeight="1" x14ac:dyDescent="0.2">
      <c r="A73" s="50">
        <f t="shared" si="0"/>
        <v>266</v>
      </c>
      <c r="B73" s="51">
        <f t="shared" si="1"/>
        <v>43865</v>
      </c>
      <c r="C73" s="52">
        <f>'Résultats observations'!C73</f>
        <v>222.9</v>
      </c>
      <c r="D73" s="48">
        <f t="shared" si="2"/>
        <v>-28.702411993428711</v>
      </c>
      <c r="E73" s="47">
        <f t="shared" si="3"/>
        <v>-25.311613028394575</v>
      </c>
      <c r="F73" s="47"/>
      <c r="G73" s="48">
        <f t="shared" si="5"/>
        <v>-9.44204344788524</v>
      </c>
      <c r="H73" s="47"/>
      <c r="I73" s="48"/>
      <c r="J73" s="48"/>
      <c r="K73" s="47"/>
      <c r="L73" s="48"/>
      <c r="R73" s="47">
        <f t="shared" ref="R73:R75" si="291">IF(AND(D73&lt;&gt;"",D72&lt;&gt;""),(D73-D72)/($B73-$B72),"")</f>
        <v>-4.7092494148581743E-2</v>
      </c>
      <c r="S73" s="47">
        <f t="shared" ref="S73:S75" si="292">IF(AND(E73&lt;&gt;"",E72&lt;&gt;""),(E73-E72)/($B73-$B72),"")</f>
        <v>-2.6452881085048396E-2</v>
      </c>
      <c r="T73" s="47" t="str">
        <f t="shared" ref="T73:T75" si="293">IF(AND(F73&lt;&gt;"",F72&lt;&gt;""),(F73-F72)/($B73-$B72),"")</f>
        <v/>
      </c>
      <c r="U73" s="47">
        <f t="shared" ref="U73:U75" si="294">IF(AND(G73&lt;&gt;"",G72&lt;&gt;""),(G73-G72)/($B73-$B72),"")</f>
        <v>-2.0192809251695643E-2</v>
      </c>
      <c r="V73" s="47" t="str">
        <f t="shared" ref="V73:V75" si="295">IF(AND(H73&lt;&gt;"",H72&lt;&gt;""),(H73-H72)/($B73-$B72),"")</f>
        <v/>
      </c>
      <c r="W73" s="47" t="str">
        <f t="shared" ref="W73:W75" si="296">IF(AND(I73&lt;&gt;"",I72&lt;&gt;""),(I73-I72)/($B73-$B72),"")</f>
        <v/>
      </c>
      <c r="X73" s="47" t="str">
        <f t="shared" ref="X73:X75" si="297">IF(AND(J73&lt;&gt;"",J72&lt;&gt;""),(J73-J72)/($B73-$B72),"")</f>
        <v/>
      </c>
      <c r="Y73" s="47" t="str">
        <f t="shared" ref="Y73:Y75" si="298">IF(AND(K73&lt;&gt;"",K72&lt;&gt;""),(K73-K72)/($B73-$B72),"")</f>
        <v/>
      </c>
      <c r="Z73" s="47" t="str">
        <f t="shared" ref="Z73:Z75" si="299">IF(AND(L73&lt;&gt;"",L72&lt;&gt;""),(L73-L72)/($B73-$B72),"")</f>
        <v/>
      </c>
    </row>
    <row r="74" spans="1:26" ht="20.100000000000001" customHeight="1" x14ac:dyDescent="0.2">
      <c r="A74" s="50">
        <f t="shared" ref="A74:A120" si="300">jours</f>
        <v>268</v>
      </c>
      <c r="B74" s="51">
        <f t="shared" ref="B74:B120" si="301">date</f>
        <v>43867</v>
      </c>
      <c r="C74" s="52">
        <f>'Résultats observations'!C74</f>
        <v>222.9</v>
      </c>
      <c r="D74" s="48">
        <f t="shared" ref="D74:D120" si="302">Ecart_BG</f>
        <v>-28.263455699020668</v>
      </c>
      <c r="E74" s="47">
        <f t="shared" ref="E74:E89" si="303">Ecart_IG</f>
        <v>-24.990825906447078</v>
      </c>
      <c r="F74" s="47">
        <f t="shared" ref="F74" si="304">Ecart_HG</f>
        <v>-21.095056097766296</v>
      </c>
      <c r="G74" s="48">
        <f t="shared" ref="G74:G120" si="305">Ecart_HD</f>
        <v>-9.1553927521079714</v>
      </c>
      <c r="H74" s="47"/>
      <c r="I74" s="48">
        <f t="shared" ref="I74:I112" si="306">Ecart_BD</f>
        <v>-24.653444826000737</v>
      </c>
      <c r="J74" s="48">
        <f t="shared" ref="J74" si="307">Ecart_LH</f>
        <v>-18.48498889504846</v>
      </c>
      <c r="K74" s="47">
        <f t="shared" ref="K74:K89" si="308">Ecart_LI</f>
        <v>-19.036980567101125</v>
      </c>
      <c r="L74" s="48">
        <f t="shared" ref="L74:L112" si="309">Ecart_LB</f>
        <v>-21.883792574111105</v>
      </c>
      <c r="R74" s="47">
        <f t="shared" si="291"/>
        <v>0.21947814720402192</v>
      </c>
      <c r="S74" s="47">
        <f t="shared" si="292"/>
        <v>0.16039356097374835</v>
      </c>
      <c r="T74" s="47" t="str">
        <f t="shared" si="293"/>
        <v/>
      </c>
      <c r="U74" s="47">
        <f t="shared" si="294"/>
        <v>0.14332534788863427</v>
      </c>
      <c r="V74" s="47" t="str">
        <f t="shared" si="295"/>
        <v/>
      </c>
      <c r="W74" s="47" t="str">
        <f t="shared" si="296"/>
        <v/>
      </c>
      <c r="X74" s="47" t="str">
        <f t="shared" si="297"/>
        <v/>
      </c>
      <c r="Y74" s="47" t="str">
        <f t="shared" si="298"/>
        <v/>
      </c>
      <c r="Z74" s="47" t="str">
        <f t="shared" si="299"/>
        <v/>
      </c>
    </row>
    <row r="75" spans="1:26" ht="20.100000000000001" customHeight="1" x14ac:dyDescent="0.2">
      <c r="A75" s="50">
        <f t="shared" si="300"/>
        <v>279</v>
      </c>
      <c r="B75" s="51">
        <f t="shared" si="301"/>
        <v>43878</v>
      </c>
      <c r="C75" s="52">
        <f>'Résultats observations'!C75</f>
        <v>222.9</v>
      </c>
      <c r="D75" s="48">
        <f t="shared" si="302"/>
        <v>-28.64087490731837</v>
      </c>
      <c r="E75" s="47">
        <f t="shared" si="303"/>
        <v>-25.049364302708987</v>
      </c>
      <c r="F75" s="47"/>
      <c r="G75" s="48">
        <f t="shared" si="305"/>
        <v>-9.4566760131682415</v>
      </c>
      <c r="H75" s="47"/>
      <c r="I75" s="48"/>
      <c r="J75" s="48"/>
      <c r="K75" s="47">
        <f t="shared" si="308"/>
        <v>-19.44471251362323</v>
      </c>
      <c r="L75" s="48"/>
      <c r="R75" s="47">
        <f t="shared" si="291"/>
        <v>-3.4310837117972941E-2</v>
      </c>
      <c r="S75" s="47">
        <f t="shared" si="292"/>
        <v>-5.3216723874462768E-3</v>
      </c>
      <c r="T75" s="47" t="str">
        <f t="shared" si="293"/>
        <v/>
      </c>
      <c r="U75" s="47">
        <f t="shared" si="294"/>
        <v>-2.7389387369115458E-2</v>
      </c>
      <c r="V75" s="47" t="str">
        <f t="shared" si="295"/>
        <v/>
      </c>
      <c r="W75" s="47" t="str">
        <f t="shared" si="296"/>
        <v/>
      </c>
      <c r="X75" s="47" t="str">
        <f t="shared" si="297"/>
        <v/>
      </c>
      <c r="Y75" s="47">
        <f t="shared" si="298"/>
        <v>-3.7066540592918654E-2</v>
      </c>
      <c r="Z75" s="47" t="str">
        <f t="shared" si="299"/>
        <v/>
      </c>
    </row>
    <row r="76" spans="1:26" ht="20.100000000000001" customHeight="1" x14ac:dyDescent="0.2">
      <c r="A76" s="50">
        <f t="shared" si="300"/>
        <v>287</v>
      </c>
      <c r="B76" s="51">
        <f t="shared" si="301"/>
        <v>43886</v>
      </c>
      <c r="C76" s="52">
        <f>'Résultats observations'!C76</f>
        <v>222.9</v>
      </c>
      <c r="D76" s="48">
        <f t="shared" si="302"/>
        <v>-29.100601473408538</v>
      </c>
      <c r="E76" s="47">
        <f t="shared" si="303"/>
        <v>-25.588894846705124</v>
      </c>
      <c r="F76" s="47"/>
      <c r="G76" s="48">
        <f t="shared" si="305"/>
        <v>-9.6867058534817474</v>
      </c>
      <c r="H76" s="47"/>
      <c r="I76" s="48">
        <f t="shared" si="306"/>
        <v>-26.010061714025312</v>
      </c>
      <c r="J76" s="48"/>
      <c r="K76" s="47">
        <f t="shared" si="308"/>
        <v>-20.261308046226389</v>
      </c>
      <c r="L76" s="48">
        <f t="shared" si="309"/>
        <v>-23.317461871112499</v>
      </c>
      <c r="R76" s="47">
        <f t="shared" ref="R76:R77" si="310">IF(AND(D76&lt;&gt;"",D75&lt;&gt;""),(D76-D75)/($B76-$B75),"")</f>
        <v>-5.7465820761271047E-2</v>
      </c>
      <c r="S76" s="47">
        <f t="shared" ref="S76:S77" si="311">IF(AND(E76&lt;&gt;"",E75&lt;&gt;""),(E76-E75)/($B76-$B75),"")</f>
        <v>-6.7441317999517025E-2</v>
      </c>
      <c r="T76" s="47" t="str">
        <f t="shared" ref="T76:T77" si="312">IF(AND(F76&lt;&gt;"",F75&lt;&gt;""),(F76-F75)/($B76-$B75),"")</f>
        <v/>
      </c>
      <c r="U76" s="47">
        <f t="shared" ref="U76:U77" si="313">IF(AND(G76&lt;&gt;"",G75&lt;&gt;""),(G76-G75)/($B76-$B75),"")</f>
        <v>-2.8753730039188241E-2</v>
      </c>
      <c r="V76" s="47" t="str">
        <f t="shared" ref="V76:V77" si="314">IF(AND(H76&lt;&gt;"",H75&lt;&gt;""),(H76-H75)/($B76-$B75),"")</f>
        <v/>
      </c>
      <c r="W76" s="47" t="str">
        <f t="shared" ref="W76:W77" si="315">IF(AND(I76&lt;&gt;"",I75&lt;&gt;""),(I76-I75)/($B76-$B75),"")</f>
        <v/>
      </c>
      <c r="X76" s="47" t="str">
        <f t="shared" ref="X76:X77" si="316">IF(AND(J76&lt;&gt;"",J75&lt;&gt;""),(J76-J75)/($B76-$B75),"")</f>
        <v/>
      </c>
      <c r="Y76" s="47">
        <f t="shared" ref="Y76:Y77" si="317">IF(AND(K76&lt;&gt;"",K75&lt;&gt;""),(K76-K75)/($B76-$B75),"")</f>
        <v>-0.10207444157539491</v>
      </c>
      <c r="Z76" s="47" t="str">
        <f t="shared" ref="Z76:Z77" si="318">IF(AND(L76&lt;&gt;"",L75&lt;&gt;""),(L76-L75)/($B76-$B75),"")</f>
        <v/>
      </c>
    </row>
    <row r="77" spans="1:26" ht="20.100000000000001" customHeight="1" x14ac:dyDescent="0.2">
      <c r="A77" s="50">
        <f t="shared" si="300"/>
        <v>297</v>
      </c>
      <c r="B77" s="51">
        <f t="shared" si="301"/>
        <v>43896</v>
      </c>
      <c r="C77" s="52">
        <f>'Résultats observations'!C77</f>
        <v>222.9</v>
      </c>
      <c r="D77" s="48">
        <f t="shared" si="302"/>
        <v>-29.325937077305575</v>
      </c>
      <c r="E77" s="47">
        <f t="shared" si="303"/>
        <v>-25.916805609088378</v>
      </c>
      <c r="F77" s="47"/>
      <c r="G77" s="48">
        <f t="shared" si="305"/>
        <v>-9.8140029222171243</v>
      </c>
      <c r="H77" s="47"/>
      <c r="I77" s="48">
        <f t="shared" si="306"/>
        <v>-26.258588517239723</v>
      </c>
      <c r="J77" s="48"/>
      <c r="K77" s="47">
        <f t="shared" si="308"/>
        <v>-20.478138384596889</v>
      </c>
      <c r="L77" s="48">
        <f t="shared" si="309"/>
        <v>-23.307974728814074</v>
      </c>
      <c r="R77" s="47">
        <f t="shared" si="310"/>
        <v>-2.2533560389703666E-2</v>
      </c>
      <c r="S77" s="47">
        <f t="shared" si="311"/>
        <v>-3.2791076238325445E-2</v>
      </c>
      <c r="T77" s="47" t="str">
        <f t="shared" si="312"/>
        <v/>
      </c>
      <c r="U77" s="47">
        <f t="shared" si="313"/>
        <v>-1.2729706873537694E-2</v>
      </c>
      <c r="V77" s="47" t="str">
        <f t="shared" si="314"/>
        <v/>
      </c>
      <c r="W77" s="47">
        <f t="shared" si="315"/>
        <v>-2.4852680321441056E-2</v>
      </c>
      <c r="X77" s="47" t="str">
        <f t="shared" si="316"/>
        <v/>
      </c>
      <c r="Y77" s="47">
        <f t="shared" si="317"/>
        <v>-2.1683033837049948E-2</v>
      </c>
      <c r="Z77" s="47">
        <f t="shared" si="318"/>
        <v>9.4871422984255105E-4</v>
      </c>
    </row>
    <row r="78" spans="1:26" ht="20.100000000000001" customHeight="1" x14ac:dyDescent="0.2">
      <c r="A78" s="50">
        <f t="shared" si="300"/>
        <v>371</v>
      </c>
      <c r="B78" s="51">
        <f t="shared" si="301"/>
        <v>43970</v>
      </c>
      <c r="C78" s="52">
        <f>'Résultats observations'!C78</f>
        <v>222.9</v>
      </c>
      <c r="D78" s="48">
        <f t="shared" si="302"/>
        <v>-29.632069417149687</v>
      </c>
      <c r="E78" s="47">
        <f t="shared" si="303"/>
        <v>-25.753688070119019</v>
      </c>
      <c r="F78" s="47"/>
      <c r="G78" s="48">
        <f t="shared" si="305"/>
        <v>-9.6516133334199061</v>
      </c>
      <c r="H78" s="47"/>
      <c r="I78" s="48">
        <f t="shared" si="306"/>
        <v>-26.34505911854923</v>
      </c>
      <c r="J78" s="48"/>
      <c r="K78" s="47">
        <f t="shared" si="308"/>
        <v>-19.159223799155356</v>
      </c>
      <c r="L78" s="48">
        <f t="shared" si="309"/>
        <v>-22.51608481270484</v>
      </c>
      <c r="R78" s="47">
        <f t="shared" ref="R78" si="319">IF(AND(D78&lt;&gt;"",D77&lt;&gt;""),(D78-D77)/($B78-$B77),"")</f>
        <v>-4.1369235114069166E-3</v>
      </c>
      <c r="S78" s="47">
        <f t="shared" ref="S78" si="320">IF(AND(E78&lt;&gt;"",E77&lt;&gt;""),(E78-E77)/($B78-$B77),"")</f>
        <v>2.2042910671535073E-3</v>
      </c>
      <c r="T78" s="47" t="str">
        <f t="shared" ref="T78" si="321">IF(AND(F78&lt;&gt;"",F77&lt;&gt;""),(F78-F77)/($B78-$B77),"")</f>
        <v/>
      </c>
      <c r="U78" s="47">
        <f t="shared" ref="U78" si="322">IF(AND(G78&lt;&gt;"",G77&lt;&gt;""),(G78-G77)/($B78-$B77),"")</f>
        <v>2.1944539026651109E-3</v>
      </c>
      <c r="V78" s="47" t="str">
        <f t="shared" ref="V78" si="323">IF(AND(H78&lt;&gt;"",H77&lt;&gt;""),(H78-H77)/($B78-$B77),"")</f>
        <v/>
      </c>
      <c r="W78" s="47">
        <f t="shared" ref="W78" si="324">IF(AND(I78&lt;&gt;"",I77&lt;&gt;""),(I78-I77)/($B78-$B77),"")</f>
        <v>-1.1685216393176668E-3</v>
      </c>
      <c r="X78" s="47" t="str">
        <f t="shared" ref="X78" si="325">IF(AND(J78&lt;&gt;"",J77&lt;&gt;""),(J78-J77)/($B78-$B77),"")</f>
        <v/>
      </c>
      <c r="Y78" s="47">
        <f t="shared" ref="Y78" si="326">IF(AND(K78&lt;&gt;"",K77&lt;&gt;""),(K78-K77)/($B78-$B77),"")</f>
        <v>1.782317007353423E-2</v>
      </c>
      <c r="Z78" s="47">
        <f t="shared" ref="Z78" si="327">IF(AND(L78&lt;&gt;"",L77&lt;&gt;""),(L78-L77)/($B78-$B77),"")</f>
        <v>1.0701215082557218E-2</v>
      </c>
    </row>
    <row r="79" spans="1:26" ht="20.100000000000001" customHeight="1" x14ac:dyDescent="0.2">
      <c r="A79" s="50">
        <f t="shared" si="300"/>
        <v>378</v>
      </c>
      <c r="B79" s="51">
        <f t="shared" si="301"/>
        <v>43977</v>
      </c>
      <c r="C79" s="52">
        <f>'Résultats observations'!C79</f>
        <v>222.9</v>
      </c>
      <c r="D79" s="48">
        <f t="shared" si="302"/>
        <v>-31.266524853579725</v>
      </c>
      <c r="E79" s="47">
        <f t="shared" si="303"/>
        <v>-27.302439430934911</v>
      </c>
      <c r="F79" s="47"/>
      <c r="G79" s="48">
        <f t="shared" si="305"/>
        <v>-10.418952374385615</v>
      </c>
      <c r="H79" s="47"/>
      <c r="I79" s="48">
        <f t="shared" si="306"/>
        <v>-28.061674422192873</v>
      </c>
      <c r="J79" s="48"/>
      <c r="K79" s="47">
        <f t="shared" si="308"/>
        <v>-21.36540671744136</v>
      </c>
      <c r="L79" s="48">
        <f t="shared" si="309"/>
        <v>-24.54661608791131</v>
      </c>
      <c r="R79" s="47">
        <f t="shared" ref="R79:R82" si="328">IF(AND(D79&lt;&gt;"",D78&lt;&gt;""),(D79-D78)/($B79-$B78),"")</f>
        <v>-0.23349363377571969</v>
      </c>
      <c r="S79" s="47">
        <f t="shared" ref="S79:S82" si="329">IF(AND(E79&lt;&gt;"",E78&lt;&gt;""),(E79-E78)/($B79-$B78),"")</f>
        <v>-0.22125019440227028</v>
      </c>
      <c r="T79" s="47" t="str">
        <f t="shared" ref="T79:T82" si="330">IF(AND(F79&lt;&gt;"",F78&lt;&gt;""),(F79-F78)/($B79-$B78),"")</f>
        <v/>
      </c>
      <c r="U79" s="47">
        <f t="shared" ref="U79:U82" si="331">IF(AND(G79&lt;&gt;"",G78&lt;&gt;""),(G79-G78)/($B79-$B78),"")</f>
        <v>-0.10961986299510126</v>
      </c>
      <c r="V79" s="47" t="str">
        <f t="shared" ref="V79:V82" si="332">IF(AND(H79&lt;&gt;"",H78&lt;&gt;""),(H79-H78)/($B79-$B78),"")</f>
        <v/>
      </c>
      <c r="W79" s="47">
        <f t="shared" ref="W79:W82" si="333">IF(AND(I79&lt;&gt;"",I78&lt;&gt;""),(I79-I78)/($B79-$B78),"")</f>
        <v>-0.24523075766337751</v>
      </c>
      <c r="X79" s="47" t="str">
        <f t="shared" ref="X79:X82" si="334">IF(AND(J79&lt;&gt;"",J78&lt;&gt;""),(J79-J78)/($B79-$B78),"")</f>
        <v/>
      </c>
      <c r="Y79" s="47">
        <f t="shared" ref="Y79:Y82" si="335">IF(AND(K79&lt;&gt;"",K78&lt;&gt;""),(K79-K78)/($B79-$B78),"")</f>
        <v>-0.31516898832657197</v>
      </c>
      <c r="Z79" s="47">
        <f t="shared" ref="Z79:Z82" si="336">IF(AND(L79&lt;&gt;"",L78&lt;&gt;""),(L79-L78)/($B79-$B78),"")</f>
        <v>-0.29007589645806725</v>
      </c>
    </row>
    <row r="80" spans="1:26" ht="20.100000000000001" customHeight="1" x14ac:dyDescent="0.2">
      <c r="A80" s="50">
        <f t="shared" si="300"/>
        <v>385</v>
      </c>
      <c r="B80" s="51">
        <f t="shared" si="301"/>
        <v>43984</v>
      </c>
      <c r="C80" s="52">
        <f>'Résultats observations'!C80</f>
        <v>222.9</v>
      </c>
      <c r="D80" s="48">
        <f t="shared" si="302"/>
        <v>-30.80247130539604</v>
      </c>
      <c r="E80" s="47">
        <f t="shared" si="303"/>
        <v>-27.171203160010649</v>
      </c>
      <c r="F80" s="47"/>
      <c r="G80" s="48">
        <f t="shared" si="305"/>
        <v>-9.9257289341658783</v>
      </c>
      <c r="H80" s="47"/>
      <c r="I80" s="48">
        <f t="shared" si="306"/>
        <v>-27.078601385706058</v>
      </c>
      <c r="J80" s="48"/>
      <c r="K80" s="47">
        <f t="shared" si="308"/>
        <v>-20.672613580527965</v>
      </c>
      <c r="L80" s="48">
        <f t="shared" si="309"/>
        <v>-23.559811711559853</v>
      </c>
      <c r="R80" s="47">
        <f t="shared" si="328"/>
        <v>6.6293364026240711E-2</v>
      </c>
      <c r="S80" s="47">
        <f t="shared" si="329"/>
        <v>1.8748038703466006E-2</v>
      </c>
      <c r="T80" s="47" t="str">
        <f t="shared" si="330"/>
        <v/>
      </c>
      <c r="U80" s="47">
        <f t="shared" si="331"/>
        <v>7.0460491459962374E-2</v>
      </c>
      <c r="V80" s="47" t="str">
        <f t="shared" si="332"/>
        <v/>
      </c>
      <c r="W80" s="47">
        <f t="shared" si="333"/>
        <v>0.14043900521240207</v>
      </c>
      <c r="X80" s="47" t="str">
        <f t="shared" si="334"/>
        <v/>
      </c>
      <c r="Y80" s="47">
        <f t="shared" si="335"/>
        <v>9.8970448130484917E-2</v>
      </c>
      <c r="Z80" s="47">
        <f t="shared" si="336"/>
        <v>0.14097205376449398</v>
      </c>
    </row>
    <row r="81" spans="1:26" ht="20.100000000000001" customHeight="1" x14ac:dyDescent="0.2">
      <c r="A81" s="50">
        <f t="shared" si="300"/>
        <v>391</v>
      </c>
      <c r="B81" s="51">
        <f t="shared" si="301"/>
        <v>43990</v>
      </c>
      <c r="C81" s="52">
        <f>'Résultats observations'!C81</f>
        <v>222.9</v>
      </c>
      <c r="D81" s="48">
        <f t="shared" si="302"/>
        <v>-30.347605429192903</v>
      </c>
      <c r="E81" s="47">
        <f t="shared" si="303"/>
        <v>-26.795878707932097</v>
      </c>
      <c r="F81" s="47"/>
      <c r="G81" s="48">
        <f t="shared" si="305"/>
        <v>-10.144816756575192</v>
      </c>
      <c r="H81" s="47"/>
      <c r="I81" s="48">
        <f t="shared" si="306"/>
        <v>-27.508095120043485</v>
      </c>
      <c r="J81" s="48"/>
      <c r="K81" s="47">
        <f t="shared" si="308"/>
        <v>-20.723702742365901</v>
      </c>
      <c r="L81" s="48">
        <f t="shared" si="309"/>
        <v>-23.672950771996604</v>
      </c>
      <c r="R81" s="47">
        <f t="shared" si="328"/>
        <v>7.5810979367189432E-2</v>
      </c>
      <c r="S81" s="47">
        <f t="shared" si="329"/>
        <v>6.255407534642525E-2</v>
      </c>
      <c r="T81" s="47" t="str">
        <f t="shared" si="330"/>
        <v/>
      </c>
      <c r="U81" s="47">
        <f t="shared" si="331"/>
        <v>-3.6514637068219002E-2</v>
      </c>
      <c r="V81" s="47" t="str">
        <f t="shared" si="332"/>
        <v/>
      </c>
      <c r="W81" s="47">
        <f t="shared" si="333"/>
        <v>-7.1582289056237869E-2</v>
      </c>
      <c r="X81" s="47" t="str">
        <f t="shared" si="334"/>
        <v/>
      </c>
      <c r="Y81" s="47">
        <f t="shared" si="335"/>
        <v>-8.5148603063226833E-3</v>
      </c>
      <c r="Z81" s="47">
        <f t="shared" si="336"/>
        <v>-1.8856510072791838E-2</v>
      </c>
    </row>
    <row r="82" spans="1:26" ht="20.100000000000001" customHeight="1" x14ac:dyDescent="0.2">
      <c r="A82" s="50">
        <f t="shared" si="300"/>
        <v>398</v>
      </c>
      <c r="B82" s="51">
        <f t="shared" si="301"/>
        <v>43997</v>
      </c>
      <c r="C82" s="52">
        <f>'Résultats observations'!C82</f>
        <v>222.9</v>
      </c>
      <c r="D82" s="48">
        <f t="shared" si="302"/>
        <v>-30.829798983100787</v>
      </c>
      <c r="E82" s="47">
        <f t="shared" si="303"/>
        <v>-27.145721678906831</v>
      </c>
      <c r="F82" s="47"/>
      <c r="G82" s="48">
        <f t="shared" si="305"/>
        <v>-10.175176992872625</v>
      </c>
      <c r="H82" s="47"/>
      <c r="I82" s="48">
        <f t="shared" si="306"/>
        <v>-27.486848653127893</v>
      </c>
      <c r="J82" s="48"/>
      <c r="K82" s="47">
        <f t="shared" si="308"/>
        <v>-20.834103508420299</v>
      </c>
      <c r="L82" s="48">
        <f t="shared" si="309"/>
        <v>-23.876433265514585</v>
      </c>
      <c r="R82" s="47">
        <f t="shared" si="328"/>
        <v>-6.8884793415411955E-2</v>
      </c>
      <c r="S82" s="47">
        <f t="shared" si="329"/>
        <v>-4.9977567282104882E-2</v>
      </c>
      <c r="T82" s="47" t="str">
        <f t="shared" si="330"/>
        <v/>
      </c>
      <c r="U82" s="47">
        <f t="shared" si="331"/>
        <v>-4.3371766139190171E-3</v>
      </c>
      <c r="V82" s="47" t="str">
        <f t="shared" si="332"/>
        <v/>
      </c>
      <c r="W82" s="47">
        <f t="shared" si="333"/>
        <v>3.035209559370295E-3</v>
      </c>
      <c r="X82" s="47" t="str">
        <f t="shared" si="334"/>
        <v/>
      </c>
      <c r="Y82" s="47">
        <f t="shared" si="335"/>
        <v>-1.5771538007771011E-2</v>
      </c>
      <c r="Z82" s="47">
        <f t="shared" si="336"/>
        <v>-2.9068927645425902E-2</v>
      </c>
    </row>
    <row r="83" spans="1:26" ht="20.100000000000001" customHeight="1" x14ac:dyDescent="0.2">
      <c r="A83" s="50">
        <f t="shared" si="300"/>
        <v>405</v>
      </c>
      <c r="B83" s="51">
        <f t="shared" si="301"/>
        <v>44004</v>
      </c>
      <c r="C83" s="52">
        <f>'Résultats observations'!C83</f>
        <v>222.9</v>
      </c>
      <c r="D83" s="48">
        <f t="shared" si="302"/>
        <v>-30.520468736473738</v>
      </c>
      <c r="E83" s="47">
        <f t="shared" si="303"/>
        <v>-26.730279230688936</v>
      </c>
      <c r="F83" s="47"/>
      <c r="G83" s="48">
        <f t="shared" si="305"/>
        <v>-10.054787433740664</v>
      </c>
      <c r="H83" s="47"/>
      <c r="I83" s="48">
        <f t="shared" si="306"/>
        <v>-27.465841234215027</v>
      </c>
      <c r="J83" s="48"/>
      <c r="K83" s="47">
        <f t="shared" si="308"/>
        <v>-20.471203682163264</v>
      </c>
      <c r="L83" s="48">
        <f t="shared" si="309"/>
        <v>-23.591202594556826</v>
      </c>
      <c r="R83" s="47">
        <f t="shared" ref="R83:R85" si="337">IF(AND(D83&lt;&gt;"",D82&lt;&gt;""),(D83-D82)/($B83-$B82),"")</f>
        <v>4.4190035232435525E-2</v>
      </c>
      <c r="S83" s="47">
        <f t="shared" ref="S83:S85" si="338">IF(AND(E83&lt;&gt;"",E82&lt;&gt;""),(E83-E82)/($B83-$B82),"")</f>
        <v>5.9348921173985048E-2</v>
      </c>
      <c r="T83" s="47" t="str">
        <f t="shared" ref="T83:T85" si="339">IF(AND(F83&lt;&gt;"",F82&lt;&gt;""),(F83-F82)/($B83-$B82),"")</f>
        <v/>
      </c>
      <c r="U83" s="47">
        <f t="shared" ref="U83:U85" si="340">IF(AND(G83&lt;&gt;"",G82&lt;&gt;""),(G83-G82)/($B83-$B82),"")</f>
        <v>1.7198508447423069E-2</v>
      </c>
      <c r="V83" s="47" t="str">
        <f t="shared" ref="V83:V85" si="341">IF(AND(H83&lt;&gt;"",H82&lt;&gt;""),(H83-H82)/($B83-$B82),"")</f>
        <v/>
      </c>
      <c r="W83" s="47">
        <f t="shared" ref="W83:W85" si="342">IF(AND(I83&lt;&gt;"",I82&lt;&gt;""),(I83-I82)/($B83-$B82),"")</f>
        <v>3.0010598446951675E-3</v>
      </c>
      <c r="X83" s="47" t="str">
        <f t="shared" ref="X83:X85" si="343">IF(AND(J83&lt;&gt;"",J82&lt;&gt;""),(J83-J82)/($B83-$B82),"")</f>
        <v/>
      </c>
      <c r="Y83" s="47">
        <f t="shared" ref="Y83:Y85" si="344">IF(AND(K83&lt;&gt;"",K82&lt;&gt;""),(K83-K82)/($B83-$B82),"")</f>
        <v>5.184283232243355E-2</v>
      </c>
      <c r="Z83" s="47">
        <f t="shared" ref="Z83:Z85" si="345">IF(AND(L83&lt;&gt;"",L82&lt;&gt;""),(L83-L82)/($B83-$B82),"")</f>
        <v>4.0747238708251289E-2</v>
      </c>
    </row>
    <row r="84" spans="1:26" ht="20.100000000000001" customHeight="1" x14ac:dyDescent="0.2">
      <c r="A84" s="50">
        <f t="shared" si="300"/>
        <v>419</v>
      </c>
      <c r="B84" s="51">
        <f t="shared" si="301"/>
        <v>44018</v>
      </c>
      <c r="C84" s="52">
        <f>'Résultats observations'!C84</f>
        <v>222.9</v>
      </c>
      <c r="D84" s="48">
        <f t="shared" si="302"/>
        <v>-30.974304997086755</v>
      </c>
      <c r="E84" s="47">
        <f t="shared" si="303"/>
        <v>-27.572203265212814</v>
      </c>
      <c r="F84" s="47"/>
      <c r="G84" s="48">
        <f t="shared" si="305"/>
        <v>-10.26132849663286</v>
      </c>
      <c r="H84" s="47"/>
      <c r="I84" s="48">
        <f t="shared" si="306"/>
        <v>-27.990528758086164</v>
      </c>
      <c r="J84" s="48"/>
      <c r="K84" s="47">
        <f t="shared" si="308"/>
        <v>-21.135202646529905</v>
      </c>
      <c r="L84" s="48">
        <f t="shared" si="309"/>
        <v>-23.853514104195561</v>
      </c>
      <c r="R84" s="47">
        <f t="shared" si="337"/>
        <v>-3.2416875758072602E-2</v>
      </c>
      <c r="S84" s="47">
        <f t="shared" si="338"/>
        <v>-6.0137431037419829E-2</v>
      </c>
      <c r="T84" s="47" t="str">
        <f t="shared" si="339"/>
        <v/>
      </c>
      <c r="U84" s="47">
        <f t="shared" si="340"/>
        <v>-1.4752933063728284E-2</v>
      </c>
      <c r="V84" s="47" t="str">
        <f t="shared" si="341"/>
        <v/>
      </c>
      <c r="W84" s="47">
        <f t="shared" si="342"/>
        <v>-3.7477680276509773E-2</v>
      </c>
      <c r="X84" s="47" t="str">
        <f t="shared" si="343"/>
        <v/>
      </c>
      <c r="Y84" s="47">
        <f t="shared" si="344"/>
        <v>-4.7428497454760077E-2</v>
      </c>
      <c r="Z84" s="47">
        <f t="shared" si="345"/>
        <v>-1.8736536402766797E-2</v>
      </c>
    </row>
    <row r="85" spans="1:26" ht="20.100000000000001" customHeight="1" x14ac:dyDescent="0.2">
      <c r="A85" s="50">
        <f t="shared" si="300"/>
        <v>428</v>
      </c>
      <c r="B85" s="51">
        <f t="shared" si="301"/>
        <v>44027</v>
      </c>
      <c r="C85" s="52">
        <f>'Résultats observations'!C85</f>
        <v>222.9</v>
      </c>
      <c r="D85" s="48">
        <f t="shared" si="302"/>
        <v>-31.545337525693107</v>
      </c>
      <c r="E85" s="47">
        <f t="shared" si="303"/>
        <v>-27.893187691964805</v>
      </c>
      <c r="F85" s="47"/>
      <c r="G85" s="48">
        <f t="shared" si="305"/>
        <v>-10.463973353921574</v>
      </c>
      <c r="H85" s="47"/>
      <c r="I85" s="48">
        <f t="shared" si="306"/>
        <v>-28.32185027101719</v>
      </c>
      <c r="J85" s="48"/>
      <c r="K85" s="47">
        <f t="shared" si="308"/>
        <v>-21.135118630503769</v>
      </c>
      <c r="L85" s="48">
        <f t="shared" si="309"/>
        <v>-24.12827173811749</v>
      </c>
      <c r="R85" s="47">
        <f t="shared" si="337"/>
        <v>-6.3448058734039137E-2</v>
      </c>
      <c r="S85" s="47">
        <f t="shared" si="338"/>
        <v>-3.5664936305776801E-2</v>
      </c>
      <c r="T85" s="47" t="str">
        <f t="shared" si="339"/>
        <v/>
      </c>
      <c r="U85" s="47">
        <f t="shared" si="340"/>
        <v>-2.2516095254301562E-2</v>
      </c>
      <c r="V85" s="47" t="str">
        <f t="shared" si="341"/>
        <v/>
      </c>
      <c r="W85" s="47">
        <f t="shared" si="342"/>
        <v>-3.6813501436780721E-2</v>
      </c>
      <c r="X85" s="47" t="str">
        <f t="shared" si="343"/>
        <v/>
      </c>
      <c r="Y85" s="47">
        <f t="shared" si="344"/>
        <v>9.335114015129875E-6</v>
      </c>
      <c r="Z85" s="47">
        <f t="shared" si="345"/>
        <v>-3.052862599132548E-2</v>
      </c>
    </row>
    <row r="86" spans="1:26" ht="20.100000000000001" customHeight="1" x14ac:dyDescent="0.2">
      <c r="A86" s="50">
        <f t="shared" si="300"/>
        <v>440</v>
      </c>
      <c r="B86" s="51">
        <f t="shared" si="301"/>
        <v>44039</v>
      </c>
      <c r="C86" s="52">
        <f>'Résultats observations'!C86</f>
        <v>222.9</v>
      </c>
      <c r="D86" s="48">
        <f t="shared" si="302"/>
        <v>-31.489671948949471</v>
      </c>
      <c r="E86" s="47">
        <f t="shared" si="303"/>
        <v>-27.747490599344005</v>
      </c>
      <c r="F86" s="47"/>
      <c r="G86" s="48">
        <f t="shared" si="305"/>
        <v>-10.422846161400656</v>
      </c>
      <c r="H86" s="47"/>
      <c r="I86" s="48">
        <f t="shared" si="306"/>
        <v>-28.315166292347094</v>
      </c>
      <c r="J86" s="48"/>
      <c r="K86" s="47">
        <f t="shared" si="308"/>
        <v>-21.086446600147468</v>
      </c>
      <c r="L86" s="48">
        <f t="shared" si="309"/>
        <v>-24.046518843379161</v>
      </c>
      <c r="R86" s="47">
        <f t="shared" ref="R86:R87" si="346">IF(AND(D86&lt;&gt;"",D85&lt;&gt;""),(D86-D85)/($B86-$B85),"")</f>
        <v>4.6387980619696139E-3</v>
      </c>
      <c r="S86" s="47">
        <f t="shared" ref="S86:S87" si="347">IF(AND(E86&lt;&gt;"",E85&lt;&gt;""),(E86-E85)/($B86-$B85),"")</f>
        <v>1.2141424385066676E-2</v>
      </c>
      <c r="T86" s="47" t="str">
        <f t="shared" ref="T86:T87" si="348">IF(AND(F86&lt;&gt;"",F85&lt;&gt;""),(F86-F85)/($B86-$B85),"")</f>
        <v/>
      </c>
      <c r="U86" s="47">
        <f t="shared" ref="U86:U87" si="349">IF(AND(G86&lt;&gt;"",G85&lt;&gt;""),(G86-G85)/($B86-$B85),"")</f>
        <v>3.4272660434098157E-3</v>
      </c>
      <c r="V86" s="47" t="str">
        <f t="shared" ref="V86:V87" si="350">IF(AND(H86&lt;&gt;"",H85&lt;&gt;""),(H86-H85)/($B86-$B85),"")</f>
        <v/>
      </c>
      <c r="W86" s="47">
        <f t="shared" ref="W86:W87" si="351">IF(AND(I86&lt;&gt;"",I85&lt;&gt;""),(I86-I85)/($B86-$B85),"")</f>
        <v>5.569982225080613E-4</v>
      </c>
      <c r="X86" s="47" t="str">
        <f t="shared" ref="X86:X87" si="352">IF(AND(J86&lt;&gt;"",J85&lt;&gt;""),(J86-J85)/($B86-$B85),"")</f>
        <v/>
      </c>
      <c r="Y86" s="47">
        <f t="shared" ref="Y86:Y87" si="353">IF(AND(K86&lt;&gt;"",K85&lt;&gt;""),(K86-K85)/($B86-$B85),"")</f>
        <v>4.0560025296917006E-3</v>
      </c>
      <c r="Z86" s="47">
        <f t="shared" ref="Z86:Z87" si="354">IF(AND(L86&lt;&gt;"",L85&lt;&gt;""),(L86-L85)/($B86-$B85),"")</f>
        <v>6.8127412281941231E-3</v>
      </c>
    </row>
    <row r="87" spans="1:26" ht="20.100000000000001" customHeight="1" x14ac:dyDescent="0.2">
      <c r="A87" s="50">
        <f t="shared" si="300"/>
        <v>454</v>
      </c>
      <c r="B87" s="51">
        <f t="shared" si="301"/>
        <v>44053</v>
      </c>
      <c r="C87" s="52">
        <f>'Résultats observations'!C87</f>
        <v>222.9</v>
      </c>
      <c r="D87" s="48">
        <f t="shared" si="302"/>
        <v>-31.851446222947999</v>
      </c>
      <c r="E87" s="47">
        <f t="shared" si="303"/>
        <v>-28.159557486440612</v>
      </c>
      <c r="F87" s="47"/>
      <c r="G87" s="48">
        <f t="shared" si="305"/>
        <v>-10.498208882496307</v>
      </c>
      <c r="H87" s="47"/>
      <c r="I87" s="48">
        <f t="shared" si="306"/>
        <v>-28.743892851694319</v>
      </c>
      <c r="J87" s="48"/>
      <c r="K87" s="47">
        <f t="shared" si="308"/>
        <v>-21.135202435290878</v>
      </c>
      <c r="L87" s="48">
        <f t="shared" si="309"/>
        <v>-24.310789790185972</v>
      </c>
      <c r="R87" s="47">
        <f t="shared" si="346"/>
        <v>-2.5841019571323391E-2</v>
      </c>
      <c r="S87" s="47">
        <f t="shared" si="347"/>
        <v>-2.943334907832908E-2</v>
      </c>
      <c r="T87" s="47" t="str">
        <f t="shared" si="348"/>
        <v/>
      </c>
      <c r="U87" s="47">
        <f t="shared" si="349"/>
        <v>-5.3830515068322071E-3</v>
      </c>
      <c r="V87" s="47" t="str">
        <f t="shared" si="350"/>
        <v/>
      </c>
      <c r="W87" s="47">
        <f t="shared" si="351"/>
        <v>-3.062332566765897E-2</v>
      </c>
      <c r="X87" s="47" t="str">
        <f t="shared" si="352"/>
        <v/>
      </c>
      <c r="Y87" s="47">
        <f t="shared" si="353"/>
        <v>-3.4825596531007363E-3</v>
      </c>
      <c r="Z87" s="47">
        <f t="shared" si="354"/>
        <v>-1.8876496200486464E-2</v>
      </c>
    </row>
    <row r="88" spans="1:26" ht="20.100000000000001" customHeight="1" x14ac:dyDescent="0.2">
      <c r="A88" s="50">
        <f t="shared" si="300"/>
        <v>476</v>
      </c>
      <c r="B88" s="51">
        <f t="shared" si="301"/>
        <v>44075</v>
      </c>
      <c r="C88" s="52">
        <f>'Résultats observations'!C88</f>
        <v>222.9</v>
      </c>
      <c r="D88" s="48">
        <f t="shared" si="302"/>
        <v>-33.67803509714129</v>
      </c>
      <c r="E88" s="47">
        <f t="shared" si="303"/>
        <v>-29.639343933551388</v>
      </c>
      <c r="F88" s="47"/>
      <c r="G88" s="48">
        <f t="shared" si="305"/>
        <v>-11.023815405764914</v>
      </c>
      <c r="H88" s="47"/>
      <c r="I88" s="48">
        <f t="shared" si="306"/>
        <v>-30.360147891521194</v>
      </c>
      <c r="J88" s="48"/>
      <c r="K88" s="47">
        <f t="shared" si="308"/>
        <v>-22.664064126589167</v>
      </c>
      <c r="L88" s="48">
        <f t="shared" si="309"/>
        <v>-25.69006840178556</v>
      </c>
      <c r="R88" s="47">
        <f t="shared" ref="R88:R89" si="355">IF(AND(D88&lt;&gt;"",D87&lt;&gt;""),(D88-D87)/($B88-$B87),"")</f>
        <v>-8.3026767008785959E-2</v>
      </c>
      <c r="S88" s="47">
        <f t="shared" ref="S88:S89" si="356">IF(AND(E88&lt;&gt;"",E87&lt;&gt;""),(E88-E87)/($B88-$B87),"")</f>
        <v>-6.7263020323217085E-2</v>
      </c>
      <c r="T88" s="47" t="str">
        <f t="shared" ref="T88:T89" si="357">IF(AND(F88&lt;&gt;"",F87&lt;&gt;""),(F88-F87)/($B88-$B87),"")</f>
        <v/>
      </c>
      <c r="U88" s="47">
        <f t="shared" ref="U88:U89" si="358">IF(AND(G88&lt;&gt;"",G87&lt;&gt;""),(G88-G87)/($B88-$B87),"")</f>
        <v>-2.3891205603118495E-2</v>
      </c>
      <c r="V88" s="47" t="str">
        <f t="shared" ref="V88:V89" si="359">IF(AND(H88&lt;&gt;"",H87&lt;&gt;""),(H88-H87)/($B88-$B87),"")</f>
        <v/>
      </c>
      <c r="W88" s="47">
        <f t="shared" ref="W88:W89" si="360">IF(AND(I88&lt;&gt;"",I87&lt;&gt;""),(I88-I87)/($B88-$B87),"")</f>
        <v>-7.3466138173948856E-2</v>
      </c>
      <c r="X88" s="47" t="str">
        <f t="shared" ref="X88:X89" si="361">IF(AND(J88&lt;&gt;"",J87&lt;&gt;""),(J88-J87)/($B88-$B87),"")</f>
        <v/>
      </c>
      <c r="Y88" s="47">
        <f t="shared" ref="Y88:Y89" si="362">IF(AND(K88&lt;&gt;"",K87&lt;&gt;""),(K88-K87)/($B88-$B87),"")</f>
        <v>-6.9493713240831312E-2</v>
      </c>
      <c r="Z88" s="47">
        <f t="shared" ref="Z88:Z89" si="363">IF(AND(L88&lt;&gt;"",L87&lt;&gt;""),(L88-L87)/($B88-$B87),"")</f>
        <v>-6.2694482345435829E-2</v>
      </c>
    </row>
    <row r="89" spans="1:26" ht="20.100000000000001" customHeight="1" x14ac:dyDescent="0.2">
      <c r="A89" s="50">
        <f t="shared" si="300"/>
        <v>483</v>
      </c>
      <c r="B89" s="51">
        <f t="shared" si="301"/>
        <v>44082</v>
      </c>
      <c r="C89" s="52">
        <f>'Résultats observations'!C89</f>
        <v>222.9</v>
      </c>
      <c r="D89" s="48">
        <f t="shared" si="302"/>
        <v>-34.252282911398702</v>
      </c>
      <c r="E89" s="47">
        <f t="shared" si="303"/>
        <v>-30.153161475909407</v>
      </c>
      <c r="F89" s="47"/>
      <c r="G89" s="48">
        <f t="shared" si="305"/>
        <v>-11.184307209756827</v>
      </c>
      <c r="H89" s="47"/>
      <c r="I89" s="48">
        <f t="shared" si="306"/>
        <v>-30.66494794468877</v>
      </c>
      <c r="J89" s="48"/>
      <c r="K89" s="47">
        <f t="shared" si="308"/>
        <v>-23.172769493676526</v>
      </c>
      <c r="L89" s="48">
        <f t="shared" si="309"/>
        <v>-26.366834626462499</v>
      </c>
      <c r="R89" s="47">
        <f t="shared" si="355"/>
        <v>-8.2035402036773064E-2</v>
      </c>
      <c r="S89" s="47">
        <f t="shared" si="356"/>
        <v>-7.3402506051145622E-2</v>
      </c>
      <c r="T89" s="47" t="str">
        <f t="shared" si="357"/>
        <v/>
      </c>
      <c r="U89" s="47">
        <f t="shared" si="358"/>
        <v>-2.2927400570273346E-2</v>
      </c>
      <c r="V89" s="47" t="str">
        <f t="shared" si="359"/>
        <v/>
      </c>
      <c r="W89" s="47">
        <f t="shared" si="360"/>
        <v>-4.3542864738225058E-2</v>
      </c>
      <c r="X89" s="47" t="str">
        <f t="shared" si="361"/>
        <v/>
      </c>
      <c r="Y89" s="47">
        <f t="shared" si="362"/>
        <v>-7.2672195298194103E-2</v>
      </c>
      <c r="Z89" s="47">
        <f t="shared" si="363"/>
        <v>-9.6680889239562723E-2</v>
      </c>
    </row>
    <row r="90" spans="1:26" ht="20.100000000000001" customHeight="1" x14ac:dyDescent="0.2">
      <c r="A90" s="50">
        <f t="shared" si="300"/>
        <v>513</v>
      </c>
      <c r="B90" s="51">
        <f t="shared" si="301"/>
        <v>44112</v>
      </c>
      <c r="C90" s="52">
        <f>'Résultats observations'!C90</f>
        <v>222.9</v>
      </c>
      <c r="D90" s="48"/>
      <c r="E90" s="47"/>
      <c r="F90" s="47"/>
      <c r="G90" s="48"/>
      <c r="H90" s="47"/>
      <c r="I90" s="48"/>
      <c r="J90" s="48"/>
      <c r="K90" s="47"/>
      <c r="L90" s="48"/>
      <c r="R90" s="47" t="str">
        <f t="shared" ref="R90:R96" si="364">IF(AND(D90&lt;&gt;"",D89&lt;&gt;""),(D90-D89)/($B90-$B89),"")</f>
        <v/>
      </c>
      <c r="S90" s="47" t="str">
        <f t="shared" ref="S90:S96" si="365">IF(AND(E90&lt;&gt;"",E89&lt;&gt;""),(E90-E89)/($B90-$B89),"")</f>
        <v/>
      </c>
      <c r="T90" s="47" t="str">
        <f t="shared" ref="T90:T96" si="366">IF(AND(F90&lt;&gt;"",F89&lt;&gt;""),(F90-F89)/($B90-$B89),"")</f>
        <v/>
      </c>
      <c r="U90" s="47" t="str">
        <f t="shared" ref="U90:U96" si="367">IF(AND(G90&lt;&gt;"",G89&lt;&gt;""),(G90-G89)/($B90-$B89),"")</f>
        <v/>
      </c>
      <c r="V90" s="47" t="str">
        <f t="shared" ref="V90:V96" si="368">IF(AND(H90&lt;&gt;"",H89&lt;&gt;""),(H90-H89)/($B90-$B89),"")</f>
        <v/>
      </c>
      <c r="W90" s="47" t="str">
        <f t="shared" ref="W90:W96" si="369">IF(AND(I90&lt;&gt;"",I89&lt;&gt;""),(I90-I89)/($B90-$B89),"")</f>
        <v/>
      </c>
      <c r="X90" s="47" t="str">
        <f t="shared" ref="X90:X96" si="370">IF(AND(J90&lt;&gt;"",J89&lt;&gt;""),(J90-J89)/($B90-$B89),"")</f>
        <v/>
      </c>
      <c r="Y90" s="47" t="str">
        <f t="shared" ref="Y90:Y96" si="371">IF(AND(K90&lt;&gt;"",K89&lt;&gt;""),(K90-K89)/($B90-$B89),"")</f>
        <v/>
      </c>
      <c r="Z90" s="47" t="str">
        <f t="shared" ref="Z90:Z96" si="372">IF(AND(L90&lt;&gt;"",L89&lt;&gt;""),(L90-L89)/($B90-$B89),"")</f>
        <v/>
      </c>
    </row>
    <row r="91" spans="1:26" ht="20.100000000000001" customHeight="1" x14ac:dyDescent="0.2">
      <c r="A91" s="50">
        <f t="shared" si="300"/>
        <v>535</v>
      </c>
      <c r="B91" s="51">
        <f t="shared" si="301"/>
        <v>44134</v>
      </c>
      <c r="C91" s="52">
        <f>'Résultats observations'!C91</f>
        <v>222.9</v>
      </c>
      <c r="D91" s="48">
        <f t="shared" si="302"/>
        <v>-33.18865406892435</v>
      </c>
      <c r="E91" s="47"/>
      <c r="F91" s="47">
        <f t="shared" ref="F91:F120" si="373">Ecart_HG</f>
        <v>-25.097789665418979</v>
      </c>
      <c r="G91" s="48">
        <f t="shared" si="305"/>
        <v>-10.849570331924685</v>
      </c>
      <c r="H91" s="47">
        <f t="shared" ref="H91:H120" si="374">Ecart_ID</f>
        <v>-22.969584139243437</v>
      </c>
      <c r="I91" s="48">
        <f t="shared" si="306"/>
        <v>-30.129355772430699</v>
      </c>
      <c r="J91" s="48">
        <f t="shared" ref="J91:J120" si="375">Ecart_LH</f>
        <v>-21.533424160613102</v>
      </c>
      <c r="K91" s="47"/>
      <c r="L91" s="48">
        <f t="shared" si="309"/>
        <v>-23.883889220279286</v>
      </c>
      <c r="R91" s="47" t="str">
        <f t="shared" si="364"/>
        <v/>
      </c>
      <c r="S91" s="47" t="str">
        <f t="shared" si="365"/>
        <v/>
      </c>
      <c r="T91" s="47" t="str">
        <f t="shared" si="366"/>
        <v/>
      </c>
      <c r="U91" s="47" t="str">
        <f t="shared" si="367"/>
        <v/>
      </c>
      <c r="V91" s="47" t="str">
        <f t="shared" si="368"/>
        <v/>
      </c>
      <c r="W91" s="47" t="str">
        <f t="shared" si="369"/>
        <v/>
      </c>
      <c r="X91" s="47" t="str">
        <f t="shared" si="370"/>
        <v/>
      </c>
      <c r="Y91" s="47" t="str">
        <f t="shared" si="371"/>
        <v/>
      </c>
      <c r="Z91" s="47" t="str">
        <f t="shared" si="372"/>
        <v/>
      </c>
    </row>
    <row r="92" spans="1:26" ht="20.100000000000001" customHeight="1" x14ac:dyDescent="0.2">
      <c r="A92" s="50"/>
      <c r="B92" s="51"/>
      <c r="C92" s="52"/>
      <c r="D92" s="48"/>
      <c r="E92" s="47"/>
      <c r="F92" s="47"/>
      <c r="G92" s="48"/>
      <c r="H92" s="47"/>
      <c r="I92" s="48"/>
      <c r="J92" s="48"/>
      <c r="K92" s="47"/>
      <c r="L92" s="48"/>
      <c r="R92" s="47" t="str">
        <f t="shared" si="364"/>
        <v/>
      </c>
      <c r="S92" s="47" t="str">
        <f t="shared" si="365"/>
        <v/>
      </c>
      <c r="T92" s="47" t="str">
        <f t="shared" si="366"/>
        <v/>
      </c>
      <c r="U92" s="47" t="str">
        <f t="shared" si="367"/>
        <v/>
      </c>
      <c r="V92" s="47" t="str">
        <f t="shared" si="368"/>
        <v/>
      </c>
      <c r="W92" s="47" t="str">
        <f t="shared" si="369"/>
        <v/>
      </c>
      <c r="X92" s="47" t="str">
        <f t="shared" si="370"/>
        <v/>
      </c>
      <c r="Y92" s="47" t="str">
        <f t="shared" si="371"/>
        <v/>
      </c>
      <c r="Z92" s="47" t="str">
        <f t="shared" si="372"/>
        <v/>
      </c>
    </row>
    <row r="93" spans="1:26" ht="20.100000000000001" customHeight="1" x14ac:dyDescent="0.2">
      <c r="A93" s="50">
        <f t="shared" si="300"/>
        <v>535</v>
      </c>
      <c r="B93" s="51">
        <f t="shared" si="301"/>
        <v>44134</v>
      </c>
      <c r="C93" s="52">
        <f>'Résultats observations'!C93</f>
        <v>222.9</v>
      </c>
      <c r="D93" s="48">
        <f t="shared" si="302"/>
        <v>-32.891303419863682</v>
      </c>
      <c r="E93" s="47"/>
      <c r="F93" s="47">
        <f t="shared" si="373"/>
        <v>-24.79929828971672</v>
      </c>
      <c r="G93" s="48">
        <f t="shared" si="305"/>
        <v>-10.625898041932924</v>
      </c>
      <c r="H93" s="47">
        <f t="shared" si="374"/>
        <v>-22.663354075833197</v>
      </c>
      <c r="I93" s="48">
        <f t="shared" si="306"/>
        <v>-29.957265376894249</v>
      </c>
      <c r="J93" s="48">
        <f t="shared" si="375"/>
        <v>-20.972391126627521</v>
      </c>
      <c r="K93" s="47"/>
      <c r="L93" s="48">
        <f t="shared" si="309"/>
        <v>-23.213217005412901</v>
      </c>
      <c r="R93" s="47" t="str">
        <f t="shared" si="364"/>
        <v/>
      </c>
      <c r="S93" s="47" t="str">
        <f t="shared" si="365"/>
        <v/>
      </c>
      <c r="T93" s="47" t="str">
        <f t="shared" si="366"/>
        <v/>
      </c>
      <c r="U93" s="47" t="str">
        <f t="shared" si="367"/>
        <v/>
      </c>
      <c r="V93" s="47" t="str">
        <f t="shared" si="368"/>
        <v/>
      </c>
      <c r="W93" s="47" t="str">
        <f t="shared" si="369"/>
        <v/>
      </c>
      <c r="X93" s="47" t="str">
        <f t="shared" si="370"/>
        <v/>
      </c>
      <c r="Y93" s="47" t="str">
        <f t="shared" si="371"/>
        <v/>
      </c>
      <c r="Z93" s="47" t="str">
        <f t="shared" si="372"/>
        <v/>
      </c>
    </row>
    <row r="94" spans="1:26" ht="20.100000000000001" customHeight="1" x14ac:dyDescent="0.2">
      <c r="A94" s="50"/>
      <c r="B94" s="51"/>
      <c r="C94" s="52"/>
      <c r="D94" s="48"/>
      <c r="E94" s="47"/>
      <c r="F94" s="47"/>
      <c r="G94" s="48"/>
      <c r="H94" s="47"/>
      <c r="I94" s="48"/>
      <c r="J94" s="48"/>
      <c r="K94" s="47"/>
      <c r="L94" s="48"/>
      <c r="R94" s="47" t="str">
        <f t="shared" si="364"/>
        <v/>
      </c>
      <c r="S94" s="47" t="str">
        <f t="shared" si="365"/>
        <v/>
      </c>
      <c r="T94" s="47" t="str">
        <f t="shared" si="366"/>
        <v/>
      </c>
      <c r="U94" s="47" t="str">
        <f t="shared" si="367"/>
        <v/>
      </c>
      <c r="V94" s="47" t="str">
        <f t="shared" si="368"/>
        <v/>
      </c>
      <c r="W94" s="47" t="str">
        <f t="shared" si="369"/>
        <v/>
      </c>
      <c r="X94" s="47" t="str">
        <f t="shared" si="370"/>
        <v/>
      </c>
      <c r="Y94" s="47" t="str">
        <f t="shared" si="371"/>
        <v/>
      </c>
      <c r="Z94" s="47" t="str">
        <f t="shared" si="372"/>
        <v/>
      </c>
    </row>
    <row r="95" spans="1:26" ht="20.100000000000001" customHeight="1" x14ac:dyDescent="0.2">
      <c r="A95" s="50">
        <f t="shared" si="300"/>
        <v>541</v>
      </c>
      <c r="B95" s="51">
        <f t="shared" si="301"/>
        <v>44140</v>
      </c>
      <c r="C95" s="52">
        <f>'Résultats observations'!C95</f>
        <v>222.9</v>
      </c>
      <c r="D95" s="48">
        <f t="shared" si="302"/>
        <v>-32.935720289818171</v>
      </c>
      <c r="E95" s="47"/>
      <c r="F95" s="47">
        <f t="shared" si="373"/>
        <v>-25.010145133379957</v>
      </c>
      <c r="G95" s="48">
        <f t="shared" si="305"/>
        <v>-11.009732789089899</v>
      </c>
      <c r="H95" s="47">
        <f t="shared" si="374"/>
        <v>-23.120556422708383</v>
      </c>
      <c r="I95" s="48">
        <f t="shared" si="306"/>
        <v>-30.379212896069596</v>
      </c>
      <c r="J95" s="48">
        <f t="shared" si="375"/>
        <v>-21.49352684458794</v>
      </c>
      <c r="K95" s="47"/>
      <c r="L95" s="48">
        <f t="shared" si="309"/>
        <v>-23.351842228660935</v>
      </c>
      <c r="R95" s="47" t="str">
        <f t="shared" si="364"/>
        <v/>
      </c>
      <c r="S95" s="47" t="str">
        <f t="shared" si="365"/>
        <v/>
      </c>
      <c r="T95" s="47" t="str">
        <f t="shared" si="366"/>
        <v/>
      </c>
      <c r="U95" s="47" t="str">
        <f t="shared" si="367"/>
        <v/>
      </c>
      <c r="V95" s="47" t="str">
        <f t="shared" si="368"/>
        <v/>
      </c>
      <c r="W95" s="47" t="str">
        <f t="shared" si="369"/>
        <v/>
      </c>
      <c r="X95" s="47" t="str">
        <f t="shared" si="370"/>
        <v/>
      </c>
      <c r="Y95" s="47" t="str">
        <f t="shared" si="371"/>
        <v/>
      </c>
      <c r="Z95" s="47" t="str">
        <f t="shared" si="372"/>
        <v/>
      </c>
    </row>
    <row r="96" spans="1:26" ht="20.100000000000001" customHeight="1" x14ac:dyDescent="0.2">
      <c r="A96" s="50">
        <f t="shared" si="300"/>
        <v>573</v>
      </c>
      <c r="B96" s="51">
        <f t="shared" si="301"/>
        <v>44172</v>
      </c>
      <c r="C96" s="52">
        <f>'Résultats observations'!C96</f>
        <v>222.9</v>
      </c>
      <c r="D96" s="48">
        <f t="shared" si="302"/>
        <v>-35.514172308221958</v>
      </c>
      <c r="E96" s="47"/>
      <c r="F96" s="47">
        <f t="shared" si="373"/>
        <v>-25.829007555768779</v>
      </c>
      <c r="G96" s="48">
        <f t="shared" si="305"/>
        <v>-11.807039993132484</v>
      </c>
      <c r="H96" s="47">
        <f t="shared" si="374"/>
        <v>-24.343046849773842</v>
      </c>
      <c r="I96" s="48">
        <f t="shared" si="306"/>
        <v>-32.07254577688623</v>
      </c>
      <c r="J96" s="48">
        <f t="shared" si="375"/>
        <v>-22.792134062153302</v>
      </c>
      <c r="K96" s="47"/>
      <c r="L96" s="48">
        <f t="shared" si="309"/>
        <v>-25.263419800558573</v>
      </c>
      <c r="R96" s="47">
        <f t="shared" si="364"/>
        <v>-8.0576625575118355E-2</v>
      </c>
      <c r="S96" s="47" t="str">
        <f t="shared" si="365"/>
        <v/>
      </c>
      <c r="T96" s="47">
        <f t="shared" si="366"/>
        <v>-2.5589450699650684E-2</v>
      </c>
      <c r="U96" s="47">
        <f t="shared" si="367"/>
        <v>-2.4915850126330796E-2</v>
      </c>
      <c r="V96" s="47">
        <f t="shared" si="368"/>
        <v>-3.8202825845795596E-2</v>
      </c>
      <c r="W96" s="47">
        <f t="shared" si="369"/>
        <v>-5.2916652525519803E-2</v>
      </c>
      <c r="X96" s="47">
        <f t="shared" si="370"/>
        <v>-4.0581475548917556E-2</v>
      </c>
      <c r="Y96" s="47" t="str">
        <f t="shared" si="371"/>
        <v/>
      </c>
      <c r="Z96" s="47">
        <f t="shared" si="372"/>
        <v>-5.9736799121801187E-2</v>
      </c>
    </row>
    <row r="97" spans="1:26" ht="20.100000000000001" customHeight="1" x14ac:dyDescent="0.2">
      <c r="A97" s="50">
        <f t="shared" si="300"/>
        <v>587</v>
      </c>
      <c r="B97" s="51">
        <f t="shared" si="301"/>
        <v>44186</v>
      </c>
      <c r="C97" s="52">
        <f>'Résultats observations'!C97</f>
        <v>222.9</v>
      </c>
      <c r="D97" s="48">
        <f t="shared" si="302"/>
        <v>-33.271469853380253</v>
      </c>
      <c r="E97" s="47"/>
      <c r="F97" s="47">
        <f t="shared" si="373"/>
        <v>-25.477231045320181</v>
      </c>
      <c r="G97" s="48">
        <f t="shared" si="305"/>
        <v>-11.218110772339696</v>
      </c>
      <c r="H97" s="47">
        <f t="shared" si="374"/>
        <v>-22.837930071673895</v>
      </c>
      <c r="I97" s="48">
        <f t="shared" si="306"/>
        <v>-30.570674401118048</v>
      </c>
      <c r="J97" s="48">
        <f t="shared" si="375"/>
        <v>-21.648619035142147</v>
      </c>
      <c r="K97" s="47"/>
      <c r="L97" s="48">
        <f t="shared" si="309"/>
        <v>-22.891376258502127</v>
      </c>
      <c r="R97" s="47">
        <f t="shared" ref="R97:R99" si="376">IF(AND(D97&lt;&gt;"",D96&lt;&gt;""),(D97-D96)/($B97-$B96),"")</f>
        <v>0.16019303248869324</v>
      </c>
      <c r="S97" s="47" t="str">
        <f t="shared" ref="S97:S99" si="377">IF(AND(E97&lt;&gt;"",E96&lt;&gt;""),(E97-E96)/($B97-$B96),"")</f>
        <v/>
      </c>
      <c r="T97" s="47">
        <f t="shared" ref="T97:T99" si="378">IF(AND(F97&lt;&gt;"",F96&lt;&gt;""),(F97-F96)/($B97-$B96),"")</f>
        <v>2.5126893603471295E-2</v>
      </c>
      <c r="U97" s="47">
        <f t="shared" ref="U97:U99" si="379">IF(AND(G97&lt;&gt;"",G96&lt;&gt;""),(G97-G96)/($B97-$B96),"")</f>
        <v>4.2066372913770626E-2</v>
      </c>
      <c r="V97" s="47">
        <f t="shared" ref="V97:V99" si="380">IF(AND(H97&lt;&gt;"",H96&lt;&gt;""),(H97-H96)/($B97-$B96),"")</f>
        <v>0.10750834129285332</v>
      </c>
      <c r="W97" s="47">
        <f t="shared" ref="W97:W99" si="381">IF(AND(I97&lt;&gt;"",I96&lt;&gt;""),(I97-I96)/($B97-$B96),"")</f>
        <v>0.10727652684058445</v>
      </c>
      <c r="X97" s="47">
        <f t="shared" ref="X97:X99" si="382">IF(AND(J97&lt;&gt;"",J96&lt;&gt;""),(J97-J96)/($B97-$B96),"")</f>
        <v>8.167964478651106E-2</v>
      </c>
      <c r="Y97" s="47" t="str">
        <f t="shared" ref="Y97:Y99" si="383">IF(AND(K97&lt;&gt;"",K96&lt;&gt;""),(K97-K96)/($B97-$B96),"")</f>
        <v/>
      </c>
      <c r="Z97" s="47">
        <f t="shared" ref="Z97:Z99" si="384">IF(AND(L97&lt;&gt;"",L96&lt;&gt;""),(L97-L96)/($B97-$B96),"")</f>
        <v>0.1694316815754604</v>
      </c>
    </row>
    <row r="98" spans="1:26" ht="20.100000000000001" customHeight="1" x14ac:dyDescent="0.2">
      <c r="A98" s="50">
        <f t="shared" si="300"/>
        <v>604</v>
      </c>
      <c r="B98" s="51">
        <f t="shared" si="301"/>
        <v>44203</v>
      </c>
      <c r="C98" s="52">
        <f>'Résultats observations'!C98</f>
        <v>222.9</v>
      </c>
      <c r="D98" s="48">
        <f t="shared" si="302"/>
        <v>-34.058408573060639</v>
      </c>
      <c r="E98" s="47"/>
      <c r="F98" s="47">
        <f t="shared" si="373"/>
        <v>-25.480020508464207</v>
      </c>
      <c r="G98" s="48">
        <f t="shared" si="305"/>
        <v>-10.784027682090969</v>
      </c>
      <c r="H98" s="47">
        <f t="shared" si="374"/>
        <v>-22.949357795505776</v>
      </c>
      <c r="I98" s="48">
        <f t="shared" si="306"/>
        <v>-30.528307044780156</v>
      </c>
      <c r="J98" s="48">
        <f t="shared" si="375"/>
        <v>-20.994370134236995</v>
      </c>
      <c r="K98" s="47"/>
      <c r="L98" s="48">
        <f t="shared" si="309"/>
        <v>-23.233039728021154</v>
      </c>
      <c r="R98" s="47">
        <f t="shared" si="376"/>
        <v>-4.6290512922375626E-2</v>
      </c>
      <c r="S98" s="47" t="str">
        <f t="shared" si="377"/>
        <v/>
      </c>
      <c r="T98" s="47">
        <f t="shared" si="378"/>
        <v>-1.6408606729565717E-4</v>
      </c>
      <c r="U98" s="47">
        <f t="shared" si="379"/>
        <v>2.5534299426395703E-2</v>
      </c>
      <c r="V98" s="47">
        <f t="shared" si="380"/>
        <v>-6.5545719901106232E-3</v>
      </c>
      <c r="W98" s="47">
        <f t="shared" si="381"/>
        <v>2.492197431640661E-3</v>
      </c>
      <c r="X98" s="47">
        <f t="shared" si="382"/>
        <v>3.8485229465008951E-2</v>
      </c>
      <c r="Y98" s="47" t="str">
        <f t="shared" si="383"/>
        <v/>
      </c>
      <c r="Z98" s="47">
        <f t="shared" si="384"/>
        <v>-2.009785114817805E-2</v>
      </c>
    </row>
    <row r="99" spans="1:26" ht="20.100000000000001" customHeight="1" x14ac:dyDescent="0.2">
      <c r="A99" s="50">
        <f t="shared" si="300"/>
        <v>630</v>
      </c>
      <c r="B99" s="51">
        <f t="shared" si="301"/>
        <v>44229</v>
      </c>
      <c r="C99" s="52">
        <f>'Résultats observations'!C99</f>
        <v>222.9</v>
      </c>
      <c r="D99" s="48">
        <f t="shared" si="302"/>
        <v>-34.72076302632221</v>
      </c>
      <c r="E99" s="47"/>
      <c r="F99" s="47">
        <f t="shared" si="373"/>
        <v>-25.643429170914889</v>
      </c>
      <c r="G99" s="48">
        <f t="shared" si="305"/>
        <v>-11.818857118780279</v>
      </c>
      <c r="H99" s="47">
        <f t="shared" si="374"/>
        <v>-24.168202980793474</v>
      </c>
      <c r="I99" s="48">
        <f t="shared" si="306"/>
        <v>-32.259545481969631</v>
      </c>
      <c r="J99" s="48">
        <f t="shared" si="375"/>
        <v>-21.851380375371043</v>
      </c>
      <c r="K99" s="47"/>
      <c r="L99" s="48">
        <f t="shared" si="309"/>
        <v>-24.38897642872373</v>
      </c>
      <c r="R99" s="47">
        <f t="shared" si="376"/>
        <v>-2.5475171279291196E-2</v>
      </c>
      <c r="S99" s="47" t="str">
        <f t="shared" si="377"/>
        <v/>
      </c>
      <c r="T99" s="47">
        <f t="shared" si="378"/>
        <v>-6.2849485557954395E-3</v>
      </c>
      <c r="U99" s="47">
        <f t="shared" si="379"/>
        <v>-3.9801132180358106E-2</v>
      </c>
      <c r="V99" s="47">
        <f t="shared" si="380"/>
        <v>-4.6878660972603771E-2</v>
      </c>
      <c r="W99" s="47">
        <f t="shared" si="381"/>
        <v>-6.658609373805674E-2</v>
      </c>
      <c r="X99" s="47">
        <f t="shared" si="382"/>
        <v>-3.2961932351309557E-2</v>
      </c>
      <c r="Y99" s="47" t="str">
        <f t="shared" si="383"/>
        <v/>
      </c>
      <c r="Z99" s="47">
        <f t="shared" si="384"/>
        <v>-4.4459103873175983E-2</v>
      </c>
    </row>
    <row r="100" spans="1:26" ht="20.100000000000001" customHeight="1" x14ac:dyDescent="0.2">
      <c r="A100" s="50">
        <f t="shared" si="300"/>
        <v>646</v>
      </c>
      <c r="B100" s="51">
        <f t="shared" si="301"/>
        <v>44245</v>
      </c>
      <c r="C100" s="52">
        <f>'Résultats observations'!C100</f>
        <v>222.9</v>
      </c>
      <c r="D100" s="48">
        <f t="shared" si="302"/>
        <v>-34.481981476687906</v>
      </c>
      <c r="E100" s="47"/>
      <c r="F100" s="47">
        <f t="shared" si="373"/>
        <v>-25.697209172096613</v>
      </c>
      <c r="G100" s="48">
        <f t="shared" si="305"/>
        <v>-11.427818080042229</v>
      </c>
      <c r="H100" s="47">
        <f t="shared" si="374"/>
        <v>-24.091427172280966</v>
      </c>
      <c r="I100" s="48">
        <f t="shared" si="306"/>
        <v>-31.863041199313713</v>
      </c>
      <c r="J100" s="48">
        <f t="shared" si="375"/>
        <v>-21.56923177141401</v>
      </c>
      <c r="K100" s="47"/>
      <c r="L100" s="48">
        <f t="shared" si="309"/>
        <v>-23.502829980944995</v>
      </c>
      <c r="R100" s="47">
        <f t="shared" ref="R100:R101" si="385">IF(AND(D100&lt;&gt;"",D99&lt;&gt;""),(D100-D99)/($B100-$B99),"")</f>
        <v>1.4923846852143985E-2</v>
      </c>
      <c r="S100" s="47" t="str">
        <f t="shared" ref="S100:S101" si="386">IF(AND(E100&lt;&gt;"",E99&lt;&gt;""),(E100-E99)/($B100-$B99),"")</f>
        <v/>
      </c>
      <c r="T100" s="47">
        <f t="shared" ref="T100:T101" si="387">IF(AND(F100&lt;&gt;"",F99&lt;&gt;""),(F100-F99)/($B100-$B99),"")</f>
        <v>-3.3612500738577911E-3</v>
      </c>
      <c r="U100" s="47">
        <f t="shared" ref="U100:U101" si="388">IF(AND(G100&lt;&gt;"",G99&lt;&gt;""),(G100-G99)/($B100-$B99),"")</f>
        <v>2.443993992112814E-2</v>
      </c>
      <c r="V100" s="47">
        <f t="shared" ref="V100:V101" si="389">IF(AND(H100&lt;&gt;"",H99&lt;&gt;""),(H100-H99)/($B100-$B99),"")</f>
        <v>4.7984880320317558E-3</v>
      </c>
      <c r="W100" s="47">
        <f t="shared" ref="W100:W101" si="390">IF(AND(I100&lt;&gt;"",I99&lt;&gt;""),(I100-I99)/($B100-$B99),"")</f>
        <v>2.4781517665994901E-2</v>
      </c>
      <c r="X100" s="47">
        <f t="shared" ref="X100:X101" si="391">IF(AND(J100&lt;&gt;"",J99&lt;&gt;""),(J100-J99)/($B100-$B99),"")</f>
        <v>1.763428774731457E-2</v>
      </c>
      <c r="Y100" s="47" t="str">
        <f t="shared" ref="Y100:Y101" si="392">IF(AND(K100&lt;&gt;"",K99&lt;&gt;""),(K100-K99)/($B100-$B99),"")</f>
        <v/>
      </c>
      <c r="Z100" s="47">
        <f t="shared" ref="Z100:Z101" si="393">IF(AND(L100&lt;&gt;"",L99&lt;&gt;""),(L100-L99)/($B100-$B99),"")</f>
        <v>5.5384152986170943E-2</v>
      </c>
    </row>
    <row r="101" spans="1:26" ht="20.100000000000001" customHeight="1" x14ac:dyDescent="0.2">
      <c r="A101" s="50">
        <f t="shared" si="300"/>
        <v>674</v>
      </c>
      <c r="B101" s="51">
        <f t="shared" si="301"/>
        <v>44273</v>
      </c>
      <c r="C101" s="52">
        <f>'Résultats observations'!C101</f>
        <v>222.9</v>
      </c>
      <c r="D101" s="48">
        <f t="shared" si="302"/>
        <v>-36.691511596704807</v>
      </c>
      <c r="E101" s="47"/>
      <c r="F101" s="47">
        <f t="shared" si="373"/>
        <v>-27.143158524991939</v>
      </c>
      <c r="G101" s="48">
        <f t="shared" si="305"/>
        <v>-11.750270354408787</v>
      </c>
      <c r="H101" s="47">
        <f t="shared" si="374"/>
        <v>-24.675829977615749</v>
      </c>
      <c r="I101" s="48">
        <f t="shared" si="306"/>
        <v>-32.221826590581593</v>
      </c>
      <c r="J101" s="48">
        <f t="shared" si="375"/>
        <v>-23.414696880367458</v>
      </c>
      <c r="K101" s="47"/>
      <c r="L101" s="48">
        <f t="shared" si="309"/>
        <v>-24.744811898377073</v>
      </c>
      <c r="R101" s="47">
        <f t="shared" si="385"/>
        <v>-7.8911790000603582E-2</v>
      </c>
      <c r="S101" s="47" t="str">
        <f t="shared" si="386"/>
        <v/>
      </c>
      <c r="T101" s="47">
        <f t="shared" si="387"/>
        <v>-5.1641048317690216E-2</v>
      </c>
      <c r="U101" s="47">
        <f t="shared" si="388"/>
        <v>-1.1516152655948504E-2</v>
      </c>
      <c r="V101" s="47">
        <f t="shared" si="389"/>
        <v>-2.0871528761956526E-2</v>
      </c>
      <c r="W101" s="47">
        <f t="shared" si="390"/>
        <v>-1.2813763973852841E-2</v>
      </c>
      <c r="X101" s="47">
        <f t="shared" si="391"/>
        <v>-6.5909468176908861E-2</v>
      </c>
      <c r="Y101" s="47" t="str">
        <f t="shared" si="392"/>
        <v/>
      </c>
      <c r="Z101" s="47">
        <f t="shared" si="393"/>
        <v>-4.4356497051145638E-2</v>
      </c>
    </row>
    <row r="102" spans="1:26" ht="20.100000000000001" customHeight="1" x14ac:dyDescent="0.2">
      <c r="A102" s="50">
        <f t="shared" si="300"/>
        <v>688</v>
      </c>
      <c r="B102" s="51">
        <f t="shared" si="301"/>
        <v>44287</v>
      </c>
      <c r="C102" s="52">
        <f>'Résultats observations'!C102</f>
        <v>222.9</v>
      </c>
      <c r="D102" s="48">
        <f t="shared" si="302"/>
        <v>-36.290214482871619</v>
      </c>
      <c r="E102" s="47"/>
      <c r="F102" s="47">
        <f t="shared" si="373"/>
        <v>-25.887306588474157</v>
      </c>
      <c r="G102" s="48">
        <f t="shared" si="305"/>
        <v>-12.661539593199933</v>
      </c>
      <c r="H102" s="47">
        <f t="shared" si="374"/>
        <v>-26.160819744370123</v>
      </c>
      <c r="I102" s="48"/>
      <c r="J102" s="48">
        <f t="shared" si="375"/>
        <v>-22.827054168913286</v>
      </c>
      <c r="K102" s="47"/>
      <c r="L102" s="48"/>
      <c r="R102" s="47">
        <f t="shared" ref="R102:R103" si="394">IF(AND(D102&lt;&gt;"",D101&lt;&gt;""),(D102-D101)/($B102-$B101),"")</f>
        <v>2.8664079559513413E-2</v>
      </c>
      <c r="S102" s="47" t="str">
        <f t="shared" ref="S102:S103" si="395">IF(AND(E102&lt;&gt;"",E101&lt;&gt;""),(E102-E101)/($B102-$B101),"")</f>
        <v/>
      </c>
      <c r="T102" s="47">
        <f t="shared" ref="T102:T103" si="396">IF(AND(F102&lt;&gt;"",F101&lt;&gt;""),(F102-F101)/($B102-$B101),"")</f>
        <v>8.9703709751270164E-2</v>
      </c>
      <c r="U102" s="47">
        <f t="shared" ref="U102:U103" si="397">IF(AND(G102&lt;&gt;"",G101&lt;&gt;""),(G102-G101)/($B102-$B101),"")</f>
        <v>-6.5090659913653273E-2</v>
      </c>
      <c r="V102" s="47">
        <f t="shared" ref="V102:V103" si="398">IF(AND(H102&lt;&gt;"",H101&lt;&gt;""),(H102-H101)/($B102-$B101),"")</f>
        <v>-0.10607069762531245</v>
      </c>
      <c r="W102" s="47" t="str">
        <f t="shared" ref="W102:W103" si="399">IF(AND(I102&lt;&gt;"",I101&lt;&gt;""),(I102-I101)/($B102-$B101),"")</f>
        <v/>
      </c>
      <c r="X102" s="47">
        <f t="shared" ref="X102:X103" si="400">IF(AND(J102&lt;&gt;"",J101&lt;&gt;""),(J102-J101)/($B102-$B101),"")</f>
        <v>4.1974479389583763E-2</v>
      </c>
      <c r="Y102" s="47" t="str">
        <f t="shared" ref="Y102:Y103" si="401">IF(AND(K102&lt;&gt;"",K101&lt;&gt;""),(K102-K101)/($B102-$B101),"")</f>
        <v/>
      </c>
      <c r="Z102" s="47" t="str">
        <f t="shared" ref="Z102:Z103" si="402">IF(AND(L102&lt;&gt;"",L101&lt;&gt;""),(L102-L101)/($B102-$B101),"")</f>
        <v/>
      </c>
    </row>
    <row r="103" spans="1:26" ht="20.100000000000001" customHeight="1" x14ac:dyDescent="0.2">
      <c r="A103" s="50">
        <f t="shared" si="300"/>
        <v>709</v>
      </c>
      <c r="B103" s="51">
        <f t="shared" si="301"/>
        <v>44308</v>
      </c>
      <c r="C103" s="52">
        <f>'Résultats observations'!C103</f>
        <v>222.9</v>
      </c>
      <c r="D103" s="48">
        <f t="shared" si="302"/>
        <v>-36.019538222347158</v>
      </c>
      <c r="E103" s="47"/>
      <c r="F103" s="47"/>
      <c r="G103" s="48">
        <f t="shared" si="305"/>
        <v>-11.723278213700006</v>
      </c>
      <c r="H103" s="47">
        <f t="shared" si="374"/>
        <v>-25.198137790379604</v>
      </c>
      <c r="I103" s="48">
        <f t="shared" si="306"/>
        <v>-33.009186482630071</v>
      </c>
      <c r="J103" s="48"/>
      <c r="K103" s="47"/>
      <c r="L103" s="48">
        <f t="shared" si="309"/>
        <v>-24.696363141327282</v>
      </c>
      <c r="R103" s="47">
        <f t="shared" si="394"/>
        <v>1.2889345739260028E-2</v>
      </c>
      <c r="S103" s="47" t="str">
        <f t="shared" si="395"/>
        <v/>
      </c>
      <c r="T103" s="47" t="str">
        <f t="shared" si="396"/>
        <v/>
      </c>
      <c r="U103" s="47">
        <f t="shared" si="397"/>
        <v>4.4679113309520346E-2</v>
      </c>
      <c r="V103" s="47">
        <f t="shared" si="398"/>
        <v>4.5841997809072312E-2</v>
      </c>
      <c r="W103" s="47" t="str">
        <f t="shared" si="399"/>
        <v/>
      </c>
      <c r="X103" s="47" t="str">
        <f t="shared" si="400"/>
        <v/>
      </c>
      <c r="Y103" s="47" t="str">
        <f t="shared" si="401"/>
        <v/>
      </c>
      <c r="Z103" s="47" t="str">
        <f t="shared" si="402"/>
        <v/>
      </c>
    </row>
    <row r="104" spans="1:26" ht="20.100000000000001" customHeight="1" x14ac:dyDescent="0.2">
      <c r="A104" s="50">
        <f t="shared" si="300"/>
        <v>723</v>
      </c>
      <c r="B104" s="51">
        <f t="shared" si="301"/>
        <v>44322</v>
      </c>
      <c r="C104" s="52">
        <f>'Résultats observations'!C104</f>
        <v>222.9</v>
      </c>
      <c r="D104" s="48">
        <f t="shared" si="302"/>
        <v>-36.57375098305593</v>
      </c>
      <c r="E104" s="47"/>
      <c r="F104" s="47">
        <f t="shared" si="373"/>
        <v>-26.704138054837401</v>
      </c>
      <c r="G104" s="48">
        <f t="shared" si="305"/>
        <v>-11.896904557968213</v>
      </c>
      <c r="H104" s="47">
        <f t="shared" si="374"/>
        <v>-25.175876287933718</v>
      </c>
      <c r="I104" s="48">
        <f t="shared" si="306"/>
        <v>-33.257140014613995</v>
      </c>
      <c r="J104" s="48">
        <f t="shared" si="375"/>
        <v>-22.42673020863073</v>
      </c>
      <c r="K104" s="47"/>
      <c r="L104" s="48">
        <f t="shared" si="309"/>
        <v>-24.435985127739812</v>
      </c>
      <c r="R104" s="47">
        <f t="shared" ref="R104" si="403">IF(AND(D104&lt;&gt;"",D103&lt;&gt;""),(D104-D103)/($B104-$B103),"")</f>
        <v>-3.9586625764912294E-2</v>
      </c>
      <c r="S104" s="47" t="str">
        <f t="shared" ref="S104" si="404">IF(AND(E104&lt;&gt;"",E103&lt;&gt;""),(E104-E103)/($B104-$B103),"")</f>
        <v/>
      </c>
      <c r="T104" s="47" t="str">
        <f t="shared" ref="T104" si="405">IF(AND(F104&lt;&gt;"",F103&lt;&gt;""),(F104-F103)/($B104-$B103),"")</f>
        <v/>
      </c>
      <c r="U104" s="47">
        <f t="shared" ref="U104" si="406">IF(AND(G104&lt;&gt;"",G103&lt;&gt;""),(G104-G103)/($B104-$B103),"")</f>
        <v>-1.2401881733443381E-2</v>
      </c>
      <c r="V104" s="47">
        <f t="shared" ref="V104" si="407">IF(AND(H104&lt;&gt;"",H103&lt;&gt;""),(H104-H103)/($B104-$B103),"")</f>
        <v>1.5901073175632924E-3</v>
      </c>
      <c r="W104" s="47">
        <f t="shared" ref="W104" si="408">IF(AND(I104&lt;&gt;"",I103&lt;&gt;""),(I104-I103)/($B104-$B103),"")</f>
        <v>-1.7710966570280311E-2</v>
      </c>
      <c r="X104" s="47" t="str">
        <f t="shared" ref="X104" si="409">IF(AND(J104&lt;&gt;"",J103&lt;&gt;""),(J104-J103)/($B104-$B103),"")</f>
        <v/>
      </c>
      <c r="Y104" s="47" t="str">
        <f t="shared" ref="Y104" si="410">IF(AND(K104&lt;&gt;"",K103&lt;&gt;""),(K104-K103)/($B104-$B103),"")</f>
        <v/>
      </c>
      <c r="Z104" s="47">
        <f t="shared" ref="Z104" si="411">IF(AND(L104&lt;&gt;"",L103&lt;&gt;""),(L104-L103)/($B104-$B103),"")</f>
        <v>1.8598429541962145E-2</v>
      </c>
    </row>
    <row r="105" spans="1:26" ht="20.100000000000001" customHeight="1" x14ac:dyDescent="0.2">
      <c r="A105" s="50">
        <f t="shared" si="300"/>
        <v>738</v>
      </c>
      <c r="B105" s="51">
        <f t="shared" si="301"/>
        <v>44337</v>
      </c>
      <c r="C105" s="52">
        <f>'Résultats observations'!C105</f>
        <v>222.9</v>
      </c>
      <c r="D105" s="48">
        <f t="shared" si="302"/>
        <v>-36.473362176430157</v>
      </c>
      <c r="E105" s="47"/>
      <c r="F105" s="47">
        <f t="shared" si="373"/>
        <v>-26.98096966882968</v>
      </c>
      <c r="G105" s="48">
        <f t="shared" si="305"/>
        <v>-11.745293035435811</v>
      </c>
      <c r="H105" s="47">
        <f t="shared" si="374"/>
        <v>-24.809366314171299</v>
      </c>
      <c r="I105" s="48">
        <f t="shared" si="306"/>
        <v>-33.285328794974589</v>
      </c>
      <c r="J105" s="48">
        <f t="shared" si="375"/>
        <v>-22.517124115040588</v>
      </c>
      <c r="K105" s="47"/>
      <c r="L105" s="48">
        <f t="shared" si="309"/>
        <v>-24.961674137373713</v>
      </c>
      <c r="R105" s="47">
        <f t="shared" ref="R105:R106" si="412">IF(AND(D105&lt;&gt;"",D104&lt;&gt;""),(D105-D104)/($B105-$B104),"")</f>
        <v>6.692587108384866E-3</v>
      </c>
      <c r="S105" s="47" t="str">
        <f t="shared" ref="S105:S106" si="413">IF(AND(E105&lt;&gt;"",E104&lt;&gt;""),(E105-E104)/($B105-$B104),"")</f>
        <v/>
      </c>
      <c r="T105" s="47">
        <f t="shared" ref="T105:T106" si="414">IF(AND(F105&lt;&gt;"",F104&lt;&gt;""),(F105-F104)/($B105-$B104),"")</f>
        <v>-1.845544093281859E-2</v>
      </c>
      <c r="U105" s="47">
        <f t="shared" ref="U105:U106" si="415">IF(AND(G105&lt;&gt;"",G104&lt;&gt;""),(G105-G104)/($B105-$B104),"")</f>
        <v>1.0107434835493478E-2</v>
      </c>
      <c r="V105" s="47">
        <f t="shared" ref="V105:V106" si="416">IF(AND(H105&lt;&gt;"",H104&lt;&gt;""),(H105-H104)/($B105-$B104),"")</f>
        <v>2.4433998250827926E-2</v>
      </c>
      <c r="W105" s="47">
        <f t="shared" ref="W105:W106" si="417">IF(AND(I105&lt;&gt;"",I104&lt;&gt;""),(I105-I104)/($B105-$B104),"")</f>
        <v>-1.8792520240396016E-3</v>
      </c>
      <c r="X105" s="47">
        <f t="shared" ref="X105:X106" si="418">IF(AND(J105&lt;&gt;"",J104&lt;&gt;""),(J105-J104)/($B105-$B104),"")</f>
        <v>-6.0262604273238667E-3</v>
      </c>
      <c r="Y105" s="47" t="str">
        <f t="shared" ref="Y105:Y106" si="419">IF(AND(K105&lt;&gt;"",K104&lt;&gt;""),(K105-K104)/($B105-$B104),"")</f>
        <v/>
      </c>
      <c r="Z105" s="47">
        <f t="shared" ref="Z105:Z106" si="420">IF(AND(L105&lt;&gt;"",L104&lt;&gt;""),(L105-L104)/($B105-$B104),"")</f>
        <v>-3.5045933975593378E-2</v>
      </c>
    </row>
    <row r="106" spans="1:26" ht="20.100000000000001" customHeight="1" x14ac:dyDescent="0.2">
      <c r="A106" s="50">
        <f t="shared" si="300"/>
        <v>752</v>
      </c>
      <c r="B106" s="51">
        <f t="shared" si="301"/>
        <v>44351</v>
      </c>
      <c r="C106" s="52">
        <f>'Résultats observations'!C106</f>
        <v>222.9</v>
      </c>
      <c r="D106" s="48">
        <f t="shared" si="302"/>
        <v>-36.835124959749166</v>
      </c>
      <c r="E106" s="47"/>
      <c r="F106" s="47">
        <f t="shared" si="373"/>
        <v>-27.116597384741148</v>
      </c>
      <c r="G106" s="48">
        <f t="shared" si="305"/>
        <v>-11.892841452507685</v>
      </c>
      <c r="H106" s="47">
        <f t="shared" si="374"/>
        <v>-25.481448598870138</v>
      </c>
      <c r="I106" s="48"/>
      <c r="J106" s="48">
        <f t="shared" si="375"/>
        <v>-22.820264571659976</v>
      </c>
      <c r="K106" s="47"/>
      <c r="L106" s="48"/>
      <c r="R106" s="47">
        <f t="shared" si="412"/>
        <v>-2.5840198808500605E-2</v>
      </c>
      <c r="S106" s="47" t="str">
        <f t="shared" si="413"/>
        <v/>
      </c>
      <c r="T106" s="47">
        <f t="shared" si="414"/>
        <v>-9.6876939936763051E-3</v>
      </c>
      <c r="U106" s="47">
        <f t="shared" si="415"/>
        <v>-1.0539172647991027E-2</v>
      </c>
      <c r="V106" s="47">
        <f t="shared" si="416"/>
        <v>-4.8005877478488453E-2</v>
      </c>
      <c r="W106" s="47" t="str">
        <f t="shared" si="417"/>
        <v/>
      </c>
      <c r="X106" s="47">
        <f t="shared" si="418"/>
        <v>-2.1652889758527749E-2</v>
      </c>
      <c r="Y106" s="47" t="str">
        <f t="shared" si="419"/>
        <v/>
      </c>
      <c r="Z106" s="47" t="str">
        <f t="shared" si="420"/>
        <v/>
      </c>
    </row>
    <row r="107" spans="1:26" ht="20.100000000000001" customHeight="1" x14ac:dyDescent="0.2">
      <c r="A107" s="50">
        <f t="shared" si="300"/>
        <v>758</v>
      </c>
      <c r="B107" s="51">
        <f t="shared" si="301"/>
        <v>44357</v>
      </c>
      <c r="C107" s="52">
        <f>'Résultats observations'!C107</f>
        <v>222.9</v>
      </c>
      <c r="D107" s="48">
        <f t="shared" si="302"/>
        <v>-36.470113754876188</v>
      </c>
      <c r="E107" s="47"/>
      <c r="F107" s="47">
        <f t="shared" si="373"/>
        <v>-27.06773646793037</v>
      </c>
      <c r="G107" s="48">
        <f t="shared" si="305"/>
        <v>-11.711135705996689</v>
      </c>
      <c r="H107" s="47">
        <f t="shared" si="374"/>
        <v>-25.120606390479416</v>
      </c>
      <c r="I107" s="48"/>
      <c r="J107" s="48">
        <f t="shared" si="375"/>
        <v>-22.559625605234501</v>
      </c>
      <c r="K107" s="47"/>
      <c r="L107" s="48"/>
      <c r="R107" s="47">
        <f t="shared" ref="R107:R108" si="421">IF(AND(D107&lt;&gt;"",D106&lt;&gt;""),(D107-D106)/($B107-$B106),"")</f>
        <v>6.0835200812163016E-2</v>
      </c>
      <c r="S107" s="47" t="str">
        <f t="shared" ref="S107:S108" si="422">IF(AND(E107&lt;&gt;"",E106&lt;&gt;""),(E107-E106)/($B107-$B106),"")</f>
        <v/>
      </c>
      <c r="T107" s="47">
        <f t="shared" ref="T107:T108" si="423">IF(AND(F107&lt;&gt;"",F106&lt;&gt;""),(F107-F106)/($B107-$B106),"")</f>
        <v>8.1434861351296437E-3</v>
      </c>
      <c r="U107" s="47">
        <f t="shared" ref="U107:U108" si="424">IF(AND(G107&lt;&gt;"",G106&lt;&gt;""),(G107-G106)/($B107-$B106),"")</f>
        <v>3.0284291085166021E-2</v>
      </c>
      <c r="V107" s="47">
        <f t="shared" ref="V107:V108" si="425">IF(AND(H107&lt;&gt;"",H106&lt;&gt;""),(H107-H106)/($B107-$B106),"")</f>
        <v>6.0140368065120242E-2</v>
      </c>
      <c r="W107" s="47" t="str">
        <f t="shared" ref="W107:W108" si="426">IF(AND(I107&lt;&gt;"",I106&lt;&gt;""),(I107-I106)/($B107-$B106),"")</f>
        <v/>
      </c>
      <c r="X107" s="47">
        <f t="shared" ref="X107:X108" si="427">IF(AND(J107&lt;&gt;"",J106&lt;&gt;""),(J107-J106)/($B107-$B106),"")</f>
        <v>4.3439827737579151E-2</v>
      </c>
      <c r="Y107" s="47" t="str">
        <f t="shared" ref="Y107:Y108" si="428">IF(AND(K107&lt;&gt;"",K106&lt;&gt;""),(K107-K106)/($B107-$B106),"")</f>
        <v/>
      </c>
      <c r="Z107" s="47" t="str">
        <f t="shared" ref="Z107:Z108" si="429">IF(AND(L107&lt;&gt;"",L106&lt;&gt;""),(L107-L106)/($B107-$B106),"")</f>
        <v/>
      </c>
    </row>
    <row r="108" spans="1:26" ht="20.100000000000001" customHeight="1" x14ac:dyDescent="0.2">
      <c r="A108" s="50">
        <f t="shared" si="300"/>
        <v>763</v>
      </c>
      <c r="B108" s="51">
        <f t="shared" si="301"/>
        <v>44362</v>
      </c>
      <c r="C108" s="52">
        <f>'Résultats observations'!C108</f>
        <v>222.9</v>
      </c>
      <c r="D108" s="48">
        <f t="shared" si="302"/>
        <v>-36.785223390938704</v>
      </c>
      <c r="E108" s="47"/>
      <c r="F108" s="47">
        <f t="shared" si="373"/>
        <v>-27.084245970300014</v>
      </c>
      <c r="G108" s="48">
        <f t="shared" si="305"/>
        <v>-11.586779119937773</v>
      </c>
      <c r="H108" s="47">
        <f t="shared" si="374"/>
        <v>-25.017845556515539</v>
      </c>
      <c r="I108" s="48"/>
      <c r="J108" s="48">
        <f t="shared" si="375"/>
        <v>-22.474556540205803</v>
      </c>
      <c r="K108" s="47"/>
      <c r="L108" s="48"/>
      <c r="R108" s="47">
        <f t="shared" si="421"/>
        <v>-6.3021927212503215E-2</v>
      </c>
      <c r="S108" s="47" t="str">
        <f t="shared" si="422"/>
        <v/>
      </c>
      <c r="T108" s="47">
        <f t="shared" si="423"/>
        <v>-3.3019004739287539E-3</v>
      </c>
      <c r="U108" s="47">
        <f t="shared" si="424"/>
        <v>2.487131721178315E-2</v>
      </c>
      <c r="V108" s="47">
        <f t="shared" si="425"/>
        <v>2.0552166792775495E-2</v>
      </c>
      <c r="W108" s="47" t="str">
        <f t="shared" si="426"/>
        <v/>
      </c>
      <c r="X108" s="47">
        <f t="shared" si="427"/>
        <v>1.7013813005739564E-2</v>
      </c>
      <c r="Y108" s="47" t="str">
        <f t="shared" si="428"/>
        <v/>
      </c>
      <c r="Z108" s="47" t="str">
        <f t="shared" si="429"/>
        <v/>
      </c>
    </row>
    <row r="109" spans="1:26" ht="20.100000000000001" customHeight="1" x14ac:dyDescent="0.2">
      <c r="A109" s="50">
        <f t="shared" si="300"/>
        <v>765</v>
      </c>
      <c r="B109" s="51">
        <f t="shared" si="301"/>
        <v>44364</v>
      </c>
      <c r="C109" s="52">
        <f>'Résultats observations'!C109</f>
        <v>222.9</v>
      </c>
      <c r="D109" s="48"/>
      <c r="E109" s="47"/>
      <c r="F109" s="47">
        <f t="shared" si="373"/>
        <v>-27.314976180827344</v>
      </c>
      <c r="G109" s="48">
        <f t="shared" si="305"/>
        <v>-11.854631704497187</v>
      </c>
      <c r="H109" s="47">
        <f t="shared" si="374"/>
        <v>-25.643984267519571</v>
      </c>
      <c r="I109" s="48">
        <f t="shared" si="306"/>
        <v>-34.295143852216547</v>
      </c>
      <c r="J109" s="48">
        <f t="shared" si="375"/>
        <v>-22.831365332639741</v>
      </c>
      <c r="K109" s="47"/>
      <c r="L109" s="48"/>
      <c r="R109" s="47" t="str">
        <f t="shared" ref="R109" si="430">IF(AND(D109&lt;&gt;"",D108&lt;&gt;""),(D109-D108)/($B109-$B108),"")</f>
        <v/>
      </c>
      <c r="S109" s="47" t="str">
        <f t="shared" ref="S109" si="431">IF(AND(E109&lt;&gt;"",E108&lt;&gt;""),(E109-E108)/($B109-$B108),"")</f>
        <v/>
      </c>
      <c r="T109" s="47">
        <f t="shared" ref="T109" si="432">IF(AND(F109&lt;&gt;"",F108&lt;&gt;""),(F109-F108)/($B109-$B108),"")</f>
        <v>-0.11536510526366506</v>
      </c>
      <c r="U109" s="47">
        <f t="shared" ref="U109" si="433">IF(AND(G109&lt;&gt;"",G108&lt;&gt;""),(G109-G108)/($B109-$B108),"")</f>
        <v>-0.13392629227970687</v>
      </c>
      <c r="V109" s="47">
        <f t="shared" ref="V109" si="434">IF(AND(H109&lt;&gt;"",H108&lt;&gt;""),(H109-H108)/($B109-$B108),"")</f>
        <v>-0.31306935550201587</v>
      </c>
      <c r="W109" s="47" t="str">
        <f t="shared" ref="W109" si="435">IF(AND(I109&lt;&gt;"",I108&lt;&gt;""),(I109-I108)/($B109-$B108),"")</f>
        <v/>
      </c>
      <c r="X109" s="47">
        <f t="shared" ref="X109" si="436">IF(AND(J109&lt;&gt;"",J108&lt;&gt;""),(J109-J108)/($B109-$B108),"")</f>
        <v>-0.17840439621696902</v>
      </c>
      <c r="Y109" s="47" t="str">
        <f t="shared" ref="Y109" si="437">IF(AND(K109&lt;&gt;"",K108&lt;&gt;""),(K109-K108)/($B109-$B108),"")</f>
        <v/>
      </c>
      <c r="Z109" s="47" t="str">
        <f t="shared" ref="Z109" si="438">IF(AND(L109&lt;&gt;"",L108&lt;&gt;""),(L109-L108)/($B109-$B108),"")</f>
        <v/>
      </c>
    </row>
    <row r="110" spans="1:26" ht="20.100000000000001" customHeight="1" x14ac:dyDescent="0.2">
      <c r="A110" s="50">
        <f t="shared" si="300"/>
        <v>770</v>
      </c>
      <c r="B110" s="51">
        <f t="shared" si="301"/>
        <v>44369</v>
      </c>
      <c r="C110" s="52">
        <f>'Résultats observations'!C110</f>
        <v>222.9</v>
      </c>
      <c r="D110" s="48">
        <f t="shared" si="302"/>
        <v>-38.183058184420027</v>
      </c>
      <c r="E110" s="47"/>
      <c r="F110" s="47">
        <f t="shared" si="373"/>
        <v>-27.854867478420697</v>
      </c>
      <c r="G110" s="48">
        <f t="shared" si="305"/>
        <v>-12.486139284287212</v>
      </c>
      <c r="H110" s="47">
        <f t="shared" si="374"/>
        <v>-26.385268075587831</v>
      </c>
      <c r="I110" s="48">
        <f t="shared" si="306"/>
        <v>-34.924342110342899</v>
      </c>
      <c r="J110" s="48">
        <f t="shared" si="375"/>
        <v>-23.90637191013667</v>
      </c>
      <c r="K110" s="47"/>
      <c r="L110" s="48">
        <f t="shared" si="309"/>
        <v>-26.386866136424381</v>
      </c>
      <c r="R110" s="47" t="str">
        <f t="shared" ref="R110:R111" si="439">IF(AND(D110&lt;&gt;"",D109&lt;&gt;""),(D110-D109)/($B110-$B109),"")</f>
        <v/>
      </c>
      <c r="S110" s="47" t="str">
        <f t="shared" ref="S110:S111" si="440">IF(AND(E110&lt;&gt;"",E109&lt;&gt;""),(E110-E109)/($B110-$B109),"")</f>
        <v/>
      </c>
      <c r="T110" s="47">
        <f t="shared" ref="T110:T111" si="441">IF(AND(F110&lt;&gt;"",F109&lt;&gt;""),(F110-F109)/($B110-$B109),"")</f>
        <v>-0.10797825951867068</v>
      </c>
      <c r="U110" s="47">
        <f t="shared" ref="U110:U111" si="442">IF(AND(G110&lt;&gt;"",G109&lt;&gt;""),(G110-G109)/($B110-$B109),"")</f>
        <v>-0.12630151595800498</v>
      </c>
      <c r="V110" s="47">
        <f t="shared" ref="V110:V111" si="443">IF(AND(H110&lt;&gt;"",H109&lt;&gt;""),(H110-H109)/($B110-$B109),"")</f>
        <v>-0.14825676161365209</v>
      </c>
      <c r="W110" s="47">
        <f t="shared" ref="W110:W111" si="444">IF(AND(I110&lt;&gt;"",I109&lt;&gt;""),(I110-I109)/($B110-$B109),"")</f>
        <v>-0.12583965162527022</v>
      </c>
      <c r="X110" s="47">
        <f t="shared" ref="X110:X111" si="445">IF(AND(J110&lt;&gt;"",J109&lt;&gt;""),(J110-J109)/($B110-$B109),"")</f>
        <v>-0.21500131549938573</v>
      </c>
      <c r="Y110" s="47" t="str">
        <f t="shared" ref="Y110:Y111" si="446">IF(AND(K110&lt;&gt;"",K109&lt;&gt;""),(K110-K109)/($B110-$B109),"")</f>
        <v/>
      </c>
      <c r="Z110" s="47" t="str">
        <f t="shared" ref="Z110:Z111" si="447">IF(AND(L110&lt;&gt;"",L109&lt;&gt;""),(L110-L109)/($B110-$B109),"")</f>
        <v/>
      </c>
    </row>
    <row r="111" spans="1:26" ht="20.100000000000001" customHeight="1" x14ac:dyDescent="0.2">
      <c r="A111" s="50">
        <f t="shared" si="300"/>
        <v>777</v>
      </c>
      <c r="B111" s="51">
        <f t="shared" si="301"/>
        <v>44376</v>
      </c>
      <c r="C111" s="52">
        <f>'Résultats observations'!C111</f>
        <v>222.9</v>
      </c>
      <c r="D111" s="48">
        <f t="shared" si="302"/>
        <v>-37.859927533467008</v>
      </c>
      <c r="E111" s="47"/>
      <c r="F111" s="47">
        <f t="shared" si="373"/>
        <v>-27.922366639492768</v>
      </c>
      <c r="G111" s="48">
        <f t="shared" si="305"/>
        <v>-12.230538055321816</v>
      </c>
      <c r="H111" s="47">
        <f t="shared" si="374"/>
        <v>-25.942340601560865</v>
      </c>
      <c r="I111" s="48">
        <f t="shared" si="306"/>
        <v>-34.599472257722752</v>
      </c>
      <c r="J111" s="48">
        <f t="shared" si="375"/>
        <v>-23.773413665483467</v>
      </c>
      <c r="K111" s="47"/>
      <c r="L111" s="48">
        <f t="shared" si="309"/>
        <v>-26.253721883227499</v>
      </c>
      <c r="R111" s="47">
        <f t="shared" si="439"/>
        <v>4.616152156471693E-2</v>
      </c>
      <c r="S111" s="47" t="str">
        <f t="shared" si="440"/>
        <v/>
      </c>
      <c r="T111" s="47">
        <f t="shared" si="441"/>
        <v>-9.6427372960101419E-3</v>
      </c>
      <c r="U111" s="47">
        <f t="shared" si="442"/>
        <v>3.6514461280770912E-2</v>
      </c>
      <c r="V111" s="47">
        <f t="shared" si="443"/>
        <v>6.3275353432423742E-2</v>
      </c>
      <c r="W111" s="47">
        <f t="shared" si="444"/>
        <v>4.6409978945735224E-2</v>
      </c>
      <c r="X111" s="47">
        <f t="shared" si="445"/>
        <v>1.8994034950457563E-2</v>
      </c>
      <c r="Y111" s="47" t="str">
        <f t="shared" si="446"/>
        <v/>
      </c>
      <c r="Z111" s="47">
        <f t="shared" si="447"/>
        <v>1.9020607599554547E-2</v>
      </c>
    </row>
    <row r="112" spans="1:26" ht="20.100000000000001" customHeight="1" x14ac:dyDescent="0.2">
      <c r="A112" s="50">
        <f t="shared" si="300"/>
        <v>779</v>
      </c>
      <c r="B112" s="51">
        <f t="shared" si="301"/>
        <v>44378</v>
      </c>
      <c r="C112" s="52">
        <f>'Résultats observations'!C112</f>
        <v>222.9</v>
      </c>
      <c r="D112" s="48">
        <f t="shared" si="302"/>
        <v>-37.383248462936614</v>
      </c>
      <c r="E112" s="47"/>
      <c r="F112" s="47">
        <f t="shared" si="373"/>
        <v>-27.664091528269097</v>
      </c>
      <c r="G112" s="48">
        <f t="shared" si="305"/>
        <v>-12.124000464728724</v>
      </c>
      <c r="H112" s="47">
        <f t="shared" si="374"/>
        <v>-25.754989135093886</v>
      </c>
      <c r="I112" s="48">
        <f t="shared" si="306"/>
        <v>-34.232193644021081</v>
      </c>
      <c r="J112" s="48">
        <f t="shared" si="375"/>
        <v>-23.326208142046667</v>
      </c>
      <c r="K112" s="47"/>
      <c r="L112" s="48">
        <f t="shared" si="309"/>
        <v>-25.794563959355088</v>
      </c>
      <c r="R112" s="47">
        <f t="shared" ref="R112:R113" si="448">IF(AND(D112&lt;&gt;"",D111&lt;&gt;""),(D112-D111)/($B112-$B111),"")</f>
        <v>0.23833953526519736</v>
      </c>
      <c r="S112" s="47" t="str">
        <f t="shared" ref="S112:S113" si="449">IF(AND(E112&lt;&gt;"",E111&lt;&gt;""),(E112-E111)/($B112-$B111),"")</f>
        <v/>
      </c>
      <c r="T112" s="47">
        <f t="shared" ref="T112:T113" si="450">IF(AND(F112&lt;&gt;"",F111&lt;&gt;""),(F112-F111)/($B112-$B111),"")</f>
        <v>0.12913755561183571</v>
      </c>
      <c r="U112" s="47">
        <f t="shared" ref="U112:U113" si="451">IF(AND(G112&lt;&gt;"",G111&lt;&gt;""),(G112-G111)/($B112-$B111),"")</f>
        <v>5.3268795296546045E-2</v>
      </c>
      <c r="V112" s="47">
        <f t="shared" ref="V112:V113" si="452">IF(AND(H112&lt;&gt;"",H111&lt;&gt;""),(H112-H111)/($B112-$B111),"")</f>
        <v>9.3675733233489211E-2</v>
      </c>
      <c r="W112" s="47">
        <f t="shared" ref="W112:W113" si="453">IF(AND(I112&lt;&gt;"",I111&lt;&gt;""),(I112-I111)/($B112-$B111),"")</f>
        <v>0.18363930685083574</v>
      </c>
      <c r="X112" s="47">
        <f t="shared" ref="X112:X113" si="454">IF(AND(J112&lt;&gt;"",J111&lt;&gt;""),(J112-J111)/($B112-$B111),"")</f>
        <v>0.22360276171839999</v>
      </c>
      <c r="Y112" s="47" t="str">
        <f t="shared" ref="Y112:Y113" si="455">IF(AND(K112&lt;&gt;"",K111&lt;&gt;""),(K112-K111)/($B112-$B111),"")</f>
        <v/>
      </c>
      <c r="Z112" s="47">
        <f t="shared" ref="Z112:Z113" si="456">IF(AND(L112&lt;&gt;"",L111&lt;&gt;""),(L112-L111)/($B112-$B111),"")</f>
        <v>0.22957896193620542</v>
      </c>
    </row>
    <row r="113" spans="1:26" ht="20.100000000000001" customHeight="1" x14ac:dyDescent="0.2">
      <c r="A113" s="50">
        <f t="shared" si="300"/>
        <v>793</v>
      </c>
      <c r="B113" s="51">
        <f t="shared" si="301"/>
        <v>44392</v>
      </c>
      <c r="C113" s="52">
        <f>'Résultats observations'!C113</f>
        <v>222.9</v>
      </c>
      <c r="D113" s="48">
        <f t="shared" si="302"/>
        <v>-37.294731517849122</v>
      </c>
      <c r="E113" s="47"/>
      <c r="F113" s="47">
        <f t="shared" si="373"/>
        <v>-27.547040428681058</v>
      </c>
      <c r="G113" s="48">
        <f t="shared" si="305"/>
        <v>-12.158162218490087</v>
      </c>
      <c r="H113" s="47"/>
      <c r="I113" s="48"/>
      <c r="J113" s="48">
        <f t="shared" si="375"/>
        <v>-23.145362128889069</v>
      </c>
      <c r="K113" s="47"/>
      <c r="L113" s="48"/>
      <c r="R113" s="47">
        <f t="shared" si="448"/>
        <v>6.3226389348208E-3</v>
      </c>
      <c r="S113" s="47" t="str">
        <f t="shared" si="449"/>
        <v/>
      </c>
      <c r="T113" s="47">
        <f t="shared" si="450"/>
        <v>8.3607928277170829E-3</v>
      </c>
      <c r="U113" s="47">
        <f t="shared" si="451"/>
        <v>-2.4401252686688324E-3</v>
      </c>
      <c r="V113" s="47" t="str">
        <f t="shared" si="452"/>
        <v/>
      </c>
      <c r="W113" s="47" t="str">
        <f t="shared" si="453"/>
        <v/>
      </c>
      <c r="X113" s="47">
        <f t="shared" si="454"/>
        <v>1.2917572368399886E-2</v>
      </c>
      <c r="Y113" s="47" t="str">
        <f t="shared" si="455"/>
        <v/>
      </c>
      <c r="Z113" s="47" t="str">
        <f t="shared" si="456"/>
        <v/>
      </c>
    </row>
    <row r="114" spans="1:26" ht="20.100000000000001" customHeight="1" x14ac:dyDescent="0.2">
      <c r="A114" s="50">
        <f t="shared" si="300"/>
        <v>801</v>
      </c>
      <c r="B114" s="51">
        <f t="shared" si="301"/>
        <v>44400</v>
      </c>
      <c r="C114" s="52">
        <f>'Résultats observations'!C114</f>
        <v>222.9</v>
      </c>
      <c r="D114" s="48">
        <f t="shared" si="302"/>
        <v>-38.486594323535073</v>
      </c>
      <c r="E114" s="47"/>
      <c r="F114" s="47">
        <f t="shared" si="373"/>
        <v>-28.381687289741997</v>
      </c>
      <c r="G114" s="48">
        <f t="shared" si="305"/>
        <v>-12.387790834194501</v>
      </c>
      <c r="H114" s="47">
        <f t="shared" si="374"/>
        <v>-26.34343975335085</v>
      </c>
      <c r="I114" s="48"/>
      <c r="J114" s="48">
        <f t="shared" si="375"/>
        <v>-24.141041301256827</v>
      </c>
      <c r="K114" s="47"/>
      <c r="L114" s="48"/>
      <c r="R114" s="47">
        <f t="shared" ref="R114" si="457">IF(AND(D114&lt;&gt;"",D113&lt;&gt;""),(D114-D113)/($B114-$B113),"")</f>
        <v>-0.1489828507107438</v>
      </c>
      <c r="S114" s="47" t="str">
        <f t="shared" ref="S114" si="458">IF(AND(E114&lt;&gt;"",E113&lt;&gt;""),(E114-E113)/($B114-$B113),"")</f>
        <v/>
      </c>
      <c r="T114" s="47">
        <f t="shared" ref="T114" si="459">IF(AND(F114&lt;&gt;"",F113&lt;&gt;""),(F114-F113)/($B114-$B113),"")</f>
        <v>-0.1043308576326174</v>
      </c>
      <c r="U114" s="47">
        <f t="shared" ref="U114" si="460">IF(AND(G114&lt;&gt;"",G113&lt;&gt;""),(G114-G113)/($B114-$B113),"")</f>
        <v>-2.8703576963051702E-2</v>
      </c>
      <c r="V114" s="47" t="str">
        <f t="shared" ref="V114" si="461">IF(AND(H114&lt;&gt;"",H113&lt;&gt;""),(H114-H113)/($B114-$B113),"")</f>
        <v/>
      </c>
      <c r="W114" s="47" t="str">
        <f t="shared" ref="W114" si="462">IF(AND(I114&lt;&gt;"",I113&lt;&gt;""),(I114-I113)/($B114-$B113),"")</f>
        <v/>
      </c>
      <c r="X114" s="47">
        <f t="shared" ref="X114" si="463">IF(AND(J114&lt;&gt;"",J113&lt;&gt;""),(J114-J113)/($B114-$B113),"")</f>
        <v>-0.12445989654596978</v>
      </c>
      <c r="Y114" s="47" t="str">
        <f t="shared" ref="Y114" si="464">IF(AND(K114&lt;&gt;"",K113&lt;&gt;""),(K114-K113)/($B114-$B113),"")</f>
        <v/>
      </c>
      <c r="Z114" s="47" t="str">
        <f t="shared" ref="Z114" si="465">IF(AND(L114&lt;&gt;"",L113&lt;&gt;""),(L114-L113)/($B114-$B113),"")</f>
        <v/>
      </c>
    </row>
    <row r="115" spans="1:26" ht="20.100000000000001" customHeight="1" x14ac:dyDescent="0.2">
      <c r="A115" s="50">
        <f t="shared" si="300"/>
        <v>811</v>
      </c>
      <c r="B115" s="51">
        <f t="shared" si="301"/>
        <v>44410</v>
      </c>
      <c r="C115" s="52">
        <f>'Résultats observations'!C115</f>
        <v>222.9</v>
      </c>
      <c r="D115" s="48">
        <f t="shared" si="302"/>
        <v>-37.927179575539149</v>
      </c>
      <c r="E115" s="47"/>
      <c r="F115" s="47">
        <f t="shared" si="373"/>
        <v>-27.969838961768634</v>
      </c>
      <c r="G115" s="48">
        <f t="shared" si="305"/>
        <v>-12.430085450987782</v>
      </c>
      <c r="H115" s="47">
        <f t="shared" si="374"/>
        <v>-26.145134914575152</v>
      </c>
      <c r="I115" s="48">
        <f t="shared" ref="I115:I120" si="466">Ecart_BD</f>
        <v>-34.605350434699034</v>
      </c>
      <c r="J115" s="48">
        <f t="shared" si="375"/>
        <v>-23.784652199596579</v>
      </c>
      <c r="K115" s="47"/>
      <c r="L115" s="48">
        <f t="shared" ref="L115:L120" si="467">Ecart_LB</f>
        <v>-25.825704702771901</v>
      </c>
      <c r="R115" s="47">
        <f t="shared" ref="R115" si="468">IF(AND(D115&lt;&gt;"",D114&lt;&gt;""),(D115-D114)/($B115-$B114),"")</f>
        <v>5.5941474799592328E-2</v>
      </c>
      <c r="S115" s="47" t="str">
        <f t="shared" ref="S115" si="469">IF(AND(E115&lt;&gt;"",E114&lt;&gt;""),(E115-E114)/($B115-$B114),"")</f>
        <v/>
      </c>
      <c r="T115" s="47">
        <f t="shared" ref="T115" si="470">IF(AND(F115&lt;&gt;"",F114&lt;&gt;""),(F115-F114)/($B115-$B114),"")</f>
        <v>4.1184832797336313E-2</v>
      </c>
      <c r="U115" s="47">
        <f t="shared" ref="U115" si="471">IF(AND(G115&lt;&gt;"",G114&lt;&gt;""),(G115-G114)/($B115-$B114),"")</f>
        <v>-4.2294616793281392E-3</v>
      </c>
      <c r="V115" s="47">
        <f t="shared" ref="V115" si="472">IF(AND(H115&lt;&gt;"",H114&lt;&gt;""),(H115-H114)/($B115-$B114),"")</f>
        <v>1.9830483877569804E-2</v>
      </c>
      <c r="W115" s="47" t="str">
        <f t="shared" ref="W115" si="473">IF(AND(I115&lt;&gt;"",I114&lt;&gt;""),(I115-I114)/($B115-$B114),"")</f>
        <v/>
      </c>
      <c r="X115" s="47">
        <f t="shared" ref="X115" si="474">IF(AND(J115&lt;&gt;"",J114&lt;&gt;""),(J115-J114)/($B115-$B114),"")</f>
        <v>3.5638910166024829E-2</v>
      </c>
      <c r="Y115" s="47" t="str">
        <f t="shared" ref="Y115" si="475">IF(AND(K115&lt;&gt;"",K114&lt;&gt;""),(K115-K114)/($B115-$B114),"")</f>
        <v/>
      </c>
      <c r="Z115" s="47" t="str">
        <f t="shared" ref="Z115" si="476">IF(AND(L115&lt;&gt;"",L114&lt;&gt;""),(L115-L114)/($B115-$B114),"")</f>
        <v/>
      </c>
    </row>
    <row r="116" spans="1:26" ht="20.100000000000001" customHeight="1" x14ac:dyDescent="0.2">
      <c r="A116" s="50">
        <f t="shared" si="300"/>
        <v>854</v>
      </c>
      <c r="B116" s="51">
        <f t="shared" si="301"/>
        <v>44453</v>
      </c>
      <c r="C116" s="52">
        <f>'Résultats observations'!C116</f>
        <v>222.9</v>
      </c>
      <c r="D116" s="48">
        <f t="shared" si="302"/>
        <v>-38.547001258487867</v>
      </c>
      <c r="E116" s="47"/>
      <c r="F116" s="47">
        <f t="shared" si="373"/>
        <v>-28.430266765801182</v>
      </c>
      <c r="G116" s="48">
        <f t="shared" si="305"/>
        <v>-12.524479793886822</v>
      </c>
      <c r="H116" s="47">
        <f t="shared" si="374"/>
        <v>-26.55508200116774</v>
      </c>
      <c r="I116" s="48">
        <f t="shared" si="466"/>
        <v>-35.426665621672626</v>
      </c>
      <c r="J116" s="48">
        <f t="shared" si="375"/>
        <v>-24.008016376557251</v>
      </c>
      <c r="K116" s="47"/>
      <c r="L116" s="48">
        <f t="shared" si="467"/>
        <v>-26.269540522385171</v>
      </c>
      <c r="R116" s="47">
        <f t="shared" ref="R116:R117" si="477">IF(AND(D116&lt;&gt;"",D115&lt;&gt;""),(D116-D115)/($B116-$B115),"")</f>
        <v>-1.4414457742993441E-2</v>
      </c>
      <c r="S116" s="47" t="str">
        <f t="shared" ref="S116:S117" si="478">IF(AND(E116&lt;&gt;"",E115&lt;&gt;""),(E116-E115)/($B116-$B115),"")</f>
        <v/>
      </c>
      <c r="T116" s="47">
        <f t="shared" ref="T116:T117" si="479">IF(AND(F116&lt;&gt;"",F115&lt;&gt;""),(F116-F115)/($B116-$B115),"")</f>
        <v>-1.0707623349594145E-2</v>
      </c>
      <c r="U116" s="47">
        <f t="shared" ref="U116:U117" si="480">IF(AND(G116&lt;&gt;"",G115&lt;&gt;""),(G116-G115)/($B116-$B115),"")</f>
        <v>-2.1952172767218639E-3</v>
      </c>
      <c r="V116" s="47">
        <f t="shared" ref="V116:V117" si="481">IF(AND(H116&lt;&gt;"",H115&lt;&gt;""),(H116-H115)/($B116-$B115),"")</f>
        <v>-9.5336531765718158E-3</v>
      </c>
      <c r="W116" s="47">
        <f t="shared" ref="W116:W117" si="482">IF(AND(I116&lt;&gt;"",I115&lt;&gt;""),(I116-I115)/($B116-$B115),"")</f>
        <v>-1.9100353185432382E-2</v>
      </c>
      <c r="X116" s="47">
        <f t="shared" ref="X116:X117" si="483">IF(AND(J116&lt;&gt;"",J115&lt;&gt;""),(J116-J115)/($B116-$B115),"")</f>
        <v>-5.194515743271442E-3</v>
      </c>
      <c r="Y116" s="47" t="str">
        <f t="shared" ref="Y116:Y117" si="484">IF(AND(K116&lt;&gt;"",K115&lt;&gt;""),(K116-K115)/($B116-$B115),"")</f>
        <v/>
      </c>
      <c r="Z116" s="47">
        <f t="shared" ref="Z116:Z117" si="485">IF(AND(L116&lt;&gt;"",L115&lt;&gt;""),(L116-L115)/($B116-$B115),"")</f>
        <v>-1.0321763246820225E-2</v>
      </c>
    </row>
    <row r="117" spans="1:26" ht="20.100000000000001" customHeight="1" x14ac:dyDescent="0.2">
      <c r="A117" s="50">
        <f t="shared" si="300"/>
        <v>871</v>
      </c>
      <c r="B117" s="51">
        <f t="shared" si="301"/>
        <v>44470</v>
      </c>
      <c r="C117" s="52">
        <f>'Résultats observations'!C117</f>
        <v>222.9</v>
      </c>
      <c r="D117" s="48">
        <f t="shared" si="302"/>
        <v>-39.127072600869894</v>
      </c>
      <c r="E117" s="47"/>
      <c r="F117" s="47">
        <f t="shared" si="373"/>
        <v>-28.952417725255142</v>
      </c>
      <c r="G117" s="48">
        <f t="shared" si="305"/>
        <v>-12.459033173140011</v>
      </c>
      <c r="H117" s="47">
        <f t="shared" si="374"/>
        <v>-26.975683955847707</v>
      </c>
      <c r="I117" s="48">
        <f t="shared" si="466"/>
        <v>-35.584636521597268</v>
      </c>
      <c r="J117" s="48">
        <f t="shared" si="375"/>
        <v>-24.188983285003296</v>
      </c>
      <c r="K117" s="47"/>
      <c r="L117" s="48">
        <f t="shared" si="467"/>
        <v>-26.434225646724485</v>
      </c>
      <c r="R117" s="47">
        <f t="shared" si="477"/>
        <v>-3.4121843669530999E-2</v>
      </c>
      <c r="S117" s="47" t="str">
        <f t="shared" si="478"/>
        <v/>
      </c>
      <c r="T117" s="47">
        <f t="shared" si="479"/>
        <v>-3.0714762320821161E-2</v>
      </c>
      <c r="U117" s="47">
        <f t="shared" si="480"/>
        <v>3.8498012204006967E-3</v>
      </c>
      <c r="V117" s="47">
        <f t="shared" si="481"/>
        <v>-2.4741291451762744E-2</v>
      </c>
      <c r="W117" s="47">
        <f t="shared" si="482"/>
        <v>-9.2924058779201221E-3</v>
      </c>
      <c r="X117" s="47">
        <f t="shared" si="483"/>
        <v>-1.0645112261532072E-2</v>
      </c>
      <c r="Y117" s="47" t="str">
        <f t="shared" si="484"/>
        <v/>
      </c>
      <c r="Z117" s="47">
        <f t="shared" si="485"/>
        <v>-9.6873602552537859E-3</v>
      </c>
    </row>
    <row r="118" spans="1:26" ht="20.100000000000001" customHeight="1" x14ac:dyDescent="0.2">
      <c r="A118" s="50">
        <f t="shared" si="300"/>
        <v>890</v>
      </c>
      <c r="B118" s="51">
        <f t="shared" si="301"/>
        <v>44489</v>
      </c>
      <c r="C118" s="52">
        <f>'Résultats observations'!C118</f>
        <v>222.9</v>
      </c>
      <c r="D118" s="48">
        <f t="shared" si="302"/>
        <v>-38.789343599471948</v>
      </c>
      <c r="E118" s="47"/>
      <c r="F118" s="47">
        <f t="shared" si="373"/>
        <v>-28.436474879145912</v>
      </c>
      <c r="G118" s="48">
        <f t="shared" si="305"/>
        <v>-12.58043496911343</v>
      </c>
      <c r="H118" s="47">
        <f t="shared" si="374"/>
        <v>-26.788730680712192</v>
      </c>
      <c r="I118" s="48">
        <f t="shared" si="466"/>
        <v>-35.80658245003665</v>
      </c>
      <c r="J118" s="48">
        <f t="shared" si="375"/>
        <v>-23.90672683580064</v>
      </c>
      <c r="K118" s="47"/>
      <c r="L118" s="48">
        <f t="shared" si="467"/>
        <v>-26.359786808886732</v>
      </c>
      <c r="R118" s="47">
        <f t="shared" ref="R118:R119" si="486">IF(AND(D118&lt;&gt;"",D117&lt;&gt;""),(D118-D117)/($B118-$B117),"")</f>
        <v>1.7775210599891903E-2</v>
      </c>
      <c r="S118" s="47" t="str">
        <f t="shared" ref="S118:S119" si="487">IF(AND(E118&lt;&gt;"",E117&lt;&gt;""),(E118-E117)/($B118-$B117),"")</f>
        <v/>
      </c>
      <c r="T118" s="47">
        <f t="shared" ref="T118:T119" si="488">IF(AND(F118&lt;&gt;"",F117&lt;&gt;""),(F118-F117)/($B118-$B117),"")</f>
        <v>2.7154886637327878E-2</v>
      </c>
      <c r="U118" s="47">
        <f t="shared" ref="U118:U119" si="489">IF(AND(G118&lt;&gt;"",G117&lt;&gt;""),(G118-G117)/($B118-$B117),"")</f>
        <v>-6.38956820912733E-3</v>
      </c>
      <c r="V118" s="47">
        <f t="shared" ref="V118:V119" si="490">IF(AND(H118&lt;&gt;"",H117&lt;&gt;""),(H118-H117)/($B118-$B117),"")</f>
        <v>9.8396460597639564E-3</v>
      </c>
      <c r="W118" s="47">
        <f t="shared" ref="W118:W119" si="491">IF(AND(I118&lt;&gt;"",I117&lt;&gt;""),(I118-I117)/($B118-$B117),"")</f>
        <v>-1.1681364654704322E-2</v>
      </c>
      <c r="X118" s="47">
        <f t="shared" ref="X118:X119" si="492">IF(AND(J118&lt;&gt;"",J117&lt;&gt;""),(J118-J117)/($B118-$B117),"")</f>
        <v>1.4855602589613463E-2</v>
      </c>
      <c r="Y118" s="47" t="str">
        <f t="shared" ref="Y118:Y119" si="493">IF(AND(K118&lt;&gt;"",K117&lt;&gt;""),(K118-K117)/($B118-$B117),"")</f>
        <v/>
      </c>
      <c r="Z118" s="47">
        <f t="shared" ref="Z118:Z119" si="494">IF(AND(L118&lt;&gt;"",L117&lt;&gt;""),(L118-L117)/($B118-$B117),"")</f>
        <v>3.9178335704080853E-3</v>
      </c>
    </row>
    <row r="119" spans="1:26" ht="20.100000000000001" customHeight="1" x14ac:dyDescent="0.2">
      <c r="A119" s="50">
        <f t="shared" si="300"/>
        <v>903</v>
      </c>
      <c r="B119" s="51">
        <f t="shared" si="301"/>
        <v>44502</v>
      </c>
      <c r="C119" s="52">
        <f>'Résultats observations'!C119</f>
        <v>222.9</v>
      </c>
      <c r="D119" s="48">
        <f t="shared" si="302"/>
        <v>-39.379631816959915</v>
      </c>
      <c r="E119" s="47"/>
      <c r="F119" s="47">
        <f t="shared" si="373"/>
        <v>-28.747822185600125</v>
      </c>
      <c r="G119" s="48">
        <f t="shared" si="305"/>
        <v>-12.523187543023173</v>
      </c>
      <c r="H119" s="47">
        <f t="shared" si="374"/>
        <v>-27.36326288457569</v>
      </c>
      <c r="I119" s="48">
        <f t="shared" si="466"/>
        <v>-36.102030050711775</v>
      </c>
      <c r="J119" s="48">
        <f t="shared" si="375"/>
        <v>-24.045143821582293</v>
      </c>
      <c r="K119" s="47"/>
      <c r="L119" s="48">
        <f t="shared" si="467"/>
        <v>-26.441637992641098</v>
      </c>
      <c r="R119" s="47">
        <f t="shared" si="486"/>
        <v>-4.5406785960612803E-2</v>
      </c>
      <c r="S119" s="47" t="str">
        <f t="shared" si="487"/>
        <v/>
      </c>
      <c r="T119" s="47">
        <f t="shared" si="488"/>
        <v>-2.3949792804170207E-2</v>
      </c>
      <c r="U119" s="47">
        <f t="shared" si="489"/>
        <v>4.4036481607889755E-3</v>
      </c>
      <c r="V119" s="47">
        <f t="shared" si="490"/>
        <v>-4.4194784912576779E-2</v>
      </c>
      <c r="W119" s="47">
        <f t="shared" si="491"/>
        <v>-2.2726738513471154E-2</v>
      </c>
      <c r="X119" s="47">
        <f t="shared" si="492"/>
        <v>-1.0647460444742544E-2</v>
      </c>
      <c r="Y119" s="47" t="str">
        <f t="shared" si="493"/>
        <v/>
      </c>
      <c r="Z119" s="47">
        <f t="shared" si="494"/>
        <v>-6.2962449041820559E-3</v>
      </c>
    </row>
    <row r="120" spans="1:26" ht="20.100000000000001" customHeight="1" x14ac:dyDescent="0.2">
      <c r="A120" s="50">
        <f t="shared" si="300"/>
        <v>1316</v>
      </c>
      <c r="B120" s="51">
        <f t="shared" si="301"/>
        <v>44915</v>
      </c>
      <c r="C120" s="52">
        <f>'Résultats observations'!C120</f>
        <v>222.9</v>
      </c>
      <c r="D120" s="48">
        <f t="shared" si="302"/>
        <v>-48.791778663348495</v>
      </c>
      <c r="E120" s="47"/>
      <c r="F120" s="47">
        <f t="shared" si="373"/>
        <v>-35.062447863706936</v>
      </c>
      <c r="G120" s="48">
        <f t="shared" si="305"/>
        <v>-15.831470632551969</v>
      </c>
      <c r="H120" s="47">
        <f t="shared" si="374"/>
        <v>-34.503365711883838</v>
      </c>
      <c r="I120" s="48">
        <f t="shared" si="466"/>
        <v>-46.011075376480193</v>
      </c>
      <c r="J120" s="48">
        <f t="shared" si="375"/>
        <v>-30.572326678477424</v>
      </c>
      <c r="K120" s="47"/>
      <c r="L120" s="48">
        <f t="shared" si="467"/>
        <v>-33.126017051179346</v>
      </c>
      <c r="R120" s="47">
        <f t="shared" ref="R120" si="495">IF(AND(D120&lt;&gt;"",D119&lt;&gt;""),(D120-D119)/($B120-$B119),"")</f>
        <v>-2.2789701807236273E-2</v>
      </c>
      <c r="S120" s="47" t="str">
        <f t="shared" ref="S120" si="496">IF(AND(E120&lt;&gt;"",E119&lt;&gt;""),(E120-E119)/($B120-$B119),"")</f>
        <v/>
      </c>
      <c r="T120" s="47">
        <f t="shared" ref="T120" si="497">IF(AND(F120&lt;&gt;"",F119&lt;&gt;""),(F120-F119)/($B120-$B119),"")</f>
        <v>-1.5289650552316734E-2</v>
      </c>
      <c r="U120" s="47">
        <f t="shared" ref="U120" si="498">IF(AND(G120&lt;&gt;"",G119&lt;&gt;""),(G120-G119)/($B120-$B119),"")</f>
        <v>-8.0103706768251733E-3</v>
      </c>
      <c r="V120" s="47">
        <f t="shared" ref="V120" si="499">IF(AND(H120&lt;&gt;"",H119&lt;&gt;""),(H120-H119)/($B120-$B119),"")</f>
        <v>-1.7288384569753384E-2</v>
      </c>
      <c r="W120" s="47">
        <f t="shared" ref="W120" si="500">IF(AND(I120&lt;&gt;"",I119&lt;&gt;""),(I120-I119)/($B120-$B119),"")</f>
        <v>-2.3992845825105125E-2</v>
      </c>
      <c r="X120" s="47">
        <f t="shared" ref="X120" si="501">IF(AND(J120&lt;&gt;"",J119&lt;&gt;""),(J120-J119)/($B120-$B119),"")</f>
        <v>-1.5804316844782399E-2</v>
      </c>
      <c r="Y120" s="47" t="str">
        <f t="shared" ref="Y120" si="502">IF(AND(K120&lt;&gt;"",K119&lt;&gt;""),(K120-K119)/($B120-$B119),"")</f>
        <v/>
      </c>
      <c r="Z120" s="47">
        <f t="shared" ref="Z120" si="503">IF(AND(L120&lt;&gt;"",L119&lt;&gt;""),(L120-L119)/($B120-$B119),"")</f>
        <v>-1.6184937187743942E-2</v>
      </c>
    </row>
    <row r="121" spans="1:26" ht="20.100000000000001" customHeight="1" x14ac:dyDescent="0.2">
      <c r="A121" s="50"/>
      <c r="B121" s="51"/>
      <c r="C121" s="52"/>
      <c r="D121" s="48"/>
      <c r="E121" s="47"/>
      <c r="F121" s="47"/>
      <c r="G121" s="48"/>
      <c r="H121" s="47"/>
      <c r="I121" s="48"/>
      <c r="J121" s="48"/>
      <c r="K121" s="47"/>
      <c r="L121" s="48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20.100000000000001" customHeight="1" x14ac:dyDescent="0.2">
      <c r="A122" s="50"/>
      <c r="B122" s="51"/>
      <c r="C122" s="52"/>
      <c r="D122" s="48"/>
      <c r="E122" s="47"/>
      <c r="F122" s="47"/>
      <c r="G122" s="48"/>
      <c r="H122" s="47"/>
      <c r="I122" s="48"/>
      <c r="J122" s="48"/>
      <c r="K122" s="47"/>
      <c r="L122" s="48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20.100000000000001" customHeight="1" x14ac:dyDescent="0.2">
      <c r="A123" s="50"/>
      <c r="B123" s="51"/>
      <c r="C123" s="52"/>
      <c r="D123" s="48"/>
      <c r="E123" s="47"/>
      <c r="F123" s="47"/>
      <c r="G123" s="48"/>
      <c r="H123" s="47"/>
      <c r="I123" s="48"/>
      <c r="J123" s="48"/>
      <c r="K123" s="47"/>
      <c r="L123" s="48"/>
      <c r="R123" s="47"/>
      <c r="S123" s="47"/>
      <c r="T123" s="47"/>
      <c r="U123" s="47"/>
      <c r="V123" s="47"/>
      <c r="W123" s="47"/>
      <c r="X123" s="47"/>
      <c r="Y123" s="47"/>
      <c r="Z123" s="47"/>
    </row>
  </sheetData>
  <mergeCells count="6">
    <mergeCell ref="N20:P20"/>
    <mergeCell ref="R8:Z8"/>
    <mergeCell ref="D8:L8"/>
    <mergeCell ref="U1:Z1"/>
    <mergeCell ref="U2:Z2"/>
    <mergeCell ref="A5:Z5"/>
  </mergeCells>
  <phoneticPr fontId="35" type="noConversion"/>
  <printOptions horizontalCentered="1"/>
  <pageMargins left="0.39370078740157483" right="0.39370078740157483" top="0.19685039370078741" bottom="0.19685039370078741" header="0.51181102362204722" footer="0.51181102362204722"/>
  <pageSetup paperSize="9" scale="64" fitToHeight="0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BH196"/>
  <sheetViews>
    <sheetView topLeftCell="A100" zoomScale="55" zoomScaleNormal="55" workbookViewId="0">
      <selection activeCell="A120" sqref="A120:AD120"/>
    </sheetView>
  </sheetViews>
  <sheetFormatPr baseColWidth="10" defaultRowHeight="12.75" x14ac:dyDescent="0.2"/>
  <cols>
    <col min="1" max="1" width="10.28515625" customWidth="1"/>
    <col min="2" max="2" width="11.140625" style="21" bestFit="1" customWidth="1"/>
    <col min="3" max="30" width="11.28515625" customWidth="1"/>
    <col min="31" max="31" width="22.85546875" style="23" customWidth="1"/>
    <col min="41" max="41" width="13.5703125" bestFit="1" customWidth="1"/>
    <col min="43" max="49" width="11.42578125" style="12"/>
    <col min="51" max="54" width="11.42578125" customWidth="1"/>
  </cols>
  <sheetData>
    <row r="1" spans="1:60" s="2" customFormat="1" ht="27.75" customHeight="1" x14ac:dyDescent="0.2">
      <c r="B1" s="17"/>
      <c r="Y1" s="144" t="s">
        <v>9</v>
      </c>
      <c r="Z1" s="144"/>
      <c r="AA1" s="144"/>
      <c r="AB1" s="144"/>
      <c r="AC1" s="144"/>
      <c r="AD1" s="16"/>
      <c r="AE1" s="22"/>
    </row>
    <row r="2" spans="1:60" s="2" customFormat="1" ht="15.75" x14ac:dyDescent="0.2">
      <c r="B2" s="17"/>
      <c r="Y2" s="144" t="s">
        <v>53</v>
      </c>
      <c r="Z2" s="144"/>
      <c r="AA2" s="144"/>
      <c r="AB2" s="144"/>
      <c r="AC2" s="144"/>
      <c r="AD2" s="16"/>
      <c r="AE2" s="22"/>
    </row>
    <row r="3" spans="1:60" s="2" customFormat="1" ht="15" customHeight="1" x14ac:dyDescent="0.2">
      <c r="B3" s="17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29"/>
      <c r="AC3" s="29"/>
      <c r="AD3" s="29"/>
      <c r="AE3" s="22"/>
    </row>
    <row r="4" spans="1:60" ht="15" customHeight="1" x14ac:dyDescent="0.2">
      <c r="A4" s="2"/>
      <c r="B4" s="1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29"/>
      <c r="AC4" s="29"/>
      <c r="AD4" s="29"/>
      <c r="AE4" s="11"/>
      <c r="AF4" s="8"/>
      <c r="AQ4"/>
      <c r="AR4"/>
      <c r="AS4"/>
      <c r="AT4"/>
      <c r="AU4"/>
      <c r="AV4"/>
      <c r="AW4"/>
    </row>
    <row r="5" spans="1:60" s="31" customFormat="1" ht="18" customHeight="1" x14ac:dyDescent="0.2">
      <c r="A5" s="149" t="s">
        <v>62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80"/>
      <c r="AE5" s="32"/>
    </row>
    <row r="6" spans="1:60" ht="15" customHeigh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Q6"/>
      <c r="AR6"/>
      <c r="AS6"/>
      <c r="AT6"/>
      <c r="AU6"/>
      <c r="AV6"/>
      <c r="AW6"/>
    </row>
    <row r="7" spans="1:60" s="2" customFormat="1" ht="15" customHeight="1" thickBot="1" x14ac:dyDescent="0.25">
      <c r="B7" s="17"/>
      <c r="C7" s="150" t="s">
        <v>12</v>
      </c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44"/>
      <c r="AB7" s="144"/>
      <c r="AC7" s="144"/>
      <c r="AD7" s="14"/>
      <c r="AE7" s="22"/>
      <c r="AW7"/>
      <c r="AX7" s="76"/>
      <c r="BF7" s="92"/>
      <c r="BG7" s="92"/>
      <c r="BH7" s="92"/>
    </row>
    <row r="8" spans="1:60" ht="16.5" thickBot="1" x14ac:dyDescent="0.3">
      <c r="A8" s="9"/>
      <c r="B8" s="20"/>
      <c r="C8" s="146" t="s">
        <v>1</v>
      </c>
      <c r="D8" s="147"/>
      <c r="E8" s="147"/>
      <c r="F8" s="148"/>
      <c r="G8" s="146" t="s">
        <v>58</v>
      </c>
      <c r="H8" s="147"/>
      <c r="I8" s="147"/>
      <c r="J8" s="148"/>
      <c r="K8" s="123" t="s">
        <v>13</v>
      </c>
      <c r="L8" s="124"/>
      <c r="M8" s="124"/>
      <c r="N8" s="125"/>
      <c r="O8" s="123" t="s">
        <v>2</v>
      </c>
      <c r="P8" s="124"/>
      <c r="Q8" s="124"/>
      <c r="R8" s="125"/>
      <c r="S8" s="123" t="s">
        <v>14</v>
      </c>
      <c r="T8" s="124"/>
      <c r="U8" s="124"/>
      <c r="V8" s="125"/>
      <c r="W8" s="123" t="s">
        <v>59</v>
      </c>
      <c r="X8" s="124"/>
      <c r="Y8" s="124"/>
      <c r="Z8" s="125"/>
      <c r="AA8" s="146" t="s">
        <v>3</v>
      </c>
      <c r="AB8" s="147"/>
      <c r="AC8" s="147"/>
      <c r="AD8" s="148"/>
      <c r="AE8" s="22"/>
      <c r="AQ8"/>
      <c r="AR8"/>
      <c r="AS8"/>
      <c r="AT8"/>
      <c r="AU8"/>
      <c r="AV8"/>
      <c r="AW8"/>
      <c r="AX8" s="76"/>
    </row>
    <row r="9" spans="1:60" s="3" customFormat="1" ht="60" customHeight="1" x14ac:dyDescent="0.25">
      <c r="A9" s="102" t="s">
        <v>88</v>
      </c>
      <c r="B9" s="85" t="s">
        <v>11</v>
      </c>
      <c r="C9" s="83" t="s">
        <v>27</v>
      </c>
      <c r="D9" s="83" t="s">
        <v>28</v>
      </c>
      <c r="E9" s="83" t="s">
        <v>29</v>
      </c>
      <c r="F9" s="81" t="s">
        <v>73</v>
      </c>
      <c r="G9" s="83" t="s">
        <v>54</v>
      </c>
      <c r="H9" s="83" t="s">
        <v>55</v>
      </c>
      <c r="I9" s="83" t="s">
        <v>56</v>
      </c>
      <c r="J9" s="81" t="s">
        <v>74</v>
      </c>
      <c r="K9" s="83" t="s">
        <v>30</v>
      </c>
      <c r="L9" s="83" t="s">
        <v>31</v>
      </c>
      <c r="M9" s="83" t="s">
        <v>32</v>
      </c>
      <c r="N9" s="81" t="s">
        <v>75</v>
      </c>
      <c r="O9" s="83" t="s">
        <v>33</v>
      </c>
      <c r="P9" s="83" t="s">
        <v>34</v>
      </c>
      <c r="Q9" s="83" t="s">
        <v>35</v>
      </c>
      <c r="R9" s="81" t="s">
        <v>76</v>
      </c>
      <c r="S9" s="83" t="s">
        <v>36</v>
      </c>
      <c r="T9" s="83" t="s">
        <v>37</v>
      </c>
      <c r="U9" s="83" t="s">
        <v>38</v>
      </c>
      <c r="V9" s="81" t="s">
        <v>77</v>
      </c>
      <c r="W9" s="83" t="s">
        <v>71</v>
      </c>
      <c r="X9" s="83" t="s">
        <v>72</v>
      </c>
      <c r="Y9" s="83" t="s">
        <v>57</v>
      </c>
      <c r="Z9" s="81" t="s">
        <v>78</v>
      </c>
      <c r="AA9" s="84" t="s">
        <v>39</v>
      </c>
      <c r="AB9" s="84" t="s">
        <v>40</v>
      </c>
      <c r="AC9" s="84" t="s">
        <v>41</v>
      </c>
      <c r="AD9" s="82" t="s">
        <v>79</v>
      </c>
      <c r="AE9" s="24"/>
      <c r="AF9" s="88"/>
      <c r="AG9" s="88"/>
      <c r="AH9" s="88"/>
      <c r="AI9" s="88"/>
      <c r="AJ9" s="88"/>
      <c r="AN9" s="73"/>
      <c r="AO9" s="73"/>
      <c r="AP9" s="73"/>
      <c r="AQ9" s="73"/>
      <c r="AR9" s="73"/>
      <c r="AS9" s="73"/>
      <c r="AT9" s="12" t="s">
        <v>45</v>
      </c>
      <c r="AU9" s="12" t="s">
        <v>93</v>
      </c>
      <c r="AV9" s="12" t="s">
        <v>94</v>
      </c>
      <c r="AW9" s="12" t="s">
        <v>92</v>
      </c>
    </row>
    <row r="10" spans="1:60" ht="29.25" customHeight="1" x14ac:dyDescent="0.2">
      <c r="A10" s="27">
        <f t="shared" ref="A10:A73" si="0">jours</f>
        <v>0</v>
      </c>
      <c r="B10" s="28">
        <f t="shared" ref="B10:B73" si="1">date</f>
        <v>43599</v>
      </c>
      <c r="C10" s="47">
        <f t="shared" ref="C10:C73" si="2">DPM_BG</f>
        <v>0</v>
      </c>
      <c r="D10" s="47">
        <f t="shared" ref="D10:D73" si="3">DH_BG</f>
        <v>0</v>
      </c>
      <c r="E10" s="47">
        <f t="shared" ref="E10:E73" si="4">DZ_BG</f>
        <v>0</v>
      </c>
      <c r="F10" s="47">
        <f xml:space="preserve"> SQRT(C10*C10+D10*D10+E10*E10)</f>
        <v>0</v>
      </c>
      <c r="G10" s="47">
        <f t="shared" ref="G10:G73" si="5">DPM_IG</f>
        <v>0</v>
      </c>
      <c r="H10" s="47">
        <f t="shared" ref="H10:H73" si="6">DH_IG</f>
        <v>0</v>
      </c>
      <c r="I10" s="47">
        <f t="shared" ref="I10:I73" si="7">DZ_IG</f>
        <v>0</v>
      </c>
      <c r="J10" s="47">
        <f xml:space="preserve"> SQRT(G10*G10+H10*H10+I10*I10)</f>
        <v>0</v>
      </c>
      <c r="K10" s="47">
        <f t="shared" ref="K10:K20" si="8">DPM_HG</f>
        <v>0</v>
      </c>
      <c r="L10" s="47">
        <f t="shared" ref="L10:L32" si="9">DH_HG</f>
        <v>0</v>
      </c>
      <c r="M10" s="47">
        <f t="shared" ref="M10:M32" si="10">DZ_HG</f>
        <v>0</v>
      </c>
      <c r="N10" s="47">
        <f xml:space="preserve"> SQRT(K10*K10+L10*L10+M10*M10)</f>
        <v>0</v>
      </c>
      <c r="O10" s="47">
        <f t="shared" ref="O10:O73" si="11">DPMhaut</f>
        <v>0</v>
      </c>
      <c r="P10" s="47">
        <f t="shared" ref="P10:P73" si="12">DHhaut</f>
        <v>0</v>
      </c>
      <c r="Q10" s="47">
        <f t="shared" ref="Q10:Q73" si="13">DZhaut</f>
        <v>0</v>
      </c>
      <c r="R10" s="47">
        <f xml:space="preserve"> SQRT(O10*O10+P10*P10+Q10*Q10)</f>
        <v>0</v>
      </c>
      <c r="S10" s="47">
        <f t="shared" ref="S10:S73" si="14">DPM_HD</f>
        <v>0</v>
      </c>
      <c r="T10" s="47">
        <f t="shared" ref="T10:T73" si="15">DH_HD</f>
        <v>0</v>
      </c>
      <c r="U10" s="47">
        <f t="shared" ref="U10:U73" si="16">DZ_HD</f>
        <v>0</v>
      </c>
      <c r="V10" s="47">
        <f xml:space="preserve"> SQRT(S10*S10+T10*T10+U10*U10)</f>
        <v>0</v>
      </c>
      <c r="W10" s="48">
        <f t="shared" ref="W10:W41" si="17">DPM_ID</f>
        <v>0</v>
      </c>
      <c r="X10" s="48">
        <f t="shared" ref="X10:X41" si="18">DH_ID</f>
        <v>0</v>
      </c>
      <c r="Y10" s="48">
        <f t="shared" ref="Y10:Y71" si="19">DZ_ID</f>
        <v>0</v>
      </c>
      <c r="Z10" s="47">
        <f xml:space="preserve"> SQRT(W10*W10+X10*X10+Y10*Y10)</f>
        <v>0</v>
      </c>
      <c r="AA10" s="47">
        <f t="shared" ref="AA10:AA72" si="20">DPM_BD</f>
        <v>0</v>
      </c>
      <c r="AB10" s="47">
        <f t="shared" ref="AB10:AB72" si="21">DH_BD</f>
        <v>0</v>
      </c>
      <c r="AC10" s="47">
        <f t="shared" ref="AC10:AC72" si="22">DZ_BD</f>
        <v>0</v>
      </c>
      <c r="AD10" s="47">
        <f xml:space="preserve"> SQRT(AA10*AA10+AB10*AB10+AC10*AC10)</f>
        <v>0</v>
      </c>
      <c r="AE10" s="22" t="str">
        <f>IF(Convergences!M10="","",Convergences!M10)</f>
        <v/>
      </c>
      <c r="AF10" s="88"/>
      <c r="AG10" s="88"/>
      <c r="AH10" s="88"/>
      <c r="AI10" s="88"/>
      <c r="AJ10" s="88"/>
      <c r="AK10" s="93"/>
      <c r="AQ10" s="140" t="s">
        <v>95</v>
      </c>
      <c r="AR10" s="140"/>
      <c r="AS10"/>
      <c r="AU10" s="29">
        <v>43599</v>
      </c>
      <c r="AV10" s="12">
        <v>0</v>
      </c>
      <c r="AW10" s="12">
        <f t="shared" ref="AW10:AW41" si="23">$AR$12*(1-($AR$13/(AV10+$AR$13))^$AR$14)</f>
        <v>0</v>
      </c>
      <c r="AY10" s="93"/>
      <c r="BC10" s="74"/>
    </row>
    <row r="11" spans="1:60" ht="29.25" customHeight="1" x14ac:dyDescent="0.2">
      <c r="A11" s="27">
        <f t="shared" si="0"/>
        <v>1</v>
      </c>
      <c r="B11" s="28">
        <f t="shared" si="1"/>
        <v>43600</v>
      </c>
      <c r="C11" s="48">
        <f t="shared" si="2"/>
        <v>-0.79126761750103469</v>
      </c>
      <c r="D11" s="48">
        <f t="shared" si="3"/>
        <v>0.51370768324510152</v>
      </c>
      <c r="E11" s="48">
        <f t="shared" si="4"/>
        <v>0.10000000000331966</v>
      </c>
      <c r="F11" s="47">
        <f t="shared" ref="F11:F37" si="24" xml:space="preserve"> SQRT(C11*C11+D11*D11+E11*E11)</f>
        <v>0.9486833119284207</v>
      </c>
      <c r="G11" s="47">
        <f t="shared" si="5"/>
        <v>-0.17515951327595758</v>
      </c>
      <c r="H11" s="47">
        <f t="shared" si="6"/>
        <v>0.13899313453080708</v>
      </c>
      <c r="I11" s="47">
        <f t="shared" si="7"/>
        <v>-9.9999999989108801E-2</v>
      </c>
      <c r="J11" s="47">
        <f t="shared" ref="J11:J37" si="25" xml:space="preserve"> SQRT(G11*G11+H11*H11+I11*I11)</f>
        <v>0.24494886514452593</v>
      </c>
      <c r="K11" s="48">
        <f t="shared" si="8"/>
        <v>-9.0629261961794327E-2</v>
      </c>
      <c r="L11" s="48">
        <f t="shared" si="9"/>
        <v>-4.2265227627513724E-2</v>
      </c>
      <c r="M11" s="48">
        <f t="shared" si="10"/>
        <v>0</v>
      </c>
      <c r="N11" s="47">
        <f t="shared" ref="N11:N37" si="26" xml:space="preserve"> SQRT(K11*K11+L11*L11+M11*M11)</f>
        <v>0.10000006295070564</v>
      </c>
      <c r="O11" s="47">
        <f t="shared" si="11"/>
        <v>-0.5376764556785929</v>
      </c>
      <c r="P11" s="47">
        <f t="shared" si="12"/>
        <v>-3.0067726747767809E-2</v>
      </c>
      <c r="Q11" s="48">
        <f t="shared" si="13"/>
        <v>-0.70000000000902673</v>
      </c>
      <c r="R11" s="47">
        <f t="shared" ref="R11:R37" si="27" xml:space="preserve"> SQRT(O11*O11+P11*P11+Q11*Q11)</f>
        <v>0.88317610882287212</v>
      </c>
      <c r="S11" s="48">
        <f t="shared" si="14"/>
        <v>-0.13289448958175853</v>
      </c>
      <c r="T11" s="48">
        <f t="shared" si="15"/>
        <v>4.8364034366699116E-2</v>
      </c>
      <c r="U11" s="48">
        <f t="shared" si="16"/>
        <v>-0.10000000000331966</v>
      </c>
      <c r="V11" s="47">
        <f t="shared" ref="V11:V37" si="28" xml:space="preserve"> SQRT(S11*S11+T11*T11+U11*U11)</f>
        <v>0.17320515345128537</v>
      </c>
      <c r="W11" s="48">
        <f t="shared" si="17"/>
        <v>-0.32025160928128571</v>
      </c>
      <c r="X11" s="48">
        <f t="shared" si="18"/>
        <v>-0.25969007404835764</v>
      </c>
      <c r="Y11" s="48">
        <f t="shared" si="19"/>
        <v>-0.20000000000663931</v>
      </c>
      <c r="Z11" s="47">
        <f t="shared" ref="Z11:Z37" si="29" xml:space="preserve"> SQRT(W11*W11+X11*X11+Y11*Y11)</f>
        <v>0.45825759983785375</v>
      </c>
      <c r="AA11" s="48">
        <f t="shared" si="20"/>
        <v>0.23572115404135729</v>
      </c>
      <c r="AB11" s="48">
        <f t="shared" si="21"/>
        <v>0.44094859798216035</v>
      </c>
      <c r="AC11" s="48">
        <f t="shared" si="22"/>
        <v>-0.20000000000663931</v>
      </c>
      <c r="AD11" s="47">
        <f t="shared" ref="AD11:AD37" si="30" xml:space="preserve"> SQRT(AA11*AA11+AB11*AB11+AC11*AC11)</f>
        <v>0.5385166000483903</v>
      </c>
      <c r="AE11" s="22" t="str">
        <f>IF(Convergences!M11="","",Convergences!M11)</f>
        <v/>
      </c>
      <c r="AF11" s="88"/>
      <c r="AG11" s="88"/>
      <c r="AH11" s="88"/>
      <c r="AI11" s="88"/>
      <c r="AJ11" s="88"/>
      <c r="AK11" s="93"/>
      <c r="AM11" s="88"/>
      <c r="AN11" s="88"/>
      <c r="AO11" s="88"/>
      <c r="AP11" s="88"/>
      <c r="AQ11" s="106" t="s">
        <v>89</v>
      </c>
      <c r="AR11" s="89"/>
      <c r="AS11" s="89"/>
      <c r="AT11" s="12">
        <v>1.2000000000000171</v>
      </c>
      <c r="AU11" s="29">
        <f t="shared" ref="AU11:AU42" si="31">$AU$10+AV11</f>
        <v>43600</v>
      </c>
      <c r="AV11" s="12">
        <v>1</v>
      </c>
      <c r="AW11" s="12">
        <f t="shared" si="23"/>
        <v>0.27674522364625243</v>
      </c>
      <c r="AY11" s="93"/>
      <c r="BC11" s="76"/>
    </row>
    <row r="12" spans="1:60" ht="29.25" customHeight="1" x14ac:dyDescent="0.2">
      <c r="A12" s="27">
        <f t="shared" si="0"/>
        <v>2</v>
      </c>
      <c r="B12" s="28">
        <f t="shared" si="1"/>
        <v>43601</v>
      </c>
      <c r="C12" s="48">
        <f t="shared" si="2"/>
        <v>0.13289448958175853</v>
      </c>
      <c r="D12" s="48">
        <f t="shared" si="3"/>
        <v>-4.8364034381798149E-2</v>
      </c>
      <c r="E12" s="48">
        <f t="shared" si="4"/>
        <v>0.30000000000995897</v>
      </c>
      <c r="F12" s="47">
        <f t="shared" si="24"/>
        <v>0.33166251700916594</v>
      </c>
      <c r="G12" s="47">
        <f t="shared" si="5"/>
        <v>0.21742494482168695</v>
      </c>
      <c r="H12" s="47">
        <f t="shared" si="6"/>
        <v>-0.22962255831515677</v>
      </c>
      <c r="I12" s="47">
        <f t="shared" si="7"/>
        <v>0.39999999999906777</v>
      </c>
      <c r="J12" s="47">
        <f t="shared" si="25"/>
        <v>0.50990207483120265</v>
      </c>
      <c r="K12" s="48">
        <f t="shared" si="8"/>
        <v>-0.48321362169190252</v>
      </c>
      <c r="L12" s="48">
        <f t="shared" si="9"/>
        <v>0.32635025419036623</v>
      </c>
      <c r="M12" s="48">
        <f t="shared" si="10"/>
        <v>0.10000000000331966</v>
      </c>
      <c r="N12" s="47">
        <f t="shared" si="26"/>
        <v>0.59160788753986848</v>
      </c>
      <c r="O12" s="47">
        <f t="shared" si="11"/>
        <v>-0.57994168329855711</v>
      </c>
      <c r="P12" s="47">
        <f t="shared" si="12"/>
        <v>6.0561535198094818E-2</v>
      </c>
      <c r="Q12" s="48">
        <f t="shared" si="13"/>
        <v>-0.30000000000995897</v>
      </c>
      <c r="R12" s="47">
        <f t="shared" si="27"/>
        <v>0.655743894808552</v>
      </c>
      <c r="S12" s="48">
        <f t="shared" si="14"/>
        <v>-0.13289448958175853</v>
      </c>
      <c r="T12" s="48">
        <f t="shared" si="15"/>
        <v>4.8364034366699116E-2</v>
      </c>
      <c r="U12" s="48">
        <f t="shared" si="16"/>
        <v>0.30000000000995897</v>
      </c>
      <c r="V12" s="47">
        <f t="shared" si="28"/>
        <v>0.33166251700696414</v>
      </c>
      <c r="W12" s="48">
        <f t="shared" si="17"/>
        <v>-0.27188768041241929</v>
      </c>
      <c r="X12" s="48">
        <f t="shared" si="18"/>
        <v>-0.12679563364770274</v>
      </c>
      <c r="Y12" s="48">
        <f t="shared" si="19"/>
        <v>0.29999999999574811</v>
      </c>
      <c r="Z12" s="47">
        <f t="shared" si="29"/>
        <v>0.42426411994136054</v>
      </c>
      <c r="AA12" s="48">
        <f t="shared" si="20"/>
        <v>6.098806750287622E-3</v>
      </c>
      <c r="AB12" s="48">
        <f t="shared" si="21"/>
        <v>0.22352375156309279</v>
      </c>
      <c r="AC12" s="48">
        <f t="shared" si="22"/>
        <v>0.29999999999574811</v>
      </c>
      <c r="AD12" s="47">
        <f t="shared" si="30"/>
        <v>0.37416582280329325</v>
      </c>
      <c r="AE12" s="22" t="str">
        <f>IF(Convergences!M12="","",Convergences!M12)</f>
        <v/>
      </c>
      <c r="AF12" s="88"/>
      <c r="AG12" s="88"/>
      <c r="AH12" s="88"/>
      <c r="AI12" s="88"/>
      <c r="AJ12" s="88"/>
      <c r="AK12" s="93"/>
      <c r="AL12" s="88"/>
      <c r="AM12" s="88"/>
      <c r="AN12" s="88"/>
      <c r="AO12" s="88"/>
      <c r="AP12" s="88"/>
      <c r="AQ12" s="89" t="s">
        <v>80</v>
      </c>
      <c r="AR12" s="89">
        <v>63.3324</v>
      </c>
      <c r="AS12" s="89"/>
      <c r="AT12" s="12">
        <v>1.2000000000000171</v>
      </c>
      <c r="AU12" s="29">
        <f t="shared" si="31"/>
        <v>43601</v>
      </c>
      <c r="AV12" s="12">
        <v>2</v>
      </c>
      <c r="AW12" s="12">
        <f t="shared" si="23"/>
        <v>0.54832531507798188</v>
      </c>
      <c r="AY12" s="93"/>
      <c r="BC12" s="74"/>
    </row>
    <row r="13" spans="1:60" ht="29.25" customHeight="1" x14ac:dyDescent="0.2">
      <c r="A13" s="27">
        <f t="shared" si="0"/>
        <v>6</v>
      </c>
      <c r="B13" s="28">
        <f t="shared" si="1"/>
        <v>43605</v>
      </c>
      <c r="C13" s="48">
        <f t="shared" si="2"/>
        <v>-0.56774397140202382</v>
      </c>
      <c r="D13" s="48">
        <f t="shared" si="3"/>
        <v>0.50760882730216395</v>
      </c>
      <c r="E13" s="48">
        <f t="shared" si="4"/>
        <v>-9.9999999989108801E-2</v>
      </c>
      <c r="F13" s="47">
        <f t="shared" si="24"/>
        <v>0.7681145348294367</v>
      </c>
      <c r="G13" s="47">
        <f t="shared" si="5"/>
        <v>0.30805410131051758</v>
      </c>
      <c r="H13" s="47">
        <f t="shared" si="6"/>
        <v>-0.18735737987363166</v>
      </c>
      <c r="I13" s="47">
        <f t="shared" si="7"/>
        <v>-9.9999999989108801E-2</v>
      </c>
      <c r="J13" s="47">
        <f t="shared" si="25"/>
        <v>0.37416589519244625</v>
      </c>
      <c r="K13" s="48">
        <f t="shared" si="8"/>
        <v>-0.52547884928344502</v>
      </c>
      <c r="L13" s="48">
        <f t="shared" si="9"/>
        <v>0.41697951616148643</v>
      </c>
      <c r="M13" s="48">
        <f t="shared" si="10"/>
        <v>-0.39999999999906777</v>
      </c>
      <c r="N13" s="47">
        <f t="shared" si="26"/>
        <v>0.78102492786195699</v>
      </c>
      <c r="O13" s="47">
        <f t="shared" si="11"/>
        <v>-0.5315776489851487</v>
      </c>
      <c r="P13" s="47">
        <f t="shared" si="12"/>
        <v>0.19345602480708157</v>
      </c>
      <c r="Q13" s="48">
        <f t="shared" si="13"/>
        <v>-0.70000000000902673</v>
      </c>
      <c r="R13" s="47">
        <f t="shared" si="27"/>
        <v>0.90000001691520737</v>
      </c>
      <c r="S13" s="48">
        <f t="shared" si="14"/>
        <v>-0.26578887369055337</v>
      </c>
      <c r="T13" s="48">
        <f t="shared" si="15"/>
        <v>9.6728117925160007E-2</v>
      </c>
      <c r="U13" s="48">
        <f t="shared" si="16"/>
        <v>-0.29999999999574811</v>
      </c>
      <c r="V13" s="47">
        <f t="shared" si="28"/>
        <v>0.41231062825554893</v>
      </c>
      <c r="W13" s="48">
        <f t="shared" si="17"/>
        <v>-3.6166427975103943E-2</v>
      </c>
      <c r="X13" s="48">
        <f t="shared" si="18"/>
        <v>0.31415275330726189</v>
      </c>
      <c r="Y13" s="48">
        <f t="shared" si="19"/>
        <v>-0.20000000000663931</v>
      </c>
      <c r="Z13" s="47">
        <f t="shared" si="29"/>
        <v>0.37416568913473003</v>
      </c>
      <c r="AA13" s="48">
        <f t="shared" si="20"/>
        <v>-0.17515961167191563</v>
      </c>
      <c r="AB13" s="48">
        <f t="shared" si="21"/>
        <v>0.13899334554468012</v>
      </c>
      <c r="AC13" s="48">
        <f t="shared" si="22"/>
        <v>-0.20000000000663931</v>
      </c>
      <c r="AD13" s="47">
        <f t="shared" si="30"/>
        <v>0.30000006611568414</v>
      </c>
      <c r="AE13" s="22" t="str">
        <f>IF(Convergences!M13="","",Convergences!M13)</f>
        <v/>
      </c>
      <c r="AF13" s="88"/>
      <c r="AG13" s="88"/>
      <c r="AH13" s="88"/>
      <c r="AI13" s="88"/>
      <c r="AJ13" s="88"/>
      <c r="AK13" s="93"/>
      <c r="AL13" s="88"/>
      <c r="AM13" s="88"/>
      <c r="AN13" s="88"/>
      <c r="AO13" s="88"/>
      <c r="AP13" s="88"/>
      <c r="AQ13" s="89" t="s">
        <v>90</v>
      </c>
      <c r="AR13" s="89">
        <v>68.005300000000005</v>
      </c>
      <c r="AS13" s="89"/>
      <c r="AT13" s="12">
        <v>1.2000000000000171</v>
      </c>
      <c r="AU13" s="29">
        <f t="shared" si="31"/>
        <v>43605</v>
      </c>
      <c r="AV13" s="12">
        <v>6</v>
      </c>
      <c r="AW13" s="12">
        <f t="shared" si="23"/>
        <v>1.5862437962569789</v>
      </c>
      <c r="AY13" s="93"/>
      <c r="BC13" s="76"/>
    </row>
    <row r="14" spans="1:60" ht="29.25" customHeight="1" x14ac:dyDescent="0.2">
      <c r="A14" s="27">
        <f t="shared" si="0"/>
        <v>8</v>
      </c>
      <c r="B14" s="28">
        <f t="shared" si="1"/>
        <v>43607</v>
      </c>
      <c r="C14" s="48">
        <f t="shared" si="2"/>
        <v>-1.0444323952469858</v>
      </c>
      <c r="D14" s="48">
        <f t="shared" si="3"/>
        <v>2.7127773151458534</v>
      </c>
      <c r="E14" s="48">
        <f t="shared" si="4"/>
        <v>0</v>
      </c>
      <c r="F14" s="47">
        <f t="shared" si="24"/>
        <v>2.9068883345961711</v>
      </c>
      <c r="G14" s="47">
        <f t="shared" si="5"/>
        <v>-0.19912833488433535</v>
      </c>
      <c r="H14" s="47">
        <f t="shared" si="6"/>
        <v>0.90019313076705743</v>
      </c>
      <c r="I14" s="47">
        <f t="shared" si="7"/>
        <v>0.30000000000995897</v>
      </c>
      <c r="J14" s="47">
        <f t="shared" si="25"/>
        <v>0.96953585103387485</v>
      </c>
      <c r="K14" s="48">
        <f t="shared" si="8"/>
        <v>-1.5642389344634466</v>
      </c>
      <c r="L14" s="48">
        <f t="shared" si="9"/>
        <v>1.6979860516217471</v>
      </c>
      <c r="M14" s="48">
        <f t="shared" si="10"/>
        <v>-0.39999999999906777</v>
      </c>
      <c r="N14" s="47">
        <f t="shared" si="26"/>
        <v>2.3430749189030644</v>
      </c>
      <c r="O14" s="47">
        <f t="shared" si="11"/>
        <v>-1.0086924638983419</v>
      </c>
      <c r="P14" s="47">
        <f t="shared" si="12"/>
        <v>0.74333003058890679</v>
      </c>
      <c r="Q14" s="48">
        <f t="shared" si="13"/>
        <v>-1.6999999999995907</v>
      </c>
      <c r="R14" s="47">
        <f t="shared" si="27"/>
        <v>2.1118712131896729</v>
      </c>
      <c r="S14" s="48">
        <f t="shared" si="14"/>
        <v>-0.3986833632438902</v>
      </c>
      <c r="T14" s="48">
        <f t="shared" si="15"/>
        <v>0.14509215226343741</v>
      </c>
      <c r="U14" s="48">
        <f t="shared" si="16"/>
        <v>-0.59999999999149622</v>
      </c>
      <c r="V14" s="47">
        <f t="shared" si="28"/>
        <v>0.73484702950048841</v>
      </c>
      <c r="W14" s="48">
        <f t="shared" si="17"/>
        <v>-1.3594380855579402</v>
      </c>
      <c r="X14" s="48">
        <f t="shared" si="18"/>
        <v>-0.63397802064457665</v>
      </c>
      <c r="Y14" s="48">
        <f t="shared" si="19"/>
        <v>0.39999999999906777</v>
      </c>
      <c r="Z14" s="47">
        <f t="shared" si="29"/>
        <v>1.5524174822273507</v>
      </c>
      <c r="AA14" s="48">
        <f t="shared" si="20"/>
        <v>-0.48321361458647516</v>
      </c>
      <c r="AB14" s="48">
        <f t="shared" si="21"/>
        <v>0.32635051442397867</v>
      </c>
      <c r="AC14" s="48">
        <f t="shared" si="22"/>
        <v>0.19999999999242846</v>
      </c>
      <c r="AD14" s="47">
        <f t="shared" si="30"/>
        <v>0.61644144538106249</v>
      </c>
      <c r="AE14" s="22" t="str">
        <f>IF(Convergences!M14="","",Convergences!M14)</f>
        <v/>
      </c>
      <c r="AF14" s="88"/>
      <c r="AG14" s="88"/>
      <c r="AH14" s="88"/>
      <c r="AI14" s="88"/>
      <c r="AJ14" s="88"/>
      <c r="AK14" s="93"/>
      <c r="AL14" s="88"/>
      <c r="AM14" s="88"/>
      <c r="AN14" s="88"/>
      <c r="AO14" s="88"/>
      <c r="AP14" s="88"/>
      <c r="AQ14" s="89" t="s">
        <v>91</v>
      </c>
      <c r="AR14" s="89">
        <v>0.3</v>
      </c>
      <c r="AS14" s="89"/>
      <c r="AT14" s="12">
        <v>1.2000000000000171</v>
      </c>
      <c r="AU14" s="29">
        <f t="shared" si="31"/>
        <v>43607</v>
      </c>
      <c r="AV14" s="12">
        <v>8</v>
      </c>
      <c r="AW14" s="12">
        <f t="shared" si="23"/>
        <v>2.0782368367515915</v>
      </c>
      <c r="AY14" s="93"/>
      <c r="BC14" s="74"/>
    </row>
    <row r="15" spans="1:60" ht="29.25" customHeight="1" x14ac:dyDescent="0.2">
      <c r="A15" s="27">
        <f t="shared" si="0"/>
        <v>22</v>
      </c>
      <c r="B15" s="28">
        <f t="shared" si="1"/>
        <v>43621</v>
      </c>
      <c r="C15" s="48">
        <f t="shared" si="2"/>
        <v>0.30323447506930279</v>
      </c>
      <c r="D15" s="48">
        <f t="shared" si="3"/>
        <v>4.5550025749343526</v>
      </c>
      <c r="E15" s="48">
        <f t="shared" si="4"/>
        <v>1.0000000000047748</v>
      </c>
      <c r="F15" s="47">
        <f t="shared" si="24"/>
        <v>4.6733285359087144</v>
      </c>
      <c r="G15" s="47">
        <f t="shared" si="5"/>
        <v>0.59909087158871444</v>
      </c>
      <c r="H15" s="47">
        <f t="shared" si="6"/>
        <v>3.9205981631855735</v>
      </c>
      <c r="I15" s="47">
        <f t="shared" si="7"/>
        <v>0.50000000000238742</v>
      </c>
      <c r="J15" s="47">
        <f t="shared" si="25"/>
        <v>3.9974991969476874</v>
      </c>
      <c r="K15" s="48">
        <f t="shared" si="8"/>
        <v>-0.16210912463066052</v>
      </c>
      <c r="L15" s="48">
        <f t="shared" si="9"/>
        <v>3.8966293415709785</v>
      </c>
      <c r="M15" s="48">
        <f t="shared" si="10"/>
        <v>-0.19999999999242846</v>
      </c>
      <c r="N15" s="47">
        <f t="shared" si="26"/>
        <v>3.9051247859546523</v>
      </c>
      <c r="O15" s="47">
        <f t="shared" si="11"/>
        <v>0.32635040889772426</v>
      </c>
      <c r="P15" s="47">
        <f t="shared" si="12"/>
        <v>0.48321356537625593</v>
      </c>
      <c r="Q15" s="48">
        <f t="shared" si="13"/>
        <v>-2.8000000000076852</v>
      </c>
      <c r="R15" s="47">
        <f t="shared" si="27"/>
        <v>2.8600699185849257</v>
      </c>
      <c r="S15" s="48">
        <f t="shared" si="14"/>
        <v>1.1354879428324693</v>
      </c>
      <c r="T15" s="48">
        <f t="shared" si="15"/>
        <v>-1.0152176546980307</v>
      </c>
      <c r="U15" s="48">
        <f t="shared" si="16"/>
        <v>-0.50000000000238742</v>
      </c>
      <c r="V15" s="47">
        <f t="shared" si="28"/>
        <v>1.6031218776907983</v>
      </c>
      <c r="W15" s="48">
        <f t="shared" si="17"/>
        <v>0.91153790563680559</v>
      </c>
      <c r="X15" s="48">
        <f t="shared" si="18"/>
        <v>-2.6644132808453236</v>
      </c>
      <c r="Y15" s="48">
        <f t="shared" si="19"/>
        <v>0.79999999999813554</v>
      </c>
      <c r="Z15" s="47">
        <f t="shared" si="29"/>
        <v>2.9274561456245065</v>
      </c>
      <c r="AA15" s="48">
        <f t="shared" si="20"/>
        <v>0.3315963278680556</v>
      </c>
      <c r="AB15" s="48">
        <f t="shared" si="21"/>
        <v>-2.603851696377113</v>
      </c>
      <c r="AC15" s="48">
        <f t="shared" si="22"/>
        <v>-0.10000000000331966</v>
      </c>
      <c r="AD15" s="47">
        <f t="shared" si="30"/>
        <v>2.6267850656995542</v>
      </c>
      <c r="AE15" s="22" t="str">
        <f>IF(Convergences!M15="","",Convergences!M15)</f>
        <v/>
      </c>
      <c r="AF15" s="88"/>
      <c r="AG15" s="88"/>
      <c r="AH15" s="88"/>
      <c r="AI15" s="88"/>
      <c r="AJ15" s="88"/>
      <c r="AK15" s="93"/>
      <c r="AL15" s="88"/>
      <c r="AM15" s="88"/>
      <c r="AN15" s="88"/>
      <c r="AO15" s="88"/>
      <c r="AP15" s="88"/>
      <c r="AS15" s="89"/>
      <c r="AT15" s="12">
        <v>3.0800000000000125</v>
      </c>
      <c r="AU15" s="29">
        <f t="shared" si="31"/>
        <v>43621</v>
      </c>
      <c r="AV15" s="12">
        <v>22</v>
      </c>
      <c r="AW15" s="12">
        <f t="shared" si="23"/>
        <v>5.1075539164024901</v>
      </c>
      <c r="AY15" s="93"/>
      <c r="BC15" s="76"/>
    </row>
    <row r="16" spans="1:60" ht="29.25" customHeight="1" x14ac:dyDescent="0.2">
      <c r="A16" s="27">
        <f t="shared" si="0"/>
        <v>38</v>
      </c>
      <c r="B16" s="28">
        <f t="shared" si="1"/>
        <v>43637</v>
      </c>
      <c r="C16" s="48">
        <f t="shared" si="2"/>
        <v>-2.7350221909614447</v>
      </c>
      <c r="D16" s="48">
        <f t="shared" si="3"/>
        <v>6.3379451270555442</v>
      </c>
      <c r="E16" s="48">
        <f t="shared" si="4"/>
        <v>1.0000000000047748</v>
      </c>
      <c r="F16" s="47">
        <f t="shared" si="24"/>
        <v>6.9749476570529341</v>
      </c>
      <c r="G16" s="47">
        <f t="shared" si="5"/>
        <v>-1.8897291373605185</v>
      </c>
      <c r="H16" s="47">
        <f t="shared" si="6"/>
        <v>4.5253615858849017</v>
      </c>
      <c r="I16" s="47">
        <f t="shared" si="7"/>
        <v>0.30000000000995897</v>
      </c>
      <c r="J16" s="47">
        <f t="shared" si="25"/>
        <v>4.9132447217290141</v>
      </c>
      <c r="K16" s="48">
        <f t="shared" si="8"/>
        <v>-2.8322418708626174</v>
      </c>
      <c r="L16" s="48">
        <f t="shared" si="9"/>
        <v>4.4168627160972029</v>
      </c>
      <c r="M16" s="48">
        <f t="shared" si="10"/>
        <v>0.60000000000570708</v>
      </c>
      <c r="N16" s="47">
        <f t="shared" si="26"/>
        <v>5.2811239587727714</v>
      </c>
      <c r="O16" s="47">
        <f t="shared" si="11"/>
        <v>-2.3986646198466133</v>
      </c>
      <c r="P16" s="47">
        <f t="shared" si="12"/>
        <v>-1.0082657495592839</v>
      </c>
      <c r="Q16" s="48">
        <f t="shared" si="13"/>
        <v>-4.6999999999997044</v>
      </c>
      <c r="R16" s="47">
        <f t="shared" si="27"/>
        <v>5.3721682568805926</v>
      </c>
      <c r="S16" s="48">
        <f t="shared" si="14"/>
        <v>-1.3659418723648287</v>
      </c>
      <c r="T16" s="48">
        <f t="shared" si="15"/>
        <v>-2.5127959486628271</v>
      </c>
      <c r="U16" s="48">
        <f t="shared" si="16"/>
        <v>-0.59999999999149622</v>
      </c>
      <c r="V16" s="47">
        <f t="shared" si="28"/>
        <v>2.922317689486488</v>
      </c>
      <c r="W16" s="48">
        <f t="shared" si="17"/>
        <v>-1.9040277355202306</v>
      </c>
      <c r="X16" s="48">
        <f t="shared" si="18"/>
        <v>-4.1981584299932706</v>
      </c>
      <c r="Y16" s="48">
        <f t="shared" si="19"/>
        <v>0.39999999999906777</v>
      </c>
      <c r="Z16" s="47">
        <f t="shared" si="29"/>
        <v>4.6270785406077897</v>
      </c>
      <c r="AA16" s="48">
        <f t="shared" si="20"/>
        <v>-2.417774727973665</v>
      </c>
      <c r="AB16" s="48">
        <f t="shared" si="21"/>
        <v>-4.9894261692520203</v>
      </c>
      <c r="AC16" s="48">
        <f t="shared" si="22"/>
        <v>2.1999999999877673</v>
      </c>
      <c r="AD16" s="47">
        <f t="shared" si="30"/>
        <v>5.964897998590688</v>
      </c>
      <c r="AE16" s="22"/>
      <c r="AF16" s="88"/>
      <c r="AG16" s="88"/>
      <c r="AH16" s="88"/>
      <c r="AI16" s="88"/>
      <c r="AJ16" s="88"/>
      <c r="AK16" s="93"/>
      <c r="AL16" s="88"/>
      <c r="AM16" s="88"/>
      <c r="AN16" s="88"/>
      <c r="AO16" s="88"/>
      <c r="AP16" s="88"/>
      <c r="AQ16" s="89"/>
      <c r="AR16" s="89"/>
      <c r="AS16" s="89"/>
      <c r="AT16" s="12">
        <v>7.0500000000000114</v>
      </c>
      <c r="AU16" s="29">
        <f t="shared" si="31"/>
        <v>43637</v>
      </c>
      <c r="AV16" s="12">
        <v>38</v>
      </c>
      <c r="AW16" s="12">
        <f t="shared" si="23"/>
        <v>7.896576869878464</v>
      </c>
      <c r="AY16" s="93"/>
      <c r="BC16" s="74"/>
    </row>
    <row r="17" spans="1:55" ht="29.25" customHeight="1" x14ac:dyDescent="0.2">
      <c r="A17" s="27">
        <f t="shared" si="0"/>
        <v>42</v>
      </c>
      <c r="B17" s="28">
        <f t="shared" si="1"/>
        <v>43641</v>
      </c>
      <c r="C17" s="48">
        <f t="shared" si="2"/>
        <v>-4.1250221909479023</v>
      </c>
      <c r="D17" s="48">
        <f t="shared" si="3"/>
        <v>4.5863491270554668</v>
      </c>
      <c r="E17" s="48">
        <f t="shared" si="4"/>
        <v>0</v>
      </c>
      <c r="F17" s="47">
        <f t="shared" si="24"/>
        <v>6.1685011462311552</v>
      </c>
      <c r="G17" s="47">
        <f t="shared" si="5"/>
        <v>-2.7960291373574364</v>
      </c>
      <c r="H17" s="47">
        <f t="shared" si="6"/>
        <v>4.1027095858847673</v>
      </c>
      <c r="I17" s="47">
        <f t="shared" si="7"/>
        <v>-0.69999999999481588</v>
      </c>
      <c r="J17" s="47">
        <f t="shared" si="25"/>
        <v>5.0139809416326342</v>
      </c>
      <c r="K17" s="48">
        <f t="shared" si="8"/>
        <v>-4.64474187086239</v>
      </c>
      <c r="L17" s="48">
        <f t="shared" si="9"/>
        <v>3.5715577160972956</v>
      </c>
      <c r="M17" s="48">
        <f t="shared" si="10"/>
        <v>-0.39999999999906777</v>
      </c>
      <c r="N17" s="47">
        <f t="shared" si="26"/>
        <v>5.8727890789943791</v>
      </c>
      <c r="O17" s="47">
        <f t="shared" si="11"/>
        <v>-3.7885646198390077</v>
      </c>
      <c r="P17" s="47">
        <f t="shared" si="12"/>
        <v>-2.7598617495592781</v>
      </c>
      <c r="Q17" s="48">
        <f t="shared" si="13"/>
        <v>-6.7000000000092541</v>
      </c>
      <c r="R17" s="47">
        <f t="shared" si="27"/>
        <v>8.176800031522129</v>
      </c>
      <c r="S17" s="48">
        <f t="shared" si="14"/>
        <v>-1.8496418723543684</v>
      </c>
      <c r="T17" s="48">
        <f t="shared" si="15"/>
        <v>-3.8417399486627701</v>
      </c>
      <c r="U17" s="48">
        <f t="shared" si="16"/>
        <v>-1.5999999999962711</v>
      </c>
      <c r="V17" s="47">
        <f t="shared" si="28"/>
        <v>4.5541344829842325</v>
      </c>
      <c r="W17" s="48">
        <f t="shared" si="17"/>
        <v>-2.3877277355097704</v>
      </c>
      <c r="X17" s="48">
        <f t="shared" si="18"/>
        <v>-5.5271024299932137</v>
      </c>
      <c r="Y17" s="48">
        <f t="shared" si="19"/>
        <v>0.39999999999906777</v>
      </c>
      <c r="Z17" s="47">
        <f t="shared" si="29"/>
        <v>6.0340786380821028</v>
      </c>
      <c r="AA17" s="48">
        <f t="shared" si="20"/>
        <v>-3.3240747279705829</v>
      </c>
      <c r="AB17" s="48">
        <f t="shared" si="21"/>
        <v>-5.4120781692521547</v>
      </c>
      <c r="AC17" s="48">
        <f t="shared" si="22"/>
        <v>1.1999999999972033</v>
      </c>
      <c r="AD17" s="47">
        <f t="shared" si="30"/>
        <v>6.4637499106340544</v>
      </c>
      <c r="AE17" s="22"/>
      <c r="AF17" s="88"/>
      <c r="AG17" s="88"/>
      <c r="AH17" s="88"/>
      <c r="AI17" s="88"/>
      <c r="AJ17" s="88"/>
      <c r="AK17" s="93"/>
      <c r="AL17" s="88"/>
      <c r="AM17" s="88"/>
      <c r="AN17" s="88"/>
      <c r="AO17" s="88"/>
      <c r="AP17" s="88"/>
      <c r="AQ17" s="89"/>
      <c r="AR17" s="89"/>
      <c r="AS17" s="89"/>
      <c r="AT17" s="12">
        <v>12.04000000000002</v>
      </c>
      <c r="AU17" s="29">
        <f t="shared" si="31"/>
        <v>43641</v>
      </c>
      <c r="AV17" s="12">
        <v>42</v>
      </c>
      <c r="AW17" s="12">
        <f t="shared" si="23"/>
        <v>8.5091608795935034</v>
      </c>
      <c r="AY17" s="93"/>
      <c r="BC17" s="76"/>
    </row>
    <row r="18" spans="1:55" ht="29.25" customHeight="1" x14ac:dyDescent="0.2">
      <c r="A18" s="27">
        <f t="shared" si="0"/>
        <v>44</v>
      </c>
      <c r="B18" s="28">
        <f t="shared" si="1"/>
        <v>43643</v>
      </c>
      <c r="C18" s="48">
        <f t="shared" si="2"/>
        <v>-4.5476221909552805</v>
      </c>
      <c r="D18" s="48">
        <f t="shared" si="3"/>
        <v>5.4926411270557196</v>
      </c>
      <c r="E18" s="48">
        <f t="shared" si="4"/>
        <v>0</v>
      </c>
      <c r="F18" s="47">
        <f t="shared" si="24"/>
        <v>7.1309167813327363</v>
      </c>
      <c r="G18" s="47">
        <f t="shared" si="5"/>
        <v>-3.7023291373543543</v>
      </c>
      <c r="H18" s="47">
        <f t="shared" si="6"/>
        <v>3.6800575858846329</v>
      </c>
      <c r="I18" s="47">
        <f t="shared" si="7"/>
        <v>0.30000000000995897</v>
      </c>
      <c r="J18" s="47">
        <f t="shared" si="25"/>
        <v>5.2287727887847684</v>
      </c>
      <c r="K18" s="48">
        <f t="shared" si="8"/>
        <v>-5.0674418708638314</v>
      </c>
      <c r="L18" s="48">
        <f t="shared" si="9"/>
        <v>4.4778497160971042</v>
      </c>
      <c r="M18" s="48">
        <f t="shared" si="10"/>
        <v>-0.39999999999906777</v>
      </c>
      <c r="N18" s="47">
        <f t="shared" si="26"/>
        <v>6.77422358610447</v>
      </c>
      <c r="O18" s="47">
        <f t="shared" si="11"/>
        <v>-4.2111646198463859</v>
      </c>
      <c r="P18" s="47">
        <f t="shared" si="12"/>
        <v>-1.8535697495593029</v>
      </c>
      <c r="Q18" s="48">
        <f t="shared" si="13"/>
        <v>-6.7000000000092541</v>
      </c>
      <c r="R18" s="47">
        <f t="shared" si="27"/>
        <v>8.1277074425726781</v>
      </c>
      <c r="S18" s="48">
        <f t="shared" si="14"/>
        <v>-1.8496418723543684</v>
      </c>
      <c r="T18" s="48">
        <f t="shared" si="15"/>
        <v>-3.8417399486627701</v>
      </c>
      <c r="U18" s="48">
        <f t="shared" si="16"/>
        <v>-1.5999999999962711</v>
      </c>
      <c r="V18" s="47">
        <f t="shared" si="28"/>
        <v>4.5541344829842325</v>
      </c>
      <c r="W18" s="48">
        <f t="shared" si="17"/>
        <v>-2.8103277355171485</v>
      </c>
      <c r="X18" s="48">
        <f t="shared" si="18"/>
        <v>-4.620810429993405</v>
      </c>
      <c r="Y18" s="48">
        <f t="shared" si="19"/>
        <v>-0.60000000000570708</v>
      </c>
      <c r="Z18" s="47">
        <f t="shared" si="29"/>
        <v>5.4414916163639937</v>
      </c>
      <c r="AA18" s="48">
        <f t="shared" si="20"/>
        <v>-3.3240747279705829</v>
      </c>
      <c r="AB18" s="48">
        <f t="shared" si="21"/>
        <v>-5.4120781692521547</v>
      </c>
      <c r="AC18" s="48">
        <f t="shared" si="22"/>
        <v>1.1999999999972033</v>
      </c>
      <c r="AD18" s="47">
        <f t="shared" si="30"/>
        <v>6.4637499106340544</v>
      </c>
      <c r="AE18" s="22"/>
      <c r="AF18" s="88"/>
      <c r="AG18" s="88"/>
      <c r="AH18" s="88"/>
      <c r="AI18" s="88"/>
      <c r="AJ18" s="88"/>
      <c r="AK18" s="93"/>
      <c r="AL18" s="88"/>
      <c r="AM18" s="88"/>
      <c r="AN18" s="88"/>
      <c r="AO18" s="88"/>
      <c r="AP18" s="88"/>
      <c r="AQ18" s="89"/>
      <c r="AR18" s="89"/>
      <c r="AS18" s="89"/>
      <c r="AT18" s="12">
        <v>12.920000000000016</v>
      </c>
      <c r="AU18" s="29">
        <f t="shared" si="31"/>
        <v>43643</v>
      </c>
      <c r="AV18" s="12">
        <v>44</v>
      </c>
      <c r="AW18" s="12">
        <f t="shared" si="23"/>
        <v>8.8046971305389192</v>
      </c>
      <c r="BC18" s="74"/>
    </row>
    <row r="19" spans="1:55" ht="29.25" customHeight="1" x14ac:dyDescent="0.2">
      <c r="A19" s="27">
        <f t="shared" si="0"/>
        <v>48</v>
      </c>
      <c r="B19" s="28">
        <f t="shared" si="1"/>
        <v>43647</v>
      </c>
      <c r="C19" s="48">
        <f t="shared" si="2"/>
        <v>-4.9585221909467236</v>
      </c>
      <c r="D19" s="48">
        <f t="shared" si="3"/>
        <v>5.1906861270554217</v>
      </c>
      <c r="E19" s="48">
        <f t="shared" si="4"/>
        <v>0.30000000000995897</v>
      </c>
      <c r="F19" s="47">
        <f t="shared" si="24"/>
        <v>7.1847174466169985</v>
      </c>
      <c r="G19" s="47">
        <f t="shared" si="5"/>
        <v>-4.2217291373560784</v>
      </c>
      <c r="H19" s="47">
        <f t="shared" si="6"/>
        <v>4.320560585885147</v>
      </c>
      <c r="I19" s="47">
        <f t="shared" si="7"/>
        <v>-0.19999999999242846</v>
      </c>
      <c r="J19" s="47">
        <f t="shared" si="25"/>
        <v>6.044025205564787</v>
      </c>
      <c r="K19" s="48">
        <f t="shared" si="8"/>
        <v>-5.2970418708753186</v>
      </c>
      <c r="L19" s="48">
        <f t="shared" si="9"/>
        <v>4.2604257160969716</v>
      </c>
      <c r="M19" s="48">
        <f t="shared" si="10"/>
        <v>-0.39999999999906777</v>
      </c>
      <c r="N19" s="47">
        <f t="shared" si="26"/>
        <v>6.8095432933630686</v>
      </c>
      <c r="O19" s="47">
        <f t="shared" si="11"/>
        <v>-4.3806646198447652</v>
      </c>
      <c r="P19" s="47">
        <f t="shared" si="12"/>
        <v>-3.1463477495592973</v>
      </c>
      <c r="Q19" s="48">
        <f t="shared" si="13"/>
        <v>-7.6999999999998181</v>
      </c>
      <c r="R19" s="47">
        <f t="shared" si="27"/>
        <v>9.4010492325438726</v>
      </c>
      <c r="S19" s="48">
        <f t="shared" si="14"/>
        <v>-2.5868418723575815</v>
      </c>
      <c r="T19" s="48">
        <f t="shared" si="15"/>
        <v>-4.6269089486625781</v>
      </c>
      <c r="U19" s="48">
        <f t="shared" si="16"/>
        <v>-1.8000000000029104</v>
      </c>
      <c r="V19" s="47">
        <f t="shared" si="28"/>
        <v>5.5982173315982298</v>
      </c>
      <c r="W19" s="48">
        <f t="shared" si="17"/>
        <v>-2.6234277355001723</v>
      </c>
      <c r="X19" s="48">
        <f t="shared" si="18"/>
        <v>-5.9680504299928216</v>
      </c>
      <c r="Y19" s="48">
        <f t="shared" si="19"/>
        <v>0</v>
      </c>
      <c r="Z19" s="47">
        <f t="shared" si="29"/>
        <v>6.5192023299119244</v>
      </c>
      <c r="AA19" s="48">
        <f t="shared" si="20"/>
        <v>-3.4451747279717893</v>
      </c>
      <c r="AB19" s="48">
        <f t="shared" si="21"/>
        <v>-6.5719611692522939</v>
      </c>
      <c r="AC19" s="48">
        <f t="shared" si="22"/>
        <v>1.300000000000523</v>
      </c>
      <c r="AD19" s="47">
        <f t="shared" si="30"/>
        <v>7.5332531164442385</v>
      </c>
      <c r="AE19" s="22"/>
      <c r="AF19" s="88"/>
      <c r="AG19" s="88"/>
      <c r="AH19" s="88"/>
      <c r="AI19" s="88"/>
      <c r="AJ19" s="88"/>
      <c r="AK19" s="93"/>
      <c r="AL19" s="88"/>
      <c r="AM19" s="88"/>
      <c r="AN19" s="88"/>
      <c r="AO19" s="88"/>
      <c r="AP19" s="88"/>
      <c r="AQ19" s="89"/>
      <c r="AR19" s="89"/>
      <c r="AS19" s="89"/>
      <c r="AT19" s="12">
        <v>14.130000000000024</v>
      </c>
      <c r="AU19" s="29">
        <f t="shared" si="31"/>
        <v>43647</v>
      </c>
      <c r="AV19" s="12">
        <v>48</v>
      </c>
      <c r="AW19" s="12">
        <f t="shared" si="23"/>
        <v>9.3756944660024342</v>
      </c>
      <c r="AY19" s="93"/>
      <c r="BC19" s="76"/>
    </row>
    <row r="20" spans="1:55" ht="29.25" customHeight="1" x14ac:dyDescent="0.2">
      <c r="A20" s="27">
        <f t="shared" si="0"/>
        <v>50</v>
      </c>
      <c r="B20" s="28">
        <f t="shared" si="1"/>
        <v>43649</v>
      </c>
      <c r="C20" s="48">
        <f t="shared" si="2"/>
        <v>-3.9982221909440341</v>
      </c>
      <c r="D20" s="48">
        <f t="shared" si="3"/>
        <v>4.3144621270556627</v>
      </c>
      <c r="E20" s="48">
        <f t="shared" si="4"/>
        <v>0.79999999999813554</v>
      </c>
      <c r="F20" s="47">
        <f t="shared" si="24"/>
        <v>5.9363595017444828</v>
      </c>
      <c r="G20" s="47">
        <f t="shared" si="5"/>
        <v>-3.1707291373663793</v>
      </c>
      <c r="H20" s="47">
        <f t="shared" si="6"/>
        <v>3.4866015858847632</v>
      </c>
      <c r="I20" s="47">
        <f t="shared" si="7"/>
        <v>0.60000000000570708</v>
      </c>
      <c r="J20" s="47">
        <f t="shared" si="25"/>
        <v>4.7507803444534389</v>
      </c>
      <c r="K20" s="48">
        <f t="shared" si="8"/>
        <v>-4.8199418708634312</v>
      </c>
      <c r="L20" s="48">
        <f t="shared" si="9"/>
        <v>3.7105517160971324</v>
      </c>
      <c r="M20" s="48">
        <f t="shared" si="10"/>
        <v>0.90000000000145519</v>
      </c>
      <c r="N20" s="47">
        <f t="shared" si="26"/>
        <v>6.1489863942227476</v>
      </c>
      <c r="O20" s="47">
        <f t="shared" si="11"/>
        <v>-3.5349646198312712</v>
      </c>
      <c r="P20" s="47">
        <f t="shared" si="12"/>
        <v>-3.3036377495593019</v>
      </c>
      <c r="Q20" s="48">
        <f t="shared" si="13"/>
        <v>-6.7000000000092541</v>
      </c>
      <c r="R20" s="47">
        <f t="shared" si="27"/>
        <v>8.2643812378118238</v>
      </c>
      <c r="S20" s="48">
        <f t="shared" si="14"/>
        <v>-2.1397418723552164</v>
      </c>
      <c r="T20" s="48">
        <f t="shared" si="15"/>
        <v>-4.6391069486628744</v>
      </c>
      <c r="U20" s="48">
        <f t="shared" si="16"/>
        <v>-1.0999999999938836</v>
      </c>
      <c r="V20" s="47">
        <f t="shared" si="28"/>
        <v>5.2258787358136161</v>
      </c>
      <c r="W20" s="48">
        <f t="shared" si="17"/>
        <v>-2.3092277355090118</v>
      </c>
      <c r="X20" s="48">
        <f t="shared" si="18"/>
        <v>-5.9318844299927065</v>
      </c>
      <c r="Y20" s="48">
        <f t="shared" si="19"/>
        <v>0.59999999999149622</v>
      </c>
      <c r="Z20" s="47">
        <f t="shared" si="29"/>
        <v>6.3937301808274469</v>
      </c>
      <c r="AA20" s="48">
        <f t="shared" si="20"/>
        <v>-2.9981747279634874</v>
      </c>
      <c r="AB20" s="48">
        <f t="shared" si="21"/>
        <v>-6.5841581692520634</v>
      </c>
      <c r="AC20" s="48">
        <f t="shared" si="22"/>
        <v>1.5999999999962711</v>
      </c>
      <c r="AD20" s="47">
        <f t="shared" si="30"/>
        <v>7.4094662761305337</v>
      </c>
      <c r="AE20" s="22"/>
      <c r="AF20" s="88"/>
      <c r="AG20" s="88"/>
      <c r="AH20" s="88"/>
      <c r="AI20" s="88"/>
      <c r="AJ20" s="88"/>
      <c r="AK20" s="93"/>
      <c r="AL20" s="88"/>
      <c r="AM20" s="88"/>
      <c r="AN20" s="88"/>
      <c r="AO20" s="88"/>
      <c r="AP20" s="88"/>
      <c r="AQ20" s="89"/>
      <c r="AR20" s="89"/>
      <c r="AS20" s="89"/>
      <c r="AT20" s="12">
        <v>15</v>
      </c>
      <c r="AU20" s="29">
        <f t="shared" si="31"/>
        <v>43649</v>
      </c>
      <c r="AV20" s="12">
        <v>50</v>
      </c>
      <c r="AW20" s="12">
        <f t="shared" si="23"/>
        <v>9.651681474462281</v>
      </c>
      <c r="AY20" s="93"/>
      <c r="BC20" s="74"/>
    </row>
    <row r="21" spans="1:55" ht="29.25" customHeight="1" x14ac:dyDescent="0.2">
      <c r="A21" s="27">
        <f t="shared" si="0"/>
        <v>51</v>
      </c>
      <c r="B21" s="28">
        <f t="shared" si="1"/>
        <v>43650</v>
      </c>
      <c r="C21" s="48">
        <f t="shared" si="2"/>
        <v>-4.5476244964106627</v>
      </c>
      <c r="D21" s="48">
        <f t="shared" si="3"/>
        <v>5.4926414618088337</v>
      </c>
      <c r="E21" s="48">
        <f t="shared" si="4"/>
        <v>0</v>
      </c>
      <c r="F21" s="47">
        <f t="shared" si="24"/>
        <v>7.1309185094443341</v>
      </c>
      <c r="G21" s="47">
        <f t="shared" si="5"/>
        <v>-4.1249725154273165</v>
      </c>
      <c r="H21" s="47">
        <f t="shared" si="6"/>
        <v>4.5863494751445799</v>
      </c>
      <c r="I21" s="47">
        <f t="shared" si="7"/>
        <v>-0.69999999999481588</v>
      </c>
      <c r="J21" s="47">
        <f t="shared" si="25"/>
        <v>6.2080592588330266</v>
      </c>
      <c r="K21" s="48">
        <f t="shared" ref="K21:K32" si="32">DPM_HG</f>
        <v>-5.0674310355987018</v>
      </c>
      <c r="L21" s="48">
        <f t="shared" si="9"/>
        <v>4.4778501983011587</v>
      </c>
      <c r="M21" s="48">
        <f t="shared" si="10"/>
        <v>-0.39999999999906777</v>
      </c>
      <c r="N21" s="47">
        <f t="shared" si="26"/>
        <v>6.7742157995574592</v>
      </c>
      <c r="O21" s="47">
        <f t="shared" si="11"/>
        <v>-3.365904580419965</v>
      </c>
      <c r="P21" s="47">
        <f t="shared" si="12"/>
        <v>-3.6661541628052738</v>
      </c>
      <c r="Q21" s="48">
        <f t="shared" si="13"/>
        <v>-8.7000000000045929</v>
      </c>
      <c r="R21" s="47">
        <f t="shared" si="27"/>
        <v>10.022973610163127</v>
      </c>
      <c r="S21" s="48">
        <f t="shared" si="14"/>
        <v>-2.333243400386209</v>
      </c>
      <c r="T21" s="48">
        <f t="shared" si="15"/>
        <v>-5.1706842387950758</v>
      </c>
      <c r="U21" s="48">
        <f t="shared" si="16"/>
        <v>-1.5999999999962711</v>
      </c>
      <c r="V21" s="47">
        <f t="shared" si="28"/>
        <v>5.8940648336065724</v>
      </c>
      <c r="W21" s="48">
        <f t="shared" si="17"/>
        <v>-1.9650542534748183</v>
      </c>
      <c r="X21" s="48">
        <f t="shared" si="18"/>
        <v>-6.4333942064482841</v>
      </c>
      <c r="Y21" s="48">
        <f t="shared" si="19"/>
        <v>0.39999999999906777</v>
      </c>
      <c r="Z21" s="47">
        <f t="shared" si="29"/>
        <v>6.7386941787456918</v>
      </c>
      <c r="AA21" s="48">
        <f t="shared" si="20"/>
        <v>-2.9014138613661089</v>
      </c>
      <c r="AB21" s="48">
        <f t="shared" si="21"/>
        <v>-6.3183696825075408</v>
      </c>
      <c r="AC21" s="48">
        <f t="shared" si="22"/>
        <v>1.1999999999972033</v>
      </c>
      <c r="AD21" s="47">
        <f t="shared" si="30"/>
        <v>7.055494159855221</v>
      </c>
      <c r="AE21" s="22"/>
      <c r="AF21" s="88"/>
      <c r="AG21" s="88"/>
      <c r="AH21" s="88"/>
      <c r="AI21" s="88"/>
      <c r="AJ21" s="88"/>
      <c r="AK21" s="93"/>
      <c r="AL21" s="88"/>
      <c r="AM21" s="88"/>
      <c r="AN21" s="88"/>
      <c r="AO21" s="88"/>
      <c r="AP21" s="88"/>
      <c r="AQ21" s="89"/>
      <c r="AR21" s="89"/>
      <c r="AS21" s="89"/>
      <c r="AT21" s="12">
        <v>15</v>
      </c>
      <c r="AU21" s="29">
        <f t="shared" si="31"/>
        <v>43650</v>
      </c>
      <c r="AV21" s="12">
        <v>51</v>
      </c>
      <c r="AW21" s="12">
        <f t="shared" si="23"/>
        <v>9.7874048884988145</v>
      </c>
      <c r="AY21" s="93"/>
      <c r="BC21" s="76"/>
    </row>
    <row r="22" spans="1:55" ht="29.25" customHeight="1" x14ac:dyDescent="0.2">
      <c r="A22" s="27">
        <f t="shared" si="0"/>
        <v>56</v>
      </c>
      <c r="B22" s="28">
        <f t="shared" si="1"/>
        <v>43655</v>
      </c>
      <c r="C22" s="48">
        <f t="shared" si="2"/>
        <v>-5.8460745500781286</v>
      </c>
      <c r="D22" s="48">
        <f t="shared" si="3"/>
        <v>7.0938996557283751</v>
      </c>
      <c r="E22" s="48">
        <f t="shared" si="4"/>
        <v>0.30000000000995897</v>
      </c>
      <c r="F22" s="47">
        <f t="shared" si="24"/>
        <v>9.1972822056638197</v>
      </c>
      <c r="G22" s="47">
        <f t="shared" si="5"/>
        <v>-3.3093096851928294</v>
      </c>
      <c r="H22" s="47">
        <f t="shared" si="6"/>
        <v>4.9667362776917301</v>
      </c>
      <c r="I22" s="47">
        <f t="shared" si="7"/>
        <v>0.20000000000663931</v>
      </c>
      <c r="J22" s="47">
        <f t="shared" si="25"/>
        <v>5.9715994377262795</v>
      </c>
      <c r="K22" s="48">
        <f t="shared" si="32"/>
        <v>-4.9463077612585948</v>
      </c>
      <c r="L22" s="48">
        <f t="shared" si="9"/>
        <v>5.6377334030832671</v>
      </c>
      <c r="M22" s="48">
        <f t="shared" si="10"/>
        <v>-0.19999999999242846</v>
      </c>
      <c r="N22" s="47">
        <f t="shared" si="26"/>
        <v>7.5026660856874612</v>
      </c>
      <c r="O22" s="47">
        <f t="shared" si="11"/>
        <v>-3.9698149798255145</v>
      </c>
      <c r="P22" s="47">
        <f t="shared" si="12"/>
        <v>-2.8443925821323157</v>
      </c>
      <c r="Q22" s="48">
        <f t="shared" si="13"/>
        <v>-8.4999999999979536</v>
      </c>
      <c r="R22" s="47">
        <f t="shared" si="27"/>
        <v>9.8030607534229635</v>
      </c>
      <c r="S22" s="48">
        <f t="shared" si="14"/>
        <v>-2.5746370613148883</v>
      </c>
      <c r="T22" s="48">
        <f t="shared" si="15"/>
        <v>-4.1798616350749995</v>
      </c>
      <c r="U22" s="48">
        <f t="shared" si="16"/>
        <v>-1.9999999999953388</v>
      </c>
      <c r="V22" s="47">
        <f t="shared" si="28"/>
        <v>5.3009432449187157</v>
      </c>
      <c r="W22" s="48">
        <f t="shared" si="17"/>
        <v>-2.750223071302571</v>
      </c>
      <c r="X22" s="48">
        <f t="shared" si="18"/>
        <v>-5.6961630318159706</v>
      </c>
      <c r="Y22" s="48">
        <f t="shared" si="19"/>
        <v>0.29999999999574811</v>
      </c>
      <c r="Z22" s="47">
        <f t="shared" si="29"/>
        <v>6.3324560975145578</v>
      </c>
      <c r="AA22" s="48">
        <f t="shared" si="20"/>
        <v>-3.535818273149971</v>
      </c>
      <c r="AB22" s="48">
        <f t="shared" si="21"/>
        <v>-6.6142260790353902</v>
      </c>
      <c r="AC22" s="48">
        <f t="shared" si="22"/>
        <v>1.7999999999886995</v>
      </c>
      <c r="AD22" s="47">
        <f t="shared" si="30"/>
        <v>7.7129759162914828</v>
      </c>
      <c r="AE22" s="22"/>
      <c r="AF22" s="88"/>
      <c r="AG22" s="88"/>
      <c r="AH22" s="88"/>
      <c r="AI22" s="88"/>
      <c r="AJ22" s="88"/>
      <c r="AK22" s="93"/>
      <c r="AL22" s="88"/>
      <c r="AM22" s="88"/>
      <c r="AN22" s="88"/>
      <c r="AO22" s="88"/>
      <c r="AP22" s="88"/>
      <c r="AQ22" s="89"/>
      <c r="AR22" s="89"/>
      <c r="AS22" s="89"/>
      <c r="AT22" s="12">
        <v>15</v>
      </c>
      <c r="AU22" s="29">
        <f t="shared" si="31"/>
        <v>43655</v>
      </c>
      <c r="AV22" s="12">
        <v>56</v>
      </c>
      <c r="AW22" s="12">
        <f t="shared" si="23"/>
        <v>10.444454077060168</v>
      </c>
      <c r="AY22" s="93"/>
      <c r="BC22" s="74"/>
    </row>
    <row r="23" spans="1:55" ht="29.25" customHeight="1" x14ac:dyDescent="0.2">
      <c r="A23" s="27">
        <f t="shared" si="0"/>
        <v>58</v>
      </c>
      <c r="B23" s="28">
        <f t="shared" si="1"/>
        <v>43657</v>
      </c>
      <c r="C23" s="48">
        <f t="shared" si="2"/>
        <v>-4.220822190944773</v>
      </c>
      <c r="D23" s="48">
        <f t="shared" si="3"/>
        <v>7.6311491270555365</v>
      </c>
      <c r="E23" s="48">
        <f t="shared" si="4"/>
        <v>0.10000000000331966</v>
      </c>
      <c r="F23" s="47">
        <f t="shared" si="24"/>
        <v>8.7212256573794136</v>
      </c>
      <c r="G23" s="47">
        <f t="shared" si="5"/>
        <v>-2.2396291373638633</v>
      </c>
      <c r="H23" s="47">
        <f t="shared" si="6"/>
        <v>6.4586425858852436</v>
      </c>
      <c r="I23" s="47">
        <f t="shared" si="7"/>
        <v>-0.19999999999242846</v>
      </c>
      <c r="J23" s="47">
        <f t="shared" si="25"/>
        <v>6.8388597532875757</v>
      </c>
      <c r="K23" s="48">
        <f t="shared" si="32"/>
        <v>-3.629141870874264</v>
      </c>
      <c r="L23" s="48">
        <f t="shared" si="9"/>
        <v>6.3623407160973144</v>
      </c>
      <c r="M23" s="48">
        <f t="shared" si="10"/>
        <v>-0.99999999999056399</v>
      </c>
      <c r="N23" s="47">
        <f t="shared" si="26"/>
        <v>7.3925672202979369</v>
      </c>
      <c r="O23" s="47">
        <f t="shared" si="11"/>
        <v>-3.0090646198459581</v>
      </c>
      <c r="P23" s="47">
        <f t="shared" si="12"/>
        <v>-2.0653227495592841</v>
      </c>
      <c r="Q23" s="48">
        <f t="shared" si="13"/>
        <v>-9.5000000000027285</v>
      </c>
      <c r="R23" s="47">
        <f t="shared" si="27"/>
        <v>10.176936078521258</v>
      </c>
      <c r="S23" s="48">
        <f t="shared" si="14"/>
        <v>-1.7711418723536099</v>
      </c>
      <c r="T23" s="48">
        <f t="shared" si="15"/>
        <v>-4.246521948662707</v>
      </c>
      <c r="U23" s="48">
        <f t="shared" si="16"/>
        <v>-2.6999999999901547</v>
      </c>
      <c r="V23" s="47">
        <f t="shared" si="28"/>
        <v>5.3347813631324383</v>
      </c>
      <c r="W23" s="48">
        <f t="shared" si="17"/>
        <v>-1.8199277355108734</v>
      </c>
      <c r="X23" s="48">
        <f t="shared" si="18"/>
        <v>-6.0347114299927895</v>
      </c>
      <c r="Y23" s="48">
        <f t="shared" si="19"/>
        <v>0</v>
      </c>
      <c r="Z23" s="47">
        <f t="shared" si="29"/>
        <v>6.3031642058387911</v>
      </c>
      <c r="AA23" s="48">
        <f t="shared" si="20"/>
        <v>-2.8652747279807045</v>
      </c>
      <c r="AB23" s="48">
        <f t="shared" si="21"/>
        <v>-6.6325231692521136</v>
      </c>
      <c r="AC23" s="48">
        <f t="shared" si="22"/>
        <v>1.6999999999995907</v>
      </c>
      <c r="AD23" s="47">
        <f t="shared" si="30"/>
        <v>7.422274776473154</v>
      </c>
      <c r="AE23" s="22"/>
      <c r="AF23" s="88"/>
      <c r="AG23" s="88"/>
      <c r="AH23" s="88"/>
      <c r="AI23" s="88"/>
      <c r="AJ23" s="88"/>
      <c r="AK23" s="93"/>
      <c r="AL23" s="88"/>
      <c r="AM23" s="88"/>
      <c r="AN23" s="88"/>
      <c r="AO23" s="88"/>
      <c r="AP23" s="88"/>
      <c r="AQ23" s="89"/>
      <c r="AR23" s="89"/>
      <c r="AS23" s="89"/>
      <c r="AT23" s="12">
        <v>15</v>
      </c>
      <c r="AU23" s="29">
        <f t="shared" si="31"/>
        <v>43657</v>
      </c>
      <c r="AV23" s="12">
        <v>58</v>
      </c>
      <c r="AW23" s="12">
        <f t="shared" si="23"/>
        <v>10.697702599570453</v>
      </c>
      <c r="AY23" s="93"/>
      <c r="BC23" s="76"/>
    </row>
    <row r="24" spans="1:55" ht="29.25" customHeight="1" x14ac:dyDescent="0.2">
      <c r="A24" s="27">
        <f t="shared" si="0"/>
        <v>62</v>
      </c>
      <c r="B24" s="28">
        <f t="shared" si="1"/>
        <v>43661</v>
      </c>
      <c r="C24" s="48">
        <f t="shared" si="2"/>
        <v>-4.1119221267820194</v>
      </c>
      <c r="D24" s="48">
        <f t="shared" si="3"/>
        <v>8.34398568217809</v>
      </c>
      <c r="E24" s="48">
        <f t="shared" si="4"/>
        <v>-0.19999999999242846</v>
      </c>
      <c r="F24" s="47">
        <f t="shared" si="24"/>
        <v>9.3043001155975986</v>
      </c>
      <c r="G24" s="47">
        <f t="shared" si="5"/>
        <v>-1.4784290947602585</v>
      </c>
      <c r="H24" s="47">
        <f t="shared" si="6"/>
        <v>6.482611072295974</v>
      </c>
      <c r="I24" s="47">
        <f t="shared" si="7"/>
        <v>-0.49999999998817657</v>
      </c>
      <c r="J24" s="47">
        <f t="shared" si="25"/>
        <v>6.6678331489979694</v>
      </c>
      <c r="K24" s="48">
        <f t="shared" si="32"/>
        <v>-2.9524652639167925</v>
      </c>
      <c r="L24" s="48">
        <f t="shared" si="9"/>
        <v>6.5675678202588017</v>
      </c>
      <c r="M24" s="48">
        <f t="shared" si="10"/>
        <v>-1.0999999999938836</v>
      </c>
      <c r="N24" s="47">
        <f t="shared" si="26"/>
        <v>7.2842294176062818</v>
      </c>
      <c r="O24" s="47">
        <f t="shared" si="11"/>
        <v>-2.4713837034653352</v>
      </c>
      <c r="P24" s="47">
        <f t="shared" si="12"/>
        <v>-2.035254893477223</v>
      </c>
      <c r="Q24" s="48">
        <f t="shared" si="13"/>
        <v>-9.9000000000017963</v>
      </c>
      <c r="R24" s="47">
        <f t="shared" si="27"/>
        <v>10.404806576347903</v>
      </c>
      <c r="S24" s="48">
        <f t="shared" si="14"/>
        <v>-1.9162638279510702</v>
      </c>
      <c r="T24" s="48">
        <f t="shared" si="15"/>
        <v>-4.6452052347962791</v>
      </c>
      <c r="U24" s="48">
        <f t="shared" si="16"/>
        <v>-3.3999999999991815</v>
      </c>
      <c r="V24" s="47">
        <f t="shared" si="28"/>
        <v>6.0671244203235917</v>
      </c>
      <c r="W24" s="48">
        <f t="shared" si="17"/>
        <v>-2.0073193826704028</v>
      </c>
      <c r="X24" s="48">
        <f t="shared" si="18"/>
        <v>-6.3427651555079123</v>
      </c>
      <c r="Y24" s="48">
        <f t="shared" si="19"/>
        <v>-0.50000000000238742</v>
      </c>
      <c r="Z24" s="47">
        <f t="shared" si="29"/>
        <v>6.6715815907453297</v>
      </c>
      <c r="AA24" s="48">
        <f t="shared" si="20"/>
        <v>-2.8713462401412926</v>
      </c>
      <c r="AB24" s="48">
        <f t="shared" si="21"/>
        <v>-6.8560461873956591</v>
      </c>
      <c r="AC24" s="48">
        <f t="shared" si="22"/>
        <v>1.3999999999896318</v>
      </c>
      <c r="AD24" s="47">
        <f t="shared" si="30"/>
        <v>7.5637291433820568</v>
      </c>
      <c r="AE24" s="22"/>
      <c r="AF24" s="88"/>
      <c r="AG24" s="88"/>
      <c r="AH24" s="88"/>
      <c r="AI24" s="88"/>
      <c r="AJ24" s="88"/>
      <c r="AK24" s="93"/>
      <c r="AL24" s="88"/>
      <c r="AM24" s="88"/>
      <c r="AN24" s="88"/>
      <c r="AO24" s="88"/>
      <c r="AP24" s="88"/>
      <c r="AQ24" s="89"/>
      <c r="AR24" s="89"/>
      <c r="AS24" s="89"/>
      <c r="AT24" s="12">
        <v>15.830000000000013</v>
      </c>
      <c r="AU24" s="29">
        <f t="shared" si="31"/>
        <v>43661</v>
      </c>
      <c r="AV24" s="12">
        <v>62</v>
      </c>
      <c r="AW24" s="12">
        <f t="shared" si="23"/>
        <v>11.188866593662437</v>
      </c>
      <c r="AY24" s="93"/>
      <c r="BC24" s="74"/>
    </row>
    <row r="25" spans="1:55" ht="29.25" customHeight="1" x14ac:dyDescent="0.2">
      <c r="A25" s="27">
        <f t="shared" si="0"/>
        <v>65</v>
      </c>
      <c r="B25" s="28">
        <f t="shared" si="1"/>
        <v>43664</v>
      </c>
      <c r="C25" s="48">
        <f t="shared" si="2"/>
        <v>-3.646578421552249</v>
      </c>
      <c r="D25" s="48">
        <f t="shared" si="3"/>
        <v>9.0023589647580948</v>
      </c>
      <c r="E25" s="48">
        <f t="shared" si="4"/>
        <v>-0.19999999999242846</v>
      </c>
      <c r="F25" s="47">
        <f t="shared" si="24"/>
        <v>9.7149370103407193</v>
      </c>
      <c r="G25" s="47">
        <f t="shared" si="5"/>
        <v>-1.0553507226802594</v>
      </c>
      <c r="H25" s="47">
        <f t="shared" si="6"/>
        <v>7.2316135676526727</v>
      </c>
      <c r="I25" s="47">
        <f t="shared" si="7"/>
        <v>-0.59999999999149622</v>
      </c>
      <c r="J25" s="47">
        <f t="shared" si="25"/>
        <v>7.3328030070164685</v>
      </c>
      <c r="K25" s="48">
        <f t="shared" si="32"/>
        <v>-2.5533556079153641</v>
      </c>
      <c r="L25" s="48">
        <f t="shared" si="9"/>
        <v>8.0777703610843687</v>
      </c>
      <c r="M25" s="48">
        <f t="shared" si="10"/>
        <v>-1.1999999999972033</v>
      </c>
      <c r="N25" s="47">
        <f t="shared" si="26"/>
        <v>8.556284174037188</v>
      </c>
      <c r="O25" s="47">
        <f t="shared" si="11"/>
        <v>-2.1088669720654707</v>
      </c>
      <c r="P25" s="47">
        <f t="shared" si="12"/>
        <v>-1.8661941306283569</v>
      </c>
      <c r="Q25" s="48">
        <f t="shared" si="13"/>
        <v>-10.699999999999932</v>
      </c>
      <c r="R25" s="47">
        <f t="shared" si="27"/>
        <v>11.06435720858012</v>
      </c>
      <c r="S25" s="48">
        <f t="shared" si="14"/>
        <v>-0.78644819518558506</v>
      </c>
      <c r="T25" s="48">
        <f t="shared" si="15"/>
        <v>-4.2286521097625318</v>
      </c>
      <c r="U25" s="48">
        <f t="shared" si="16"/>
        <v>-3.2999999999958618</v>
      </c>
      <c r="V25" s="47">
        <f t="shared" si="28"/>
        <v>5.4212544147164374</v>
      </c>
      <c r="W25" s="48">
        <f t="shared" si="17"/>
        <v>-1.2522181860674664</v>
      </c>
      <c r="X25" s="48">
        <f t="shared" si="18"/>
        <v>-6.5423198252503312</v>
      </c>
      <c r="Y25" s="48">
        <f t="shared" si="19"/>
        <v>-0.60000000000570708</v>
      </c>
      <c r="Z25" s="47">
        <f t="shared" si="29"/>
        <v>6.6880489742067883</v>
      </c>
      <c r="AA25" s="48">
        <f t="shared" si="20"/>
        <v>-1.7837958349957717</v>
      </c>
      <c r="AB25" s="48">
        <f t="shared" si="21"/>
        <v>-6.3488638003965647</v>
      </c>
      <c r="AC25" s="48">
        <f t="shared" si="22"/>
        <v>1.3999999999896318</v>
      </c>
      <c r="AD25" s="47">
        <f t="shared" si="30"/>
        <v>6.7416614522612406</v>
      </c>
      <c r="AE25" s="22"/>
      <c r="AF25" s="88"/>
      <c r="AG25" s="88"/>
      <c r="AH25" s="88"/>
      <c r="AI25" s="88"/>
      <c r="AJ25" s="88"/>
      <c r="AK25" s="93"/>
      <c r="AL25" s="88"/>
      <c r="AM25" s="88"/>
      <c r="AN25" s="88"/>
      <c r="AO25" s="88"/>
      <c r="AP25" s="88"/>
      <c r="AQ25" s="89"/>
      <c r="AR25" s="89"/>
      <c r="AS25" s="89"/>
      <c r="AT25" s="12">
        <v>18</v>
      </c>
      <c r="AU25" s="29">
        <f t="shared" si="31"/>
        <v>43664</v>
      </c>
      <c r="AV25" s="12">
        <v>65</v>
      </c>
      <c r="AW25" s="12">
        <f t="shared" si="23"/>
        <v>11.544525108039439</v>
      </c>
      <c r="AY25" s="93"/>
      <c r="BC25" s="76"/>
    </row>
    <row r="26" spans="1:55" ht="29.25" customHeight="1" x14ac:dyDescent="0.2">
      <c r="A26" s="27">
        <f t="shared" si="0"/>
        <v>70</v>
      </c>
      <c r="B26" s="28">
        <f t="shared" si="1"/>
        <v>43669</v>
      </c>
      <c r="C26" s="48">
        <f t="shared" si="2"/>
        <v>-4.2692117236242666</v>
      </c>
      <c r="D26" s="48">
        <f t="shared" si="3"/>
        <v>7.4982552799092161</v>
      </c>
      <c r="E26" s="48">
        <f t="shared" si="4"/>
        <v>0</v>
      </c>
      <c r="F26" s="47">
        <f t="shared" si="24"/>
        <v>8.6284413994543261</v>
      </c>
      <c r="G26" s="47">
        <f t="shared" si="5"/>
        <v>-2.6383123558559873</v>
      </c>
      <c r="H26" s="47">
        <f t="shared" si="6"/>
        <v>6.6037341919464865</v>
      </c>
      <c r="I26" s="47">
        <f t="shared" si="7"/>
        <v>-0.49999999998817657</v>
      </c>
      <c r="J26" s="47">
        <f t="shared" si="25"/>
        <v>7.1288145834306604</v>
      </c>
      <c r="K26" s="48">
        <f t="shared" si="32"/>
        <v>-3.5446044480806904</v>
      </c>
      <c r="L26" s="48">
        <f t="shared" si="9"/>
        <v>6.1810821617633849</v>
      </c>
      <c r="M26" s="48">
        <f t="shared" si="10"/>
        <v>-1.0999999999938836</v>
      </c>
      <c r="N26" s="47">
        <f t="shared" si="26"/>
        <v>7.2097154856353027</v>
      </c>
      <c r="O26" s="47">
        <f t="shared" si="11"/>
        <v>-2.6831362397672365</v>
      </c>
      <c r="P26" s="47">
        <f t="shared" si="12"/>
        <v>-3.2374033258762704</v>
      </c>
      <c r="Q26" s="48">
        <f t="shared" si="13"/>
        <v>-11.099999999999</v>
      </c>
      <c r="R26" s="47">
        <f t="shared" si="27"/>
        <v>11.869709363565933</v>
      </c>
      <c r="S26" s="48">
        <f t="shared" si="14"/>
        <v>-1.4212789980945217</v>
      </c>
      <c r="T26" s="48">
        <f t="shared" si="15"/>
        <v>-6.1798029883406436</v>
      </c>
      <c r="U26" s="48">
        <f t="shared" si="16"/>
        <v>-3.6999999999949296</v>
      </c>
      <c r="V26" s="47">
        <f t="shared" si="28"/>
        <v>7.3416618667091305</v>
      </c>
      <c r="W26" s="48">
        <f t="shared" si="17"/>
        <v>-1.3794401616564755</v>
      </c>
      <c r="X26" s="48">
        <f t="shared" si="18"/>
        <v>-7.9257267323900038</v>
      </c>
      <c r="Y26" s="48">
        <f t="shared" si="19"/>
        <v>-0.39999999999906777</v>
      </c>
      <c r="Z26" s="47">
        <f t="shared" si="29"/>
        <v>8.0548121887547222</v>
      </c>
      <c r="AA26" s="48">
        <f t="shared" si="20"/>
        <v>-2.2857322538243352</v>
      </c>
      <c r="AB26" s="48">
        <f t="shared" si="21"/>
        <v>-8.3483787625469041</v>
      </c>
      <c r="AC26" s="48">
        <f t="shared" si="22"/>
        <v>1.5999999999962711</v>
      </c>
      <c r="AD26" s="47">
        <f t="shared" si="30"/>
        <v>8.8022724281349713</v>
      </c>
      <c r="AE26" s="22"/>
      <c r="AF26" s="88"/>
      <c r="AG26" s="88"/>
      <c r="AH26" s="88"/>
      <c r="AI26" s="88"/>
      <c r="AJ26" s="88"/>
      <c r="AK26" s="93"/>
      <c r="AL26" s="88"/>
      <c r="AM26" s="88"/>
      <c r="AN26" s="88"/>
      <c r="AO26" s="88"/>
      <c r="AP26" s="88"/>
      <c r="AQ26" s="89"/>
      <c r="AR26" s="89"/>
      <c r="AS26" s="89"/>
      <c r="AT26" s="12">
        <v>18.97</v>
      </c>
      <c r="AU26" s="29">
        <f t="shared" si="31"/>
        <v>43669</v>
      </c>
      <c r="AV26" s="12">
        <v>70</v>
      </c>
      <c r="AW26" s="12">
        <f t="shared" si="23"/>
        <v>12.114703224547069</v>
      </c>
      <c r="AY26" s="93"/>
      <c r="BC26" s="74"/>
    </row>
    <row r="27" spans="1:55" ht="29.25" customHeight="1" x14ac:dyDescent="0.2">
      <c r="A27" s="27">
        <f t="shared" si="0"/>
        <v>76</v>
      </c>
      <c r="B27" s="28">
        <f t="shared" si="1"/>
        <v>43675</v>
      </c>
      <c r="C27" s="48">
        <f t="shared" si="2"/>
        <v>-4.4195496330416972</v>
      </c>
      <c r="D27" s="48">
        <f t="shared" si="3"/>
        <v>10.186637382296748</v>
      </c>
      <c r="E27" s="48">
        <f t="shared" si="4"/>
        <v>-0.49999999998817657</v>
      </c>
      <c r="F27" s="47">
        <f t="shared" si="24"/>
        <v>11.115304769429974</v>
      </c>
      <c r="G27" s="47">
        <f t="shared" si="5"/>
        <v>-2.3598995830695912</v>
      </c>
      <c r="H27" s="47">
        <f t="shared" si="6"/>
        <v>8.6093480100144504</v>
      </c>
      <c r="I27" s="47">
        <f t="shared" si="7"/>
        <v>-0.69999999999481588</v>
      </c>
      <c r="J27" s="47">
        <f t="shared" si="25"/>
        <v>8.954328517521823</v>
      </c>
      <c r="K27" s="48">
        <f t="shared" si="32"/>
        <v>-3.8278368470514579</v>
      </c>
      <c r="L27" s="48">
        <f t="shared" si="9"/>
        <v>8.9178282985451496</v>
      </c>
      <c r="M27" s="48">
        <f t="shared" si="10"/>
        <v>-1.0999999999938836</v>
      </c>
      <c r="N27" s="47">
        <f t="shared" si="26"/>
        <v>9.7667802519542786</v>
      </c>
      <c r="O27" s="47">
        <f t="shared" si="11"/>
        <v>-3.6914022070391184</v>
      </c>
      <c r="P27" s="47">
        <f t="shared" si="12"/>
        <v>-0.83877876404644947</v>
      </c>
      <c r="Q27" s="48">
        <f t="shared" si="13"/>
        <v>-11.900000000011346</v>
      </c>
      <c r="R27" s="47">
        <f t="shared" si="27"/>
        <v>12.487593846270729</v>
      </c>
      <c r="S27" s="48">
        <f t="shared" si="14"/>
        <v>-2.4657113933699293</v>
      </c>
      <c r="T27" s="48">
        <f t="shared" si="15"/>
        <v>-3.4670256731721416</v>
      </c>
      <c r="U27" s="48">
        <f t="shared" si="16"/>
        <v>-4.199999999997317</v>
      </c>
      <c r="V27" s="47">
        <f t="shared" si="28"/>
        <v>5.9782940454452795</v>
      </c>
      <c r="W27" s="48">
        <f t="shared" si="17"/>
        <v>-2.8709197505918382</v>
      </c>
      <c r="X27" s="48">
        <f t="shared" si="18"/>
        <v>-5.2007519163703719</v>
      </c>
      <c r="Y27" s="48">
        <f t="shared" si="19"/>
        <v>-0.70000000000902673</v>
      </c>
      <c r="Z27" s="47">
        <f t="shared" si="29"/>
        <v>5.9816386308419727</v>
      </c>
      <c r="AA27" s="48">
        <f t="shared" si="20"/>
        <v>-3.8316746696693826</v>
      </c>
      <c r="AB27" s="48">
        <f t="shared" si="21"/>
        <v>-5.9798216672271032</v>
      </c>
      <c r="AC27" s="48">
        <f t="shared" si="22"/>
        <v>1.1999999999972033</v>
      </c>
      <c r="AD27" s="47">
        <f t="shared" si="30"/>
        <v>7.202777099565</v>
      </c>
      <c r="AE27" s="22"/>
      <c r="AF27" s="88"/>
      <c r="AG27" s="88"/>
      <c r="AH27" s="88"/>
      <c r="AI27" s="88"/>
      <c r="AJ27" s="88"/>
      <c r="AK27" s="93"/>
      <c r="AL27" s="88"/>
      <c r="AM27" s="88"/>
      <c r="AN27" s="88"/>
      <c r="AO27" s="88"/>
      <c r="AP27" s="88"/>
      <c r="AQ27" s="89"/>
      <c r="AR27" s="89"/>
      <c r="AS27" s="89"/>
      <c r="AT27" s="12">
        <v>20</v>
      </c>
      <c r="AU27" s="29">
        <f t="shared" si="31"/>
        <v>43675</v>
      </c>
      <c r="AV27" s="12">
        <v>76</v>
      </c>
      <c r="AW27" s="12">
        <f t="shared" si="23"/>
        <v>12.764463562418641</v>
      </c>
      <c r="AY27" s="93"/>
      <c r="BC27" s="76"/>
    </row>
    <row r="28" spans="1:55" ht="29.25" customHeight="1" x14ac:dyDescent="0.2">
      <c r="A28" s="27">
        <f t="shared" si="0"/>
        <v>80</v>
      </c>
      <c r="B28" s="28">
        <f t="shared" si="1"/>
        <v>43679</v>
      </c>
      <c r="C28" s="48">
        <f t="shared" si="2"/>
        <v>-4.5829221909627904</v>
      </c>
      <c r="D28" s="48">
        <f t="shared" si="3"/>
        <v>9.1173831270556782</v>
      </c>
      <c r="E28" s="48">
        <f t="shared" si="4"/>
        <v>0.30000000000995897</v>
      </c>
      <c r="F28" s="47">
        <f t="shared" si="24"/>
        <v>10.208812413495741</v>
      </c>
      <c r="G28" s="47">
        <f t="shared" si="5"/>
        <v>-2.2997291373769713</v>
      </c>
      <c r="H28" s="47">
        <f t="shared" si="6"/>
        <v>7.5339955858853003</v>
      </c>
      <c r="I28" s="47">
        <f t="shared" si="7"/>
        <v>-9.9999999989108801E-2</v>
      </c>
      <c r="J28" s="47">
        <f t="shared" si="25"/>
        <v>7.8778070294617928</v>
      </c>
      <c r="K28" s="48">
        <f t="shared" si="32"/>
        <v>-3.7738418708670451</v>
      </c>
      <c r="L28" s="48">
        <f t="shared" si="9"/>
        <v>7.6189517160969444</v>
      </c>
      <c r="M28" s="48">
        <f t="shared" si="10"/>
        <v>-0.79999999999813554</v>
      </c>
      <c r="N28" s="47">
        <f t="shared" si="26"/>
        <v>8.5399243391568103</v>
      </c>
      <c r="O28" s="47">
        <f t="shared" si="11"/>
        <v>-3.2025646198405866</v>
      </c>
      <c r="P28" s="47">
        <f t="shared" si="12"/>
        <v>-2.5968997495592894</v>
      </c>
      <c r="Q28" s="48">
        <f t="shared" si="13"/>
        <v>-11.700000000004707</v>
      </c>
      <c r="R28" s="47">
        <f t="shared" si="27"/>
        <v>12.405253260358126</v>
      </c>
      <c r="S28" s="48">
        <f t="shared" si="14"/>
        <v>-1.8500418723590428</v>
      </c>
      <c r="T28" s="48">
        <f t="shared" si="15"/>
        <v>-5.4970349486627157</v>
      </c>
      <c r="U28" s="48">
        <f t="shared" si="16"/>
        <v>-3.6999999999949296</v>
      </c>
      <c r="V28" s="47">
        <f t="shared" si="28"/>
        <v>6.8796837250169816</v>
      </c>
      <c r="W28" s="48">
        <f t="shared" si="17"/>
        <v>-1.9833277355019163</v>
      </c>
      <c r="X28" s="48">
        <f t="shared" si="18"/>
        <v>-7.103965429992698</v>
      </c>
      <c r="Y28" s="48">
        <f t="shared" si="19"/>
        <v>9.9999999989108801E-2</v>
      </c>
      <c r="Z28" s="47">
        <f t="shared" si="29"/>
        <v>7.376307595060033</v>
      </c>
      <c r="AA28" s="48">
        <f t="shared" si="20"/>
        <v>-3.2582747279832347</v>
      </c>
      <c r="AB28" s="48">
        <f t="shared" si="21"/>
        <v>-7.9192011692521547</v>
      </c>
      <c r="AC28" s="48">
        <f t="shared" si="22"/>
        <v>1.9999999999953388</v>
      </c>
      <c r="AD28" s="47">
        <f t="shared" si="30"/>
        <v>8.7937535422639783</v>
      </c>
      <c r="AE28" s="22"/>
      <c r="AF28" s="88"/>
      <c r="AG28" s="88"/>
      <c r="AH28" s="88"/>
      <c r="AI28" s="88"/>
      <c r="AJ28" s="88"/>
      <c r="AK28" s="93"/>
      <c r="AL28" s="88"/>
      <c r="AM28" s="88"/>
      <c r="AN28" s="88"/>
      <c r="AO28" s="88"/>
      <c r="AP28" s="88"/>
      <c r="AQ28" s="89"/>
      <c r="AR28" s="89"/>
      <c r="AS28" s="89"/>
      <c r="AT28" s="12">
        <v>22.300000000000011</v>
      </c>
      <c r="AU28" s="29">
        <f t="shared" si="31"/>
        <v>43679</v>
      </c>
      <c r="AV28" s="12">
        <v>80</v>
      </c>
      <c r="AW28" s="12">
        <f t="shared" si="23"/>
        <v>13.178397872914392</v>
      </c>
      <c r="AY28" s="93"/>
      <c r="BC28" s="74"/>
    </row>
    <row r="29" spans="1:55" ht="29.25" customHeight="1" x14ac:dyDescent="0.2">
      <c r="A29" s="27">
        <f t="shared" si="0"/>
        <v>83</v>
      </c>
      <c r="B29" s="28">
        <f t="shared" si="1"/>
        <v>43682</v>
      </c>
      <c r="C29" s="48">
        <f t="shared" si="2"/>
        <v>-4.7820664699145254</v>
      </c>
      <c r="D29" s="48">
        <f t="shared" si="3"/>
        <v>10.017576570232389</v>
      </c>
      <c r="E29" s="48">
        <f t="shared" si="4"/>
        <v>-0.29999999999574811</v>
      </c>
      <c r="F29" s="47">
        <f t="shared" si="24"/>
        <v>11.104503593729309</v>
      </c>
      <c r="G29" s="47">
        <f t="shared" si="5"/>
        <v>-2.323733155122909</v>
      </c>
      <c r="H29" s="47">
        <f t="shared" si="6"/>
        <v>8.2951952567018594</v>
      </c>
      <c r="I29" s="47">
        <f t="shared" si="7"/>
        <v>-0.29999999999574811</v>
      </c>
      <c r="J29" s="47">
        <f t="shared" si="25"/>
        <v>8.6197447829401508</v>
      </c>
      <c r="K29" s="48">
        <f t="shared" si="32"/>
        <v>-3.9668301363064984</v>
      </c>
      <c r="L29" s="48">
        <f t="shared" si="9"/>
        <v>8.7426688415344067</v>
      </c>
      <c r="M29" s="48">
        <f t="shared" si="10"/>
        <v>-1.0999999999938836</v>
      </c>
      <c r="N29" s="47">
        <f t="shared" si="26"/>
        <v>9.6633327482309408</v>
      </c>
      <c r="O29" s="47">
        <f t="shared" si="11"/>
        <v>-3.8970558382231957</v>
      </c>
      <c r="P29" s="47">
        <f t="shared" si="12"/>
        <v>-1.8174036559090723</v>
      </c>
      <c r="Q29" s="48">
        <f t="shared" si="13"/>
        <v>-12.300000000010414</v>
      </c>
      <c r="R29" s="47">
        <f t="shared" si="27"/>
        <v>13.029965474052391</v>
      </c>
      <c r="S29" s="48">
        <f t="shared" si="14"/>
        <v>-2.4600390832461017</v>
      </c>
      <c r="T29" s="48">
        <f t="shared" si="15"/>
        <v>-4.8987964528954819</v>
      </c>
      <c r="U29" s="48">
        <f t="shared" si="16"/>
        <v>-4.199999999997317</v>
      </c>
      <c r="V29" s="47">
        <f t="shared" si="28"/>
        <v>6.9057945942503345</v>
      </c>
      <c r="W29" s="48">
        <f t="shared" si="17"/>
        <v>-2.9075126681448182</v>
      </c>
      <c r="X29" s="48">
        <f t="shared" si="18"/>
        <v>-6.5418934340835122</v>
      </c>
      <c r="Y29" s="48">
        <f t="shared" si="19"/>
        <v>-0.20000000000663931</v>
      </c>
      <c r="Z29" s="47">
        <f t="shared" si="29"/>
        <v>7.161703681270974</v>
      </c>
      <c r="AA29" s="48">
        <f t="shared" si="20"/>
        <v>-4.097889941590438</v>
      </c>
      <c r="AB29" s="48">
        <f t="shared" si="21"/>
        <v>-7.5383882916231215</v>
      </c>
      <c r="AC29" s="48">
        <f t="shared" si="22"/>
        <v>1.6999999999995907</v>
      </c>
      <c r="AD29" s="47">
        <f t="shared" si="30"/>
        <v>8.7469994860333262</v>
      </c>
      <c r="AE29" s="22"/>
      <c r="AF29" s="88"/>
      <c r="AG29" s="88"/>
      <c r="AH29" s="88"/>
      <c r="AI29" s="88"/>
      <c r="AJ29" s="88"/>
      <c r="AK29" s="13" t="s">
        <v>96</v>
      </c>
      <c r="AL29" s="88"/>
      <c r="AM29" s="88"/>
      <c r="AN29" s="88"/>
      <c r="AO29" s="88"/>
      <c r="AP29" s="88"/>
      <c r="AQ29" s="89"/>
      <c r="AR29" s="89"/>
      <c r="AS29" s="89"/>
      <c r="AT29" s="12">
        <v>23.840000000000003</v>
      </c>
      <c r="AU29" s="29">
        <f t="shared" si="31"/>
        <v>43682</v>
      </c>
      <c r="AV29" s="12">
        <v>83</v>
      </c>
      <c r="AW29" s="12">
        <f t="shared" si="23"/>
        <v>13.479420751976372</v>
      </c>
      <c r="AY29" s="93"/>
      <c r="BC29" s="76"/>
    </row>
    <row r="30" spans="1:55" ht="29.25" customHeight="1" x14ac:dyDescent="0.2">
      <c r="A30" s="27">
        <f t="shared" si="0"/>
        <v>85</v>
      </c>
      <c r="B30" s="28">
        <f t="shared" si="1"/>
        <v>43684</v>
      </c>
      <c r="C30" s="48">
        <f t="shared" si="2"/>
        <v>-4.7820664699145254</v>
      </c>
      <c r="D30" s="48">
        <f t="shared" si="3"/>
        <v>10.017576570232389</v>
      </c>
      <c r="E30" s="48">
        <f t="shared" si="4"/>
        <v>-0.19999999999242846</v>
      </c>
      <c r="F30" s="47">
        <f t="shared" si="24"/>
        <v>11.102252026645164</v>
      </c>
      <c r="G30" s="47">
        <f t="shared" si="5"/>
        <v>-2.323733155122909</v>
      </c>
      <c r="H30" s="47">
        <f t="shared" si="6"/>
        <v>8.2951952567018594</v>
      </c>
      <c r="I30" s="47">
        <f t="shared" si="7"/>
        <v>-0.89999999998724434</v>
      </c>
      <c r="J30" s="47">
        <f t="shared" si="25"/>
        <v>8.6614086685136567</v>
      </c>
      <c r="K30" s="48">
        <f t="shared" si="32"/>
        <v>-3.9668301363064984</v>
      </c>
      <c r="L30" s="48">
        <f t="shared" si="9"/>
        <v>8.7426688415344067</v>
      </c>
      <c r="M30" s="48">
        <f t="shared" si="10"/>
        <v>-1.5999999999962711</v>
      </c>
      <c r="N30" s="47">
        <f t="shared" si="26"/>
        <v>9.7329337716350484</v>
      </c>
      <c r="O30" s="47">
        <f t="shared" si="11"/>
        <v>-3.8970558382231957</v>
      </c>
      <c r="P30" s="47">
        <f t="shared" si="12"/>
        <v>-1.8174036559090723</v>
      </c>
      <c r="Q30" s="48">
        <f t="shared" si="13"/>
        <v>-13.100000000008549</v>
      </c>
      <c r="R30" s="47">
        <f t="shared" si="27"/>
        <v>13.78767566542545</v>
      </c>
      <c r="S30" s="48">
        <f t="shared" si="14"/>
        <v>-2.4600390832461017</v>
      </c>
      <c r="T30" s="48">
        <f t="shared" si="15"/>
        <v>-4.8987964528954819</v>
      </c>
      <c r="U30" s="48">
        <f t="shared" si="16"/>
        <v>-4.6999999999997044</v>
      </c>
      <c r="V30" s="47">
        <f t="shared" si="28"/>
        <v>7.2208032086463136</v>
      </c>
      <c r="W30" s="48">
        <f t="shared" si="17"/>
        <v>-2.9075126681448182</v>
      </c>
      <c r="X30" s="48">
        <f t="shared" si="18"/>
        <v>-6.5418934340835122</v>
      </c>
      <c r="Y30" s="48">
        <f t="shared" si="19"/>
        <v>-0.70000000000902673</v>
      </c>
      <c r="Z30" s="47">
        <f t="shared" si="29"/>
        <v>7.1930521768120244</v>
      </c>
      <c r="AA30" s="48">
        <f t="shared" si="20"/>
        <v>-4.097889941590438</v>
      </c>
      <c r="AB30" s="48">
        <f t="shared" si="21"/>
        <v>-7.5383882916231215</v>
      </c>
      <c r="AC30" s="48">
        <f t="shared" si="22"/>
        <v>1.300000000000523</v>
      </c>
      <c r="AD30" s="47">
        <f t="shared" si="30"/>
        <v>8.6781334403585895</v>
      </c>
      <c r="AE30" s="22"/>
      <c r="AF30" s="88"/>
      <c r="AG30" s="88"/>
      <c r="AH30" s="88"/>
      <c r="AI30" s="88"/>
      <c r="AJ30" s="88"/>
      <c r="AK30" s="29">
        <v>0</v>
      </c>
      <c r="AL30" s="89"/>
      <c r="AM30" s="12">
        <f>AM31</f>
        <v>40.003216021786621</v>
      </c>
      <c r="AN30" s="88"/>
      <c r="AO30" s="88"/>
      <c r="AQ30" s="89"/>
      <c r="AR30" s="89"/>
      <c r="AS30" s="89"/>
      <c r="AT30" s="12">
        <v>23.800000000000011</v>
      </c>
      <c r="AU30" s="29">
        <f t="shared" si="31"/>
        <v>43684</v>
      </c>
      <c r="AV30" s="12">
        <v>85</v>
      </c>
      <c r="AW30" s="12">
        <f t="shared" si="23"/>
        <v>13.675816934318998</v>
      </c>
      <c r="AY30" s="93"/>
      <c r="BC30" s="74"/>
    </row>
    <row r="31" spans="1:55" ht="29.25" customHeight="1" x14ac:dyDescent="0.2">
      <c r="A31" s="27">
        <f t="shared" si="0"/>
        <v>86</v>
      </c>
      <c r="B31" s="28">
        <f t="shared" si="1"/>
        <v>43685</v>
      </c>
      <c r="C31" s="48">
        <f t="shared" si="2"/>
        <v>-3.2836221909633423</v>
      </c>
      <c r="D31" s="48">
        <f t="shared" si="3"/>
        <v>10.826714127055492</v>
      </c>
      <c r="E31" s="48">
        <f t="shared" si="4"/>
        <v>0.20000000000663931</v>
      </c>
      <c r="F31" s="47">
        <f t="shared" si="24"/>
        <v>11.315472304856414</v>
      </c>
      <c r="G31" s="47">
        <f t="shared" si="5"/>
        <v>-1.3085291373613472</v>
      </c>
      <c r="H31" s="47">
        <f t="shared" si="6"/>
        <v>9.4306835858848359</v>
      </c>
      <c r="I31" s="47">
        <f t="shared" si="7"/>
        <v>-0.29999999999574811</v>
      </c>
      <c r="J31" s="47">
        <f t="shared" si="25"/>
        <v>9.5257567363647677</v>
      </c>
      <c r="K31" s="48">
        <f t="shared" si="32"/>
        <v>-2.8309418708829526</v>
      </c>
      <c r="L31" s="48">
        <f t="shared" si="9"/>
        <v>9.3827457160968741</v>
      </c>
      <c r="M31" s="48">
        <f t="shared" si="10"/>
        <v>-1.1999999999972033</v>
      </c>
      <c r="N31" s="47">
        <f t="shared" si="26"/>
        <v>9.8737099941838391</v>
      </c>
      <c r="O31" s="47">
        <f t="shared" si="11"/>
        <v>-2.4530646198570594</v>
      </c>
      <c r="P31" s="47">
        <f t="shared" si="12"/>
        <v>-1.3646837495592812</v>
      </c>
      <c r="Q31" s="48">
        <f t="shared" si="13"/>
        <v>-12.79999999999859</v>
      </c>
      <c r="R31" s="47">
        <f t="shared" si="27"/>
        <v>13.104193518315789</v>
      </c>
      <c r="S31" s="48">
        <f t="shared" si="14"/>
        <v>-1.1550418723800249</v>
      </c>
      <c r="T31" s="48">
        <f t="shared" si="15"/>
        <v>-4.621236948662677</v>
      </c>
      <c r="U31" s="48">
        <f t="shared" si="16"/>
        <v>-4.3000000000006366</v>
      </c>
      <c r="V31" s="47">
        <f t="shared" si="28"/>
        <v>6.4171607945135491</v>
      </c>
      <c r="W31" s="48">
        <f t="shared" si="17"/>
        <v>-1.6025277355140588</v>
      </c>
      <c r="X31" s="48">
        <f t="shared" si="18"/>
        <v>-6.2643334299927744</v>
      </c>
      <c r="Y31" s="48">
        <f t="shared" si="19"/>
        <v>0</v>
      </c>
      <c r="Z31" s="47">
        <f t="shared" si="29"/>
        <v>6.4660628256472155</v>
      </c>
      <c r="AA31" s="48">
        <f t="shared" si="20"/>
        <v>-3.0586747279812698</v>
      </c>
      <c r="AB31" s="48">
        <f t="shared" si="21"/>
        <v>-7.1641001692519524</v>
      </c>
      <c r="AC31" s="48">
        <f t="shared" si="22"/>
        <v>1.9999999999953388</v>
      </c>
      <c r="AD31" s="47">
        <f t="shared" si="30"/>
        <v>8.0423766590883137</v>
      </c>
      <c r="AE31" s="22"/>
      <c r="AF31" s="88"/>
      <c r="AG31" s="88"/>
      <c r="AH31" s="88"/>
      <c r="AI31" s="88"/>
      <c r="AJ31" s="88"/>
      <c r="AK31" s="29">
        <v>45429</v>
      </c>
      <c r="AL31" s="89">
        <v>1830</v>
      </c>
      <c r="AM31" s="12">
        <f>$AR$12*(1-($AR$13/(AL31+$AR$13))^$AR$14)</f>
        <v>40.003216021786621</v>
      </c>
      <c r="AN31" s="88"/>
      <c r="AO31" s="88"/>
      <c r="AQ31" s="89"/>
      <c r="AR31" s="89"/>
      <c r="AS31" s="89"/>
      <c r="AT31" s="12">
        <v>24.460000000000008</v>
      </c>
      <c r="AU31" s="29">
        <f t="shared" si="31"/>
        <v>43685</v>
      </c>
      <c r="AV31" s="12">
        <v>86</v>
      </c>
      <c r="AW31" s="12">
        <f t="shared" si="23"/>
        <v>13.772767855079131</v>
      </c>
      <c r="AY31" s="93"/>
      <c r="BC31" s="76"/>
    </row>
    <row r="32" spans="1:55" ht="29.25" customHeight="1" x14ac:dyDescent="0.2">
      <c r="A32" s="27">
        <f t="shared" si="0"/>
        <v>90</v>
      </c>
      <c r="B32" s="28">
        <f t="shared" si="1"/>
        <v>43689</v>
      </c>
      <c r="C32" s="48">
        <f t="shared" si="2"/>
        <v>-4.5524221909545304</v>
      </c>
      <c r="D32" s="48">
        <f t="shared" si="3"/>
        <v>10.235001127055554</v>
      </c>
      <c r="E32" s="48">
        <f t="shared" si="4"/>
        <v>-0.19999999999242846</v>
      </c>
      <c r="F32" s="47">
        <f t="shared" si="24"/>
        <v>11.203561749529507</v>
      </c>
      <c r="G32" s="47">
        <f t="shared" si="5"/>
        <v>-2.4021291373799158</v>
      </c>
      <c r="H32" s="47">
        <f t="shared" si="6"/>
        <v>8.6999775858851436</v>
      </c>
      <c r="I32" s="47">
        <f t="shared" si="7"/>
        <v>-0.59999999999149622</v>
      </c>
      <c r="J32" s="47">
        <f t="shared" si="25"/>
        <v>9.0454316860801764</v>
      </c>
      <c r="K32" s="48">
        <f t="shared" si="32"/>
        <v>-4.5528418708613572</v>
      </c>
      <c r="L32" s="48">
        <f t="shared" si="9"/>
        <v>8.5797067160973128</v>
      </c>
      <c r="M32" s="48">
        <f t="shared" si="10"/>
        <v>-1.1999999999972033</v>
      </c>
      <c r="N32" s="47">
        <f t="shared" si="26"/>
        <v>9.7867122383008152</v>
      </c>
      <c r="O32" s="47">
        <f t="shared" si="11"/>
        <v>-3.812564619835257</v>
      </c>
      <c r="P32" s="47">
        <f t="shared" si="12"/>
        <v>-1.9986617495592884</v>
      </c>
      <c r="Q32" s="48">
        <f t="shared" si="13"/>
        <v>-13.500000000007617</v>
      </c>
      <c r="R32" s="47">
        <f t="shared" si="27"/>
        <v>14.169696460043758</v>
      </c>
      <c r="S32" s="48">
        <f t="shared" si="14"/>
        <v>-2.3332418723782666</v>
      </c>
      <c r="T32" s="48">
        <f t="shared" si="15"/>
        <v>-5.1706839486627132</v>
      </c>
      <c r="U32" s="48">
        <f t="shared" si="16"/>
        <v>-4.8000000000030241</v>
      </c>
      <c r="V32" s="47">
        <f t="shared" si="28"/>
        <v>7.4310154172903244</v>
      </c>
      <c r="W32" s="48">
        <f t="shared" si="17"/>
        <v>-2.8230277355021371</v>
      </c>
      <c r="X32" s="48">
        <f t="shared" si="18"/>
        <v>-6.7231524299931067</v>
      </c>
      <c r="Y32" s="48">
        <f t="shared" si="19"/>
        <v>-0.39999999999906777</v>
      </c>
      <c r="Z32" s="47">
        <f t="shared" si="29"/>
        <v>7.3027573006595112</v>
      </c>
      <c r="AA32" s="48">
        <f t="shared" si="20"/>
        <v>-4.2791747279693482</v>
      </c>
      <c r="AB32" s="48">
        <f t="shared" si="21"/>
        <v>-7.6229181692522019</v>
      </c>
      <c r="AC32" s="48">
        <f t="shared" si="22"/>
        <v>1.7999999999886995</v>
      </c>
      <c r="AD32" s="47">
        <f t="shared" si="30"/>
        <v>8.9252572941941679</v>
      </c>
      <c r="AE32" s="22"/>
      <c r="AF32" s="88"/>
      <c r="AG32" s="88"/>
      <c r="AH32" s="88"/>
      <c r="AI32" s="88"/>
      <c r="AJ32" s="88"/>
      <c r="AK32" s="29">
        <v>45429</v>
      </c>
      <c r="AL32" s="89"/>
      <c r="AM32" s="12">
        <f>$AR$12*(1-($AR$13/(AL32+$AR$13))^$AR$14)</f>
        <v>0</v>
      </c>
      <c r="AN32" s="88"/>
      <c r="AO32" s="88"/>
      <c r="AQ32" s="89"/>
      <c r="AR32" s="89"/>
      <c r="AS32" s="89"/>
      <c r="AT32" s="12">
        <v>24.460000000000008</v>
      </c>
      <c r="AU32" s="29">
        <f t="shared" si="31"/>
        <v>43689</v>
      </c>
      <c r="AV32" s="12">
        <v>90</v>
      </c>
      <c r="AW32" s="12">
        <f t="shared" si="23"/>
        <v>14.152541160276854</v>
      </c>
      <c r="AY32" s="93"/>
      <c r="BC32" s="74"/>
    </row>
    <row r="33" spans="1:55" ht="29.25" customHeight="1" x14ac:dyDescent="0.2">
      <c r="A33" s="27">
        <f t="shared" si="0"/>
        <v>91</v>
      </c>
      <c r="B33" s="28">
        <f t="shared" si="1"/>
        <v>43690</v>
      </c>
      <c r="C33" s="48">
        <f t="shared" si="2"/>
        <v>-3.7424221909532207</v>
      </c>
      <c r="D33" s="48">
        <f t="shared" si="3"/>
        <v>12.047159127055451</v>
      </c>
      <c r="E33" s="48">
        <f t="shared" si="4"/>
        <v>0</v>
      </c>
      <c r="F33" s="47">
        <f t="shared" si="24"/>
        <v>12.61506111312722</v>
      </c>
      <c r="G33" s="47">
        <f t="shared" si="5"/>
        <v>-1.4109291373642918</v>
      </c>
      <c r="H33" s="47">
        <f t="shared" si="6"/>
        <v>10.596665585884679</v>
      </c>
      <c r="I33" s="47">
        <f t="shared" si="7"/>
        <v>-9.9999999989108801E-2</v>
      </c>
      <c r="J33" s="47">
        <f t="shared" si="25"/>
        <v>10.690652111528747</v>
      </c>
      <c r="K33" s="48"/>
      <c r="L33" s="48"/>
      <c r="M33" s="48"/>
      <c r="N33" s="47"/>
      <c r="O33" s="47">
        <f t="shared" si="11"/>
        <v>-3.8360646198327686</v>
      </c>
      <c r="P33" s="47">
        <f t="shared" si="12"/>
        <v>0.41783225044070282</v>
      </c>
      <c r="Q33" s="48">
        <f t="shared" si="13"/>
        <v>-13.300000000000978</v>
      </c>
      <c r="R33" s="47">
        <f t="shared" si="27"/>
        <v>13.848464736463283</v>
      </c>
      <c r="S33" s="48">
        <f t="shared" si="14"/>
        <v>-3.2630418723726962</v>
      </c>
      <c r="T33" s="48">
        <f t="shared" si="15"/>
        <v>-3.1768419486626343</v>
      </c>
      <c r="U33" s="48">
        <f t="shared" si="16"/>
        <v>-5.2000000000020918</v>
      </c>
      <c r="V33" s="47">
        <f t="shared" si="28"/>
        <v>6.9122910114998684</v>
      </c>
      <c r="W33" s="48">
        <f t="shared" si="17"/>
        <v>-3.9401277355182174</v>
      </c>
      <c r="X33" s="48">
        <f t="shared" si="18"/>
        <v>-5.0373634299933912</v>
      </c>
      <c r="Y33" s="48">
        <f t="shared" si="19"/>
        <v>-0.20000000000663931</v>
      </c>
      <c r="Z33" s="47">
        <f t="shared" si="29"/>
        <v>6.3984089348866533</v>
      </c>
      <c r="AA33" s="48">
        <f t="shared" si="20"/>
        <v>-5.3963747279794916</v>
      </c>
      <c r="AB33" s="48">
        <f t="shared" si="21"/>
        <v>-5.937130169252125</v>
      </c>
      <c r="AC33" s="48">
        <f t="shared" si="22"/>
        <v>2.299999999991087</v>
      </c>
      <c r="AD33" s="47">
        <f t="shared" si="30"/>
        <v>8.3462791021735239</v>
      </c>
      <c r="AE33" s="22"/>
      <c r="AF33" s="88"/>
      <c r="AG33" s="88"/>
      <c r="AH33" s="88"/>
      <c r="AI33" s="88"/>
      <c r="AJ33" s="88"/>
      <c r="AK33" s="93"/>
      <c r="AL33" s="88"/>
      <c r="AM33" s="88"/>
      <c r="AN33" s="88"/>
      <c r="AO33" s="88"/>
      <c r="AP33" s="88"/>
      <c r="AQ33" s="89"/>
      <c r="AR33" s="89"/>
      <c r="AS33" s="89"/>
      <c r="AT33" s="12">
        <v>25.590000000000003</v>
      </c>
      <c r="AU33" s="29">
        <f t="shared" si="31"/>
        <v>43690</v>
      </c>
      <c r="AV33" s="12">
        <v>91</v>
      </c>
      <c r="AW33" s="12">
        <f t="shared" si="23"/>
        <v>14.245535230711159</v>
      </c>
      <c r="AY33" s="93"/>
      <c r="BC33" s="76"/>
    </row>
    <row r="34" spans="1:55" ht="29.25" customHeight="1" x14ac:dyDescent="0.2">
      <c r="A34" s="27">
        <f t="shared" si="0"/>
        <v>97</v>
      </c>
      <c r="B34" s="28">
        <f t="shared" si="1"/>
        <v>43696</v>
      </c>
      <c r="C34" s="48">
        <f t="shared" si="2"/>
        <v>-3.8556221909686883</v>
      </c>
      <c r="D34" s="48">
        <f t="shared" si="3"/>
        <v>9.6522421270552883</v>
      </c>
      <c r="E34" s="48">
        <f t="shared" si="4"/>
        <v>0.79999999999813554</v>
      </c>
      <c r="F34" s="47">
        <f t="shared" si="24"/>
        <v>10.424567164097894</v>
      </c>
      <c r="G34" s="47">
        <f t="shared" si="5"/>
        <v>-1.5902291373777189</v>
      </c>
      <c r="H34" s="47">
        <f t="shared" si="6"/>
        <v>8.3591535858849042</v>
      </c>
      <c r="I34" s="47">
        <f t="shared" si="7"/>
        <v>-0.29999999999574811</v>
      </c>
      <c r="J34" s="47">
        <f t="shared" si="25"/>
        <v>8.5143571326187022</v>
      </c>
      <c r="K34" s="48"/>
      <c r="L34" s="48"/>
      <c r="M34" s="48"/>
      <c r="N34" s="47"/>
      <c r="O34" s="47">
        <f t="shared" si="11"/>
        <v>-2.713864619835249</v>
      </c>
      <c r="P34" s="47">
        <f t="shared" si="12"/>
        <v>-3.3351047495592812</v>
      </c>
      <c r="Q34" s="48">
        <f t="shared" si="13"/>
        <v>-14.200000000002433</v>
      </c>
      <c r="R34" s="47">
        <f t="shared" si="27"/>
        <v>14.836710715835753</v>
      </c>
      <c r="S34" s="48">
        <f t="shared" si="14"/>
        <v>-1.1943418723774357</v>
      </c>
      <c r="T34" s="48">
        <f t="shared" si="15"/>
        <v>-7.0805659486627981</v>
      </c>
      <c r="U34" s="48">
        <f t="shared" si="16"/>
        <v>-4.8000000000030241</v>
      </c>
      <c r="V34" s="47">
        <f t="shared" si="28"/>
        <v>8.6371793232227265</v>
      </c>
      <c r="W34" s="48">
        <f t="shared" si="17"/>
        <v>-1.6480277355128692</v>
      </c>
      <c r="X34" s="48">
        <f t="shared" si="18"/>
        <v>-8.5098044299929398</v>
      </c>
      <c r="Y34" s="48">
        <f t="shared" si="19"/>
        <v>0</v>
      </c>
      <c r="Z34" s="47">
        <f t="shared" si="29"/>
        <v>8.6679159463937534</v>
      </c>
      <c r="AA34" s="48">
        <f t="shared" si="20"/>
        <v>-3.020274727987271</v>
      </c>
      <c r="AB34" s="48">
        <f t="shared" si="21"/>
        <v>-9.5439951692521952</v>
      </c>
      <c r="AC34" s="48">
        <f t="shared" si="22"/>
        <v>2.6999999999901547</v>
      </c>
      <c r="AD34" s="47">
        <f t="shared" si="30"/>
        <v>10.368216009669872</v>
      </c>
      <c r="AE34" s="22"/>
      <c r="AF34" s="88"/>
      <c r="AG34" s="88"/>
      <c r="AH34" s="88"/>
      <c r="AI34" s="88"/>
      <c r="AJ34" s="88"/>
      <c r="AK34" s="93"/>
      <c r="AL34" s="88"/>
      <c r="AM34" s="88"/>
      <c r="AN34" s="88"/>
      <c r="AO34" s="88"/>
      <c r="AP34" s="88"/>
      <c r="AQ34" s="89"/>
      <c r="AR34" s="89"/>
      <c r="AS34" s="89"/>
      <c r="AT34" s="12">
        <v>25.590000000000003</v>
      </c>
      <c r="AU34" s="29">
        <f t="shared" si="31"/>
        <v>43696</v>
      </c>
      <c r="AV34" s="12">
        <v>97</v>
      </c>
      <c r="AW34" s="12">
        <f t="shared" si="23"/>
        <v>14.787969995775091</v>
      </c>
      <c r="AY34" s="93"/>
      <c r="BC34" s="74"/>
    </row>
    <row r="35" spans="1:55" ht="29.25" customHeight="1" x14ac:dyDescent="0.2">
      <c r="A35" s="27">
        <f t="shared" si="0"/>
        <v>100</v>
      </c>
      <c r="B35" s="28">
        <f t="shared" si="1"/>
        <v>43699</v>
      </c>
      <c r="C35" s="48">
        <f t="shared" si="2"/>
        <v>-4.4556221909601845</v>
      </c>
      <c r="D35" s="48">
        <f t="shared" si="3"/>
        <v>9.8522421270557103</v>
      </c>
      <c r="E35" s="48">
        <f t="shared" si="4"/>
        <v>0</v>
      </c>
      <c r="F35" s="47">
        <f t="shared" si="24"/>
        <v>10.812920236398124</v>
      </c>
      <c r="G35" s="47">
        <f t="shared" si="5"/>
        <v>-1.9902291373625758</v>
      </c>
      <c r="H35" s="47">
        <f t="shared" si="6"/>
        <v>8.3591535858849042</v>
      </c>
      <c r="I35" s="47">
        <f t="shared" si="7"/>
        <v>-0.29999999999574811</v>
      </c>
      <c r="J35" s="47">
        <f t="shared" si="25"/>
        <v>8.5980498190936796</v>
      </c>
      <c r="K35" s="48">
        <f t="shared" ref="K35:K61" si="33">DPM_HG</f>
        <v>-3.8552418708661662</v>
      </c>
      <c r="L35" s="48">
        <f t="shared" ref="L35:L61" si="34">DH_HG</f>
        <v>8.5000867160971438</v>
      </c>
      <c r="M35" s="48">
        <f t="shared" ref="M35:M61" si="35">DZ_HG</f>
        <v>-1.300000000000523</v>
      </c>
      <c r="N35" s="47">
        <f t="shared" si="26"/>
        <v>9.4236067439198745</v>
      </c>
      <c r="O35" s="47">
        <f t="shared" si="11"/>
        <v>-3.1138646198485276</v>
      </c>
      <c r="P35" s="47">
        <f t="shared" si="12"/>
        <v>-3.2351047495592922</v>
      </c>
      <c r="Q35" s="48">
        <f t="shared" si="13"/>
        <v>-14.400000000009072</v>
      </c>
      <c r="R35" s="47">
        <f t="shared" si="27"/>
        <v>15.083834247684731</v>
      </c>
      <c r="S35" s="48">
        <f t="shared" si="14"/>
        <v>-1.2943418723523337</v>
      </c>
      <c r="T35" s="48">
        <f t="shared" si="15"/>
        <v>-6.5805659486626311</v>
      </c>
      <c r="U35" s="48">
        <f t="shared" si="16"/>
        <v>-4.8000000000030241</v>
      </c>
      <c r="V35" s="47">
        <f t="shared" si="28"/>
        <v>8.2473734659739826</v>
      </c>
      <c r="W35" s="48">
        <f t="shared" si="17"/>
        <v>-1.8480277355195085</v>
      </c>
      <c r="X35" s="48">
        <f t="shared" si="18"/>
        <v>-8.1098044299929839</v>
      </c>
      <c r="Y35" s="48">
        <f t="shared" si="19"/>
        <v>9.9999999989108801E-2</v>
      </c>
      <c r="Z35" s="47">
        <f t="shared" si="29"/>
        <v>8.3183011729547882</v>
      </c>
      <c r="AA35" s="48">
        <f t="shared" si="20"/>
        <v>-3.2202747279654886</v>
      </c>
      <c r="AB35" s="48">
        <f t="shared" si="21"/>
        <v>-8.9439951692522612</v>
      </c>
      <c r="AC35" s="48">
        <f t="shared" si="22"/>
        <v>2.1999999999877673</v>
      </c>
      <c r="AD35" s="47">
        <f t="shared" si="30"/>
        <v>9.7573161735759673</v>
      </c>
      <c r="AE35" s="22"/>
      <c r="AF35" s="88"/>
      <c r="AG35" s="88"/>
      <c r="AH35" s="88"/>
      <c r="AI35" s="88"/>
      <c r="AJ35" s="88"/>
      <c r="AK35" s="93"/>
      <c r="AL35" s="88"/>
      <c r="AM35" s="88"/>
      <c r="AN35" s="88"/>
      <c r="AO35" s="88"/>
      <c r="AP35" s="88"/>
      <c r="AQ35" s="89"/>
      <c r="AR35" s="89"/>
      <c r="AS35" s="89"/>
      <c r="AT35" s="12">
        <v>26.200000000000017</v>
      </c>
      <c r="AU35" s="29">
        <f t="shared" si="31"/>
        <v>43699</v>
      </c>
      <c r="AV35" s="12">
        <v>100</v>
      </c>
      <c r="AW35" s="12">
        <f t="shared" si="23"/>
        <v>15.049663153755333</v>
      </c>
      <c r="AY35" s="93"/>
      <c r="BC35" s="76"/>
    </row>
    <row r="36" spans="1:55" ht="29.25" customHeight="1" x14ac:dyDescent="0.2">
      <c r="A36" s="27">
        <f t="shared" si="0"/>
        <v>104</v>
      </c>
      <c r="B36" s="28">
        <f t="shared" si="1"/>
        <v>43703</v>
      </c>
      <c r="C36" s="48">
        <f t="shared" si="2"/>
        <v>-4.9556221909483611</v>
      </c>
      <c r="D36" s="48">
        <f t="shared" si="3"/>
        <v>10.952242127055367</v>
      </c>
      <c r="E36" s="48">
        <f t="shared" si="4"/>
        <v>-9.9999999989108801E-2</v>
      </c>
      <c r="F36" s="47">
        <f t="shared" si="24"/>
        <v>12.021638778014582</v>
      </c>
      <c r="G36" s="47">
        <f t="shared" si="5"/>
        <v>-2.590229137354072</v>
      </c>
      <c r="H36" s="47">
        <f t="shared" si="6"/>
        <v>9.3591535858852382</v>
      </c>
      <c r="I36" s="47">
        <f t="shared" si="7"/>
        <v>-0.49999999998817657</v>
      </c>
      <c r="J36" s="47">
        <f t="shared" si="25"/>
        <v>9.7238388935736033</v>
      </c>
      <c r="K36" s="48">
        <f t="shared" si="33"/>
        <v>-4.4552418708576624</v>
      </c>
      <c r="L36" s="48">
        <f t="shared" si="34"/>
        <v>9.5000867160970337</v>
      </c>
      <c r="M36" s="48">
        <f t="shared" si="35"/>
        <v>-1.1999999999972033</v>
      </c>
      <c r="N36" s="47">
        <f t="shared" si="26"/>
        <v>10.561289113607291</v>
      </c>
      <c r="O36" s="47">
        <f t="shared" si="11"/>
        <v>-3.9138646198466631</v>
      </c>
      <c r="P36" s="47">
        <f t="shared" si="12"/>
        <v>-1.9351047495592966</v>
      </c>
      <c r="Q36" s="48">
        <f t="shared" si="13"/>
        <v>-14.70000000000482</v>
      </c>
      <c r="R36" s="47">
        <f t="shared" si="27"/>
        <v>15.334698127266677</v>
      </c>
      <c r="S36" s="48">
        <f t="shared" si="14"/>
        <v>-2.5943418723670675</v>
      </c>
      <c r="T36" s="48">
        <f t="shared" si="15"/>
        <v>-5.1805659486627853</v>
      </c>
      <c r="U36" s="48">
        <f t="shared" si="16"/>
        <v>-5.2000000000020918</v>
      </c>
      <c r="V36" s="47">
        <f t="shared" si="28"/>
        <v>7.7851700880059882</v>
      </c>
      <c r="W36" s="48">
        <f t="shared" si="17"/>
        <v>-3.2480277355091403</v>
      </c>
      <c r="X36" s="48">
        <f t="shared" si="18"/>
        <v>-6.6098044299929271</v>
      </c>
      <c r="Y36" s="48">
        <f t="shared" si="19"/>
        <v>-0.20000000000663931</v>
      </c>
      <c r="Z36" s="47">
        <f t="shared" si="29"/>
        <v>7.3674418065834368</v>
      </c>
      <c r="AA36" s="48">
        <f t="shared" si="20"/>
        <v>-4.5202747279802225</v>
      </c>
      <c r="AB36" s="48">
        <f t="shared" si="21"/>
        <v>-7.6439951692521824</v>
      </c>
      <c r="AC36" s="48">
        <f t="shared" si="22"/>
        <v>1.8999999999920192</v>
      </c>
      <c r="AD36" s="47">
        <f t="shared" si="30"/>
        <v>9.0814946877668241</v>
      </c>
      <c r="AE36" s="22"/>
      <c r="AF36" s="88"/>
      <c r="AG36" s="88"/>
      <c r="AH36" s="88"/>
      <c r="AI36" s="88"/>
      <c r="AJ36" s="88"/>
      <c r="AK36" s="93"/>
      <c r="AL36" s="91"/>
      <c r="AM36" s="91"/>
      <c r="AN36" s="88"/>
      <c r="AO36" s="88"/>
      <c r="AP36" s="88"/>
      <c r="AQ36" s="104"/>
      <c r="AR36" s="104"/>
      <c r="AS36" s="104"/>
      <c r="AT36" s="12">
        <v>27.150000000000006</v>
      </c>
      <c r="AU36" s="29">
        <f t="shared" si="31"/>
        <v>43703</v>
      </c>
      <c r="AV36" s="12">
        <v>104</v>
      </c>
      <c r="AW36" s="12">
        <f t="shared" si="23"/>
        <v>15.389287469135258</v>
      </c>
      <c r="AY36" s="93"/>
      <c r="BC36" s="74"/>
    </row>
    <row r="37" spans="1:55" ht="29.25" customHeight="1" x14ac:dyDescent="0.2">
      <c r="A37" s="27">
        <f t="shared" si="0"/>
        <v>107</v>
      </c>
      <c r="B37" s="28">
        <f t="shared" si="1"/>
        <v>43706</v>
      </c>
      <c r="C37" s="48">
        <f t="shared" si="2"/>
        <v>-4.5556221909635042</v>
      </c>
      <c r="D37" s="48">
        <f t="shared" si="3"/>
        <v>10.952242127055367</v>
      </c>
      <c r="E37" s="48">
        <f t="shared" si="4"/>
        <v>0</v>
      </c>
      <c r="F37" s="47">
        <f t="shared" si="24"/>
        <v>11.861926536463011</v>
      </c>
      <c r="G37" s="47">
        <f t="shared" si="5"/>
        <v>-2.1902291373692151</v>
      </c>
      <c r="H37" s="47">
        <f t="shared" si="6"/>
        <v>9.3591535858852382</v>
      </c>
      <c r="I37" s="47">
        <f t="shared" si="7"/>
        <v>-0.39999999999906777</v>
      </c>
      <c r="J37" s="47">
        <f t="shared" si="25"/>
        <v>9.6203357279446777</v>
      </c>
      <c r="K37" s="48">
        <f t="shared" si="33"/>
        <v>-4.0552418708728055</v>
      </c>
      <c r="L37" s="48">
        <f t="shared" si="34"/>
        <v>9.8000867160972227</v>
      </c>
      <c r="M37" s="48">
        <f t="shared" si="35"/>
        <v>-1.1999999999972033</v>
      </c>
      <c r="N37" s="47">
        <f t="shared" si="26"/>
        <v>10.673644470109471</v>
      </c>
      <c r="O37" s="47">
        <f t="shared" si="11"/>
        <v>-3.8138646198433435</v>
      </c>
      <c r="P37" s="47">
        <f t="shared" si="12"/>
        <v>-2.1351047495593023</v>
      </c>
      <c r="Q37" s="48">
        <f t="shared" si="13"/>
        <v>-15.000000000000568</v>
      </c>
      <c r="R37" s="47">
        <f t="shared" si="27"/>
        <v>15.623835496769049</v>
      </c>
      <c r="S37" s="48">
        <f t="shared" si="14"/>
        <v>-2.3943418723604282</v>
      </c>
      <c r="T37" s="48">
        <f t="shared" si="15"/>
        <v>-5.2805659486629963</v>
      </c>
      <c r="U37" s="48">
        <f t="shared" si="16"/>
        <v>-5.2000000000020918</v>
      </c>
      <c r="V37" s="47">
        <f t="shared" si="28"/>
        <v>7.7882764293481088</v>
      </c>
      <c r="W37" s="48">
        <f t="shared" si="17"/>
        <v>-2.9480277354991813</v>
      </c>
      <c r="X37" s="48">
        <f t="shared" si="18"/>
        <v>-6.8098044299933491</v>
      </c>
      <c r="Y37" s="48">
        <f t="shared" si="19"/>
        <v>-0.10000000000331966</v>
      </c>
      <c r="Z37" s="47">
        <f t="shared" si="29"/>
        <v>7.4212063644686594</v>
      </c>
      <c r="AA37" s="48">
        <f t="shared" si="20"/>
        <v>-4.7202747279868618</v>
      </c>
      <c r="AB37" s="48">
        <f t="shared" si="21"/>
        <v>-7.9439951692519273</v>
      </c>
      <c r="AC37" s="48">
        <f t="shared" si="22"/>
        <v>1.8999999999920192</v>
      </c>
      <c r="AD37" s="47">
        <f t="shared" si="30"/>
        <v>9.433877927805673</v>
      </c>
      <c r="AE37" s="22"/>
      <c r="AF37" s="88"/>
      <c r="AG37" s="88"/>
      <c r="AH37" s="88"/>
      <c r="AI37" s="88"/>
      <c r="AJ37" s="88"/>
      <c r="AK37" s="93"/>
      <c r="AL37" s="91"/>
      <c r="AM37" s="91"/>
      <c r="AN37" s="91"/>
      <c r="AO37" s="91"/>
      <c r="AP37" s="73"/>
      <c r="AQ37" s="89"/>
      <c r="AR37" s="89"/>
      <c r="AS37" s="89"/>
      <c r="AT37" s="12">
        <v>27.150000000000006</v>
      </c>
      <c r="AU37" s="29">
        <f t="shared" si="31"/>
        <v>43706</v>
      </c>
      <c r="AV37" s="12">
        <v>107</v>
      </c>
      <c r="AW37" s="12">
        <f t="shared" si="23"/>
        <v>15.637338416875023</v>
      </c>
      <c r="AY37" s="93"/>
      <c r="BC37" s="76"/>
    </row>
    <row r="38" spans="1:55" ht="29.25" customHeight="1" x14ac:dyDescent="0.2">
      <c r="A38" s="27">
        <f t="shared" si="0"/>
        <v>111</v>
      </c>
      <c r="B38" s="28">
        <f t="shared" si="1"/>
        <v>43710</v>
      </c>
      <c r="C38" s="48">
        <f t="shared" si="2"/>
        <v>-4.7556221909701435</v>
      </c>
      <c r="D38" s="48">
        <f t="shared" si="3"/>
        <v>10.8522421270556</v>
      </c>
      <c r="E38" s="48">
        <f t="shared" si="4"/>
        <v>-0.19999999999242846</v>
      </c>
      <c r="F38" s="47">
        <f t="shared" ref="F38:F39" si="36" xml:space="preserve"> SQRT(C38*C38+D38*D38+E38*E38)</f>
        <v>11.850194159062749</v>
      </c>
      <c r="G38" s="47">
        <f t="shared" si="5"/>
        <v>-2.4902291373791741</v>
      </c>
      <c r="H38" s="47">
        <f t="shared" si="6"/>
        <v>9.3591535858852382</v>
      </c>
      <c r="I38" s="47">
        <f t="shared" si="7"/>
        <v>-0.59999999999149622</v>
      </c>
      <c r="J38" s="47">
        <f t="shared" ref="J38:J39" si="37" xml:space="preserve"> SQRT(G38*G38+H38*H38+I38*I38)</f>
        <v>9.7033497824632988</v>
      </c>
      <c r="K38" s="48">
        <f t="shared" si="33"/>
        <v>-4.3552418708827645</v>
      </c>
      <c r="L38" s="48">
        <f t="shared" si="34"/>
        <v>9.6000867160972447</v>
      </c>
      <c r="M38" s="48">
        <f t="shared" si="35"/>
        <v>-1.0999999999938836</v>
      </c>
      <c r="N38" s="47">
        <f t="shared" ref="N38:N39" si="38" xml:space="preserve"> SQRT(K38*K38+L38*L38+M38*M38)</f>
        <v>10.599046971801933</v>
      </c>
      <c r="O38" s="47">
        <f t="shared" si="11"/>
        <v>-3.8138646198433435</v>
      </c>
      <c r="P38" s="47">
        <f t="shared" si="12"/>
        <v>-2.2351047495592913</v>
      </c>
      <c r="Q38" s="48">
        <f t="shared" si="13"/>
        <v>-15.300000000010527</v>
      </c>
      <c r="R38" s="47">
        <f t="shared" ref="R38:R39" si="39" xml:space="preserve"> SQRT(O38*O38+P38*P38+Q38*Q38)</f>
        <v>15.925804738860686</v>
      </c>
      <c r="S38" s="48">
        <f t="shared" si="14"/>
        <v>-2.2943418723571085</v>
      </c>
      <c r="T38" s="48">
        <f t="shared" si="15"/>
        <v>-5.3805659486627633</v>
      </c>
      <c r="U38" s="48">
        <f t="shared" si="16"/>
        <v>-5.49999999999784</v>
      </c>
      <c r="V38" s="47">
        <f t="shared" ref="V38:V39" si="40" xml:space="preserve"> SQRT(S38*S38+T38*T38+U38*U38)</f>
        <v>8.0289784253749605</v>
      </c>
      <c r="W38" s="48">
        <f t="shared" si="17"/>
        <v>-3.0480277355025009</v>
      </c>
      <c r="X38" s="48">
        <f t="shared" si="18"/>
        <v>-6.9098044299931161</v>
      </c>
      <c r="Y38" s="48">
        <f t="shared" si="19"/>
        <v>-0.20000000000663931</v>
      </c>
      <c r="Z38" s="47">
        <f t="shared" ref="Z38:Z39" si="41" xml:space="preserve"> SQRT(W38*W38+X38*X38+Y38*Y38)</f>
        <v>7.5548574001861644</v>
      </c>
      <c r="AA38" s="48">
        <f t="shared" si="20"/>
        <v>-4.3202747279735831</v>
      </c>
      <c r="AB38" s="48">
        <f t="shared" si="21"/>
        <v>-7.8439951692521603</v>
      </c>
      <c r="AC38" s="48">
        <f t="shared" si="22"/>
        <v>1.9999999999953388</v>
      </c>
      <c r="AD38" s="47">
        <f t="shared" ref="AD38:AD39" si="42" xml:space="preserve"> SQRT(AA38*AA38+AB38*AB38+AC38*AC38)</f>
        <v>9.17567621161513</v>
      </c>
      <c r="AE38" s="22"/>
      <c r="AF38" s="88"/>
      <c r="AG38" s="88"/>
      <c r="AH38" s="88"/>
      <c r="AI38" s="88"/>
      <c r="AJ38" s="88"/>
      <c r="AK38" s="93"/>
      <c r="AL38" s="89"/>
      <c r="AM38" s="90"/>
      <c r="AN38" s="90"/>
      <c r="AO38" s="89"/>
      <c r="AP38" s="89"/>
      <c r="AQ38" s="89"/>
      <c r="AR38" s="89"/>
      <c r="AT38" s="12">
        <v>29.100000000000023</v>
      </c>
      <c r="AU38" s="29">
        <f t="shared" si="31"/>
        <v>43710</v>
      </c>
      <c r="AV38" s="12">
        <v>111</v>
      </c>
      <c r="AW38" s="12">
        <f t="shared" si="23"/>
        <v>15.959605168163808</v>
      </c>
      <c r="BC38" s="74"/>
    </row>
    <row r="39" spans="1:55" ht="29.25" customHeight="1" x14ac:dyDescent="0.2">
      <c r="A39" s="27">
        <f t="shared" si="0"/>
        <v>114</v>
      </c>
      <c r="B39" s="28">
        <f t="shared" si="1"/>
        <v>43713</v>
      </c>
      <c r="C39" s="48">
        <f t="shared" si="2"/>
        <v>-5.3556221909616397</v>
      </c>
      <c r="D39" s="48">
        <f t="shared" si="3"/>
        <v>10.952242127055367</v>
      </c>
      <c r="E39" s="48">
        <f t="shared" si="4"/>
        <v>0.60000000000570708</v>
      </c>
      <c r="F39" s="47">
        <f t="shared" si="36"/>
        <v>12.20632199566986</v>
      </c>
      <c r="G39" s="47">
        <f t="shared" si="5"/>
        <v>-2.4902291373791741</v>
      </c>
      <c r="H39" s="47">
        <f t="shared" si="6"/>
        <v>9.3591535858852382</v>
      </c>
      <c r="I39" s="47">
        <f t="shared" si="7"/>
        <v>-0.49999999998817657</v>
      </c>
      <c r="J39" s="47">
        <f t="shared" si="37"/>
        <v>9.6976799803266811</v>
      </c>
      <c r="K39" s="48">
        <f t="shared" si="33"/>
        <v>-4.6552418708643017</v>
      </c>
      <c r="L39" s="48">
        <f t="shared" si="34"/>
        <v>9.7000867160970117</v>
      </c>
      <c r="M39" s="48">
        <f t="shared" si="35"/>
        <v>-1.300000000000523</v>
      </c>
      <c r="N39" s="47">
        <f t="shared" si="38"/>
        <v>10.837571645717098</v>
      </c>
      <c r="O39" s="47">
        <f t="shared" si="11"/>
        <v>-4.0138646198499828</v>
      </c>
      <c r="P39" s="47">
        <f t="shared" si="12"/>
        <v>-2.2351047495592913</v>
      </c>
      <c r="Q39" s="48">
        <f t="shared" si="13"/>
        <v>-15.600000000006276</v>
      </c>
      <c r="R39" s="47">
        <f t="shared" si="39"/>
        <v>16.262435316648663</v>
      </c>
      <c r="S39" s="48">
        <f t="shared" si="14"/>
        <v>-2.4943418723637478</v>
      </c>
      <c r="T39" s="48">
        <f t="shared" si="15"/>
        <v>-5.3805659486627633</v>
      </c>
      <c r="U39" s="48">
        <f t="shared" si="16"/>
        <v>-5.6000000000011596</v>
      </c>
      <c r="V39" s="47">
        <f t="shared" si="40"/>
        <v>8.1567292038015644</v>
      </c>
      <c r="W39" s="48">
        <f t="shared" si="17"/>
        <v>-3.1480277355058206</v>
      </c>
      <c r="X39" s="48">
        <f t="shared" si="18"/>
        <v>-6.709804429992694</v>
      </c>
      <c r="Y39" s="48">
        <f t="shared" si="19"/>
        <v>-0.30000000000995897</v>
      </c>
      <c r="Z39" s="47">
        <f t="shared" si="41"/>
        <v>7.4176515227037632</v>
      </c>
      <c r="AA39" s="48">
        <f t="shared" si="20"/>
        <v>-4.3202747279735831</v>
      </c>
      <c r="AB39" s="48">
        <f t="shared" si="21"/>
        <v>-7.7439951692519493</v>
      </c>
      <c r="AC39" s="48">
        <f t="shared" si="22"/>
        <v>1.7999999999886995</v>
      </c>
      <c r="AD39" s="47">
        <f t="shared" si="42"/>
        <v>9.0484382578721316</v>
      </c>
      <c r="AE39" s="22"/>
      <c r="AF39" s="88"/>
      <c r="AG39" s="88"/>
      <c r="AH39" s="88"/>
      <c r="AI39" s="88"/>
      <c r="AJ39" s="88"/>
      <c r="AK39" s="93"/>
      <c r="AL39" s="89"/>
      <c r="AM39" s="90"/>
      <c r="AN39" s="90"/>
      <c r="AO39" s="89"/>
      <c r="AP39" s="89"/>
      <c r="AT39" s="12">
        <v>30.200000000000017</v>
      </c>
      <c r="AU39" s="29">
        <f t="shared" si="31"/>
        <v>43713</v>
      </c>
      <c r="AV39" s="12">
        <v>114</v>
      </c>
      <c r="AW39" s="12">
        <f t="shared" si="23"/>
        <v>16.195223612334143</v>
      </c>
      <c r="BC39" s="76"/>
    </row>
    <row r="40" spans="1:55" ht="29.25" customHeight="1" x14ac:dyDescent="0.2">
      <c r="A40" s="27">
        <f t="shared" si="0"/>
        <v>119</v>
      </c>
      <c r="B40" s="28">
        <f t="shared" si="1"/>
        <v>43718</v>
      </c>
      <c r="C40" s="48">
        <f t="shared" si="2"/>
        <v>-4.4556221909601845</v>
      </c>
      <c r="D40" s="48">
        <f t="shared" si="3"/>
        <v>11.85224212705549</v>
      </c>
      <c r="E40" s="48">
        <f t="shared" si="4"/>
        <v>0.20000000000663931</v>
      </c>
      <c r="F40" s="47">
        <f t="shared" ref="F40:F42" si="43" xml:space="preserve"> SQRT(C40*C40+D40*D40+E40*E40)</f>
        <v>12.663657155297924</v>
      </c>
      <c r="G40" s="47">
        <f t="shared" si="5"/>
        <v>-2.0902291373658954</v>
      </c>
      <c r="H40" s="47">
        <f t="shared" si="6"/>
        <v>10.259153585884917</v>
      </c>
      <c r="I40" s="47">
        <f t="shared" si="7"/>
        <v>-0.29999999999574811</v>
      </c>
      <c r="J40" s="47">
        <f t="shared" ref="J40:J42" si="44" xml:space="preserve"> SQRT(G40*G40+H40*H40+I40*I40)</f>
        <v>10.474220264318779</v>
      </c>
      <c r="K40" s="48">
        <f t="shared" si="33"/>
        <v>-3.9552418708694859</v>
      </c>
      <c r="L40" s="48">
        <f t="shared" si="34"/>
        <v>10.600086716097135</v>
      </c>
      <c r="M40" s="48">
        <f t="shared" si="35"/>
        <v>-1.3999999999896318</v>
      </c>
      <c r="N40" s="47">
        <f t="shared" ref="N40:N42" si="45" xml:space="preserve"> SQRT(K40*K40+L40*L40+M40*M40)</f>
        <v>11.400253358843786</v>
      </c>
      <c r="O40" s="47">
        <f t="shared" si="11"/>
        <v>-3.6138646198367042</v>
      </c>
      <c r="P40" s="47">
        <f t="shared" si="12"/>
        <v>-1.7351047495592908</v>
      </c>
      <c r="Q40" s="48">
        <f t="shared" si="13"/>
        <v>-16.199999999997772</v>
      </c>
      <c r="R40" s="47">
        <f t="shared" ref="R40:R42" si="46" xml:space="preserve"> SQRT(O40*O40+P40*P40+Q40*Q40)</f>
        <v>16.688637031896238</v>
      </c>
      <c r="S40" s="48">
        <f t="shared" si="14"/>
        <v>-2.0943418723788909</v>
      </c>
      <c r="T40" s="48">
        <f t="shared" si="15"/>
        <v>-5.1805659486627853</v>
      </c>
      <c r="U40" s="48">
        <f t="shared" si="16"/>
        <v>-5.6999999999902684</v>
      </c>
      <c r="V40" s="47">
        <f t="shared" ref="V40:V42" si="47" xml:space="preserve"> SQRT(S40*S40+T40*T40+U40*U40)</f>
        <v>7.9821382740925326</v>
      </c>
      <c r="W40" s="48">
        <f t="shared" si="17"/>
        <v>-2.8480277355242833</v>
      </c>
      <c r="X40" s="48">
        <f t="shared" si="18"/>
        <v>-6.709804429992694</v>
      </c>
      <c r="Y40" s="48">
        <f t="shared" si="19"/>
        <v>0</v>
      </c>
      <c r="Z40" s="47">
        <f t="shared" ref="Z40:Z42" si="48" xml:space="preserve"> SQRT(W40*W40+X40*X40+Y40*Y40)</f>
        <v>7.2892206353673474</v>
      </c>
      <c r="AA40" s="48">
        <f t="shared" si="20"/>
        <v>-4.1202747279669438</v>
      </c>
      <c r="AB40" s="48">
        <f t="shared" si="21"/>
        <v>-7.6439951692521824</v>
      </c>
      <c r="AC40" s="48">
        <f t="shared" si="22"/>
        <v>2.299999999991087</v>
      </c>
      <c r="AD40" s="47">
        <f t="shared" ref="AD40:AD42" si="49" xml:space="preserve"> SQRT(AA40*AA40+AB40*AB40+AC40*AC40)</f>
        <v>8.9831690388989553</v>
      </c>
      <c r="AE40" s="22"/>
      <c r="AF40" s="88"/>
      <c r="AG40" s="88"/>
      <c r="AH40" s="88"/>
      <c r="AI40" s="88"/>
      <c r="AJ40" s="88"/>
      <c r="AK40" s="93"/>
      <c r="AL40" s="89"/>
      <c r="AM40" s="90"/>
      <c r="AN40" s="90"/>
      <c r="AO40" s="89"/>
      <c r="AP40" s="89"/>
      <c r="AT40" s="12">
        <v>31.400000000000006</v>
      </c>
      <c r="AU40" s="29">
        <f t="shared" si="31"/>
        <v>43718</v>
      </c>
      <c r="AV40" s="12">
        <v>119</v>
      </c>
      <c r="AW40" s="12">
        <f t="shared" si="23"/>
        <v>16.576911405864916</v>
      </c>
      <c r="AY40" s="93"/>
      <c r="BC40" s="74"/>
    </row>
    <row r="41" spans="1:55" ht="29.25" customHeight="1" x14ac:dyDescent="0.2">
      <c r="A41" s="27">
        <f t="shared" si="0"/>
        <v>121</v>
      </c>
      <c r="B41" s="28">
        <f t="shared" si="1"/>
        <v>43720</v>
      </c>
      <c r="C41" s="48">
        <f t="shared" si="2"/>
        <v>-4.0556221909469059</v>
      </c>
      <c r="D41" s="48">
        <f t="shared" si="3"/>
        <v>11.85224212705549</v>
      </c>
      <c r="E41" s="48">
        <f t="shared" si="4"/>
        <v>0.70000000000902673</v>
      </c>
      <c r="F41" s="47">
        <f t="shared" si="43"/>
        <v>12.546462242164619</v>
      </c>
      <c r="G41" s="47">
        <f t="shared" si="5"/>
        <v>-2.2902291373725348</v>
      </c>
      <c r="H41" s="47">
        <f t="shared" si="6"/>
        <v>10.259153585884917</v>
      </c>
      <c r="I41" s="47">
        <f t="shared" si="7"/>
        <v>0</v>
      </c>
      <c r="J41" s="47">
        <f t="shared" si="44"/>
        <v>10.511678353167275</v>
      </c>
      <c r="K41" s="48">
        <f t="shared" si="33"/>
        <v>-3.9552418708694859</v>
      </c>
      <c r="L41" s="48">
        <f t="shared" si="34"/>
        <v>10.400086716097157</v>
      </c>
      <c r="M41" s="48">
        <f t="shared" si="35"/>
        <v>-1.300000000000523</v>
      </c>
      <c r="N41" s="47">
        <f t="shared" si="45"/>
        <v>11.202488203940277</v>
      </c>
      <c r="O41" s="47">
        <f t="shared" si="11"/>
        <v>-3.4138646198584865</v>
      </c>
      <c r="P41" s="47">
        <f t="shared" si="12"/>
        <v>-2.1351047495593023</v>
      </c>
      <c r="Q41" s="48">
        <f t="shared" si="13"/>
        <v>-16.100000000008663</v>
      </c>
      <c r="R41" s="47">
        <f t="shared" si="46"/>
        <v>16.595877317412032</v>
      </c>
      <c r="S41" s="48">
        <f t="shared" si="14"/>
        <v>-2.0943418723788909</v>
      </c>
      <c r="T41" s="48">
        <f t="shared" si="15"/>
        <v>-5.6805659486629523</v>
      </c>
      <c r="U41" s="48">
        <f t="shared" si="16"/>
        <v>-5.3999999999945203</v>
      </c>
      <c r="V41" s="47">
        <f t="shared" si="47"/>
        <v>8.1126504531780093</v>
      </c>
      <c r="W41" s="48">
        <f t="shared" si="17"/>
        <v>-2.5480277355143244</v>
      </c>
      <c r="X41" s="48">
        <f t="shared" si="18"/>
        <v>-7.009804429992883</v>
      </c>
      <c r="Y41" s="48">
        <f t="shared" si="19"/>
        <v>0.49999999998817657</v>
      </c>
      <c r="Z41" s="47">
        <f t="shared" si="48"/>
        <v>7.4752794922789532</v>
      </c>
      <c r="AA41" s="48">
        <f t="shared" si="20"/>
        <v>-4.0202747279636242</v>
      </c>
      <c r="AB41" s="48">
        <f t="shared" si="21"/>
        <v>-8.2439951692521163</v>
      </c>
      <c r="AC41" s="48">
        <f t="shared" si="22"/>
        <v>2.7999999999934744</v>
      </c>
      <c r="AD41" s="47">
        <f t="shared" si="49"/>
        <v>9.5898939117655875</v>
      </c>
      <c r="AE41" s="22"/>
      <c r="AF41" s="88"/>
      <c r="AG41" s="88"/>
      <c r="AH41" s="88"/>
      <c r="AI41" s="88"/>
      <c r="AJ41" s="88"/>
      <c r="AL41" s="89"/>
      <c r="AM41" s="90"/>
      <c r="AN41" s="90"/>
      <c r="AO41" s="89"/>
      <c r="AP41" s="89"/>
      <c r="AT41" s="12">
        <v>33.380000000000024</v>
      </c>
      <c r="AU41" s="29">
        <f t="shared" si="31"/>
        <v>43720</v>
      </c>
      <c r="AV41" s="12">
        <v>121</v>
      </c>
      <c r="AW41" s="12">
        <f t="shared" si="23"/>
        <v>16.72589039650077</v>
      </c>
      <c r="AY41" s="93"/>
      <c r="BC41" s="76"/>
    </row>
    <row r="42" spans="1:55" ht="29.25" customHeight="1" x14ac:dyDescent="0.2">
      <c r="A42" s="27">
        <f t="shared" si="0"/>
        <v>125</v>
      </c>
      <c r="B42" s="28">
        <f t="shared" si="1"/>
        <v>43724</v>
      </c>
      <c r="C42" s="48">
        <f t="shared" si="2"/>
        <v>-4.8556221909450414</v>
      </c>
      <c r="D42" s="48">
        <f t="shared" si="3"/>
        <v>11.452242127055534</v>
      </c>
      <c r="E42" s="48">
        <f t="shared" si="4"/>
        <v>0.10000000000331966</v>
      </c>
      <c r="F42" s="47">
        <f t="shared" si="43"/>
        <v>12.439490206511843</v>
      </c>
      <c r="G42" s="47">
        <f t="shared" si="5"/>
        <v>-2.3902291373758544</v>
      </c>
      <c r="H42" s="47">
        <f t="shared" si="6"/>
        <v>9.859153585884961</v>
      </c>
      <c r="I42" s="47">
        <f t="shared" si="7"/>
        <v>-0.59999999999149622</v>
      </c>
      <c r="J42" s="47">
        <f t="shared" si="44"/>
        <v>10.162485166494395</v>
      </c>
      <c r="K42" s="48">
        <f t="shared" si="33"/>
        <v>-4.4552418708576624</v>
      </c>
      <c r="L42" s="48">
        <f t="shared" si="34"/>
        <v>10.100086716096968</v>
      </c>
      <c r="M42" s="48">
        <f t="shared" si="35"/>
        <v>-1.5999999999962711</v>
      </c>
      <c r="N42" s="47">
        <f t="shared" si="45"/>
        <v>11.154413108743542</v>
      </c>
      <c r="O42" s="47">
        <f t="shared" si="11"/>
        <v>-3.9138646198466631</v>
      </c>
      <c r="P42" s="47">
        <f t="shared" si="12"/>
        <v>-2.5351047495592862</v>
      </c>
      <c r="Q42" s="48">
        <f t="shared" si="13"/>
        <v>-16.900000000006798</v>
      </c>
      <c r="R42" s="47">
        <f t="shared" si="46"/>
        <v>17.531545635053266</v>
      </c>
      <c r="S42" s="48">
        <f t="shared" si="14"/>
        <v>-2.2943418723571085</v>
      </c>
      <c r="T42" s="48">
        <f t="shared" si="15"/>
        <v>-5.9805659486626972</v>
      </c>
      <c r="U42" s="48">
        <f t="shared" si="16"/>
        <v>-6.1999999999926558</v>
      </c>
      <c r="V42" s="47">
        <f t="shared" si="47"/>
        <v>8.914660604502215</v>
      </c>
      <c r="W42" s="48">
        <f t="shared" ref="W42:W71" si="50">DPM_ID</f>
        <v>-3.0480277355025009</v>
      </c>
      <c r="X42" s="48">
        <f t="shared" ref="X42:X71" si="51">DH_ID</f>
        <v>-7.4098044299928389</v>
      </c>
      <c r="Y42" s="48">
        <f t="shared" si="19"/>
        <v>-0.10000000000331966</v>
      </c>
      <c r="Z42" s="47">
        <f t="shared" si="48"/>
        <v>8.0128443618439675</v>
      </c>
      <c r="AA42" s="48">
        <f t="shared" si="20"/>
        <v>-4.5202747279802225</v>
      </c>
      <c r="AB42" s="48">
        <f t="shared" si="21"/>
        <v>-8.5439951692523053</v>
      </c>
      <c r="AC42" s="48">
        <f t="shared" si="22"/>
        <v>2.1999999999877673</v>
      </c>
      <c r="AD42" s="47">
        <f t="shared" si="49"/>
        <v>9.9132606678413122</v>
      </c>
      <c r="AE42" s="22"/>
      <c r="AF42" s="88"/>
      <c r="AG42" s="88"/>
      <c r="AH42" s="88"/>
      <c r="AI42" s="88"/>
      <c r="AJ42" s="88"/>
      <c r="AL42" s="89"/>
      <c r="AM42" s="90"/>
      <c r="AN42" s="90"/>
      <c r="AO42" s="89"/>
      <c r="AP42" s="89"/>
      <c r="AT42" s="12">
        <v>34.400000000000006</v>
      </c>
      <c r="AU42" s="29">
        <f t="shared" si="31"/>
        <v>43724</v>
      </c>
      <c r="AV42" s="12">
        <v>125</v>
      </c>
      <c r="AW42" s="12">
        <f t="shared" ref="AW42:AW73" si="52">$AR$12*(1-($AR$13/(AV42+$AR$13))^$AR$14)</f>
        <v>17.017790807564648</v>
      </c>
      <c r="AY42" s="93"/>
      <c r="BC42" s="74"/>
    </row>
    <row r="43" spans="1:55" ht="29.25" customHeight="1" x14ac:dyDescent="0.2">
      <c r="A43" s="27">
        <f t="shared" si="0"/>
        <v>128</v>
      </c>
      <c r="B43" s="28">
        <f t="shared" si="1"/>
        <v>43727</v>
      </c>
      <c r="C43" s="48">
        <f t="shared" si="2"/>
        <v>-3.7556221909653686</v>
      </c>
      <c r="D43" s="48">
        <f t="shared" si="3"/>
        <v>13.052242127055358</v>
      </c>
      <c r="E43" s="48">
        <f t="shared" si="4"/>
        <v>-0.29999999999574811</v>
      </c>
      <c r="F43" s="47">
        <f t="shared" ref="F43:F44" si="53" xml:space="preserve"> SQRT(C43*C43+D43*D43+E43*E43)</f>
        <v>13.585128729038512</v>
      </c>
      <c r="G43" s="47">
        <f t="shared" si="5"/>
        <v>-1.5902291373777189</v>
      </c>
      <c r="H43" s="47">
        <f t="shared" si="6"/>
        <v>11.459153585884785</v>
      </c>
      <c r="I43" s="47">
        <f t="shared" si="7"/>
        <v>-0.69999999999481588</v>
      </c>
      <c r="J43" s="47">
        <f t="shared" ref="J43:J44" si="54" xml:space="preserve"> SQRT(G43*G43+H43*H43+I43*I43)</f>
        <v>11.59012638474033</v>
      </c>
      <c r="K43" s="48"/>
      <c r="L43" s="48"/>
      <c r="M43" s="48"/>
      <c r="N43" s="47"/>
      <c r="O43" s="47">
        <f t="shared" si="11"/>
        <v>-3.7138646198400238</v>
      </c>
      <c r="P43" s="47">
        <f t="shared" si="12"/>
        <v>-0.43510474955929523</v>
      </c>
      <c r="Q43" s="48">
        <f t="shared" si="13"/>
        <v>-17.400000000009186</v>
      </c>
      <c r="R43" s="47">
        <f t="shared" ref="R43:R44" si="55" xml:space="preserve"> SQRT(O43*O43+P43*P43+Q43*Q43)</f>
        <v>17.797249971776772</v>
      </c>
      <c r="S43" s="48">
        <f t="shared" si="14"/>
        <v>-2.3943418723604282</v>
      </c>
      <c r="T43" s="48">
        <f t="shared" si="15"/>
        <v>-3.9805659486629175</v>
      </c>
      <c r="U43" s="48">
        <f t="shared" si="16"/>
        <v>-6.6999999999950433</v>
      </c>
      <c r="V43" s="47">
        <f t="shared" ref="V43:V44" si="56" xml:space="preserve"> SQRT(S43*S43+T43*T43+U43*U43)</f>
        <v>8.1527773349532087</v>
      </c>
      <c r="W43" s="48">
        <f t="shared" si="50"/>
        <v>-3.3480277355124599</v>
      </c>
      <c r="X43" s="48">
        <f t="shared" si="51"/>
        <v>-5.8098044299930152</v>
      </c>
      <c r="Y43" s="48">
        <f t="shared" si="19"/>
        <v>-0.50000000000238742</v>
      </c>
      <c r="Z43" s="47">
        <f t="shared" ref="Z43:Z44" si="57" xml:space="preserve"> SQRT(W43*W43+X43*X43+Y43*Y43)</f>
        <v>6.7240699901569689</v>
      </c>
      <c r="AA43" s="48">
        <f t="shared" si="20"/>
        <v>-4.8202747279901814</v>
      </c>
      <c r="AB43" s="48">
        <f t="shared" si="21"/>
        <v>-6.7439951692520594</v>
      </c>
      <c r="AC43" s="48">
        <f t="shared" si="22"/>
        <v>2.0999999999986585</v>
      </c>
      <c r="AD43" s="47">
        <f t="shared" ref="AD43:AD44" si="58" xml:space="preserve"> SQRT(AA43*AA43+AB43*AB43+AC43*AC43)</f>
        <v>8.5514045218426133</v>
      </c>
      <c r="AE43" s="22"/>
      <c r="AF43" s="88"/>
      <c r="AG43" s="88"/>
      <c r="AH43" s="88"/>
      <c r="AI43" s="88"/>
      <c r="AJ43" s="88"/>
      <c r="AL43" s="89"/>
      <c r="AM43" s="90"/>
      <c r="AN43" s="90"/>
      <c r="AO43" s="89"/>
      <c r="AP43" s="89"/>
      <c r="AT43" s="12">
        <v>34.400000000000006</v>
      </c>
      <c r="AU43" s="29">
        <f t="shared" ref="AU43:AU74" si="59">$AU$10+AV43</f>
        <v>43727</v>
      </c>
      <c r="AV43" s="12">
        <v>128</v>
      </c>
      <c r="AW43" s="12">
        <f t="shared" si="52"/>
        <v>17.231603402206726</v>
      </c>
      <c r="AY43" s="93"/>
      <c r="BC43" s="76"/>
    </row>
    <row r="44" spans="1:55" ht="29.25" customHeight="1" x14ac:dyDescent="0.2">
      <c r="A44" s="27">
        <f t="shared" si="0"/>
        <v>132</v>
      </c>
      <c r="B44" s="28">
        <f t="shared" si="1"/>
        <v>43731</v>
      </c>
      <c r="C44" s="48">
        <f t="shared" si="2"/>
        <v>-5.8556221909498163</v>
      </c>
      <c r="D44" s="48">
        <f t="shared" si="3"/>
        <v>11.052242127055578</v>
      </c>
      <c r="E44" s="48">
        <f t="shared" si="4"/>
        <v>-0.19999999999242846</v>
      </c>
      <c r="F44" s="47">
        <f t="shared" si="53"/>
        <v>12.509211297208266</v>
      </c>
      <c r="G44" s="47">
        <f t="shared" si="5"/>
        <v>-3.4902291373555272</v>
      </c>
      <c r="H44" s="47">
        <f t="shared" si="6"/>
        <v>9.3591535858852382</v>
      </c>
      <c r="I44" s="47">
        <f t="shared" si="7"/>
        <v>-0.49999999998817657</v>
      </c>
      <c r="J44" s="47">
        <f t="shared" si="54"/>
        <v>10.001272682785036</v>
      </c>
      <c r="K44" s="48">
        <f t="shared" si="33"/>
        <v>-5.5552418708657569</v>
      </c>
      <c r="L44" s="48">
        <f t="shared" si="34"/>
        <v>10.000086716097201</v>
      </c>
      <c r="M44" s="48">
        <f t="shared" si="35"/>
        <v>-1.300000000000523</v>
      </c>
      <c r="N44" s="47">
        <f t="shared" ref="N44" si="60" xml:space="preserve"> SQRT(K44*K44+L44*L44+M44*M44)</f>
        <v>11.513142341397726</v>
      </c>
      <c r="O44" s="47">
        <f t="shared" si="11"/>
        <v>-5.1138646198580773</v>
      </c>
      <c r="P44" s="47">
        <f t="shared" si="12"/>
        <v>-2.6351047495593027</v>
      </c>
      <c r="Q44" s="48">
        <f t="shared" si="13"/>
        <v>-17.300000000005866</v>
      </c>
      <c r="R44" s="47">
        <f t="shared" si="55"/>
        <v>18.231439558948413</v>
      </c>
      <c r="S44" s="48">
        <f t="shared" si="14"/>
        <v>-3.394341872365203</v>
      </c>
      <c r="T44" s="48">
        <f t="shared" si="15"/>
        <v>-5.6805659486629523</v>
      </c>
      <c r="U44" s="48">
        <f t="shared" si="16"/>
        <v>-6.2999999999959755</v>
      </c>
      <c r="V44" s="47">
        <f t="shared" si="56"/>
        <v>9.1367601612141502</v>
      </c>
      <c r="W44" s="48">
        <f t="shared" si="50"/>
        <v>-4.1480277355105954</v>
      </c>
      <c r="X44" s="48">
        <f t="shared" si="51"/>
        <v>-7.2098044299933051</v>
      </c>
      <c r="Y44" s="48">
        <f t="shared" si="19"/>
        <v>-0.30000000000995897</v>
      </c>
      <c r="Z44" s="47">
        <f t="shared" si="57"/>
        <v>8.3233054739882171</v>
      </c>
      <c r="AA44" s="48">
        <f t="shared" si="20"/>
        <v>-5.4202747279816776</v>
      </c>
      <c r="AB44" s="48">
        <f t="shared" si="21"/>
        <v>-8.2439951692521163</v>
      </c>
      <c r="AC44" s="48">
        <f t="shared" si="22"/>
        <v>1.9999999999953388</v>
      </c>
      <c r="AD44" s="47">
        <f t="shared" si="58"/>
        <v>10.066917824112325</v>
      </c>
      <c r="AE44" s="22"/>
      <c r="AF44" s="88"/>
      <c r="AG44" s="88"/>
      <c r="AH44" s="88"/>
      <c r="AI44" s="88"/>
      <c r="AJ44" s="88"/>
      <c r="AL44" s="89"/>
      <c r="AM44" s="90"/>
      <c r="AN44" s="90"/>
      <c r="AO44" s="89"/>
      <c r="AP44" s="89"/>
      <c r="AT44" s="12">
        <v>37.120000000000005</v>
      </c>
      <c r="AU44" s="29">
        <f t="shared" si="59"/>
        <v>43731</v>
      </c>
      <c r="AV44" s="12">
        <v>132</v>
      </c>
      <c r="AW44" s="12">
        <f t="shared" si="52"/>
        <v>17.510159225702573</v>
      </c>
      <c r="AY44" s="93"/>
      <c r="BC44" s="74"/>
    </row>
    <row r="45" spans="1:55" ht="29.25" customHeight="1" x14ac:dyDescent="0.2">
      <c r="A45" s="27">
        <f t="shared" si="0"/>
        <v>135</v>
      </c>
      <c r="B45" s="28">
        <f t="shared" si="1"/>
        <v>43734</v>
      </c>
      <c r="C45" s="48">
        <f t="shared" si="2"/>
        <v>-5.1556221909550004</v>
      </c>
      <c r="D45" s="48">
        <f t="shared" si="3"/>
        <v>11.552242127055301</v>
      </c>
      <c r="E45" s="48">
        <f t="shared" si="4"/>
        <v>-9.9999999989108801E-2</v>
      </c>
      <c r="F45" s="47">
        <f t="shared" ref="F45:F46" si="61" xml:space="preserve"> SQRT(C45*C45+D45*D45+E45*E45)</f>
        <v>12.650878955154724</v>
      </c>
      <c r="G45" s="47">
        <f t="shared" si="5"/>
        <v>-2.890229137364031</v>
      </c>
      <c r="H45" s="47">
        <f t="shared" si="6"/>
        <v>10.059153585884495</v>
      </c>
      <c r="I45" s="47">
        <f t="shared" si="7"/>
        <v>-0.69999999999481588</v>
      </c>
      <c r="J45" s="47">
        <f t="shared" ref="J45:J46" si="62" xml:space="preserve"> SQRT(G45*G45+H45*H45+I45*I45)</f>
        <v>10.48951835552394</v>
      </c>
      <c r="K45" s="48">
        <f t="shared" si="33"/>
        <v>-5.1552418708809</v>
      </c>
      <c r="L45" s="48">
        <f t="shared" si="34"/>
        <v>10.200086716097179</v>
      </c>
      <c r="M45" s="48">
        <f t="shared" si="35"/>
        <v>-1.4999999999929514</v>
      </c>
      <c r="N45" s="47">
        <f t="shared" ref="N45:N46" si="63" xml:space="preserve"> SQRT(K45*K45+L45*L45+M45*M45)</f>
        <v>11.526850730497232</v>
      </c>
      <c r="O45" s="47">
        <f t="shared" si="11"/>
        <v>-4.4138646198348397</v>
      </c>
      <c r="P45" s="47">
        <f t="shared" si="12"/>
        <v>-2.4351047495592972</v>
      </c>
      <c r="Q45" s="48">
        <f t="shared" si="13"/>
        <v>-17.600000000001614</v>
      </c>
      <c r="R45" s="47">
        <f t="shared" ref="R45:R46" si="64" xml:space="preserve"> SQRT(O45*O45+P45*P45+Q45*Q45)</f>
        <v>18.307701549446694</v>
      </c>
      <c r="S45" s="48">
        <f t="shared" si="14"/>
        <v>-2.7943418723737068</v>
      </c>
      <c r="T45" s="48">
        <f t="shared" si="15"/>
        <v>-5.7805659486627192</v>
      </c>
      <c r="U45" s="48">
        <f t="shared" si="16"/>
        <v>-6.5000000000026148</v>
      </c>
      <c r="V45" s="47">
        <f t="shared" ref="V45:V46" si="65" xml:space="preserve"> SQRT(S45*S45+T45*T45+U45*U45)</f>
        <v>9.1363717736623382</v>
      </c>
      <c r="W45" s="48">
        <f t="shared" si="50"/>
        <v>-3.5480277355190992</v>
      </c>
      <c r="X45" s="48">
        <f t="shared" si="51"/>
        <v>-7.309804429993072</v>
      </c>
      <c r="Y45" s="48">
        <f t="shared" si="19"/>
        <v>-0.10000000000331966</v>
      </c>
      <c r="Z45" s="47">
        <f t="shared" ref="Z45:Z46" si="66" xml:space="preserve"> SQRT(W45*W45+X45*X45+Y45*Y45)</f>
        <v>8.1259917312756222</v>
      </c>
      <c r="AA45" s="48">
        <f t="shared" si="20"/>
        <v>-4.8202747279901814</v>
      </c>
      <c r="AB45" s="48">
        <f t="shared" si="21"/>
        <v>-8.1439951692523493</v>
      </c>
      <c r="AC45" s="48">
        <f t="shared" si="22"/>
        <v>2.0999999999986585</v>
      </c>
      <c r="AD45" s="47">
        <f t="shared" ref="AD45:AD46" si="67" xml:space="preserve"> SQRT(AA45*AA45+AB45*AB45+AC45*AC45)</f>
        <v>9.6937972833199257</v>
      </c>
      <c r="AE45" s="22"/>
      <c r="AF45" s="88"/>
      <c r="AG45" s="88"/>
      <c r="AH45" s="88"/>
      <c r="AI45" s="88"/>
      <c r="AJ45" s="88"/>
      <c r="AL45" s="89"/>
      <c r="AM45" s="90"/>
      <c r="AN45" s="90"/>
      <c r="AO45" s="89"/>
      <c r="AP45" s="89"/>
      <c r="AR45" s="89"/>
      <c r="AT45" s="12">
        <v>37.120000000000005</v>
      </c>
      <c r="AU45" s="29">
        <f t="shared" si="59"/>
        <v>43734</v>
      </c>
      <c r="AV45" s="12">
        <v>135</v>
      </c>
      <c r="AW45" s="12">
        <f t="shared" si="52"/>
        <v>17.714366336671741</v>
      </c>
      <c r="AY45" s="93"/>
      <c r="BC45" s="76"/>
    </row>
    <row r="46" spans="1:55" ht="29.25" customHeight="1" x14ac:dyDescent="0.2">
      <c r="A46" s="27">
        <f t="shared" si="0"/>
        <v>139</v>
      </c>
      <c r="B46" s="28">
        <f t="shared" si="1"/>
        <v>43738</v>
      </c>
      <c r="C46" s="48">
        <f t="shared" si="2"/>
        <v>-5.3556221909616397</v>
      </c>
      <c r="D46" s="48">
        <f t="shared" si="3"/>
        <v>11.85224212705549</v>
      </c>
      <c r="E46" s="48">
        <f t="shared" si="4"/>
        <v>0.20000000000663931</v>
      </c>
      <c r="F46" s="47">
        <f t="shared" si="61"/>
        <v>13.00762593599125</v>
      </c>
      <c r="G46" s="47">
        <f t="shared" si="5"/>
        <v>-3.0902291373706703</v>
      </c>
      <c r="H46" s="47">
        <f t="shared" si="6"/>
        <v>10.359153585884684</v>
      </c>
      <c r="I46" s="47">
        <f t="shared" si="7"/>
        <v>-0.29999999999574811</v>
      </c>
      <c r="J46" s="47">
        <f t="shared" si="62"/>
        <v>10.814415339601101</v>
      </c>
      <c r="K46" s="48">
        <f t="shared" si="33"/>
        <v>-4.8552418708709411</v>
      </c>
      <c r="L46" s="48">
        <f t="shared" si="34"/>
        <v>10.90008671609688</v>
      </c>
      <c r="M46" s="48">
        <f t="shared" si="35"/>
        <v>-1.1999999999972033</v>
      </c>
      <c r="N46" s="47">
        <f t="shared" si="63"/>
        <v>11.992717125117364</v>
      </c>
      <c r="O46" s="47">
        <f t="shared" si="11"/>
        <v>-4.613864619841479</v>
      </c>
      <c r="P46" s="47">
        <f t="shared" si="12"/>
        <v>-2.2351047495592913</v>
      </c>
      <c r="Q46" s="48">
        <f t="shared" si="13"/>
        <v>-17.600000000001614</v>
      </c>
      <c r="R46" s="47">
        <f t="shared" si="64"/>
        <v>18.331487663901811</v>
      </c>
      <c r="S46" s="48">
        <f t="shared" si="14"/>
        <v>-2.9943418723519244</v>
      </c>
      <c r="T46" s="48">
        <f t="shared" si="15"/>
        <v>-5.6805659486629523</v>
      </c>
      <c r="U46" s="48">
        <f t="shared" si="16"/>
        <v>-6.3999999999992951</v>
      </c>
      <c r="V46" s="47">
        <f t="shared" si="65"/>
        <v>9.066141006272737</v>
      </c>
      <c r="W46" s="48">
        <f t="shared" si="50"/>
        <v>-3.5480277355190992</v>
      </c>
      <c r="X46" s="48">
        <f t="shared" si="51"/>
        <v>-7.1098044299935381</v>
      </c>
      <c r="Y46" s="48">
        <f t="shared" si="19"/>
        <v>9.9999999989108801E-2</v>
      </c>
      <c r="Z46" s="47">
        <f t="shared" si="66"/>
        <v>7.9465602523838168</v>
      </c>
      <c r="AA46" s="48">
        <f t="shared" si="20"/>
        <v>-4.9202747279650794</v>
      </c>
      <c r="AB46" s="48">
        <f t="shared" si="21"/>
        <v>-8.2439951692521163</v>
      </c>
      <c r="AC46" s="48">
        <f t="shared" si="22"/>
        <v>2.299999999991087</v>
      </c>
      <c r="AD46" s="47">
        <f t="shared" si="67"/>
        <v>9.8723127862352023</v>
      </c>
      <c r="AE46" s="22"/>
      <c r="AF46" s="88"/>
      <c r="AG46" s="88"/>
      <c r="AH46" s="88"/>
      <c r="AI46" s="88"/>
      <c r="AJ46" s="88"/>
      <c r="AL46" s="89"/>
      <c r="AM46" s="90"/>
      <c r="AN46" s="90"/>
      <c r="AO46" s="89"/>
      <c r="AP46" s="89"/>
      <c r="AR46" s="89"/>
      <c r="AT46" s="12">
        <v>37.120000000000005</v>
      </c>
      <c r="AU46" s="29">
        <f t="shared" si="59"/>
        <v>43738</v>
      </c>
      <c r="AV46" s="12">
        <v>139</v>
      </c>
      <c r="AW46" s="12">
        <f t="shared" si="52"/>
        <v>17.980620252651466</v>
      </c>
      <c r="AY46" s="93"/>
      <c r="BC46" s="74"/>
    </row>
    <row r="47" spans="1:55" ht="29.25" customHeight="1" x14ac:dyDescent="0.2">
      <c r="A47" s="27">
        <f t="shared" si="0"/>
        <v>142</v>
      </c>
      <c r="B47" s="28">
        <f t="shared" si="1"/>
        <v>43741</v>
      </c>
      <c r="C47" s="48">
        <f t="shared" si="2"/>
        <v>-5.655622190943177</v>
      </c>
      <c r="D47" s="48">
        <f t="shared" si="3"/>
        <v>11.85224212705549</v>
      </c>
      <c r="E47" s="48">
        <f t="shared" si="4"/>
        <v>0.20000000000663931</v>
      </c>
      <c r="F47" s="47">
        <f t="shared" ref="F47" si="68" xml:space="preserve"> SQRT(C47*C47+D47*D47+E47*E47)</f>
        <v>13.133990475291217</v>
      </c>
      <c r="G47" s="47">
        <f t="shared" si="5"/>
        <v>-3.3902291373806293</v>
      </c>
      <c r="H47" s="47">
        <f t="shared" si="6"/>
        <v>10.359153585884684</v>
      </c>
      <c r="I47" s="47">
        <f t="shared" si="7"/>
        <v>-0.29999999999574811</v>
      </c>
      <c r="J47" s="47">
        <f t="shared" ref="J47" si="69" xml:space="preserve"> SQRT(G47*G47+H47*H47+I47*I47)</f>
        <v>10.903931246109797</v>
      </c>
      <c r="K47" s="48">
        <f t="shared" si="33"/>
        <v>-5.4552418708624373</v>
      </c>
      <c r="L47" s="48">
        <f t="shared" si="34"/>
        <v>10.700086716096902</v>
      </c>
      <c r="M47" s="48">
        <f t="shared" si="35"/>
        <v>-1.3999999999896318</v>
      </c>
      <c r="N47" s="47">
        <f t="shared" ref="N47" si="70" xml:space="preserve"> SQRT(K47*K47+L47*L47+M47*M47)</f>
        <v>12.091795549114078</v>
      </c>
      <c r="O47" s="47">
        <f t="shared" si="11"/>
        <v>-4.913864619851438</v>
      </c>
      <c r="P47" s="47">
        <f t="shared" si="12"/>
        <v>-2.2351047495592913</v>
      </c>
      <c r="Q47" s="48">
        <f t="shared" si="13"/>
        <v>-17.800000000008254</v>
      </c>
      <c r="R47" s="47">
        <f t="shared" ref="R47" si="71" xml:space="preserve"> SQRT(O47*O47+P47*P47+Q47*Q47)</f>
        <v>18.600584903277213</v>
      </c>
      <c r="S47" s="48">
        <f t="shared" si="14"/>
        <v>-3.394341872365203</v>
      </c>
      <c r="T47" s="48">
        <f t="shared" si="15"/>
        <v>-5.6805659486629523</v>
      </c>
      <c r="U47" s="48">
        <f t="shared" si="16"/>
        <v>-6.5000000000026148</v>
      </c>
      <c r="V47" s="47">
        <f t="shared" ref="V47" si="72" xml:space="preserve"> SQRT(S47*S47+T47*T47+U47*U47)</f>
        <v>9.275795720240648</v>
      </c>
      <c r="W47" s="48">
        <f t="shared" si="50"/>
        <v>-3.9480277355039561</v>
      </c>
      <c r="X47" s="48">
        <f t="shared" si="51"/>
        <v>-7.009804429992883</v>
      </c>
      <c r="Y47" s="48">
        <f t="shared" si="19"/>
        <v>9.9999999989108801E-2</v>
      </c>
      <c r="Z47" s="47">
        <f t="shared" ref="Z47" si="73" xml:space="preserve"> SQRT(W47*W47+X47*X47+Y47*Y47)</f>
        <v>8.0457616884328704</v>
      </c>
      <c r="AA47" s="48">
        <f t="shared" si="20"/>
        <v>-5.320274727978358</v>
      </c>
      <c r="AB47" s="48">
        <f t="shared" si="21"/>
        <v>-8.1439951692523493</v>
      </c>
      <c r="AC47" s="48">
        <f t="shared" si="22"/>
        <v>2.3999999999944066</v>
      </c>
      <c r="AD47" s="47">
        <f t="shared" ref="AD47" si="74" xml:space="preserve"> SQRT(AA47*AA47+AB47*AB47+AC47*AC47)</f>
        <v>10.019480051277309</v>
      </c>
      <c r="AE47" s="22"/>
      <c r="AF47" s="88"/>
      <c r="AG47" s="88"/>
      <c r="AH47" s="88"/>
      <c r="AI47" s="88"/>
      <c r="AJ47" s="88"/>
      <c r="AL47" s="89"/>
      <c r="AM47" s="90"/>
      <c r="AN47" s="90"/>
      <c r="AO47" s="89"/>
      <c r="AP47" s="89"/>
      <c r="AR47" s="89"/>
      <c r="AT47" s="12">
        <v>37.120000000000005</v>
      </c>
      <c r="AU47" s="29">
        <f t="shared" si="59"/>
        <v>43741</v>
      </c>
      <c r="AV47" s="12">
        <v>142</v>
      </c>
      <c r="AW47" s="12">
        <f t="shared" si="52"/>
        <v>18.175959835738972</v>
      </c>
      <c r="AY47" s="93"/>
      <c r="BC47" s="76"/>
    </row>
    <row r="48" spans="1:55" ht="29.25" customHeight="1" x14ac:dyDescent="0.2">
      <c r="A48" s="27">
        <f t="shared" si="0"/>
        <v>147</v>
      </c>
      <c r="B48" s="28">
        <f t="shared" si="1"/>
        <v>43746</v>
      </c>
      <c r="C48" s="48">
        <f t="shared" si="2"/>
        <v>-5.2315944727467922</v>
      </c>
      <c r="D48" s="48">
        <f t="shared" si="3"/>
        <v>12.125071624284445</v>
      </c>
      <c r="E48" s="48">
        <f t="shared" si="4"/>
        <v>3.3333333334439885E-2</v>
      </c>
      <c r="F48" s="47">
        <f t="shared" ref="F48" si="75" xml:space="preserve"> SQRT(C48*C48+D48*D48+E48*E48)</f>
        <v>13.205606905114728</v>
      </c>
      <c r="G48" s="47">
        <f t="shared" si="5"/>
        <v>-2.8779079186733725</v>
      </c>
      <c r="H48" s="47">
        <f t="shared" si="6"/>
        <v>10.666517307095447</v>
      </c>
      <c r="I48" s="47">
        <f t="shared" si="7"/>
        <v>-0.86666666665280445</v>
      </c>
      <c r="J48" s="47">
        <f t="shared" ref="J48" si="76" xml:space="preserve"> SQRT(G48*G48+H48*H48+I48*I48)</f>
        <v>11.081879649320177</v>
      </c>
      <c r="K48" s="48">
        <f t="shared" si="33"/>
        <v>-4.4537543804779034</v>
      </c>
      <c r="L48" s="48">
        <f t="shared" si="34"/>
        <v>10.29941567906123</v>
      </c>
      <c r="M48" s="48">
        <f t="shared" si="35"/>
        <v>-2.2333333333222072</v>
      </c>
      <c r="N48" s="47">
        <f t="shared" ref="N48" si="77" xml:space="preserve"> SQRT(K48*K48+L48*L48+M48*M48)</f>
        <v>11.441226734465431</v>
      </c>
      <c r="O48" s="47">
        <f t="shared" si="11"/>
        <v>-4.3151230280784603</v>
      </c>
      <c r="P48" s="47">
        <f t="shared" si="12"/>
        <v>-2.656018943096222</v>
      </c>
      <c r="Q48" s="48">
        <f t="shared" si="13"/>
        <v>-19.049999999992906</v>
      </c>
      <c r="R48" s="47">
        <f t="shared" ref="R48" si="78" xml:space="preserve"> SQRT(O48*O48+P48*P48+Q48*Q48)</f>
        <v>19.71236219668431</v>
      </c>
      <c r="S48" s="48">
        <f t="shared" si="14"/>
        <v>-2.6386742926547413</v>
      </c>
      <c r="T48" s="48">
        <f t="shared" si="15"/>
        <v>-6.5268598872392225</v>
      </c>
      <c r="U48" s="48">
        <f t="shared" si="16"/>
        <v>-7.4166666666570791</v>
      </c>
      <c r="V48" s="47">
        <f t="shared" ref="V48" si="79" xml:space="preserve"> SQRT(S48*S48+T48*T48+U48*U48)</f>
        <v>10.22592032311379</v>
      </c>
      <c r="W48" s="48">
        <f t="shared" si="50"/>
        <v>-3.3186777274067936</v>
      </c>
      <c r="X48" s="48">
        <f t="shared" si="51"/>
        <v>-7.9473782709253982</v>
      </c>
      <c r="Y48" s="48">
        <f t="shared" si="19"/>
        <v>-0.36666666667883874</v>
      </c>
      <c r="Z48" s="47">
        <f t="shared" ref="Z48" si="80" xml:space="preserve"> SQRT(W48*W48+X48*X48+Y48*Y48)</f>
        <v>8.6202603025672282</v>
      </c>
      <c r="AA48" s="48">
        <f t="shared" si="20"/>
        <v>-4.5715075756618262</v>
      </c>
      <c r="AB48" s="48">
        <f t="shared" si="21"/>
        <v>-9.0465575826810252</v>
      </c>
      <c r="AC48" s="48">
        <f t="shared" si="22"/>
        <v>2.1666666666675383</v>
      </c>
      <c r="AD48" s="47">
        <f t="shared" ref="AD48" si="81" xml:space="preserve"> SQRT(AA48*AA48+AB48*AB48+AC48*AC48)</f>
        <v>10.365005067801233</v>
      </c>
      <c r="AE48" s="22"/>
      <c r="AF48" s="88"/>
      <c r="AG48" s="88"/>
      <c r="AH48" s="88"/>
      <c r="AI48" s="88"/>
      <c r="AJ48" s="88"/>
      <c r="AL48" s="89"/>
      <c r="AM48" s="90"/>
      <c r="AN48" s="90"/>
      <c r="AO48" s="89"/>
      <c r="AP48" s="89"/>
      <c r="AR48" s="89"/>
      <c r="AT48" s="12">
        <v>38</v>
      </c>
      <c r="AU48" s="29">
        <f t="shared" si="59"/>
        <v>43746</v>
      </c>
      <c r="AV48" s="12">
        <v>147</v>
      </c>
      <c r="AW48" s="12">
        <f t="shared" si="52"/>
        <v>18.493595524448928</v>
      </c>
      <c r="AY48" s="93"/>
      <c r="BC48" s="74"/>
    </row>
    <row r="49" spans="1:55" ht="29.25" customHeight="1" x14ac:dyDescent="0.2">
      <c r="A49" s="27">
        <f t="shared" si="0"/>
        <v>154</v>
      </c>
      <c r="B49" s="28">
        <f t="shared" si="1"/>
        <v>43753</v>
      </c>
      <c r="C49" s="48">
        <f t="shared" si="2"/>
        <v>-4.9145344699468296</v>
      </c>
      <c r="D49" s="48">
        <f t="shared" si="3"/>
        <v>11.721234875644804</v>
      </c>
      <c r="E49" s="48">
        <f t="shared" si="4"/>
        <v>8.3333333350310568E-2</v>
      </c>
      <c r="F49" s="47">
        <f t="shared" ref="F49" si="82" xml:space="preserve"> SQRT(C49*C49+D49*D49+E49*E49)</f>
        <v>12.710111742654934</v>
      </c>
      <c r="G49" s="47">
        <f t="shared" si="5"/>
        <v>-2.4078372192093411</v>
      </c>
      <c r="H49" s="47">
        <f t="shared" si="6"/>
        <v>10.131748262716123</v>
      </c>
      <c r="I49" s="47">
        <f t="shared" si="7"/>
        <v>-0.81666666665114462</v>
      </c>
      <c r="J49" s="47">
        <f t="shared" ref="J49" si="83" xml:space="preserve"> SQRT(G49*G49+H49*H49+I49*I49)</f>
        <v>10.445905771051166</v>
      </c>
      <c r="K49" s="48">
        <f t="shared" si="33"/>
        <v>-4.5593461546786784</v>
      </c>
      <c r="L49" s="48">
        <f t="shared" si="34"/>
        <v>10.801870755309917</v>
      </c>
      <c r="M49" s="48">
        <f t="shared" si="35"/>
        <v>-2.1000000000128694</v>
      </c>
      <c r="N49" s="47">
        <f t="shared" ref="N49" si="84" xml:space="preserve"> SQRT(K49*K49+L49*L49+M49*M49)</f>
        <v>11.911257245675493</v>
      </c>
      <c r="O49" s="47">
        <f t="shared" si="11"/>
        <v>-3.6637939101353822</v>
      </c>
      <c r="P49" s="47">
        <f t="shared" si="12"/>
        <v>-3.1062575814490287</v>
      </c>
      <c r="Q49" s="48">
        <f t="shared" si="13"/>
        <v>-19.133333333329006</v>
      </c>
      <c r="R49" s="47">
        <f t="shared" ref="R49" si="85" xml:space="preserve"> SQRT(O49*O49+P49*P49+Q49*Q49)</f>
        <v>19.72705417497842</v>
      </c>
      <c r="S49" s="48">
        <f t="shared" si="14"/>
        <v>-2.1142121174193562</v>
      </c>
      <c r="T49" s="48">
        <f t="shared" si="15"/>
        <v>-6.981093286897444</v>
      </c>
      <c r="U49" s="48">
        <f t="shared" si="16"/>
        <v>-7.4833333333259588</v>
      </c>
      <c r="V49" s="47">
        <f t="shared" ref="V49" si="86" xml:space="preserve"> SQRT(S49*S49+T49*T49+U49*U49)</f>
        <v>10.450159526795503</v>
      </c>
      <c r="W49" s="48">
        <f t="shared" si="50"/>
        <v>-2.4638701217440939</v>
      </c>
      <c r="X49" s="48">
        <f t="shared" si="51"/>
        <v>-8.0452650549771576</v>
      </c>
      <c r="Y49" s="48">
        <f t="shared" si="19"/>
        <v>-0.16666666665798857</v>
      </c>
      <c r="Z49" s="47">
        <f t="shared" ref="Z49" si="87" xml:space="preserve"> SQRT(W49*W49+X49*X49+Y49*Y49)</f>
        <v>8.4157426029694342</v>
      </c>
      <c r="AA49" s="48"/>
      <c r="AB49" s="48"/>
      <c r="AC49" s="48"/>
      <c r="AD49" s="47"/>
      <c r="AE49" s="22"/>
      <c r="AF49" s="88"/>
      <c r="AG49" s="88"/>
      <c r="AH49" s="88"/>
      <c r="AI49" s="88"/>
      <c r="AJ49" s="88"/>
      <c r="AL49" s="89"/>
      <c r="AM49" s="90"/>
      <c r="AN49" s="90"/>
      <c r="AO49" s="89"/>
      <c r="AP49" s="89"/>
      <c r="AR49" s="89"/>
      <c r="AT49" s="12">
        <v>39.100000000000023</v>
      </c>
      <c r="AU49" s="29">
        <f t="shared" si="59"/>
        <v>43753</v>
      </c>
      <c r="AV49" s="12">
        <v>154</v>
      </c>
      <c r="AW49" s="12">
        <f t="shared" si="52"/>
        <v>18.922502427376099</v>
      </c>
      <c r="AY49" s="93"/>
      <c r="BC49" s="76"/>
    </row>
    <row r="50" spans="1:55" ht="29.25" customHeight="1" x14ac:dyDescent="0.2">
      <c r="A50" s="27">
        <f t="shared" si="0"/>
        <v>157</v>
      </c>
      <c r="B50" s="28">
        <f t="shared" si="1"/>
        <v>43756</v>
      </c>
      <c r="C50" s="48">
        <f t="shared" si="2"/>
        <v>-5.2770512013182724</v>
      </c>
      <c r="D50" s="48">
        <f t="shared" si="3"/>
        <v>11.55217411278997</v>
      </c>
      <c r="E50" s="48">
        <f t="shared" si="4"/>
        <v>0.60000000000570708</v>
      </c>
      <c r="F50" s="47">
        <f t="shared" ref="F50" si="88" xml:space="preserve"> SQRT(C50*C50+D50*D50+E50*E50)</f>
        <v>12.714558431717407</v>
      </c>
      <c r="G50" s="47">
        <f t="shared" si="5"/>
        <v>-2.7280887300662471</v>
      </c>
      <c r="H50" s="47">
        <f t="shared" si="6"/>
        <v>9.8720579776561124</v>
      </c>
      <c r="I50" s="47">
        <f t="shared" si="7"/>
        <v>-9.9999999989108801E-2</v>
      </c>
      <c r="J50" s="47">
        <f t="shared" ref="J50" si="89" xml:space="preserve"> SQRT(G50*G50+H50*H50+I50*I50)</f>
        <v>10.242558119596685</v>
      </c>
      <c r="K50" s="48">
        <f t="shared" si="33"/>
        <v>-4.6853385137808345</v>
      </c>
      <c r="L50" s="48">
        <f t="shared" si="34"/>
        <v>10.283365240020714</v>
      </c>
      <c r="M50" s="48">
        <f t="shared" si="35"/>
        <v>-1.300000000000523</v>
      </c>
      <c r="N50" s="47">
        <f t="shared" ref="N50" si="90" xml:space="preserve"> SQRT(K50*K50+L50*L50+M50*M50)</f>
        <v>11.374972424071437</v>
      </c>
      <c r="O50" s="47">
        <f t="shared" si="11"/>
        <v>-4.2478014599112157</v>
      </c>
      <c r="P50" s="47">
        <f t="shared" si="12"/>
        <v>-3.194711707152659</v>
      </c>
      <c r="Q50" s="48">
        <f t="shared" si="13"/>
        <v>-18.39999999999975</v>
      </c>
      <c r="R50" s="47">
        <f t="shared" ref="R50" si="91" xml:space="preserve"> SQRT(O50*O50+P50*P50+Q50*Q50)</f>
        <v>19.15228446255519</v>
      </c>
      <c r="S50" s="48">
        <f t="shared" si="14"/>
        <v>-2.4665642811214639</v>
      </c>
      <c r="T50" s="48">
        <f t="shared" si="15"/>
        <v>-6.7776146865337061</v>
      </c>
      <c r="U50" s="48">
        <f t="shared" si="16"/>
        <v>-6.6999999999950433</v>
      </c>
      <c r="V50" s="47">
        <f t="shared" ref="V50" si="92" xml:space="preserve"> SQRT(S50*S50+T50*T50+U50*U50)</f>
        <v>9.8442876934776358</v>
      </c>
      <c r="W50" s="48">
        <f t="shared" si="50"/>
        <v>-3.0830986780756575</v>
      </c>
      <c r="X50" s="48">
        <f t="shared" si="51"/>
        <v>-8.0581948308653395</v>
      </c>
      <c r="Y50" s="48">
        <f t="shared" si="19"/>
        <v>0.49999999998817657</v>
      </c>
      <c r="Z50" s="47">
        <f t="shared" ref="Z50" si="93" xml:space="preserve"> SQRT(W50*W50+X50*X50+Y50*Y50)</f>
        <v>8.6423377271965549</v>
      </c>
      <c r="AA50" s="48">
        <f t="shared" si="20"/>
        <v>-4.5030983972367267</v>
      </c>
      <c r="AB50" s="48">
        <f t="shared" si="21"/>
        <v>-9.2721143237750603</v>
      </c>
      <c r="AC50" s="48">
        <f t="shared" si="22"/>
        <v>2.7999999999934744</v>
      </c>
      <c r="AD50" s="47">
        <f t="shared" ref="AD50" si="94" xml:space="preserve"> SQRT(AA50*AA50+AB50*AB50+AC50*AC50)</f>
        <v>10.681292019616077</v>
      </c>
      <c r="AE50" s="22"/>
      <c r="AF50" s="88"/>
      <c r="AG50" s="88"/>
      <c r="AH50" s="88"/>
      <c r="AI50" s="88"/>
      <c r="AJ50" s="88"/>
      <c r="AL50" s="89"/>
      <c r="AM50" s="90"/>
      <c r="AN50" s="90"/>
      <c r="AO50" s="89"/>
      <c r="AP50" s="89"/>
      <c r="AR50" s="89"/>
      <c r="AT50" s="12">
        <v>42.300000000000011</v>
      </c>
      <c r="AU50" s="29">
        <f t="shared" si="59"/>
        <v>43756</v>
      </c>
      <c r="AV50" s="12">
        <v>157</v>
      </c>
      <c r="AW50" s="12">
        <f t="shared" si="52"/>
        <v>19.10097309899302</v>
      </c>
      <c r="AY50" s="93"/>
      <c r="BC50" s="74"/>
    </row>
    <row r="51" spans="1:55" ht="29.25" customHeight="1" x14ac:dyDescent="0.2">
      <c r="A51" s="27">
        <f t="shared" si="0"/>
        <v>161</v>
      </c>
      <c r="B51" s="28">
        <f t="shared" si="1"/>
        <v>43760</v>
      </c>
      <c r="C51" s="48">
        <f t="shared" si="2"/>
        <v>-4.9807684136737862</v>
      </c>
      <c r="D51" s="48">
        <f t="shared" si="3"/>
        <v>12.573064183057259</v>
      </c>
      <c r="E51" s="48">
        <f t="shared" si="4"/>
        <v>-0.29999999999574811</v>
      </c>
      <c r="F51" s="47">
        <f t="shared" ref="F51" si="95" xml:space="preserve"> SQRT(C51*C51+D51*D51+E51*E51)</f>
        <v>13.527009903963448</v>
      </c>
      <c r="G51" s="47">
        <f t="shared" si="5"/>
        <v>-2.6069655541220982</v>
      </c>
      <c r="H51" s="47">
        <f t="shared" si="6"/>
        <v>11.031941393474298</v>
      </c>
      <c r="I51" s="47">
        <f t="shared" si="7"/>
        <v>-1.0999999999938836</v>
      </c>
      <c r="J51" s="47">
        <f t="shared" ref="J51" si="96" xml:space="preserve"> SQRT(G51*G51+H51*H51+I51*I51)</f>
        <v>11.389029823010269</v>
      </c>
      <c r="K51" s="48"/>
      <c r="L51" s="48"/>
      <c r="M51" s="48"/>
      <c r="N51" s="47"/>
      <c r="O51" s="47"/>
      <c r="P51" s="47">
        <f t="shared" si="12"/>
        <v>-2.3067160772563544</v>
      </c>
      <c r="Q51" s="48">
        <f t="shared" si="13"/>
        <v>-19.900000000006912</v>
      </c>
      <c r="R51" s="47">
        <f t="shared" ref="R51" si="97" xml:space="preserve"> SQRT(O51*O51+P51*P51+Q51*Q51)</f>
        <v>20.03324584437949</v>
      </c>
      <c r="S51" s="48">
        <f t="shared" si="14"/>
        <v>-2.3153734839524986</v>
      </c>
      <c r="T51" s="48">
        <f t="shared" si="15"/>
        <v>-6.1554077755729963</v>
      </c>
      <c r="U51" s="48">
        <f t="shared" si="16"/>
        <v>-7.9999999999955662</v>
      </c>
      <c r="V51" s="47">
        <f t="shared" ref="V51" si="98" xml:space="preserve"> SQRT(S51*S51+T51*T51+U51*U51)</f>
        <v>10.356157552572475</v>
      </c>
      <c r="W51" s="48">
        <f t="shared" si="50"/>
        <v>-3.1131662993288955</v>
      </c>
      <c r="X51" s="48">
        <f t="shared" si="51"/>
        <v>-7.5205183259585695</v>
      </c>
      <c r="Y51" s="48">
        <f t="shared" si="19"/>
        <v>-0.60000000000570708</v>
      </c>
      <c r="Z51" s="47">
        <f t="shared" ref="Z51" si="99" xml:space="preserve"> SQRT(W51*W51+X51*X51+Y51*Y51)</f>
        <v>8.1614949793749609</v>
      </c>
      <c r="AA51" s="48">
        <f t="shared" si="20"/>
        <v>-4.4425367564997487</v>
      </c>
      <c r="AB51" s="48">
        <f t="shared" si="21"/>
        <v>-8.6921725912483261</v>
      </c>
      <c r="AC51" s="48">
        <f t="shared" si="22"/>
        <v>1.8999999999920192</v>
      </c>
      <c r="AD51" s="47">
        <f t="shared" ref="AD51" si="100" xml:space="preserve"> SQRT(AA51*AA51+AB51*AB51+AC51*AC51)</f>
        <v>9.9448477710254384</v>
      </c>
      <c r="AE51" s="22"/>
      <c r="AF51" s="88"/>
      <c r="AG51" s="88"/>
      <c r="AH51" s="88"/>
      <c r="AI51" s="88"/>
      <c r="AJ51" s="88"/>
      <c r="AL51" s="89"/>
      <c r="AM51" s="90"/>
      <c r="AN51" s="90"/>
      <c r="AO51" s="89"/>
      <c r="AP51" s="89"/>
      <c r="AR51" s="89"/>
      <c r="AT51" s="12">
        <v>44.300000000000011</v>
      </c>
      <c r="AU51" s="29">
        <f t="shared" si="59"/>
        <v>43760</v>
      </c>
      <c r="AV51" s="12">
        <v>161</v>
      </c>
      <c r="AW51" s="12">
        <f t="shared" si="52"/>
        <v>19.334179262395647</v>
      </c>
      <c r="AY51" s="93"/>
      <c r="BC51" s="74"/>
    </row>
    <row r="52" spans="1:55" ht="29.25" customHeight="1" x14ac:dyDescent="0.2">
      <c r="A52" s="27">
        <f t="shared" si="0"/>
        <v>163</v>
      </c>
      <c r="B52" s="28">
        <f t="shared" si="1"/>
        <v>43762</v>
      </c>
      <c r="C52" s="48">
        <f t="shared" si="2"/>
        <v>-5.2286872724778277</v>
      </c>
      <c r="D52" s="48">
        <f t="shared" si="3"/>
        <v>11.685068553184852</v>
      </c>
      <c r="E52" s="48">
        <f t="shared" si="4"/>
        <v>-9.9999999989108801E-2</v>
      </c>
      <c r="F52" s="47">
        <f t="shared" ref="F52" si="101" xml:space="preserve"> SQRT(C52*C52+D52*D52+E52*E52)</f>
        <v>12.801952885634245</v>
      </c>
      <c r="G52" s="47">
        <f t="shared" si="5"/>
        <v>-3.205203545007862</v>
      </c>
      <c r="H52" s="47">
        <f t="shared" si="6"/>
        <v>10.421931983422894</v>
      </c>
      <c r="I52" s="47">
        <f t="shared" si="7"/>
        <v>-0.89999999998724434</v>
      </c>
      <c r="J52" s="47">
        <f t="shared" ref="J52" si="102" xml:space="preserve"> SQRT(G52*G52+H52*H52+I52*I52)</f>
        <v>10.940749335945918</v>
      </c>
      <c r="K52" s="48">
        <f t="shared" si="33"/>
        <v>-5.0779229719069008</v>
      </c>
      <c r="L52" s="48">
        <f t="shared" si="34"/>
        <v>10.65198093284847</v>
      </c>
      <c r="M52" s="48">
        <f t="shared" si="35"/>
        <v>-2.299999999991087</v>
      </c>
      <c r="N52" s="47">
        <f t="shared" ref="N52" si="103" xml:space="preserve"> SQRT(K52*K52+L52*L52+M52*M52)</f>
        <v>12.022478925011523</v>
      </c>
      <c r="O52" s="47">
        <f t="shared" si="11"/>
        <v>-4.2900666875027582</v>
      </c>
      <c r="P52" s="47">
        <f t="shared" si="12"/>
        <v>-3.1040824451466777</v>
      </c>
      <c r="Q52" s="48">
        <f t="shared" si="13"/>
        <v>-19.500000000007844</v>
      </c>
      <c r="R52" s="47">
        <f t="shared" ref="R52" si="104" xml:space="preserve"> SQRT(O52*O52+P52*P52+Q52*Q52)</f>
        <v>20.20618717150256</v>
      </c>
      <c r="S52" s="48">
        <f t="shared" si="14"/>
        <v>-2.5088295087698498</v>
      </c>
      <c r="T52" s="48">
        <f t="shared" si="15"/>
        <v>-6.6869854245372728</v>
      </c>
      <c r="U52" s="48">
        <f t="shared" si="16"/>
        <v>-7.4999999999931788</v>
      </c>
      <c r="V52" s="47">
        <f t="shared" ref="V52" si="105" xml:space="preserve"> SQRT(S52*S52+T52*T52+U52*U52)</f>
        <v>10.356640361234234</v>
      </c>
      <c r="W52" s="48">
        <f t="shared" si="50"/>
        <v>-3.2582582897759949</v>
      </c>
      <c r="X52" s="48">
        <f t="shared" si="51"/>
        <v>-7.919201485333538</v>
      </c>
      <c r="Y52" s="48">
        <f t="shared" si="19"/>
        <v>-0.30000000000995897</v>
      </c>
      <c r="Z52" s="47">
        <f t="shared" ref="Z52" si="106" xml:space="preserve"> SQRT(W52*W52+X52*X52+Y52*Y52)</f>
        <v>8.568547090855537</v>
      </c>
      <c r="AA52" s="48">
        <f t="shared" si="20"/>
        <v>-4.7749859721193388</v>
      </c>
      <c r="AB52" s="48">
        <f t="shared" si="21"/>
        <v>-9.398909908239883</v>
      </c>
      <c r="AC52" s="48">
        <f t="shared" si="22"/>
        <v>2.1999999999877673</v>
      </c>
      <c r="AD52" s="47">
        <f t="shared" ref="AD52" si="107" xml:space="preserve"> SQRT(AA52*AA52+AB52*AB52+AC52*AC52)</f>
        <v>10.769401027777379</v>
      </c>
      <c r="AE52" s="22"/>
      <c r="AF52" s="88"/>
      <c r="AG52" s="88"/>
      <c r="AH52" s="88"/>
      <c r="AI52" s="88"/>
      <c r="AJ52" s="88"/>
      <c r="AL52" s="89"/>
      <c r="AM52" s="90"/>
      <c r="AN52" s="90"/>
      <c r="AO52" s="89"/>
      <c r="AP52" s="89"/>
      <c r="AR52" s="89"/>
      <c r="AT52" s="12">
        <v>45.800000000000011</v>
      </c>
      <c r="AU52" s="29">
        <f t="shared" si="59"/>
        <v>43762</v>
      </c>
      <c r="AV52" s="12">
        <v>163</v>
      </c>
      <c r="AW52" s="12">
        <f t="shared" si="52"/>
        <v>19.448805732623924</v>
      </c>
      <c r="AY52" s="93"/>
      <c r="BC52" s="74"/>
    </row>
    <row r="53" spans="1:55" ht="29.25" customHeight="1" x14ac:dyDescent="0.2">
      <c r="A53" s="27">
        <f t="shared" si="0"/>
        <v>167</v>
      </c>
      <c r="B53" s="28">
        <f t="shared" si="1"/>
        <v>43766</v>
      </c>
      <c r="C53" s="48">
        <f t="shared" si="2"/>
        <v>-5.655622190943177</v>
      </c>
      <c r="D53" s="48">
        <f t="shared" si="3"/>
        <v>12.252242127055446</v>
      </c>
      <c r="E53" s="48">
        <f t="shared" si="4"/>
        <v>0.20000000000663931</v>
      </c>
      <c r="F53" s="47">
        <f t="shared" ref="F53:F54" si="108" xml:space="preserve"> SQRT(C53*C53+D53*D53+E53*E53)</f>
        <v>13.496054960864813</v>
      </c>
      <c r="G53" s="47">
        <f t="shared" si="5"/>
        <v>-3.3902291373806293</v>
      </c>
      <c r="H53" s="47">
        <f t="shared" si="6"/>
        <v>10.75915358588464</v>
      </c>
      <c r="I53" s="47">
        <f t="shared" si="7"/>
        <v>-0.69999999999481588</v>
      </c>
      <c r="J53" s="47">
        <f t="shared" ref="J53:J54" si="109" xml:space="preserve"> SQRT(G53*G53+H53*H53+I53*I53)</f>
        <v>11.302346636366789</v>
      </c>
      <c r="K53" s="48">
        <f t="shared" si="33"/>
        <v>-5.3552418708591176</v>
      </c>
      <c r="L53" s="48">
        <f t="shared" si="34"/>
        <v>11.000086716097091</v>
      </c>
      <c r="M53" s="48">
        <f t="shared" si="35"/>
        <v>-2.1999999999877673</v>
      </c>
      <c r="N53" s="47">
        <f t="shared" ref="N53:N54" si="110" xml:space="preserve"> SQRT(K53*K53+L53*L53+M53*M53)</f>
        <v>12.430628433711808</v>
      </c>
      <c r="O53" s="47">
        <f t="shared" si="11"/>
        <v>-4.613864619841479</v>
      </c>
      <c r="P53" s="47">
        <f t="shared" si="12"/>
        <v>-2.7351047495592917</v>
      </c>
      <c r="Q53" s="48">
        <f t="shared" si="13"/>
        <v>-19.500000000007844</v>
      </c>
      <c r="R53" s="47">
        <f t="shared" ref="R53:R54" si="111" xml:space="preserve"> SQRT(O53*O53+P53*P53+Q53*Q53)</f>
        <v>20.224206899693066</v>
      </c>
      <c r="S53" s="48">
        <f t="shared" si="14"/>
        <v>-2.8943418723770264</v>
      </c>
      <c r="T53" s="48">
        <f t="shared" si="15"/>
        <v>-6.3805659486626531</v>
      </c>
      <c r="U53" s="48">
        <f t="shared" si="16"/>
        <v>-7.4999999999931788</v>
      </c>
      <c r="V53" s="47">
        <f t="shared" ref="V53:V54" si="112" xml:space="preserve"> SQRT(S53*S53+T53*T53+U53*U53)</f>
        <v>10.263470986918898</v>
      </c>
      <c r="W53" s="48">
        <f t="shared" si="50"/>
        <v>-3.5480277355190992</v>
      </c>
      <c r="X53" s="48">
        <f t="shared" si="51"/>
        <v>-7.609804429993261</v>
      </c>
      <c r="Y53" s="48">
        <f t="shared" si="19"/>
        <v>-0.10000000000331966</v>
      </c>
      <c r="Z53" s="47">
        <f t="shared" ref="Z53:Z54" si="113" xml:space="preserve"> SQRT(W53*W53+X53*X53+Y53*Y53)</f>
        <v>8.3968818185537479</v>
      </c>
      <c r="AA53" s="48">
        <f t="shared" si="20"/>
        <v>-5.020274727968399</v>
      </c>
      <c r="AB53" s="48">
        <f t="shared" si="21"/>
        <v>-8.9439951692522612</v>
      </c>
      <c r="AC53" s="48">
        <f t="shared" si="22"/>
        <v>2.3999999999944066</v>
      </c>
      <c r="AD53" s="47">
        <f t="shared" ref="AD53:AD54" si="114" xml:space="preserve"> SQRT(AA53*AA53+AB53*AB53+AC53*AC53)</f>
        <v>10.533670202349183</v>
      </c>
      <c r="AE53" s="22"/>
      <c r="AF53" s="88"/>
      <c r="AG53" s="88"/>
      <c r="AH53" s="88"/>
      <c r="AI53" s="88"/>
      <c r="AJ53" s="88"/>
      <c r="AL53" s="89"/>
      <c r="AM53" s="90"/>
      <c r="AN53" s="90"/>
      <c r="AO53" s="89"/>
      <c r="AP53" s="89"/>
      <c r="AR53" s="89"/>
      <c r="AT53" s="12">
        <v>45.800000000000011</v>
      </c>
      <c r="AU53" s="29">
        <f t="shared" si="59"/>
        <v>43766</v>
      </c>
      <c r="AV53" s="12">
        <v>167</v>
      </c>
      <c r="AW53" s="12">
        <f t="shared" si="52"/>
        <v>19.674235065889231</v>
      </c>
      <c r="AY53" s="93"/>
      <c r="BC53" s="74"/>
    </row>
    <row r="54" spans="1:55" ht="29.25" customHeight="1" x14ac:dyDescent="0.2">
      <c r="A54" s="27">
        <f t="shared" si="0"/>
        <v>170</v>
      </c>
      <c r="B54" s="28">
        <f t="shared" si="1"/>
        <v>43769</v>
      </c>
      <c r="C54" s="48">
        <f t="shared" si="2"/>
        <v>-5.2709525001262136</v>
      </c>
      <c r="D54" s="48">
        <f t="shared" si="3"/>
        <v>11.775697815143982</v>
      </c>
      <c r="E54" s="48">
        <f t="shared" si="4"/>
        <v>0.30000000000995897</v>
      </c>
      <c r="F54" s="47">
        <f t="shared" si="108"/>
        <v>12.90503774857631</v>
      </c>
      <c r="G54" s="47">
        <f t="shared" si="5"/>
        <v>-2.8548844129261397</v>
      </c>
      <c r="H54" s="47">
        <f t="shared" si="6"/>
        <v>10.143945763589457</v>
      </c>
      <c r="I54" s="47">
        <f t="shared" si="7"/>
        <v>-0.39999999999906777</v>
      </c>
      <c r="J54" s="47">
        <f t="shared" si="109"/>
        <v>10.545615234106181</v>
      </c>
      <c r="K54" s="48">
        <f t="shared" si="33"/>
        <v>-4.9872937099451065</v>
      </c>
      <c r="L54" s="48">
        <f t="shared" si="34"/>
        <v>10.694246160486198</v>
      </c>
      <c r="M54" s="48">
        <f t="shared" si="35"/>
        <v>-1.6999999999995907</v>
      </c>
      <c r="N54" s="47">
        <f t="shared" si="110"/>
        <v>11.921828697407561</v>
      </c>
      <c r="O54" s="47">
        <f t="shared" si="11"/>
        <v>-4.3323318166983427</v>
      </c>
      <c r="P54" s="47">
        <f t="shared" si="12"/>
        <v>-3.0134533941948982</v>
      </c>
      <c r="Q54" s="48">
        <f t="shared" si="13"/>
        <v>-19.500000000007844</v>
      </c>
      <c r="R54" s="47">
        <f t="shared" si="111"/>
        <v>20.201485102072755</v>
      </c>
      <c r="S54" s="48">
        <f t="shared" si="14"/>
        <v>-2.4182002467796337</v>
      </c>
      <c r="T54" s="48">
        <f t="shared" si="15"/>
        <v>-6.6447201969461744</v>
      </c>
      <c r="U54" s="48">
        <f t="shared" si="16"/>
        <v>-7.3000000000007503</v>
      </c>
      <c r="V54" s="47">
        <f t="shared" si="112"/>
        <v>10.16316874450289</v>
      </c>
      <c r="W54" s="48">
        <f t="shared" si="50"/>
        <v>-3.2159930621844524</v>
      </c>
      <c r="X54" s="48">
        <f t="shared" si="51"/>
        <v>-8.0098307473095431</v>
      </c>
      <c r="Y54" s="48">
        <f t="shared" si="19"/>
        <v>9.9999999989108801E-2</v>
      </c>
      <c r="Z54" s="47">
        <f t="shared" si="113"/>
        <v>8.6319175144669735</v>
      </c>
      <c r="AA54" s="48">
        <f t="shared" si="20"/>
        <v>-4.7266220432788941</v>
      </c>
      <c r="AB54" s="48">
        <f t="shared" si="21"/>
        <v>-9.2660154678374518</v>
      </c>
      <c r="AC54" s="48">
        <f t="shared" si="22"/>
        <v>2.6000000000010459</v>
      </c>
      <c r="AD54" s="47">
        <f t="shared" si="114"/>
        <v>10.721940057201323</v>
      </c>
      <c r="AE54" s="22"/>
      <c r="AF54" s="88"/>
      <c r="AG54" s="88"/>
      <c r="AH54" s="88"/>
      <c r="AI54" s="88"/>
      <c r="AJ54" s="88"/>
      <c r="AL54" s="89"/>
      <c r="AM54" s="90"/>
      <c r="AN54" s="90"/>
      <c r="AO54" s="89"/>
      <c r="AP54" s="89"/>
      <c r="AR54" s="89"/>
      <c r="AT54" s="12">
        <v>46.350000000000023</v>
      </c>
      <c r="AU54" s="29">
        <f t="shared" si="59"/>
        <v>43769</v>
      </c>
      <c r="AV54" s="12">
        <v>170</v>
      </c>
      <c r="AW54" s="12">
        <f t="shared" si="52"/>
        <v>19.840058860398656</v>
      </c>
      <c r="AY54" s="93"/>
      <c r="BC54" s="74"/>
    </row>
    <row r="55" spans="1:55" ht="29.25" customHeight="1" x14ac:dyDescent="0.2">
      <c r="A55" s="27">
        <f t="shared" si="0"/>
        <v>175</v>
      </c>
      <c r="B55" s="28">
        <f t="shared" si="1"/>
        <v>43774</v>
      </c>
      <c r="C55" s="48">
        <f t="shared" si="2"/>
        <v>-5.2103908593892356</v>
      </c>
      <c r="D55" s="48">
        <f t="shared" si="3"/>
        <v>12.355639547650288</v>
      </c>
      <c r="E55" s="48">
        <f t="shared" si="4"/>
        <v>0</v>
      </c>
      <c r="F55" s="47">
        <f t="shared" ref="F55:F56" si="115" xml:space="preserve"> SQRT(C55*C55+D55*D55+E55*E55)</f>
        <v>13.40932517090501</v>
      </c>
      <c r="G55" s="47">
        <f t="shared" si="5"/>
        <v>-2.7459587449243372</v>
      </c>
      <c r="H55" s="47">
        <f t="shared" si="6"/>
        <v>10.856781725459896</v>
      </c>
      <c r="I55" s="47">
        <f t="shared" si="7"/>
        <v>-0.89999999998724434</v>
      </c>
      <c r="J55" s="47">
        <f t="shared" ref="J55:J56" si="116" xml:space="preserve"> SQRT(G55*G55+H55*H55+I55*I55)</f>
        <v>11.234767414730198</v>
      </c>
      <c r="K55" s="48">
        <f t="shared" si="33"/>
        <v>-4.7999364918496212</v>
      </c>
      <c r="L55" s="48">
        <f t="shared" si="34"/>
        <v>11.002300057843417</v>
      </c>
      <c r="M55" s="48">
        <f t="shared" si="35"/>
        <v>-2.299999999991087</v>
      </c>
      <c r="N55" s="47">
        <f t="shared" ref="N55:N56" si="117" xml:space="preserve"> SQRT(K55*K55+L55*L55+M55*M55)</f>
        <v>12.222110983319121</v>
      </c>
      <c r="O55" s="47">
        <f t="shared" si="11"/>
        <v>-4.4530286999417967</v>
      </c>
      <c r="P55" s="47">
        <f t="shared" si="12"/>
        <v>-2.5180421169224978</v>
      </c>
      <c r="Q55" s="48">
        <f t="shared" si="13"/>
        <v>-20.099999999999341</v>
      </c>
      <c r="R55" s="47">
        <f t="shared" ref="R55:R56" si="118" xml:space="preserve"> SQRT(O55*O55+P55*P55+Q55*Q55)</f>
        <v>20.740781101614143</v>
      </c>
      <c r="S55" s="48">
        <f t="shared" si="14"/>
        <v>-2.5872610588635325</v>
      </c>
      <c r="T55" s="48">
        <f t="shared" si="15"/>
        <v>-6.282203360022276</v>
      </c>
      <c r="U55" s="48">
        <f t="shared" si="16"/>
        <v>-7.8999999999922466</v>
      </c>
      <c r="V55" s="47">
        <f t="shared" ref="V55:V56" si="119" xml:space="preserve"> SQRT(S55*S55+T55*T55+U55*U55)</f>
        <v>10.41969283823973</v>
      </c>
      <c r="W55" s="48">
        <f t="shared" si="50"/>
        <v>-3.3366899453994847</v>
      </c>
      <c r="X55" s="48">
        <f t="shared" si="51"/>
        <v>-7.5144194700182965</v>
      </c>
      <c r="Y55" s="48">
        <f t="shared" si="19"/>
        <v>-0.20000000000663931</v>
      </c>
      <c r="Z55" s="47">
        <f t="shared" ref="Z55:Z56" si="120" xml:space="preserve"> SQRT(W55*W55+X55*X55+Y55*Y55)</f>
        <v>8.2243540635798702</v>
      </c>
      <c r="AA55" s="48"/>
      <c r="AB55" s="48"/>
      <c r="AC55" s="48"/>
      <c r="AD55" s="47"/>
      <c r="AE55" s="22"/>
      <c r="AF55" s="88"/>
      <c r="AG55" s="88"/>
      <c r="AH55" s="88"/>
      <c r="AI55" s="88"/>
      <c r="AJ55" s="88"/>
      <c r="AL55" s="89"/>
      <c r="AM55" s="90"/>
      <c r="AN55" s="90"/>
      <c r="AO55" s="89"/>
      <c r="AP55" s="89"/>
      <c r="AR55" s="89"/>
      <c r="AT55" s="12">
        <v>47.69</v>
      </c>
      <c r="AU55" s="29">
        <f t="shared" si="59"/>
        <v>43774</v>
      </c>
      <c r="AV55" s="12">
        <v>175</v>
      </c>
      <c r="AW55" s="12">
        <f t="shared" si="52"/>
        <v>20.110480457040243</v>
      </c>
      <c r="AY55" s="93"/>
      <c r="BC55" s="74"/>
    </row>
    <row r="56" spans="1:55" ht="29.25" customHeight="1" x14ac:dyDescent="0.2">
      <c r="A56" s="27">
        <f t="shared" si="0"/>
        <v>177</v>
      </c>
      <c r="B56" s="28">
        <f t="shared" si="1"/>
        <v>43776</v>
      </c>
      <c r="C56" s="48">
        <f t="shared" si="2"/>
        <v>-5.3556221909616397</v>
      </c>
      <c r="D56" s="48">
        <f t="shared" si="3"/>
        <v>12.452242127055424</v>
      </c>
      <c r="E56" s="48">
        <f t="shared" si="4"/>
        <v>0.39999999999906777</v>
      </c>
      <c r="F56" s="47">
        <f t="shared" si="115"/>
        <v>13.561011136457848</v>
      </c>
      <c r="G56" s="47">
        <f t="shared" si="5"/>
        <v>-2.7902291373607113</v>
      </c>
      <c r="H56" s="47">
        <f t="shared" si="6"/>
        <v>10.859153585885295</v>
      </c>
      <c r="I56" s="47">
        <f t="shared" si="7"/>
        <v>-0.49999999998817657</v>
      </c>
      <c r="J56" s="47">
        <f t="shared" si="116"/>
        <v>11.223038592146528</v>
      </c>
      <c r="K56" s="48">
        <f t="shared" si="33"/>
        <v>-4.8552418708709411</v>
      </c>
      <c r="L56" s="48">
        <f t="shared" si="34"/>
        <v>10.600086716097135</v>
      </c>
      <c r="M56" s="48">
        <f t="shared" si="35"/>
        <v>-2.3999999999944066</v>
      </c>
      <c r="N56" s="47">
        <f t="shared" si="117"/>
        <v>11.903579798254407</v>
      </c>
      <c r="O56" s="47">
        <f t="shared" si="11"/>
        <v>-4.5138646198381593</v>
      </c>
      <c r="P56" s="47">
        <f t="shared" si="12"/>
        <v>-2.5351047495592862</v>
      </c>
      <c r="Q56" s="48">
        <f t="shared" si="13"/>
        <v>-20.099999999999341</v>
      </c>
      <c r="R56" s="47">
        <f t="shared" si="118"/>
        <v>20.756004670876287</v>
      </c>
      <c r="S56" s="48">
        <f t="shared" si="14"/>
        <v>-2.5943418723670675</v>
      </c>
      <c r="T56" s="48">
        <f t="shared" si="15"/>
        <v>-6.5805659486626311</v>
      </c>
      <c r="U56" s="48">
        <f t="shared" si="16"/>
        <v>-7.5999999999964984</v>
      </c>
      <c r="V56" s="47">
        <f t="shared" si="119"/>
        <v>10.382410989522711</v>
      </c>
      <c r="W56" s="48">
        <f t="shared" si="50"/>
        <v>-3.3480277355124599</v>
      </c>
      <c r="X56" s="48">
        <f t="shared" si="51"/>
        <v>-7.90980442999345</v>
      </c>
      <c r="Y56" s="48">
        <f t="shared" si="19"/>
        <v>0</v>
      </c>
      <c r="Z56" s="47">
        <f t="shared" si="120"/>
        <v>8.5891964605837661</v>
      </c>
      <c r="AA56" s="48">
        <f t="shared" si="20"/>
        <v>-4.9202747279650794</v>
      </c>
      <c r="AB56" s="48">
        <f t="shared" si="21"/>
        <v>-9.1439951692522392</v>
      </c>
      <c r="AC56" s="48">
        <f t="shared" si="22"/>
        <v>2.6999999999901547</v>
      </c>
      <c r="AD56" s="47">
        <f t="shared" ref="AD56" si="121" xml:space="preserve"> SQRT(AA56*AA56+AB56*AB56+AC56*AC56)</f>
        <v>10.729014449328837</v>
      </c>
      <c r="AE56" s="22"/>
      <c r="AF56" s="88"/>
      <c r="AG56" s="88"/>
      <c r="AH56" s="88"/>
      <c r="AI56" s="88"/>
      <c r="AJ56" s="88"/>
      <c r="AL56" s="89"/>
      <c r="AM56" s="90"/>
      <c r="AN56" s="90"/>
      <c r="AO56" s="89"/>
      <c r="AP56" s="89"/>
      <c r="AR56" s="89"/>
      <c r="AT56" s="12">
        <v>48.5</v>
      </c>
      <c r="AU56" s="29">
        <f t="shared" si="59"/>
        <v>43776</v>
      </c>
      <c r="AV56" s="12">
        <v>177</v>
      </c>
      <c r="AW56" s="12">
        <f t="shared" si="52"/>
        <v>20.216631587152129</v>
      </c>
      <c r="AY56" s="93"/>
      <c r="BC56" s="74"/>
    </row>
    <row r="57" spans="1:55" ht="29.25" customHeight="1" x14ac:dyDescent="0.2">
      <c r="A57" s="27">
        <f t="shared" si="0"/>
        <v>182</v>
      </c>
      <c r="B57" s="28">
        <f t="shared" si="1"/>
        <v>43781</v>
      </c>
      <c r="C57" s="48">
        <f t="shared" si="2"/>
        <v>-5.555622190968279</v>
      </c>
      <c r="D57" s="48">
        <f t="shared" si="3"/>
        <v>12.352242127055657</v>
      </c>
      <c r="E57" s="48">
        <f t="shared" si="4"/>
        <v>0.30000000000995897</v>
      </c>
      <c r="F57" s="47">
        <f t="shared" ref="F57:F59" si="122" xml:space="preserve"> SQRT(C57*C57+D57*D57+E57*E57)</f>
        <v>13.547428667248763</v>
      </c>
      <c r="G57" s="47">
        <f t="shared" si="5"/>
        <v>-3.1902291373739899</v>
      </c>
      <c r="H57" s="47">
        <f t="shared" si="6"/>
        <v>10.75915358588464</v>
      </c>
      <c r="I57" s="47">
        <f t="shared" si="7"/>
        <v>-0.49999999998817657</v>
      </c>
      <c r="J57" s="47">
        <f t="shared" ref="J57:J59" si="123" xml:space="preserve"> SQRT(G57*G57+H57*H57+I57*I57)</f>
        <v>11.233296392136747</v>
      </c>
      <c r="K57" s="48">
        <f t="shared" si="33"/>
        <v>-5.1552418708809</v>
      </c>
      <c r="L57" s="48">
        <f t="shared" si="34"/>
        <v>11.100086716097302</v>
      </c>
      <c r="M57" s="48">
        <f t="shared" si="35"/>
        <v>-1.7999999999886995</v>
      </c>
      <c r="N57" s="47">
        <f t="shared" ref="N57:N59" si="124" xml:space="preserve"> SQRT(K57*K57+L57*L57+M57*M57)</f>
        <v>12.370466597995515</v>
      </c>
      <c r="O57" s="47">
        <f t="shared" si="11"/>
        <v>-4.7138646198447987</v>
      </c>
      <c r="P57" s="47">
        <f t="shared" si="12"/>
        <v>-2.6351047495593027</v>
      </c>
      <c r="Q57" s="48">
        <f t="shared" si="13"/>
        <v>-20.099999999999341</v>
      </c>
      <c r="R57" s="47">
        <f t="shared" ref="R57:R59" si="125" xml:space="preserve"> SQRT(O57*O57+P57*P57+Q57*Q57)</f>
        <v>20.812839707626349</v>
      </c>
      <c r="S57" s="48">
        <f t="shared" si="14"/>
        <v>-2.8943418723770264</v>
      </c>
      <c r="T57" s="48">
        <f t="shared" si="15"/>
        <v>-6.3805659486626531</v>
      </c>
      <c r="U57" s="48">
        <f t="shared" si="16"/>
        <v>-7.6999999999998181</v>
      </c>
      <c r="V57" s="47">
        <f t="shared" ref="V57:V59" si="126" xml:space="preserve"> SQRT(S57*S57+T57*T57+U57*U57)</f>
        <v>10.410515678842499</v>
      </c>
      <c r="W57" s="48">
        <f t="shared" si="50"/>
        <v>-3.6480277355224189</v>
      </c>
      <c r="X57" s="48">
        <f t="shared" si="51"/>
        <v>-7.8098044299927949</v>
      </c>
      <c r="Y57" s="48">
        <f t="shared" si="19"/>
        <v>9.9999999989108801E-2</v>
      </c>
      <c r="Z57" s="47">
        <f t="shared" ref="Z57:Z59" si="127" xml:space="preserve"> SQRT(W57*W57+X57*X57+Y57*Y57)</f>
        <v>8.6203916148788586</v>
      </c>
      <c r="AA57" s="48">
        <f t="shared" si="20"/>
        <v>-5.1202747279717187</v>
      </c>
      <c r="AB57" s="48">
        <f t="shared" si="21"/>
        <v>-9.1439951692522392</v>
      </c>
      <c r="AC57" s="48">
        <f t="shared" si="22"/>
        <v>2.6000000000010459</v>
      </c>
      <c r="AD57" s="47">
        <f t="shared" ref="AD57:AD59" si="128" xml:space="preserve"> SQRT(AA57*AA57+AB57*AB57+AC57*AC57)</f>
        <v>10.797678497955919</v>
      </c>
      <c r="AE57" s="22"/>
      <c r="AF57" s="88"/>
      <c r="AG57" s="88"/>
      <c r="AH57" s="88"/>
      <c r="AI57" s="88"/>
      <c r="AJ57" s="88"/>
      <c r="AL57" s="89"/>
      <c r="AM57" s="90"/>
      <c r="AN57" s="90"/>
      <c r="AO57" s="89"/>
      <c r="AP57" s="89"/>
      <c r="AR57" s="89"/>
      <c r="AT57" s="12">
        <v>49.5</v>
      </c>
      <c r="AU57" s="29">
        <f t="shared" si="59"/>
        <v>43781</v>
      </c>
      <c r="AV57" s="12">
        <v>182</v>
      </c>
      <c r="AW57" s="12">
        <f t="shared" si="52"/>
        <v>20.477152301919318</v>
      </c>
      <c r="AY57" s="93"/>
      <c r="BC57" s="74"/>
    </row>
    <row r="58" spans="1:55" ht="29.25" customHeight="1" x14ac:dyDescent="0.2">
      <c r="A58" s="27">
        <f t="shared" si="0"/>
        <v>184</v>
      </c>
      <c r="B58" s="28">
        <f t="shared" si="1"/>
        <v>43783</v>
      </c>
      <c r="C58" s="48">
        <f t="shared" si="2"/>
        <v>-5.555622190968279</v>
      </c>
      <c r="D58" s="48">
        <f t="shared" si="3"/>
        <v>12.552242127055635</v>
      </c>
      <c r="E58" s="48">
        <f t="shared" si="4"/>
        <v>0.39999999999906777</v>
      </c>
      <c r="F58" s="47">
        <f t="shared" si="122"/>
        <v>13.732578794421993</v>
      </c>
      <c r="G58" s="47">
        <f t="shared" si="5"/>
        <v>-3.1902291373739899</v>
      </c>
      <c r="H58" s="47">
        <f t="shared" si="6"/>
        <v>11.059153585884829</v>
      </c>
      <c r="I58" s="47">
        <f t="shared" si="7"/>
        <v>-0.59999999999149622</v>
      </c>
      <c r="J58" s="47">
        <f t="shared" si="123"/>
        <v>11.525729477353224</v>
      </c>
      <c r="K58" s="48">
        <f t="shared" si="33"/>
        <v>-5.255241870855798</v>
      </c>
      <c r="L58" s="48">
        <f t="shared" si="34"/>
        <v>11.500086716097258</v>
      </c>
      <c r="M58" s="48">
        <f t="shared" si="35"/>
        <v>-2.0999999999986585</v>
      </c>
      <c r="N58" s="47">
        <f t="shared" si="124"/>
        <v>12.817158873905983</v>
      </c>
      <c r="O58" s="47">
        <f t="shared" si="11"/>
        <v>-4.8138646198481183</v>
      </c>
      <c r="P58" s="47">
        <f t="shared" si="12"/>
        <v>-2.5351047495592862</v>
      </c>
      <c r="Q58" s="48">
        <f t="shared" si="13"/>
        <v>-20.499999999998408</v>
      </c>
      <c r="R58" s="47">
        <f t="shared" si="125"/>
        <v>21.20966875435348</v>
      </c>
      <c r="S58" s="48">
        <f t="shared" si="14"/>
        <v>-2.6943418723703871</v>
      </c>
      <c r="T58" s="48">
        <f t="shared" si="15"/>
        <v>-6.2805659486628862</v>
      </c>
      <c r="U58" s="48">
        <f t="shared" si="16"/>
        <v>-7.6999999999998181</v>
      </c>
      <c r="V58" s="47">
        <f t="shared" si="126"/>
        <v>10.295386673685904</v>
      </c>
      <c r="W58" s="48">
        <f t="shared" si="50"/>
        <v>-3.3480277355124599</v>
      </c>
      <c r="X58" s="48">
        <f t="shared" si="51"/>
        <v>-7.609804429993261</v>
      </c>
      <c r="Y58" s="48">
        <f t="shared" si="19"/>
        <v>0</v>
      </c>
      <c r="Z58" s="47">
        <f t="shared" si="127"/>
        <v>8.3137484434222415</v>
      </c>
      <c r="AA58" s="48">
        <f t="shared" si="20"/>
        <v>-5.020274727968399</v>
      </c>
      <c r="AB58" s="48">
        <f t="shared" si="21"/>
        <v>-8.9439951692522612</v>
      </c>
      <c r="AC58" s="48">
        <f t="shared" si="22"/>
        <v>2.6000000000010459</v>
      </c>
      <c r="AD58" s="47">
        <f t="shared" si="128"/>
        <v>10.581030570407185</v>
      </c>
      <c r="AE58" s="22"/>
      <c r="AF58" s="88"/>
      <c r="AG58" s="88"/>
      <c r="AH58" s="88"/>
      <c r="AI58" s="88"/>
      <c r="AJ58" s="88"/>
      <c r="AL58" s="89"/>
      <c r="AM58" s="90"/>
      <c r="AN58" s="90"/>
      <c r="AO58" s="89"/>
      <c r="AP58" s="89"/>
      <c r="AR58" s="89"/>
      <c r="AT58" s="12">
        <v>49.5</v>
      </c>
      <c r="AU58" s="29">
        <f t="shared" si="59"/>
        <v>43783</v>
      </c>
      <c r="AV58" s="12">
        <v>184</v>
      </c>
      <c r="AW58" s="12">
        <f t="shared" si="52"/>
        <v>20.579471163754015</v>
      </c>
      <c r="AY58" s="93"/>
      <c r="BC58" s="74"/>
    </row>
    <row r="59" spans="1:55" ht="29.25" customHeight="1" x14ac:dyDescent="0.2">
      <c r="A59" s="27">
        <f t="shared" si="0"/>
        <v>188</v>
      </c>
      <c r="B59" s="28">
        <f t="shared" si="1"/>
        <v>43787</v>
      </c>
      <c r="C59" s="48">
        <f t="shared" si="2"/>
        <v>-5.555622190968279</v>
      </c>
      <c r="D59" s="48">
        <f t="shared" si="3"/>
        <v>12.152242127055679</v>
      </c>
      <c r="E59" s="48">
        <f t="shared" si="4"/>
        <v>0.30000000000995897</v>
      </c>
      <c r="F59" s="47">
        <f t="shared" si="122"/>
        <v>13.365325534508012</v>
      </c>
      <c r="G59" s="47">
        <f t="shared" si="5"/>
        <v>-3.2902291373773096</v>
      </c>
      <c r="H59" s="47">
        <f t="shared" si="6"/>
        <v>10.75915358588464</v>
      </c>
      <c r="I59" s="47">
        <f t="shared" si="7"/>
        <v>-0.59999999999149622</v>
      </c>
      <c r="J59" s="47">
        <f t="shared" si="123"/>
        <v>11.266986893623811</v>
      </c>
      <c r="K59" s="48">
        <f t="shared" si="33"/>
        <v>-5.3552418708591176</v>
      </c>
      <c r="L59" s="48">
        <f t="shared" si="34"/>
        <v>11.30008671609728</v>
      </c>
      <c r="M59" s="48">
        <f t="shared" si="35"/>
        <v>-1.8999999999920192</v>
      </c>
      <c r="N59" s="47">
        <f t="shared" si="124"/>
        <v>12.648342788155707</v>
      </c>
      <c r="O59" s="47">
        <f t="shared" si="11"/>
        <v>-4.8138646198481183</v>
      </c>
      <c r="P59" s="47">
        <f t="shared" si="12"/>
        <v>-2.6351047495593027</v>
      </c>
      <c r="Q59" s="48">
        <f t="shared" si="13"/>
        <v>-20.499999999998408</v>
      </c>
      <c r="R59" s="47">
        <f t="shared" si="125"/>
        <v>21.221853585851314</v>
      </c>
      <c r="S59" s="48">
        <f t="shared" si="14"/>
        <v>-2.8943418723770264</v>
      </c>
      <c r="T59" s="48">
        <f t="shared" si="15"/>
        <v>-6.3805659486626531</v>
      </c>
      <c r="U59" s="48">
        <f t="shared" si="16"/>
        <v>-7.8000000000031378</v>
      </c>
      <c r="V59" s="47">
        <f t="shared" si="126"/>
        <v>10.48469535558746</v>
      </c>
      <c r="W59" s="48">
        <f t="shared" si="50"/>
        <v>-3.6480277355224189</v>
      </c>
      <c r="X59" s="48">
        <f t="shared" si="51"/>
        <v>-7.609804429993261</v>
      </c>
      <c r="Y59" s="48">
        <f t="shared" si="19"/>
        <v>0</v>
      </c>
      <c r="Z59" s="47">
        <f t="shared" si="127"/>
        <v>8.43903014699473</v>
      </c>
      <c r="AA59" s="48">
        <f t="shared" si="20"/>
        <v>-5.2202747279750383</v>
      </c>
      <c r="AB59" s="48">
        <f t="shared" si="21"/>
        <v>-9.1439951692522392</v>
      </c>
      <c r="AC59" s="48">
        <f t="shared" si="22"/>
        <v>2.6999999999901547</v>
      </c>
      <c r="AD59" s="47">
        <f t="shared" si="128"/>
        <v>10.869862735600206</v>
      </c>
      <c r="AE59" s="22"/>
      <c r="AF59" s="88"/>
      <c r="AG59" s="88"/>
      <c r="AH59" s="88"/>
      <c r="AI59" s="88"/>
      <c r="AJ59" s="88"/>
      <c r="AL59" s="89"/>
      <c r="AM59" s="90"/>
      <c r="AN59" s="90"/>
      <c r="AO59" s="89"/>
      <c r="AP59" s="89"/>
      <c r="AR59" s="89"/>
      <c r="AT59" s="12">
        <v>51.300000000000011</v>
      </c>
      <c r="AU59" s="29">
        <f t="shared" si="59"/>
        <v>43787</v>
      </c>
      <c r="AV59" s="12">
        <v>188</v>
      </c>
      <c r="AW59" s="12">
        <f t="shared" si="52"/>
        <v>20.780977091451572</v>
      </c>
      <c r="AY59" s="93"/>
      <c r="BC59" s="74"/>
    </row>
    <row r="60" spans="1:55" ht="29.25" customHeight="1" x14ac:dyDescent="0.2">
      <c r="A60" s="27">
        <f t="shared" si="0"/>
        <v>191</v>
      </c>
      <c r="B60" s="28">
        <f t="shared" si="1"/>
        <v>43790</v>
      </c>
      <c r="C60" s="48">
        <f t="shared" si="2"/>
        <v>-5.4556221909649594</v>
      </c>
      <c r="D60" s="48">
        <f t="shared" si="3"/>
        <v>12.652242127055402</v>
      </c>
      <c r="E60" s="48">
        <f t="shared" si="4"/>
        <v>0.60000000000570708</v>
      </c>
      <c r="F60" s="47">
        <f t="shared" ref="F60:F62" si="129" xml:space="preserve"> SQRT(C60*C60+D60*D60+E60*E60)</f>
        <v>13.791411977465959</v>
      </c>
      <c r="G60" s="47">
        <f t="shared" si="5"/>
        <v>-3.0902291373706703</v>
      </c>
      <c r="H60" s="47">
        <f t="shared" si="6"/>
        <v>11.259153585885251</v>
      </c>
      <c r="I60" s="47">
        <f t="shared" si="7"/>
        <v>-0.49999999998817657</v>
      </c>
      <c r="J60" s="47">
        <f t="shared" ref="J60:J62" si="130" xml:space="preserve"> SQRT(G60*G60+H60*H60+I60*I60)</f>
        <v>11.686233593078464</v>
      </c>
      <c r="K60" s="48">
        <f t="shared" si="33"/>
        <v>-5.0552418708775804</v>
      </c>
      <c r="L60" s="48">
        <f t="shared" si="34"/>
        <v>11.400086716097046</v>
      </c>
      <c r="M60" s="48">
        <f t="shared" si="35"/>
        <v>-1.9999999999953388</v>
      </c>
      <c r="N60" s="47">
        <f t="shared" ref="N60:N61" si="131" xml:space="preserve"> SQRT(K60*K60+L60*L60+M60*M60)</f>
        <v>12.630021674866102</v>
      </c>
      <c r="O60" s="47">
        <f t="shared" si="11"/>
        <v>-4.8138646198481183</v>
      </c>
      <c r="P60" s="47">
        <f t="shared" si="12"/>
        <v>-2.6351047495593027</v>
      </c>
      <c r="Q60" s="48">
        <f t="shared" si="13"/>
        <v>-20.800000000008367</v>
      </c>
      <c r="R60" s="47">
        <f t="shared" ref="R60:R62" si="132" xml:space="preserve"> SQRT(O60*O60+P60*P60+Q60*Q60)</f>
        <v>21.511789084586237</v>
      </c>
      <c r="S60" s="48">
        <f t="shared" si="14"/>
        <v>-2.7943418723737068</v>
      </c>
      <c r="T60" s="48">
        <f t="shared" si="15"/>
        <v>-6.4805659486628642</v>
      </c>
      <c r="U60" s="48">
        <f t="shared" si="16"/>
        <v>-7.8999999999922466</v>
      </c>
      <c r="V60" s="47">
        <f t="shared" ref="V60:V62" si="133" xml:space="preserve"> SQRT(S60*S60+T60*T60+U60*U60)</f>
        <v>10.59320921697231</v>
      </c>
      <c r="W60" s="48">
        <f t="shared" si="50"/>
        <v>-3.6480277355224189</v>
      </c>
      <c r="X60" s="48">
        <f t="shared" si="51"/>
        <v>-7.90980442999345</v>
      </c>
      <c r="Y60" s="48">
        <f t="shared" si="19"/>
        <v>0</v>
      </c>
      <c r="Z60" s="47">
        <f t="shared" ref="Z60:Z62" si="134" xml:space="preserve"> SQRT(W60*W60+X60*X60+Y60*Y60)</f>
        <v>8.7105173485783745</v>
      </c>
      <c r="AA60" s="48">
        <f t="shared" si="20"/>
        <v>-5.1202747279717187</v>
      </c>
      <c r="AB60" s="48">
        <f t="shared" si="21"/>
        <v>-9.1439951692522392</v>
      </c>
      <c r="AC60" s="48">
        <f t="shared" si="22"/>
        <v>2.7999999999934744</v>
      </c>
      <c r="AD60" s="47">
        <f t="shared" ref="AD60:AD62" si="135" xml:space="preserve"> SQRT(AA60*AA60+AB60*AB60+AC60*AC60)</f>
        <v>10.847573965877237</v>
      </c>
      <c r="AE60" s="22"/>
      <c r="AF60" s="88"/>
      <c r="AG60" s="88"/>
      <c r="AH60" s="88"/>
      <c r="AI60" s="88"/>
      <c r="AJ60" s="88"/>
      <c r="AL60" s="89"/>
      <c r="AM60" s="90"/>
      <c r="AN60" s="90"/>
      <c r="AO60" s="89"/>
      <c r="AP60" s="89"/>
      <c r="AR60" s="89"/>
      <c r="AT60" s="12">
        <v>52.5</v>
      </c>
      <c r="AU60" s="29">
        <f t="shared" si="59"/>
        <v>43790</v>
      </c>
      <c r="AV60" s="12">
        <v>191</v>
      </c>
      <c r="AW60" s="12">
        <f t="shared" si="52"/>
        <v>20.929439534792021</v>
      </c>
      <c r="AY60" s="93"/>
      <c r="BC60" s="74"/>
    </row>
    <row r="61" spans="1:55" ht="29.25" customHeight="1" x14ac:dyDescent="0.2">
      <c r="A61" s="27">
        <f t="shared" si="0"/>
        <v>196</v>
      </c>
      <c r="B61" s="28">
        <f t="shared" si="1"/>
        <v>43795</v>
      </c>
      <c r="C61" s="48">
        <f t="shared" si="2"/>
        <v>-5.4556221909649594</v>
      </c>
      <c r="D61" s="48">
        <f t="shared" si="3"/>
        <v>12.252242127055446</v>
      </c>
      <c r="E61" s="48">
        <f t="shared" si="4"/>
        <v>0.10000000000331966</v>
      </c>
      <c r="F61" s="47">
        <f t="shared" si="129"/>
        <v>13.412354402957824</v>
      </c>
      <c r="G61" s="47">
        <f t="shared" si="5"/>
        <v>-3.0902291373706703</v>
      </c>
      <c r="H61" s="47">
        <f t="shared" si="6"/>
        <v>10.659153585884873</v>
      </c>
      <c r="I61" s="47">
        <f t="shared" si="7"/>
        <v>-0.99999999999056399</v>
      </c>
      <c r="J61" s="47">
        <f t="shared" si="130"/>
        <v>11.143027922827715</v>
      </c>
      <c r="K61" s="48">
        <f t="shared" si="33"/>
        <v>-5.1552418708809</v>
      </c>
      <c r="L61" s="48">
        <f t="shared" si="34"/>
        <v>10.90008671609688</v>
      </c>
      <c r="M61" s="48">
        <f t="shared" si="35"/>
        <v>-2.6000000000010459</v>
      </c>
      <c r="N61" s="47">
        <f t="shared" si="131"/>
        <v>12.334845323947954</v>
      </c>
      <c r="O61" s="47">
        <f t="shared" si="11"/>
        <v>-4.4138646198348397</v>
      </c>
      <c r="P61" s="47">
        <f t="shared" si="12"/>
        <v>-3.1351047495593032</v>
      </c>
      <c r="Q61" s="48">
        <f t="shared" si="13"/>
        <v>-21.200000000007435</v>
      </c>
      <c r="R61" s="47">
        <f t="shared" si="132"/>
        <v>21.880381227786099</v>
      </c>
      <c r="S61" s="48">
        <f t="shared" si="14"/>
        <v>-2.3943418723604282</v>
      </c>
      <c r="T61" s="48">
        <f t="shared" si="15"/>
        <v>-7.0805659486627981</v>
      </c>
      <c r="U61" s="48">
        <f t="shared" si="16"/>
        <v>-8.399999999994634</v>
      </c>
      <c r="V61" s="47">
        <f t="shared" si="133"/>
        <v>11.243988934315588</v>
      </c>
      <c r="W61" s="48">
        <f t="shared" si="50"/>
        <v>-3.2480277355091403</v>
      </c>
      <c r="X61" s="48">
        <f t="shared" si="51"/>
        <v>-8.2098044299927508</v>
      </c>
      <c r="Y61" s="48">
        <f t="shared" si="19"/>
        <v>-0.39999999999906777</v>
      </c>
      <c r="Z61" s="47">
        <f t="shared" si="134"/>
        <v>8.8380186099240881</v>
      </c>
      <c r="AA61" s="48">
        <f t="shared" si="20"/>
        <v>-4.6202747279835421</v>
      </c>
      <c r="AB61" s="48">
        <f t="shared" si="21"/>
        <v>-9.6439951692519621</v>
      </c>
      <c r="AC61" s="48">
        <f t="shared" si="22"/>
        <v>2.299999999991087</v>
      </c>
      <c r="AD61" s="47">
        <f t="shared" si="135"/>
        <v>10.938170842812685</v>
      </c>
      <c r="AE61" s="22"/>
      <c r="AF61" s="88"/>
      <c r="AG61" s="88"/>
      <c r="AH61" s="88"/>
      <c r="AI61" s="88"/>
      <c r="AJ61" s="88"/>
      <c r="AL61" s="89"/>
      <c r="AM61" s="90"/>
      <c r="AN61" s="90"/>
      <c r="AO61" s="89"/>
      <c r="AP61" s="89"/>
      <c r="AR61" s="89"/>
      <c r="AT61" s="12">
        <v>53.700000000000017</v>
      </c>
      <c r="AU61" s="29">
        <f t="shared" si="59"/>
        <v>43795</v>
      </c>
      <c r="AV61" s="12">
        <v>196</v>
      </c>
      <c r="AW61" s="12">
        <f t="shared" si="52"/>
        <v>21.171974953703316</v>
      </c>
      <c r="AY61" s="93"/>
      <c r="BC61" s="74"/>
    </row>
    <row r="62" spans="1:55" ht="29.25" customHeight="1" x14ac:dyDescent="0.2">
      <c r="A62" s="27">
        <f t="shared" si="0"/>
        <v>198</v>
      </c>
      <c r="B62" s="28">
        <f t="shared" si="1"/>
        <v>43797</v>
      </c>
      <c r="C62" s="48">
        <f t="shared" si="2"/>
        <v>-6.0556221909564556</v>
      </c>
      <c r="D62" s="48">
        <f t="shared" si="3"/>
        <v>13.452242127055314</v>
      </c>
      <c r="E62" s="48">
        <f t="shared" si="4"/>
        <v>0.20000000000663931</v>
      </c>
      <c r="F62" s="47">
        <f t="shared" si="129"/>
        <v>14.753758109869112</v>
      </c>
      <c r="G62" s="47">
        <f t="shared" si="5"/>
        <v>-3.5902291373588469</v>
      </c>
      <c r="H62" s="47">
        <f t="shared" si="6"/>
        <v>11.759153585884974</v>
      </c>
      <c r="I62" s="47">
        <f t="shared" si="7"/>
        <v>-0.89999999998724434</v>
      </c>
      <c r="J62" s="47">
        <f t="shared" si="130"/>
        <v>12.327912974836776</v>
      </c>
      <c r="K62" s="48"/>
      <c r="L62" s="48"/>
      <c r="M62" s="48"/>
      <c r="N62" s="47"/>
      <c r="O62" s="47">
        <f t="shared" si="11"/>
        <v>-5.3138646198362949</v>
      </c>
      <c r="P62" s="47">
        <f t="shared" si="12"/>
        <v>-1.9351047495592966</v>
      </c>
      <c r="Q62" s="48">
        <f t="shared" si="13"/>
        <v>-21.200000000007435</v>
      </c>
      <c r="R62" s="47">
        <f t="shared" si="132"/>
        <v>21.941326021688621</v>
      </c>
      <c r="S62" s="48">
        <f t="shared" si="14"/>
        <v>-3.4943418723685227</v>
      </c>
      <c r="T62" s="48">
        <f t="shared" si="15"/>
        <v>-5.9805659486626972</v>
      </c>
      <c r="U62" s="48">
        <f t="shared" si="16"/>
        <v>-8.399999999994634</v>
      </c>
      <c r="V62" s="47">
        <f t="shared" si="133"/>
        <v>10.887497149813704</v>
      </c>
      <c r="W62" s="48">
        <f t="shared" si="50"/>
        <v>-4.2480277355139151</v>
      </c>
      <c r="X62" s="48">
        <f t="shared" si="51"/>
        <v>-7.2098044299933051</v>
      </c>
      <c r="Y62" s="48">
        <f t="shared" si="19"/>
        <v>-0.39999999999906777</v>
      </c>
      <c r="Z62" s="47">
        <f t="shared" si="134"/>
        <v>8.3777693666301065</v>
      </c>
      <c r="AA62" s="48">
        <f t="shared" si="20"/>
        <v>-5.620274727988317</v>
      </c>
      <c r="AB62" s="48">
        <f t="shared" si="21"/>
        <v>-8.4439951692520943</v>
      </c>
      <c r="AC62" s="48">
        <f t="shared" si="22"/>
        <v>2.3999999999944066</v>
      </c>
      <c r="AD62" s="47">
        <f t="shared" si="135"/>
        <v>10.42346115435703</v>
      </c>
      <c r="AE62" s="22"/>
      <c r="AF62" s="88"/>
      <c r="AG62" s="88"/>
      <c r="AH62" s="88"/>
      <c r="AI62" s="88"/>
      <c r="AJ62" s="88"/>
      <c r="AL62" s="89"/>
      <c r="AM62" s="90"/>
      <c r="AN62" s="90"/>
      <c r="AO62" s="89"/>
      <c r="AP62" s="89"/>
      <c r="AR62" s="89"/>
      <c r="AT62" s="12">
        <v>53.700000000000017</v>
      </c>
      <c r="AU62" s="29">
        <f t="shared" si="59"/>
        <v>43797</v>
      </c>
      <c r="AV62" s="12">
        <v>198</v>
      </c>
      <c r="AW62" s="12">
        <f t="shared" si="52"/>
        <v>21.267323083449035</v>
      </c>
      <c r="AY62" s="93"/>
      <c r="BC62" s="74"/>
    </row>
    <row r="63" spans="1:55" ht="29.25" customHeight="1" x14ac:dyDescent="0.2">
      <c r="A63" s="27">
        <f t="shared" si="0"/>
        <v>202</v>
      </c>
      <c r="B63" s="28">
        <f t="shared" si="1"/>
        <v>43801</v>
      </c>
      <c r="C63" s="48">
        <f t="shared" si="2"/>
        <v>-5.4556221909649594</v>
      </c>
      <c r="D63" s="48">
        <f t="shared" si="3"/>
        <v>12.352242127055657</v>
      </c>
      <c r="E63" s="48">
        <f t="shared" si="4"/>
        <v>0</v>
      </c>
      <c r="F63" s="47">
        <f t="shared" ref="F63:F64" si="136" xml:space="preserve"> SQRT(C63*C63+D63*D63+E63*E63)</f>
        <v>13.503395834232133</v>
      </c>
      <c r="G63" s="47">
        <f t="shared" si="5"/>
        <v>-3.1902291373739899</v>
      </c>
      <c r="H63" s="47">
        <f t="shared" si="6"/>
        <v>10.859153585885295</v>
      </c>
      <c r="I63" s="47">
        <f t="shared" si="7"/>
        <v>-0.79999999999813554</v>
      </c>
      <c r="J63" s="47">
        <f t="shared" ref="J63:J64" si="137" xml:space="preserve"> SQRT(G63*G63+H63*H63+I63*I63)</f>
        <v>11.346311231003337</v>
      </c>
      <c r="K63" s="48"/>
      <c r="L63" s="48"/>
      <c r="M63" s="48"/>
      <c r="N63" s="47"/>
      <c r="O63" s="47">
        <f t="shared" si="11"/>
        <v>-4.8138646198481183</v>
      </c>
      <c r="P63" s="47">
        <f t="shared" si="12"/>
        <v>-2.4351047495592972</v>
      </c>
      <c r="Q63" s="48">
        <f t="shared" si="13"/>
        <v>-21.100000000004115</v>
      </c>
      <c r="R63" s="47">
        <f t="shared" ref="R63:R64" si="138" xml:space="preserve"> SQRT(O63*O63+P63*P63+Q63*Q63)</f>
        <v>21.778728790260587</v>
      </c>
      <c r="S63" s="48">
        <f t="shared" si="14"/>
        <v>-2.9943418723519244</v>
      </c>
      <c r="T63" s="48">
        <f t="shared" si="15"/>
        <v>-6.3805659486626531</v>
      </c>
      <c r="U63" s="48">
        <f t="shared" si="16"/>
        <v>-8.2999999999913143</v>
      </c>
      <c r="V63" s="47">
        <f t="shared" ref="V63:V64" si="139" xml:space="preserve"> SQRT(S63*S63+T63*T63+U63*U63)</f>
        <v>10.888879881494201</v>
      </c>
      <c r="W63" s="48">
        <f t="shared" si="50"/>
        <v>-3.7480277354973168</v>
      </c>
      <c r="X63" s="48">
        <f t="shared" si="51"/>
        <v>-7.5098044299934941</v>
      </c>
      <c r="Y63" s="48">
        <f t="shared" si="19"/>
        <v>-0.30000000000995897</v>
      </c>
      <c r="Z63" s="47">
        <f t="shared" ref="Z63:Z64" si="140" xml:space="preserve"> SQRT(W63*W63+X63*X63+Y63*Y63)</f>
        <v>8.3985043003390203</v>
      </c>
      <c r="AA63" s="48">
        <f t="shared" si="20"/>
        <v>-5.2202747279750383</v>
      </c>
      <c r="AB63" s="48">
        <f t="shared" si="21"/>
        <v>-8.8439951692520502</v>
      </c>
      <c r="AC63" s="48">
        <f t="shared" si="22"/>
        <v>2.299999999991087</v>
      </c>
      <c r="AD63" s="47">
        <f t="shared" ref="AD63:AD64" si="141" xml:space="preserve"> SQRT(AA63*AA63+AB63*AB63+AC63*AC63)</f>
        <v>10.524139812319458</v>
      </c>
      <c r="AE63" s="22"/>
      <c r="AF63" s="88"/>
      <c r="AG63" s="88"/>
      <c r="AH63" s="88"/>
      <c r="AI63" s="88"/>
      <c r="AJ63" s="88"/>
      <c r="AL63" s="89"/>
      <c r="AM63" s="90"/>
      <c r="AN63" s="90"/>
      <c r="AO63" s="89"/>
      <c r="AP63" s="89"/>
      <c r="AR63" s="89"/>
      <c r="AT63" s="12">
        <v>53.700000000000017</v>
      </c>
      <c r="AU63" s="29">
        <f t="shared" si="59"/>
        <v>43801</v>
      </c>
      <c r="AV63" s="12">
        <v>202</v>
      </c>
      <c r="AW63" s="12">
        <f t="shared" si="52"/>
        <v>21.455252893925199</v>
      </c>
      <c r="AY63" s="93"/>
      <c r="BC63" s="74"/>
    </row>
    <row r="64" spans="1:55" ht="29.25" customHeight="1" x14ac:dyDescent="0.2">
      <c r="A64" s="27">
        <f t="shared" si="0"/>
        <v>204</v>
      </c>
      <c r="B64" s="28">
        <f t="shared" si="1"/>
        <v>43803</v>
      </c>
      <c r="C64" s="48">
        <f t="shared" si="2"/>
        <v>-5.655622190943177</v>
      </c>
      <c r="D64" s="48">
        <f t="shared" si="3"/>
        <v>10.8522421270556</v>
      </c>
      <c r="E64" s="48">
        <f t="shared" si="4"/>
        <v>1.300000000000523</v>
      </c>
      <c r="F64" s="47">
        <f t="shared" si="136"/>
        <v>12.306389460395382</v>
      </c>
      <c r="G64" s="47">
        <f t="shared" si="5"/>
        <v>-2.9902291373673506</v>
      </c>
      <c r="H64" s="47">
        <f t="shared" si="6"/>
        <v>11.159153585884596</v>
      </c>
      <c r="I64" s="47">
        <f t="shared" si="7"/>
        <v>-0.69999999999481588</v>
      </c>
      <c r="J64" s="47">
        <f t="shared" si="137"/>
        <v>11.574030371798514</v>
      </c>
      <c r="K64" s="48">
        <f t="shared" ref="K64:K74" si="142">DPM_HG</f>
        <v>-5.3552418708591176</v>
      </c>
      <c r="L64" s="48">
        <f t="shared" ref="L64:L74" si="143">DH_HG</f>
        <v>11.400086716097046</v>
      </c>
      <c r="M64" s="48">
        <f t="shared" ref="M64:M74" si="144">DZ_HG</f>
        <v>-2.299999999991087</v>
      </c>
      <c r="N64" s="47">
        <f t="shared" ref="N64" si="145" xml:space="preserve"> SQRT(K64*K64+L64*L64+M64*M64)</f>
        <v>12.803538285563643</v>
      </c>
      <c r="O64" s="47">
        <f t="shared" si="11"/>
        <v>-4.5138646198381593</v>
      </c>
      <c r="P64" s="47">
        <f t="shared" si="12"/>
        <v>-2.5351047495592862</v>
      </c>
      <c r="Q64" s="48">
        <f t="shared" si="13"/>
        <v>-21.200000000007435</v>
      </c>
      <c r="R64" s="47">
        <f t="shared" si="138"/>
        <v>21.822963361967595</v>
      </c>
      <c r="S64" s="48">
        <f t="shared" si="14"/>
        <v>-2.5943418723670675</v>
      </c>
      <c r="T64" s="48">
        <f t="shared" si="15"/>
        <v>-6.5805659486626311</v>
      </c>
      <c r="U64" s="48">
        <f t="shared" si="16"/>
        <v>-8.0999999999988859</v>
      </c>
      <c r="V64" s="47">
        <f t="shared" si="139"/>
        <v>10.75381132228928</v>
      </c>
      <c r="W64" s="48">
        <f t="shared" si="50"/>
        <v>-3.3480277355124599</v>
      </c>
      <c r="X64" s="48">
        <f t="shared" si="51"/>
        <v>-7.8098044299927949</v>
      </c>
      <c r="Y64" s="48">
        <f t="shared" si="19"/>
        <v>0</v>
      </c>
      <c r="Z64" s="47">
        <f t="shared" si="140"/>
        <v>8.4971957110858511</v>
      </c>
      <c r="AA64" s="48">
        <f t="shared" si="20"/>
        <v>-4.9202747279650794</v>
      </c>
      <c r="AB64" s="48">
        <f t="shared" si="21"/>
        <v>-9.2439951692520061</v>
      </c>
      <c r="AC64" s="48">
        <f t="shared" si="22"/>
        <v>2.6999999999901547</v>
      </c>
      <c r="AD64" s="47">
        <f t="shared" si="141"/>
        <v>10.814367761813591</v>
      </c>
      <c r="AE64" s="22"/>
      <c r="AF64" s="88"/>
      <c r="AG64" s="88"/>
      <c r="AH64" s="88"/>
      <c r="AI64" s="88"/>
      <c r="AJ64" s="88"/>
      <c r="AL64" s="89"/>
      <c r="AM64" s="90"/>
      <c r="AN64" s="90"/>
      <c r="AO64" s="89"/>
      <c r="AP64" s="89"/>
      <c r="AR64" s="89"/>
      <c r="AT64" s="12">
        <v>53.700000000000017</v>
      </c>
      <c r="AU64" s="29">
        <f t="shared" si="59"/>
        <v>43803</v>
      </c>
      <c r="AV64" s="12">
        <v>204</v>
      </c>
      <c r="AW64" s="12">
        <f t="shared" si="52"/>
        <v>21.547865872457972</v>
      </c>
      <c r="AY64" s="93"/>
      <c r="BC64" s="74"/>
    </row>
    <row r="65" spans="1:55" ht="29.25" customHeight="1" x14ac:dyDescent="0.2">
      <c r="A65" s="27">
        <f t="shared" si="0"/>
        <v>209</v>
      </c>
      <c r="B65" s="28">
        <f t="shared" si="1"/>
        <v>43808</v>
      </c>
      <c r="C65" s="48">
        <f t="shared" si="2"/>
        <v>-5.555622190968279</v>
      </c>
      <c r="D65" s="48">
        <f t="shared" si="3"/>
        <v>12.752242127055613</v>
      </c>
      <c r="E65" s="48">
        <f t="shared" si="4"/>
        <v>0</v>
      </c>
      <c r="F65" s="47">
        <f t="shared" ref="F65:F66" si="146" xml:space="preserve"> SQRT(C65*C65+D65*D65+E65*E65)</f>
        <v>13.909874808776355</v>
      </c>
      <c r="G65" s="47">
        <f t="shared" si="5"/>
        <v>-3.0902291373706703</v>
      </c>
      <c r="H65" s="47">
        <f t="shared" si="6"/>
        <v>11.159153585884596</v>
      </c>
      <c r="I65" s="47">
        <f t="shared" si="7"/>
        <v>-0.89999999998724434</v>
      </c>
      <c r="J65" s="47">
        <f t="shared" ref="J65:J66" si="147" xml:space="preserve"> SQRT(G65*G65+H65*H65+I65*I65)</f>
        <v>11.61405290476984</v>
      </c>
      <c r="K65" s="48">
        <f t="shared" si="142"/>
        <v>-5.3552418708591176</v>
      </c>
      <c r="L65" s="48">
        <f t="shared" si="143"/>
        <v>11.700086716097235</v>
      </c>
      <c r="M65" s="48">
        <f t="shared" si="144"/>
        <v>-2.3999999999944066</v>
      </c>
      <c r="N65" s="47">
        <f t="shared" ref="N65:N66" si="148" xml:space="preserve"> SQRT(K65*K65+L65*L65+M65*M65)</f>
        <v>13.089333239686841</v>
      </c>
      <c r="O65" s="47">
        <f t="shared" si="11"/>
        <v>-4.913864619851438</v>
      </c>
      <c r="P65" s="47">
        <f t="shared" si="12"/>
        <v>-2.5351047495592862</v>
      </c>
      <c r="Q65" s="48">
        <f t="shared" si="13"/>
        <v>-21.700000000009823</v>
      </c>
      <c r="R65" s="47">
        <f t="shared" ref="R65:R66" si="149" xml:space="preserve"> SQRT(O65*O65+P65*P65+Q65*Q65)</f>
        <v>22.39336557094293</v>
      </c>
      <c r="S65" s="48">
        <f t="shared" si="14"/>
        <v>-2.8943418723770264</v>
      </c>
      <c r="T65" s="48">
        <f t="shared" si="15"/>
        <v>-6.3805659486626531</v>
      </c>
      <c r="U65" s="48">
        <f t="shared" si="16"/>
        <v>-8.6000000000012733</v>
      </c>
      <c r="V65" s="47">
        <f t="shared" ref="V65:V66" si="150" xml:space="preserve"> SQRT(S65*S65+T65*T65+U65*U65)</f>
        <v>11.092738016353321</v>
      </c>
      <c r="W65" s="48">
        <f t="shared" si="50"/>
        <v>-3.3480277355124599</v>
      </c>
      <c r="X65" s="48">
        <f t="shared" si="51"/>
        <v>-7.609804429993261</v>
      </c>
      <c r="Y65" s="48">
        <f t="shared" si="19"/>
        <v>-0.30000000000995897</v>
      </c>
      <c r="Z65" s="47">
        <f t="shared" ref="Z65:Z66" si="151" xml:space="preserve"> SQRT(W65*W65+X65*X65+Y65*Y65)</f>
        <v>8.3191594034801195</v>
      </c>
      <c r="AA65" s="48">
        <f t="shared" si="20"/>
        <v>-5.1202747279717187</v>
      </c>
      <c r="AB65" s="48">
        <f t="shared" si="21"/>
        <v>-8.9439951692522612</v>
      </c>
      <c r="AC65" s="48">
        <f t="shared" si="22"/>
        <v>2.299999999991087</v>
      </c>
      <c r="AD65" s="47">
        <f t="shared" ref="AD65:AD66" si="152" xml:space="preserve"> SQRT(AA65*AA65+AB65*AB65+AC65*AC65)</f>
        <v>10.559463190781653</v>
      </c>
      <c r="AE65" s="22"/>
      <c r="AF65" s="88"/>
      <c r="AG65" s="88"/>
      <c r="AH65" s="88"/>
      <c r="AI65" s="88"/>
      <c r="AJ65" s="88"/>
      <c r="AL65" s="89"/>
      <c r="AM65" s="90"/>
      <c r="AN65" s="90"/>
      <c r="AO65" s="89"/>
      <c r="AP65" s="89"/>
      <c r="AR65" s="89"/>
      <c r="AT65" s="12">
        <v>53.700000000000017</v>
      </c>
      <c r="AU65" s="29">
        <f t="shared" si="59"/>
        <v>43808</v>
      </c>
      <c r="AV65" s="12">
        <v>209</v>
      </c>
      <c r="AW65" s="12">
        <f t="shared" si="52"/>
        <v>21.775575834348054</v>
      </c>
      <c r="AY65" s="93"/>
      <c r="BC65" s="74"/>
    </row>
    <row r="66" spans="1:55" ht="29.25" customHeight="1" x14ac:dyDescent="0.2">
      <c r="A66" s="27">
        <f t="shared" si="0"/>
        <v>212</v>
      </c>
      <c r="B66" s="28">
        <f t="shared" si="1"/>
        <v>43811</v>
      </c>
      <c r="C66" s="48">
        <f t="shared" si="2"/>
        <v>-5.655622190943177</v>
      </c>
      <c r="D66" s="48">
        <f t="shared" si="3"/>
        <v>12.252242127055446</v>
      </c>
      <c r="E66" s="48">
        <f t="shared" si="4"/>
        <v>0.60000000000570708</v>
      </c>
      <c r="F66" s="47">
        <f t="shared" si="146"/>
        <v>13.507905074684523</v>
      </c>
      <c r="G66" s="47">
        <f t="shared" si="5"/>
        <v>-3.1902291373739899</v>
      </c>
      <c r="H66" s="47">
        <f t="shared" si="6"/>
        <v>10.75915358588464</v>
      </c>
      <c r="I66" s="47">
        <f t="shared" si="7"/>
        <v>-0.39999999999906777</v>
      </c>
      <c r="J66" s="47">
        <f t="shared" si="147"/>
        <v>11.229289729702566</v>
      </c>
      <c r="K66" s="48">
        <f t="shared" si="142"/>
        <v>-5.3552418708591176</v>
      </c>
      <c r="L66" s="48">
        <f t="shared" si="143"/>
        <v>11.30008671609728</v>
      </c>
      <c r="M66" s="48">
        <f t="shared" si="144"/>
        <v>-1.8999999999920192</v>
      </c>
      <c r="N66" s="47">
        <f t="shared" si="148"/>
        <v>12.648342788155707</v>
      </c>
      <c r="O66" s="47">
        <f t="shared" si="11"/>
        <v>-5.0138646198547576</v>
      </c>
      <c r="P66" s="47">
        <f t="shared" si="12"/>
        <v>-2.9351047495592972</v>
      </c>
      <c r="Q66" s="48">
        <f t="shared" si="13"/>
        <v>-21.300000000010755</v>
      </c>
      <c r="R66" s="47">
        <f t="shared" si="149"/>
        <v>22.078126694028526</v>
      </c>
      <c r="S66" s="48">
        <f t="shared" si="14"/>
        <v>-2.8943418723770264</v>
      </c>
      <c r="T66" s="48">
        <f t="shared" si="15"/>
        <v>-6.7805659486626091</v>
      </c>
      <c r="U66" s="48">
        <f t="shared" si="16"/>
        <v>-8.0999999999988859</v>
      </c>
      <c r="V66" s="47">
        <f t="shared" si="150"/>
        <v>10.952775422619592</v>
      </c>
      <c r="W66" s="48">
        <f t="shared" si="50"/>
        <v>-3.7480277354973168</v>
      </c>
      <c r="X66" s="48">
        <f t="shared" si="51"/>
        <v>-8.009804429993217</v>
      </c>
      <c r="Y66" s="48">
        <f t="shared" si="19"/>
        <v>0.19999999999242846</v>
      </c>
      <c r="Z66" s="47">
        <f t="shared" si="151"/>
        <v>8.8456022357323452</v>
      </c>
      <c r="AA66" s="48">
        <f t="shared" si="20"/>
        <v>-5.2202747279750383</v>
      </c>
      <c r="AB66" s="48">
        <f t="shared" si="21"/>
        <v>-9.3439951692522172</v>
      </c>
      <c r="AC66" s="48">
        <f t="shared" si="22"/>
        <v>2.899999999996794</v>
      </c>
      <c r="AD66" s="47">
        <f t="shared" si="152"/>
        <v>11.089252182114222</v>
      </c>
      <c r="AE66" s="22"/>
      <c r="AF66" s="88"/>
      <c r="AG66" s="88"/>
      <c r="AH66" s="88"/>
      <c r="AI66" s="88"/>
      <c r="AJ66" s="88"/>
      <c r="AL66" s="89"/>
      <c r="AM66" s="90"/>
      <c r="AN66" s="90"/>
      <c r="AO66" s="89"/>
      <c r="AP66" s="89"/>
      <c r="AR66" s="89"/>
      <c r="AT66" s="12">
        <v>53.700000000000017</v>
      </c>
      <c r="AU66" s="29">
        <f t="shared" si="59"/>
        <v>43811</v>
      </c>
      <c r="AV66" s="12">
        <v>212</v>
      </c>
      <c r="AW66" s="12">
        <f t="shared" si="52"/>
        <v>21.909652764659285</v>
      </c>
      <c r="AY66" s="93"/>
      <c r="BC66" s="74"/>
    </row>
    <row r="67" spans="1:55" ht="29.25" customHeight="1" x14ac:dyDescent="0.2">
      <c r="A67" s="27">
        <f t="shared" si="0"/>
        <v>216</v>
      </c>
      <c r="B67" s="28">
        <f t="shared" si="1"/>
        <v>43815</v>
      </c>
      <c r="C67" s="48">
        <f t="shared" si="2"/>
        <v>-4.9556221909483611</v>
      </c>
      <c r="D67" s="48">
        <f t="shared" si="3"/>
        <v>13.552242127055525</v>
      </c>
      <c r="E67" s="48">
        <f t="shared" si="4"/>
        <v>-0.29999999999574811</v>
      </c>
      <c r="F67" s="47">
        <f t="shared" ref="F67:F71" si="153" xml:space="preserve"> SQRT(C67*C67+D67*D67+E67*E67)</f>
        <v>14.432998925024409</v>
      </c>
      <c r="G67" s="47">
        <f t="shared" si="5"/>
        <v>-2.590229137354072</v>
      </c>
      <c r="H67" s="47">
        <f t="shared" si="6"/>
        <v>12.059153585885163</v>
      </c>
      <c r="I67" s="47">
        <f t="shared" si="7"/>
        <v>-1.0999999999938836</v>
      </c>
      <c r="J67" s="47">
        <f t="shared" ref="J67:J71" si="154" xml:space="preserve"> SQRT(G67*G67+H67*H67+I67*I67)</f>
        <v>12.383152756545948</v>
      </c>
      <c r="K67" s="48"/>
      <c r="L67" s="48"/>
      <c r="M67" s="48"/>
      <c r="N67" s="47"/>
      <c r="O67" s="47">
        <f t="shared" si="11"/>
        <v>-5.2138646198329752</v>
      </c>
      <c r="P67" s="47">
        <f t="shared" si="12"/>
        <v>-1.2351047495592904</v>
      </c>
      <c r="Q67" s="48">
        <f t="shared" si="13"/>
        <v>-22.500000000007958</v>
      </c>
      <c r="R67" s="47">
        <f t="shared" ref="R67:R71" si="155" xml:space="preserve"> SQRT(O67*O67+P67*P67+Q67*Q67)</f>
        <v>23.129199467700737</v>
      </c>
      <c r="S67" s="48">
        <f t="shared" si="14"/>
        <v>-3.5943418723718423</v>
      </c>
      <c r="T67" s="48">
        <f t="shared" si="15"/>
        <v>-5.5805659486627412</v>
      </c>
      <c r="U67" s="48">
        <f t="shared" si="16"/>
        <v>-9.3999999999994088</v>
      </c>
      <c r="V67" s="47">
        <f t="shared" ref="V67:V71" si="156" xml:space="preserve"> SQRT(S67*S67+T67*T67+U67*U67)</f>
        <v>11.507476256888323</v>
      </c>
      <c r="W67" s="48">
        <f t="shared" si="50"/>
        <v>-4.5480277355238741</v>
      </c>
      <c r="X67" s="48">
        <f t="shared" si="51"/>
        <v>-7.309804429993072</v>
      </c>
      <c r="Y67" s="48">
        <f t="shared" si="19"/>
        <v>-0.79999999999813554</v>
      </c>
      <c r="Z67" s="47">
        <f t="shared" ref="Z67:Z71" si="157" xml:space="preserve"> SQRT(W67*W67+X67*X67+Y67*Y67)</f>
        <v>8.6462591383694818</v>
      </c>
      <c r="AA67" s="48">
        <f t="shared" si="20"/>
        <v>-5.9202747279698542</v>
      </c>
      <c r="AB67" s="48">
        <f t="shared" si="21"/>
        <v>-8.3439951692523273</v>
      </c>
      <c r="AC67" s="48">
        <f t="shared" si="22"/>
        <v>2.299999999991087</v>
      </c>
      <c r="AD67" s="47">
        <f t="shared" ref="AD67:AD71" si="158" xml:space="preserve"> SQRT(AA67*AA67+AB67*AB67+AC67*AC67)</f>
        <v>10.486272371014577</v>
      </c>
      <c r="AE67" s="22"/>
      <c r="AF67" s="88"/>
      <c r="AG67" s="88"/>
      <c r="AH67" s="88"/>
      <c r="AI67" s="88"/>
      <c r="AJ67" s="88"/>
      <c r="AL67" s="89"/>
      <c r="AM67" s="90"/>
      <c r="AN67" s="90"/>
      <c r="AO67" s="89"/>
      <c r="AP67" s="89"/>
      <c r="AR67" s="89"/>
      <c r="AT67" s="12">
        <v>53.700000000000017</v>
      </c>
      <c r="AU67" s="29">
        <f t="shared" si="59"/>
        <v>43815</v>
      </c>
      <c r="AV67" s="12">
        <v>216</v>
      </c>
      <c r="AW67" s="12">
        <f t="shared" si="52"/>
        <v>22.085544913432678</v>
      </c>
      <c r="AY67" s="93"/>
      <c r="BC67" s="74"/>
    </row>
    <row r="68" spans="1:55" ht="29.25" customHeight="1" x14ac:dyDescent="0.2">
      <c r="A68" s="27">
        <f t="shared" si="0"/>
        <v>219</v>
      </c>
      <c r="B68" s="28">
        <f t="shared" si="1"/>
        <v>43818</v>
      </c>
      <c r="C68" s="48">
        <f t="shared" si="2"/>
        <v>-5.655622190943177</v>
      </c>
      <c r="D68" s="48">
        <f t="shared" si="3"/>
        <v>12.552242127055635</v>
      </c>
      <c r="E68" s="48">
        <f t="shared" si="4"/>
        <v>0.10000000000331966</v>
      </c>
      <c r="F68" s="47">
        <f t="shared" si="153"/>
        <v>13.767891806043501</v>
      </c>
      <c r="G68" s="47">
        <f t="shared" si="5"/>
        <v>-3.1902291373739899</v>
      </c>
      <c r="H68" s="47">
        <f t="shared" si="6"/>
        <v>10.959153585885062</v>
      </c>
      <c r="I68" s="47">
        <f t="shared" si="7"/>
        <v>-0.89999999998724434</v>
      </c>
      <c r="J68" s="47">
        <f t="shared" si="154"/>
        <v>11.449480742284535</v>
      </c>
      <c r="K68" s="48">
        <f t="shared" si="142"/>
        <v>-5.5552418708657569</v>
      </c>
      <c r="L68" s="48">
        <f t="shared" si="143"/>
        <v>11.400086716097046</v>
      </c>
      <c r="M68" s="48">
        <f t="shared" si="144"/>
        <v>-2.4999999999977263</v>
      </c>
      <c r="N68" s="47">
        <f t="shared" ref="N68:N71" si="159" xml:space="preserve"> SQRT(K68*K68+L68*L68+M68*M68)</f>
        <v>12.925660113833299</v>
      </c>
      <c r="O68" s="47">
        <f t="shared" si="11"/>
        <v>-5.0138646198547576</v>
      </c>
      <c r="P68" s="47">
        <f t="shared" si="12"/>
        <v>-2.7351047495592917</v>
      </c>
      <c r="Q68" s="48">
        <f t="shared" si="13"/>
        <v>-21.900000000002251</v>
      </c>
      <c r="R68" s="47">
        <f t="shared" si="155"/>
        <v>22.63249072500399</v>
      </c>
      <c r="S68" s="48">
        <f t="shared" si="14"/>
        <v>-3.094341872355244</v>
      </c>
      <c r="T68" s="48">
        <f t="shared" si="15"/>
        <v>-6.6805659486628421</v>
      </c>
      <c r="U68" s="48">
        <f t="shared" si="16"/>
        <v>-8.6000000000012733</v>
      </c>
      <c r="V68" s="47">
        <f t="shared" si="156"/>
        <v>11.320994347559154</v>
      </c>
      <c r="W68" s="48">
        <f t="shared" si="50"/>
        <v>-3.4480277355157796</v>
      </c>
      <c r="X68" s="48">
        <f t="shared" si="51"/>
        <v>-7.90980442999345</v>
      </c>
      <c r="Y68" s="48">
        <f t="shared" si="19"/>
        <v>-0.30000000000995897</v>
      </c>
      <c r="Z68" s="47">
        <f t="shared" si="157"/>
        <v>8.6338810152582059</v>
      </c>
      <c r="AA68" s="48">
        <f t="shared" si="20"/>
        <v>-5.2202747279750383</v>
      </c>
      <c r="AB68" s="48">
        <f t="shared" si="21"/>
        <v>-9.3439951692522172</v>
      </c>
      <c r="AC68" s="48">
        <f t="shared" si="22"/>
        <v>2.4999999999977263</v>
      </c>
      <c r="AD68" s="47">
        <f t="shared" si="158"/>
        <v>10.991429113565363</v>
      </c>
      <c r="AE68" s="22"/>
      <c r="AF68" s="88"/>
      <c r="AG68" s="88"/>
      <c r="AH68" s="88"/>
      <c r="AI68" s="88"/>
      <c r="AJ68" s="88"/>
      <c r="AL68" s="89"/>
      <c r="AM68" s="90"/>
      <c r="AN68" s="90"/>
      <c r="AO68" s="89"/>
      <c r="AP68" s="89"/>
      <c r="AR68" s="89"/>
      <c r="AT68" s="12">
        <v>53.700000000000017</v>
      </c>
      <c r="AU68" s="29">
        <f t="shared" si="59"/>
        <v>43818</v>
      </c>
      <c r="AV68" s="12">
        <v>219</v>
      </c>
      <c r="AW68" s="12">
        <f t="shared" si="52"/>
        <v>22.215364084165582</v>
      </c>
      <c r="AY68" s="93"/>
      <c r="BC68" s="74"/>
    </row>
    <row r="69" spans="1:55" ht="29.25" customHeight="1" x14ac:dyDescent="0.2">
      <c r="A69" s="27">
        <f t="shared" si="0"/>
        <v>238</v>
      </c>
      <c r="B69" s="28">
        <f t="shared" si="1"/>
        <v>43837</v>
      </c>
      <c r="C69" s="48">
        <f t="shared" si="2"/>
        <v>-6.0556221909564556</v>
      </c>
      <c r="D69" s="48">
        <f t="shared" si="3"/>
        <v>12.85224212705538</v>
      </c>
      <c r="E69" s="48">
        <f t="shared" si="4"/>
        <v>0</v>
      </c>
      <c r="F69" s="47">
        <f t="shared" si="153"/>
        <v>14.207416648077203</v>
      </c>
      <c r="G69" s="47">
        <f t="shared" si="5"/>
        <v>-3.4902291373555272</v>
      </c>
      <c r="H69" s="47">
        <f t="shared" si="6"/>
        <v>11.359153585885018</v>
      </c>
      <c r="I69" s="47">
        <f t="shared" si="7"/>
        <v>-0.99999999999056399</v>
      </c>
      <c r="J69" s="47">
        <f t="shared" si="154"/>
        <v>11.925270211569677</v>
      </c>
      <c r="K69" s="48">
        <f t="shared" si="142"/>
        <v>-5.9552418708790356</v>
      </c>
      <c r="L69" s="48">
        <f t="shared" si="143"/>
        <v>11.500086716097258</v>
      </c>
      <c r="M69" s="48">
        <f t="shared" si="144"/>
        <v>-2.3999999999944066</v>
      </c>
      <c r="N69" s="47">
        <f t="shared" si="159"/>
        <v>13.171062987412999</v>
      </c>
      <c r="O69" s="47">
        <f t="shared" si="11"/>
        <v>-5.4138646198396145</v>
      </c>
      <c r="P69" s="47">
        <f t="shared" si="12"/>
        <v>-2.6351047495593027</v>
      </c>
      <c r="Q69" s="48">
        <f t="shared" si="13"/>
        <v>-22.300000000001319</v>
      </c>
      <c r="R69" s="47">
        <f t="shared" si="155"/>
        <v>23.098565045542546</v>
      </c>
      <c r="S69" s="48">
        <f t="shared" si="14"/>
        <v>-3.2943418723618834</v>
      </c>
      <c r="T69" s="48">
        <f t="shared" si="15"/>
        <v>-6.6805659486628421</v>
      </c>
      <c r="U69" s="48">
        <f t="shared" si="16"/>
        <v>-8.7999999999937017</v>
      </c>
      <c r="V69" s="47">
        <f t="shared" si="156"/>
        <v>11.529208548999337</v>
      </c>
      <c r="W69" s="48">
        <f t="shared" si="50"/>
        <v>-3.8480277355006365</v>
      </c>
      <c r="X69" s="48">
        <f t="shared" si="51"/>
        <v>-7.8098044299927949</v>
      </c>
      <c r="Y69" s="48">
        <f t="shared" si="19"/>
        <v>-0.20000000000663931</v>
      </c>
      <c r="Z69" s="47">
        <f t="shared" si="157"/>
        <v>8.7086372463158597</v>
      </c>
      <c r="AA69" s="48">
        <f t="shared" si="20"/>
        <v>-5.4202747279816776</v>
      </c>
      <c r="AB69" s="48">
        <f t="shared" si="21"/>
        <v>-9.1439951692522392</v>
      </c>
      <c r="AC69" s="48">
        <f t="shared" si="22"/>
        <v>2.4999999999977263</v>
      </c>
      <c r="AD69" s="47">
        <f t="shared" si="158"/>
        <v>10.919799713460581</v>
      </c>
      <c r="AE69" s="22"/>
      <c r="AF69" s="88"/>
      <c r="AG69" s="88"/>
      <c r="AH69" s="88"/>
      <c r="AI69" s="88"/>
      <c r="AJ69" s="88"/>
      <c r="AL69" s="89"/>
      <c r="AM69" s="90"/>
      <c r="AN69" s="90"/>
      <c r="AO69" s="89"/>
      <c r="AP69" s="89"/>
      <c r="AR69" s="89"/>
      <c r="AT69" s="12">
        <v>53.700000000000017</v>
      </c>
      <c r="AU69" s="29">
        <f t="shared" si="59"/>
        <v>43837</v>
      </c>
      <c r="AV69" s="12">
        <v>238</v>
      </c>
      <c r="AW69" s="12">
        <f t="shared" si="52"/>
        <v>22.998511837981042</v>
      </c>
      <c r="AY69" s="93"/>
      <c r="BC69" s="74"/>
    </row>
    <row r="70" spans="1:55" ht="29.25" customHeight="1" x14ac:dyDescent="0.2">
      <c r="A70" s="27">
        <f t="shared" si="0"/>
        <v>244</v>
      </c>
      <c r="B70" s="28">
        <f t="shared" si="1"/>
        <v>43843</v>
      </c>
      <c r="C70" s="48">
        <f t="shared" si="2"/>
        <v>-6.0556221909564556</v>
      </c>
      <c r="D70" s="48">
        <f t="shared" si="3"/>
        <v>12.85224212705538</v>
      </c>
      <c r="E70" s="48">
        <f t="shared" si="4"/>
        <v>0.10000000000331966</v>
      </c>
      <c r="F70" s="47">
        <f t="shared" si="153"/>
        <v>14.207768572582463</v>
      </c>
      <c r="G70" s="47">
        <f t="shared" si="5"/>
        <v>-3.5902291373588469</v>
      </c>
      <c r="H70" s="47">
        <f t="shared" si="6"/>
        <v>11.259153585885251</v>
      </c>
      <c r="I70" s="47">
        <f t="shared" si="7"/>
        <v>-0.79999999999813554</v>
      </c>
      <c r="J70" s="47">
        <f t="shared" si="154"/>
        <v>11.844757689766819</v>
      </c>
      <c r="K70" s="48">
        <f t="shared" si="142"/>
        <v>-6.0552418708823552</v>
      </c>
      <c r="L70" s="48">
        <f t="shared" si="143"/>
        <v>12.100086716097191</v>
      </c>
      <c r="M70" s="48">
        <f t="shared" si="144"/>
        <v>-1.4999999999929514</v>
      </c>
      <c r="N70" s="47">
        <f t="shared" si="159"/>
        <v>13.613524622666144</v>
      </c>
      <c r="O70" s="47">
        <f t="shared" si="11"/>
        <v>-5.5138646198429342</v>
      </c>
      <c r="P70" s="47">
        <f t="shared" si="12"/>
        <v>-2.5351047495592862</v>
      </c>
      <c r="Q70" s="48">
        <f t="shared" si="13"/>
        <v>-22.400000000004638</v>
      </c>
      <c r="R70" s="47">
        <f t="shared" si="155"/>
        <v>23.20753022485162</v>
      </c>
      <c r="S70" s="48">
        <f t="shared" si="14"/>
        <v>-3.4943418723685227</v>
      </c>
      <c r="T70" s="48">
        <f t="shared" si="15"/>
        <v>-6.6805659486628421</v>
      </c>
      <c r="U70" s="48">
        <f t="shared" si="16"/>
        <v>-8.7999999999937017</v>
      </c>
      <c r="V70" s="47">
        <f t="shared" si="156"/>
        <v>11.587941426988253</v>
      </c>
      <c r="W70" s="48">
        <f t="shared" si="50"/>
        <v>-4.2480277355139151</v>
      </c>
      <c r="X70" s="48">
        <f t="shared" si="51"/>
        <v>-7.709804429993028</v>
      </c>
      <c r="Y70" s="48">
        <f t="shared" si="19"/>
        <v>-0.10000000000331966</v>
      </c>
      <c r="Z70" s="47">
        <f t="shared" si="157"/>
        <v>8.8032280437596437</v>
      </c>
      <c r="AA70" s="48">
        <f t="shared" si="20"/>
        <v>-5.620274727988317</v>
      </c>
      <c r="AB70" s="48">
        <f t="shared" si="21"/>
        <v>-9.1439951692522392</v>
      </c>
      <c r="AC70" s="48">
        <f t="shared" si="22"/>
        <v>2.6000000000010459</v>
      </c>
      <c r="AD70" s="47">
        <f t="shared" si="158"/>
        <v>11.043556296473428</v>
      </c>
      <c r="AE70" s="22"/>
      <c r="AF70" s="88"/>
      <c r="AG70" s="88"/>
      <c r="AH70" s="88"/>
      <c r="AI70" s="88"/>
      <c r="AJ70" s="88"/>
      <c r="AL70" s="89"/>
      <c r="AM70" s="90"/>
      <c r="AN70" s="90"/>
      <c r="AO70" s="89"/>
      <c r="AP70" s="89"/>
      <c r="AR70" s="89"/>
      <c r="AT70" s="12">
        <v>53.700000000000017</v>
      </c>
      <c r="AU70" s="29">
        <f t="shared" si="59"/>
        <v>43843</v>
      </c>
      <c r="AV70" s="12">
        <v>244</v>
      </c>
      <c r="AW70" s="12">
        <f t="shared" si="52"/>
        <v>23.232786852042967</v>
      </c>
      <c r="AY70" s="93"/>
      <c r="BC70" s="74"/>
    </row>
    <row r="71" spans="1:55" ht="29.25" customHeight="1" x14ac:dyDescent="0.2">
      <c r="A71" s="27">
        <f t="shared" si="0"/>
        <v>251</v>
      </c>
      <c r="B71" s="28">
        <f t="shared" si="1"/>
        <v>43850</v>
      </c>
      <c r="C71" s="48">
        <f t="shared" si="2"/>
        <v>-5.655622190943177</v>
      </c>
      <c r="D71" s="48">
        <f t="shared" si="3"/>
        <v>12.652242127055402</v>
      </c>
      <c r="E71" s="48">
        <f t="shared" si="4"/>
        <v>0.39999999999906777</v>
      </c>
      <c r="F71" s="47">
        <f t="shared" si="153"/>
        <v>13.864533645540465</v>
      </c>
      <c r="G71" s="47">
        <f t="shared" si="5"/>
        <v>-3.1902291373739899</v>
      </c>
      <c r="H71" s="47">
        <f t="shared" si="6"/>
        <v>11.159153585884596</v>
      </c>
      <c r="I71" s="47">
        <f t="shared" si="7"/>
        <v>-0.79999999999813554</v>
      </c>
      <c r="J71" s="47">
        <f t="shared" si="154"/>
        <v>11.633755657667392</v>
      </c>
      <c r="K71" s="48">
        <f t="shared" si="142"/>
        <v>-5.4552418708624373</v>
      </c>
      <c r="L71" s="48">
        <f t="shared" si="143"/>
        <v>11.700086716097235</v>
      </c>
      <c r="M71" s="48">
        <f t="shared" si="144"/>
        <v>-2.1999999999877673</v>
      </c>
      <c r="N71" s="47">
        <f t="shared" si="159"/>
        <v>13.095483688422961</v>
      </c>
      <c r="O71" s="47">
        <f t="shared" si="11"/>
        <v>-5.0138646198547576</v>
      </c>
      <c r="P71" s="47">
        <f t="shared" si="12"/>
        <v>-3.0351047495592862</v>
      </c>
      <c r="Q71" s="48">
        <f t="shared" si="13"/>
        <v>-22.600000000011278</v>
      </c>
      <c r="R71" s="47">
        <f t="shared" si="155"/>
        <v>23.347605857293772</v>
      </c>
      <c r="S71" s="48">
        <f t="shared" si="14"/>
        <v>-2.8943418723770264</v>
      </c>
      <c r="T71" s="48">
        <f t="shared" si="15"/>
        <v>-7.0805659486627981</v>
      </c>
      <c r="U71" s="48">
        <f t="shared" si="16"/>
        <v>-8.7999999999937017</v>
      </c>
      <c r="V71" s="47">
        <f t="shared" si="156"/>
        <v>11.659829716914704</v>
      </c>
      <c r="W71" s="48">
        <f t="shared" si="50"/>
        <v>-3.6480277355224189</v>
      </c>
      <c r="X71" s="48">
        <f t="shared" si="51"/>
        <v>-8.1098044299929839</v>
      </c>
      <c r="Y71" s="48">
        <f t="shared" si="19"/>
        <v>0</v>
      </c>
      <c r="Z71" s="47">
        <f t="shared" si="157"/>
        <v>8.8925268766461798</v>
      </c>
      <c r="AA71" s="48">
        <f t="shared" si="20"/>
        <v>-5.1202747279717187</v>
      </c>
      <c r="AB71" s="48">
        <f t="shared" si="21"/>
        <v>-9.6439951692519621</v>
      </c>
      <c r="AC71" s="48">
        <f t="shared" si="22"/>
        <v>2.7999999999934744</v>
      </c>
      <c r="AD71" s="47">
        <f t="shared" si="158"/>
        <v>11.272260470483483</v>
      </c>
      <c r="AE71" s="22"/>
      <c r="AF71" s="88"/>
      <c r="AG71" s="88"/>
      <c r="AH71" s="88"/>
      <c r="AI71" s="88"/>
      <c r="AJ71" s="88"/>
      <c r="AL71" s="89"/>
      <c r="AM71" s="90"/>
      <c r="AN71" s="90"/>
      <c r="AO71" s="89"/>
      <c r="AP71" s="89"/>
      <c r="AR71" s="89"/>
      <c r="AT71" s="12">
        <v>53.700000000000017</v>
      </c>
      <c r="AU71" s="29">
        <f t="shared" si="59"/>
        <v>43850</v>
      </c>
      <c r="AV71" s="12">
        <v>251</v>
      </c>
      <c r="AW71" s="12">
        <f t="shared" si="52"/>
        <v>23.49881405430752</v>
      </c>
      <c r="AY71" s="93"/>
      <c r="BC71" s="74"/>
    </row>
    <row r="72" spans="1:55" ht="29.25" customHeight="1" x14ac:dyDescent="0.2">
      <c r="A72" s="27">
        <f t="shared" si="0"/>
        <v>258</v>
      </c>
      <c r="B72" s="28">
        <f t="shared" si="1"/>
        <v>43857</v>
      </c>
      <c r="C72" s="48">
        <f t="shared" si="2"/>
        <v>-5.555622190968279</v>
      </c>
      <c r="D72" s="48">
        <f t="shared" si="3"/>
        <v>12.952242127055591</v>
      </c>
      <c r="E72" s="48">
        <f t="shared" si="4"/>
        <v>0.20000000000663931</v>
      </c>
      <c r="F72" s="47">
        <f t="shared" ref="F72" si="160" xml:space="preserve"> SQRT(C72*C72+D72*D72+E72*E72)</f>
        <v>14.094875453392817</v>
      </c>
      <c r="G72" s="47">
        <f t="shared" si="5"/>
        <v>-3.0902291373706703</v>
      </c>
      <c r="H72" s="47">
        <f t="shared" si="6"/>
        <v>11.459153585884785</v>
      </c>
      <c r="I72" s="47">
        <f t="shared" si="7"/>
        <v>-0.89999999998724434</v>
      </c>
      <c r="J72" s="47">
        <f t="shared" ref="J72" si="161" xml:space="preserve"> SQRT(G72*G72+H72*H72+I72*I72)</f>
        <v>11.902592869888805</v>
      </c>
      <c r="K72" s="48">
        <f t="shared" si="142"/>
        <v>-5.4552418708624373</v>
      </c>
      <c r="L72" s="48">
        <f t="shared" si="143"/>
        <v>11.700086716097235</v>
      </c>
      <c r="M72" s="48">
        <f t="shared" si="144"/>
        <v>-2.7999999999934744</v>
      </c>
      <c r="N72" s="47">
        <f t="shared" ref="N72" si="162" xml:space="preserve"> SQRT(K72*K72+L72*L72+M72*M72)</f>
        <v>13.209530386572006</v>
      </c>
      <c r="O72" s="47">
        <f t="shared" si="11"/>
        <v>-5.1138646198580773</v>
      </c>
      <c r="P72" s="47">
        <f t="shared" si="12"/>
        <v>-3.0351047495592862</v>
      </c>
      <c r="Q72" s="48">
        <f t="shared" si="13"/>
        <v>-23.200000000002774</v>
      </c>
      <c r="R72" s="47">
        <f t="shared" ref="R72" si="163" xml:space="preserve"> SQRT(O72*O72+P72*P72+Q72*Q72)</f>
        <v>23.950020296257836</v>
      </c>
      <c r="S72" s="48">
        <f t="shared" si="14"/>
        <v>-2.6943418723703871</v>
      </c>
      <c r="T72" s="48">
        <f t="shared" si="15"/>
        <v>-7.0805659486627981</v>
      </c>
      <c r="U72" s="48">
        <f t="shared" si="16"/>
        <v>-9.1999999999927695</v>
      </c>
      <c r="V72" s="47">
        <f t="shared" ref="V72" si="164" xml:space="preserve"> SQRT(S72*S72+T72*T72+U72*U72)</f>
        <v>11.917797291380586</v>
      </c>
      <c r="W72" s="48"/>
      <c r="X72" s="48"/>
      <c r="Y72" s="48"/>
      <c r="Z72" s="47"/>
      <c r="AA72" s="48">
        <f t="shared" si="20"/>
        <v>-5.020274727968399</v>
      </c>
      <c r="AB72" s="48">
        <f t="shared" si="21"/>
        <v>-9.6439951692519621</v>
      </c>
      <c r="AC72" s="48">
        <f t="shared" si="22"/>
        <v>2.6000000000010459</v>
      </c>
      <c r="AD72" s="47">
        <f t="shared" ref="AD72" si="165" xml:space="preserve"> SQRT(AA72*AA72+AB72*AB72+AC72*AC72)</f>
        <v>11.178989273133721</v>
      </c>
      <c r="AE72" s="22"/>
      <c r="AF72" s="88"/>
      <c r="AG72" s="88"/>
      <c r="AH72" s="88"/>
      <c r="AI72" s="88"/>
      <c r="AJ72" s="88"/>
      <c r="AL72" s="89"/>
      <c r="AM72" s="90"/>
      <c r="AN72" s="90"/>
      <c r="AO72" s="89"/>
      <c r="AP72" s="89"/>
      <c r="AR72" s="89"/>
      <c r="AT72" s="12">
        <v>53.700000000000017</v>
      </c>
      <c r="AU72" s="29">
        <f t="shared" si="59"/>
        <v>43857</v>
      </c>
      <c r="AV72" s="12">
        <v>258</v>
      </c>
      <c r="AW72" s="12">
        <f t="shared" si="52"/>
        <v>23.757358758941294</v>
      </c>
      <c r="AY72" s="93"/>
      <c r="BC72" s="74"/>
    </row>
    <row r="73" spans="1:55" ht="29.25" customHeight="1" x14ac:dyDescent="0.2">
      <c r="A73" s="27">
        <f t="shared" si="0"/>
        <v>266</v>
      </c>
      <c r="B73" s="28">
        <f t="shared" si="1"/>
        <v>43865</v>
      </c>
      <c r="C73" s="48">
        <f t="shared" si="2"/>
        <v>-5.655622190943177</v>
      </c>
      <c r="D73" s="48">
        <f t="shared" si="3"/>
        <v>12.85224212705538</v>
      </c>
      <c r="E73" s="48">
        <f t="shared" si="4"/>
        <v>-0.29999999999574811</v>
      </c>
      <c r="F73" s="47">
        <f t="shared" ref="F73:F75" si="166" xml:space="preserve"> SQRT(C73*C73+D73*D73+E73*E73)</f>
        <v>14.04479227540028</v>
      </c>
      <c r="G73" s="47">
        <f t="shared" si="5"/>
        <v>-3.1902291373739899</v>
      </c>
      <c r="H73" s="47">
        <f t="shared" si="6"/>
        <v>11.359153585885018</v>
      </c>
      <c r="I73" s="47">
        <f t="shared" si="7"/>
        <v>-1.5999999999962711</v>
      </c>
      <c r="J73" s="47">
        <f t="shared" ref="J73:J75" si="167" xml:space="preserve"> SQRT(G73*G73+H73*H73+I73*I73)</f>
        <v>11.906633954928761</v>
      </c>
      <c r="K73" s="48"/>
      <c r="L73" s="48"/>
      <c r="M73" s="48"/>
      <c r="N73" s="47"/>
      <c r="O73" s="47">
        <f t="shared" si="11"/>
        <v>-4.913864619851438</v>
      </c>
      <c r="P73" s="47">
        <f t="shared" si="12"/>
        <v>-3.2351047495592922</v>
      </c>
      <c r="Q73" s="48">
        <f t="shared" si="13"/>
        <v>-24.100000000004229</v>
      </c>
      <c r="R73" s="47">
        <f t="shared" ref="R73:R75" si="168" xml:space="preserve"> SQRT(O73*O73+P73*P73+Q73*Q73)</f>
        <v>24.807699777348418</v>
      </c>
      <c r="S73" s="48">
        <f t="shared" si="14"/>
        <v>-2.3943418723604282</v>
      </c>
      <c r="T73" s="48">
        <f t="shared" si="15"/>
        <v>-7.3805659486629871</v>
      </c>
      <c r="U73" s="48">
        <f t="shared" si="16"/>
        <v>-9.9000000000017963</v>
      </c>
      <c r="V73" s="47">
        <f t="shared" ref="V73:V75" si="169" xml:space="preserve"> SQRT(S73*S73+T73*T73+U73*U73)</f>
        <v>12.578379336160028</v>
      </c>
      <c r="W73" s="48"/>
      <c r="X73" s="48"/>
      <c r="Y73" s="48"/>
      <c r="Z73" s="47"/>
      <c r="AA73" s="48"/>
      <c r="AB73" s="48"/>
      <c r="AC73" s="48"/>
      <c r="AD73" s="47"/>
      <c r="AE73" s="22"/>
      <c r="AF73" s="88"/>
      <c r="AG73" s="88"/>
      <c r="AH73" s="88"/>
      <c r="AI73" s="88"/>
      <c r="AJ73" s="88"/>
      <c r="AL73" s="89"/>
      <c r="AM73" s="90"/>
      <c r="AN73" s="90"/>
      <c r="AO73" s="89"/>
      <c r="AP73" s="89"/>
      <c r="AR73" s="89"/>
      <c r="AT73" s="12">
        <v>53.700000000000017</v>
      </c>
      <c r="AU73" s="29">
        <f t="shared" si="59"/>
        <v>43865</v>
      </c>
      <c r="AV73" s="12">
        <v>266</v>
      </c>
      <c r="AW73" s="12">
        <f t="shared" si="52"/>
        <v>24.044142565909556</v>
      </c>
      <c r="AY73" s="93"/>
      <c r="BC73" s="74"/>
    </row>
    <row r="74" spans="1:55" ht="29.25" customHeight="1" x14ac:dyDescent="0.2">
      <c r="A74" s="27">
        <f t="shared" ref="A74:A120" si="170">jours</f>
        <v>268</v>
      </c>
      <c r="B74" s="28">
        <f t="shared" ref="B74:B120" si="171">date</f>
        <v>43867</v>
      </c>
      <c r="C74" s="48">
        <f t="shared" ref="C74:C120" si="172">DPM_BG</f>
        <v>-6.5998964677476124</v>
      </c>
      <c r="D74" s="48">
        <f t="shared" ref="D74:D120" si="173">DH_BG</f>
        <v>12.259337820911043</v>
      </c>
      <c r="E74" s="48">
        <f t="shared" ref="E74:E120" si="174">DZ_BG</f>
        <v>0.30000000000995897</v>
      </c>
      <c r="F74" s="47">
        <f t="shared" si="166"/>
        <v>13.926234135336562</v>
      </c>
      <c r="G74" s="47">
        <f t="shared" ref="G74:G88" si="175">DPM_IG</f>
        <v>-4.087100424470691</v>
      </c>
      <c r="H74" s="47">
        <f t="shared" ref="H74:H88" si="176">DH_IG</f>
        <v>10.893374439064907</v>
      </c>
      <c r="I74" s="47">
        <f t="shared" ref="I74:I88" si="177">DZ_IG</f>
        <v>-0.99999999999056399</v>
      </c>
      <c r="J74" s="47">
        <f t="shared" si="167"/>
        <v>11.677756486130471</v>
      </c>
      <c r="K74" s="48">
        <f t="shared" si="142"/>
        <v>-6.1833432935145538</v>
      </c>
      <c r="L74" s="48">
        <f t="shared" si="143"/>
        <v>11.12952208263307</v>
      </c>
      <c r="M74" s="48">
        <f t="shared" si="144"/>
        <v>-3.0000000000001137</v>
      </c>
      <c r="N74" s="47">
        <f t="shared" ref="N74" si="178" xml:space="preserve"> SQRT(K74*K74+L74*L74+M74*M74)</f>
        <v>13.0805197172463</v>
      </c>
      <c r="O74" s="47">
        <f t="shared" ref="O74:O120" si="179">DPMhaut</f>
        <v>-5.2869879361878702</v>
      </c>
      <c r="P74" s="47">
        <f t="shared" ref="P74:P120" si="180">DHhaut</f>
        <v>-3.5689996537604793</v>
      </c>
      <c r="Q74" s="48">
        <f t="shared" ref="Q74:Q120" si="181">DZhaut</f>
        <v>-23.099999999999454</v>
      </c>
      <c r="R74" s="47">
        <f t="shared" si="168"/>
        <v>23.96455716189876</v>
      </c>
      <c r="S74" s="48">
        <f t="shared" ref="S74:S120" si="182">DPM_HD</f>
        <v>-2.7506494624276456</v>
      </c>
      <c r="T74" s="48">
        <f t="shared" ref="T74:T120" si="183">DH_HD</f>
        <v>-7.3514575138786675</v>
      </c>
      <c r="U74" s="48">
        <f t="shared" ref="U74:U120" si="184">DZ_HD</f>
        <v>-8.7999999999937017</v>
      </c>
      <c r="V74" s="47">
        <f t="shared" si="169"/>
        <v>11.79194640606061</v>
      </c>
      <c r="W74" s="48"/>
      <c r="X74" s="48"/>
      <c r="Y74" s="48"/>
      <c r="Z74" s="47"/>
      <c r="AA74" s="48">
        <f t="shared" ref="AA74:AA105" si="185">DPM_BD</f>
        <v>-4.7810847717641991</v>
      </c>
      <c r="AB74" s="48">
        <f t="shared" ref="AB74:AB105" si="186">DH_BD</f>
        <v>-9.6224333995786893</v>
      </c>
      <c r="AC74" s="48">
        <f t="shared" ref="AC74:AC105" si="187">DZ_BD</f>
        <v>2.6000000000010459</v>
      </c>
      <c r="AD74" s="47">
        <f t="shared" ref="AD74" si="188" xml:space="preserve"> SQRT(AA74*AA74+AB74*AB74+AC74*AC74)</f>
        <v>11.054863007931326</v>
      </c>
      <c r="AE74" s="22"/>
      <c r="AF74" s="88"/>
      <c r="AG74" s="88"/>
      <c r="AH74" s="88"/>
      <c r="AI74" s="88"/>
      <c r="AJ74" s="88"/>
      <c r="AL74" s="89"/>
      <c r="AM74" s="90"/>
      <c r="AN74" s="90"/>
      <c r="AO74" s="89"/>
      <c r="AP74" s="89"/>
      <c r="AR74" s="89"/>
      <c r="AT74" s="12">
        <v>53.700000000000017</v>
      </c>
      <c r="AU74" s="29">
        <f t="shared" si="59"/>
        <v>43867</v>
      </c>
      <c r="AV74" s="12">
        <v>268</v>
      </c>
      <c r="AW74" s="12">
        <f t="shared" ref="AW74:AW104" si="189">$AR$12*(1-($AR$13/(AV74+$AR$13))^$AR$14)</f>
        <v>24.114445713868069</v>
      </c>
      <c r="AY74" s="93"/>
      <c r="BC74" s="74"/>
    </row>
    <row r="75" spans="1:55" ht="29.25" customHeight="1" x14ac:dyDescent="0.2">
      <c r="A75" s="27">
        <f t="shared" si="170"/>
        <v>279</v>
      </c>
      <c r="B75" s="28">
        <f t="shared" si="171"/>
        <v>43878</v>
      </c>
      <c r="C75" s="48">
        <f t="shared" si="172"/>
        <v>-5.655622190943177</v>
      </c>
      <c r="D75" s="48">
        <f t="shared" si="173"/>
        <v>13.552242127055525</v>
      </c>
      <c r="E75" s="48">
        <f t="shared" si="174"/>
        <v>-0.49999999998817657</v>
      </c>
      <c r="F75" s="47">
        <f t="shared" si="166"/>
        <v>14.693513161834904</v>
      </c>
      <c r="G75" s="47">
        <f t="shared" si="175"/>
        <v>-3.0902291373706703</v>
      </c>
      <c r="H75" s="47">
        <f t="shared" si="176"/>
        <v>11.859153585884741</v>
      </c>
      <c r="I75" s="47">
        <f t="shared" si="177"/>
        <v>-1.6999999999995907</v>
      </c>
      <c r="J75" s="47">
        <f t="shared" si="167"/>
        <v>12.372511462716703</v>
      </c>
      <c r="K75" s="48"/>
      <c r="L75" s="48"/>
      <c r="M75" s="48"/>
      <c r="N75" s="47"/>
      <c r="O75" s="47">
        <f t="shared" si="179"/>
        <v>-5.1138646198580773</v>
      </c>
      <c r="P75" s="47">
        <f t="shared" si="180"/>
        <v>-2.3351047495592803</v>
      </c>
      <c r="Q75" s="48">
        <f t="shared" si="181"/>
        <v>-24.200000000007549</v>
      </c>
      <c r="R75" s="47">
        <f t="shared" si="168"/>
        <v>24.844402297942608</v>
      </c>
      <c r="S75" s="48">
        <f t="shared" si="182"/>
        <v>-2.8943418723770264</v>
      </c>
      <c r="T75" s="48">
        <f t="shared" si="183"/>
        <v>-6.5805659486626311</v>
      </c>
      <c r="U75" s="48">
        <f t="shared" si="184"/>
        <v>-10.099999999994225</v>
      </c>
      <c r="V75" s="47">
        <f t="shared" si="169"/>
        <v>12.397219973799626</v>
      </c>
      <c r="W75" s="48"/>
      <c r="X75" s="48"/>
      <c r="Y75" s="48"/>
      <c r="Z75" s="47"/>
      <c r="AA75" s="48"/>
      <c r="AB75" s="48"/>
      <c r="AC75" s="48"/>
      <c r="AD75" s="47"/>
      <c r="AE75" s="22"/>
      <c r="AF75" s="88"/>
      <c r="AG75" s="88"/>
      <c r="AH75" s="88"/>
      <c r="AI75" s="88"/>
      <c r="AJ75" s="88"/>
      <c r="AL75" s="89"/>
      <c r="AM75" s="90"/>
      <c r="AN75" s="90"/>
      <c r="AO75" s="89"/>
      <c r="AP75" s="89"/>
      <c r="AR75" s="89"/>
      <c r="AT75" s="12">
        <v>53.700000000000017</v>
      </c>
      <c r="AU75" s="29">
        <f t="shared" ref="AU75:AU106" si="190">$AU$10+AV75</f>
        <v>43878</v>
      </c>
      <c r="AV75" s="12">
        <v>279</v>
      </c>
      <c r="AW75" s="12">
        <f t="shared" si="189"/>
        <v>24.491620083745211</v>
      </c>
      <c r="AY75" s="93"/>
      <c r="BC75" s="74"/>
    </row>
    <row r="76" spans="1:55" ht="29.25" customHeight="1" x14ac:dyDescent="0.2">
      <c r="A76" s="27">
        <f t="shared" si="170"/>
        <v>287</v>
      </c>
      <c r="B76" s="28">
        <f t="shared" si="171"/>
        <v>43886</v>
      </c>
      <c r="C76" s="48">
        <f t="shared" si="172"/>
        <v>-5.3556221909616397</v>
      </c>
      <c r="D76" s="48">
        <f t="shared" si="173"/>
        <v>13.052242127055358</v>
      </c>
      <c r="E76" s="48">
        <f t="shared" si="174"/>
        <v>-9.9999999989108801E-2</v>
      </c>
      <c r="F76" s="47">
        <f t="shared" ref="F76:F77" si="191" xml:space="preserve"> SQRT(C76*C76+D76*D76+E76*E76)</f>
        <v>14.108639679132683</v>
      </c>
      <c r="G76" s="47">
        <f t="shared" si="175"/>
        <v>-2.7902291373607113</v>
      </c>
      <c r="H76" s="47">
        <f t="shared" si="176"/>
        <v>11.459153585884785</v>
      </c>
      <c r="I76" s="47">
        <f t="shared" si="177"/>
        <v>-1.3999999999896318</v>
      </c>
      <c r="J76" s="47">
        <f t="shared" ref="J76:J77" si="192" xml:space="preserve"> SQRT(G76*G76+H76*H76+I76*I76)</f>
        <v>11.876766375737287</v>
      </c>
      <c r="K76" s="48"/>
      <c r="L76" s="48"/>
      <c r="M76" s="48"/>
      <c r="N76" s="47"/>
      <c r="O76" s="47">
        <f t="shared" si="179"/>
        <v>-4.613864619841479</v>
      </c>
      <c r="P76" s="47">
        <f t="shared" si="180"/>
        <v>-3.1351047495593032</v>
      </c>
      <c r="Q76" s="48">
        <f t="shared" si="181"/>
        <v>-24.300000000010868</v>
      </c>
      <c r="R76" s="47">
        <f t="shared" ref="R76:R77" si="193" xml:space="preserve"> SQRT(O76*O76+P76*P76+Q76*Q76)</f>
        <v>24.932040199740221</v>
      </c>
      <c r="S76" s="48">
        <f t="shared" si="182"/>
        <v>-2.0943418723788909</v>
      </c>
      <c r="T76" s="48">
        <f t="shared" si="183"/>
        <v>-7.5805659486629651</v>
      </c>
      <c r="U76" s="48">
        <f t="shared" si="184"/>
        <v>-9.9999999999909051</v>
      </c>
      <c r="V76" s="47">
        <f t="shared" ref="V76:V77" si="194" xml:space="preserve"> SQRT(S76*S76+T76*T76+U76*U76)</f>
        <v>12.722077188110676</v>
      </c>
      <c r="W76" s="48">
        <f t="shared" ref="W76:W120" si="195">DPM_ID</f>
        <v>-2.9480277354991813</v>
      </c>
      <c r="X76" s="48">
        <f t="shared" ref="X76:X120" si="196">DH_ID</f>
        <v>-8.8098044299931288</v>
      </c>
      <c r="Y76" s="48">
        <f t="shared" ref="Y76:Y120" si="197">DZ_ID</f>
        <v>-0.70000000000902673</v>
      </c>
      <c r="Z76" s="47">
        <f t="shared" ref="Z76" si="198" xml:space="preserve"> SQRT(W76*W76+X76*X76+Y76*Y76)</f>
        <v>9.3163040753300681</v>
      </c>
      <c r="AA76" s="48">
        <f t="shared" si="185"/>
        <v>-4.5202747279802225</v>
      </c>
      <c r="AB76" s="48">
        <f t="shared" si="186"/>
        <v>-10.24399516925234</v>
      </c>
      <c r="AC76" s="48">
        <f t="shared" si="187"/>
        <v>2.299999999991087</v>
      </c>
      <c r="AD76" s="47">
        <f t="shared" ref="AD76" si="199" xml:space="preserve"> SQRT(AA76*AA76+AB76*AB76+AC76*AC76)</f>
        <v>11.430762032517384</v>
      </c>
      <c r="AE76" s="22"/>
      <c r="AF76" s="88"/>
      <c r="AG76" s="88"/>
      <c r="AH76" s="88"/>
      <c r="AI76" s="88"/>
      <c r="AJ76" s="88"/>
      <c r="AL76" s="89"/>
      <c r="AM76" s="90"/>
      <c r="AN76" s="90"/>
      <c r="AO76" s="89"/>
      <c r="AP76" s="89"/>
      <c r="AR76" s="89"/>
      <c r="AT76" s="12">
        <v>53.700000000000017</v>
      </c>
      <c r="AU76" s="29">
        <f t="shared" si="190"/>
        <v>43886</v>
      </c>
      <c r="AV76" s="12">
        <v>287</v>
      </c>
      <c r="AW76" s="12">
        <f t="shared" si="189"/>
        <v>24.756299609107035</v>
      </c>
      <c r="AY76" s="93"/>
      <c r="BC76" s="74"/>
    </row>
    <row r="77" spans="1:55" ht="29.25" customHeight="1" x14ac:dyDescent="0.2">
      <c r="A77" s="27">
        <f t="shared" si="170"/>
        <v>297</v>
      </c>
      <c r="B77" s="28">
        <f t="shared" si="171"/>
        <v>43896</v>
      </c>
      <c r="C77" s="48">
        <f t="shared" si="172"/>
        <v>-5.655622190943177</v>
      </c>
      <c r="D77" s="48">
        <f t="shared" si="173"/>
        <v>13.452242127055314</v>
      </c>
      <c r="E77" s="48">
        <f t="shared" si="174"/>
        <v>-9.9999999989108801E-2</v>
      </c>
      <c r="F77" s="47">
        <f t="shared" si="191"/>
        <v>14.593110724297558</v>
      </c>
      <c r="G77" s="47">
        <f t="shared" si="175"/>
        <v>-3.2902291373773096</v>
      </c>
      <c r="H77" s="47">
        <f t="shared" si="176"/>
        <v>12.15915358588493</v>
      </c>
      <c r="I77" s="47">
        <f t="shared" si="177"/>
        <v>-1.4999999999929514</v>
      </c>
      <c r="J77" s="47">
        <f t="shared" si="192"/>
        <v>12.68544929048884</v>
      </c>
      <c r="K77" s="48"/>
      <c r="L77" s="48"/>
      <c r="M77" s="48"/>
      <c r="N77" s="47"/>
      <c r="O77" s="47">
        <f t="shared" si="179"/>
        <v>-5.1138646198580773</v>
      </c>
      <c r="P77" s="47">
        <f t="shared" si="180"/>
        <v>-2.7351047495592917</v>
      </c>
      <c r="Q77" s="48">
        <f t="shared" si="181"/>
        <v>-24.600000000006617</v>
      </c>
      <c r="R77" s="47">
        <f t="shared" si="193"/>
        <v>25.274342906228512</v>
      </c>
      <c r="S77" s="48">
        <f t="shared" si="182"/>
        <v>-2.7943418723737068</v>
      </c>
      <c r="T77" s="48">
        <f t="shared" si="183"/>
        <v>-7.0805659486627981</v>
      </c>
      <c r="U77" s="48">
        <f t="shared" si="184"/>
        <v>-10.099999999994225</v>
      </c>
      <c r="V77" s="47">
        <f t="shared" si="194"/>
        <v>12.647243203676737</v>
      </c>
      <c r="W77" s="48">
        <f t="shared" si="195"/>
        <v>-3.6480277355224189</v>
      </c>
      <c r="X77" s="48">
        <f t="shared" si="196"/>
        <v>-8.309804429993406</v>
      </c>
      <c r="Y77" s="48">
        <f t="shared" si="197"/>
        <v>-0.70000000000902673</v>
      </c>
      <c r="Z77" s="47">
        <f t="shared" ref="Z77" si="200" xml:space="preserve"> SQRT(W77*W77+X77*X77+Y77*Y77)</f>
        <v>9.1022500528106516</v>
      </c>
      <c r="AA77" s="48">
        <f t="shared" si="185"/>
        <v>-5.020274727968399</v>
      </c>
      <c r="AB77" s="48">
        <f t="shared" si="186"/>
        <v>-9.8439951692519401</v>
      </c>
      <c r="AC77" s="48">
        <f t="shared" si="187"/>
        <v>2.299999999991087</v>
      </c>
      <c r="AD77" s="47">
        <f t="shared" ref="AD77" si="201" xml:space="preserve"> SQRT(AA77*AA77+AB77*AB77+AC77*AC77)</f>
        <v>11.287045638097362</v>
      </c>
      <c r="AE77" s="22"/>
      <c r="AF77" s="88"/>
      <c r="AG77" s="88"/>
      <c r="AH77" s="88"/>
      <c r="AI77" s="88"/>
      <c r="AJ77" s="88"/>
      <c r="AL77" s="89"/>
      <c r="AM77" s="90"/>
      <c r="AN77" s="90"/>
      <c r="AO77" s="89"/>
      <c r="AP77" s="89"/>
      <c r="AR77" s="89"/>
      <c r="AT77" s="12">
        <v>53.700000000000017</v>
      </c>
      <c r="AU77" s="29">
        <f t="shared" si="190"/>
        <v>43896</v>
      </c>
      <c r="AV77" s="12">
        <v>297</v>
      </c>
      <c r="AW77" s="12">
        <f t="shared" si="189"/>
        <v>25.076447184431391</v>
      </c>
      <c r="AY77" s="93"/>
      <c r="BC77" s="74"/>
    </row>
    <row r="78" spans="1:55" ht="29.25" customHeight="1" x14ac:dyDescent="0.2">
      <c r="A78" s="27">
        <f t="shared" si="170"/>
        <v>371</v>
      </c>
      <c r="B78" s="28">
        <f t="shared" si="171"/>
        <v>43970</v>
      </c>
      <c r="C78" s="48">
        <f t="shared" si="172"/>
        <v>-6.0556221909564556</v>
      </c>
      <c r="D78" s="48">
        <f t="shared" si="173"/>
        <v>13.452242127055314</v>
      </c>
      <c r="E78" s="48">
        <f t="shared" si="174"/>
        <v>-0.59999999999149622</v>
      </c>
      <c r="F78" s="47">
        <f t="shared" ref="F78" si="202" xml:space="preserve"> SQRT(C78*C78+D78*D78+E78*E78)</f>
        <v>14.764598821658369</v>
      </c>
      <c r="G78" s="47">
        <f t="shared" si="175"/>
        <v>-3.5902291373588469</v>
      </c>
      <c r="H78" s="47">
        <f t="shared" si="176"/>
        <v>11.859153585884741</v>
      </c>
      <c r="I78" s="47">
        <f t="shared" si="177"/>
        <v>-1.6999999999995907</v>
      </c>
      <c r="J78" s="47">
        <f t="shared" ref="J78" si="203" xml:space="preserve"> SQRT(G78*G78+H78*H78+I78*I78)</f>
        <v>12.506768928557927</v>
      </c>
      <c r="K78" s="48"/>
      <c r="L78" s="48"/>
      <c r="M78" s="48"/>
      <c r="N78" s="47"/>
      <c r="O78" s="47">
        <f t="shared" si="179"/>
        <v>-5.9138646198562128</v>
      </c>
      <c r="P78" s="47">
        <f t="shared" si="180"/>
        <v>-2.5351047495592862</v>
      </c>
      <c r="Q78" s="48">
        <f t="shared" si="181"/>
        <v>-25.500000000008072</v>
      </c>
      <c r="R78" s="47">
        <f t="shared" ref="R78" si="204" xml:space="preserve"> SQRT(O78*O78+P78*P78+Q78*Q78)</f>
        <v>26.299250005154839</v>
      </c>
      <c r="S78" s="48">
        <f t="shared" si="182"/>
        <v>-3.394341872365203</v>
      </c>
      <c r="T78" s="48">
        <f t="shared" si="183"/>
        <v>-6.8805659486628201</v>
      </c>
      <c r="U78" s="48">
        <f t="shared" si="184"/>
        <v>-10.89999999999236</v>
      </c>
      <c r="V78" s="47">
        <f t="shared" ref="V78" si="205" xml:space="preserve"> SQRT(S78*S78+T78*T78+U78*U78)</f>
        <v>13.329431515268139</v>
      </c>
      <c r="W78" s="48">
        <f t="shared" si="195"/>
        <v>-4.4480277355205544</v>
      </c>
      <c r="X78" s="48">
        <f t="shared" si="196"/>
        <v>-7.8098044299927949</v>
      </c>
      <c r="Y78" s="48">
        <f t="shared" si="197"/>
        <v>-0.79999999999813554</v>
      </c>
      <c r="Z78" s="47">
        <f t="shared" ref="Z78" si="206" xml:space="preserve"> SQRT(W78*W78+X78*X78+Y78*Y78)</f>
        <v>9.0231921164681079</v>
      </c>
      <c r="AA78" s="48">
        <f t="shared" si="185"/>
        <v>-6.0202747279731739</v>
      </c>
      <c r="AB78" s="48">
        <f t="shared" si="186"/>
        <v>-9.2439951692520061</v>
      </c>
      <c r="AC78" s="48">
        <f t="shared" si="187"/>
        <v>1.9999999999953388</v>
      </c>
      <c r="AD78" s="47">
        <f t="shared" ref="AD78" si="207" xml:space="preserve"> SQRT(AA78*AA78+AB78*AB78+AC78*AC78)</f>
        <v>11.211385038852615</v>
      </c>
      <c r="AE78" s="22"/>
      <c r="AF78" s="88"/>
      <c r="AG78" s="88"/>
      <c r="AH78" s="88"/>
      <c r="AI78" s="88"/>
      <c r="AJ78" s="88"/>
      <c r="AL78" s="89"/>
      <c r="AM78" s="90"/>
      <c r="AN78" s="90"/>
      <c r="AO78" s="89"/>
      <c r="AP78" s="89"/>
      <c r="AR78" s="89"/>
      <c r="AT78" s="12">
        <v>53.700000000000017</v>
      </c>
      <c r="AU78" s="29">
        <f t="shared" si="190"/>
        <v>43970</v>
      </c>
      <c r="AV78" s="12">
        <v>371</v>
      </c>
      <c r="AW78" s="12">
        <f t="shared" si="189"/>
        <v>27.137461313459891</v>
      </c>
      <c r="AY78" s="93"/>
      <c r="BC78" s="74"/>
    </row>
    <row r="79" spans="1:55" ht="29.25" customHeight="1" x14ac:dyDescent="0.2">
      <c r="A79" s="27">
        <f t="shared" si="170"/>
        <v>378</v>
      </c>
      <c r="B79" s="28">
        <f t="shared" si="171"/>
        <v>43977</v>
      </c>
      <c r="C79" s="48">
        <f t="shared" si="172"/>
        <v>-5.2883960254064277</v>
      </c>
      <c r="D79" s="48">
        <f t="shared" si="173"/>
        <v>14.415715834019682</v>
      </c>
      <c r="E79" s="48">
        <f t="shared" si="174"/>
        <v>0.20000000000663931</v>
      </c>
      <c r="F79" s="47">
        <f t="shared" ref="F79:F81" si="208" xml:space="preserve"> SQRT(C79*C79+D79*D79+E79*E79)</f>
        <v>15.356431731647262</v>
      </c>
      <c r="G79" s="47">
        <f t="shared" si="175"/>
        <v>-2.648804292192608</v>
      </c>
      <c r="H79" s="47">
        <f t="shared" si="176"/>
        <v>12.777864926487581</v>
      </c>
      <c r="I79" s="47">
        <f t="shared" si="177"/>
        <v>-1.3999999999896318</v>
      </c>
      <c r="J79" s="47">
        <f t="shared" ref="J79:J81" si="209" xml:space="preserve"> SQRT(G79*G79+H79*H79+I79*I79)</f>
        <v>13.124404605842905</v>
      </c>
      <c r="K79" s="48"/>
      <c r="L79" s="48"/>
      <c r="M79" s="48"/>
      <c r="N79" s="47"/>
      <c r="O79" s="47">
        <f t="shared" si="179"/>
        <v>-4.9484399208949981</v>
      </c>
      <c r="P79" s="47">
        <f t="shared" si="180"/>
        <v>-2.6387388454389979</v>
      </c>
      <c r="Q79" s="48">
        <f t="shared" si="181"/>
        <v>-26.099999999999568</v>
      </c>
      <c r="R79" s="47">
        <f t="shared" ref="R79:R81" si="210" xml:space="preserve"> SQRT(O79*O79+P79*P79+Q79*Q79)</f>
        <v>26.695692542901249</v>
      </c>
      <c r="S79" s="48">
        <f t="shared" si="182"/>
        <v>-2.3942315306726414</v>
      </c>
      <c r="T79" s="48">
        <f t="shared" si="183"/>
        <v>-7.4059202423755188</v>
      </c>
      <c r="U79" s="48">
        <f t="shared" si="184"/>
        <v>-10.89999999999236</v>
      </c>
      <c r="V79" s="47">
        <f t="shared" ref="V79:V81" si="211" xml:space="preserve"> SQRT(S79*S79+T79*T79+U79*U79)</f>
        <v>13.393655186644457</v>
      </c>
      <c r="W79" s="48">
        <f t="shared" si="195"/>
        <v>-3.2765547028930087</v>
      </c>
      <c r="X79" s="48">
        <f t="shared" si="196"/>
        <v>-8.5897724797918684</v>
      </c>
      <c r="Y79" s="48">
        <f t="shared" si="197"/>
        <v>-0.39999999999906777</v>
      </c>
      <c r="Z79" s="47">
        <f t="shared" ref="Z79:Z81" si="212" xml:space="preserve"> SQRT(W79*W79+X79*X79+Y79*Y79)</f>
        <v>9.2021737636082115</v>
      </c>
      <c r="AA79" s="48">
        <f t="shared" si="185"/>
        <v>-4.9745407965815502</v>
      </c>
      <c r="AB79" s="48">
        <f t="shared" si="186"/>
        <v>-10.154011048507439</v>
      </c>
      <c r="AC79" s="48">
        <f t="shared" si="187"/>
        <v>2.6999999999901547</v>
      </c>
      <c r="AD79" s="47">
        <f t="shared" ref="AD79:AD81" si="213" xml:space="preserve"> SQRT(AA79*AA79+AB79*AB79+AC79*AC79)</f>
        <v>11.624972968141137</v>
      </c>
      <c r="AE79" s="22"/>
      <c r="AF79" s="88"/>
      <c r="AG79" s="88"/>
      <c r="AH79" s="88"/>
      <c r="AI79" s="88"/>
      <c r="AJ79" s="88"/>
      <c r="AL79" s="89"/>
      <c r="AM79" s="90"/>
      <c r="AN79" s="90"/>
      <c r="AO79" s="89"/>
      <c r="AP79" s="89"/>
      <c r="AR79" s="89"/>
      <c r="AT79" s="12">
        <v>53.700000000000017</v>
      </c>
      <c r="AU79" s="29">
        <f t="shared" si="190"/>
        <v>43977</v>
      </c>
      <c r="AV79" s="12">
        <v>378</v>
      </c>
      <c r="AW79" s="12">
        <f t="shared" si="189"/>
        <v>27.308828469438552</v>
      </c>
      <c r="AY79" s="93"/>
      <c r="BC79" s="74"/>
    </row>
    <row r="80" spans="1:55" ht="29.25" customHeight="1" x14ac:dyDescent="0.2">
      <c r="A80" s="27">
        <f t="shared" si="170"/>
        <v>385</v>
      </c>
      <c r="B80" s="28">
        <f t="shared" si="171"/>
        <v>43984</v>
      </c>
      <c r="C80" s="48">
        <f t="shared" si="172"/>
        <v>-6.2190833232591558</v>
      </c>
      <c r="D80" s="48">
        <f t="shared" si="173"/>
        <v>13.098969578242858</v>
      </c>
      <c r="E80" s="48">
        <f t="shared" si="174"/>
        <v>-9.9999999989108801E-2</v>
      </c>
      <c r="F80" s="47">
        <f t="shared" si="208"/>
        <v>14.500689686817308</v>
      </c>
      <c r="G80" s="47">
        <f t="shared" si="175"/>
        <v>-3.7062872800106561</v>
      </c>
      <c r="H80" s="47">
        <f t="shared" si="176"/>
        <v>11.733006196415374</v>
      </c>
      <c r="I80" s="47">
        <f t="shared" si="177"/>
        <v>-1.5999999999962711</v>
      </c>
      <c r="J80" s="47">
        <f t="shared" si="209"/>
        <v>12.408061887622837</v>
      </c>
      <c r="K80" s="48"/>
      <c r="L80" s="48"/>
      <c r="M80" s="48"/>
      <c r="N80" s="47"/>
      <c r="O80" s="47">
        <f t="shared" si="179"/>
        <v>-5.2930867429097361</v>
      </c>
      <c r="P80" s="47">
        <f t="shared" si="180"/>
        <v>-3.792523405313053</v>
      </c>
      <c r="Q80" s="48">
        <f t="shared" si="181"/>
        <v>-25.90000000000714</v>
      </c>
      <c r="R80" s="47">
        <f t="shared" si="210"/>
        <v>26.70599185666363</v>
      </c>
      <c r="S80" s="48">
        <f t="shared" si="182"/>
        <v>-2.6360514843304372</v>
      </c>
      <c r="T80" s="48">
        <f t="shared" si="183"/>
        <v>-8.0703923317009263</v>
      </c>
      <c r="U80" s="48">
        <f t="shared" si="184"/>
        <v>-10.800000000003251</v>
      </c>
      <c r="V80" s="47">
        <f t="shared" si="211"/>
        <v>13.737539802151185</v>
      </c>
      <c r="W80" s="48">
        <f t="shared" si="195"/>
        <v>-3.5545410774204811</v>
      </c>
      <c r="X80" s="48">
        <f t="shared" si="196"/>
        <v>-8.9400915556039351</v>
      </c>
      <c r="Y80" s="48">
        <f t="shared" si="197"/>
        <v>-0.60000000000570708</v>
      </c>
      <c r="Z80" s="47">
        <f t="shared" si="212"/>
        <v>9.639502025190783</v>
      </c>
      <c r="AA80" s="48">
        <f t="shared" si="185"/>
        <v>-4.9383743757118737</v>
      </c>
      <c r="AB80" s="48">
        <f t="shared" si="186"/>
        <v>-10.468164062065188</v>
      </c>
      <c r="AC80" s="48">
        <f t="shared" si="187"/>
        <v>2.299999999991087</v>
      </c>
      <c r="AD80" s="47">
        <f t="shared" si="213"/>
        <v>11.800847440118858</v>
      </c>
      <c r="AE80" s="22"/>
      <c r="AF80" s="88"/>
      <c r="AG80" s="88"/>
      <c r="AH80" s="88"/>
      <c r="AI80" s="88"/>
      <c r="AJ80" s="88"/>
      <c r="AL80" s="89"/>
      <c r="AM80" s="90"/>
      <c r="AN80" s="90"/>
      <c r="AO80" s="89"/>
      <c r="AP80" s="89"/>
      <c r="AR80" s="89"/>
      <c r="AT80" s="12">
        <v>53.700000000000017</v>
      </c>
      <c r="AU80" s="29">
        <f t="shared" si="190"/>
        <v>43984</v>
      </c>
      <c r="AV80" s="12">
        <v>385</v>
      </c>
      <c r="AW80" s="12">
        <f t="shared" si="189"/>
        <v>27.476734358525448</v>
      </c>
      <c r="AY80" s="93"/>
      <c r="BC80" s="74"/>
    </row>
    <row r="81" spans="1:55" ht="29.25" customHeight="1" x14ac:dyDescent="0.2">
      <c r="A81" s="27">
        <f t="shared" si="170"/>
        <v>391</v>
      </c>
      <c r="B81" s="28">
        <f t="shared" si="171"/>
        <v>43990</v>
      </c>
      <c r="C81" s="48">
        <f t="shared" si="172"/>
        <v>-5.8199736743631547</v>
      </c>
      <c r="D81" s="48">
        <f t="shared" si="173"/>
        <v>14.60917185883126</v>
      </c>
      <c r="E81" s="48">
        <f t="shared" si="174"/>
        <v>-0.69999999999481588</v>
      </c>
      <c r="F81" s="47">
        <f t="shared" si="208"/>
        <v>15.741346701319431</v>
      </c>
      <c r="G81" s="47">
        <f t="shared" si="175"/>
        <v>-3.2649123963608417</v>
      </c>
      <c r="H81" s="47">
        <f t="shared" si="176"/>
        <v>13.152579475264048</v>
      </c>
      <c r="I81" s="47">
        <f t="shared" si="177"/>
        <v>-1.8999999999920192</v>
      </c>
      <c r="J81" s="47">
        <f t="shared" si="209"/>
        <v>13.684297563595198</v>
      </c>
      <c r="K81" s="48"/>
      <c r="L81" s="48"/>
      <c r="M81" s="48"/>
      <c r="N81" s="47"/>
      <c r="O81" s="47">
        <f t="shared" si="179"/>
        <v>-5.6429794767893782</v>
      </c>
      <c r="P81" s="47">
        <f t="shared" si="180"/>
        <v>-1.8592424431851107</v>
      </c>
      <c r="Q81" s="48">
        <f t="shared" si="181"/>
        <v>-26.300000000006207</v>
      </c>
      <c r="R81" s="47">
        <f t="shared" si="210"/>
        <v>26.962752082054486</v>
      </c>
      <c r="S81" s="48">
        <f t="shared" si="182"/>
        <v>-3.3545599602291531</v>
      </c>
      <c r="T81" s="48">
        <f t="shared" si="183"/>
        <v>-6.5296957221985252</v>
      </c>
      <c r="U81" s="48">
        <f t="shared" si="184"/>
        <v>-11.600000000001387</v>
      </c>
      <c r="V81" s="47">
        <f t="shared" si="211"/>
        <v>13.727709158898382</v>
      </c>
      <c r="W81" s="48">
        <f t="shared" si="195"/>
        <v>-4.412042744121436</v>
      </c>
      <c r="X81" s="48">
        <f t="shared" si="196"/>
        <v>-7.5745546140986164</v>
      </c>
      <c r="Y81" s="48">
        <f t="shared" si="197"/>
        <v>-0.90000000000145519</v>
      </c>
      <c r="Z81" s="47">
        <f t="shared" si="212"/>
        <v>8.8119236706816668</v>
      </c>
      <c r="AA81" s="48">
        <f t="shared" si="185"/>
        <v>-6.0193996884549961</v>
      </c>
      <c r="AB81" s="48">
        <f t="shared" si="186"/>
        <v>-9.0965282646240375</v>
      </c>
      <c r="AC81" s="48">
        <f t="shared" si="187"/>
        <v>1.9999999999953388</v>
      </c>
      <c r="AD81" s="47">
        <f t="shared" si="213"/>
        <v>11.089634758568808</v>
      </c>
      <c r="AE81" s="22"/>
      <c r="AF81" s="88"/>
      <c r="AG81" s="88"/>
      <c r="AH81" s="88"/>
      <c r="AI81" s="88"/>
      <c r="AJ81" s="88"/>
      <c r="AL81" s="89"/>
      <c r="AM81" s="90"/>
      <c r="AN81" s="90"/>
      <c r="AO81" s="89"/>
      <c r="AP81" s="89"/>
      <c r="AR81" s="89"/>
      <c r="AT81" s="12">
        <v>53.700000000000017</v>
      </c>
      <c r="AU81" s="29">
        <f t="shared" si="190"/>
        <v>43990</v>
      </c>
      <c r="AV81" s="12">
        <v>391</v>
      </c>
      <c r="AW81" s="12">
        <f t="shared" si="189"/>
        <v>27.61799129697058</v>
      </c>
      <c r="AY81" s="93"/>
      <c r="BC81" s="74"/>
    </row>
    <row r="82" spans="1:55" ht="29.25" customHeight="1" x14ac:dyDescent="0.2">
      <c r="A82" s="27">
        <f t="shared" si="170"/>
        <v>398</v>
      </c>
      <c r="B82" s="28">
        <f t="shared" si="171"/>
        <v>43997</v>
      </c>
      <c r="C82" s="48">
        <f t="shared" si="172"/>
        <v>-5.7476409238859105</v>
      </c>
      <c r="D82" s="48">
        <f t="shared" si="173"/>
        <v>13.980866302959249</v>
      </c>
      <c r="E82" s="48">
        <f t="shared" si="174"/>
        <v>0.60000000000570708</v>
      </c>
      <c r="F82" s="47">
        <f t="shared" ref="F82:F84" si="214" xml:space="preserve"> SQRT(C82*C82+D82*D82+E82*E82)</f>
        <v>15.128119472398291</v>
      </c>
      <c r="G82" s="47">
        <f t="shared" si="175"/>
        <v>-3.3254739315964343</v>
      </c>
      <c r="H82" s="47">
        <f t="shared" si="176"/>
        <v>12.572637791946839</v>
      </c>
      <c r="I82" s="47">
        <f t="shared" si="177"/>
        <v>-0.89999999998724434</v>
      </c>
      <c r="J82" s="47">
        <f t="shared" ref="J82:J84" si="215" xml:space="preserve"> SQRT(G82*G82+H82*H82+I82*I82)</f>
        <v>13.036103632496728</v>
      </c>
      <c r="K82" s="48"/>
      <c r="L82" s="48"/>
      <c r="M82" s="48"/>
      <c r="N82" s="47"/>
      <c r="O82" s="47">
        <f t="shared" si="179"/>
        <v>-5.1780622681860677</v>
      </c>
      <c r="P82" s="47">
        <f t="shared" si="180"/>
        <v>-2.8561636918468247</v>
      </c>
      <c r="Q82" s="48">
        <f t="shared" si="181"/>
        <v>-25.300000000001432</v>
      </c>
      <c r="R82" s="47">
        <f t="shared" ref="R82:R84" si="216" xml:space="preserve"> SQRT(O82*O82+P82*P82+Q82*Q82)</f>
        <v>25.981916786255567</v>
      </c>
      <c r="S82" s="48">
        <f t="shared" si="182"/>
        <v>-2.6661191055836753</v>
      </c>
      <c r="T82" s="48">
        <f t="shared" si="183"/>
        <v>-7.5327158268079231</v>
      </c>
      <c r="U82" s="48">
        <f t="shared" si="184"/>
        <v>-10.499999999993292</v>
      </c>
      <c r="V82" s="47">
        <f t="shared" ref="V82:V84" si="217" xml:space="preserve"> SQRT(S82*S82+T82*T82+U82*U82)</f>
        <v>13.194695859035933</v>
      </c>
      <c r="W82" s="48">
        <f t="shared" si="195"/>
        <v>-3.7597683174794838</v>
      </c>
      <c r="X82" s="48">
        <f t="shared" si="196"/>
        <v>-8.2634219653821006</v>
      </c>
      <c r="Y82" s="48">
        <f t="shared" si="197"/>
        <v>0.29999999999574811</v>
      </c>
      <c r="Z82" s="47">
        <f t="shared" ref="Z82:Z84" si="218" xml:space="preserve"> SQRT(W82*W82+X82*X82+Y82*Y82)</f>
        <v>9.083501548361145</v>
      </c>
      <c r="AA82" s="48">
        <f t="shared" si="185"/>
        <v>-5.4154892890778683</v>
      </c>
      <c r="AB82" s="48">
        <f t="shared" si="186"/>
        <v>-9.918289845291639</v>
      </c>
      <c r="AC82" s="48">
        <f t="shared" si="187"/>
        <v>3.0999999999892225</v>
      </c>
      <c r="AD82" s="47">
        <f t="shared" ref="AD82:AD84" si="219" xml:space="preserve"> SQRT(AA82*AA82+AB82*AB82+AC82*AC82)</f>
        <v>11.717934873315585</v>
      </c>
      <c r="AE82" s="22"/>
      <c r="AF82" s="88"/>
      <c r="AG82" s="88"/>
      <c r="AH82" s="88"/>
      <c r="AI82" s="88"/>
      <c r="AJ82" s="88"/>
      <c r="AL82" s="89"/>
      <c r="AM82" s="90"/>
      <c r="AN82" s="90"/>
      <c r="AO82" s="89"/>
      <c r="AP82" s="89"/>
      <c r="AR82" s="89"/>
      <c r="AT82" s="12">
        <v>53.700000000000017</v>
      </c>
      <c r="AU82" s="29">
        <f t="shared" si="190"/>
        <v>43997</v>
      </c>
      <c r="AV82" s="105">
        <v>398</v>
      </c>
      <c r="AW82" s="12">
        <f t="shared" si="189"/>
        <v>27.779787652638799</v>
      </c>
      <c r="AY82" s="93"/>
      <c r="BC82" s="74"/>
    </row>
    <row r="83" spans="1:55" ht="29.25" customHeight="1" x14ac:dyDescent="0.2">
      <c r="A83" s="27">
        <f t="shared" si="170"/>
        <v>405</v>
      </c>
      <c r="B83" s="28">
        <f t="shared" si="171"/>
        <v>44004</v>
      </c>
      <c r="C83" s="48">
        <f t="shared" si="172"/>
        <v>-5.8443687815952217</v>
      </c>
      <c r="D83" s="48">
        <f t="shared" si="173"/>
        <v>13.715077422213895</v>
      </c>
      <c r="E83" s="48">
        <f t="shared" si="174"/>
        <v>0</v>
      </c>
      <c r="F83" s="47">
        <f t="shared" si="214"/>
        <v>14.90838673876574</v>
      </c>
      <c r="G83" s="47">
        <f t="shared" si="175"/>
        <v>-3.4705660275449191</v>
      </c>
      <c r="H83" s="47">
        <f t="shared" si="176"/>
        <v>12.173954583386326</v>
      </c>
      <c r="I83" s="47">
        <f t="shared" si="177"/>
        <v>-1.4999999999929514</v>
      </c>
      <c r="J83" s="47">
        <f t="shared" si="215"/>
        <v>12.74754873494825</v>
      </c>
      <c r="K83" s="48"/>
      <c r="L83" s="48"/>
      <c r="M83" s="48"/>
      <c r="N83" s="47"/>
      <c r="O83" s="47">
        <f t="shared" si="179"/>
        <v>-5.4922151762184512</v>
      </c>
      <c r="P83" s="47">
        <f t="shared" si="180"/>
        <v>-2.8923300635540219</v>
      </c>
      <c r="Q83" s="48">
        <f t="shared" si="181"/>
        <v>-25.7000000000005</v>
      </c>
      <c r="R83" s="47">
        <f t="shared" si="216"/>
        <v>26.438986378801445</v>
      </c>
      <c r="S83" s="48">
        <f t="shared" si="182"/>
        <v>-3.0225371428400649</v>
      </c>
      <c r="T83" s="48">
        <f t="shared" si="183"/>
        <v>-7.4782531475188208</v>
      </c>
      <c r="U83" s="48">
        <f t="shared" si="184"/>
        <v>-10.99999999999568</v>
      </c>
      <c r="V83" s="47">
        <f t="shared" si="217"/>
        <v>13.640381259998852</v>
      </c>
      <c r="W83" s="48">
        <f t="shared" si="195"/>
        <v>-4.0739211199820602</v>
      </c>
      <c r="X83" s="48">
        <f t="shared" si="196"/>
        <v>-8.2995882878762473</v>
      </c>
      <c r="Y83" s="48">
        <f t="shared" si="197"/>
        <v>-0.30000000000995897</v>
      </c>
      <c r="Z83" s="47">
        <f t="shared" si="218"/>
        <v>9.250405344637306</v>
      </c>
      <c r="AA83" s="48">
        <f t="shared" si="185"/>
        <v>-5.8625364827946669</v>
      </c>
      <c r="AB83" s="48">
        <f t="shared" si="186"/>
        <v>-9.9060923444342919</v>
      </c>
      <c r="AC83" s="48">
        <f t="shared" si="187"/>
        <v>2.6999999999901547</v>
      </c>
      <c r="AD83" s="47">
        <f t="shared" si="219"/>
        <v>11.823282097138044</v>
      </c>
      <c r="AE83" s="22"/>
      <c r="AF83" s="88"/>
      <c r="AG83" s="88"/>
      <c r="AH83" s="88"/>
      <c r="AI83" s="88"/>
      <c r="AJ83" s="88"/>
      <c r="AL83" s="89"/>
      <c r="AM83" s="90"/>
      <c r="AN83" s="90"/>
      <c r="AO83" s="89"/>
      <c r="AP83" s="89"/>
      <c r="AR83" s="89"/>
      <c r="AT83" s="12">
        <v>53.700000000000017</v>
      </c>
      <c r="AU83" s="29">
        <f t="shared" si="190"/>
        <v>43999</v>
      </c>
      <c r="AV83" s="12">
        <v>400</v>
      </c>
      <c r="AW83" s="12">
        <f t="shared" si="189"/>
        <v>27.825435748344539</v>
      </c>
      <c r="AY83" s="93"/>
      <c r="BC83" s="74"/>
    </row>
    <row r="84" spans="1:55" ht="29.25" customHeight="1" x14ac:dyDescent="0.2">
      <c r="A84" s="27">
        <f t="shared" si="170"/>
        <v>419</v>
      </c>
      <c r="B84" s="28">
        <f t="shared" si="171"/>
        <v>44018</v>
      </c>
      <c r="C84" s="48">
        <f t="shared" si="172"/>
        <v>-5.6992768895725021</v>
      </c>
      <c r="D84" s="48">
        <f t="shared" si="173"/>
        <v>14.113760792564101</v>
      </c>
      <c r="E84" s="48">
        <f t="shared" si="174"/>
        <v>-0.29999999999574811</v>
      </c>
      <c r="F84" s="47">
        <f t="shared" si="214"/>
        <v>15.223994245063688</v>
      </c>
      <c r="G84" s="47">
        <f t="shared" si="175"/>
        <v>-3.1381168119253289</v>
      </c>
      <c r="H84" s="47">
        <f t="shared" si="176"/>
        <v>12.880691900344132</v>
      </c>
      <c r="I84" s="47">
        <f t="shared" si="177"/>
        <v>-1.4999999999929514</v>
      </c>
      <c r="J84" s="47">
        <f t="shared" si="215"/>
        <v>13.342038860566182</v>
      </c>
      <c r="K84" s="48"/>
      <c r="L84" s="48"/>
      <c r="M84" s="48"/>
      <c r="N84" s="47"/>
      <c r="O84" s="47">
        <f t="shared" si="179"/>
        <v>-5.3532219853877905</v>
      </c>
      <c r="P84" s="47">
        <f t="shared" si="180"/>
        <v>-2.7171703955498341</v>
      </c>
      <c r="Q84" s="48">
        <f t="shared" si="181"/>
        <v>-26.400000000009527</v>
      </c>
      <c r="R84" s="47">
        <f t="shared" si="216"/>
        <v>27.073972752143241</v>
      </c>
      <c r="S84" s="48">
        <f t="shared" si="182"/>
        <v>-2.9319078808782706</v>
      </c>
      <c r="T84" s="48">
        <f t="shared" si="183"/>
        <v>-7.4359879199281664</v>
      </c>
      <c r="U84" s="48">
        <f t="shared" si="184"/>
        <v>-11.499999999998067</v>
      </c>
      <c r="V84" s="47">
        <f t="shared" si="217"/>
        <v>14.004999113431936</v>
      </c>
      <c r="W84" s="48">
        <f t="shared" si="195"/>
        <v>-3.983291963550073</v>
      </c>
      <c r="X84" s="48">
        <f t="shared" si="196"/>
        <v>-8.257323109464032</v>
      </c>
      <c r="Y84" s="48">
        <f t="shared" si="197"/>
        <v>-0.39999999999906777</v>
      </c>
      <c r="Z84" s="47">
        <f t="shared" si="218"/>
        <v>9.1766006669665323</v>
      </c>
      <c r="AA84" s="48">
        <f t="shared" si="185"/>
        <v>-5.8141724484244151</v>
      </c>
      <c r="AB84" s="48">
        <f t="shared" si="186"/>
        <v>-9.7731978548347698</v>
      </c>
      <c r="AC84" s="48">
        <f t="shared" si="187"/>
        <v>2.6000000000010459</v>
      </c>
      <c r="AD84" s="47">
        <f t="shared" si="219"/>
        <v>11.665333152969525</v>
      </c>
      <c r="AE84" s="22"/>
      <c r="AF84" s="88"/>
      <c r="AG84" s="88"/>
      <c r="AH84" s="88"/>
      <c r="AI84" s="88"/>
      <c r="AJ84" s="88"/>
      <c r="AL84" s="89"/>
      <c r="AM84" s="90"/>
      <c r="AN84" s="90"/>
      <c r="AO84" s="89"/>
      <c r="AP84" s="89"/>
      <c r="AR84" s="89"/>
      <c r="AT84" s="12">
        <v>53.700000000000017</v>
      </c>
      <c r="AU84" s="29">
        <f t="shared" si="190"/>
        <v>44009</v>
      </c>
      <c r="AV84" s="12">
        <v>410</v>
      </c>
      <c r="AW84" s="12">
        <f t="shared" si="189"/>
        <v>28.049931643398448</v>
      </c>
      <c r="AY84" s="93"/>
      <c r="BC84" s="74"/>
    </row>
    <row r="85" spans="1:55" ht="29.25" customHeight="1" x14ac:dyDescent="0.2">
      <c r="A85" s="27">
        <f t="shared" si="170"/>
        <v>428</v>
      </c>
      <c r="B85" s="28">
        <f t="shared" si="171"/>
        <v>44027</v>
      </c>
      <c r="C85" s="48">
        <f t="shared" si="172"/>
        <v>-6.2548233601091852</v>
      </c>
      <c r="D85" s="48">
        <f t="shared" si="173"/>
        <v>15.068416813624808</v>
      </c>
      <c r="E85" s="48">
        <f t="shared" si="174"/>
        <v>0.39999999999906777</v>
      </c>
      <c r="F85" s="47">
        <f t="shared" ref="F85:F87" si="220" xml:space="preserve"> SQRT(C85*C85+D85*D85+E85*E85)</f>
        <v>16.319926486822713</v>
      </c>
      <c r="G85" s="47">
        <f t="shared" si="175"/>
        <v>-3.6091327217206981</v>
      </c>
      <c r="H85" s="47">
        <f t="shared" si="176"/>
        <v>13.654089446647255</v>
      </c>
      <c r="I85" s="47">
        <f t="shared" si="177"/>
        <v>-0.89999999998724434</v>
      </c>
      <c r="J85" s="47">
        <f t="shared" ref="J85:J87" si="221" xml:space="preserve"> SQRT(G85*G85+H85*H85+I85*I85)</f>
        <v>14.151678261606149</v>
      </c>
      <c r="K85" s="48"/>
      <c r="L85" s="48"/>
      <c r="M85" s="48"/>
      <c r="N85" s="47"/>
      <c r="O85" s="47">
        <f t="shared" si="179"/>
        <v>-5.7819726675916172</v>
      </c>
      <c r="P85" s="47">
        <f t="shared" si="180"/>
        <v>-2.0344021111739496</v>
      </c>
      <c r="Q85" s="48">
        <f t="shared" si="181"/>
        <v>-26.200000000002888</v>
      </c>
      <c r="R85" s="47">
        <f t="shared" ref="R85:R87" si="222" xml:space="preserve"> SQRT(O85*O85+P85*P85+Q85*Q85)</f>
        <v>26.907433914791593</v>
      </c>
      <c r="S85" s="48">
        <f t="shared" si="182"/>
        <v>-3.3183935393310549</v>
      </c>
      <c r="T85" s="48">
        <f t="shared" si="183"/>
        <v>-6.8438487357354028</v>
      </c>
      <c r="U85" s="48">
        <f t="shared" si="184"/>
        <v>-10.99999999999568</v>
      </c>
      <c r="V85" s="47">
        <f t="shared" ref="V85:V87" si="223" xml:space="preserve"> SQRT(S85*S85+T85*T85+U85*U85)</f>
        <v>13.373481267022663</v>
      </c>
      <c r="W85" s="48">
        <f t="shared" si="195"/>
        <v>-4.4543078733454422</v>
      </c>
      <c r="X85" s="48">
        <f t="shared" si="196"/>
        <v>-7.4839255631369284</v>
      </c>
      <c r="Y85" s="48">
        <f t="shared" si="197"/>
        <v>0.29999999999574811</v>
      </c>
      <c r="Z85" s="47">
        <f t="shared" ref="Z85:Z87" si="224" xml:space="preserve"> SQRT(W85*W85+X85*X85+Y85*Y85)</f>
        <v>8.7143559983006789</v>
      </c>
      <c r="AA85" s="48">
        <f t="shared" si="185"/>
        <v>-6.2429233345255852</v>
      </c>
      <c r="AB85" s="48">
        <f t="shared" si="186"/>
        <v>-9.0904294086744386</v>
      </c>
      <c r="AC85" s="48">
        <f t="shared" si="187"/>
        <v>3.1999999999925421</v>
      </c>
      <c r="AD85" s="47">
        <f t="shared" ref="AD85:AD87" si="225" xml:space="preserve"> SQRT(AA85*AA85+AB85*AB85+AC85*AC85)</f>
        <v>11.482595464214937</v>
      </c>
      <c r="AE85" s="22"/>
      <c r="AF85" s="88"/>
      <c r="AG85" s="88"/>
      <c r="AH85" s="88"/>
      <c r="AI85" s="88"/>
      <c r="AJ85" s="88"/>
      <c r="AL85" s="89"/>
      <c r="AM85" s="90"/>
      <c r="AN85" s="90"/>
      <c r="AO85" s="89"/>
      <c r="AP85" s="89"/>
      <c r="AR85" s="89"/>
      <c r="AT85" s="12">
        <v>53.700000000000017</v>
      </c>
      <c r="AU85" s="29">
        <f t="shared" si="190"/>
        <v>44019</v>
      </c>
      <c r="AV85" s="12">
        <v>420</v>
      </c>
      <c r="AW85" s="12">
        <f t="shared" si="189"/>
        <v>28.268403629656824</v>
      </c>
      <c r="AY85" s="93"/>
      <c r="BC85" s="74"/>
    </row>
    <row r="86" spans="1:55" ht="29.25" customHeight="1" x14ac:dyDescent="0.2">
      <c r="A86" s="27">
        <f t="shared" si="170"/>
        <v>440</v>
      </c>
      <c r="B86" s="28">
        <f t="shared" si="171"/>
        <v>44039</v>
      </c>
      <c r="C86" s="48">
        <f t="shared" si="172"/>
        <v>-5.6870792831773542</v>
      </c>
      <c r="D86" s="48">
        <f t="shared" si="173"/>
        <v>14.560808035486428</v>
      </c>
      <c r="E86" s="48">
        <f t="shared" si="174"/>
        <v>-0.69999999999481588</v>
      </c>
      <c r="F86" s="47">
        <f t="shared" si="220"/>
        <v>15.64768357998793</v>
      </c>
      <c r="G86" s="47">
        <f t="shared" si="175"/>
        <v>-2.9991235226987101</v>
      </c>
      <c r="H86" s="47">
        <f t="shared" si="176"/>
        <v>13.055851357348658</v>
      </c>
      <c r="I86" s="47">
        <f t="shared" si="177"/>
        <v>-1.9999999999953388</v>
      </c>
      <c r="J86" s="47">
        <f t="shared" si="221"/>
        <v>13.54437139809629</v>
      </c>
      <c r="K86" s="48"/>
      <c r="L86" s="48"/>
      <c r="M86" s="48"/>
      <c r="N86" s="47"/>
      <c r="O86" s="47">
        <f t="shared" si="179"/>
        <v>-5.2564939237811359</v>
      </c>
      <c r="P86" s="47">
        <f t="shared" si="180"/>
        <v>-2.4513816765550924</v>
      </c>
      <c r="Q86" s="48">
        <f t="shared" si="181"/>
        <v>-27.300000000010982</v>
      </c>
      <c r="R86" s="47">
        <f t="shared" si="222"/>
        <v>27.909317449473711</v>
      </c>
      <c r="S86" s="48">
        <f t="shared" si="182"/>
        <v>-2.7929146900191881</v>
      </c>
      <c r="T86" s="48">
        <f t="shared" si="183"/>
        <v>-7.2608282519066591</v>
      </c>
      <c r="U86" s="48">
        <f t="shared" si="184"/>
        <v>-12.199999999992883</v>
      </c>
      <c r="V86" s="47">
        <f t="shared" si="223"/>
        <v>14.469277776352117</v>
      </c>
      <c r="W86" s="48">
        <f t="shared" si="195"/>
        <v>-3.9771930584038273</v>
      </c>
      <c r="X86" s="48">
        <f t="shared" si="196"/>
        <v>-8.0337995688806174</v>
      </c>
      <c r="Y86" s="48">
        <f t="shared" si="197"/>
        <v>-0.79999999999813554</v>
      </c>
      <c r="Z86" s="47">
        <f t="shared" si="224"/>
        <v>9.0000000075977216</v>
      </c>
      <c r="AA86" s="48">
        <f t="shared" si="185"/>
        <v>-5.4939207407471713</v>
      </c>
      <c r="AB86" s="48">
        <f t="shared" si="186"/>
        <v>-9.5135079918082788</v>
      </c>
      <c r="AC86" s="48">
        <f t="shared" si="187"/>
        <v>2.0999999999986585</v>
      </c>
      <c r="AD86" s="47">
        <f t="shared" si="225"/>
        <v>11.184811103268856</v>
      </c>
      <c r="AE86" s="22"/>
      <c r="AF86" s="88"/>
      <c r="AG86" s="88"/>
      <c r="AH86" s="88"/>
      <c r="AI86" s="88"/>
      <c r="AJ86" s="88"/>
      <c r="AL86" s="89"/>
      <c r="AM86" s="90"/>
      <c r="AN86" s="90"/>
      <c r="AO86" s="89"/>
      <c r="AP86" s="89"/>
      <c r="AR86" s="89"/>
      <c r="AT86" s="12">
        <v>53.700000000000017</v>
      </c>
      <c r="AU86" s="29">
        <f t="shared" si="190"/>
        <v>44029</v>
      </c>
      <c r="AV86" s="12">
        <v>430</v>
      </c>
      <c r="AW86" s="12">
        <f t="shared" si="189"/>
        <v>28.48113190851074</v>
      </c>
      <c r="AY86" s="93"/>
      <c r="BC86" s="74"/>
    </row>
    <row r="87" spans="1:55" ht="29.25" customHeight="1" x14ac:dyDescent="0.2">
      <c r="A87" s="27">
        <f t="shared" si="170"/>
        <v>454</v>
      </c>
      <c r="B87" s="28">
        <f t="shared" si="171"/>
        <v>44053</v>
      </c>
      <c r="C87" s="48">
        <f t="shared" si="172"/>
        <v>-6.1341264768657311</v>
      </c>
      <c r="D87" s="48">
        <f t="shared" si="173"/>
        <v>14.573005536343331</v>
      </c>
      <c r="E87" s="48">
        <f t="shared" si="174"/>
        <v>-0.29999999999574811</v>
      </c>
      <c r="F87" s="47">
        <f t="shared" si="220"/>
        <v>15.814234031292063</v>
      </c>
      <c r="G87" s="47">
        <f t="shared" si="175"/>
        <v>-3.5790651004958818</v>
      </c>
      <c r="H87" s="47">
        <f t="shared" si="176"/>
        <v>13.116412941742261</v>
      </c>
      <c r="I87" s="47">
        <f t="shared" si="177"/>
        <v>-1.4999999999929514</v>
      </c>
      <c r="J87" s="47">
        <f t="shared" si="221"/>
        <v>13.678450038358525</v>
      </c>
      <c r="K87" s="48"/>
      <c r="L87" s="48"/>
      <c r="M87" s="48"/>
      <c r="N87" s="47"/>
      <c r="O87" s="47">
        <f t="shared" si="179"/>
        <v>-5.8847995359201377</v>
      </c>
      <c r="P87" s="47">
        <f t="shared" si="180"/>
        <v>-2.52371458174383</v>
      </c>
      <c r="Q87" s="48">
        <f t="shared" si="181"/>
        <v>-27.300000000010982</v>
      </c>
      <c r="R87" s="47">
        <f t="shared" si="222"/>
        <v>28.040863054989444</v>
      </c>
      <c r="S87" s="48">
        <f t="shared" si="182"/>
        <v>-3.2883259110008112</v>
      </c>
      <c r="T87" s="48">
        <f t="shared" si="183"/>
        <v>-7.3815249804289884</v>
      </c>
      <c r="U87" s="48">
        <f t="shared" si="184"/>
        <v>-12.099999999989564</v>
      </c>
      <c r="V87" s="47">
        <f t="shared" si="223"/>
        <v>14.550257672405802</v>
      </c>
      <c r="W87" s="48">
        <f t="shared" si="195"/>
        <v>-4.4242403505450056</v>
      </c>
      <c r="X87" s="48">
        <f t="shared" si="196"/>
        <v>-8.021601857013394</v>
      </c>
      <c r="Y87" s="48">
        <f t="shared" si="197"/>
        <v>-0.39999999999906777</v>
      </c>
      <c r="Z87" s="47">
        <f t="shared" si="224"/>
        <v>9.1695146562852816</v>
      </c>
      <c r="AA87" s="48">
        <f t="shared" si="185"/>
        <v>-6.0376959960990462</v>
      </c>
      <c r="AB87" s="48">
        <f t="shared" si="186"/>
        <v>-9.7670992098985998</v>
      </c>
      <c r="AC87" s="48">
        <f t="shared" si="187"/>
        <v>2.4999999999977263</v>
      </c>
      <c r="AD87" s="47">
        <f t="shared" si="225"/>
        <v>11.751595632819441</v>
      </c>
      <c r="AE87" s="22"/>
      <c r="AF87" s="88"/>
      <c r="AG87" s="88"/>
      <c r="AH87" s="88"/>
      <c r="AI87" s="88"/>
      <c r="AJ87" s="88"/>
      <c r="AL87" s="89"/>
      <c r="AM87" s="90"/>
      <c r="AN87" s="90"/>
      <c r="AO87" s="89"/>
      <c r="AP87" s="89"/>
      <c r="AR87" s="89"/>
      <c r="AT87" s="12">
        <v>53.700000000000017</v>
      </c>
      <c r="AU87" s="29">
        <f t="shared" si="190"/>
        <v>44039</v>
      </c>
      <c r="AV87" s="12">
        <v>440</v>
      </c>
      <c r="AW87" s="12">
        <f t="shared" si="189"/>
        <v>28.688378351338589</v>
      </c>
      <c r="AY87" s="93"/>
      <c r="BC87" s="74"/>
    </row>
    <row r="88" spans="1:55" ht="29.25" customHeight="1" x14ac:dyDescent="0.2">
      <c r="A88" s="27">
        <f t="shared" si="170"/>
        <v>476</v>
      </c>
      <c r="B88" s="28">
        <f t="shared" si="171"/>
        <v>44075</v>
      </c>
      <c r="C88" s="48">
        <f t="shared" si="172"/>
        <v>-5.1794704558574267</v>
      </c>
      <c r="D88" s="48">
        <f t="shared" si="173"/>
        <v>15.128552006914653</v>
      </c>
      <c r="E88" s="48">
        <f t="shared" si="174"/>
        <v>-0.59999999999149622</v>
      </c>
      <c r="F88" s="47">
        <f t="shared" ref="F88" si="226" xml:space="preserve"> SQRT(C88*C88+D88*D88+E88*E88)</f>
        <v>16.001874891056083</v>
      </c>
      <c r="G88" s="47">
        <f t="shared" si="175"/>
        <v>-2.7573035690409142</v>
      </c>
      <c r="H88" s="47">
        <f t="shared" si="176"/>
        <v>13.720323446666072</v>
      </c>
      <c r="I88" s="47">
        <f t="shared" si="177"/>
        <v>-2.299999999991087</v>
      </c>
      <c r="J88" s="47">
        <f t="shared" ref="J88" si="227" xml:space="preserve"> SQRT(G88*G88+H88*H88+I88*I88)</f>
        <v>14.182383384076864</v>
      </c>
      <c r="K88" s="48"/>
      <c r="L88" s="48"/>
      <c r="M88" s="48"/>
      <c r="N88" s="47"/>
      <c r="O88" s="47">
        <f t="shared" si="179"/>
        <v>-4.779379108839521</v>
      </c>
      <c r="P88" s="47">
        <f t="shared" si="180"/>
        <v>-3.001255682308468</v>
      </c>
      <c r="Q88" s="48">
        <f t="shared" si="181"/>
        <v>-29.099999999999682</v>
      </c>
      <c r="R88" s="47">
        <f t="shared" ref="R88" si="228" xml:space="preserve"> SQRT(O88*O88+P88*P88+Q88*Q88)</f>
        <v>29.642199654151547</v>
      </c>
      <c r="S88" s="48">
        <f t="shared" si="182"/>
        <v>-2.0561099065332655</v>
      </c>
      <c r="T88" s="48">
        <f t="shared" si="183"/>
        <v>-8.1309539161202871</v>
      </c>
      <c r="U88" s="48">
        <f t="shared" si="184"/>
        <v>-13.199999999997658</v>
      </c>
      <c r="V88" s="47">
        <f t="shared" ref="V88" si="229" xml:space="preserve"> SQRT(S88*S88+T88*T88+U88*U88)</f>
        <v>15.639053664904223</v>
      </c>
      <c r="W88" s="48">
        <f t="shared" si="195"/>
        <v>-3.3310174313783136</v>
      </c>
      <c r="X88" s="48">
        <f t="shared" si="196"/>
        <v>-8.9461904115308855</v>
      </c>
      <c r="Y88" s="48">
        <f t="shared" si="197"/>
        <v>-0.90000000000145519</v>
      </c>
      <c r="Z88" s="47">
        <f t="shared" ref="Z88" si="230" xml:space="preserve"> SQRT(W88*W88+X88*X88+Y88*Y88)</f>
        <v>9.5885348206864194</v>
      </c>
      <c r="AA88" s="48">
        <f t="shared" si="185"/>
        <v>-5.2102619506229075</v>
      </c>
      <c r="AB88" s="48">
        <f t="shared" si="186"/>
        <v>-10.594959646506474</v>
      </c>
      <c r="AC88" s="48">
        <f t="shared" si="187"/>
        <v>2.3999999999944066</v>
      </c>
      <c r="AD88" s="47">
        <f t="shared" ref="AD88" si="231" xml:space="preserve"> SQRT(AA88*AA88+AB88*AB88+AC88*AC88)</f>
        <v>12.048236364928378</v>
      </c>
      <c r="AE88" s="22"/>
      <c r="AF88" s="88"/>
      <c r="AG88" s="88"/>
      <c r="AH88" s="88"/>
      <c r="AI88" s="88"/>
      <c r="AJ88" s="88"/>
      <c r="AL88" s="89"/>
      <c r="AM88" s="90"/>
      <c r="AN88" s="90"/>
      <c r="AO88" s="89"/>
      <c r="AP88" s="89"/>
      <c r="AR88" s="89"/>
      <c r="AT88" s="12">
        <v>53.700000000000017</v>
      </c>
      <c r="AU88" s="29">
        <f t="shared" si="190"/>
        <v>44049</v>
      </c>
      <c r="AV88" s="12">
        <v>450</v>
      </c>
      <c r="AW88" s="12">
        <f t="shared" si="189"/>
        <v>28.890388031631606</v>
      </c>
      <c r="AY88" s="93"/>
      <c r="BC88" s="74"/>
    </row>
    <row r="89" spans="1:55" ht="29.25" customHeight="1" x14ac:dyDescent="0.2">
      <c r="A89" s="27">
        <f t="shared" si="170"/>
        <v>483</v>
      </c>
      <c r="B89" s="28">
        <f t="shared" si="171"/>
        <v>44082</v>
      </c>
      <c r="C89" s="48"/>
      <c r="D89" s="48"/>
      <c r="E89" s="48"/>
      <c r="F89" s="47"/>
      <c r="G89" s="47"/>
      <c r="H89" s="47"/>
      <c r="I89" s="47"/>
      <c r="J89" s="47"/>
      <c r="K89" s="48"/>
      <c r="L89" s="48"/>
      <c r="M89" s="48"/>
      <c r="N89" s="47"/>
      <c r="O89" s="47"/>
      <c r="P89" s="47"/>
      <c r="Q89" s="48"/>
      <c r="R89" s="47"/>
      <c r="S89" s="48"/>
      <c r="T89" s="48"/>
      <c r="U89" s="48"/>
      <c r="V89" s="47"/>
      <c r="W89" s="48"/>
      <c r="X89" s="48"/>
      <c r="Y89" s="48"/>
      <c r="Z89" s="47"/>
      <c r="AA89" s="48"/>
      <c r="AB89" s="48"/>
      <c r="AC89" s="48"/>
      <c r="AD89" s="47"/>
      <c r="AE89" s="22"/>
      <c r="AF89" s="88"/>
      <c r="AG89" s="88"/>
      <c r="AH89" s="88"/>
      <c r="AI89" s="88"/>
      <c r="AJ89" s="88"/>
      <c r="AL89" s="89"/>
      <c r="AM89" s="90"/>
      <c r="AN89" s="90"/>
      <c r="AO89" s="89"/>
      <c r="AP89" s="89"/>
      <c r="AR89" s="89"/>
      <c r="AT89" s="12">
        <v>53.700000000000017</v>
      </c>
      <c r="AU89" s="29">
        <f t="shared" si="190"/>
        <v>44059</v>
      </c>
      <c r="AV89" s="12">
        <v>460</v>
      </c>
      <c r="AW89" s="12">
        <f t="shared" si="189"/>
        <v>29.087390602280003</v>
      </c>
      <c r="AY89" s="93"/>
      <c r="BC89" s="74"/>
    </row>
    <row r="90" spans="1:55" ht="29.25" customHeight="1" x14ac:dyDescent="0.2">
      <c r="A90" s="27">
        <f t="shared" si="170"/>
        <v>513</v>
      </c>
      <c r="B90" s="28">
        <f t="shared" si="171"/>
        <v>44112</v>
      </c>
      <c r="C90" s="48"/>
      <c r="D90" s="48"/>
      <c r="E90" s="48"/>
      <c r="F90" s="47"/>
      <c r="G90" s="47"/>
      <c r="H90" s="47"/>
      <c r="I90" s="47"/>
      <c r="J90" s="47"/>
      <c r="K90" s="48"/>
      <c r="L90" s="48"/>
      <c r="M90" s="48"/>
      <c r="N90" s="47"/>
      <c r="O90" s="47"/>
      <c r="P90" s="47"/>
      <c r="Q90" s="48"/>
      <c r="R90" s="47"/>
      <c r="S90" s="48"/>
      <c r="T90" s="48"/>
      <c r="U90" s="48"/>
      <c r="V90" s="47"/>
      <c r="W90" s="48"/>
      <c r="X90" s="48"/>
      <c r="Y90" s="48"/>
      <c r="Z90" s="47"/>
      <c r="AA90" s="48"/>
      <c r="AB90" s="48"/>
      <c r="AC90" s="48"/>
      <c r="AD90" s="47"/>
      <c r="AE90" s="22"/>
      <c r="AF90" s="88"/>
      <c r="AG90" s="88"/>
      <c r="AH90" s="88"/>
      <c r="AI90" s="88"/>
      <c r="AJ90" s="88"/>
      <c r="AL90" s="89"/>
      <c r="AM90" s="90"/>
      <c r="AN90" s="90"/>
      <c r="AO90" s="89"/>
      <c r="AP90" s="89"/>
      <c r="AR90" s="89"/>
      <c r="AT90" s="12">
        <v>53.700000000000017</v>
      </c>
      <c r="AU90" s="29">
        <f t="shared" si="190"/>
        <v>44069</v>
      </c>
      <c r="AV90" s="12">
        <v>470</v>
      </c>
      <c r="AW90" s="12">
        <f t="shared" si="189"/>
        <v>29.279601536272818</v>
      </c>
      <c r="AY90" s="93"/>
      <c r="BC90" s="74"/>
    </row>
    <row r="91" spans="1:55" ht="29.25" customHeight="1" x14ac:dyDescent="0.2">
      <c r="A91" s="27">
        <f t="shared" si="170"/>
        <v>535</v>
      </c>
      <c r="B91" s="28">
        <f t="shared" si="171"/>
        <v>44134</v>
      </c>
      <c r="C91" s="48">
        <f t="shared" si="172"/>
        <v>-6.3275825017115039</v>
      </c>
      <c r="D91" s="48">
        <f t="shared" si="173"/>
        <v>14.041427887427904</v>
      </c>
      <c r="E91" s="48">
        <f t="shared" si="174"/>
        <v>0.10000000000331966</v>
      </c>
      <c r="F91" s="47">
        <f t="shared" ref="F91" si="232" xml:space="preserve"> SQRT(C91*C91+D91*D91+E91*E91)</f>
        <v>15.401623207759769</v>
      </c>
      <c r="G91" s="47"/>
      <c r="H91" s="47"/>
      <c r="I91" s="47"/>
      <c r="J91" s="47"/>
      <c r="K91" s="48">
        <f t="shared" ref="K91:K120" si="233">DPM_HG</f>
        <v>-6.7384633729261623</v>
      </c>
      <c r="L91" s="48">
        <f t="shared" ref="L91:L120" si="234">DH_HG</f>
        <v>13.739472585759582</v>
      </c>
      <c r="M91" s="48">
        <f t="shared" ref="M91:M120" si="235">DZ_HG</f>
        <v>-2.6999999999901547</v>
      </c>
      <c r="N91" s="47">
        <f t="shared" ref="N91" si="236" xml:space="preserve"> SQRT(K91*K91+L91*L91+M91*M91)</f>
        <v>15.539304860998557</v>
      </c>
      <c r="O91" s="47">
        <f t="shared" si="179"/>
        <v>-6.211149944817862</v>
      </c>
      <c r="P91" s="47">
        <f t="shared" si="180"/>
        <v>-3.0069281471245821</v>
      </c>
      <c r="Q91" s="48">
        <f t="shared" si="181"/>
        <v>-28.599999999997294</v>
      </c>
      <c r="R91" s="47">
        <f t="shared" ref="R91" si="237" xml:space="preserve"> SQRT(O91*O91+P91*P91+Q91*Q91)</f>
        <v>29.420740992008106</v>
      </c>
      <c r="S91" s="48">
        <f t="shared" si="182"/>
        <v>-3.2098943609071284</v>
      </c>
      <c r="T91" s="48">
        <f t="shared" si="183"/>
        <v>-7.7863070449244454</v>
      </c>
      <c r="U91" s="48">
        <f t="shared" si="184"/>
        <v>-12.299999999996203</v>
      </c>
      <c r="V91" s="47">
        <f t="shared" ref="V91" si="238" xml:space="preserve"> SQRT(S91*S91+T91*T91+U91*U91)</f>
        <v>14.907045287578958</v>
      </c>
      <c r="W91" s="48">
        <f t="shared" si="195"/>
        <v>-4.7867571874178338</v>
      </c>
      <c r="X91" s="48">
        <f t="shared" si="196"/>
        <v>-8.1906626690662065</v>
      </c>
      <c r="Y91" s="48">
        <f t="shared" si="197"/>
        <v>0.39999999999906777</v>
      </c>
      <c r="Z91" s="47">
        <f t="shared" ref="Z91" si="239" xml:space="preserve"> SQRT(W91*W91+X91*X91+Y91*Y91)</f>
        <v>9.49526194108042</v>
      </c>
      <c r="AA91" s="48">
        <f t="shared" si="185"/>
        <v>-6.7566308631228367</v>
      </c>
      <c r="AB91" s="48">
        <f t="shared" si="186"/>
        <v>-9.8816970824548989</v>
      </c>
      <c r="AC91" s="48">
        <f t="shared" si="187"/>
        <v>3.0999999999892225</v>
      </c>
      <c r="AD91" s="47">
        <f t="shared" ref="AD91" si="240" xml:space="preserve"> SQRT(AA91*AA91+AB91*AB91+AC91*AC91)</f>
        <v>12.365678220374122</v>
      </c>
      <c r="AE91" s="22"/>
      <c r="AF91" s="88"/>
      <c r="AG91" s="88"/>
      <c r="AH91" s="88"/>
      <c r="AI91" s="88"/>
      <c r="AJ91" s="88"/>
      <c r="AL91" s="89"/>
      <c r="AM91" s="90"/>
      <c r="AN91" s="90"/>
      <c r="AO91" s="89"/>
      <c r="AP91" s="89"/>
      <c r="AR91" s="89"/>
      <c r="AT91" s="12">
        <v>53.700000000000017</v>
      </c>
      <c r="AU91" s="29">
        <f t="shared" si="190"/>
        <v>44079</v>
      </c>
      <c r="AV91" s="12">
        <v>480</v>
      </c>
      <c r="AW91" s="12">
        <f t="shared" si="189"/>
        <v>29.467223246617259</v>
      </c>
      <c r="AY91" s="93"/>
      <c r="BC91" s="74"/>
    </row>
    <row r="92" spans="1:55" ht="29.25" customHeight="1" x14ac:dyDescent="0.2">
      <c r="A92" s="27"/>
      <c r="B92" s="28"/>
      <c r="C92" s="48"/>
      <c r="D92" s="48"/>
      <c r="E92" s="48"/>
      <c r="F92" s="47"/>
      <c r="G92" s="47"/>
      <c r="H92" s="47"/>
      <c r="I92" s="47"/>
      <c r="J92" s="47"/>
      <c r="K92" s="48"/>
      <c r="L92" s="48"/>
      <c r="M92" s="48"/>
      <c r="N92" s="47"/>
      <c r="O92" s="47"/>
      <c r="P92" s="47"/>
      <c r="Q92" s="48"/>
      <c r="R92" s="47"/>
      <c r="S92" s="48"/>
      <c r="T92" s="48"/>
      <c r="U92" s="48"/>
      <c r="V92" s="47"/>
      <c r="W92" s="48"/>
      <c r="X92" s="48"/>
      <c r="Y92" s="48"/>
      <c r="Z92" s="47"/>
      <c r="AA92" s="48"/>
      <c r="AB92" s="48"/>
      <c r="AC92" s="48"/>
      <c r="AD92" s="47"/>
      <c r="AE92" s="22"/>
      <c r="AF92" s="88"/>
      <c r="AG92" s="88"/>
      <c r="AH92" s="88"/>
      <c r="AI92" s="88"/>
      <c r="AJ92" s="88"/>
      <c r="AL92" s="89"/>
      <c r="AM92" s="90"/>
      <c r="AN92" s="90"/>
      <c r="AO92" s="89"/>
      <c r="AP92" s="89"/>
      <c r="AR92" s="89"/>
      <c r="AT92" s="12">
        <v>53.700000000000017</v>
      </c>
      <c r="AU92" s="29">
        <f t="shared" si="190"/>
        <v>44089</v>
      </c>
      <c r="AV92" s="12">
        <v>490</v>
      </c>
      <c r="AW92" s="12">
        <f t="shared" si="189"/>
        <v>29.650446099201851</v>
      </c>
      <c r="AY92" s="93"/>
      <c r="BC92" s="74"/>
    </row>
    <row r="93" spans="1:55" ht="29.25" customHeight="1" x14ac:dyDescent="0.2">
      <c r="A93" s="27">
        <f t="shared" si="170"/>
        <v>535</v>
      </c>
      <c r="B93" s="28">
        <f t="shared" si="171"/>
        <v>44134</v>
      </c>
      <c r="C93" s="48">
        <f t="shared" si="172"/>
        <v>-6.3275825017115039</v>
      </c>
      <c r="D93" s="48">
        <f t="shared" si="173"/>
        <v>14.041427887427904</v>
      </c>
      <c r="E93" s="48">
        <f t="shared" si="174"/>
        <v>0.10000000000331966</v>
      </c>
      <c r="F93" s="47">
        <f t="shared" ref="F93" si="241" xml:space="preserve"> SQRT(C93*C93+D93*D93+E93*E93)</f>
        <v>15.401623207759769</v>
      </c>
      <c r="G93" s="47"/>
      <c r="H93" s="47"/>
      <c r="I93" s="47"/>
      <c r="J93" s="47"/>
      <c r="K93" s="48">
        <f t="shared" si="233"/>
        <v>-6.7384633729261623</v>
      </c>
      <c r="L93" s="48">
        <f t="shared" si="234"/>
        <v>13.739472585759582</v>
      </c>
      <c r="M93" s="48">
        <f t="shared" si="235"/>
        <v>-2.6999999999901547</v>
      </c>
      <c r="N93" s="47">
        <f t="shared" ref="N93" si="242" xml:space="preserve"> SQRT(K93*K93+L93*L93+M93*M93)</f>
        <v>15.539304860998557</v>
      </c>
      <c r="O93" s="47">
        <f t="shared" si="179"/>
        <v>-6.211149944817862</v>
      </c>
      <c r="P93" s="47">
        <f t="shared" si="180"/>
        <v>-3.0069281471245821</v>
      </c>
      <c r="Q93" s="48">
        <f t="shared" si="181"/>
        <v>-28.599999999997294</v>
      </c>
      <c r="R93" s="47">
        <f t="shared" ref="R93" si="243" xml:space="preserve"> SQRT(O93*O93+P93*P93+Q93*Q93)</f>
        <v>29.420740992008106</v>
      </c>
      <c r="S93" s="48">
        <f t="shared" si="182"/>
        <v>-3.2098943609071284</v>
      </c>
      <c r="T93" s="48">
        <f t="shared" si="183"/>
        <v>-7.7863070449244454</v>
      </c>
      <c r="U93" s="48">
        <f t="shared" si="184"/>
        <v>-12.299999999996203</v>
      </c>
      <c r="V93" s="47">
        <f t="shared" ref="V93" si="244" xml:space="preserve"> SQRT(S93*S93+T93*T93+U93*U93)</f>
        <v>14.907045287578958</v>
      </c>
      <c r="W93" s="48">
        <f t="shared" si="195"/>
        <v>-4.7867571874178338</v>
      </c>
      <c r="X93" s="48">
        <f t="shared" si="196"/>
        <v>-8.1906626690662065</v>
      </c>
      <c r="Y93" s="48">
        <f t="shared" si="197"/>
        <v>0.39999999999906777</v>
      </c>
      <c r="Z93" s="47">
        <f t="shared" ref="Z93" si="245" xml:space="preserve"> SQRT(W93*W93+X93*X93+Y93*Y93)</f>
        <v>9.49526194108042</v>
      </c>
      <c r="AA93" s="48">
        <f t="shared" si="185"/>
        <v>-6.7566308631228367</v>
      </c>
      <c r="AB93" s="48">
        <f t="shared" si="186"/>
        <v>-9.8816970824548989</v>
      </c>
      <c r="AC93" s="48">
        <f t="shared" si="187"/>
        <v>3.0999999999892225</v>
      </c>
      <c r="AD93" s="47">
        <f t="shared" ref="AD93" si="246" xml:space="preserve"> SQRT(AA93*AA93+AB93*AB93+AC93*AC93)</f>
        <v>12.365678220374122</v>
      </c>
      <c r="AE93" s="22"/>
      <c r="AF93" s="88"/>
      <c r="AG93" s="88"/>
      <c r="AH93" s="88"/>
      <c r="AI93" s="88"/>
      <c r="AJ93" s="88"/>
      <c r="AL93" s="89"/>
      <c r="AM93" s="90"/>
      <c r="AN93" s="90"/>
      <c r="AO93" s="89"/>
      <c r="AP93" s="89"/>
      <c r="AR93" s="89"/>
      <c r="AT93" s="12">
        <v>53.700000000000017</v>
      </c>
      <c r="AU93" s="29">
        <f t="shared" si="190"/>
        <v>44099</v>
      </c>
      <c r="AV93" s="12">
        <v>500</v>
      </c>
      <c r="AW93" s="12">
        <f t="shared" si="189"/>
        <v>29.829449330552958</v>
      </c>
      <c r="AY93" s="93"/>
      <c r="BC93" s="74"/>
    </row>
    <row r="94" spans="1:55" ht="29.25" customHeight="1" x14ac:dyDescent="0.2">
      <c r="A94" s="27"/>
      <c r="B94" s="28"/>
      <c r="C94" s="48"/>
      <c r="D94" s="48"/>
      <c r="E94" s="48"/>
      <c r="F94" s="47"/>
      <c r="G94" s="47"/>
      <c r="H94" s="47"/>
      <c r="I94" s="47"/>
      <c r="J94" s="47"/>
      <c r="K94" s="48"/>
      <c r="L94" s="48"/>
      <c r="M94" s="48"/>
      <c r="N94" s="47"/>
      <c r="O94" s="47"/>
      <c r="P94" s="47"/>
      <c r="Q94" s="48"/>
      <c r="R94" s="47"/>
      <c r="S94" s="48"/>
      <c r="T94" s="48"/>
      <c r="U94" s="48"/>
      <c r="V94" s="47"/>
      <c r="W94" s="48"/>
      <c r="X94" s="48"/>
      <c r="Y94" s="48"/>
      <c r="Z94" s="47"/>
      <c r="AA94" s="48"/>
      <c r="AB94" s="48"/>
      <c r="AC94" s="48"/>
      <c r="AD94" s="47"/>
      <c r="AE94" s="22"/>
      <c r="AF94" s="88"/>
      <c r="AG94" s="88"/>
      <c r="AH94" s="88"/>
      <c r="AI94" s="88"/>
      <c r="AJ94" s="88"/>
      <c r="AL94" s="89"/>
      <c r="AM94" s="90"/>
      <c r="AN94" s="90"/>
      <c r="AO94" s="89"/>
      <c r="AP94" s="89"/>
      <c r="AR94" s="89"/>
      <c r="AT94" s="12">
        <v>53.700000000000017</v>
      </c>
      <c r="AU94" s="29">
        <f t="shared" si="190"/>
        <v>44109</v>
      </c>
      <c r="AV94" s="12">
        <v>510</v>
      </c>
      <c r="AW94" s="12">
        <f t="shared" si="189"/>
        <v>30.004401880915282</v>
      </c>
      <c r="AY94" s="93"/>
      <c r="BC94" s="74"/>
    </row>
    <row r="95" spans="1:55" ht="29.25" customHeight="1" x14ac:dyDescent="0.2">
      <c r="A95" s="27">
        <f t="shared" si="170"/>
        <v>541</v>
      </c>
      <c r="B95" s="28">
        <f t="shared" si="171"/>
        <v>44140</v>
      </c>
      <c r="C95" s="48">
        <f t="shared" si="172"/>
        <v>-5.3275825017067291</v>
      </c>
      <c r="D95" s="48">
        <f t="shared" si="173"/>
        <v>12.341427887427869</v>
      </c>
      <c r="E95" s="48">
        <f t="shared" si="174"/>
        <v>-0.50000000000238742</v>
      </c>
      <c r="F95" s="47">
        <f t="shared" ref="F95" si="247" xml:space="preserve"> SQRT(C95*C95+D95*D95+E95*E95)</f>
        <v>13.451541830328464</v>
      </c>
      <c r="G95" s="47"/>
      <c r="H95" s="47"/>
      <c r="I95" s="47"/>
      <c r="J95" s="47"/>
      <c r="K95" s="48">
        <f t="shared" si="233"/>
        <v>-5.5384633729147481</v>
      </c>
      <c r="L95" s="48">
        <f t="shared" si="234"/>
        <v>12.139472585759314</v>
      </c>
      <c r="M95" s="48">
        <f t="shared" si="235"/>
        <v>-3.0999999999892225</v>
      </c>
      <c r="N95" s="47">
        <f t="shared" ref="N95" si="248" xml:space="preserve"> SQRT(K95*K95+L95*L95+M95*M95)</f>
        <v>13.698590116995739</v>
      </c>
      <c r="O95" s="47">
        <f t="shared" si="179"/>
        <v>-5.3111499448164068</v>
      </c>
      <c r="P95" s="47">
        <f t="shared" si="180"/>
        <v>-4.706928147124561</v>
      </c>
      <c r="Q95" s="48">
        <f t="shared" si="181"/>
        <v>-29.29999999999211</v>
      </c>
      <c r="R95" s="47">
        <f t="shared" ref="R95" si="249" xml:space="preserve"> SQRT(O95*O95+P95*P95+Q95*Q95)</f>
        <v>30.147196989406069</v>
      </c>
      <c r="S95" s="48">
        <f t="shared" si="182"/>
        <v>-2.7098943609189519</v>
      </c>
      <c r="T95" s="48">
        <f t="shared" si="183"/>
        <v>-9.8863070449244361</v>
      </c>
      <c r="U95" s="48">
        <f t="shared" si="184"/>
        <v>-13.00000000000523</v>
      </c>
      <c r="V95" s="47">
        <f t="shared" ref="V95" si="250" xml:space="preserve"> SQRT(S95*S95+T95*T95+U95*U95)</f>
        <v>16.555440025381351</v>
      </c>
      <c r="W95" s="48">
        <f t="shared" si="195"/>
        <v>-3.4867571874031</v>
      </c>
      <c r="X95" s="48">
        <f t="shared" si="196"/>
        <v>-10.190662669065986</v>
      </c>
      <c r="Y95" s="48">
        <f t="shared" si="197"/>
        <v>-1.4210854715202004E-11</v>
      </c>
      <c r="Z95" s="47">
        <f t="shared" ref="Z95" si="251" xml:space="preserve"> SQRT(W95*W95+X95*X95+Y95*Y95)</f>
        <v>10.770658351215225</v>
      </c>
      <c r="AA95" s="48">
        <f t="shared" si="185"/>
        <v>-5.5566308631114225</v>
      </c>
      <c r="AB95" s="48">
        <f t="shared" si="186"/>
        <v>-11.781697082454912</v>
      </c>
      <c r="AC95" s="48">
        <f t="shared" si="187"/>
        <v>2.7999999999934744</v>
      </c>
      <c r="AD95" s="47">
        <f t="shared" ref="AD95" si="252" xml:space="preserve"> SQRT(AA95*AA95+AB95*AB95+AC95*AC95)</f>
        <v>13.32383325817208</v>
      </c>
      <c r="AE95" s="22"/>
      <c r="AF95" s="88"/>
      <c r="AG95" s="88"/>
      <c r="AH95" s="88"/>
      <c r="AI95" s="88"/>
      <c r="AJ95" s="88"/>
      <c r="AL95" s="89"/>
      <c r="AM95" s="90"/>
      <c r="AN95" s="90"/>
      <c r="AO95" s="89"/>
      <c r="AP95" s="89"/>
      <c r="AR95" s="89"/>
      <c r="AT95" s="12">
        <v>53.700000000000017</v>
      </c>
      <c r="AU95" s="29">
        <f t="shared" si="190"/>
        <v>44119</v>
      </c>
      <c r="AV95" s="12">
        <v>520</v>
      </c>
      <c r="AW95" s="12">
        <f t="shared" si="189"/>
        <v>30.175463151784299</v>
      </c>
      <c r="AY95" s="93"/>
      <c r="BC95" s="74"/>
    </row>
    <row r="96" spans="1:55" ht="29.25" customHeight="1" x14ac:dyDescent="0.2">
      <c r="A96" s="27">
        <f t="shared" si="170"/>
        <v>573</v>
      </c>
      <c r="B96" s="28">
        <f t="shared" si="171"/>
        <v>44172</v>
      </c>
      <c r="C96" s="48">
        <f t="shared" si="172"/>
        <v>-6.4914241426095032</v>
      </c>
      <c r="D96" s="48">
        <f t="shared" si="173"/>
        <v>12.897106836188499</v>
      </c>
      <c r="E96" s="48">
        <f t="shared" si="174"/>
        <v>0.70000000000902673</v>
      </c>
      <c r="F96" s="47">
        <f t="shared" ref="F96" si="253" xml:space="preserve"> SQRT(C96*C96+D96*D96+E96*E96)</f>
        <v>14.455585499844904</v>
      </c>
      <c r="G96" s="47"/>
      <c r="H96" s="47"/>
      <c r="I96" s="47"/>
      <c r="J96" s="47"/>
      <c r="K96" s="48">
        <f t="shared" si="233"/>
        <v>-6.1833052913016218</v>
      </c>
      <c r="L96" s="48">
        <f t="shared" si="234"/>
        <v>12.106803677785383</v>
      </c>
      <c r="M96" s="48">
        <f t="shared" si="235"/>
        <v>-3.5999999999916099</v>
      </c>
      <c r="N96" s="47">
        <f t="shared" ref="N96" si="254" xml:space="preserve"> SQRT(K96*K96+L96*L96+M96*M96)</f>
        <v>14.062999666423087</v>
      </c>
      <c r="O96" s="47">
        <f t="shared" si="179"/>
        <v>-6.3210532962898469</v>
      </c>
      <c r="P96" s="47">
        <f t="shared" si="180"/>
        <v>-5.4738847436409666</v>
      </c>
      <c r="Q96" s="48">
        <f t="shared" si="181"/>
        <v>-30.299999999996885</v>
      </c>
      <c r="R96" s="47">
        <f t="shared" ref="R96" si="255" xml:space="preserve"> SQRT(O96*O96+P96*P96+Q96*Q96)</f>
        <v>31.432612506137847</v>
      </c>
      <c r="S96" s="48">
        <f t="shared" si="182"/>
        <v>-3.2635836438430488</v>
      </c>
      <c r="T96" s="48">
        <f t="shared" si="183"/>
        <v>-11.227239537808131</v>
      </c>
      <c r="U96" s="48">
        <f t="shared" si="184"/>
        <v>-13.300000000000978</v>
      </c>
      <c r="V96" s="47">
        <f t="shared" ref="V96" si="256" xml:space="preserve"> SQRT(S96*S96+T96*T96+U96*U96)</f>
        <v>17.708525795212545</v>
      </c>
      <c r="W96" s="48">
        <f t="shared" si="195"/>
        <v>-4.4479606034713015</v>
      </c>
      <c r="X96" s="48">
        <f t="shared" si="196"/>
        <v>-11.326325502269086</v>
      </c>
      <c r="Y96" s="48">
        <f t="shared" si="197"/>
        <v>0.49999999998817657</v>
      </c>
      <c r="Z96" s="47">
        <f t="shared" ref="Z96" si="257" xml:space="preserve"> SQRT(W96*W96+X96*X96+Y96*Y96)</f>
        <v>12.178669997720277</v>
      </c>
      <c r="AA96" s="48">
        <f t="shared" si="185"/>
        <v>-6.0496721871459158</v>
      </c>
      <c r="AB96" s="48">
        <f t="shared" si="186"/>
        <v>-13.07093149668237</v>
      </c>
      <c r="AC96" s="48">
        <f t="shared" si="187"/>
        <v>3.4999999999882903</v>
      </c>
      <c r="AD96" s="47">
        <f t="shared" ref="AD96" si="258" xml:space="preserve"> SQRT(AA96*AA96+AB96*AB96+AC96*AC96)</f>
        <v>14.822205765769414</v>
      </c>
      <c r="AE96" s="22"/>
      <c r="AF96" s="88"/>
      <c r="AG96" s="88"/>
      <c r="AH96" s="88"/>
      <c r="AI96" s="88"/>
      <c r="AJ96" s="88"/>
      <c r="AL96" s="89"/>
      <c r="AM96" s="90"/>
      <c r="AN96" s="90"/>
      <c r="AO96" s="89"/>
      <c r="AP96" s="89"/>
      <c r="AR96" s="89"/>
      <c r="AT96" s="12">
        <v>53.700000000000017</v>
      </c>
      <c r="AU96" s="29">
        <f t="shared" si="190"/>
        <v>44129</v>
      </c>
      <c r="AV96" s="12">
        <v>530</v>
      </c>
      <c r="AW96" s="12">
        <f t="shared" si="189"/>
        <v>30.342783695897563</v>
      </c>
      <c r="AY96" s="93"/>
      <c r="BC96" s="74"/>
    </row>
    <row r="97" spans="1:55" ht="29.25" customHeight="1" x14ac:dyDescent="0.2">
      <c r="A97" s="27">
        <f t="shared" si="170"/>
        <v>587</v>
      </c>
      <c r="B97" s="28">
        <f t="shared" si="171"/>
        <v>44186</v>
      </c>
      <c r="C97" s="48">
        <f t="shared" si="172"/>
        <v>-5.5615897254597257</v>
      </c>
      <c r="D97" s="48">
        <f t="shared" si="173"/>
        <v>10.903264338856467</v>
      </c>
      <c r="E97" s="48">
        <f t="shared" si="174"/>
        <v>-0.50000000000238742</v>
      </c>
      <c r="F97" s="47">
        <f t="shared" ref="F97" si="259" xml:space="preserve"> SQRT(C97*C97+D97*D97+E97*E97)</f>
        <v>12.249998102747638</v>
      </c>
      <c r="G97" s="47"/>
      <c r="H97" s="47"/>
      <c r="I97" s="47"/>
      <c r="J97" s="47"/>
      <c r="K97" s="48">
        <f t="shared" si="233"/>
        <v>-5.7789497234637111</v>
      </c>
      <c r="L97" s="48">
        <f t="shared" si="234"/>
        <v>10.529940696600626</v>
      </c>
      <c r="M97" s="48">
        <f t="shared" si="235"/>
        <v>-2.9999999999859028</v>
      </c>
      <c r="N97" s="47">
        <f t="shared" ref="N97" si="260" xml:space="preserve"> SQRT(K97*K97+L97*L97+M97*M97)</f>
        <v>12.38046489353945</v>
      </c>
      <c r="O97" s="47">
        <f t="shared" si="179"/>
        <v>-4.8653137442045136</v>
      </c>
      <c r="P97" s="47">
        <f t="shared" si="180"/>
        <v>-6.2294123243015198</v>
      </c>
      <c r="Q97" s="48">
        <f t="shared" si="181"/>
        <v>-29.699999999991178</v>
      </c>
      <c r="R97" s="47">
        <f t="shared" ref="R97" si="261" xml:space="preserve"> SQRT(O97*O97+P97*P97+Q97*Q97)</f>
        <v>30.733806398413797</v>
      </c>
      <c r="S97" s="48">
        <f t="shared" si="182"/>
        <v>-2.2365948723575002</v>
      </c>
      <c r="T97" s="48">
        <f t="shared" si="183"/>
        <v>-11.299998623095941</v>
      </c>
      <c r="U97" s="48">
        <f t="shared" si="184"/>
        <v>-12.700000000009481</v>
      </c>
      <c r="V97" s="47">
        <f t="shared" ref="V97" si="262" xml:space="preserve"> SQRT(S97*S97+T97*T97+U97*U97)</f>
        <v>17.145912793003085</v>
      </c>
      <c r="W97" s="48">
        <f t="shared" si="195"/>
        <v>-2.7804685150556452</v>
      </c>
      <c r="X97" s="48">
        <f t="shared" si="196"/>
        <v>-10.87970465049537</v>
      </c>
      <c r="Y97" s="48">
        <f t="shared" si="197"/>
        <v>0.19999999999242846</v>
      </c>
      <c r="Z97" s="47">
        <f t="shared" ref="Z97" si="263" xml:space="preserve"> SQRT(W97*W97+X97*X97+Y97*Y97)</f>
        <v>11.231161046179656</v>
      </c>
      <c r="AA97" s="48">
        <f t="shared" si="185"/>
        <v>-5.1494789016715004</v>
      </c>
      <c r="AB97" s="48">
        <f t="shared" si="186"/>
        <v>-12.871803218076572</v>
      </c>
      <c r="AC97" s="48">
        <f t="shared" si="187"/>
        <v>2.8999999999825832</v>
      </c>
      <c r="AD97" s="47">
        <f t="shared" ref="AD97" si="264" xml:space="preserve"> SQRT(AA97*AA97+AB97*AB97+AC97*AC97)</f>
        <v>14.163701883460599</v>
      </c>
      <c r="AE97" s="22"/>
      <c r="AF97" s="88"/>
      <c r="AG97" s="88"/>
      <c r="AH97" s="88"/>
      <c r="AI97" s="88"/>
      <c r="AJ97" s="88"/>
      <c r="AL97" s="89"/>
      <c r="AM97" s="90"/>
      <c r="AN97" s="90"/>
      <c r="AO97" s="89"/>
      <c r="AP97" s="89"/>
      <c r="AR97" s="89"/>
      <c r="AT97" s="12">
        <v>53.700000000000017</v>
      </c>
      <c r="AU97" s="29">
        <f t="shared" si="190"/>
        <v>44139</v>
      </c>
      <c r="AV97" s="12">
        <v>540</v>
      </c>
      <c r="AW97" s="12">
        <f t="shared" si="189"/>
        <v>30.506505846724568</v>
      </c>
      <c r="AY97" s="93"/>
      <c r="BC97" s="74"/>
    </row>
    <row r="98" spans="1:55" ht="29.25" customHeight="1" x14ac:dyDescent="0.2">
      <c r="A98" s="27">
        <f t="shared" si="170"/>
        <v>604</v>
      </c>
      <c r="B98" s="28">
        <f t="shared" si="171"/>
        <v>44203</v>
      </c>
      <c r="C98" s="48">
        <f t="shared" si="172"/>
        <v>-5.7005829162619648</v>
      </c>
      <c r="D98" s="48">
        <f t="shared" si="173"/>
        <v>10.728104670840288</v>
      </c>
      <c r="E98" s="48">
        <f t="shared" si="174"/>
        <v>0</v>
      </c>
      <c r="F98" s="47">
        <f t="shared" ref="F98" si="265" xml:space="preserve"> SQRT(C98*C98+D98*D98+E98*E98)</f>
        <v>12.148616193364699</v>
      </c>
      <c r="G98" s="47"/>
      <c r="H98" s="47"/>
      <c r="I98" s="47"/>
      <c r="J98" s="47"/>
      <c r="K98" s="48">
        <f t="shared" si="233"/>
        <v>-6.5462486248577534</v>
      </c>
      <c r="L98" s="48">
        <f t="shared" si="234"/>
        <v>10.282448334424377</v>
      </c>
      <c r="M98" s="48">
        <f t="shared" si="235"/>
        <v>-2.9999999999859028</v>
      </c>
      <c r="N98" s="47">
        <f t="shared" ref="N98" si="266" xml:space="preserve"> SQRT(K98*K98+L98*L98+M98*M98)</f>
        <v>12.553171503985521</v>
      </c>
      <c r="O98" s="47">
        <f t="shared" si="179"/>
        <v>-5.3729224731000613</v>
      </c>
      <c r="P98" s="47">
        <f t="shared" si="180"/>
        <v>-6.7971565067044271</v>
      </c>
      <c r="Q98" s="48">
        <f t="shared" si="181"/>
        <v>-29.799999999994498</v>
      </c>
      <c r="R98" s="47">
        <f t="shared" ref="R98" si="267" xml:space="preserve"> SQRT(O98*O98+P98*P98+Q98*Q98)</f>
        <v>31.034007676712495</v>
      </c>
      <c r="S98" s="48">
        <f t="shared" si="182"/>
        <v>-2.1459656103672842</v>
      </c>
      <c r="T98" s="48">
        <f t="shared" si="183"/>
        <v>-11.257733395507064</v>
      </c>
      <c r="U98" s="48">
        <f t="shared" si="184"/>
        <v>-12.399999999999523</v>
      </c>
      <c r="V98" s="47">
        <f t="shared" ref="V98" si="268" xml:space="preserve"> SQRT(S98*S98+T98*T98+U98*U98)</f>
        <v>16.884955718188372</v>
      </c>
      <c r="W98" s="48">
        <f t="shared" si="195"/>
        <v>-3.9102840493683289</v>
      </c>
      <c r="X98" s="48">
        <f t="shared" si="196"/>
        <v>-11.296257986541214</v>
      </c>
      <c r="Y98" s="48">
        <f t="shared" si="197"/>
        <v>0.39999999999906777</v>
      </c>
      <c r="Z98" s="47">
        <f t="shared" ref="Z98" si="269" xml:space="preserve"> SQRT(W98*W98+X98*X98+Y98*Y98)</f>
        <v>11.960592202948806</v>
      </c>
      <c r="AA98" s="48">
        <f t="shared" si="185"/>
        <v>-5.6509890277709474</v>
      </c>
      <c r="AB98" s="48">
        <f t="shared" si="186"/>
        <v>-13.216023487136574</v>
      </c>
      <c r="AC98" s="48">
        <f t="shared" si="187"/>
        <v>2.8999999999825832</v>
      </c>
      <c r="AD98" s="47">
        <f t="shared" ref="AD98" si="270" xml:space="preserve"> SQRT(AA98*AA98+AB98*AB98+AC98*AC98)</f>
        <v>14.663115419460906</v>
      </c>
      <c r="AE98" s="22"/>
      <c r="AF98" s="88"/>
      <c r="AG98" s="88"/>
      <c r="AH98" s="88"/>
      <c r="AI98" s="88"/>
      <c r="AJ98" s="88"/>
      <c r="AL98" s="89"/>
      <c r="AM98" s="90"/>
      <c r="AN98" s="90"/>
      <c r="AO98" s="89"/>
      <c r="AP98" s="89"/>
      <c r="AR98" s="89"/>
      <c r="AT98" s="12">
        <v>54.7</v>
      </c>
      <c r="AU98" s="29">
        <f t="shared" ref="AU98" si="271">$AU$10+AV98</f>
        <v>44140</v>
      </c>
      <c r="AV98" s="12">
        <v>541</v>
      </c>
      <c r="AW98" s="12">
        <f t="shared" ref="AW98" si="272">$AR$12*(1-($AR$13/(AV98+$AR$13))^$AR$14)</f>
        <v>30.522685399029982</v>
      </c>
      <c r="AY98" s="93"/>
      <c r="BC98" s="74"/>
    </row>
    <row r="99" spans="1:55" ht="29.25" customHeight="1" x14ac:dyDescent="0.2">
      <c r="A99" s="27">
        <f t="shared" si="170"/>
        <v>630</v>
      </c>
      <c r="B99" s="28">
        <f t="shared" si="171"/>
        <v>44229</v>
      </c>
      <c r="C99" s="48">
        <f t="shared" si="172"/>
        <v>-5.4275825017100487</v>
      </c>
      <c r="D99" s="48">
        <f t="shared" si="173"/>
        <v>10.441427887427857</v>
      </c>
      <c r="E99" s="48">
        <f t="shared" si="174"/>
        <v>-0.50000000000238742</v>
      </c>
      <c r="F99" s="47">
        <f t="shared" ref="F99:F101" si="273" xml:space="preserve"> SQRT(C99*C99+D99*D99+E99*E99)</f>
        <v>11.778457799781245</v>
      </c>
      <c r="G99" s="47"/>
      <c r="H99" s="47"/>
      <c r="I99" s="47"/>
      <c r="J99" s="47"/>
      <c r="K99" s="48">
        <f t="shared" si="233"/>
        <v>-7.0384633729076995</v>
      </c>
      <c r="L99" s="48">
        <f t="shared" si="234"/>
        <v>10.239472585759302</v>
      </c>
      <c r="M99" s="48">
        <f t="shared" si="235"/>
        <v>-3.9999999999906777</v>
      </c>
      <c r="N99" s="47">
        <f t="shared" ref="N99:N101" si="274" xml:space="preserve"> SQRT(K99*K99+L99*L99+M99*M99)</f>
        <v>13.053228163416318</v>
      </c>
      <c r="O99" s="47">
        <f t="shared" si="179"/>
        <v>-5.611149944797944</v>
      </c>
      <c r="P99" s="47">
        <f t="shared" si="180"/>
        <v>-7.2069281471245636</v>
      </c>
      <c r="Q99" s="48">
        <f t="shared" si="181"/>
        <v>-31.30000000000166</v>
      </c>
      <c r="R99" s="47">
        <f t="shared" ref="R99:R101" si="275" xml:space="preserve"> SQRT(O99*O99+P99*P99+Q99*Q99)</f>
        <v>32.605441524704524</v>
      </c>
      <c r="S99" s="48">
        <f t="shared" si="182"/>
        <v>-2.4098943609089929</v>
      </c>
      <c r="T99" s="48">
        <f t="shared" si="183"/>
        <v>-11.88630704492466</v>
      </c>
      <c r="U99" s="48">
        <f t="shared" si="184"/>
        <v>-13.199999999997658</v>
      </c>
      <c r="V99" s="47">
        <f t="shared" ref="V99:V101" si="276" xml:space="preserve"> SQRT(S99*S99+T99*T99+U99*U99)</f>
        <v>17.925732509353828</v>
      </c>
      <c r="W99" s="48">
        <f t="shared" si="195"/>
        <v>-3.9867571874196983</v>
      </c>
      <c r="X99" s="48">
        <f t="shared" si="196"/>
        <v>-11.690662669066043</v>
      </c>
      <c r="Y99" s="48">
        <f t="shared" si="197"/>
        <v>-0.10000000000331966</v>
      </c>
      <c r="Z99" s="47">
        <f t="shared" ref="Z99:Z101" si="277" xml:space="preserve"> SQRT(W99*W99+X99*X99+Y99*Y99)</f>
        <v>12.352158779474044</v>
      </c>
      <c r="AA99" s="48">
        <f t="shared" si="185"/>
        <v>-6.2566308631062384</v>
      </c>
      <c r="AB99" s="48">
        <f t="shared" si="186"/>
        <v>-14.08169708245488</v>
      </c>
      <c r="AC99" s="48">
        <f t="shared" si="187"/>
        <v>2.5999999999868351</v>
      </c>
      <c r="AD99" s="47">
        <f t="shared" ref="AD99:AD101" si="278" xml:space="preserve"> SQRT(AA99*AA99+AB99*AB99+AC99*AC99)</f>
        <v>15.626887805290066</v>
      </c>
      <c r="AE99" s="22"/>
      <c r="AF99" s="88"/>
      <c r="AG99" s="88"/>
      <c r="AH99" s="88"/>
      <c r="AI99" s="88"/>
      <c r="AJ99" s="88"/>
      <c r="AL99" s="89"/>
      <c r="AM99" s="90"/>
      <c r="AN99" s="90"/>
      <c r="AO99" s="89"/>
      <c r="AP99" s="89"/>
      <c r="AR99" s="89"/>
      <c r="AT99" s="12">
        <v>53.700000000000017</v>
      </c>
      <c r="AU99" s="29">
        <f t="shared" si="190"/>
        <v>44159</v>
      </c>
      <c r="AV99" s="12">
        <v>560</v>
      </c>
      <c r="AW99" s="12">
        <f t="shared" si="189"/>
        <v>30.823686608390069</v>
      </c>
      <c r="AY99" s="93"/>
      <c r="BC99" s="74"/>
    </row>
    <row r="100" spans="1:55" ht="29.25" customHeight="1" x14ac:dyDescent="0.2">
      <c r="A100" s="27">
        <f t="shared" si="170"/>
        <v>646</v>
      </c>
      <c r="B100" s="28">
        <f t="shared" si="171"/>
        <v>44245</v>
      </c>
      <c r="C100" s="48">
        <f t="shared" si="172"/>
        <v>-6.0147357188213846</v>
      </c>
      <c r="D100" s="48">
        <f t="shared" si="173"/>
        <v>10.691938348375896</v>
      </c>
      <c r="E100" s="48">
        <f t="shared" si="174"/>
        <v>0.10000000000331966</v>
      </c>
      <c r="F100" s="47">
        <f t="shared" si="273"/>
        <v>12.268031276970952</v>
      </c>
      <c r="G100" s="47"/>
      <c r="H100" s="47"/>
      <c r="I100" s="47"/>
      <c r="J100" s="47"/>
      <c r="K100" s="48">
        <f t="shared" si="233"/>
        <v>-6.5824149473030502</v>
      </c>
      <c r="L100" s="48">
        <f t="shared" si="234"/>
        <v>10.596601136970918</v>
      </c>
      <c r="M100" s="48">
        <f t="shared" si="235"/>
        <v>-2.9999999999859028</v>
      </c>
      <c r="N100" s="47">
        <f t="shared" si="274"/>
        <v>12.83028223362399</v>
      </c>
      <c r="O100" s="47">
        <f t="shared" si="179"/>
        <v>-5.8561360877149582</v>
      </c>
      <c r="P100" s="47">
        <f t="shared" si="180"/>
        <v>-6.4708059923413161</v>
      </c>
      <c r="Q100" s="48">
        <f t="shared" si="181"/>
        <v>-30.499999999989313</v>
      </c>
      <c r="R100" s="47">
        <f t="shared" si="275"/>
        <v>31.724054912127894</v>
      </c>
      <c r="S100" s="48">
        <f t="shared" si="182"/>
        <v>-2.4662172196485699</v>
      </c>
      <c r="T100" s="48">
        <f t="shared" si="183"/>
        <v>-11.517423469526111</v>
      </c>
      <c r="U100" s="48">
        <f t="shared" si="184"/>
        <v>-12.79999999999859</v>
      </c>
      <c r="V100" s="47">
        <f t="shared" si="276"/>
        <v>17.394633389377482</v>
      </c>
      <c r="W100" s="48">
        <f t="shared" si="195"/>
        <v>-3.5176996896666424</v>
      </c>
      <c r="X100" s="48">
        <f t="shared" si="196"/>
        <v>-11.66487346833911</v>
      </c>
      <c r="Y100" s="48">
        <f t="shared" si="197"/>
        <v>0.69999999999481588</v>
      </c>
      <c r="Z100" s="47">
        <f t="shared" si="277"/>
        <v>12.203830715764424</v>
      </c>
      <c r="AA100" s="48">
        <f t="shared" si="185"/>
        <v>-5.8383461474420528</v>
      </c>
      <c r="AB100" s="48">
        <f t="shared" si="186"/>
        <v>-13.524077595545858</v>
      </c>
      <c r="AC100" s="48">
        <f t="shared" si="187"/>
        <v>3.3999999999849706</v>
      </c>
      <c r="AD100" s="47">
        <f t="shared" si="278"/>
        <v>15.117769694885377</v>
      </c>
      <c r="AE100" s="22"/>
      <c r="AF100" s="88"/>
      <c r="AG100" s="88"/>
      <c r="AH100" s="88"/>
      <c r="AI100" s="88"/>
      <c r="AJ100" s="88"/>
      <c r="AL100" s="89"/>
      <c r="AM100" s="90"/>
      <c r="AN100" s="90"/>
      <c r="AO100" s="89"/>
      <c r="AP100" s="89"/>
      <c r="AR100" s="89"/>
      <c r="AT100" s="12">
        <v>53.700000000000017</v>
      </c>
      <c r="AU100" s="29">
        <f t="shared" si="190"/>
        <v>44169</v>
      </c>
      <c r="AV100" s="12">
        <v>570</v>
      </c>
      <c r="AW100" s="12">
        <f t="shared" si="189"/>
        <v>30.977393727304644</v>
      </c>
      <c r="AY100" s="93"/>
      <c r="BC100" s="74"/>
    </row>
    <row r="101" spans="1:55" ht="29.25" customHeight="1" x14ac:dyDescent="0.2">
      <c r="A101" s="27">
        <f t="shared" si="170"/>
        <v>674</v>
      </c>
      <c r="B101" s="28">
        <f t="shared" si="171"/>
        <v>44273</v>
      </c>
      <c r="C101" s="48">
        <f t="shared" si="172"/>
        <v>-4.6365748361267833</v>
      </c>
      <c r="D101" s="48">
        <f t="shared" si="173"/>
        <v>13.651781585349632</v>
      </c>
      <c r="E101" s="48">
        <f t="shared" si="174"/>
        <v>-0.29999999999574811</v>
      </c>
      <c r="F101" s="47">
        <f t="shared" si="273"/>
        <v>14.42078245675639</v>
      </c>
      <c r="G101" s="47"/>
      <c r="H101" s="47"/>
      <c r="I101" s="47"/>
      <c r="J101" s="47"/>
      <c r="K101" s="48">
        <f t="shared" si="233"/>
        <v>-5.814689753208313</v>
      </c>
      <c r="L101" s="48">
        <f t="shared" si="234"/>
        <v>12.499388192196204</v>
      </c>
      <c r="M101" s="48">
        <f t="shared" si="235"/>
        <v>-4.2999999999864258</v>
      </c>
      <c r="N101" s="47">
        <f t="shared" si="274"/>
        <v>14.4407521308678</v>
      </c>
      <c r="O101" s="47">
        <f t="shared" si="179"/>
        <v>-5.6687789680438527</v>
      </c>
      <c r="P101" s="47">
        <f t="shared" si="180"/>
        <v>-6.162751883914769</v>
      </c>
      <c r="Q101" s="48">
        <f t="shared" si="181"/>
        <v>-31.799999999989836</v>
      </c>
      <c r="R101" s="47">
        <f t="shared" si="275"/>
        <v>32.88395605413961</v>
      </c>
      <c r="S101" s="48">
        <f t="shared" si="182"/>
        <v>-3.0461587974457416</v>
      </c>
      <c r="T101" s="48">
        <f t="shared" si="183"/>
        <v>-11.456861885119185</v>
      </c>
      <c r="U101" s="48">
        <f t="shared" si="184"/>
        <v>-13.999999999995794</v>
      </c>
      <c r="V101" s="47">
        <f t="shared" si="276"/>
        <v>18.344992986475493</v>
      </c>
      <c r="W101" s="48">
        <f t="shared" si="195"/>
        <v>-4.2305357570739943</v>
      </c>
      <c r="X101" s="48">
        <f t="shared" si="196"/>
        <v>-11.555947849541504</v>
      </c>
      <c r="Y101" s="48">
        <f t="shared" si="197"/>
        <v>-1.4210854715202004E-11</v>
      </c>
      <c r="Z101" s="47">
        <f t="shared" si="277"/>
        <v>12.305988927884039</v>
      </c>
      <c r="AA101" s="48">
        <f t="shared" si="185"/>
        <v>-6.732014136645148</v>
      </c>
      <c r="AB101" s="48">
        <f t="shared" si="186"/>
        <v>-11.844387851511318</v>
      </c>
      <c r="AC101" s="48">
        <f t="shared" si="187"/>
        <v>3.3999999999849706</v>
      </c>
      <c r="AD101" s="47">
        <f t="shared" si="278"/>
        <v>14.041707086850829</v>
      </c>
      <c r="AE101" s="22"/>
      <c r="AF101" s="88"/>
      <c r="AG101" s="88"/>
      <c r="AH101" s="88"/>
      <c r="AI101" s="88"/>
      <c r="AJ101" s="88"/>
      <c r="AL101" s="89"/>
      <c r="AM101" s="90"/>
      <c r="AN101" s="90"/>
      <c r="AO101" s="89"/>
      <c r="AP101" s="89"/>
      <c r="AR101" s="89"/>
      <c r="AT101" s="12">
        <v>53.700000000000017</v>
      </c>
      <c r="AU101" s="29">
        <f t="shared" si="190"/>
        <v>44179</v>
      </c>
      <c r="AV101" s="12">
        <v>580</v>
      </c>
      <c r="AW101" s="12">
        <f t="shared" si="189"/>
        <v>31.128000394212727</v>
      </c>
      <c r="AY101" s="93"/>
      <c r="BC101" s="74"/>
    </row>
    <row r="102" spans="1:55" ht="29.25" customHeight="1" x14ac:dyDescent="0.2">
      <c r="A102" s="27">
        <f t="shared" si="170"/>
        <v>688</v>
      </c>
      <c r="B102" s="28">
        <f t="shared" si="171"/>
        <v>44287</v>
      </c>
      <c r="C102" s="48">
        <f t="shared" si="172"/>
        <v>-7.2765929604656776</v>
      </c>
      <c r="D102" s="48">
        <f t="shared" si="173"/>
        <v>13.634338010820812</v>
      </c>
      <c r="E102" s="48">
        <f t="shared" si="174"/>
        <v>0</v>
      </c>
      <c r="F102" s="47">
        <f t="shared" ref="F102:F103" si="279" xml:space="preserve"> SQRT(C102*C102+D102*D102+E102*E102)</f>
        <v>15.454577901243757</v>
      </c>
      <c r="G102" s="47"/>
      <c r="H102" s="47"/>
      <c r="I102" s="47"/>
      <c r="J102" s="47"/>
      <c r="K102" s="48">
        <f t="shared" si="233"/>
        <v>-7.4760830420075308</v>
      </c>
      <c r="L102" s="48">
        <f t="shared" si="234"/>
        <v>12.276290831755521</v>
      </c>
      <c r="M102" s="48">
        <f t="shared" si="235"/>
        <v>-3.7999999999840384</v>
      </c>
      <c r="N102" s="47">
        <f t="shared" ref="N102" si="280" xml:space="preserve"> SQRT(K102*K102+L102*L102+M102*M102)</f>
        <v>14.867384915872593</v>
      </c>
      <c r="O102" s="47">
        <f t="shared" si="179"/>
        <v>-6.1214984718276355</v>
      </c>
      <c r="P102" s="47">
        <f t="shared" si="180"/>
        <v>-4.7187836033630859</v>
      </c>
      <c r="Q102" s="48">
        <f t="shared" si="181"/>
        <v>-31.899999999993156</v>
      </c>
      <c r="R102" s="47">
        <f t="shared" ref="R102:R103" si="281" xml:space="preserve"> SQRT(O102*O102+P102*P102+Q102*Q102)</f>
        <v>32.823005076249792</v>
      </c>
      <c r="S102" s="48">
        <f t="shared" si="182"/>
        <v>-1.3364014813816993</v>
      </c>
      <c r="T102" s="48">
        <f t="shared" si="183"/>
        <v>-11.100870295306819</v>
      </c>
      <c r="U102" s="48">
        <f t="shared" si="184"/>
        <v>-13.900000000006685</v>
      </c>
      <c r="V102" s="47">
        <f t="shared" ref="V102:V103" si="282" xml:space="preserve"> SQRT(S102*S102+T102*T102+U102*U102)</f>
        <v>17.838870206177585</v>
      </c>
      <c r="W102" s="48">
        <f t="shared" si="195"/>
        <v>-2.2310208512408281</v>
      </c>
      <c r="X102" s="48">
        <f t="shared" si="196"/>
        <v>-12.057884423091636</v>
      </c>
      <c r="Y102" s="48">
        <f t="shared" si="197"/>
        <v>9.9999999989108801E-2</v>
      </c>
      <c r="Z102" s="47">
        <f t="shared" ref="Z102:Z103" si="283" xml:space="preserve"> SQRT(W102*W102+X102*X102+Y102*Y102)</f>
        <v>12.262953591990188</v>
      </c>
      <c r="AA102" s="48"/>
      <c r="AB102" s="48"/>
      <c r="AC102" s="48"/>
      <c r="AD102" s="47"/>
      <c r="AE102" s="22"/>
      <c r="AF102" s="88"/>
      <c r="AG102" s="88"/>
      <c r="AH102" s="88"/>
      <c r="AI102" s="88"/>
      <c r="AJ102" s="88"/>
      <c r="AL102" s="89"/>
      <c r="AM102" s="90"/>
      <c r="AN102" s="90"/>
      <c r="AO102" s="89"/>
      <c r="AP102" s="89"/>
      <c r="AR102" s="89"/>
      <c r="AT102" s="12">
        <v>53.7</v>
      </c>
      <c r="AU102" s="29">
        <f t="shared" ref="AU102:AU103" si="284">$AU$10+AV102</f>
        <v>44189</v>
      </c>
      <c r="AV102" s="12">
        <v>590</v>
      </c>
      <c r="AW102" s="12">
        <f t="shared" ref="AW102:AW103" si="285">$AR$12*(1-($AR$13/(AV102+$AR$13))^$AR$14)</f>
        <v>31.275615567221525</v>
      </c>
      <c r="AY102" s="93"/>
      <c r="BC102" s="74"/>
    </row>
    <row r="103" spans="1:55" ht="29.25" customHeight="1" x14ac:dyDescent="0.2">
      <c r="A103" s="27">
        <f t="shared" si="170"/>
        <v>709</v>
      </c>
      <c r="B103" s="28">
        <f t="shared" si="171"/>
        <v>44308</v>
      </c>
      <c r="C103" s="48">
        <f t="shared" si="172"/>
        <v>-5.8696437283458636</v>
      </c>
      <c r="D103" s="48">
        <f t="shared" si="173"/>
        <v>11.090621507722442</v>
      </c>
      <c r="E103" s="48">
        <f t="shared" si="174"/>
        <v>-0.19999999999242846</v>
      </c>
      <c r="F103" s="47">
        <f t="shared" si="279"/>
        <v>12.5496853715646</v>
      </c>
      <c r="G103" s="47"/>
      <c r="H103" s="47"/>
      <c r="I103" s="47"/>
      <c r="J103" s="47"/>
      <c r="K103" s="48"/>
      <c r="L103" s="48"/>
      <c r="M103" s="48"/>
      <c r="N103" s="47"/>
      <c r="O103" s="47">
        <f t="shared" si="179"/>
        <v>-5.1132326029517117</v>
      </c>
      <c r="P103" s="47">
        <f t="shared" si="180"/>
        <v>-7.1174079541876374</v>
      </c>
      <c r="Q103" s="48">
        <f t="shared" si="181"/>
        <v>-31.899999999993156</v>
      </c>
      <c r="R103" s="47">
        <f t="shared" si="281"/>
        <v>33.081908101525599</v>
      </c>
      <c r="S103" s="48">
        <f t="shared" si="182"/>
        <v>-1.9045719494670266</v>
      </c>
      <c r="T103" s="48">
        <f t="shared" si="183"/>
        <v>-12.248555999264887</v>
      </c>
      <c r="U103" s="48">
        <f t="shared" si="184"/>
        <v>-13.700000000000045</v>
      </c>
      <c r="V103" s="47">
        <f t="shared" si="282"/>
        <v>18.475511315734288</v>
      </c>
      <c r="W103" s="48">
        <f t="shared" si="195"/>
        <v>-3.3669353891241371</v>
      </c>
      <c r="X103" s="48">
        <f t="shared" si="196"/>
        <v>-12.69796108868082</v>
      </c>
      <c r="Y103" s="48">
        <f t="shared" si="197"/>
        <v>0.49999999998817657</v>
      </c>
      <c r="Z103" s="47">
        <f t="shared" si="283"/>
        <v>13.146272084670121</v>
      </c>
      <c r="AA103" s="48">
        <f t="shared" si="185"/>
        <v>-4.920282945533927</v>
      </c>
      <c r="AB103" s="48">
        <f t="shared" si="186"/>
        <v>-14.309672853719313</v>
      </c>
      <c r="AC103" s="48">
        <f t="shared" si="187"/>
        <v>3.2999999999816509</v>
      </c>
      <c r="AD103" s="47">
        <f t="shared" ref="AD103" si="286" xml:space="preserve"> SQRT(AA103*AA103+AB103*AB103+AC103*AC103)</f>
        <v>15.487605413506063</v>
      </c>
      <c r="AE103" s="22"/>
      <c r="AF103" s="88"/>
      <c r="AG103" s="88"/>
      <c r="AH103" s="88"/>
      <c r="AI103" s="88"/>
      <c r="AJ103" s="88"/>
      <c r="AL103" s="89"/>
      <c r="AM103" s="90"/>
      <c r="AN103" s="90"/>
      <c r="AO103" s="89"/>
      <c r="AP103" s="89"/>
      <c r="AR103" s="89"/>
      <c r="AT103" s="12">
        <v>53.7</v>
      </c>
      <c r="AU103" s="29">
        <f t="shared" si="284"/>
        <v>44199</v>
      </c>
      <c r="AV103" s="12">
        <v>600</v>
      </c>
      <c r="AW103" s="12">
        <f t="shared" si="285"/>
        <v>31.420342793153971</v>
      </c>
      <c r="AY103" s="93"/>
      <c r="BC103" s="74"/>
    </row>
    <row r="104" spans="1:55" ht="29.25" customHeight="1" x14ac:dyDescent="0.2">
      <c r="A104" s="27">
        <f t="shared" si="170"/>
        <v>723</v>
      </c>
      <c r="B104" s="28">
        <f t="shared" si="171"/>
        <v>44322</v>
      </c>
      <c r="C104" s="48">
        <f t="shared" si="172"/>
        <v>-5.8997113495991016</v>
      </c>
      <c r="D104" s="48">
        <f t="shared" si="173"/>
        <v>11.628298012605232</v>
      </c>
      <c r="E104" s="48">
        <f t="shared" si="174"/>
        <v>-0.10000000000331966</v>
      </c>
      <c r="F104" s="47">
        <f t="shared" ref="F104" si="287" xml:space="preserve"> SQRT(C104*C104+D104*D104+E104*E104)</f>
        <v>13.039705084032686</v>
      </c>
      <c r="G104" s="47"/>
      <c r="H104" s="47"/>
      <c r="I104" s="47"/>
      <c r="J104" s="47"/>
      <c r="K104" s="48">
        <f t="shared" si="233"/>
        <v>-5.8935477999568775</v>
      </c>
      <c r="L104" s="48">
        <f t="shared" si="234"/>
        <v>11.248875725412333</v>
      </c>
      <c r="M104" s="48">
        <f t="shared" si="235"/>
        <v>-3.899999999987358</v>
      </c>
      <c r="N104" s="47">
        <f t="shared" ref="N104" si="288" xml:space="preserve"> SQRT(K104*K104+L104*L104+M104*M104)</f>
        <v>13.284619330490759</v>
      </c>
      <c r="O104" s="47">
        <f t="shared" si="179"/>
        <v>-5.318459737509329</v>
      </c>
      <c r="P104" s="47">
        <f t="shared" si="180"/>
        <v>-6.4407383147923873</v>
      </c>
      <c r="Q104" s="48">
        <f t="shared" si="181"/>
        <v>-32.600000000002183</v>
      </c>
      <c r="R104" s="47">
        <f t="shared" ref="R104" si="289" xml:space="preserve"> SQRT(O104*O104+P104*P104+Q104*Q104)</f>
        <v>33.653070053403518</v>
      </c>
      <c r="S104" s="48">
        <f t="shared" si="182"/>
        <v>-1.4875922785790863</v>
      </c>
      <c r="T104" s="48">
        <f t="shared" si="183"/>
        <v>-11.723077206216903</v>
      </c>
      <c r="U104" s="48">
        <f t="shared" si="184"/>
        <v>-14.200000000002433</v>
      </c>
      <c r="V104" s="47">
        <f t="shared" ref="V104" si="290" xml:space="preserve"> SQRT(S104*S104+T104*T104+U104*U104)</f>
        <v>18.473859097932937</v>
      </c>
      <c r="W104" s="48">
        <f t="shared" si="195"/>
        <v>-2.8048637277606758</v>
      </c>
      <c r="X104" s="48">
        <f t="shared" si="196"/>
        <v>-11.773799136313379</v>
      </c>
      <c r="Y104" s="48">
        <f t="shared" si="197"/>
        <v>9.9999999989108801E-2</v>
      </c>
      <c r="Z104" s="47">
        <f t="shared" ref="Z104" si="291" xml:space="preserve"> SQRT(W104*W104+X104*X104+Y104*Y104)</f>
        <v>12.103702187081398</v>
      </c>
      <c r="AA104" s="48">
        <f t="shared" si="185"/>
        <v>-4.8536225051520887</v>
      </c>
      <c r="AB104" s="48">
        <f t="shared" si="186"/>
        <v>-13.506207629855105</v>
      </c>
      <c r="AC104" s="48">
        <f t="shared" si="187"/>
        <v>2.9999999999859028</v>
      </c>
      <c r="AD104" s="47">
        <f t="shared" ref="AD104" si="292" xml:space="preserve"> SQRT(AA104*AA104+AB104*AB104+AC104*AC104)</f>
        <v>14.662035873751996</v>
      </c>
      <c r="AE104" s="22"/>
      <c r="AF104" s="88"/>
      <c r="AG104" s="88"/>
      <c r="AH104" s="88"/>
      <c r="AI104" s="88"/>
      <c r="AJ104" s="88"/>
      <c r="AL104" s="89"/>
      <c r="AM104" s="90"/>
      <c r="AN104" s="90"/>
      <c r="AO104" s="89"/>
      <c r="AP104" s="89"/>
      <c r="AR104" s="89"/>
      <c r="AT104" s="12">
        <v>53.700000000000017</v>
      </c>
      <c r="AU104" s="29">
        <f t="shared" si="190"/>
        <v>44209</v>
      </c>
      <c r="AV104" s="12">
        <v>610</v>
      </c>
      <c r="AW104" s="12">
        <f t="shared" si="189"/>
        <v>31.562280552544685</v>
      </c>
      <c r="AY104" s="93"/>
      <c r="BC104" s="74"/>
    </row>
    <row r="105" spans="1:55" ht="29.25" customHeight="1" x14ac:dyDescent="0.2">
      <c r="A105" s="27">
        <f t="shared" si="170"/>
        <v>738</v>
      </c>
      <c r="B105" s="28">
        <f t="shared" si="171"/>
        <v>44337</v>
      </c>
      <c r="C105" s="48">
        <f t="shared" si="172"/>
        <v>-6.2256353673717513</v>
      </c>
      <c r="D105" s="48">
        <f t="shared" si="173"/>
        <v>12.800378929294975</v>
      </c>
      <c r="E105" s="48">
        <f t="shared" si="174"/>
        <v>-0.79999999999813554</v>
      </c>
      <c r="F105" s="47">
        <f t="shared" ref="F105" si="293" xml:space="preserve"> SQRT(C105*C105+D105*D105+E105*E105)</f>
        <v>14.256515579236247</v>
      </c>
      <c r="G105" s="47"/>
      <c r="H105" s="47"/>
      <c r="I105" s="47"/>
      <c r="J105" s="47"/>
      <c r="K105" s="48">
        <f t="shared" si="233"/>
        <v>-6.3101008757655563</v>
      </c>
      <c r="L105" s="48">
        <f t="shared" si="234"/>
        <v>12.378691252660889</v>
      </c>
      <c r="M105" s="48">
        <f t="shared" si="235"/>
        <v>-4.2999999999864258</v>
      </c>
      <c r="N105" s="47">
        <f t="shared" ref="N105" si="294" xml:space="preserve"> SQRT(K105*K105+L105*L105+M105*M105)</f>
        <v>14.54439308430997</v>
      </c>
      <c r="O105" s="47">
        <f t="shared" si="179"/>
        <v>-5.4753228448021218</v>
      </c>
      <c r="P105" s="47">
        <f t="shared" si="180"/>
        <v>-5.6311744459919817</v>
      </c>
      <c r="Q105" s="48">
        <f t="shared" si="181"/>
        <v>-32.899999999997931</v>
      </c>
      <c r="R105" s="47">
        <f t="shared" ref="R105" si="295" xml:space="preserve"> SQRT(O105*O105+P105*P105+Q105*Q105)</f>
        <v>33.824536743255905</v>
      </c>
      <c r="S105" s="48">
        <f t="shared" si="182"/>
        <v>-1.8618803306935661</v>
      </c>
      <c r="T105" s="48">
        <f t="shared" si="183"/>
        <v>-10.683890779142224</v>
      </c>
      <c r="U105" s="48">
        <f t="shared" si="184"/>
        <v>-14.400000000009072</v>
      </c>
      <c r="V105" s="47">
        <f t="shared" ref="V105" si="296" xml:space="preserve"> SQRT(S105*S105+T105*T105+U105*U105)</f>
        <v>18.02698312382649</v>
      </c>
      <c r="W105" s="48">
        <f t="shared" si="195"/>
        <v>-3.0401584835715312</v>
      </c>
      <c r="X105" s="48">
        <f t="shared" si="196"/>
        <v>-10.559452992036533</v>
      </c>
      <c r="Y105" s="48">
        <f t="shared" si="197"/>
        <v>-0.30000000000995897</v>
      </c>
      <c r="Z105" s="47">
        <f t="shared" ref="Z105" si="297" xml:space="preserve"> SQRT(W105*W105+X105*X105+Y105*Y105)</f>
        <v>10.992479751915271</v>
      </c>
      <c r="AA105" s="48">
        <f t="shared" si="185"/>
        <v>-5.3730025477136678</v>
      </c>
      <c r="AB105" s="48">
        <f t="shared" si="186"/>
        <v>-12.865704362126973</v>
      </c>
      <c r="AC105" s="48">
        <f t="shared" si="187"/>
        <v>2.5999999999868351</v>
      </c>
      <c r="AD105" s="47">
        <f t="shared" ref="AD105" si="298" xml:space="preserve"> SQRT(AA105*AA105+AB105*AB105+AC105*AC105)</f>
        <v>14.182930060862676</v>
      </c>
      <c r="AE105" s="22"/>
      <c r="AF105" s="88"/>
      <c r="AG105" s="88"/>
      <c r="AH105" s="88"/>
      <c r="AI105" s="88"/>
      <c r="AJ105" s="88"/>
      <c r="AL105" s="89"/>
      <c r="AM105" s="90"/>
      <c r="AN105" s="90"/>
      <c r="AO105" s="89"/>
      <c r="AP105" s="89"/>
      <c r="AR105" s="89"/>
      <c r="AT105" s="12">
        <v>54.7</v>
      </c>
      <c r="AU105" s="29">
        <f t="shared" ref="AU105" si="299">$AU$10+AV105</f>
        <v>44210</v>
      </c>
      <c r="AV105" s="12">
        <v>611</v>
      </c>
      <c r="AW105" s="12">
        <f t="shared" ref="AW105" si="300">$AR$12*(1-($AR$13/(AV105+$AR$13))^$AR$14)</f>
        <v>31.576324556037871</v>
      </c>
      <c r="AY105" s="93"/>
      <c r="BC105" s="74"/>
    </row>
    <row r="106" spans="1:55" ht="29.25" customHeight="1" x14ac:dyDescent="0.2">
      <c r="A106" s="27">
        <f t="shared" si="170"/>
        <v>752</v>
      </c>
      <c r="B106" s="28">
        <f t="shared" si="171"/>
        <v>44351</v>
      </c>
      <c r="C106" s="48">
        <f t="shared" si="172"/>
        <v>-6.449158914989539</v>
      </c>
      <c r="D106" s="48">
        <f t="shared" si="173"/>
        <v>12.806477574234254</v>
      </c>
      <c r="E106" s="48">
        <f t="shared" si="174"/>
        <v>0.50000000000238742</v>
      </c>
      <c r="F106" s="47">
        <f t="shared" ref="F106" si="301" xml:space="preserve"> SQRT(C106*C106+D106*D106+E106*E106)</f>
        <v>14.347387168755024</v>
      </c>
      <c r="G106" s="47"/>
      <c r="H106" s="47"/>
      <c r="I106" s="47"/>
      <c r="J106" s="47"/>
      <c r="K106" s="48">
        <f t="shared" si="233"/>
        <v>-5.9959481716305163</v>
      </c>
      <c r="L106" s="48">
        <f t="shared" si="234"/>
        <v>12.414857786162248</v>
      </c>
      <c r="M106" s="48">
        <f t="shared" si="235"/>
        <v>-3.1999999999925421</v>
      </c>
      <c r="N106" s="47">
        <f t="shared" ref="N106" si="302" xml:space="preserve"> SQRT(K106*K106+L106*L106+M106*M106)</f>
        <v>14.153447930715151</v>
      </c>
      <c r="O106" s="47">
        <f t="shared" si="179"/>
        <v>-5.880104909323336</v>
      </c>
      <c r="P106" s="47">
        <f t="shared" si="180"/>
        <v>-5.7096059960752283</v>
      </c>
      <c r="Q106" s="48">
        <f t="shared" si="181"/>
        <v>-31.999999999996476</v>
      </c>
      <c r="R106" s="47">
        <f t="shared" ref="R106" si="303" xml:space="preserve"> SQRT(O106*O106+P106*P106+Q106*Q106)</f>
        <v>33.032941654882038</v>
      </c>
      <c r="S106" s="48">
        <f t="shared" si="182"/>
        <v>-1.9586083923002207</v>
      </c>
      <c r="T106" s="48">
        <f t="shared" si="183"/>
        <v>-10.949679498138742</v>
      </c>
      <c r="U106" s="48">
        <f t="shared" si="184"/>
        <v>-13.500000000007617</v>
      </c>
      <c r="V106" s="47">
        <f t="shared" ref="V106" si="304" xml:space="preserve"> SQRT(S106*S106+T106*T106+U106*U106)</f>
        <v>17.492330546458195</v>
      </c>
      <c r="W106" s="48">
        <f t="shared" si="195"/>
        <v>-3.5538661176417463</v>
      </c>
      <c r="X106" s="48">
        <f t="shared" si="196"/>
        <v>-11.35072071501142</v>
      </c>
      <c r="Y106" s="48">
        <f t="shared" si="197"/>
        <v>0.79999999999813554</v>
      </c>
      <c r="Z106" s="47">
        <f t="shared" ref="Z106" si="305" xml:space="preserve"> SQRT(W106*W106+X106*X106+Y106*Y106)</f>
        <v>11.920940614410776</v>
      </c>
      <c r="AA106" s="48"/>
      <c r="AB106" s="48"/>
      <c r="AC106" s="48"/>
      <c r="AD106" s="47"/>
      <c r="AE106" s="22"/>
      <c r="AF106" s="88"/>
      <c r="AG106" s="88"/>
      <c r="AH106" s="88"/>
      <c r="AI106" s="88"/>
      <c r="AJ106" s="88"/>
      <c r="AL106" s="89"/>
      <c r="AM106" s="90"/>
      <c r="AN106" s="90"/>
      <c r="AO106" s="89"/>
      <c r="AP106" s="89"/>
      <c r="AR106" s="89"/>
      <c r="AT106" s="12">
        <v>53.700000000000017</v>
      </c>
      <c r="AU106" s="29">
        <f t="shared" si="190"/>
        <v>44229</v>
      </c>
      <c r="AV106" s="12">
        <v>630</v>
      </c>
      <c r="AW106" s="12">
        <f t="shared" ref="AW106:AW137" si="306">$AR$12*(1-($AR$13/(AV106+$AR$13))^$AR$14)</f>
        <v>31.838158147794445</v>
      </c>
      <c r="AY106" s="93"/>
      <c r="BC106" s="74"/>
    </row>
    <row r="107" spans="1:55" ht="29.25" customHeight="1" x14ac:dyDescent="0.2">
      <c r="A107" s="27">
        <f t="shared" si="170"/>
        <v>758</v>
      </c>
      <c r="B107" s="28">
        <f t="shared" si="171"/>
        <v>44357</v>
      </c>
      <c r="C107" s="48">
        <f t="shared" si="172"/>
        <v>-5.808655696483811</v>
      </c>
      <c r="D107" s="48">
        <f t="shared" si="173"/>
        <v>13.325857722287449</v>
      </c>
      <c r="E107" s="48">
        <f t="shared" si="174"/>
        <v>0.10000000000331966</v>
      </c>
      <c r="F107" s="47">
        <f t="shared" ref="F107" si="307" xml:space="preserve"> SQRT(C107*C107+D107*D107+E107*E107)</f>
        <v>14.537158079725987</v>
      </c>
      <c r="G107" s="47"/>
      <c r="H107" s="47"/>
      <c r="I107" s="47"/>
      <c r="J107" s="47"/>
      <c r="K107" s="48">
        <f t="shared" si="233"/>
        <v>-6.3763349249938983</v>
      </c>
      <c r="L107" s="48">
        <f t="shared" si="234"/>
        <v>13.230520510896682</v>
      </c>
      <c r="M107" s="48">
        <f t="shared" si="235"/>
        <v>-3.5999999999916099</v>
      </c>
      <c r="N107" s="47">
        <f t="shared" ref="N107" si="308" xml:space="preserve"> SQRT(K107*K107+L107*L107+M107*M107)</f>
        <v>15.121650705689982</v>
      </c>
      <c r="O107" s="47">
        <f t="shared" si="179"/>
        <v>-5.4992917648064576</v>
      </c>
      <c r="P107" s="47">
        <f t="shared" si="180"/>
        <v>-4.8699742387492968</v>
      </c>
      <c r="Q107" s="48">
        <f t="shared" si="181"/>
        <v>-32.200000000003115</v>
      </c>
      <c r="R107" s="47">
        <f t="shared" ref="R107" si="309" xml:space="preserve"> SQRT(O107*O107+P107*P107+Q107*Q107)</f>
        <v>33.027244193252798</v>
      </c>
      <c r="S107" s="48">
        <f t="shared" si="182"/>
        <v>-2.018743536382317</v>
      </c>
      <c r="T107" s="48">
        <f t="shared" si="183"/>
        <v>-9.8743266993661649</v>
      </c>
      <c r="U107" s="48">
        <f t="shared" si="184"/>
        <v>-13.700000000000045</v>
      </c>
      <c r="V107" s="47">
        <f t="shared" ref="V107" si="310" xml:space="preserve"> SQRT(S107*S107+T107*T107+U107*U107)</f>
        <v>17.007870332040461</v>
      </c>
      <c r="W107" s="48">
        <f t="shared" si="195"/>
        <v>-3.4327428433016394</v>
      </c>
      <c r="X107" s="48">
        <f t="shared" si="196"/>
        <v>-10.190837510207551</v>
      </c>
      <c r="Y107" s="48">
        <f t="shared" si="197"/>
        <v>0.39999999999906777</v>
      </c>
      <c r="Z107" s="47">
        <f t="shared" ref="Z107" si="311" xml:space="preserve"> SQRT(W107*W107+X107*X107+Y107*Y107)</f>
        <v>10.760896458366798</v>
      </c>
      <c r="AA107" s="48"/>
      <c r="AB107" s="48"/>
      <c r="AC107" s="48"/>
      <c r="AD107" s="47"/>
      <c r="AE107" s="22"/>
      <c r="AF107" s="88"/>
      <c r="AG107" s="88"/>
      <c r="AH107" s="88"/>
      <c r="AI107" s="88"/>
      <c r="AJ107" s="88"/>
      <c r="AL107" s="89"/>
      <c r="AM107" s="90"/>
      <c r="AN107" s="90"/>
      <c r="AO107" s="89"/>
      <c r="AP107" s="89"/>
      <c r="AR107" s="89"/>
      <c r="AT107" s="12">
        <v>53.700000000000017</v>
      </c>
      <c r="AU107" s="29">
        <f t="shared" ref="AU107:AU138" si="312">$AU$10+AV107</f>
        <v>44239</v>
      </c>
      <c r="AV107" s="12">
        <v>640</v>
      </c>
      <c r="AW107" s="12">
        <f t="shared" si="306"/>
        <v>31.972272358530088</v>
      </c>
      <c r="AY107" s="93"/>
      <c r="BC107" s="74"/>
    </row>
    <row r="108" spans="1:55" ht="29.25" customHeight="1" x14ac:dyDescent="0.2">
      <c r="A108" s="27">
        <f t="shared" si="170"/>
        <v>763</v>
      </c>
      <c r="B108" s="28">
        <f t="shared" si="171"/>
        <v>44362</v>
      </c>
      <c r="C108" s="48">
        <f t="shared" si="172"/>
        <v>-5.8992849584456053</v>
      </c>
      <c r="D108" s="48">
        <f t="shared" si="173"/>
        <v>13.283592494660823</v>
      </c>
      <c r="E108" s="48">
        <f t="shared" si="174"/>
        <v>-0.19999999999242846</v>
      </c>
      <c r="F108" s="47">
        <f t="shared" ref="F108" si="313" xml:space="preserve"> SQRT(C108*C108+D108*D108+E108*E108)</f>
        <v>14.536003322273592</v>
      </c>
      <c r="G108" s="47"/>
      <c r="H108" s="47"/>
      <c r="I108" s="47"/>
      <c r="J108" s="47"/>
      <c r="K108" s="48">
        <f t="shared" si="233"/>
        <v>-6.3340696973739341</v>
      </c>
      <c r="L108" s="48">
        <f t="shared" si="234"/>
        <v>13.139891248921565</v>
      </c>
      <c r="M108" s="48">
        <f t="shared" si="235"/>
        <v>-4.2999999999864258</v>
      </c>
      <c r="N108" s="47">
        <f t="shared" ref="N108:N109" si="314" xml:space="preserve"> SQRT(K108*K108+L108*L108+M108*M108)</f>
        <v>15.207471221888255</v>
      </c>
      <c r="O108" s="47">
        <f t="shared" si="179"/>
        <v>-5.3241320476047349</v>
      </c>
      <c r="P108" s="47">
        <f t="shared" si="180"/>
        <v>-5.0089675350747926</v>
      </c>
      <c r="Q108" s="48">
        <f t="shared" si="181"/>
        <v>-32.799999999994611</v>
      </c>
      <c r="R108" s="47">
        <f t="shared" ref="R108:R109" si="315" xml:space="preserve"> SQRT(O108*O108+P108*P108+Q108*Q108)</f>
        <v>33.604704102661152</v>
      </c>
      <c r="S108" s="48">
        <f t="shared" si="182"/>
        <v>-1.7952199887361076</v>
      </c>
      <c r="T108" s="48">
        <f t="shared" si="183"/>
        <v>-9.8804253442841272</v>
      </c>
      <c r="U108" s="48">
        <f t="shared" si="184"/>
        <v>-14.300000000005753</v>
      </c>
      <c r="V108" s="47">
        <f t="shared" ref="V108:V109" si="316" xml:space="preserve"> SQRT(S108*S108+T108*T108+U108*U108)</f>
        <v>17.473855321367814</v>
      </c>
      <c r="W108" s="48">
        <f t="shared" si="195"/>
        <v>-3.2937496524425569</v>
      </c>
      <c r="X108" s="48">
        <f t="shared" si="196"/>
        <v>-10.015677842213577</v>
      </c>
      <c r="Y108" s="48">
        <f t="shared" si="197"/>
        <v>-1.4210854715202004E-11</v>
      </c>
      <c r="Z108" s="47">
        <f t="shared" ref="Z108" si="317" xml:space="preserve"> SQRT(W108*W108+X108*X108+Y108*Y108)</f>
        <v>10.543367081344247</v>
      </c>
      <c r="AA108" s="48"/>
      <c r="AB108" s="48"/>
      <c r="AC108" s="48"/>
      <c r="AD108" s="47"/>
      <c r="AE108" s="22"/>
      <c r="AF108" s="88"/>
      <c r="AG108" s="88"/>
      <c r="AH108" s="88"/>
      <c r="AI108" s="88"/>
      <c r="AJ108" s="88"/>
      <c r="AL108" s="89"/>
      <c r="AM108" s="90"/>
      <c r="AN108" s="90"/>
      <c r="AO108" s="89"/>
      <c r="AP108" s="89"/>
      <c r="AR108" s="89"/>
      <c r="AT108" s="12">
        <v>53.700000000000017</v>
      </c>
      <c r="AU108" s="29">
        <f t="shared" si="312"/>
        <v>44249</v>
      </c>
      <c r="AV108" s="12">
        <v>650</v>
      </c>
      <c r="AW108" s="12">
        <f t="shared" si="306"/>
        <v>32.10394637605232</v>
      </c>
      <c r="AY108" s="93"/>
      <c r="BC108" s="74"/>
    </row>
    <row r="109" spans="1:55" ht="29.25" customHeight="1" x14ac:dyDescent="0.2">
      <c r="A109" s="27">
        <f t="shared" si="170"/>
        <v>765</v>
      </c>
      <c r="B109" s="28">
        <f t="shared" si="171"/>
        <v>44364</v>
      </c>
      <c r="C109" s="48"/>
      <c r="D109" s="48"/>
      <c r="E109" s="48"/>
      <c r="F109" s="47"/>
      <c r="G109" s="47"/>
      <c r="H109" s="47"/>
      <c r="I109" s="47"/>
      <c r="J109" s="47"/>
      <c r="K109" s="48">
        <f t="shared" si="233"/>
        <v>-6.9140113735670639</v>
      </c>
      <c r="L109" s="48">
        <f t="shared" si="234"/>
        <v>13.200453044372562</v>
      </c>
      <c r="M109" s="48">
        <f t="shared" si="235"/>
        <v>-4.7999999999888132</v>
      </c>
      <c r="N109" s="47">
        <f t="shared" si="314"/>
        <v>15.655526623221339</v>
      </c>
      <c r="O109" s="47">
        <f t="shared" si="179"/>
        <v>-6.308855689894699</v>
      </c>
      <c r="P109" s="47">
        <f t="shared" si="180"/>
        <v>-5.0268375007277708</v>
      </c>
      <c r="Q109" s="48">
        <f t="shared" si="181"/>
        <v>-33.799999999999386</v>
      </c>
      <c r="R109" s="47">
        <f t="shared" si="315"/>
        <v>34.749255465039795</v>
      </c>
      <c r="S109" s="48">
        <f t="shared" si="182"/>
        <v>-2.4296244005199696</v>
      </c>
      <c r="T109" s="48">
        <f t="shared" si="183"/>
        <v>-10.176281740784887</v>
      </c>
      <c r="U109" s="48">
        <f t="shared" si="184"/>
        <v>-15.200000000007208</v>
      </c>
      <c r="V109" s="47">
        <f t="shared" si="316"/>
        <v>18.45263625598394</v>
      </c>
      <c r="W109" s="48">
        <f t="shared" si="195"/>
        <v>-3.8074572865411938</v>
      </c>
      <c r="X109" s="48">
        <f t="shared" si="196"/>
        <v>-10.806945565198234</v>
      </c>
      <c r="Y109" s="48">
        <f t="shared" si="197"/>
        <v>-0.90000000000145519</v>
      </c>
      <c r="Z109" s="47">
        <f t="shared" ref="Z109:Z111" si="318" xml:space="preserve"> SQRT(W109*W109+X109*X109+Y109*Y109)</f>
        <v>11.493337349873448</v>
      </c>
      <c r="AA109" s="48">
        <f t="shared" ref="AA109:AA112" si="319">DPM_BD</f>
        <v>-5.8623149690504306</v>
      </c>
      <c r="AB109" s="48">
        <f t="shared" ref="AB109:AB112" si="320">DH_BD</f>
        <v>-12.762877599273192</v>
      </c>
      <c r="AC109" s="48">
        <f t="shared" ref="AC109" si="321">DZ_BD</f>
        <v>2.5999999999868351</v>
      </c>
      <c r="AD109" s="47">
        <f t="shared" ref="AD109" si="322" xml:space="preserve"> SQRT(AA109*AA109+AB109*AB109+AC109*AC109)</f>
        <v>14.283479317390206</v>
      </c>
      <c r="AE109" s="22"/>
      <c r="AF109" s="88"/>
      <c r="AG109" s="88"/>
      <c r="AH109" s="88"/>
      <c r="AI109" s="88"/>
      <c r="AJ109" s="88"/>
      <c r="AL109" s="89"/>
      <c r="AM109" s="90"/>
      <c r="AN109" s="90"/>
      <c r="AO109" s="89"/>
      <c r="AP109" s="89"/>
      <c r="AR109" s="89"/>
      <c r="AT109" s="12">
        <v>53.700000000000017</v>
      </c>
      <c r="AU109" s="29">
        <f t="shared" si="312"/>
        <v>44259</v>
      </c>
      <c r="AV109" s="12">
        <v>660</v>
      </c>
      <c r="AW109" s="12">
        <f t="shared" si="306"/>
        <v>32.233257669132932</v>
      </c>
      <c r="AY109" s="93"/>
      <c r="BC109" s="74"/>
    </row>
    <row r="110" spans="1:55" ht="29.25" customHeight="1" x14ac:dyDescent="0.2">
      <c r="A110" s="27">
        <f t="shared" si="170"/>
        <v>770</v>
      </c>
      <c r="B110" s="28">
        <f t="shared" si="171"/>
        <v>44369</v>
      </c>
      <c r="C110" s="48">
        <f t="shared" si="172"/>
        <v>-6.6060221207067116</v>
      </c>
      <c r="D110" s="48">
        <f t="shared" si="173"/>
        <v>13.616041653999211</v>
      </c>
      <c r="E110" s="48">
        <f t="shared" si="174"/>
        <v>0.70000000000902673</v>
      </c>
      <c r="F110" s="47">
        <f t="shared" ref="F110" si="323" xml:space="preserve"> SQRT(C110*C110+D110*D110+E110*E110)</f>
        <v>15.150119424701597</v>
      </c>
      <c r="G110" s="47"/>
      <c r="H110" s="47"/>
      <c r="I110" s="47"/>
      <c r="J110" s="47"/>
      <c r="K110" s="48">
        <f t="shared" si="233"/>
        <v>-6.9985417304110342</v>
      </c>
      <c r="L110" s="48">
        <f t="shared" si="234"/>
        <v>13.381711357287607</v>
      </c>
      <c r="M110" s="48">
        <f t="shared" si="235"/>
        <v>-4.0999999999797865</v>
      </c>
      <c r="N110" s="47">
        <f t="shared" ref="N110" si="324" xml:space="preserve"> SQRT(K110*K110+L110*L110+M110*M110)</f>
        <v>15.647996204047949</v>
      </c>
      <c r="O110" s="47">
        <f t="shared" si="179"/>
        <v>-5.9162713372984399</v>
      </c>
      <c r="P110" s="47">
        <f t="shared" si="180"/>
        <v>-5.3954532427527564</v>
      </c>
      <c r="Q110" s="48">
        <f t="shared" si="181"/>
        <v>-33.099999999990359</v>
      </c>
      <c r="R110" s="47">
        <f t="shared" ref="R110" si="325" xml:space="preserve"> SQRT(O110*O110+P110*P110+Q110*Q110)</f>
        <v>34.054708664597797</v>
      </c>
      <c r="S110" s="48">
        <f t="shared" si="182"/>
        <v>-2.4540196132818437</v>
      </c>
      <c r="T110" s="48">
        <f t="shared" si="183"/>
        <v>-11.070376226609557</v>
      </c>
      <c r="U110" s="48">
        <f t="shared" si="184"/>
        <v>-14.200000000002433</v>
      </c>
      <c r="V110" s="47">
        <f t="shared" ref="V110" si="326" xml:space="preserve"> SQRT(S110*S110+T110*T110+U110*U110)</f>
        <v>18.171831004638008</v>
      </c>
      <c r="W110" s="48">
        <f t="shared" si="195"/>
        <v>-3.9586481821345387</v>
      </c>
      <c r="X110" s="48">
        <f t="shared" si="196"/>
        <v>-11.429152265108655</v>
      </c>
      <c r="Y110" s="48">
        <f t="shared" si="197"/>
        <v>0.59999999999149622</v>
      </c>
      <c r="Z110" s="47">
        <f t="shared" si="318"/>
        <v>12.110178236877655</v>
      </c>
      <c r="AA110" s="48">
        <f t="shared" si="319"/>
        <v>-5.9712405315508477</v>
      </c>
      <c r="AB110" s="48">
        <f t="shared" si="320"/>
        <v>-13.475713511967857</v>
      </c>
      <c r="AC110" s="48">
        <f t="shared" ref="AC110:AC112" si="327">DZ_BD</f>
        <v>3.7999999999840384</v>
      </c>
      <c r="AD110" s="47">
        <f t="shared" ref="AD110" si="328" xml:space="preserve"> SQRT(AA110*AA110+AB110*AB110+AC110*AC110)</f>
        <v>15.221385224155764</v>
      </c>
      <c r="AE110" s="22"/>
      <c r="AF110" s="88"/>
      <c r="AG110" s="88"/>
      <c r="AH110" s="88"/>
      <c r="AI110" s="88"/>
      <c r="AJ110" s="88"/>
      <c r="AL110" s="89"/>
      <c r="AM110" s="90"/>
      <c r="AN110" s="90"/>
      <c r="AO110" s="89"/>
      <c r="AP110" s="89"/>
      <c r="AR110" s="89"/>
      <c r="AT110" s="12">
        <v>53.700000000000017</v>
      </c>
      <c r="AU110" s="29">
        <f t="shared" si="312"/>
        <v>44269</v>
      </c>
      <c r="AV110" s="12">
        <v>670</v>
      </c>
      <c r="AW110" s="12">
        <f t="shared" si="306"/>
        <v>32.360280225845699</v>
      </c>
      <c r="AY110" s="93"/>
      <c r="BC110" s="74"/>
    </row>
    <row r="111" spans="1:55" ht="29.25" customHeight="1" x14ac:dyDescent="0.2">
      <c r="A111" s="27">
        <f t="shared" si="170"/>
        <v>777</v>
      </c>
      <c r="B111" s="28">
        <f t="shared" si="171"/>
        <v>44376</v>
      </c>
      <c r="C111" s="48">
        <f t="shared" si="172"/>
        <v>-6.5153928587164955</v>
      </c>
      <c r="D111" s="48">
        <f t="shared" si="173"/>
        <v>13.658306881638715</v>
      </c>
      <c r="E111" s="48">
        <f t="shared" si="174"/>
        <v>0.10000000000331966</v>
      </c>
      <c r="F111" s="47">
        <f t="shared" ref="F111" si="329" xml:space="preserve"> SQRT(C111*C111+D111*D111+E111*E111)</f>
        <v>15.13306614590824</v>
      </c>
      <c r="G111" s="47"/>
      <c r="H111" s="47"/>
      <c r="I111" s="47"/>
      <c r="J111" s="47"/>
      <c r="K111" s="48">
        <f t="shared" si="233"/>
        <v>-6.7266541555000003</v>
      </c>
      <c r="L111" s="48">
        <f t="shared" si="234"/>
        <v>13.508506941738663</v>
      </c>
      <c r="M111" s="48">
        <f t="shared" si="235"/>
        <v>-4.2999999999864258</v>
      </c>
      <c r="N111" s="47">
        <f t="shared" ref="N111" si="330" xml:space="preserve"> SQRT(K111*K111+L111*L111+M111*M111)</f>
        <v>15.691323587339289</v>
      </c>
      <c r="O111" s="47">
        <f t="shared" si="179"/>
        <v>-5.8256420753082239</v>
      </c>
      <c r="P111" s="47">
        <f t="shared" si="180"/>
        <v>-5.3531880151204412</v>
      </c>
      <c r="Q111" s="48">
        <f t="shared" si="181"/>
        <v>-33.299999999996999</v>
      </c>
      <c r="R111" s="47">
        <f t="shared" ref="R111" si="331" xml:space="preserve"> SQRT(O111*O111+P111*P111+Q111*Q111)</f>
        <v>34.226959074896364</v>
      </c>
      <c r="S111" s="48">
        <f t="shared" si="182"/>
        <v>-2.1337679056045999</v>
      </c>
      <c r="T111" s="48">
        <f t="shared" si="183"/>
        <v>-10.810686363609268</v>
      </c>
      <c r="U111" s="48">
        <f t="shared" si="184"/>
        <v>-14.499999999998181</v>
      </c>
      <c r="V111" s="47">
        <f t="shared" ref="V111" si="332" xml:space="preserve"> SQRT(S111*S111+T111*T111+U111*U111)</f>
        <v>18.211916569303266</v>
      </c>
      <c r="W111" s="48">
        <f t="shared" si="195"/>
        <v>-3.4994032836550559</v>
      </c>
      <c r="X111" s="48">
        <f t="shared" si="196"/>
        <v>-10.994302734054884</v>
      </c>
      <c r="Y111" s="48">
        <f t="shared" si="197"/>
        <v>0.19999999999242846</v>
      </c>
      <c r="Z111" s="47">
        <f t="shared" si="318"/>
        <v>11.539519745193015</v>
      </c>
      <c r="AA111" s="48">
        <f t="shared" si="319"/>
        <v>-5.8322473407486086</v>
      </c>
      <c r="AB111" s="48">
        <f t="shared" si="320"/>
        <v>-13.300553843959229</v>
      </c>
      <c r="AC111" s="48">
        <f t="shared" si="327"/>
        <v>3.2999999999816509</v>
      </c>
      <c r="AD111" s="47">
        <f t="shared" ref="AD111" si="333" xml:space="preserve"> SQRT(AA111*AA111+AB111*AB111+AC111*AC111)</f>
        <v>14.89328176056596</v>
      </c>
      <c r="AE111" s="22"/>
      <c r="AF111" s="88"/>
      <c r="AG111" s="88"/>
      <c r="AH111" s="88"/>
      <c r="AI111" s="88"/>
      <c r="AJ111" s="88"/>
      <c r="AL111" s="89"/>
      <c r="AM111" s="90"/>
      <c r="AN111" s="90"/>
      <c r="AO111" s="89"/>
      <c r="AP111" s="89"/>
      <c r="AR111" s="89"/>
      <c r="AT111" s="12">
        <v>53.700000000000017</v>
      </c>
      <c r="AU111" s="29">
        <f t="shared" si="312"/>
        <v>44279</v>
      </c>
      <c r="AV111" s="12">
        <v>680</v>
      </c>
      <c r="AW111" s="12">
        <f t="shared" si="306"/>
        <v>32.485084754610874</v>
      </c>
      <c r="AY111" s="93"/>
      <c r="BC111" s="74"/>
    </row>
    <row r="112" spans="1:55" ht="29.25" customHeight="1" x14ac:dyDescent="0.2">
      <c r="A112" s="27">
        <f t="shared" si="170"/>
        <v>779</v>
      </c>
      <c r="B112" s="28">
        <f t="shared" si="171"/>
        <v>44378</v>
      </c>
      <c r="C112" s="48">
        <f t="shared" si="172"/>
        <v>-5.977716508539288</v>
      </c>
      <c r="D112" s="48">
        <f t="shared" si="173"/>
        <v>13.68837455917804</v>
      </c>
      <c r="E112" s="48">
        <f t="shared" si="174"/>
        <v>-0.29999999999574811</v>
      </c>
      <c r="F112" s="47">
        <f t="shared" ref="F112" si="334" xml:space="preserve"> SQRT(C112*C112+D112*D112+E112*E112)</f>
        <v>14.939701895580553</v>
      </c>
      <c r="G112" s="47"/>
      <c r="H112" s="47"/>
      <c r="I112" s="47"/>
      <c r="J112" s="47"/>
      <c r="K112" s="48">
        <f t="shared" si="233"/>
        <v>-6.7750180843404451</v>
      </c>
      <c r="L112" s="48">
        <f t="shared" si="234"/>
        <v>13.375612501357104</v>
      </c>
      <c r="M112" s="48">
        <f t="shared" si="235"/>
        <v>-4.2999999999864258</v>
      </c>
      <c r="N112" s="47">
        <f t="shared" ref="N112" si="335" xml:space="preserve"> SQRT(K112*K112+L112*L112+M112*M112)</f>
        <v>15.598008841819643</v>
      </c>
      <c r="O112" s="47">
        <f t="shared" si="179"/>
        <v>-5.55375450039719</v>
      </c>
      <c r="P112" s="47">
        <f t="shared" si="180"/>
        <v>-5.2263924307024974</v>
      </c>
      <c r="Q112" s="48">
        <f t="shared" si="181"/>
        <v>-33.199999999993679</v>
      </c>
      <c r="R112" s="47">
        <f t="shared" ref="R112" si="336" xml:space="preserve"> SQRT(O112*O112+P112*P112+Q112*Q112)</f>
        <v>34.064635135136363</v>
      </c>
      <c r="S112" s="48">
        <f t="shared" si="182"/>
        <v>-2.1699344319756619</v>
      </c>
      <c r="T112" s="48">
        <f t="shared" si="183"/>
        <v>-10.496533399255714</v>
      </c>
      <c r="U112" s="48">
        <f t="shared" si="184"/>
        <v>-14.300000000005753</v>
      </c>
      <c r="V112" s="47">
        <f t="shared" ref="V112" si="337" xml:space="preserve"> SQRT(S112*S112+T112*T112+U112*U112)</f>
        <v>17.871089190111743</v>
      </c>
      <c r="W112" s="48">
        <f t="shared" si="195"/>
        <v>-3.7168281300807848</v>
      </c>
      <c r="X112" s="48">
        <f t="shared" si="196"/>
        <v>-10.7646803867949</v>
      </c>
      <c r="Y112" s="48">
        <f t="shared" si="197"/>
        <v>9.9999999989108801E-2</v>
      </c>
      <c r="Z112" s="47">
        <f t="shared" ref="Z112:Z114" si="338" xml:space="preserve"> SQRT(W112*W112+X112*X112+Y112*Y112)</f>
        <v>11.388729304817305</v>
      </c>
      <c r="AA112" s="48">
        <f t="shared" si="319"/>
        <v>-5.5058969318224626</v>
      </c>
      <c r="AB112" s="48">
        <f t="shared" si="320"/>
        <v>-12.817340278584499</v>
      </c>
      <c r="AC112" s="48">
        <f t="shared" si="327"/>
        <v>3.1999999999925421</v>
      </c>
      <c r="AD112" s="47">
        <f t="shared" ref="AD112" si="339" xml:space="preserve"> SQRT(AA112*AA112+AB112*AB112+AC112*AC112)</f>
        <v>14.312201537178996</v>
      </c>
      <c r="AE112" s="22"/>
      <c r="AF112" s="88"/>
      <c r="AG112" s="88"/>
      <c r="AH112" s="88"/>
      <c r="AI112" s="88"/>
      <c r="AJ112" s="88"/>
      <c r="AL112" s="89"/>
      <c r="AM112" s="90"/>
      <c r="AN112" s="90"/>
      <c r="AO112" s="89"/>
      <c r="AP112" s="89"/>
      <c r="AR112" s="89"/>
      <c r="AT112" s="12">
        <v>53.700000000000017</v>
      </c>
      <c r="AU112" s="29">
        <f t="shared" si="312"/>
        <v>44289</v>
      </c>
      <c r="AV112" s="12">
        <v>690</v>
      </c>
      <c r="AW112" s="12">
        <f t="shared" si="306"/>
        <v>32.607738871116304</v>
      </c>
      <c r="AY112" s="93"/>
      <c r="BC112" s="74"/>
    </row>
    <row r="113" spans="1:55" ht="29.25" customHeight="1" x14ac:dyDescent="0.2">
      <c r="A113" s="27">
        <f t="shared" si="170"/>
        <v>793</v>
      </c>
      <c r="B113" s="28">
        <f t="shared" si="171"/>
        <v>44392</v>
      </c>
      <c r="C113" s="48">
        <f t="shared" si="172"/>
        <v>-5.6334960847834736</v>
      </c>
      <c r="D113" s="48">
        <f t="shared" si="173"/>
        <v>13.18686437675165</v>
      </c>
      <c r="E113" s="48">
        <f t="shared" si="174"/>
        <v>-0.29999999999574811</v>
      </c>
      <c r="F113" s="47">
        <f t="shared" ref="F113" si="340" xml:space="preserve"> SQRT(C113*C113+D113*D113+E113*E113)</f>
        <v>14.342931019429392</v>
      </c>
      <c r="G113" s="47"/>
      <c r="H113" s="47"/>
      <c r="I113" s="47"/>
      <c r="J113" s="47"/>
      <c r="K113" s="48">
        <f t="shared" si="233"/>
        <v>-6.0260156944877963</v>
      </c>
      <c r="L113" s="48">
        <f t="shared" si="234"/>
        <v>12.95253408003294</v>
      </c>
      <c r="M113" s="48">
        <f t="shared" si="235"/>
        <v>-4.0999999999797865</v>
      </c>
      <c r="N113" s="47">
        <f t="shared" ref="N113" si="341" xml:space="preserve"> SQRT(K113*K113+L113*L113+M113*M113)</f>
        <v>14.862402371234008</v>
      </c>
      <c r="O113" s="47">
        <f t="shared" si="179"/>
        <v>-5.0221768514688847</v>
      </c>
      <c r="P113" s="47">
        <f t="shared" si="180"/>
        <v>-5.4198484554942024</v>
      </c>
      <c r="Q113" s="48">
        <f t="shared" si="181"/>
        <v>-33.299999999996999</v>
      </c>
      <c r="R113" s="47">
        <f t="shared" ref="R113" si="342" xml:space="preserve"> SQRT(O113*O113+P113*P113+Q113*Q113)</f>
        <v>34.109925499885705</v>
      </c>
      <c r="S113" s="48">
        <f t="shared" si="182"/>
        <v>-1.5054622934371764</v>
      </c>
      <c r="T113" s="48">
        <f t="shared" si="183"/>
        <v>-10.73835345844687</v>
      </c>
      <c r="U113" s="48">
        <f t="shared" si="184"/>
        <v>-14.400000000009072</v>
      </c>
      <c r="V113" s="47">
        <f t="shared" ref="V113" si="343" xml:space="preserve"> SQRT(S113*S113+T113*T113+U113*U113)</f>
        <v>18.02605480175183</v>
      </c>
      <c r="W113" s="48"/>
      <c r="X113" s="48"/>
      <c r="Y113" s="48"/>
      <c r="Z113" s="47"/>
      <c r="AA113" s="48"/>
      <c r="AB113" s="48"/>
      <c r="AC113" s="48"/>
      <c r="AD113" s="47"/>
      <c r="AE113" s="22"/>
      <c r="AF113" s="88"/>
      <c r="AG113" s="88"/>
      <c r="AH113" s="88"/>
      <c r="AI113" s="88"/>
      <c r="AJ113" s="88"/>
      <c r="AL113" s="89"/>
      <c r="AM113" s="90"/>
      <c r="AN113" s="90"/>
      <c r="AO113" s="89"/>
      <c r="AP113" s="89"/>
      <c r="AR113" s="89"/>
      <c r="AT113" s="12">
        <v>53.700000000000017</v>
      </c>
      <c r="AU113" s="29">
        <f t="shared" si="312"/>
        <v>44299</v>
      </c>
      <c r="AV113" s="12">
        <v>700</v>
      </c>
      <c r="AW113" s="12">
        <f t="shared" si="306"/>
        <v>32.728307272279167</v>
      </c>
      <c r="AY113" s="93"/>
      <c r="BC113" s="74"/>
    </row>
    <row r="114" spans="1:55" ht="29.25" customHeight="1" x14ac:dyDescent="0.2">
      <c r="A114" s="27">
        <f t="shared" si="170"/>
        <v>801</v>
      </c>
      <c r="B114" s="28">
        <f t="shared" si="171"/>
        <v>44400</v>
      </c>
      <c r="C114" s="48">
        <f t="shared" si="172"/>
        <v>-6.8173481603821529</v>
      </c>
      <c r="D114" s="48">
        <f t="shared" si="173"/>
        <v>14.069187752850265</v>
      </c>
      <c r="E114" s="48">
        <f t="shared" si="174"/>
        <v>0.10000000000331966</v>
      </c>
      <c r="F114" s="47">
        <f t="shared" ref="F114" si="344" xml:space="preserve"> SQRT(C114*C114+D114*D114+E114*E114)</f>
        <v>15.634202249069777</v>
      </c>
      <c r="G114" s="47"/>
      <c r="H114" s="47"/>
      <c r="I114" s="47"/>
      <c r="J114" s="47"/>
      <c r="K114" s="48">
        <f t="shared" si="233"/>
        <v>-7.1192386136260666</v>
      </c>
      <c r="L114" s="48">
        <f t="shared" si="234"/>
        <v>13.877122634565975</v>
      </c>
      <c r="M114" s="48">
        <f t="shared" si="235"/>
        <v>-4.3999999999897454</v>
      </c>
      <c r="N114" s="47">
        <f t="shared" ref="N114" si="345" xml:space="preserve"> SQRT(K114*K114+L114*L114+M114*M114)</f>
        <v>16.205495705236462</v>
      </c>
      <c r="O114" s="47">
        <f t="shared" si="179"/>
        <v>-5.9585365649184041</v>
      </c>
      <c r="P114" s="47">
        <f t="shared" si="180"/>
        <v>-5.3048239807811921</v>
      </c>
      <c r="Q114" s="48">
        <f t="shared" si="181"/>
        <v>-33.799999999999386</v>
      </c>
      <c r="R114" s="47">
        <f t="shared" ref="R114" si="346" xml:space="preserve"> SQRT(O114*O114+P114*P114+Q114*Q114)</f>
        <v>34.728739042218322</v>
      </c>
      <c r="S114" s="48">
        <f t="shared" si="182"/>
        <v>-2.1337679056045999</v>
      </c>
      <c r="T114" s="48">
        <f t="shared" si="183"/>
        <v>-10.810686363609268</v>
      </c>
      <c r="U114" s="48">
        <f t="shared" si="184"/>
        <v>-14.70000000000482</v>
      </c>
      <c r="V114" s="47">
        <f t="shared" ref="V114" si="347" xml:space="preserve"> SQRT(S114*S114+T114*T114+U114*U114)</f>
        <v>18.371551516610058</v>
      </c>
      <c r="W114" s="48">
        <f t="shared" si="195"/>
        <v>-3.7712908585660898</v>
      </c>
      <c r="X114" s="48">
        <f t="shared" si="196"/>
        <v>-11.121098318503719</v>
      </c>
      <c r="Y114" s="48">
        <f t="shared" si="197"/>
        <v>9.9999999989108801E-2</v>
      </c>
      <c r="Z114" s="47">
        <f t="shared" si="338"/>
        <v>11.743571115709575</v>
      </c>
      <c r="AA114" s="48"/>
      <c r="AB114" s="48"/>
      <c r="AC114" s="48"/>
      <c r="AD114" s="47"/>
      <c r="AE114" s="22"/>
      <c r="AF114" s="88"/>
      <c r="AG114" s="88"/>
      <c r="AH114" s="88"/>
      <c r="AI114" s="88"/>
      <c r="AJ114" s="88"/>
      <c r="AL114" s="89"/>
      <c r="AM114" s="90"/>
      <c r="AN114" s="90"/>
      <c r="AO114" s="89"/>
      <c r="AP114" s="89"/>
      <c r="AR114" s="89"/>
      <c r="AT114" s="12">
        <v>53.700000000000017</v>
      </c>
      <c r="AU114" s="29">
        <f t="shared" si="312"/>
        <v>44309</v>
      </c>
      <c r="AV114" s="12">
        <v>710</v>
      </c>
      <c r="AW114" s="12">
        <f t="shared" si="306"/>
        <v>32.846851898302816</v>
      </c>
      <c r="AY114" s="93"/>
      <c r="BC114" s="74"/>
    </row>
    <row r="115" spans="1:55" ht="29.25" customHeight="1" x14ac:dyDescent="0.2">
      <c r="A115" s="27">
        <f t="shared" si="170"/>
        <v>811</v>
      </c>
      <c r="B115" s="28">
        <f t="shared" si="171"/>
        <v>44410</v>
      </c>
      <c r="C115" s="48">
        <f t="shared" si="172"/>
        <v>-6.1106109981494683</v>
      </c>
      <c r="D115" s="48">
        <f t="shared" si="173"/>
        <v>13.736738593550513</v>
      </c>
      <c r="E115" s="48">
        <f t="shared" si="174"/>
        <v>-0.19999999999242846</v>
      </c>
      <c r="F115" s="47">
        <f t="shared" ref="F115" si="348" xml:space="preserve"> SQRT(C115*C115+D115*D115+E115*E115)</f>
        <v>15.035875563406421</v>
      </c>
      <c r="G115" s="47"/>
      <c r="H115" s="47"/>
      <c r="I115" s="47"/>
      <c r="J115" s="47"/>
      <c r="K115" s="48">
        <f t="shared" si="233"/>
        <v>-6.5453957370493754</v>
      </c>
      <c r="L115" s="48">
        <f t="shared" si="234"/>
        <v>13.593037347761072</v>
      </c>
      <c r="M115" s="48">
        <f t="shared" si="235"/>
        <v>-4.2999999999864258</v>
      </c>
      <c r="N115" s="47">
        <f t="shared" ref="N115" si="349" xml:space="preserve"> SQRT(K115*K115+L115*L115+M115*M115)</f>
        <v>15.687666164605069</v>
      </c>
      <c r="O115" s="47">
        <f t="shared" si="179"/>
        <v>-5.2818668199847707</v>
      </c>
      <c r="P115" s="47">
        <f t="shared" si="180"/>
        <v>-5.0995967970310083</v>
      </c>
      <c r="Q115" s="48">
        <f t="shared" si="181"/>
        <v>-33.799999999999386</v>
      </c>
      <c r="R115" s="47">
        <f t="shared" ref="R115" si="350" xml:space="preserve"> SQRT(O115*O115+P115*P115+Q115*Q115)</f>
        <v>34.588206148863854</v>
      </c>
      <c r="S115" s="48">
        <f t="shared" si="182"/>
        <v>-1.5054622934371764</v>
      </c>
      <c r="T115" s="48">
        <f t="shared" si="183"/>
        <v>-10.73835345844687</v>
      </c>
      <c r="U115" s="48">
        <f t="shared" si="184"/>
        <v>-14.899999999997249</v>
      </c>
      <c r="V115" s="47">
        <f t="shared" ref="V115" si="351" xml:space="preserve"> SQRT(S115*S115+T115*T115+U115*U115)</f>
        <v>18.427931292345786</v>
      </c>
      <c r="W115" s="48">
        <f t="shared" si="195"/>
        <v>-3.1791516743737702</v>
      </c>
      <c r="X115" s="48">
        <f t="shared" si="196"/>
        <v>-10.734612660018961</v>
      </c>
      <c r="Y115" s="48">
        <f t="shared" si="197"/>
        <v>-1.4210854715202004E-11</v>
      </c>
      <c r="Z115" s="47">
        <f t="shared" ref="Z115" si="352" xml:space="preserve"> SQRT(W115*W115+X115*X115+Y115*Y115)</f>
        <v>11.195486337328669</v>
      </c>
      <c r="AA115" s="48">
        <f t="shared" ref="AA115:AA120" si="353">DPM_BD</f>
        <v>-4.9682204832492971</v>
      </c>
      <c r="AB115" s="48">
        <f t="shared" ref="AB115:AB120" si="354">DH_BD</f>
        <v>-12.787272812046613</v>
      </c>
      <c r="AC115" s="48">
        <f t="shared" ref="AC115:AC120" si="355">DZ_BD</f>
        <v>2.9999999999859028</v>
      </c>
      <c r="AD115" s="47">
        <f t="shared" ref="AD115" si="356" xml:space="preserve"> SQRT(AA115*AA115+AB115*AB115+AC115*AC115)</f>
        <v>14.042704893993884</v>
      </c>
      <c r="AE115" s="22"/>
      <c r="AF115" s="88"/>
      <c r="AG115" s="88"/>
      <c r="AH115" s="88"/>
      <c r="AI115" s="88"/>
      <c r="AJ115" s="88"/>
      <c r="AL115" s="89"/>
      <c r="AM115" s="90"/>
      <c r="AN115" s="90"/>
      <c r="AO115" s="89"/>
      <c r="AP115" s="89"/>
      <c r="AR115" s="89"/>
      <c r="AT115" s="12">
        <v>53.700000000000017</v>
      </c>
      <c r="AU115" s="29">
        <f t="shared" si="312"/>
        <v>44319</v>
      </c>
      <c r="AV115" s="12">
        <v>720</v>
      </c>
      <c r="AW115" s="12">
        <f t="shared" si="306"/>
        <v>32.963432083784447</v>
      </c>
      <c r="AY115" s="93"/>
      <c r="BC115" s="74"/>
    </row>
    <row r="116" spans="1:55" ht="29.25" customHeight="1" x14ac:dyDescent="0.2">
      <c r="A116" s="27">
        <f t="shared" si="170"/>
        <v>854</v>
      </c>
      <c r="B116" s="28">
        <f t="shared" si="171"/>
        <v>44453</v>
      </c>
      <c r="C116" s="48">
        <f t="shared" si="172"/>
        <v>-7.1254021632682907</v>
      </c>
      <c r="D116" s="48">
        <f t="shared" si="173"/>
        <v>14.256544921746439</v>
      </c>
      <c r="E116" s="48">
        <f t="shared" si="174"/>
        <v>-0.19999999999242846</v>
      </c>
      <c r="F116" s="47">
        <f t="shared" ref="F116:F119" si="357" xml:space="preserve"> SQRT(C116*C116+D116*D116+E116*E116)</f>
        <v>15.939273167057513</v>
      </c>
      <c r="G116" s="47"/>
      <c r="H116" s="47"/>
      <c r="I116" s="47"/>
      <c r="J116" s="47"/>
      <c r="K116" s="48">
        <f t="shared" si="233"/>
        <v>-7.5118229733561748</v>
      </c>
      <c r="L116" s="48">
        <f t="shared" si="234"/>
        <v>14.245738116375417</v>
      </c>
      <c r="M116" s="48">
        <f t="shared" si="235"/>
        <v>-4.6999999999854936</v>
      </c>
      <c r="N116" s="47">
        <f t="shared" ref="N116:N119" si="358" xml:space="preserve"> SQRT(K116*K116+L116*L116+M116*M116)</f>
        <v>16.776726106820028</v>
      </c>
      <c r="O116" s="47">
        <f t="shared" si="179"/>
        <v>-5.1851388568024959</v>
      </c>
      <c r="P116" s="47">
        <f t="shared" si="180"/>
        <v>-4.833807867054313</v>
      </c>
      <c r="Q116" s="48">
        <f t="shared" si="181"/>
        <v>-34.300000000001774</v>
      </c>
      <c r="R116" s="47">
        <f t="shared" ref="R116:R119" si="359" xml:space="preserve"> SQRT(O116*O116+P116*P116+Q116*Q116)</f>
        <v>35.024867786474815</v>
      </c>
      <c r="S116" s="48">
        <f t="shared" si="182"/>
        <v>-2.4779884348617998</v>
      </c>
      <c r="T116" s="48">
        <f t="shared" si="183"/>
        <v>-10.309176230399064</v>
      </c>
      <c r="U116" s="48">
        <f t="shared" si="184"/>
        <v>-15.000000000000568</v>
      </c>
      <c r="V116" s="47">
        <f t="shared" ref="V116:V119" si="360" xml:space="preserve"> SQRT(S116*S116+T116*T116+U116*U116)</f>
        <v>18.368983130068766</v>
      </c>
      <c r="W116" s="48">
        <f t="shared" si="195"/>
        <v>-3.8375249077944318</v>
      </c>
      <c r="X116" s="48">
        <f t="shared" si="196"/>
        <v>-10.269269060305675</v>
      </c>
      <c r="Y116" s="48">
        <f t="shared" si="197"/>
        <v>0.29999999999574811</v>
      </c>
      <c r="Z116" s="47">
        <f t="shared" ref="Z116:Z119" si="361" xml:space="preserve"> SQRT(W116*W116+X116*X116+Y116*Y116)</f>
        <v>10.966972437773858</v>
      </c>
      <c r="AA116" s="48">
        <f t="shared" si="353"/>
        <v>-5.9952093531592254</v>
      </c>
      <c r="AB116" s="48">
        <f t="shared" si="354"/>
        <v>-12.714513515722725</v>
      </c>
      <c r="AC116" s="48">
        <f t="shared" si="355"/>
        <v>3.2999999999816509</v>
      </c>
      <c r="AD116" s="47">
        <f t="shared" ref="AD116:AD119" si="362" xml:space="preserve"> SQRT(AA116*AA116+AB116*AB116+AC116*AC116)</f>
        <v>14.439230905058018</v>
      </c>
      <c r="AE116" s="22"/>
      <c r="AF116" s="88"/>
      <c r="AG116" s="88"/>
      <c r="AH116" s="88"/>
      <c r="AI116" s="88"/>
      <c r="AJ116" s="88"/>
      <c r="AL116" s="89"/>
      <c r="AM116" s="90"/>
      <c r="AN116" s="90"/>
      <c r="AO116" s="89"/>
      <c r="AP116" s="89"/>
      <c r="AR116" s="89"/>
      <c r="AT116" s="12">
        <v>53.700000000000017</v>
      </c>
      <c r="AU116" s="29">
        <f t="shared" si="312"/>
        <v>44329</v>
      </c>
      <c r="AV116" s="12">
        <v>730</v>
      </c>
      <c r="AW116" s="12">
        <f t="shared" si="306"/>
        <v>33.078104698742116</v>
      </c>
      <c r="AY116" s="93"/>
      <c r="BC116" s="74"/>
    </row>
    <row r="117" spans="1:55" ht="29.25" customHeight="1" x14ac:dyDescent="0.2">
      <c r="A117" s="27">
        <f t="shared" si="170"/>
        <v>871</v>
      </c>
      <c r="B117" s="28">
        <f t="shared" si="171"/>
        <v>44470</v>
      </c>
      <c r="C117" s="48">
        <f t="shared" si="172"/>
        <v>-6.3581032618742483</v>
      </c>
      <c r="D117" s="48">
        <f t="shared" si="173"/>
        <v>14.504037283900484</v>
      </c>
      <c r="E117" s="48">
        <f t="shared" si="174"/>
        <v>-0.19999999999242846</v>
      </c>
      <c r="F117" s="47">
        <f t="shared" si="357"/>
        <v>15.83769473823221</v>
      </c>
      <c r="G117" s="47"/>
      <c r="H117" s="47"/>
      <c r="I117" s="47"/>
      <c r="J117" s="47"/>
      <c r="K117" s="48">
        <f t="shared" si="233"/>
        <v>-7.4150950101454782</v>
      </c>
      <c r="L117" s="48">
        <f t="shared" si="234"/>
        <v>14.511527046359163</v>
      </c>
      <c r="M117" s="48">
        <f t="shared" si="235"/>
        <v>-4.7999999999888132</v>
      </c>
      <c r="N117" s="47">
        <f t="shared" si="358"/>
        <v>16.988468183641231</v>
      </c>
      <c r="O117" s="47">
        <f t="shared" si="179"/>
        <v>-5.5476556936753241</v>
      </c>
      <c r="P117" s="47">
        <f t="shared" si="180"/>
        <v>-5.0028686791469816</v>
      </c>
      <c r="Q117" s="48">
        <f t="shared" si="181"/>
        <v>-34.79999999998995</v>
      </c>
      <c r="R117" s="47">
        <f t="shared" si="359"/>
        <v>35.592768629535669</v>
      </c>
      <c r="S117" s="48">
        <f t="shared" si="182"/>
        <v>-2.2967300164680182</v>
      </c>
      <c r="T117" s="48">
        <f t="shared" si="183"/>
        <v>-10.224645824349121</v>
      </c>
      <c r="U117" s="48">
        <f t="shared" si="184"/>
        <v>-15.000000000000568</v>
      </c>
      <c r="V117" s="47">
        <f t="shared" si="360"/>
        <v>18.298042272383736</v>
      </c>
      <c r="W117" s="48">
        <f t="shared" si="195"/>
        <v>-3.8013585853207132</v>
      </c>
      <c r="X117" s="48">
        <f t="shared" si="196"/>
        <v>-10.583421862849107</v>
      </c>
      <c r="Y117" s="48">
        <f t="shared" si="197"/>
        <v>0.29999999999574811</v>
      </c>
      <c r="Z117" s="47">
        <f t="shared" si="361"/>
        <v>11.249406447507415</v>
      </c>
      <c r="AA117" s="48">
        <f t="shared" si="353"/>
        <v>-5.590427288666433</v>
      </c>
      <c r="AB117" s="48">
        <f t="shared" si="354"/>
        <v>-12.636081965634816</v>
      </c>
      <c r="AC117" s="48">
        <f t="shared" si="355"/>
        <v>3.1999999999925421</v>
      </c>
      <c r="AD117" s="47">
        <f t="shared" si="362"/>
        <v>14.183209957977073</v>
      </c>
      <c r="AE117" s="22"/>
      <c r="AF117" s="88"/>
      <c r="AG117" s="88"/>
      <c r="AH117" s="88"/>
      <c r="AI117" s="88"/>
      <c r="AJ117" s="88"/>
      <c r="AL117" s="89"/>
      <c r="AM117" s="90"/>
      <c r="AN117" s="90"/>
      <c r="AO117" s="89"/>
      <c r="AP117" s="89"/>
      <c r="AR117" s="89"/>
      <c r="AT117" s="12">
        <v>53.700000000000017</v>
      </c>
      <c r="AU117" s="29">
        <f t="shared" si="312"/>
        <v>44339</v>
      </c>
      <c r="AV117" s="12">
        <v>740</v>
      </c>
      <c r="AW117" s="12">
        <f t="shared" si="306"/>
        <v>33.190924280350494</v>
      </c>
      <c r="AY117" s="93"/>
      <c r="BC117" s="74"/>
    </row>
    <row r="118" spans="1:55" ht="29.25" customHeight="1" x14ac:dyDescent="0.2">
      <c r="A118" s="27">
        <f t="shared" si="170"/>
        <v>890</v>
      </c>
      <c r="B118" s="28">
        <f t="shared" si="171"/>
        <v>44489</v>
      </c>
      <c r="C118" s="48">
        <f t="shared" si="172"/>
        <v>-6.8173481603821529</v>
      </c>
      <c r="D118" s="48">
        <f t="shared" si="173"/>
        <v>14.069187752850265</v>
      </c>
      <c r="E118" s="48">
        <f t="shared" si="174"/>
        <v>-0.69999999999481588</v>
      </c>
      <c r="F118" s="47">
        <f t="shared" si="357"/>
        <v>15.649545679182209</v>
      </c>
      <c r="G118" s="47"/>
      <c r="H118" s="47"/>
      <c r="I118" s="47"/>
      <c r="J118" s="47"/>
      <c r="K118" s="48">
        <f t="shared" si="233"/>
        <v>-7.0286093516358505</v>
      </c>
      <c r="L118" s="48">
        <f t="shared" si="234"/>
        <v>13.919387862175725</v>
      </c>
      <c r="M118" s="48">
        <f t="shared" si="235"/>
        <v>-5.0999999999845613</v>
      </c>
      <c r="N118" s="47">
        <f t="shared" si="358"/>
        <v>16.406118001386872</v>
      </c>
      <c r="O118" s="47">
        <f t="shared" si="179"/>
        <v>-4.877084853916358</v>
      </c>
      <c r="P118" s="47">
        <f t="shared" si="180"/>
        <v>-5.0211650359490152</v>
      </c>
      <c r="Q118" s="48">
        <f t="shared" si="181"/>
        <v>-35.099999999999909</v>
      </c>
      <c r="R118" s="47">
        <f t="shared" si="359"/>
        <v>35.791172864136918</v>
      </c>
      <c r="S118" s="48">
        <f t="shared" si="182"/>
        <v>-2.484087136110702</v>
      </c>
      <c r="T118" s="48">
        <f t="shared" si="183"/>
        <v>-10.532699932740641</v>
      </c>
      <c r="U118" s="48">
        <f t="shared" si="184"/>
        <v>-15.799999999998704</v>
      </c>
      <c r="V118" s="47">
        <f t="shared" si="360"/>
        <v>19.150677710538194</v>
      </c>
      <c r="W118" s="48">
        <f t="shared" si="195"/>
        <v>-3.5778349392501241</v>
      </c>
      <c r="X118" s="48">
        <f t="shared" si="196"/>
        <v>-10.589520718771617</v>
      </c>
      <c r="Y118" s="48">
        <f t="shared" si="197"/>
        <v>-0.30000000000995897</v>
      </c>
      <c r="Z118" s="47">
        <f t="shared" si="361"/>
        <v>11.181630109506317</v>
      </c>
      <c r="AA118" s="48">
        <f t="shared" si="353"/>
        <v>-5.6448901226531234</v>
      </c>
      <c r="AB118" s="48">
        <f t="shared" si="354"/>
        <v>-12.99249994658247</v>
      </c>
      <c r="AC118" s="48">
        <f t="shared" si="355"/>
        <v>2.8999999999825832</v>
      </c>
      <c r="AD118" s="47">
        <f t="shared" si="362"/>
        <v>14.459593333101427</v>
      </c>
      <c r="AE118" s="22"/>
      <c r="AF118" s="88"/>
      <c r="AG118" s="88"/>
      <c r="AH118" s="88"/>
      <c r="AI118" s="88"/>
      <c r="AJ118" s="88"/>
      <c r="AL118" s="89"/>
      <c r="AM118" s="90"/>
      <c r="AN118" s="90"/>
      <c r="AO118" s="89"/>
      <c r="AP118" s="89"/>
      <c r="AR118" s="89"/>
      <c r="AT118" s="12">
        <v>53.700000000000017</v>
      </c>
      <c r="AU118" s="29">
        <f t="shared" si="312"/>
        <v>44349</v>
      </c>
      <c r="AV118" s="12">
        <v>750</v>
      </c>
      <c r="AW118" s="12">
        <f t="shared" si="306"/>
        <v>33.301943156104066</v>
      </c>
      <c r="AY118" s="93"/>
      <c r="BC118" s="74"/>
    </row>
    <row r="119" spans="1:55" ht="29.25" customHeight="1" x14ac:dyDescent="0.2">
      <c r="A119" s="27">
        <f t="shared" si="170"/>
        <v>903</v>
      </c>
      <c r="B119" s="28">
        <f t="shared" si="171"/>
        <v>44502</v>
      </c>
      <c r="C119" s="48">
        <f t="shared" si="172"/>
        <v>-6.5393616803248733</v>
      </c>
      <c r="D119" s="48">
        <f t="shared" si="173"/>
        <v>14.419506877861643</v>
      </c>
      <c r="E119" s="48">
        <f t="shared" si="174"/>
        <v>0.39999999999906777</v>
      </c>
      <c r="F119" s="47">
        <f t="shared" si="357"/>
        <v>15.838100573831442</v>
      </c>
      <c r="G119" s="47"/>
      <c r="H119" s="47"/>
      <c r="I119" s="47"/>
      <c r="J119" s="47"/>
      <c r="K119" s="48">
        <f t="shared" si="233"/>
        <v>-6.5270993310377889</v>
      </c>
      <c r="L119" s="48">
        <f t="shared" si="234"/>
        <v>14.263608082025758</v>
      </c>
      <c r="M119" s="48">
        <f t="shared" si="235"/>
        <v>-4.3999999999897454</v>
      </c>
      <c r="N119" s="47">
        <f t="shared" si="358"/>
        <v>16.291517461389969</v>
      </c>
      <c r="O119" s="47">
        <f t="shared" si="179"/>
        <v>-4.5629320513569382</v>
      </c>
      <c r="P119" s="47">
        <f t="shared" si="180"/>
        <v>-4.9849987134657212</v>
      </c>
      <c r="Q119" s="48">
        <f t="shared" si="181"/>
        <v>-34.499999999994202</v>
      </c>
      <c r="R119" s="47">
        <f t="shared" si="359"/>
        <v>35.155661863747568</v>
      </c>
      <c r="S119" s="48">
        <f t="shared" si="182"/>
        <v>-1.8074175951028337</v>
      </c>
      <c r="T119" s="48">
        <f t="shared" si="183"/>
        <v>-10.327472587209119</v>
      </c>
      <c r="U119" s="48">
        <f t="shared" si="184"/>
        <v>-14.899999999997249</v>
      </c>
      <c r="V119" s="47">
        <f t="shared" si="360"/>
        <v>18.21904082004761</v>
      </c>
      <c r="W119" s="48">
        <f t="shared" si="195"/>
        <v>-3.6322977732368145</v>
      </c>
      <c r="X119" s="48">
        <f t="shared" si="196"/>
        <v>-10.945938699715718</v>
      </c>
      <c r="Y119" s="48">
        <f t="shared" si="197"/>
        <v>0.69999999999481588</v>
      </c>
      <c r="Z119" s="47">
        <f t="shared" si="361"/>
        <v>11.554097157778624</v>
      </c>
      <c r="AA119" s="48">
        <f t="shared" si="353"/>
        <v>-5.5481621594424269</v>
      </c>
      <c r="AB119" s="48">
        <f t="shared" si="354"/>
        <v>-12.726711016591175</v>
      </c>
      <c r="AC119" s="48">
        <f t="shared" si="355"/>
        <v>3.9999999999906777</v>
      </c>
      <c r="AD119" s="47">
        <f t="shared" si="362"/>
        <v>14.44822745693109</v>
      </c>
      <c r="AE119" s="22"/>
      <c r="AF119" s="88"/>
      <c r="AG119" s="88"/>
      <c r="AH119" s="88"/>
      <c r="AI119" s="88"/>
      <c r="AJ119" s="88"/>
      <c r="AL119" s="89"/>
      <c r="AM119" s="90"/>
      <c r="AN119" s="90"/>
      <c r="AO119" s="89"/>
      <c r="AP119" s="89"/>
      <c r="AR119" s="89"/>
      <c r="AT119" s="12">
        <v>53.700000000000017</v>
      </c>
      <c r="AU119" s="29">
        <f t="shared" si="312"/>
        <v>44359</v>
      </c>
      <c r="AV119" s="12">
        <v>760</v>
      </c>
      <c r="AW119" s="12">
        <f t="shared" si="306"/>
        <v>33.411211559062806</v>
      </c>
      <c r="AY119" s="93"/>
      <c r="BC119" s="74"/>
    </row>
    <row r="120" spans="1:55" ht="29.25" customHeight="1" x14ac:dyDescent="0.2">
      <c r="A120" s="27">
        <f t="shared" si="170"/>
        <v>1316</v>
      </c>
      <c r="B120" s="28">
        <f t="shared" si="171"/>
        <v>44915</v>
      </c>
      <c r="C120" s="48">
        <f t="shared" si="172"/>
        <v>-6.1398256331983703</v>
      </c>
      <c r="D120" s="48">
        <f t="shared" si="173"/>
        <v>17.585003900767671</v>
      </c>
      <c r="E120" s="48">
        <f t="shared" si="174"/>
        <v>1.1000000000080945</v>
      </c>
      <c r="F120" s="47">
        <f t="shared" ref="F120" si="363" xml:space="preserve"> SQRT(C120*C120+D120*D120+E120*E120)</f>
        <v>18.658505325885884</v>
      </c>
      <c r="G120" s="47"/>
      <c r="H120" s="47"/>
      <c r="I120" s="47"/>
      <c r="J120" s="47"/>
      <c r="K120" s="48">
        <f t="shared" si="233"/>
        <v>-8.1933122389443724</v>
      </c>
      <c r="L120" s="48">
        <f t="shared" si="234"/>
        <v>18.782870936694174</v>
      </c>
      <c r="M120" s="48">
        <f t="shared" si="235"/>
        <v>-7.5999999999822876</v>
      </c>
      <c r="N120" s="47">
        <f t="shared" ref="N120" si="364" xml:space="preserve"> SQRT(K120*K120+L120*L120+M120*M120)</f>
        <v>21.85604278155305</v>
      </c>
      <c r="O120" s="47">
        <f t="shared" si="179"/>
        <v>-5.4147613095949509</v>
      </c>
      <c r="P120" s="47">
        <f t="shared" si="180"/>
        <v>-5.0512327626972269</v>
      </c>
      <c r="Q120" s="48">
        <f t="shared" si="181"/>
        <v>-43.199999999998795</v>
      </c>
      <c r="R120" s="47">
        <f t="shared" ref="R120" si="365" xml:space="preserve"> SQRT(O120*O120+P120*P120+Q120*Q120)</f>
        <v>43.830064937925066</v>
      </c>
      <c r="S120" s="48">
        <f t="shared" si="182"/>
        <v>-1.8623067218470624</v>
      </c>
      <c r="T120" s="48">
        <f t="shared" si="183"/>
        <v>-12.339185261235119</v>
      </c>
      <c r="U120" s="48">
        <f t="shared" si="184"/>
        <v>-19.700000000000273</v>
      </c>
      <c r="V120" s="47">
        <f t="shared" ref="V120" si="366" xml:space="preserve"> SQRT(S120*S120+T120*T120+U120*U120)</f>
        <v>23.319813018918687</v>
      </c>
      <c r="W120" s="48">
        <f t="shared" si="195"/>
        <v>-4.1947958257253504</v>
      </c>
      <c r="X120" s="48">
        <f t="shared" si="196"/>
        <v>-13.525395134135643</v>
      </c>
      <c r="Y120" s="48">
        <f t="shared" si="197"/>
        <v>-1.4210854715202004E-11</v>
      </c>
      <c r="Z120" s="47">
        <f t="shared" ref="Z120" si="367" xml:space="preserve"> SQRT(W120*W120+X120*X120+Y120*Y120)</f>
        <v>14.160954260007443</v>
      </c>
      <c r="AA120" s="48">
        <f t="shared" si="353"/>
        <v>-6.7633610368034169</v>
      </c>
      <c r="AB120" s="48">
        <f t="shared" si="354"/>
        <v>-16.272594842042132</v>
      </c>
      <c r="AC120" s="48">
        <f t="shared" si="355"/>
        <v>4.8999999999921329</v>
      </c>
      <c r="AD120" s="47">
        <f t="shared" ref="AD120" si="368" xml:space="preserve"> SQRT(AA120*AA120+AB120*AB120+AC120*AC120)</f>
        <v>18.290718832438753</v>
      </c>
      <c r="AE120" s="22"/>
      <c r="AF120" s="88"/>
      <c r="AG120" s="88"/>
      <c r="AH120" s="88"/>
      <c r="AI120" s="88"/>
      <c r="AJ120" s="88"/>
      <c r="AL120" s="89"/>
      <c r="AM120" s="90"/>
      <c r="AN120" s="90"/>
      <c r="AO120" s="89"/>
      <c r="AP120" s="89"/>
      <c r="AR120" s="89"/>
      <c r="AT120" s="12">
        <v>53.700000000000017</v>
      </c>
      <c r="AU120" s="29">
        <f t="shared" si="312"/>
        <v>44369</v>
      </c>
      <c r="AV120" s="12">
        <v>770</v>
      </c>
      <c r="AW120" s="12">
        <f t="shared" si="306"/>
        <v>33.518777735778137</v>
      </c>
      <c r="AY120" s="93"/>
      <c r="BC120" s="74"/>
    </row>
    <row r="121" spans="1:55" ht="29.25" customHeight="1" x14ac:dyDescent="0.2">
      <c r="A121" s="27"/>
      <c r="B121" s="28"/>
      <c r="C121" s="48"/>
      <c r="D121" s="48"/>
      <c r="E121" s="48"/>
      <c r="F121" s="47"/>
      <c r="G121" s="47"/>
      <c r="H121" s="47"/>
      <c r="I121" s="47"/>
      <c r="J121" s="47"/>
      <c r="K121" s="48"/>
      <c r="L121" s="48"/>
      <c r="M121" s="48"/>
      <c r="N121" s="47"/>
      <c r="O121" s="47"/>
      <c r="P121" s="47"/>
      <c r="Q121" s="48"/>
      <c r="R121" s="47"/>
      <c r="S121" s="48"/>
      <c r="T121" s="48"/>
      <c r="U121" s="48"/>
      <c r="V121" s="47"/>
      <c r="W121" s="48"/>
      <c r="X121" s="48"/>
      <c r="Y121" s="48"/>
      <c r="Z121" s="47"/>
      <c r="AA121" s="48"/>
      <c r="AB121" s="48"/>
      <c r="AC121" s="48"/>
      <c r="AD121" s="47"/>
      <c r="AE121" s="22"/>
      <c r="AF121" s="88"/>
      <c r="AG121" s="88"/>
      <c r="AH121" s="88"/>
      <c r="AI121" s="88"/>
      <c r="AJ121" s="88"/>
      <c r="AL121" s="89"/>
      <c r="AM121" s="90"/>
      <c r="AN121" s="90"/>
      <c r="AO121" s="89"/>
      <c r="AP121" s="89"/>
      <c r="AR121" s="89"/>
      <c r="AT121" s="12">
        <v>53.700000000000017</v>
      </c>
      <c r="AU121" s="29">
        <f t="shared" si="312"/>
        <v>44379</v>
      </c>
      <c r="AV121" s="12">
        <v>780</v>
      </c>
      <c r="AW121" s="12">
        <f t="shared" si="306"/>
        <v>33.624688047445289</v>
      </c>
      <c r="AY121" s="93"/>
      <c r="BC121" s="74"/>
    </row>
    <row r="122" spans="1:55" ht="29.25" customHeight="1" x14ac:dyDescent="0.2">
      <c r="A122" s="27"/>
      <c r="B122" s="28"/>
      <c r="C122" s="48"/>
      <c r="D122" s="48"/>
      <c r="E122" s="48"/>
      <c r="F122" s="47"/>
      <c r="G122" s="47"/>
      <c r="H122" s="47"/>
      <c r="I122" s="47"/>
      <c r="J122" s="47"/>
      <c r="K122" s="48"/>
      <c r="L122" s="48"/>
      <c r="M122" s="48"/>
      <c r="N122" s="47"/>
      <c r="O122" s="47"/>
      <c r="P122" s="47"/>
      <c r="Q122" s="48"/>
      <c r="R122" s="47"/>
      <c r="S122" s="48"/>
      <c r="T122" s="48"/>
      <c r="U122" s="48"/>
      <c r="V122" s="47"/>
      <c r="W122" s="48"/>
      <c r="X122" s="48"/>
      <c r="Y122" s="48"/>
      <c r="Z122" s="47"/>
      <c r="AA122" s="48"/>
      <c r="AB122" s="48"/>
      <c r="AC122" s="48"/>
      <c r="AD122" s="47"/>
      <c r="AE122" s="22"/>
      <c r="AF122" s="88"/>
      <c r="AG122" s="88"/>
      <c r="AH122" s="88"/>
      <c r="AI122" s="88"/>
      <c r="AJ122" s="88"/>
      <c r="AL122" s="89"/>
      <c r="AM122" s="90"/>
      <c r="AN122" s="90"/>
      <c r="AO122" s="89"/>
      <c r="AP122" s="89"/>
      <c r="AR122" s="89"/>
      <c r="AT122" s="12">
        <v>53.700000000000017</v>
      </c>
      <c r="AU122" s="29">
        <f t="shared" si="312"/>
        <v>44389</v>
      </c>
      <c r="AV122" s="12">
        <v>790</v>
      </c>
      <c r="AW122" s="12">
        <f t="shared" si="306"/>
        <v>33.728987064781336</v>
      </c>
      <c r="AY122" s="93"/>
      <c r="BC122" s="74"/>
    </row>
    <row r="123" spans="1:55" ht="29.25" customHeight="1" x14ac:dyDescent="0.2">
      <c r="A123" s="27"/>
      <c r="B123" s="28"/>
      <c r="C123" s="48"/>
      <c r="D123" s="48"/>
      <c r="E123" s="48"/>
      <c r="F123" s="47"/>
      <c r="G123" s="47"/>
      <c r="H123" s="47"/>
      <c r="I123" s="47"/>
      <c r="J123" s="47"/>
      <c r="K123" s="48"/>
      <c r="L123" s="48"/>
      <c r="M123" s="48"/>
      <c r="N123" s="47"/>
      <c r="O123" s="47"/>
      <c r="P123" s="47"/>
      <c r="Q123" s="48"/>
      <c r="R123" s="47"/>
      <c r="S123" s="48"/>
      <c r="T123" s="48"/>
      <c r="U123" s="48"/>
      <c r="V123" s="47"/>
      <c r="W123" s="48"/>
      <c r="X123" s="48"/>
      <c r="Y123" s="48"/>
      <c r="Z123" s="47"/>
      <c r="AA123" s="48"/>
      <c r="AB123" s="48"/>
      <c r="AC123" s="48"/>
      <c r="AD123" s="47"/>
      <c r="AE123" s="22"/>
      <c r="AF123" s="88"/>
      <c r="AG123" s="88"/>
      <c r="AH123" s="88"/>
      <c r="AI123" s="88"/>
      <c r="AJ123" s="88"/>
      <c r="AL123" s="89"/>
      <c r="AM123" s="90"/>
      <c r="AN123" s="90"/>
      <c r="AO123" s="89"/>
      <c r="AP123" s="89"/>
      <c r="AR123" s="89"/>
      <c r="AT123" s="12">
        <v>53.700000000000017</v>
      </c>
      <c r="AU123" s="29">
        <f t="shared" si="312"/>
        <v>44399</v>
      </c>
      <c r="AV123" s="12">
        <v>800</v>
      </c>
      <c r="AW123" s="12">
        <f t="shared" si="306"/>
        <v>33.831717657086379</v>
      </c>
      <c r="AY123" s="93"/>
      <c r="BC123" s="74"/>
    </row>
    <row r="124" spans="1:55" ht="29.25" customHeight="1" x14ac:dyDescent="0.2">
      <c r="A124" s="27"/>
      <c r="B124" s="28"/>
      <c r="C124" s="48"/>
      <c r="D124" s="48"/>
      <c r="E124" s="48"/>
      <c r="F124" s="47"/>
      <c r="G124" s="47"/>
      <c r="H124" s="47"/>
      <c r="I124" s="47"/>
      <c r="J124" s="47"/>
      <c r="K124" s="48"/>
      <c r="L124" s="48"/>
      <c r="M124" s="48"/>
      <c r="N124" s="47"/>
      <c r="O124" s="47"/>
      <c r="P124" s="47"/>
      <c r="Q124" s="48"/>
      <c r="R124" s="47"/>
      <c r="S124" s="48"/>
      <c r="T124" s="48"/>
      <c r="U124" s="48"/>
      <c r="V124" s="47"/>
      <c r="W124" s="48"/>
      <c r="X124" s="48"/>
      <c r="Y124" s="48"/>
      <c r="Z124" s="47"/>
      <c r="AA124" s="48"/>
      <c r="AB124" s="48"/>
      <c r="AC124" s="48"/>
      <c r="AD124" s="47"/>
      <c r="AE124" s="22"/>
      <c r="AF124" s="88"/>
      <c r="AG124" s="88"/>
      <c r="AH124" s="88"/>
      <c r="AI124" s="88"/>
      <c r="AJ124" s="88"/>
      <c r="AL124" s="89"/>
      <c r="AM124" s="90"/>
      <c r="AN124" s="90"/>
      <c r="AO124" s="89"/>
      <c r="AP124" s="89"/>
      <c r="AR124" s="89"/>
      <c r="AT124" s="12">
        <v>53.700000000000017</v>
      </c>
      <c r="AU124" s="29">
        <f t="shared" si="312"/>
        <v>44409</v>
      </c>
      <c r="AV124" s="12">
        <v>810</v>
      </c>
      <c r="AW124" s="12">
        <f t="shared" si="306"/>
        <v>33.932921075906833</v>
      </c>
      <c r="AY124" s="93"/>
      <c r="BC124" s="74"/>
    </row>
    <row r="125" spans="1:55" ht="29.25" customHeight="1" x14ac:dyDescent="0.2">
      <c r="A125" s="27"/>
      <c r="B125" s="28"/>
      <c r="C125" s="48"/>
      <c r="D125" s="48"/>
      <c r="E125" s="48"/>
      <c r="F125" s="47"/>
      <c r="G125" s="47"/>
      <c r="H125" s="47"/>
      <c r="I125" s="47"/>
      <c r="J125" s="47"/>
      <c r="K125" s="48"/>
      <c r="L125" s="48"/>
      <c r="M125" s="48"/>
      <c r="N125" s="47"/>
      <c r="O125" s="47"/>
      <c r="P125" s="47"/>
      <c r="Q125" s="48"/>
      <c r="R125" s="47"/>
      <c r="S125" s="48"/>
      <c r="T125" s="48"/>
      <c r="U125" s="48"/>
      <c r="V125" s="47"/>
      <c r="W125" s="48"/>
      <c r="X125" s="48"/>
      <c r="Y125" s="48"/>
      <c r="Z125" s="47"/>
      <c r="AA125" s="48"/>
      <c r="AB125" s="48"/>
      <c r="AC125" s="48"/>
      <c r="AD125" s="47"/>
      <c r="AE125" s="22"/>
      <c r="AF125" s="88"/>
      <c r="AG125" s="88"/>
      <c r="AH125" s="88"/>
      <c r="AI125" s="88"/>
      <c r="AJ125" s="88"/>
      <c r="AL125" s="89"/>
      <c r="AM125" s="90"/>
      <c r="AN125" s="90"/>
      <c r="AO125" s="89"/>
      <c r="AP125" s="89"/>
      <c r="AR125" s="89"/>
      <c r="AT125" s="12">
        <v>53.700000000000017</v>
      </c>
      <c r="AU125" s="29">
        <f t="shared" si="312"/>
        <v>44419</v>
      </c>
      <c r="AV125" s="12">
        <v>820</v>
      </c>
      <c r="AW125" s="12">
        <f t="shared" si="306"/>
        <v>34.032637033685198</v>
      </c>
      <c r="AY125" s="93"/>
      <c r="BC125" s="74"/>
    </row>
    <row r="126" spans="1:55" ht="29.25" customHeight="1" x14ac:dyDescent="0.2">
      <c r="A126" s="27"/>
      <c r="B126" s="28"/>
      <c r="C126" s="48"/>
      <c r="D126" s="48"/>
      <c r="E126" s="48"/>
      <c r="F126" s="47"/>
      <c r="G126" s="47"/>
      <c r="H126" s="47"/>
      <c r="I126" s="47"/>
      <c r="J126" s="47"/>
      <c r="K126" s="48"/>
      <c r="L126" s="48"/>
      <c r="M126" s="48"/>
      <c r="N126" s="47"/>
      <c r="O126" s="47"/>
      <c r="P126" s="47"/>
      <c r="Q126" s="48"/>
      <c r="R126" s="47"/>
      <c r="S126" s="48"/>
      <c r="T126" s="48"/>
      <c r="U126" s="48"/>
      <c r="V126" s="47"/>
      <c r="W126" s="48"/>
      <c r="X126" s="48"/>
      <c r="Y126" s="48"/>
      <c r="Z126" s="47"/>
      <c r="AA126" s="48"/>
      <c r="AB126" s="48"/>
      <c r="AC126" s="48"/>
      <c r="AD126" s="47"/>
      <c r="AE126" s="22"/>
      <c r="AF126" s="88"/>
      <c r="AG126" s="88"/>
      <c r="AH126" s="88"/>
      <c r="AI126" s="88"/>
      <c r="AJ126" s="88"/>
      <c r="AL126" s="89"/>
      <c r="AM126" s="90"/>
      <c r="AN126" s="90"/>
      <c r="AO126" s="89"/>
      <c r="AP126" s="89"/>
      <c r="AR126" s="89"/>
      <c r="AT126" s="12">
        <v>53.700000000000017</v>
      </c>
      <c r="AU126" s="29">
        <f t="shared" si="312"/>
        <v>44429</v>
      </c>
      <c r="AV126" s="12">
        <v>830</v>
      </c>
      <c r="AW126" s="12">
        <f t="shared" si="306"/>
        <v>34.130903777749779</v>
      </c>
      <c r="AY126" s="93"/>
      <c r="BC126" s="74"/>
    </row>
    <row r="127" spans="1:55" ht="29.25" customHeight="1" x14ac:dyDescent="0.2">
      <c r="A127" s="27"/>
      <c r="B127" s="28"/>
      <c r="C127" s="48"/>
      <c r="D127" s="48"/>
      <c r="E127" s="48"/>
      <c r="F127" s="47"/>
      <c r="G127" s="47"/>
      <c r="H127" s="47"/>
      <c r="I127" s="47"/>
      <c r="J127" s="47"/>
      <c r="K127" s="48"/>
      <c r="L127" s="48"/>
      <c r="M127" s="48"/>
      <c r="N127" s="47"/>
      <c r="O127" s="47"/>
      <c r="P127" s="47"/>
      <c r="Q127" s="48"/>
      <c r="R127" s="47"/>
      <c r="S127" s="48"/>
      <c r="T127" s="48"/>
      <c r="U127" s="48"/>
      <c r="V127" s="47"/>
      <c r="W127" s="48"/>
      <c r="X127" s="48"/>
      <c r="Y127" s="48"/>
      <c r="Z127" s="47"/>
      <c r="AA127" s="48"/>
      <c r="AB127" s="48"/>
      <c r="AC127" s="48"/>
      <c r="AD127" s="47"/>
      <c r="AE127" s="22"/>
      <c r="AF127" s="88"/>
      <c r="AG127" s="88"/>
      <c r="AH127" s="88"/>
      <c r="AI127" s="88"/>
      <c r="AJ127" s="88"/>
      <c r="AL127" s="89"/>
      <c r="AM127" s="90"/>
      <c r="AN127" s="90"/>
      <c r="AO127" s="89"/>
      <c r="AP127" s="89"/>
      <c r="AR127" s="89"/>
      <c r="AT127" s="12">
        <v>53.700000000000017</v>
      </c>
      <c r="AU127" s="29">
        <f t="shared" si="312"/>
        <v>44439</v>
      </c>
      <c r="AV127" s="12">
        <v>840</v>
      </c>
      <c r="AW127" s="12">
        <f t="shared" si="306"/>
        <v>34.227758159968523</v>
      </c>
      <c r="AY127" s="93"/>
      <c r="BC127" s="74"/>
    </row>
    <row r="128" spans="1:55" ht="29.25" customHeight="1" x14ac:dyDescent="0.2">
      <c r="A128" s="27"/>
      <c r="B128" s="28"/>
      <c r="C128" s="48"/>
      <c r="D128" s="48"/>
      <c r="E128" s="48"/>
      <c r="F128" s="47"/>
      <c r="G128" s="47"/>
      <c r="H128" s="47"/>
      <c r="I128" s="47"/>
      <c r="J128" s="47"/>
      <c r="K128" s="48"/>
      <c r="L128" s="48"/>
      <c r="M128" s="48"/>
      <c r="N128" s="47"/>
      <c r="O128" s="47"/>
      <c r="P128" s="47"/>
      <c r="Q128" s="48"/>
      <c r="R128" s="47"/>
      <c r="S128" s="48"/>
      <c r="T128" s="48"/>
      <c r="U128" s="48"/>
      <c r="V128" s="47"/>
      <c r="W128" s="48"/>
      <c r="X128" s="48"/>
      <c r="Y128" s="48"/>
      <c r="Z128" s="47"/>
      <c r="AA128" s="48"/>
      <c r="AB128" s="48"/>
      <c r="AC128" s="48"/>
      <c r="AD128" s="47"/>
      <c r="AE128" s="22"/>
      <c r="AF128" s="88"/>
      <c r="AG128" s="88"/>
      <c r="AH128" s="88"/>
      <c r="AI128" s="88"/>
      <c r="AJ128" s="88"/>
      <c r="AL128" s="89"/>
      <c r="AM128" s="90"/>
      <c r="AN128" s="90"/>
      <c r="AO128" s="89"/>
      <c r="AP128" s="89"/>
      <c r="AR128" s="89"/>
      <c r="AT128" s="12">
        <v>53.700000000000017</v>
      </c>
      <c r="AU128" s="29">
        <f t="shared" si="312"/>
        <v>44449</v>
      </c>
      <c r="AV128" s="12">
        <v>850</v>
      </c>
      <c r="AW128" s="12">
        <f t="shared" si="306"/>
        <v>34.32323570236602</v>
      </c>
      <c r="AY128" s="93"/>
      <c r="BC128" s="74"/>
    </row>
    <row r="129" spans="1:55" ht="29.25" customHeight="1" x14ac:dyDescent="0.2">
      <c r="A129" s="27"/>
      <c r="B129" s="28"/>
      <c r="C129" s="48"/>
      <c r="D129" s="48"/>
      <c r="E129" s="48"/>
      <c r="F129" s="47"/>
      <c r="G129" s="47"/>
      <c r="H129" s="47"/>
      <c r="I129" s="47"/>
      <c r="J129" s="47"/>
      <c r="K129" s="48"/>
      <c r="L129" s="48"/>
      <c r="M129" s="48"/>
      <c r="N129" s="47"/>
      <c r="O129" s="47"/>
      <c r="P129" s="47"/>
      <c r="Q129" s="48"/>
      <c r="R129" s="47"/>
      <c r="S129" s="48"/>
      <c r="T129" s="48"/>
      <c r="U129" s="48"/>
      <c r="V129" s="47"/>
      <c r="W129" s="48"/>
      <c r="X129" s="48"/>
      <c r="Y129" s="48"/>
      <c r="Z129" s="47"/>
      <c r="AA129" s="48"/>
      <c r="AB129" s="48"/>
      <c r="AC129" s="48"/>
      <c r="AD129" s="47"/>
      <c r="AE129" s="22"/>
      <c r="AF129" s="88"/>
      <c r="AG129" s="88"/>
      <c r="AH129" s="88"/>
      <c r="AI129" s="88"/>
      <c r="AJ129" s="88"/>
      <c r="AL129" s="89"/>
      <c r="AM129" s="90"/>
      <c r="AN129" s="90"/>
      <c r="AO129" s="89"/>
      <c r="AP129" s="89"/>
      <c r="AR129" s="89"/>
      <c r="AT129" s="12">
        <v>53.700000000000017</v>
      </c>
      <c r="AU129" s="29">
        <f t="shared" si="312"/>
        <v>44459</v>
      </c>
      <c r="AV129" s="12">
        <v>860</v>
      </c>
      <c r="AW129" s="12">
        <f t="shared" si="306"/>
        <v>34.417370658978641</v>
      </c>
      <c r="AY129" s="93"/>
      <c r="BC129" s="74"/>
    </row>
    <row r="130" spans="1:55" ht="29.25" customHeight="1" x14ac:dyDescent="0.2">
      <c r="A130" s="27"/>
      <c r="B130" s="28"/>
      <c r="C130" s="48"/>
      <c r="D130" s="48"/>
      <c r="E130" s="48"/>
      <c r="F130" s="47"/>
      <c r="G130" s="47"/>
      <c r="H130" s="47"/>
      <c r="I130" s="47"/>
      <c r="J130" s="47"/>
      <c r="K130" s="48"/>
      <c r="L130" s="48"/>
      <c r="M130" s="48"/>
      <c r="N130" s="47"/>
      <c r="O130" s="47"/>
      <c r="P130" s="47"/>
      <c r="Q130" s="48"/>
      <c r="R130" s="47"/>
      <c r="S130" s="48"/>
      <c r="T130" s="48"/>
      <c r="U130" s="48"/>
      <c r="V130" s="47"/>
      <c r="W130" s="48"/>
      <c r="X130" s="48"/>
      <c r="Y130" s="48"/>
      <c r="Z130" s="47"/>
      <c r="AA130" s="48"/>
      <c r="AB130" s="48"/>
      <c r="AC130" s="48"/>
      <c r="AD130" s="47"/>
      <c r="AE130" s="22"/>
      <c r="AF130" s="88"/>
      <c r="AG130" s="88"/>
      <c r="AH130" s="88"/>
      <c r="AI130" s="88"/>
      <c r="AJ130" s="88"/>
      <c r="AL130" s="89"/>
      <c r="AM130" s="90"/>
      <c r="AN130" s="90"/>
      <c r="AO130" s="89"/>
      <c r="AP130" s="89"/>
      <c r="AR130" s="89"/>
      <c r="AT130" s="12">
        <v>53.700000000000017</v>
      </c>
      <c r="AU130" s="29">
        <f t="shared" si="312"/>
        <v>44469</v>
      </c>
      <c r="AV130" s="12">
        <v>870</v>
      </c>
      <c r="AW130" s="12">
        <f t="shared" si="306"/>
        <v>34.51019607420141</v>
      </c>
      <c r="AY130" s="93"/>
      <c r="BC130" s="74"/>
    </row>
    <row r="131" spans="1:55" x14ac:dyDescent="0.2">
      <c r="AT131" s="12">
        <v>53.700000000000017</v>
      </c>
      <c r="AU131" s="29">
        <f t="shared" si="312"/>
        <v>44479</v>
      </c>
      <c r="AV131" s="12">
        <v>880</v>
      </c>
      <c r="AW131" s="12">
        <f t="shared" si="306"/>
        <v>34.601743837860653</v>
      </c>
    </row>
    <row r="132" spans="1:55" x14ac:dyDescent="0.2">
      <c r="AT132" s="12">
        <v>53.700000000000017</v>
      </c>
      <c r="AU132" s="29">
        <f t="shared" si="312"/>
        <v>44489</v>
      </c>
      <c r="AV132" s="12">
        <v>890</v>
      </c>
      <c r="AW132" s="12">
        <f t="shared" si="306"/>
        <v>34.692044737228557</v>
      </c>
    </row>
    <row r="133" spans="1:55" x14ac:dyDescent="0.2">
      <c r="AT133" s="12">
        <v>53.700000000000017</v>
      </c>
      <c r="AU133" s="29">
        <f t="shared" si="312"/>
        <v>44499</v>
      </c>
      <c r="AV133" s="12">
        <v>900</v>
      </c>
      <c r="AW133" s="12">
        <f t="shared" si="306"/>
        <v>34.781128506179414</v>
      </c>
    </row>
    <row r="134" spans="1:55" x14ac:dyDescent="0.2">
      <c r="AT134" s="12">
        <v>53.700000000000017</v>
      </c>
      <c r="AU134" s="29">
        <f t="shared" si="312"/>
        <v>44509</v>
      </c>
      <c r="AV134" s="12">
        <v>910</v>
      </c>
      <c r="AW134" s="12">
        <f t="shared" si="306"/>
        <v>34.869023871672319</v>
      </c>
    </row>
    <row r="135" spans="1:55" x14ac:dyDescent="0.2">
      <c r="AT135" s="12">
        <v>53.700000000000017</v>
      </c>
      <c r="AU135" s="29">
        <f t="shared" si="312"/>
        <v>44519</v>
      </c>
      <c r="AV135" s="12">
        <v>920</v>
      </c>
      <c r="AW135" s="12">
        <f t="shared" si="306"/>
        <v>34.955758597731339</v>
      </c>
    </row>
    <row r="136" spans="1:55" x14ac:dyDescent="0.2">
      <c r="AT136" s="12">
        <v>53.700000000000017</v>
      </c>
      <c r="AU136" s="29">
        <f t="shared" si="312"/>
        <v>44529</v>
      </c>
      <c r="AV136" s="12">
        <v>930</v>
      </c>
      <c r="AW136" s="12">
        <f t="shared" si="306"/>
        <v>35.041359527081866</v>
      </c>
    </row>
    <row r="137" spans="1:55" x14ac:dyDescent="0.2">
      <c r="AT137" s="12">
        <v>53.700000000000017</v>
      </c>
      <c r="AU137" s="29">
        <f t="shared" si="312"/>
        <v>44539</v>
      </c>
      <c r="AV137" s="12">
        <v>940</v>
      </c>
      <c r="AW137" s="12">
        <f t="shared" si="306"/>
        <v>35.125852620590024</v>
      </c>
    </row>
    <row r="138" spans="1:55" x14ac:dyDescent="0.2">
      <c r="AT138" s="12">
        <v>53.700000000000017</v>
      </c>
      <c r="AU138" s="29">
        <f t="shared" si="312"/>
        <v>44549</v>
      </c>
      <c r="AV138" s="12">
        <v>950</v>
      </c>
      <c r="AW138" s="12">
        <f t="shared" ref="AW138:AW169" si="369">$AR$12*(1-($AR$13/(AV138+$AR$13))^$AR$14)</f>
        <v>35.209262994641556</v>
      </c>
    </row>
    <row r="139" spans="1:55" x14ac:dyDescent="0.2">
      <c r="AT139" s="12">
        <v>53.700000000000017</v>
      </c>
      <c r="AU139" s="29">
        <f t="shared" ref="AU139:AU170" si="370">$AU$10+AV139</f>
        <v>44559</v>
      </c>
      <c r="AV139" s="12">
        <v>960</v>
      </c>
      <c r="AW139" s="12">
        <f t="shared" si="369"/>
        <v>35.291614956586962</v>
      </c>
    </row>
    <row r="140" spans="1:55" x14ac:dyDescent="0.2">
      <c r="AT140" s="12">
        <v>53.700000000000017</v>
      </c>
      <c r="AU140" s="29">
        <f t="shared" si="370"/>
        <v>44569</v>
      </c>
      <c r="AV140" s="12">
        <v>970</v>
      </c>
      <c r="AW140" s="12">
        <f t="shared" si="369"/>
        <v>35.372932038370735</v>
      </c>
    </row>
    <row r="141" spans="1:55" x14ac:dyDescent="0.2">
      <c r="AT141" s="12">
        <v>53.700000000000017</v>
      </c>
      <c r="AU141" s="29">
        <f t="shared" si="370"/>
        <v>44579</v>
      </c>
      <c r="AV141" s="12">
        <v>980</v>
      </c>
      <c r="AW141" s="12">
        <f t="shared" si="369"/>
        <v>35.45323702845397</v>
      </c>
    </row>
    <row r="142" spans="1:55" x14ac:dyDescent="0.2">
      <c r="AT142" s="12">
        <v>53.700000000000017</v>
      </c>
      <c r="AU142" s="29">
        <f t="shared" si="370"/>
        <v>44599</v>
      </c>
      <c r="AV142" s="12">
        <v>1000</v>
      </c>
      <c r="AW142" s="12">
        <f t="shared" si="369"/>
        <v>35.610898350346076</v>
      </c>
    </row>
    <row r="143" spans="1:55" x14ac:dyDescent="0.2">
      <c r="AT143" s="12">
        <v>53.700000000000017</v>
      </c>
      <c r="AU143" s="29">
        <f t="shared" si="370"/>
        <v>44659</v>
      </c>
      <c r="AV143" s="12">
        <v>1060</v>
      </c>
      <c r="AW143" s="12">
        <f t="shared" si="369"/>
        <v>36.061753598160621</v>
      </c>
    </row>
    <row r="144" spans="1:55" x14ac:dyDescent="0.2">
      <c r="AT144" s="12">
        <v>53.7</v>
      </c>
      <c r="AU144" s="29">
        <f t="shared" si="370"/>
        <v>44719</v>
      </c>
      <c r="AV144" s="12">
        <v>1120</v>
      </c>
      <c r="AW144" s="12">
        <f t="shared" si="369"/>
        <v>36.482463628416234</v>
      </c>
    </row>
    <row r="145" spans="46:49" x14ac:dyDescent="0.2">
      <c r="AT145" s="12">
        <v>53.7</v>
      </c>
      <c r="AU145" s="29">
        <f t="shared" si="370"/>
        <v>44779</v>
      </c>
      <c r="AV145" s="12">
        <v>1180</v>
      </c>
      <c r="AW145" s="12">
        <f t="shared" si="369"/>
        <v>36.876420499629496</v>
      </c>
    </row>
    <row r="146" spans="46:49" x14ac:dyDescent="0.2">
      <c r="AT146" s="12">
        <v>53.7</v>
      </c>
      <c r="AU146" s="29">
        <f t="shared" si="370"/>
        <v>44839</v>
      </c>
      <c r="AV146" s="12">
        <v>1240</v>
      </c>
      <c r="AW146" s="12">
        <f t="shared" si="369"/>
        <v>37.246494107966164</v>
      </c>
    </row>
    <row r="147" spans="46:49" x14ac:dyDescent="0.2">
      <c r="AT147" s="12">
        <v>53.7</v>
      </c>
      <c r="AU147" s="29">
        <f t="shared" si="370"/>
        <v>44899</v>
      </c>
      <c r="AV147" s="12">
        <v>1300</v>
      </c>
      <c r="AW147" s="12">
        <f t="shared" si="369"/>
        <v>37.595132268328861</v>
      </c>
    </row>
    <row r="148" spans="46:49" x14ac:dyDescent="0.2">
      <c r="AT148" s="12">
        <v>53.7</v>
      </c>
      <c r="AU148" s="29">
        <f t="shared" si="370"/>
        <v>44959</v>
      </c>
      <c r="AV148" s="12">
        <v>1360</v>
      </c>
      <c r="AW148" s="12">
        <f t="shared" si="369"/>
        <v>37.924438158763145</v>
      </c>
    </row>
    <row r="149" spans="46:49" x14ac:dyDescent="0.2">
      <c r="AT149" s="12">
        <v>53.7</v>
      </c>
      <c r="AU149" s="29">
        <f t="shared" si="370"/>
        <v>45019</v>
      </c>
      <c r="AV149" s="12">
        <v>1420</v>
      </c>
      <c r="AW149" s="12">
        <f t="shared" si="369"/>
        <v>38.236230965736645</v>
      </c>
    </row>
    <row r="150" spans="46:49" x14ac:dyDescent="0.2">
      <c r="AT150" s="12">
        <v>53.7</v>
      </c>
      <c r="AU150" s="29">
        <f t="shared" si="370"/>
        <v>45079</v>
      </c>
      <c r="AV150" s="12">
        <v>1480</v>
      </c>
      <c r="AW150" s="12">
        <f t="shared" si="369"/>
        <v>38.532093891948527</v>
      </c>
    </row>
    <row r="151" spans="46:49" x14ac:dyDescent="0.2">
      <c r="AT151" s="12">
        <v>53.7</v>
      </c>
      <c r="AU151" s="29">
        <f t="shared" si="370"/>
        <v>45139</v>
      </c>
      <c r="AV151" s="12">
        <v>1540</v>
      </c>
      <c r="AW151" s="12">
        <f t="shared" si="369"/>
        <v>38.813412538813246</v>
      </c>
    </row>
    <row r="152" spans="46:49" x14ac:dyDescent="0.2">
      <c r="AT152" s="12">
        <v>53.7</v>
      </c>
      <c r="AU152" s="29">
        <f t="shared" si="370"/>
        <v>45199</v>
      </c>
      <c r="AV152" s="12">
        <v>1600</v>
      </c>
      <c r="AW152" s="12">
        <f t="shared" si="369"/>
        <v>39.081405874122389</v>
      </c>
    </row>
    <row r="153" spans="46:49" x14ac:dyDescent="0.2">
      <c r="AT153" s="12">
        <v>53.7</v>
      </c>
      <c r="AU153" s="29">
        <f t="shared" si="370"/>
        <v>45259</v>
      </c>
      <c r="AV153" s="12">
        <v>1660</v>
      </c>
      <c r="AW153" s="12">
        <f t="shared" si="369"/>
        <v>39.337151427803462</v>
      </c>
    </row>
    <row r="154" spans="46:49" x14ac:dyDescent="0.2">
      <c r="AT154" s="12">
        <v>53.7</v>
      </c>
      <c r="AU154" s="29">
        <f t="shared" si="370"/>
        <v>45319</v>
      </c>
      <c r="AV154" s="12">
        <v>1720</v>
      </c>
      <c r="AW154" s="12">
        <f t="shared" si="369"/>
        <v>39.581605951191179</v>
      </c>
    </row>
    <row r="155" spans="46:49" x14ac:dyDescent="0.2">
      <c r="AT155" s="12">
        <v>53.7</v>
      </c>
      <c r="AU155" s="29">
        <f t="shared" si="370"/>
        <v>45379</v>
      </c>
      <c r="AV155" s="12">
        <v>1780</v>
      </c>
      <c r="AW155" s="12">
        <f t="shared" si="369"/>
        <v>39.815622478875312</v>
      </c>
    </row>
    <row r="156" spans="46:49" x14ac:dyDescent="0.2">
      <c r="AT156" s="12">
        <v>53.7</v>
      </c>
      <c r="AU156" s="29">
        <f t="shared" si="370"/>
        <v>45439</v>
      </c>
      <c r="AV156" s="12">
        <v>1840</v>
      </c>
      <c r="AW156" s="12">
        <f t="shared" si="369"/>
        <v>40.03996451409845</v>
      </c>
    </row>
    <row r="157" spans="46:49" x14ac:dyDescent="0.2">
      <c r="AT157" s="12">
        <v>53.7</v>
      </c>
      <c r="AU157" s="29">
        <f t="shared" si="370"/>
        <v>45499</v>
      </c>
      <c r="AV157" s="12">
        <v>1900</v>
      </c>
      <c r="AW157" s="12">
        <f t="shared" si="369"/>
        <v>40.255317896400967</v>
      </c>
    </row>
    <row r="158" spans="46:49" x14ac:dyDescent="0.2">
      <c r="AT158" s="12">
        <v>53.7</v>
      </c>
      <c r="AU158" s="29">
        <f t="shared" si="370"/>
        <v>45559</v>
      </c>
      <c r="AV158" s="12">
        <v>1960</v>
      </c>
      <c r="AW158" s="12">
        <f t="shared" si="369"/>
        <v>40.462300788223999</v>
      </c>
    </row>
    <row r="159" spans="46:49" x14ac:dyDescent="0.2">
      <c r="AT159" s="12">
        <v>53.7</v>
      </c>
      <c r="AU159" s="29">
        <f t="shared" si="370"/>
        <v>45619</v>
      </c>
      <c r="AV159" s="12">
        <v>2020</v>
      </c>
      <c r="AW159" s="12">
        <f t="shared" si="369"/>
        <v>40.661472124598909</v>
      </c>
    </row>
    <row r="160" spans="46:49" x14ac:dyDescent="0.2">
      <c r="AT160" s="12">
        <v>53.7</v>
      </c>
      <c r="AU160" s="29">
        <f t="shared" si="370"/>
        <v>45719</v>
      </c>
      <c r="AV160" s="12">
        <v>2120</v>
      </c>
      <c r="AW160" s="12">
        <f t="shared" si="369"/>
        <v>40.977421145637884</v>
      </c>
    </row>
    <row r="161" spans="46:49" x14ac:dyDescent="0.2">
      <c r="AT161" s="12">
        <v>53.7</v>
      </c>
      <c r="AU161" s="29">
        <f t="shared" si="370"/>
        <v>45839</v>
      </c>
      <c r="AV161" s="12">
        <v>2240</v>
      </c>
      <c r="AW161" s="12">
        <f t="shared" si="369"/>
        <v>41.33265060096403</v>
      </c>
    </row>
    <row r="162" spans="46:49" x14ac:dyDescent="0.2">
      <c r="AT162" s="12">
        <v>53.7</v>
      </c>
      <c r="AU162" s="29">
        <f t="shared" si="370"/>
        <v>45959</v>
      </c>
      <c r="AV162" s="12">
        <v>2360</v>
      </c>
      <c r="AW162" s="12">
        <f t="shared" si="369"/>
        <v>41.66464655383853</v>
      </c>
    </row>
    <row r="163" spans="46:49" x14ac:dyDescent="0.2">
      <c r="AT163" s="12">
        <v>53.7</v>
      </c>
      <c r="AU163" s="29">
        <f t="shared" si="370"/>
        <v>46079</v>
      </c>
      <c r="AV163" s="12">
        <v>2480</v>
      </c>
      <c r="AW163" s="12">
        <f t="shared" si="369"/>
        <v>41.975969034293755</v>
      </c>
    </row>
    <row r="164" spans="46:49" x14ac:dyDescent="0.2">
      <c r="AT164" s="12">
        <v>53.7</v>
      </c>
      <c r="AU164" s="29">
        <f t="shared" si="370"/>
        <v>46199</v>
      </c>
      <c r="AV164" s="12">
        <v>2600</v>
      </c>
      <c r="AW164" s="12">
        <f t="shared" si="369"/>
        <v>42.268791801918276</v>
      </c>
    </row>
    <row r="165" spans="46:49" x14ac:dyDescent="0.2">
      <c r="AT165" s="12">
        <v>53.7</v>
      </c>
      <c r="AU165" s="29">
        <f t="shared" si="370"/>
        <v>46319</v>
      </c>
      <c r="AV165" s="12">
        <v>2720</v>
      </c>
      <c r="AW165" s="12">
        <f t="shared" si="369"/>
        <v>42.544974977210103</v>
      </c>
    </row>
    <row r="166" spans="46:49" x14ac:dyDescent="0.2">
      <c r="AT166" s="12">
        <v>53.7</v>
      </c>
      <c r="AU166" s="29">
        <f t="shared" si="370"/>
        <v>46439</v>
      </c>
      <c r="AV166" s="12">
        <v>2840</v>
      </c>
      <c r="AW166" s="12">
        <f t="shared" si="369"/>
        <v>42.806121543427814</v>
      </c>
    </row>
    <row r="167" spans="46:49" x14ac:dyDescent="0.2">
      <c r="AT167" s="12">
        <v>53.7</v>
      </c>
      <c r="AU167" s="29">
        <f t="shared" si="370"/>
        <v>46559</v>
      </c>
      <c r="AV167" s="12">
        <v>2960</v>
      </c>
      <c r="AW167" s="12">
        <f t="shared" si="369"/>
        <v>43.053621805866669</v>
      </c>
    </row>
    <row r="168" spans="46:49" x14ac:dyDescent="0.2">
      <c r="AT168" s="12">
        <v>53.7</v>
      </c>
      <c r="AU168" s="29">
        <f t="shared" si="370"/>
        <v>46679</v>
      </c>
      <c r="AV168" s="12">
        <v>3080</v>
      </c>
      <c r="AW168" s="12">
        <f t="shared" si="369"/>
        <v>43.288688741853534</v>
      </c>
    </row>
    <row r="169" spans="46:49" x14ac:dyDescent="0.2">
      <c r="AT169" s="12">
        <v>53.7</v>
      </c>
      <c r="AU169" s="29">
        <f t="shared" si="370"/>
        <v>46799</v>
      </c>
      <c r="AV169" s="12">
        <v>3200</v>
      </c>
      <c r="AW169" s="12">
        <f t="shared" si="369"/>
        <v>43.512386377615051</v>
      </c>
    </row>
    <row r="170" spans="46:49" x14ac:dyDescent="0.2">
      <c r="AT170" s="12">
        <v>53.7</v>
      </c>
      <c r="AU170" s="29">
        <f t="shared" si="370"/>
        <v>46919</v>
      </c>
      <c r="AV170" s="12">
        <v>3320</v>
      </c>
      <c r="AW170" s="12">
        <f t="shared" ref="AW170:AW196" si="371">$AR$12*(1-($AR$13/(AV170+$AR$13))^$AR$14)</f>
        <v>43.72565276851374</v>
      </c>
    </row>
    <row r="171" spans="46:49" x14ac:dyDescent="0.2">
      <c r="AT171" s="12">
        <v>53.7</v>
      </c>
      <c r="AU171" s="29">
        <f t="shared" ref="AU171:AU196" si="372">$AU$10+AV171</f>
        <v>47039</v>
      </c>
      <c r="AV171" s="12">
        <v>3440</v>
      </c>
      <c r="AW171" s="12">
        <f t="shared" si="371"/>
        <v>43.929318760436175</v>
      </c>
    </row>
    <row r="172" spans="46:49" x14ac:dyDescent="0.2">
      <c r="AT172" s="12">
        <v>53.7</v>
      </c>
      <c r="AU172" s="29">
        <f t="shared" si="372"/>
        <v>47159</v>
      </c>
      <c r="AV172" s="12">
        <v>3560</v>
      </c>
      <c r="AW172" s="12">
        <f t="shared" si="371"/>
        <v>44.124123422225274</v>
      </c>
    </row>
    <row r="173" spans="46:49" x14ac:dyDescent="0.2">
      <c r="AT173" s="12">
        <v>53.7</v>
      </c>
      <c r="AU173" s="29">
        <f t="shared" si="372"/>
        <v>47279</v>
      </c>
      <c r="AV173" s="12">
        <v>3680</v>
      </c>
      <c r="AW173" s="12">
        <f t="shared" si="371"/>
        <v>44.31072682858079</v>
      </c>
    </row>
    <row r="174" spans="46:49" x14ac:dyDescent="0.2">
      <c r="AT174" s="12">
        <v>53.7</v>
      </c>
      <c r="AU174" s="29">
        <f t="shared" si="372"/>
        <v>47399</v>
      </c>
      <c r="AV174" s="12">
        <v>3800</v>
      </c>
      <c r="AW174" s="12">
        <f t="shared" si="371"/>
        <v>44.489720717207021</v>
      </c>
    </row>
    <row r="175" spans="46:49" x14ac:dyDescent="0.2">
      <c r="AT175" s="12">
        <v>53.7</v>
      </c>
      <c r="AU175" s="29">
        <f t="shared" si="372"/>
        <v>47519</v>
      </c>
      <c r="AV175" s="12">
        <v>3920</v>
      </c>
      <c r="AW175" s="12">
        <f t="shared" si="371"/>
        <v>44.661637427650611</v>
      </c>
    </row>
    <row r="176" spans="46:49" x14ac:dyDescent="0.2">
      <c r="AT176" s="12">
        <v>53.7</v>
      </c>
      <c r="AU176" s="29">
        <f t="shared" si="372"/>
        <v>47639</v>
      </c>
      <c r="AV176" s="12">
        <v>4040</v>
      </c>
      <c r="AW176" s="12">
        <f t="shared" si="371"/>
        <v>44.826957441448393</v>
      </c>
    </row>
    <row r="177" spans="46:49" x14ac:dyDescent="0.2">
      <c r="AT177" s="12">
        <v>53.7</v>
      </c>
      <c r="AU177" s="29">
        <f t="shared" si="372"/>
        <v>47759</v>
      </c>
      <c r="AV177" s="12">
        <v>4160</v>
      </c>
      <c r="AW177" s="12">
        <f t="shared" si="371"/>
        <v>44.986115776288599</v>
      </c>
    </row>
    <row r="178" spans="46:49" x14ac:dyDescent="0.2">
      <c r="AT178" s="12">
        <v>53.7</v>
      </c>
      <c r="AU178" s="29">
        <f t="shared" si="372"/>
        <v>47879</v>
      </c>
      <c r="AV178" s="12">
        <v>4280</v>
      </c>
      <c r="AW178" s="12">
        <f t="shared" si="371"/>
        <v>45.139507435458199</v>
      </c>
    </row>
    <row r="179" spans="46:49" x14ac:dyDescent="0.2">
      <c r="AT179" s="12">
        <v>53.7</v>
      </c>
      <c r="AU179" s="29">
        <f t="shared" si="372"/>
        <v>47999</v>
      </c>
      <c r="AV179" s="12">
        <v>4400</v>
      </c>
      <c r="AW179" s="12">
        <f t="shared" si="371"/>
        <v>45.287492073997029</v>
      </c>
    </row>
    <row r="180" spans="46:49" x14ac:dyDescent="0.2">
      <c r="AT180" s="12">
        <v>53.7</v>
      </c>
      <c r="AU180" s="29">
        <f t="shared" si="372"/>
        <v>48119</v>
      </c>
      <c r="AV180" s="12">
        <v>4520</v>
      </c>
      <c r="AW180" s="12">
        <f t="shared" si="371"/>
        <v>45.430398011862479</v>
      </c>
    </row>
    <row r="181" spans="46:49" x14ac:dyDescent="0.2">
      <c r="AT181" s="12">
        <v>53.7</v>
      </c>
      <c r="AU181" s="29">
        <f t="shared" si="372"/>
        <v>48239</v>
      </c>
      <c r="AV181" s="12">
        <v>4640</v>
      </c>
      <c r="AW181" s="12">
        <f t="shared" si="371"/>
        <v>45.568525699936771</v>
      </c>
    </row>
    <row r="182" spans="46:49" x14ac:dyDescent="0.2">
      <c r="AT182" s="12">
        <v>53.7</v>
      </c>
      <c r="AU182" s="29">
        <f t="shared" si="372"/>
        <v>48359</v>
      </c>
      <c r="AV182" s="12">
        <v>4760</v>
      </c>
      <c r="AW182" s="12">
        <f t="shared" si="371"/>
        <v>45.702150725331059</v>
      </c>
    </row>
    <row r="183" spans="46:49" x14ac:dyDescent="0.2">
      <c r="AT183" s="12">
        <v>53.7</v>
      </c>
      <c r="AU183" s="29">
        <f t="shared" si="372"/>
        <v>48479</v>
      </c>
      <c r="AV183" s="12">
        <v>4880</v>
      </c>
      <c r="AW183" s="12">
        <f t="shared" si="371"/>
        <v>45.831526426999034</v>
      </c>
    </row>
    <row r="184" spans="46:49" x14ac:dyDescent="0.2">
      <c r="AT184" s="12">
        <v>53.7</v>
      </c>
      <c r="AU184" s="29">
        <f t="shared" si="372"/>
        <v>48599</v>
      </c>
      <c r="AV184" s="12">
        <v>5000</v>
      </c>
      <c r="AW184" s="12">
        <f t="shared" si="371"/>
        <v>45.956886180291839</v>
      </c>
    </row>
    <row r="185" spans="46:49" x14ac:dyDescent="0.2">
      <c r="AT185" s="12">
        <v>53.7</v>
      </c>
      <c r="AU185" s="29">
        <f t="shared" si="372"/>
        <v>48719</v>
      </c>
      <c r="AV185" s="12">
        <v>5120</v>
      </c>
      <c r="AW185" s="12">
        <f t="shared" si="371"/>
        <v>46.078445399102215</v>
      </c>
    </row>
    <row r="186" spans="46:49" x14ac:dyDescent="0.2">
      <c r="AT186" s="12">
        <v>53.7</v>
      </c>
      <c r="AU186" s="29">
        <f t="shared" si="372"/>
        <v>48839</v>
      </c>
      <c r="AV186" s="12">
        <v>5240</v>
      </c>
      <c r="AW186" s="12">
        <f t="shared" si="371"/>
        <v>46.196403296151189</v>
      </c>
    </row>
    <row r="187" spans="46:49" x14ac:dyDescent="0.2">
      <c r="AT187" s="12">
        <v>53.7</v>
      </c>
      <c r="AU187" s="29">
        <f t="shared" si="372"/>
        <v>48959</v>
      </c>
      <c r="AV187" s="12">
        <v>5360</v>
      </c>
      <c r="AW187" s="12">
        <f t="shared" si="371"/>
        <v>46.310944435373088</v>
      </c>
    </row>
    <row r="188" spans="46:49" x14ac:dyDescent="0.2">
      <c r="AT188" s="12">
        <v>53.7</v>
      </c>
      <c r="AU188" s="29">
        <f t="shared" si="372"/>
        <v>49079</v>
      </c>
      <c r="AV188" s="12">
        <v>5480</v>
      </c>
      <c r="AW188" s="12">
        <f t="shared" si="371"/>
        <v>46.422240104950838</v>
      </c>
    </row>
    <row r="189" spans="46:49" x14ac:dyDescent="0.2">
      <c r="AT189" s="12">
        <v>53.7</v>
      </c>
      <c r="AU189" s="29">
        <f t="shared" si="372"/>
        <v>49199</v>
      </c>
      <c r="AV189" s="12">
        <v>5600</v>
      </c>
      <c r="AW189" s="12">
        <f t="shared" si="371"/>
        <v>46.530449535106982</v>
      </c>
    </row>
    <row r="190" spans="46:49" x14ac:dyDescent="0.2">
      <c r="AT190" s="12">
        <v>53.7</v>
      </c>
      <c r="AU190" s="29">
        <f t="shared" si="372"/>
        <v>49319</v>
      </c>
      <c r="AV190" s="12">
        <v>5720</v>
      </c>
      <c r="AW190" s="12">
        <f t="shared" si="371"/>
        <v>46.635720981079864</v>
      </c>
    </row>
    <row r="191" spans="46:49" x14ac:dyDescent="0.2">
      <c r="AT191" s="12">
        <v>53.7</v>
      </c>
      <c r="AU191" s="29">
        <f t="shared" si="372"/>
        <v>49439</v>
      </c>
      <c r="AV191" s="12">
        <v>5840</v>
      </c>
      <c r="AW191" s="12">
        <f t="shared" si="371"/>
        <v>46.738192688662991</v>
      </c>
    </row>
    <row r="192" spans="46:49" x14ac:dyDescent="0.2">
      <c r="AT192" s="12">
        <v>53.7</v>
      </c>
      <c r="AU192" s="29">
        <f t="shared" si="372"/>
        <v>49559</v>
      </c>
      <c r="AV192" s="12">
        <v>5960</v>
      </c>
      <c r="AW192" s="12">
        <f t="shared" si="371"/>
        <v>46.837993757141916</v>
      </c>
    </row>
    <row r="193" spans="46:49" x14ac:dyDescent="0.2">
      <c r="AT193" s="12">
        <v>53.7</v>
      </c>
      <c r="AU193" s="29">
        <f t="shared" si="372"/>
        <v>49679</v>
      </c>
      <c r="AV193" s="12">
        <v>6080</v>
      </c>
      <c r="AW193" s="12">
        <f t="shared" si="371"/>
        <v>46.935244912334376</v>
      </c>
    </row>
    <row r="194" spans="46:49" x14ac:dyDescent="0.2">
      <c r="AT194" s="12">
        <v>53.7</v>
      </c>
      <c r="AU194" s="29">
        <f t="shared" si="372"/>
        <v>49799</v>
      </c>
      <c r="AV194" s="12">
        <v>6200</v>
      </c>
      <c r="AW194" s="12">
        <f t="shared" si="371"/>
        <v>47.030059200651259</v>
      </c>
    </row>
    <row r="195" spans="46:49" x14ac:dyDescent="0.2">
      <c r="AT195" s="12">
        <v>53.7</v>
      </c>
      <c r="AU195" s="29">
        <f t="shared" si="372"/>
        <v>49919</v>
      </c>
      <c r="AV195" s="12">
        <v>6320</v>
      </c>
      <c r="AW195" s="12">
        <f t="shared" si="371"/>
        <v>47.122542613588877</v>
      </c>
    </row>
    <row r="196" spans="46:49" x14ac:dyDescent="0.2">
      <c r="AT196" s="12">
        <v>53.7</v>
      </c>
      <c r="AU196" s="29">
        <f t="shared" si="372"/>
        <v>50039</v>
      </c>
      <c r="AV196" s="12">
        <v>6440</v>
      </c>
      <c r="AW196" s="12">
        <f t="shared" si="371"/>
        <v>47.212794650787551</v>
      </c>
    </row>
  </sheetData>
  <mergeCells count="12">
    <mergeCell ref="AQ10:AR10"/>
    <mergeCell ref="W8:Z8"/>
    <mergeCell ref="AA8:AD8"/>
    <mergeCell ref="A5:AC5"/>
    <mergeCell ref="Y1:AC1"/>
    <mergeCell ref="Y2:AC2"/>
    <mergeCell ref="C7:AC7"/>
    <mergeCell ref="C8:F8"/>
    <mergeCell ref="G8:J8"/>
    <mergeCell ref="K8:N8"/>
    <mergeCell ref="O8:R8"/>
    <mergeCell ref="S8:V8"/>
  </mergeCells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2" fitToHeight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>
    <pageSetUpPr fitToPage="1"/>
  </sheetPr>
  <dimension ref="A1:AE112"/>
  <sheetViews>
    <sheetView topLeftCell="A76" zoomScale="85" zoomScaleNormal="85" workbookViewId="0">
      <selection activeCell="Y106" sqref="Y106"/>
    </sheetView>
  </sheetViews>
  <sheetFormatPr baseColWidth="10" defaultColWidth="11.42578125" defaultRowHeight="12.75" x14ac:dyDescent="0.2"/>
  <cols>
    <col min="1" max="1" width="7.5703125" style="2" customWidth="1"/>
    <col min="2" max="12" width="10.7109375" style="2" customWidth="1"/>
    <col min="13" max="13" width="7" style="2" customWidth="1"/>
    <col min="14" max="24" width="10.7109375" style="2" customWidth="1"/>
    <col min="25" max="25" width="6.7109375" style="2" customWidth="1"/>
    <col min="26" max="26" width="9.7109375" style="2" customWidth="1"/>
    <col min="27" max="27" width="14.85546875" style="2" customWidth="1"/>
    <col min="28" max="28" width="9.7109375" style="2" customWidth="1"/>
    <col min="29" max="29" width="16" style="2" bestFit="1" customWidth="1"/>
    <col min="30" max="16384" width="11.42578125" style="2"/>
  </cols>
  <sheetData>
    <row r="1" spans="1:29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</row>
    <row r="2" spans="1:29" ht="15.75" x14ac:dyDescent="0.2">
      <c r="A2" s="109"/>
      <c r="B2" s="60"/>
      <c r="C2" s="61"/>
      <c r="D2" s="61"/>
      <c r="E2" s="61"/>
      <c r="F2" s="61"/>
      <c r="G2" s="61"/>
      <c r="H2" s="61"/>
      <c r="I2" s="151" t="s">
        <v>9</v>
      </c>
      <c r="J2" s="151"/>
      <c r="K2" s="151"/>
      <c r="L2" s="152"/>
      <c r="M2" s="111"/>
      <c r="Y2" s="109"/>
      <c r="AC2" s="77">
        <f ca="1">TODAY()</f>
        <v>45967</v>
      </c>
    </row>
    <row r="3" spans="1:29" ht="15.75" x14ac:dyDescent="0.2">
      <c r="A3" s="109"/>
      <c r="B3" s="62"/>
      <c r="I3" s="144" t="s">
        <v>53</v>
      </c>
      <c r="J3" s="144"/>
      <c r="K3" s="144"/>
      <c r="L3" s="153"/>
      <c r="M3" s="111"/>
      <c r="Y3" s="109"/>
    </row>
    <row r="4" spans="1:29" ht="15" x14ac:dyDescent="0.2">
      <c r="A4" s="109"/>
      <c r="B4" s="62"/>
      <c r="I4" s="63"/>
      <c r="J4" s="63"/>
      <c r="K4" s="63"/>
      <c r="L4" s="64"/>
      <c r="M4" s="109"/>
      <c r="Y4" s="109"/>
    </row>
    <row r="5" spans="1:29" x14ac:dyDescent="0.2">
      <c r="A5" s="109"/>
      <c r="B5" s="62"/>
      <c r="J5" s="154"/>
      <c r="K5" s="154"/>
      <c r="L5" s="155"/>
      <c r="M5" s="112"/>
      <c r="Y5" s="109"/>
    </row>
    <row r="6" spans="1:29" x14ac:dyDescent="0.2">
      <c r="A6" s="109"/>
      <c r="B6" s="156" t="str">
        <f>"Carrefour GCR2 - GVA2 - GVA3 Norme des déplacements T12T13 ( PM169.2 ) - Mesures au "&amp;TEXT(MAX('Résultats observations'!A10:A185),"jj/mm/aa")</f>
        <v>Carrefour GCR2 - GVA2 - GVA3 Norme des déplacements T12T13 ( PM169.2 ) - Mesures au 20/12/22</v>
      </c>
      <c r="C6" s="157"/>
      <c r="D6" s="157"/>
      <c r="E6" s="157"/>
      <c r="F6" s="157"/>
      <c r="G6" s="157"/>
      <c r="H6" s="157"/>
      <c r="I6" s="157"/>
      <c r="J6" s="157"/>
      <c r="K6" s="157"/>
      <c r="L6" s="158"/>
      <c r="M6" s="113"/>
      <c r="Y6" s="109"/>
    </row>
    <row r="7" spans="1:29" x14ac:dyDescent="0.2">
      <c r="A7" s="109"/>
      <c r="B7" s="62"/>
      <c r="L7" s="64"/>
      <c r="M7" s="109"/>
      <c r="Q7"/>
      <c r="Y7" s="109"/>
    </row>
    <row r="8" spans="1:29" x14ac:dyDescent="0.2">
      <c r="A8" s="109"/>
      <c r="B8" s="65"/>
      <c r="C8"/>
      <c r="D8"/>
      <c r="E8"/>
      <c r="F8"/>
      <c r="G8"/>
      <c r="H8"/>
      <c r="I8"/>
      <c r="J8"/>
      <c r="K8"/>
      <c r="L8" s="66"/>
      <c r="M8" s="110"/>
      <c r="T8" s="86"/>
      <c r="U8" s="86"/>
      <c r="Y8" s="109"/>
    </row>
    <row r="9" spans="1:29" x14ac:dyDescent="0.2">
      <c r="A9" s="109"/>
      <c r="B9" s="65"/>
      <c r="C9"/>
      <c r="D9"/>
      <c r="E9"/>
      <c r="F9"/>
      <c r="G9"/>
      <c r="H9"/>
      <c r="I9"/>
      <c r="J9"/>
      <c r="K9"/>
      <c r="L9" s="66"/>
      <c r="M9" s="110"/>
      <c r="Q9"/>
      <c r="Y9" s="109"/>
    </row>
    <row r="10" spans="1:29" x14ac:dyDescent="0.2">
      <c r="A10" s="109"/>
      <c r="B10" s="65"/>
      <c r="C10"/>
      <c r="D10"/>
      <c r="E10"/>
      <c r="F10"/>
      <c r="G10"/>
      <c r="H10"/>
      <c r="I10"/>
      <c r="J10"/>
      <c r="K10"/>
      <c r="L10" s="66"/>
      <c r="M10" s="110"/>
      <c r="S10" s="87"/>
      <c r="Y10" s="109"/>
    </row>
    <row r="11" spans="1:29" x14ac:dyDescent="0.2">
      <c r="A11" s="109"/>
      <c r="B11" s="65"/>
      <c r="C11"/>
      <c r="D11"/>
      <c r="E11"/>
      <c r="F11"/>
      <c r="G11"/>
      <c r="H11"/>
      <c r="I11"/>
      <c r="J11"/>
      <c r="K11"/>
      <c r="L11" s="66"/>
      <c r="M11" s="110"/>
      <c r="S11" s="77"/>
      <c r="Y11" s="109"/>
    </row>
    <row r="12" spans="1:29" x14ac:dyDescent="0.2">
      <c r="A12" s="109"/>
      <c r="B12" s="65"/>
      <c r="C12"/>
      <c r="D12"/>
      <c r="E12"/>
      <c r="F12"/>
      <c r="G12"/>
      <c r="H12"/>
      <c r="I12"/>
      <c r="J12"/>
      <c r="K12"/>
      <c r="L12" s="66"/>
      <c r="M12" s="110"/>
      <c r="Y12" s="109"/>
      <c r="AA12" s="92"/>
      <c r="AB12" s="92"/>
    </row>
    <row r="13" spans="1:29" x14ac:dyDescent="0.2">
      <c r="A13" s="109"/>
      <c r="B13" s="65"/>
      <c r="C13"/>
      <c r="D13"/>
      <c r="E13"/>
      <c r="F13"/>
      <c r="G13"/>
      <c r="H13"/>
      <c r="I13"/>
      <c r="J13"/>
      <c r="K13"/>
      <c r="L13" s="66"/>
      <c r="M13" s="110"/>
      <c r="Y13" s="109"/>
      <c r="AA13" s="92"/>
      <c r="AB13" s="92"/>
    </row>
    <row r="14" spans="1:29" x14ac:dyDescent="0.2">
      <c r="A14" s="109"/>
      <c r="B14" s="65"/>
      <c r="C14"/>
      <c r="D14"/>
      <c r="E14"/>
      <c r="F14"/>
      <c r="G14"/>
      <c r="H14"/>
      <c r="I14"/>
      <c r="J14"/>
      <c r="K14"/>
      <c r="L14" s="66"/>
      <c r="M14" s="110"/>
      <c r="Y14" s="109"/>
      <c r="AA14" s="92"/>
      <c r="AB14" s="92"/>
    </row>
    <row r="15" spans="1:29" x14ac:dyDescent="0.2">
      <c r="A15" s="109"/>
      <c r="B15" s="65"/>
      <c r="C15"/>
      <c r="D15"/>
      <c r="E15"/>
      <c r="F15"/>
      <c r="G15"/>
      <c r="H15"/>
      <c r="I15"/>
      <c r="J15"/>
      <c r="K15"/>
      <c r="L15" s="66"/>
      <c r="M15" s="110"/>
      <c r="Y15" s="109"/>
      <c r="AA15" s="92"/>
      <c r="AB15" s="92"/>
    </row>
    <row r="16" spans="1:29" x14ac:dyDescent="0.2">
      <c r="A16" s="109"/>
      <c r="B16" s="65"/>
      <c r="C16"/>
      <c r="D16"/>
      <c r="E16"/>
      <c r="F16"/>
      <c r="G16"/>
      <c r="H16"/>
      <c r="I16"/>
      <c r="J16"/>
      <c r="K16"/>
      <c r="L16" s="66"/>
      <c r="M16" s="110"/>
      <c r="Y16" s="109"/>
      <c r="AA16" s="92"/>
      <c r="AB16" s="92"/>
    </row>
    <row r="17" spans="1:25" x14ac:dyDescent="0.2">
      <c r="A17" s="109"/>
      <c r="B17" s="65"/>
      <c r="C17"/>
      <c r="D17"/>
      <c r="E17"/>
      <c r="F17"/>
      <c r="G17"/>
      <c r="H17"/>
      <c r="I17"/>
      <c r="J17"/>
      <c r="K17"/>
      <c r="L17" s="66"/>
      <c r="M17" s="110"/>
      <c r="Y17" s="109"/>
    </row>
    <row r="18" spans="1:25" x14ac:dyDescent="0.2">
      <c r="A18" s="109"/>
      <c r="B18" s="65"/>
      <c r="C18"/>
      <c r="D18"/>
      <c r="E18"/>
      <c r="F18"/>
      <c r="G18"/>
      <c r="H18"/>
      <c r="I18"/>
      <c r="J18"/>
      <c r="K18"/>
      <c r="L18" s="66"/>
      <c r="M18" s="110"/>
      <c r="Y18" s="109"/>
    </row>
    <row r="19" spans="1:25" x14ac:dyDescent="0.2">
      <c r="A19" s="109"/>
      <c r="B19" s="65"/>
      <c r="C19"/>
      <c r="D19"/>
      <c r="E19"/>
      <c r="F19"/>
      <c r="G19"/>
      <c r="H19"/>
      <c r="I19"/>
      <c r="J19"/>
      <c r="K19"/>
      <c r="L19" s="66"/>
      <c r="M19" s="110"/>
      <c r="Y19" s="109"/>
    </row>
    <row r="20" spans="1:25" x14ac:dyDescent="0.2">
      <c r="A20" s="109"/>
      <c r="B20" s="65"/>
      <c r="C20"/>
      <c r="D20"/>
      <c r="E20"/>
      <c r="F20"/>
      <c r="G20"/>
      <c r="H20"/>
      <c r="I20"/>
      <c r="J20"/>
      <c r="K20"/>
      <c r="L20" s="66"/>
      <c r="M20" s="110"/>
      <c r="Y20" s="109"/>
    </row>
    <row r="21" spans="1:25" x14ac:dyDescent="0.2">
      <c r="A21" s="109"/>
      <c r="B21" s="65"/>
      <c r="C21"/>
      <c r="D21"/>
      <c r="E21"/>
      <c r="F21"/>
      <c r="G21"/>
      <c r="H21"/>
      <c r="I21"/>
      <c r="J21"/>
      <c r="K21"/>
      <c r="L21" s="66"/>
      <c r="M21" s="110"/>
      <c r="Y21" s="109"/>
    </row>
    <row r="22" spans="1:25" x14ac:dyDescent="0.2">
      <c r="A22" s="109"/>
      <c r="B22" s="65"/>
      <c r="C22"/>
      <c r="D22"/>
      <c r="E22"/>
      <c r="F22"/>
      <c r="G22"/>
      <c r="H22"/>
      <c r="I22"/>
      <c r="J22"/>
      <c r="K22"/>
      <c r="L22" s="66"/>
      <c r="M22" s="110"/>
      <c r="Y22" s="109"/>
    </row>
    <row r="23" spans="1:25" x14ac:dyDescent="0.2">
      <c r="A23" s="109"/>
      <c r="B23" s="65"/>
      <c r="C23"/>
      <c r="D23"/>
      <c r="E23"/>
      <c r="F23"/>
      <c r="G23"/>
      <c r="H23"/>
      <c r="I23"/>
      <c r="J23"/>
      <c r="K23"/>
      <c r="L23" s="66"/>
      <c r="M23" s="110"/>
      <c r="Y23" s="109"/>
    </row>
    <row r="24" spans="1:25" x14ac:dyDescent="0.2">
      <c r="A24" s="109"/>
      <c r="B24" s="65"/>
      <c r="C24"/>
      <c r="D24"/>
      <c r="E24"/>
      <c r="F24"/>
      <c r="G24"/>
      <c r="H24"/>
      <c r="I24"/>
      <c r="J24"/>
      <c r="K24"/>
      <c r="L24" s="66"/>
      <c r="M24" s="110"/>
      <c r="Y24" s="109"/>
    </row>
    <row r="25" spans="1:25" x14ac:dyDescent="0.2">
      <c r="A25" s="109"/>
      <c r="B25" s="65"/>
      <c r="C25"/>
      <c r="D25"/>
      <c r="E25"/>
      <c r="F25"/>
      <c r="G25"/>
      <c r="H25"/>
      <c r="I25"/>
      <c r="J25"/>
      <c r="K25"/>
      <c r="L25" s="66"/>
      <c r="M25" s="110"/>
      <c r="Y25" s="109"/>
    </row>
    <row r="26" spans="1:25" x14ac:dyDescent="0.2">
      <c r="A26" s="109"/>
      <c r="B26" s="65"/>
      <c r="C26"/>
      <c r="D26"/>
      <c r="E26"/>
      <c r="F26"/>
      <c r="G26"/>
      <c r="H26"/>
      <c r="I26"/>
      <c r="J26"/>
      <c r="K26"/>
      <c r="L26" s="66"/>
      <c r="M26" s="110"/>
      <c r="Y26" s="109"/>
    </row>
    <row r="27" spans="1:25" x14ac:dyDescent="0.2">
      <c r="A27" s="109"/>
      <c r="B27" s="65"/>
      <c r="C27"/>
      <c r="D27"/>
      <c r="E27"/>
      <c r="F27"/>
      <c r="G27"/>
      <c r="H27"/>
      <c r="I27"/>
      <c r="J27"/>
      <c r="K27"/>
      <c r="L27" s="66"/>
      <c r="M27" s="110"/>
      <c r="Y27" s="109"/>
    </row>
    <row r="28" spans="1:25" x14ac:dyDescent="0.2">
      <c r="A28" s="109"/>
      <c r="B28" s="65"/>
      <c r="C28"/>
      <c r="D28"/>
      <c r="E28"/>
      <c r="F28"/>
      <c r="G28"/>
      <c r="H28"/>
      <c r="I28"/>
      <c r="J28"/>
      <c r="K28"/>
      <c r="L28" s="66"/>
      <c r="M28" s="110"/>
      <c r="Y28" s="109"/>
    </row>
    <row r="29" spans="1:25" x14ac:dyDescent="0.2">
      <c r="A29" s="109"/>
      <c r="B29" s="65"/>
      <c r="C29"/>
      <c r="D29"/>
      <c r="E29"/>
      <c r="F29"/>
      <c r="G29"/>
      <c r="H29"/>
      <c r="I29"/>
      <c r="J29"/>
      <c r="K29"/>
      <c r="L29" s="66"/>
      <c r="M29" s="110"/>
      <c r="Y29" s="109"/>
    </row>
    <row r="30" spans="1:25" x14ac:dyDescent="0.2">
      <c r="A30" s="109"/>
      <c r="B30" s="65"/>
      <c r="C30"/>
      <c r="D30"/>
      <c r="E30"/>
      <c r="F30"/>
      <c r="G30"/>
      <c r="H30"/>
      <c r="I30"/>
      <c r="J30"/>
      <c r="K30"/>
      <c r="L30" s="66"/>
      <c r="M30" s="110"/>
      <c r="Y30" s="109"/>
    </row>
    <row r="31" spans="1:25" x14ac:dyDescent="0.2">
      <c r="A31" s="109"/>
      <c r="B31" s="65"/>
      <c r="C31"/>
      <c r="D31"/>
      <c r="E31"/>
      <c r="F31"/>
      <c r="G31"/>
      <c r="H31"/>
      <c r="I31"/>
      <c r="J31"/>
      <c r="K31"/>
      <c r="L31" s="66"/>
      <c r="M31" s="110"/>
      <c r="Y31" s="109"/>
    </row>
    <row r="32" spans="1:25" x14ac:dyDescent="0.2">
      <c r="A32" s="109"/>
      <c r="B32" s="65"/>
      <c r="C32"/>
      <c r="D32"/>
      <c r="E32"/>
      <c r="F32"/>
      <c r="G32"/>
      <c r="H32"/>
      <c r="I32"/>
      <c r="J32"/>
      <c r="K32"/>
      <c r="L32" s="66"/>
      <c r="M32" s="110"/>
      <c r="Y32" s="109"/>
    </row>
    <row r="33" spans="1:28" x14ac:dyDescent="0.2">
      <c r="A33" s="109"/>
      <c r="B33" s="65"/>
      <c r="C33"/>
      <c r="D33"/>
      <c r="E33"/>
      <c r="F33"/>
      <c r="G33"/>
      <c r="H33"/>
      <c r="I33"/>
      <c r="J33"/>
      <c r="K33"/>
      <c r="L33" s="66"/>
      <c r="M33" s="110"/>
      <c r="Y33" s="109"/>
    </row>
    <row r="34" spans="1:28" x14ac:dyDescent="0.2">
      <c r="A34" s="109"/>
      <c r="B34" s="65"/>
      <c r="C34"/>
      <c r="D34"/>
      <c r="E34"/>
      <c r="F34"/>
      <c r="G34"/>
      <c r="H34"/>
      <c r="I34"/>
      <c r="J34"/>
      <c r="K34"/>
      <c r="L34" s="66"/>
      <c r="M34" s="110"/>
      <c r="Y34" s="109"/>
    </row>
    <row r="35" spans="1:28" x14ac:dyDescent="0.2">
      <c r="A35" s="109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110"/>
      <c r="Y35" s="109"/>
    </row>
    <row r="36" spans="1:28" x14ac:dyDescent="0.2">
      <c r="A36" s="109"/>
      <c r="B36" s="117"/>
      <c r="C36" s="110"/>
      <c r="D36" s="110"/>
      <c r="E36" s="110"/>
      <c r="F36" s="110"/>
      <c r="G36" s="110"/>
      <c r="H36" s="110"/>
      <c r="I36" s="110"/>
      <c r="J36" s="110"/>
      <c r="K36" s="110"/>
      <c r="L36" s="118"/>
      <c r="M36" s="110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</row>
    <row r="37" spans="1:28" ht="15.75" x14ac:dyDescent="0.2">
      <c r="A37" s="109"/>
      <c r="B37" s="60"/>
      <c r="C37" s="61"/>
      <c r="D37" s="61"/>
      <c r="E37" s="61"/>
      <c r="F37" s="61"/>
      <c r="G37" s="61"/>
      <c r="H37" s="61"/>
      <c r="I37" s="151" t="s">
        <v>9</v>
      </c>
      <c r="J37" s="151"/>
      <c r="K37" s="151"/>
      <c r="L37" s="152"/>
      <c r="M37" s="114"/>
      <c r="N37" s="60"/>
      <c r="O37" s="61"/>
      <c r="P37" s="61"/>
      <c r="Q37" s="61"/>
      <c r="R37" s="61"/>
      <c r="S37" s="61"/>
      <c r="T37" s="61"/>
      <c r="U37" s="151" t="s">
        <v>9</v>
      </c>
      <c r="V37" s="151"/>
      <c r="W37" s="151"/>
      <c r="X37" s="152"/>
      <c r="Y37" s="111"/>
    </row>
    <row r="38" spans="1:28" ht="15.75" x14ac:dyDescent="0.2">
      <c r="A38" s="109"/>
      <c r="B38" s="62"/>
      <c r="I38" s="144" t="s">
        <v>53</v>
      </c>
      <c r="J38" s="144"/>
      <c r="K38" s="144"/>
      <c r="L38" s="153"/>
      <c r="M38" s="111"/>
      <c r="N38" s="62"/>
      <c r="U38" s="144" t="s">
        <v>53</v>
      </c>
      <c r="V38" s="144"/>
      <c r="W38" s="144"/>
      <c r="X38" s="153"/>
      <c r="Y38" s="111"/>
    </row>
    <row r="39" spans="1:28" ht="15" x14ac:dyDescent="0.2">
      <c r="A39" s="109"/>
      <c r="B39" s="62"/>
      <c r="I39" s="63"/>
      <c r="J39" s="63"/>
      <c r="K39" s="63"/>
      <c r="L39" s="64"/>
      <c r="M39" s="109"/>
      <c r="N39" s="62"/>
      <c r="U39" s="63"/>
      <c r="V39" s="63"/>
      <c r="W39" s="63"/>
      <c r="X39" s="64"/>
      <c r="Y39" s="109"/>
    </row>
    <row r="40" spans="1:28" x14ac:dyDescent="0.2">
      <c r="A40" s="109"/>
      <c r="B40" s="62"/>
      <c r="J40" s="154"/>
      <c r="K40" s="154"/>
      <c r="L40" s="155"/>
      <c r="M40" s="112"/>
      <c r="N40" s="62"/>
      <c r="V40" s="154"/>
      <c r="W40" s="154"/>
      <c r="X40" s="155"/>
      <c r="Y40" s="112"/>
    </row>
    <row r="41" spans="1:28" x14ac:dyDescent="0.2">
      <c r="A41" s="109"/>
      <c r="B41" s="156" t="str">
        <f>"Carrefour GCR2 - GVA2 - GVA3 Convergence T12T13 ( PM169.2 ) - Mesures au "&amp;TEXT(MAX('Résultats observations'!A10:A185),"jj/mm/aa")</f>
        <v>Carrefour GCR2 - GVA2 - GVA3 Convergence T12T13 ( PM169.2 ) - Mesures au 20/12/22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8"/>
      <c r="M41" s="113"/>
      <c r="N41" s="156" t="str">
        <f>"Carrefour GCR2 - GVA2 - GVA3 -Déplacements en alti ( PM169.2 ) - Mesures au "&amp;TEXT(MAX('Résultats observations'!A10:A185),"jj/mm/aa")</f>
        <v>Carrefour GCR2 - GVA2 - GVA3 -Déplacements en alti ( PM169.2 ) - Mesures au 20/12/22</v>
      </c>
      <c r="O41" s="157"/>
      <c r="P41" s="157"/>
      <c r="Q41" s="157"/>
      <c r="R41" s="157"/>
      <c r="S41" s="157"/>
      <c r="T41" s="157"/>
      <c r="U41" s="157"/>
      <c r="V41" s="157"/>
      <c r="W41" s="157"/>
      <c r="X41" s="158"/>
      <c r="Y41" s="113"/>
    </row>
    <row r="42" spans="1:28" ht="7.5" customHeight="1" x14ac:dyDescent="0.2">
      <c r="A42" s="109"/>
      <c r="B42" s="62"/>
      <c r="L42" s="64"/>
      <c r="M42" s="109"/>
      <c r="N42" s="62"/>
      <c r="X42" s="64"/>
      <c r="Y42" s="109"/>
    </row>
    <row r="43" spans="1:28" s="30" customFormat="1" x14ac:dyDescent="0.2">
      <c r="A43" s="109"/>
      <c r="B43" s="65"/>
      <c r="C43"/>
      <c r="D43"/>
      <c r="E43"/>
      <c r="F43"/>
      <c r="G43"/>
      <c r="H43"/>
      <c r="I43"/>
      <c r="J43"/>
      <c r="K43"/>
      <c r="L43" s="66"/>
      <c r="M43" s="110"/>
      <c r="N43" s="65"/>
      <c r="O43"/>
      <c r="P43"/>
      <c r="Q43"/>
      <c r="R43"/>
      <c r="S43"/>
      <c r="T43"/>
      <c r="U43"/>
      <c r="V43"/>
      <c r="W43"/>
      <c r="X43" s="66"/>
      <c r="Y43" s="110"/>
    </row>
    <row r="44" spans="1:28" x14ac:dyDescent="0.2">
      <c r="A44" s="109"/>
      <c r="B44" s="65"/>
      <c r="C44"/>
      <c r="D44"/>
      <c r="E44"/>
      <c r="F44"/>
      <c r="G44"/>
      <c r="H44"/>
      <c r="I44"/>
      <c r="J44"/>
      <c r="K44"/>
      <c r="L44" s="66"/>
      <c r="M44" s="110"/>
      <c r="N44" s="65"/>
      <c r="O44"/>
      <c r="P44"/>
      <c r="Q44"/>
      <c r="R44"/>
      <c r="S44"/>
      <c r="T44"/>
      <c r="U44"/>
      <c r="V44"/>
      <c r="W44"/>
      <c r="X44" s="66"/>
      <c r="Y44" s="110"/>
    </row>
    <row r="45" spans="1:28" customFormat="1" ht="35.25" customHeight="1" x14ac:dyDescent="0.2">
      <c r="A45" s="110"/>
      <c r="B45" s="65"/>
      <c r="L45" s="66"/>
      <c r="M45" s="110"/>
      <c r="N45" s="65"/>
      <c r="X45" s="66"/>
      <c r="Y45" s="110"/>
      <c r="AA45" s="73" t="s">
        <v>69</v>
      </c>
      <c r="AB45" s="73"/>
    </row>
    <row r="46" spans="1:28" customFormat="1" ht="13.5" customHeight="1" x14ac:dyDescent="0.2">
      <c r="A46" s="110"/>
      <c r="B46" s="65"/>
      <c r="L46" s="66"/>
      <c r="M46" s="110"/>
      <c r="N46" s="65"/>
      <c r="X46" s="66"/>
      <c r="Y46" s="110"/>
      <c r="AA46" s="77">
        <v>43605</v>
      </c>
      <c r="AB46" s="2">
        <v>0</v>
      </c>
    </row>
    <row r="47" spans="1:28" customFormat="1" ht="13.5" customHeight="1" x14ac:dyDescent="0.2">
      <c r="A47" s="110"/>
      <c r="B47" s="65"/>
      <c r="L47" s="66"/>
      <c r="M47" s="110"/>
      <c r="N47" s="65"/>
      <c r="X47" s="66"/>
      <c r="Y47" s="110"/>
      <c r="AA47" s="74">
        <v>43605</v>
      </c>
      <c r="AB47" s="73">
        <v>167</v>
      </c>
    </row>
    <row r="48" spans="1:28" customFormat="1" ht="13.5" customHeight="1" x14ac:dyDescent="0.2">
      <c r="A48" s="110"/>
      <c r="B48" s="65"/>
      <c r="L48" s="66"/>
      <c r="M48" s="110"/>
      <c r="N48" s="65"/>
      <c r="X48" s="66"/>
      <c r="Y48" s="110"/>
      <c r="AA48" s="74">
        <v>43605</v>
      </c>
      <c r="AB48" s="73">
        <v>230</v>
      </c>
    </row>
    <row r="49" spans="1:31" customFormat="1" ht="13.5" customHeight="1" x14ac:dyDescent="0.2">
      <c r="A49" s="110"/>
      <c r="B49" s="65"/>
      <c r="L49" s="66"/>
      <c r="M49" s="110"/>
      <c r="N49" s="65"/>
      <c r="X49" s="66"/>
      <c r="Y49" s="110"/>
      <c r="AA49" s="73" t="s">
        <v>64</v>
      </c>
      <c r="AB49" s="73"/>
    </row>
    <row r="50" spans="1:31" customFormat="1" ht="13.5" customHeight="1" x14ac:dyDescent="0.2">
      <c r="A50" s="110"/>
      <c r="B50" s="65"/>
      <c r="L50" s="66"/>
      <c r="M50" s="110"/>
      <c r="N50" s="65"/>
      <c r="X50" s="66"/>
      <c r="Y50" s="110"/>
      <c r="AA50" s="2"/>
      <c r="AB50" s="2"/>
    </row>
    <row r="51" spans="1:31" customFormat="1" ht="13.5" customHeight="1" x14ac:dyDescent="0.2">
      <c r="A51" s="110"/>
      <c r="B51" s="65"/>
      <c r="L51" s="66"/>
      <c r="M51" s="110"/>
      <c r="N51" s="65"/>
      <c r="X51" s="66"/>
      <c r="Y51" s="110"/>
      <c r="AA51" s="73" t="s">
        <v>63</v>
      </c>
      <c r="AB51" s="73"/>
    </row>
    <row r="52" spans="1:31" customFormat="1" ht="13.5" customHeight="1" x14ac:dyDescent="0.2">
      <c r="A52" s="110"/>
      <c r="B52" s="65"/>
      <c r="L52" s="66"/>
      <c r="M52" s="110"/>
      <c r="N52" s="65"/>
      <c r="X52" s="66"/>
      <c r="Y52" s="110"/>
      <c r="AA52" s="77">
        <v>43655</v>
      </c>
      <c r="AB52" s="2">
        <v>0</v>
      </c>
    </row>
    <row r="53" spans="1:31" customFormat="1" ht="13.5" customHeight="1" x14ac:dyDescent="0.2">
      <c r="A53" s="110"/>
      <c r="B53" s="65"/>
      <c r="L53" s="66"/>
      <c r="M53" s="110"/>
      <c r="N53" s="65"/>
      <c r="X53" s="66"/>
      <c r="Y53" s="110"/>
      <c r="AA53" s="74">
        <v>43655</v>
      </c>
      <c r="AB53" s="73">
        <v>168</v>
      </c>
    </row>
    <row r="54" spans="1:31" customFormat="1" x14ac:dyDescent="0.2">
      <c r="A54" s="110"/>
      <c r="B54" s="65"/>
      <c r="L54" s="66"/>
      <c r="M54" s="110"/>
      <c r="N54" s="65"/>
      <c r="X54" s="66"/>
      <c r="Y54" s="110"/>
      <c r="AA54" s="74">
        <v>43655</v>
      </c>
      <c r="AB54" s="73">
        <v>230</v>
      </c>
    </row>
    <row r="55" spans="1:31" customFormat="1" x14ac:dyDescent="0.2">
      <c r="A55" s="110"/>
      <c r="B55" s="65"/>
      <c r="L55" s="66"/>
      <c r="M55" s="110"/>
      <c r="N55" s="65"/>
      <c r="X55" s="66"/>
      <c r="Y55" s="110"/>
      <c r="AA55" s="2"/>
    </row>
    <row r="56" spans="1:31" customFormat="1" x14ac:dyDescent="0.2">
      <c r="A56" s="110"/>
      <c r="B56" s="65"/>
      <c r="L56" s="66"/>
      <c r="M56" s="110"/>
      <c r="N56" s="65"/>
      <c r="X56" s="66"/>
      <c r="Y56" s="110"/>
      <c r="AA56" t="s">
        <v>65</v>
      </c>
    </row>
    <row r="57" spans="1:31" customFormat="1" x14ac:dyDescent="0.2">
      <c r="A57" s="110"/>
      <c r="B57" s="65"/>
      <c r="L57" s="66"/>
      <c r="M57" s="110"/>
      <c r="N57" s="65"/>
      <c r="X57" s="66"/>
      <c r="Y57" s="110"/>
      <c r="AA57" s="2"/>
      <c r="AB57" s="73" t="s">
        <v>66</v>
      </c>
    </row>
    <row r="58" spans="1:31" customFormat="1" x14ac:dyDescent="0.2">
      <c r="A58" s="110"/>
      <c r="B58" s="65"/>
      <c r="L58" s="66"/>
      <c r="M58" s="110"/>
      <c r="N58" s="65"/>
      <c r="X58" s="66"/>
      <c r="Y58" s="110"/>
      <c r="AA58" s="2"/>
      <c r="AC58" s="73" t="s">
        <v>67</v>
      </c>
      <c r="AD58" s="73" t="s">
        <v>86</v>
      </c>
      <c r="AE58" s="76">
        <v>43598</v>
      </c>
    </row>
    <row r="59" spans="1:31" customFormat="1" x14ac:dyDescent="0.2">
      <c r="A59" s="110"/>
      <c r="B59" s="65"/>
      <c r="L59" s="66"/>
      <c r="M59" s="110"/>
      <c r="N59" s="65"/>
      <c r="X59" s="66"/>
      <c r="Y59" s="110"/>
      <c r="AD59" s="73" t="s">
        <v>86</v>
      </c>
      <c r="AE59" s="76">
        <v>44927</v>
      </c>
    </row>
    <row r="60" spans="1:31" customFormat="1" x14ac:dyDescent="0.2">
      <c r="A60" s="110"/>
      <c r="B60" s="65"/>
      <c r="L60" s="66"/>
      <c r="M60" s="110"/>
      <c r="N60" s="65"/>
      <c r="X60" s="66"/>
      <c r="Y60" s="110"/>
      <c r="AC60" s="73" t="s">
        <v>68</v>
      </c>
      <c r="AD60">
        <v>-40</v>
      </c>
      <c r="AE60" s="76">
        <f>+AE58</f>
        <v>43598</v>
      </c>
    </row>
    <row r="61" spans="1:31" customFormat="1" x14ac:dyDescent="0.2">
      <c r="A61" s="110"/>
      <c r="B61" s="65"/>
      <c r="L61" s="66"/>
      <c r="M61" s="110"/>
      <c r="N61" s="65"/>
      <c r="X61" s="66"/>
      <c r="Y61" s="110"/>
      <c r="AD61">
        <f>AD60</f>
        <v>-40</v>
      </c>
      <c r="AE61" s="76">
        <f>+AE59</f>
        <v>44927</v>
      </c>
    </row>
    <row r="62" spans="1:31" customFormat="1" x14ac:dyDescent="0.2">
      <c r="A62" s="110"/>
      <c r="B62" s="65"/>
      <c r="L62" s="66"/>
      <c r="M62" s="110"/>
      <c r="N62" s="65"/>
      <c r="X62" s="66"/>
      <c r="Y62" s="110"/>
      <c r="AC62" s="73" t="s">
        <v>67</v>
      </c>
      <c r="AD62" s="73" t="s">
        <v>86</v>
      </c>
      <c r="AE62" s="76">
        <f>+AE58</f>
        <v>43598</v>
      </c>
    </row>
    <row r="63" spans="1:31" customFormat="1" x14ac:dyDescent="0.2">
      <c r="A63" s="110"/>
      <c r="B63" s="65"/>
      <c r="L63" s="66"/>
      <c r="M63" s="110"/>
      <c r="N63" s="65"/>
      <c r="X63" s="66"/>
      <c r="Y63" s="110"/>
      <c r="AD63" s="73" t="s">
        <v>86</v>
      </c>
      <c r="AE63" s="76">
        <f>+AE59</f>
        <v>44927</v>
      </c>
    </row>
    <row r="64" spans="1:31" customFormat="1" x14ac:dyDescent="0.2">
      <c r="A64" s="110"/>
      <c r="B64" s="65"/>
      <c r="L64" s="66"/>
      <c r="M64" s="110"/>
      <c r="N64" s="65"/>
      <c r="X64" s="66"/>
      <c r="Y64" s="110"/>
      <c r="AC64" s="73" t="s">
        <v>68</v>
      </c>
      <c r="AD64">
        <f>-AD60</f>
        <v>40</v>
      </c>
      <c r="AE64" s="76">
        <f>+AE62</f>
        <v>43598</v>
      </c>
    </row>
    <row r="65" spans="1:31" customFormat="1" x14ac:dyDescent="0.2">
      <c r="A65" s="110"/>
      <c r="B65" s="65"/>
      <c r="L65" s="66"/>
      <c r="M65" s="110"/>
      <c r="N65" s="65"/>
      <c r="X65" s="66"/>
      <c r="Y65" s="110"/>
      <c r="AD65">
        <f>AD64</f>
        <v>40</v>
      </c>
      <c r="AE65" s="76">
        <f>+AE63</f>
        <v>44927</v>
      </c>
    </row>
    <row r="66" spans="1:31" customFormat="1" x14ac:dyDescent="0.2">
      <c r="A66" s="110"/>
      <c r="B66" s="65"/>
      <c r="L66" s="66"/>
      <c r="M66" s="110"/>
      <c r="N66" s="65"/>
      <c r="X66" s="66"/>
      <c r="Y66" s="110"/>
    </row>
    <row r="67" spans="1:31" customFormat="1" x14ac:dyDescent="0.2">
      <c r="A67" s="110"/>
      <c r="B67" s="65"/>
      <c r="L67" s="66"/>
      <c r="M67" s="110"/>
      <c r="N67" s="65"/>
      <c r="X67" s="66"/>
      <c r="Y67" s="110"/>
    </row>
    <row r="68" spans="1:31" customFormat="1" x14ac:dyDescent="0.2">
      <c r="A68" s="110"/>
      <c r="B68" s="67"/>
      <c r="C68" s="68"/>
      <c r="D68" s="68"/>
      <c r="E68" s="68"/>
      <c r="F68" s="68"/>
      <c r="G68" s="68"/>
      <c r="H68" s="68"/>
      <c r="I68" s="68"/>
      <c r="J68" s="68"/>
      <c r="K68" s="68"/>
      <c r="L68" s="69"/>
      <c r="M68" s="115"/>
      <c r="N68" s="67"/>
      <c r="O68" s="68"/>
      <c r="P68" s="68"/>
      <c r="Q68" s="68"/>
      <c r="R68" s="68"/>
      <c r="S68" s="68"/>
      <c r="T68" s="68"/>
      <c r="U68" s="68"/>
      <c r="V68" s="68"/>
      <c r="W68" s="68"/>
      <c r="X68" s="69"/>
      <c r="Y68" s="110"/>
    </row>
    <row r="69" spans="1:31" customFormat="1" x14ac:dyDescent="0.2">
      <c r="A69" s="110"/>
      <c r="B69" s="117"/>
      <c r="C69" s="110"/>
      <c r="D69" s="110"/>
      <c r="E69" s="110"/>
      <c r="F69" s="110"/>
      <c r="G69" s="110"/>
      <c r="H69" s="110"/>
      <c r="I69" s="110"/>
      <c r="J69" s="110"/>
      <c r="K69" s="110"/>
      <c r="L69" s="118"/>
      <c r="M69" s="110"/>
      <c r="N69" s="117"/>
      <c r="O69" s="110"/>
      <c r="P69" s="110"/>
      <c r="Q69" s="110"/>
      <c r="R69" s="110"/>
      <c r="S69" s="110"/>
      <c r="T69" s="110"/>
      <c r="U69" s="110"/>
      <c r="V69" s="110"/>
      <c r="W69" s="110"/>
      <c r="X69" s="118"/>
      <c r="Y69" s="110"/>
    </row>
    <row r="70" spans="1:31" ht="15.75" x14ac:dyDescent="0.2">
      <c r="A70" s="109"/>
      <c r="B70" s="60"/>
      <c r="C70" s="61"/>
      <c r="D70" s="61"/>
      <c r="E70" s="61"/>
      <c r="F70" s="61"/>
      <c r="G70" s="61"/>
      <c r="H70" s="61"/>
      <c r="I70" s="151" t="s">
        <v>9</v>
      </c>
      <c r="J70" s="151"/>
      <c r="K70" s="151"/>
      <c r="L70" s="152"/>
      <c r="M70" s="114"/>
      <c r="N70" s="60"/>
      <c r="O70" s="61"/>
      <c r="P70" s="61"/>
      <c r="Q70" s="61"/>
      <c r="R70" s="61"/>
      <c r="S70" s="61"/>
      <c r="T70" s="61"/>
      <c r="U70" s="151" t="s">
        <v>9</v>
      </c>
      <c r="V70" s="151"/>
      <c r="W70" s="151"/>
      <c r="X70" s="152"/>
      <c r="Y70" s="111"/>
    </row>
    <row r="71" spans="1:31" ht="15.75" x14ac:dyDescent="0.2">
      <c r="A71" s="109"/>
      <c r="B71" s="62"/>
      <c r="I71" s="144" t="s">
        <v>53</v>
      </c>
      <c r="J71" s="144"/>
      <c r="K71" s="144"/>
      <c r="L71" s="153"/>
      <c r="M71" s="111"/>
      <c r="N71" s="62"/>
      <c r="U71" s="144" t="s">
        <v>53</v>
      </c>
      <c r="V71" s="144"/>
      <c r="W71" s="144"/>
      <c r="X71" s="153"/>
      <c r="Y71" s="111"/>
    </row>
    <row r="72" spans="1:31" ht="15" x14ac:dyDescent="0.2">
      <c r="A72" s="109"/>
      <c r="B72" s="62"/>
      <c r="I72" s="63"/>
      <c r="J72" s="63"/>
      <c r="K72" s="63"/>
      <c r="L72" s="64"/>
      <c r="M72" s="109"/>
      <c r="N72" s="62"/>
      <c r="U72" s="63"/>
      <c r="V72" s="63"/>
      <c r="W72" s="63"/>
      <c r="X72" s="64"/>
      <c r="Y72" s="109"/>
    </row>
    <row r="73" spans="1:31" x14ac:dyDescent="0.2">
      <c r="A73" s="109"/>
      <c r="B73" s="62"/>
      <c r="J73" s="154"/>
      <c r="K73" s="154"/>
      <c r="L73" s="155"/>
      <c r="M73" s="112"/>
      <c r="N73" s="62"/>
      <c r="X73" s="64"/>
      <c r="Y73" s="109"/>
    </row>
    <row r="74" spans="1:31" x14ac:dyDescent="0.2">
      <c r="A74" s="109"/>
      <c r="B74" s="156" t="str">
        <f>"Carrefour GCR2 - GVA2 - GVA3 - déplacements en PM ( PM169.2 ) - Mesures au "&amp;TEXT(MAX('Résultats observations'!A10:A185),"jj/mm/aa")</f>
        <v>Carrefour GCR2 - GVA2 - GVA3 - déplacements en PM ( PM169.2 ) - Mesures au 20/12/22</v>
      </c>
      <c r="C74" s="157"/>
      <c r="D74" s="157"/>
      <c r="E74" s="157"/>
      <c r="F74" s="157"/>
      <c r="G74" s="157"/>
      <c r="H74" s="157"/>
      <c r="I74" s="157"/>
      <c r="J74" s="157"/>
      <c r="K74" s="157"/>
      <c r="L74" s="158"/>
      <c r="M74" s="113"/>
      <c r="N74" s="156" t="str">
        <f>" Carrefour GCR2 - GVA2 - GVA3 - déplacements en deport ( PM169.2 ) - Mesures au "&amp;TEXT(MAX('Résultats observations'!A10:A185),"jj/mm/aa")</f>
        <v xml:space="preserve"> Carrefour GCR2 - GVA2 - GVA3 - déplacements en deport ( PM169.2 ) - Mesures au 20/12/22</v>
      </c>
      <c r="O74" s="157"/>
      <c r="P74" s="157"/>
      <c r="Q74" s="157"/>
      <c r="R74" s="157"/>
      <c r="S74" s="157"/>
      <c r="T74" s="157"/>
      <c r="U74" s="157"/>
      <c r="V74" s="157"/>
      <c r="W74" s="157"/>
      <c r="X74" s="158"/>
      <c r="Y74" s="113"/>
    </row>
    <row r="75" spans="1:31" x14ac:dyDescent="0.2">
      <c r="A75" s="109"/>
      <c r="B75" s="62"/>
      <c r="L75" s="64"/>
      <c r="M75" s="109"/>
      <c r="N75" s="62"/>
      <c r="X75" s="64"/>
      <c r="Y75" s="109"/>
      <c r="AA75" s="78"/>
      <c r="AB75" s="78"/>
      <c r="AC75" s="78"/>
      <c r="AD75" s="78"/>
    </row>
    <row r="76" spans="1:31" x14ac:dyDescent="0.2">
      <c r="A76" s="109"/>
      <c r="B76" s="62"/>
      <c r="L76" s="64"/>
      <c r="M76" s="109"/>
      <c r="N76" s="62"/>
      <c r="X76" s="64"/>
      <c r="Y76" s="109"/>
      <c r="AA76" s="78"/>
      <c r="AB76" s="79"/>
      <c r="AC76" s="79"/>
      <c r="AD76" s="78"/>
    </row>
    <row r="77" spans="1:31" x14ac:dyDescent="0.2">
      <c r="A77" s="109"/>
      <c r="B77" s="62"/>
      <c r="L77" s="64"/>
      <c r="M77" s="109"/>
      <c r="N77" s="62"/>
      <c r="X77" s="64"/>
      <c r="Y77" s="109"/>
      <c r="AA77" s="78"/>
      <c r="AB77" s="79"/>
      <c r="AC77" s="79"/>
      <c r="AD77" s="78"/>
    </row>
    <row r="78" spans="1:31" x14ac:dyDescent="0.2">
      <c r="A78" s="109"/>
      <c r="B78" s="62"/>
      <c r="L78" s="64"/>
      <c r="M78" s="109"/>
      <c r="N78" s="62"/>
      <c r="X78" s="64"/>
      <c r="Y78" s="109"/>
      <c r="AA78" s="78"/>
      <c r="AB78" s="79"/>
      <c r="AC78" s="79"/>
      <c r="AD78" s="78"/>
    </row>
    <row r="79" spans="1:31" x14ac:dyDescent="0.2">
      <c r="A79" s="109"/>
      <c r="B79" s="62"/>
      <c r="L79" s="64"/>
      <c r="M79" s="109"/>
      <c r="N79" s="62"/>
      <c r="X79" s="64"/>
      <c r="Y79" s="109"/>
      <c r="AA79" s="78"/>
      <c r="AB79" s="79"/>
      <c r="AC79" s="79"/>
      <c r="AD79" s="78"/>
    </row>
    <row r="80" spans="1:31" x14ac:dyDescent="0.2">
      <c r="A80" s="109"/>
      <c r="B80" s="62"/>
      <c r="L80" s="64"/>
      <c r="M80" s="109"/>
      <c r="N80" s="62"/>
      <c r="X80" s="64"/>
      <c r="Y80" s="109"/>
      <c r="AA80" s="78"/>
      <c r="AB80" s="79"/>
      <c r="AC80" s="79"/>
      <c r="AD80" s="78"/>
    </row>
    <row r="81" spans="1:30" x14ac:dyDescent="0.2">
      <c r="A81" s="109"/>
      <c r="B81" s="62"/>
      <c r="L81" s="64"/>
      <c r="M81" s="109"/>
      <c r="N81" s="62"/>
      <c r="X81" s="64"/>
      <c r="Y81" s="109"/>
      <c r="AA81" s="78"/>
      <c r="AB81" s="79"/>
      <c r="AC81" s="79"/>
      <c r="AD81" s="78"/>
    </row>
    <row r="82" spans="1:30" x14ac:dyDescent="0.2">
      <c r="A82" s="109"/>
      <c r="B82" s="62"/>
      <c r="L82" s="64"/>
      <c r="M82" s="109"/>
      <c r="N82" s="62"/>
      <c r="X82" s="64"/>
      <c r="Y82" s="109"/>
      <c r="AA82" s="78"/>
      <c r="AB82" s="79"/>
      <c r="AC82" s="79"/>
      <c r="AD82" s="78"/>
    </row>
    <row r="83" spans="1:30" x14ac:dyDescent="0.2">
      <c r="A83" s="109"/>
      <c r="B83" s="62"/>
      <c r="L83" s="64"/>
      <c r="M83" s="109"/>
      <c r="N83" s="62"/>
      <c r="X83" s="64"/>
      <c r="Y83" s="109"/>
      <c r="AA83" s="78"/>
      <c r="AB83" s="79"/>
      <c r="AC83" s="79"/>
      <c r="AD83" s="78"/>
    </row>
    <row r="84" spans="1:30" x14ac:dyDescent="0.2">
      <c r="A84" s="109"/>
      <c r="B84" s="62"/>
      <c r="L84" s="64"/>
      <c r="M84" s="109"/>
      <c r="N84" s="62"/>
      <c r="X84" s="64"/>
      <c r="Y84" s="109"/>
      <c r="AA84" s="78"/>
      <c r="AB84" s="79"/>
      <c r="AC84" s="79"/>
      <c r="AD84" s="78"/>
    </row>
    <row r="85" spans="1:30" x14ac:dyDescent="0.2">
      <c r="A85" s="109"/>
      <c r="B85" s="62"/>
      <c r="L85" s="64"/>
      <c r="M85" s="109"/>
      <c r="N85" s="62"/>
      <c r="X85" s="64"/>
      <c r="Y85" s="109"/>
      <c r="AA85" s="78"/>
      <c r="AB85" s="79"/>
      <c r="AC85" s="79"/>
      <c r="AD85" s="78"/>
    </row>
    <row r="86" spans="1:30" x14ac:dyDescent="0.2">
      <c r="A86" s="109"/>
      <c r="B86" s="62"/>
      <c r="L86" s="64"/>
      <c r="M86" s="109"/>
      <c r="N86" s="62"/>
      <c r="X86" s="64"/>
      <c r="Y86" s="109"/>
      <c r="AA86" s="78"/>
      <c r="AB86" s="79"/>
      <c r="AC86" s="79"/>
      <c r="AD86" s="78"/>
    </row>
    <row r="87" spans="1:30" x14ac:dyDescent="0.2">
      <c r="A87" s="109"/>
      <c r="B87" s="62"/>
      <c r="L87" s="64"/>
      <c r="M87" s="109"/>
      <c r="N87" s="62"/>
      <c r="X87" s="64"/>
      <c r="Y87" s="109"/>
      <c r="AA87" s="78"/>
      <c r="AB87" s="79"/>
      <c r="AC87" s="79"/>
      <c r="AD87" s="78"/>
    </row>
    <row r="88" spans="1:30" x14ac:dyDescent="0.2">
      <c r="A88" s="109"/>
      <c r="B88" s="62"/>
      <c r="L88" s="64"/>
      <c r="M88" s="109"/>
      <c r="N88" s="62"/>
      <c r="X88" s="64"/>
      <c r="Y88" s="109"/>
      <c r="AA88" s="78"/>
      <c r="AB88" s="79"/>
      <c r="AC88" s="79"/>
      <c r="AD88" s="78"/>
    </row>
    <row r="89" spans="1:30" x14ac:dyDescent="0.2">
      <c r="A89" s="109"/>
      <c r="B89" s="62"/>
      <c r="L89" s="64"/>
      <c r="M89" s="109"/>
      <c r="N89" s="62"/>
      <c r="X89" s="64"/>
      <c r="Y89" s="109"/>
      <c r="AA89" s="78"/>
      <c r="AB89" s="79"/>
      <c r="AC89" s="79"/>
      <c r="AD89" s="78"/>
    </row>
    <row r="90" spans="1:30" x14ac:dyDescent="0.2">
      <c r="A90" s="109"/>
      <c r="B90" s="62"/>
      <c r="L90" s="64"/>
      <c r="M90" s="109"/>
      <c r="N90" s="62"/>
      <c r="X90" s="64"/>
      <c r="Y90" s="109"/>
      <c r="AA90" s="78"/>
      <c r="AB90" s="79"/>
      <c r="AC90" s="79"/>
      <c r="AD90" s="78"/>
    </row>
    <row r="91" spans="1:30" x14ac:dyDescent="0.2">
      <c r="A91" s="109"/>
      <c r="B91" s="62"/>
      <c r="L91" s="64"/>
      <c r="M91" s="109"/>
      <c r="N91" s="62"/>
      <c r="X91" s="64"/>
      <c r="Y91" s="109"/>
      <c r="AA91" s="78"/>
      <c r="AB91" s="79"/>
      <c r="AC91" s="79"/>
      <c r="AD91" s="78"/>
    </row>
    <row r="92" spans="1:30" x14ac:dyDescent="0.2">
      <c r="A92" s="109"/>
      <c r="B92" s="62"/>
      <c r="L92" s="64"/>
      <c r="M92" s="109"/>
      <c r="N92" s="62"/>
      <c r="X92" s="64"/>
      <c r="Y92" s="109"/>
      <c r="AA92" s="78"/>
      <c r="AB92" s="79"/>
      <c r="AC92" s="79"/>
      <c r="AD92" s="78"/>
    </row>
    <row r="93" spans="1:30" x14ac:dyDescent="0.2">
      <c r="A93" s="109"/>
      <c r="B93" s="62"/>
      <c r="L93" s="64"/>
      <c r="M93" s="109"/>
      <c r="N93" s="62"/>
      <c r="X93" s="64"/>
      <c r="Y93" s="109"/>
      <c r="AA93" s="78"/>
      <c r="AB93" s="79"/>
      <c r="AC93" s="79"/>
      <c r="AD93" s="78"/>
    </row>
    <row r="94" spans="1:30" x14ac:dyDescent="0.2">
      <c r="A94" s="109"/>
      <c r="B94" s="62"/>
      <c r="L94" s="64"/>
      <c r="M94" s="109"/>
      <c r="N94" s="62"/>
      <c r="X94" s="64"/>
      <c r="Y94" s="109"/>
      <c r="AA94" s="78"/>
      <c r="AB94" s="79"/>
      <c r="AC94" s="79"/>
      <c r="AD94" s="78"/>
    </row>
    <row r="95" spans="1:30" x14ac:dyDescent="0.2">
      <c r="A95" s="109"/>
      <c r="B95" s="62"/>
      <c r="L95" s="64"/>
      <c r="M95" s="109"/>
      <c r="N95" s="62"/>
      <c r="X95" s="64"/>
      <c r="Y95" s="109"/>
      <c r="AA95" s="78"/>
      <c r="AB95" s="79"/>
      <c r="AC95" s="79"/>
      <c r="AD95" s="78"/>
    </row>
    <row r="96" spans="1:30" x14ac:dyDescent="0.2">
      <c r="A96" s="109"/>
      <c r="B96" s="62"/>
      <c r="L96" s="64"/>
      <c r="M96" s="109"/>
      <c r="N96" s="62"/>
      <c r="X96" s="64"/>
      <c r="Y96" s="109"/>
      <c r="AA96" s="78"/>
      <c r="AB96" s="79"/>
      <c r="AC96" s="79"/>
      <c r="AD96" s="78"/>
    </row>
    <row r="97" spans="1:30" x14ac:dyDescent="0.2">
      <c r="A97" s="109"/>
      <c r="B97" s="62"/>
      <c r="L97" s="64"/>
      <c r="M97" s="109"/>
      <c r="N97" s="62"/>
      <c r="X97" s="64"/>
      <c r="Y97" s="109"/>
      <c r="AA97" s="78"/>
      <c r="AB97" s="79"/>
      <c r="AC97" s="79"/>
      <c r="AD97" s="78"/>
    </row>
    <row r="98" spans="1:30" x14ac:dyDescent="0.2">
      <c r="A98" s="109"/>
      <c r="B98" s="62"/>
      <c r="L98" s="64"/>
      <c r="M98" s="109"/>
      <c r="N98" s="62"/>
      <c r="X98" s="64"/>
      <c r="Y98" s="109"/>
      <c r="AA98" s="78"/>
      <c r="AB98" s="79"/>
      <c r="AC98" s="79"/>
      <c r="AD98" s="78"/>
    </row>
    <row r="99" spans="1:30" x14ac:dyDescent="0.2">
      <c r="A99" s="109"/>
      <c r="B99" s="62"/>
      <c r="L99" s="64"/>
      <c r="M99" s="109"/>
      <c r="N99" s="62"/>
      <c r="X99" s="64"/>
      <c r="Y99" s="109"/>
      <c r="AA99" s="78"/>
      <c r="AB99" s="79"/>
      <c r="AC99" s="79"/>
      <c r="AD99" s="78"/>
    </row>
    <row r="100" spans="1:30" x14ac:dyDescent="0.2">
      <c r="A100" s="109"/>
      <c r="B100" s="62"/>
      <c r="L100" s="64"/>
      <c r="M100" s="109"/>
      <c r="N100" s="62"/>
      <c r="X100" s="64"/>
      <c r="Y100" s="109"/>
      <c r="AA100" s="78"/>
      <c r="AB100" s="79"/>
      <c r="AC100" s="79"/>
      <c r="AD100" s="78"/>
    </row>
    <row r="101" spans="1:30" x14ac:dyDescent="0.2">
      <c r="A101" s="109"/>
      <c r="B101" s="62"/>
      <c r="L101" s="64"/>
      <c r="M101" s="109"/>
      <c r="N101" s="62"/>
      <c r="X101" s="64"/>
      <c r="Y101" s="109"/>
      <c r="AA101" s="78"/>
      <c r="AB101" s="79"/>
      <c r="AC101" s="79"/>
      <c r="AD101" s="78"/>
    </row>
    <row r="102" spans="1:30" x14ac:dyDescent="0.2">
      <c r="A102" s="109"/>
      <c r="B102" s="62"/>
      <c r="L102" s="64"/>
      <c r="M102" s="109"/>
      <c r="N102" s="62"/>
      <c r="X102" s="64"/>
      <c r="Y102" s="109"/>
      <c r="AA102" s="78"/>
      <c r="AB102" s="79"/>
      <c r="AC102" s="79"/>
      <c r="AD102" s="78"/>
    </row>
    <row r="103" spans="1:30" x14ac:dyDescent="0.2">
      <c r="A103" s="109"/>
      <c r="B103" s="70"/>
      <c r="C103" s="71"/>
      <c r="D103" s="71"/>
      <c r="E103" s="71"/>
      <c r="F103" s="71"/>
      <c r="G103" s="71"/>
      <c r="H103" s="71"/>
      <c r="I103" s="71"/>
      <c r="J103" s="71"/>
      <c r="K103" s="71"/>
      <c r="L103" s="72"/>
      <c r="M103" s="116"/>
      <c r="N103" s="70"/>
      <c r="O103" s="71"/>
      <c r="P103" s="71"/>
      <c r="Q103" s="71"/>
      <c r="R103" s="71"/>
      <c r="S103" s="71"/>
      <c r="T103" s="71"/>
      <c r="U103" s="71"/>
      <c r="V103" s="71"/>
      <c r="W103" s="71"/>
      <c r="X103" s="72"/>
      <c r="Y103" s="109"/>
      <c r="AA103" s="78"/>
      <c r="AB103" s="79"/>
      <c r="AC103" s="79"/>
      <c r="AD103" s="78"/>
    </row>
    <row r="104" spans="1:30" x14ac:dyDescent="0.2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AA104" s="78"/>
      <c r="AB104" s="79"/>
      <c r="AC104" s="79"/>
      <c r="AD104" s="78"/>
    </row>
    <row r="105" spans="1:30" x14ac:dyDescent="0.2">
      <c r="AA105" s="78"/>
      <c r="AB105" s="79"/>
      <c r="AC105" s="79"/>
      <c r="AD105" s="78"/>
    </row>
    <row r="106" spans="1:30" x14ac:dyDescent="0.2">
      <c r="AA106" s="78"/>
      <c r="AB106" s="79"/>
      <c r="AC106" s="79"/>
      <c r="AD106" s="78"/>
    </row>
    <row r="107" spans="1:30" x14ac:dyDescent="0.2">
      <c r="AA107" s="78"/>
      <c r="AB107" s="79"/>
      <c r="AC107" s="79"/>
      <c r="AD107" s="78"/>
    </row>
    <row r="108" spans="1:30" x14ac:dyDescent="0.2">
      <c r="AA108" s="78"/>
      <c r="AB108" s="79"/>
      <c r="AC108" s="79"/>
      <c r="AD108" s="78"/>
    </row>
    <row r="109" spans="1:30" x14ac:dyDescent="0.2">
      <c r="Q109" s="92"/>
      <c r="AA109" s="78"/>
      <c r="AB109" s="79"/>
      <c r="AC109" s="79"/>
      <c r="AD109" s="78"/>
    </row>
    <row r="110" spans="1:30" x14ac:dyDescent="0.2">
      <c r="AA110" s="78"/>
      <c r="AB110" s="79"/>
      <c r="AC110" s="79"/>
      <c r="AD110" s="78"/>
    </row>
    <row r="111" spans="1:30" x14ac:dyDescent="0.2">
      <c r="AA111" s="78"/>
      <c r="AB111" s="78"/>
      <c r="AC111" s="78"/>
      <c r="AD111" s="78"/>
    </row>
    <row r="112" spans="1:30" x14ac:dyDescent="0.2">
      <c r="AA112" s="78"/>
      <c r="AB112" s="78"/>
      <c r="AC112" s="78"/>
      <c r="AD112" s="78"/>
    </row>
  </sheetData>
  <mergeCells count="19">
    <mergeCell ref="U37:X37"/>
    <mergeCell ref="I38:L38"/>
    <mergeCell ref="U38:X38"/>
    <mergeCell ref="J40:L40"/>
    <mergeCell ref="V40:X40"/>
    <mergeCell ref="N41:X41"/>
    <mergeCell ref="B74:L74"/>
    <mergeCell ref="N74:X74"/>
    <mergeCell ref="J73:L73"/>
    <mergeCell ref="I70:L70"/>
    <mergeCell ref="U70:X70"/>
    <mergeCell ref="I71:L71"/>
    <mergeCell ref="U71:X71"/>
    <mergeCell ref="I2:L2"/>
    <mergeCell ref="I3:L3"/>
    <mergeCell ref="J5:L5"/>
    <mergeCell ref="B6:L6"/>
    <mergeCell ref="B41:L41"/>
    <mergeCell ref="I37:L37"/>
  </mergeCells>
  <printOptions horizontalCentered="1" verticalCentered="1"/>
  <pageMargins left="0.39370078740157483" right="0.39370078740157483" top="0.19685039370078741" bottom="0.19685039370078741" header="0.51181102362204722" footer="0.51181102362204722"/>
  <pageSetup paperSize="9" orientation="landscape" r:id="rId1"/>
  <headerFooter alignWithMargins="0"/>
  <colBreaks count="1" manualBreakCount="1"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changerDateDerniereMesure">
                <anchor moveWithCells="1" sizeWithCells="1">
                  <from>
                    <xdr:col>25</xdr:col>
                    <xdr:colOff>590550</xdr:colOff>
                    <xdr:row>1</xdr:row>
                    <xdr:rowOff>0</xdr:rowOff>
                  </from>
                  <to>
                    <xdr:col>27</xdr:col>
                    <xdr:colOff>266700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1">
    <pageSetUpPr fitToPage="1"/>
  </sheetPr>
  <dimension ref="A1:AE112"/>
  <sheetViews>
    <sheetView topLeftCell="A61" zoomScale="70" zoomScaleNormal="70" workbookViewId="0">
      <selection activeCell="M63" sqref="M63"/>
    </sheetView>
  </sheetViews>
  <sheetFormatPr baseColWidth="10" defaultColWidth="11.42578125" defaultRowHeight="12.75" x14ac:dyDescent="0.2"/>
  <cols>
    <col min="1" max="1" width="7.5703125" style="2" customWidth="1"/>
    <col min="2" max="12" width="10.7109375" style="2" customWidth="1"/>
    <col min="13" max="13" width="7" style="2" customWidth="1"/>
    <col min="14" max="24" width="10.7109375" style="2" customWidth="1"/>
    <col min="25" max="25" width="6.7109375" style="2" customWidth="1"/>
    <col min="26" max="28" width="9.7109375" style="2" customWidth="1"/>
    <col min="29" max="29" width="16" style="2" bestFit="1" customWidth="1"/>
    <col min="30" max="16384" width="11.42578125" style="2"/>
  </cols>
  <sheetData>
    <row r="1" spans="1:29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</row>
    <row r="2" spans="1:29" ht="15.75" x14ac:dyDescent="0.2">
      <c r="A2" s="109"/>
      <c r="B2" s="60"/>
      <c r="C2" s="61"/>
      <c r="D2" s="61"/>
      <c r="E2" s="61"/>
      <c r="F2" s="61"/>
      <c r="G2" s="61"/>
      <c r="H2" s="61"/>
      <c r="I2" s="151" t="s">
        <v>9</v>
      </c>
      <c r="J2" s="151"/>
      <c r="K2" s="151"/>
      <c r="L2" s="152"/>
      <c r="M2" s="111"/>
      <c r="Y2" s="109"/>
      <c r="AC2" s="77">
        <f ca="1">TODAY()</f>
        <v>45967</v>
      </c>
    </row>
    <row r="3" spans="1:29" ht="15.75" x14ac:dyDescent="0.2">
      <c r="A3" s="109"/>
      <c r="B3" s="62"/>
      <c r="I3" s="144" t="s">
        <v>53</v>
      </c>
      <c r="J3" s="144"/>
      <c r="K3" s="144"/>
      <c r="L3" s="153"/>
      <c r="M3" s="111"/>
      <c r="Y3" s="109"/>
    </row>
    <row r="4" spans="1:29" ht="15" x14ac:dyDescent="0.2">
      <c r="A4" s="109"/>
      <c r="B4" s="62"/>
      <c r="I4" s="63"/>
      <c r="J4" s="63"/>
      <c r="K4" s="63"/>
      <c r="L4" s="64"/>
      <c r="M4" s="109"/>
      <c r="Y4" s="109"/>
    </row>
    <row r="5" spans="1:29" x14ac:dyDescent="0.2">
      <c r="A5" s="109"/>
      <c r="B5" s="62"/>
      <c r="J5" s="154"/>
      <c r="K5" s="154"/>
      <c r="L5" s="155"/>
      <c r="M5" s="112"/>
      <c r="Y5" s="109"/>
    </row>
    <row r="6" spans="1:29" x14ac:dyDescent="0.2">
      <c r="A6" s="109"/>
      <c r="B6" s="156" t="str">
        <f>"Carrefour GCR2 - GVA2 - GVA3 Norme des déplacements T12T13 ( PM169.2 ) - Mesures au "&amp;TEXT(MAX('Résultats observations'!A10:A185),"jj/mm/aa")</f>
        <v>Carrefour GCR2 - GVA2 - GVA3 Norme des déplacements T12T13 ( PM169.2 ) - Mesures au 20/12/22</v>
      </c>
      <c r="C6" s="157"/>
      <c r="D6" s="157"/>
      <c r="E6" s="157"/>
      <c r="F6" s="157"/>
      <c r="G6" s="157"/>
      <c r="H6" s="157"/>
      <c r="I6" s="157"/>
      <c r="J6" s="157"/>
      <c r="K6" s="157"/>
      <c r="L6" s="158"/>
      <c r="M6" s="113"/>
      <c r="Y6" s="109"/>
    </row>
    <row r="7" spans="1:29" x14ac:dyDescent="0.2">
      <c r="A7" s="109"/>
      <c r="B7" s="62"/>
      <c r="L7" s="64"/>
      <c r="M7" s="109"/>
      <c r="Q7"/>
      <c r="Y7" s="109"/>
    </row>
    <row r="8" spans="1:29" x14ac:dyDescent="0.2">
      <c r="A8" s="109"/>
      <c r="B8" s="65"/>
      <c r="C8"/>
      <c r="D8"/>
      <c r="E8"/>
      <c r="F8"/>
      <c r="G8"/>
      <c r="H8"/>
      <c r="I8"/>
      <c r="J8"/>
      <c r="K8"/>
      <c r="L8" s="66"/>
      <c r="M8" s="110"/>
      <c r="T8" s="86"/>
      <c r="U8" s="86"/>
      <c r="Y8" s="109"/>
    </row>
    <row r="9" spans="1:29" x14ac:dyDescent="0.2">
      <c r="A9" s="109"/>
      <c r="B9" s="65"/>
      <c r="C9"/>
      <c r="D9"/>
      <c r="E9"/>
      <c r="F9"/>
      <c r="G9"/>
      <c r="H9"/>
      <c r="I9"/>
      <c r="J9"/>
      <c r="K9"/>
      <c r="L9" s="66"/>
      <c r="M9" s="110"/>
      <c r="Q9"/>
      <c r="Y9" s="109"/>
    </row>
    <row r="10" spans="1:29" x14ac:dyDescent="0.2">
      <c r="A10" s="109"/>
      <c r="B10" s="65"/>
      <c r="C10"/>
      <c r="D10"/>
      <c r="E10"/>
      <c r="F10"/>
      <c r="G10"/>
      <c r="H10"/>
      <c r="I10"/>
      <c r="J10"/>
      <c r="K10"/>
      <c r="L10" s="66"/>
      <c r="M10" s="110"/>
      <c r="S10" s="87"/>
      <c r="Y10" s="109"/>
    </row>
    <row r="11" spans="1:29" x14ac:dyDescent="0.2">
      <c r="A11" s="109"/>
      <c r="B11" s="65"/>
      <c r="C11"/>
      <c r="D11"/>
      <c r="E11"/>
      <c r="F11"/>
      <c r="G11"/>
      <c r="H11"/>
      <c r="I11"/>
      <c r="J11"/>
      <c r="K11"/>
      <c r="L11" s="66"/>
      <c r="M11" s="110"/>
      <c r="S11" s="77"/>
      <c r="Y11" s="109"/>
    </row>
    <row r="12" spans="1:29" x14ac:dyDescent="0.2">
      <c r="A12" s="109"/>
      <c r="B12" s="65"/>
      <c r="C12"/>
      <c r="D12"/>
      <c r="E12"/>
      <c r="F12"/>
      <c r="G12"/>
      <c r="H12"/>
      <c r="I12"/>
      <c r="J12"/>
      <c r="K12"/>
      <c r="L12" s="66"/>
      <c r="M12" s="110"/>
      <c r="Y12" s="109"/>
      <c r="AA12" s="92"/>
      <c r="AB12" s="92"/>
    </row>
    <row r="13" spans="1:29" x14ac:dyDescent="0.2">
      <c r="A13" s="109"/>
      <c r="B13" s="65"/>
      <c r="C13"/>
      <c r="D13"/>
      <c r="E13"/>
      <c r="F13"/>
      <c r="G13"/>
      <c r="H13"/>
      <c r="I13"/>
      <c r="J13"/>
      <c r="K13"/>
      <c r="L13" s="66"/>
      <c r="M13" s="110"/>
      <c r="Y13" s="109"/>
      <c r="AA13" s="92"/>
      <c r="AB13" s="92"/>
    </row>
    <row r="14" spans="1:29" x14ac:dyDescent="0.2">
      <c r="A14" s="109"/>
      <c r="B14" s="65"/>
      <c r="C14"/>
      <c r="D14"/>
      <c r="E14"/>
      <c r="F14"/>
      <c r="G14"/>
      <c r="H14"/>
      <c r="I14"/>
      <c r="J14"/>
      <c r="K14"/>
      <c r="L14" s="66"/>
      <c r="M14" s="110"/>
      <c r="Y14" s="109"/>
      <c r="AA14" s="92"/>
      <c r="AB14" s="92"/>
    </row>
    <row r="15" spans="1:29" x14ac:dyDescent="0.2">
      <c r="A15" s="109"/>
      <c r="B15" s="65"/>
      <c r="C15"/>
      <c r="D15"/>
      <c r="E15"/>
      <c r="F15"/>
      <c r="G15"/>
      <c r="H15"/>
      <c r="I15"/>
      <c r="J15"/>
      <c r="K15"/>
      <c r="L15" s="66"/>
      <c r="M15" s="110"/>
      <c r="Y15" s="109"/>
      <c r="AA15" s="92"/>
      <c r="AB15" s="92"/>
    </row>
    <row r="16" spans="1:29" x14ac:dyDescent="0.2">
      <c r="A16" s="109"/>
      <c r="B16" s="65"/>
      <c r="C16"/>
      <c r="D16"/>
      <c r="E16"/>
      <c r="F16"/>
      <c r="G16"/>
      <c r="H16"/>
      <c r="I16"/>
      <c r="J16"/>
      <c r="K16"/>
      <c r="L16" s="66"/>
      <c r="M16" s="110"/>
      <c r="Y16" s="109"/>
      <c r="AA16" s="92"/>
      <c r="AB16" s="92"/>
    </row>
    <row r="17" spans="1:25" x14ac:dyDescent="0.2">
      <c r="A17" s="109"/>
      <c r="B17" s="65"/>
      <c r="C17"/>
      <c r="D17"/>
      <c r="E17"/>
      <c r="F17"/>
      <c r="G17"/>
      <c r="H17"/>
      <c r="I17"/>
      <c r="J17"/>
      <c r="K17"/>
      <c r="L17" s="66"/>
      <c r="M17" s="110"/>
      <c r="Y17" s="109"/>
    </row>
    <row r="18" spans="1:25" x14ac:dyDescent="0.2">
      <c r="A18" s="109"/>
      <c r="B18" s="65"/>
      <c r="C18"/>
      <c r="D18"/>
      <c r="E18"/>
      <c r="F18"/>
      <c r="G18"/>
      <c r="H18"/>
      <c r="I18"/>
      <c r="J18"/>
      <c r="K18"/>
      <c r="L18" s="66"/>
      <c r="M18" s="110"/>
      <c r="Y18" s="109"/>
    </row>
    <row r="19" spans="1:25" x14ac:dyDescent="0.2">
      <c r="A19" s="109"/>
      <c r="B19" s="65"/>
      <c r="C19"/>
      <c r="D19"/>
      <c r="E19"/>
      <c r="F19"/>
      <c r="G19"/>
      <c r="H19"/>
      <c r="I19"/>
      <c r="J19"/>
      <c r="K19"/>
      <c r="L19" s="66"/>
      <c r="M19" s="110"/>
      <c r="Y19" s="109"/>
    </row>
    <row r="20" spans="1:25" x14ac:dyDescent="0.2">
      <c r="A20" s="109"/>
      <c r="B20" s="65"/>
      <c r="C20"/>
      <c r="D20"/>
      <c r="E20"/>
      <c r="F20"/>
      <c r="G20"/>
      <c r="H20"/>
      <c r="I20"/>
      <c r="J20"/>
      <c r="K20"/>
      <c r="L20" s="66"/>
      <c r="M20" s="110"/>
      <c r="Y20" s="109"/>
    </row>
    <row r="21" spans="1:25" x14ac:dyDescent="0.2">
      <c r="A21" s="109"/>
      <c r="B21" s="65"/>
      <c r="C21"/>
      <c r="D21"/>
      <c r="E21"/>
      <c r="F21"/>
      <c r="G21"/>
      <c r="H21"/>
      <c r="I21"/>
      <c r="J21"/>
      <c r="K21"/>
      <c r="L21" s="66"/>
      <c r="M21" s="110"/>
      <c r="Y21" s="109"/>
    </row>
    <row r="22" spans="1:25" x14ac:dyDescent="0.2">
      <c r="A22" s="109"/>
      <c r="B22" s="65"/>
      <c r="C22"/>
      <c r="D22"/>
      <c r="E22"/>
      <c r="F22"/>
      <c r="G22"/>
      <c r="H22"/>
      <c r="I22"/>
      <c r="J22"/>
      <c r="K22"/>
      <c r="L22" s="66"/>
      <c r="M22" s="110"/>
      <c r="Y22" s="109"/>
    </row>
    <row r="23" spans="1:25" x14ac:dyDescent="0.2">
      <c r="A23" s="109"/>
      <c r="B23" s="65"/>
      <c r="C23"/>
      <c r="D23"/>
      <c r="E23"/>
      <c r="F23"/>
      <c r="G23"/>
      <c r="H23"/>
      <c r="I23"/>
      <c r="J23"/>
      <c r="K23"/>
      <c r="L23" s="66"/>
      <c r="M23" s="110"/>
      <c r="Y23" s="109"/>
    </row>
    <row r="24" spans="1:25" x14ac:dyDescent="0.2">
      <c r="A24" s="109"/>
      <c r="B24" s="65"/>
      <c r="C24"/>
      <c r="D24"/>
      <c r="E24"/>
      <c r="F24"/>
      <c r="G24"/>
      <c r="H24"/>
      <c r="I24"/>
      <c r="J24"/>
      <c r="K24"/>
      <c r="L24" s="66"/>
      <c r="M24" s="110"/>
      <c r="Y24" s="109"/>
    </row>
    <row r="25" spans="1:25" x14ac:dyDescent="0.2">
      <c r="A25" s="109"/>
      <c r="B25" s="65"/>
      <c r="C25"/>
      <c r="D25"/>
      <c r="E25"/>
      <c r="F25"/>
      <c r="G25"/>
      <c r="H25"/>
      <c r="I25"/>
      <c r="J25"/>
      <c r="K25"/>
      <c r="L25" s="66"/>
      <c r="M25" s="110"/>
      <c r="Y25" s="109"/>
    </row>
    <row r="26" spans="1:25" x14ac:dyDescent="0.2">
      <c r="A26" s="109"/>
      <c r="B26" s="65"/>
      <c r="C26"/>
      <c r="D26"/>
      <c r="E26"/>
      <c r="F26"/>
      <c r="G26"/>
      <c r="H26"/>
      <c r="I26"/>
      <c r="J26"/>
      <c r="K26"/>
      <c r="L26" s="66"/>
      <c r="M26" s="110"/>
      <c r="Y26" s="109"/>
    </row>
    <row r="27" spans="1:25" x14ac:dyDescent="0.2">
      <c r="A27" s="109"/>
      <c r="B27" s="65"/>
      <c r="C27"/>
      <c r="D27"/>
      <c r="E27"/>
      <c r="F27"/>
      <c r="G27"/>
      <c r="H27"/>
      <c r="I27"/>
      <c r="J27"/>
      <c r="K27"/>
      <c r="L27" s="66"/>
      <c r="M27" s="110"/>
      <c r="Y27" s="109"/>
    </row>
    <row r="28" spans="1:25" x14ac:dyDescent="0.2">
      <c r="A28" s="109"/>
      <c r="B28" s="65"/>
      <c r="C28"/>
      <c r="D28"/>
      <c r="E28"/>
      <c r="F28"/>
      <c r="G28"/>
      <c r="H28"/>
      <c r="I28"/>
      <c r="J28"/>
      <c r="K28"/>
      <c r="L28" s="66"/>
      <c r="M28" s="110"/>
      <c r="Y28" s="109"/>
    </row>
    <row r="29" spans="1:25" x14ac:dyDescent="0.2">
      <c r="A29" s="109"/>
      <c r="B29" s="65"/>
      <c r="C29"/>
      <c r="D29"/>
      <c r="E29"/>
      <c r="F29"/>
      <c r="G29"/>
      <c r="H29"/>
      <c r="I29"/>
      <c r="J29"/>
      <c r="K29"/>
      <c r="L29" s="66"/>
      <c r="M29" s="110"/>
      <c r="Y29" s="109"/>
    </row>
    <row r="30" spans="1:25" x14ac:dyDescent="0.2">
      <c r="A30" s="109"/>
      <c r="B30" s="65"/>
      <c r="C30"/>
      <c r="D30"/>
      <c r="E30"/>
      <c r="F30"/>
      <c r="G30"/>
      <c r="H30"/>
      <c r="I30"/>
      <c r="J30"/>
      <c r="K30"/>
      <c r="L30" s="66"/>
      <c r="M30" s="110"/>
      <c r="Y30" s="109"/>
    </row>
    <row r="31" spans="1:25" x14ac:dyDescent="0.2">
      <c r="A31" s="109"/>
      <c r="B31" s="65"/>
      <c r="C31"/>
      <c r="D31"/>
      <c r="E31"/>
      <c r="F31"/>
      <c r="G31"/>
      <c r="H31"/>
      <c r="I31"/>
      <c r="J31"/>
      <c r="K31"/>
      <c r="L31" s="66"/>
      <c r="M31" s="110"/>
      <c r="Y31" s="109"/>
    </row>
    <row r="32" spans="1:25" x14ac:dyDescent="0.2">
      <c r="A32" s="109"/>
      <c r="B32" s="65"/>
      <c r="C32"/>
      <c r="D32"/>
      <c r="E32"/>
      <c r="F32"/>
      <c r="G32"/>
      <c r="H32"/>
      <c r="I32"/>
      <c r="J32"/>
      <c r="K32"/>
      <c r="L32" s="66"/>
      <c r="M32" s="110"/>
      <c r="Y32" s="109"/>
    </row>
    <row r="33" spans="1:28" x14ac:dyDescent="0.2">
      <c r="A33" s="109"/>
      <c r="B33" s="65"/>
      <c r="C33"/>
      <c r="D33"/>
      <c r="E33"/>
      <c r="F33"/>
      <c r="G33"/>
      <c r="H33"/>
      <c r="I33"/>
      <c r="J33"/>
      <c r="K33"/>
      <c r="L33" s="66"/>
      <c r="M33" s="110"/>
      <c r="Y33" s="109"/>
    </row>
    <row r="34" spans="1:28" x14ac:dyDescent="0.2">
      <c r="A34" s="109"/>
      <c r="B34" s="65"/>
      <c r="C34"/>
      <c r="D34"/>
      <c r="E34"/>
      <c r="F34"/>
      <c r="G34"/>
      <c r="H34"/>
      <c r="I34"/>
      <c r="J34"/>
      <c r="K34"/>
      <c r="L34" s="66"/>
      <c r="M34" s="110"/>
      <c r="Y34" s="109"/>
    </row>
    <row r="35" spans="1:28" x14ac:dyDescent="0.2">
      <c r="A35" s="109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110"/>
      <c r="Y35" s="109"/>
    </row>
    <row r="36" spans="1:28" x14ac:dyDescent="0.2">
      <c r="A36" s="109"/>
      <c r="B36" s="117"/>
      <c r="C36" s="110"/>
      <c r="D36" s="110"/>
      <c r="E36" s="110"/>
      <c r="F36" s="110"/>
      <c r="G36" s="110"/>
      <c r="H36" s="110"/>
      <c r="I36" s="110"/>
      <c r="J36" s="110"/>
      <c r="K36" s="110"/>
      <c r="L36" s="118"/>
      <c r="M36" s="110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</row>
    <row r="37" spans="1:28" ht="15.75" x14ac:dyDescent="0.2">
      <c r="A37" s="109"/>
      <c r="B37" s="60"/>
      <c r="C37" s="61"/>
      <c r="D37" s="61"/>
      <c r="E37" s="61"/>
      <c r="F37" s="61"/>
      <c r="G37" s="61"/>
      <c r="H37" s="61"/>
      <c r="I37" s="151" t="s">
        <v>9</v>
      </c>
      <c r="J37" s="151"/>
      <c r="K37" s="151"/>
      <c r="L37" s="152"/>
      <c r="M37" s="114"/>
      <c r="N37" s="60"/>
      <c r="O37" s="61"/>
      <c r="P37" s="61"/>
      <c r="Q37" s="61"/>
      <c r="R37" s="61"/>
      <c r="S37" s="61"/>
      <c r="T37" s="61"/>
      <c r="U37" s="151" t="s">
        <v>9</v>
      </c>
      <c r="V37" s="151"/>
      <c r="W37" s="151"/>
      <c r="X37" s="152"/>
      <c r="Y37" s="111"/>
    </row>
    <row r="38" spans="1:28" ht="15.75" x14ac:dyDescent="0.2">
      <c r="A38" s="109"/>
      <c r="B38" s="62"/>
      <c r="I38" s="144" t="s">
        <v>53</v>
      </c>
      <c r="J38" s="144"/>
      <c r="K38" s="144"/>
      <c r="L38" s="153"/>
      <c r="M38" s="111"/>
      <c r="N38" s="62"/>
      <c r="U38" s="144" t="s">
        <v>53</v>
      </c>
      <c r="V38" s="144"/>
      <c r="W38" s="144"/>
      <c r="X38" s="153"/>
      <c r="Y38" s="111"/>
    </row>
    <row r="39" spans="1:28" ht="15" x14ac:dyDescent="0.2">
      <c r="A39" s="109"/>
      <c r="B39" s="62"/>
      <c r="I39" s="63"/>
      <c r="J39" s="63"/>
      <c r="K39" s="63"/>
      <c r="L39" s="64"/>
      <c r="M39" s="109"/>
      <c r="N39" s="62"/>
      <c r="U39" s="63"/>
      <c r="V39" s="63"/>
      <c r="W39" s="63"/>
      <c r="X39" s="64"/>
      <c r="Y39" s="109"/>
    </row>
    <row r="40" spans="1:28" x14ac:dyDescent="0.2">
      <c r="A40" s="109"/>
      <c r="B40" s="62"/>
      <c r="J40" s="154"/>
      <c r="K40" s="154"/>
      <c r="L40" s="155"/>
      <c r="M40" s="112"/>
      <c r="N40" s="62"/>
      <c r="V40" s="154"/>
      <c r="W40" s="154"/>
      <c r="X40" s="155"/>
      <c r="Y40" s="112"/>
    </row>
    <row r="41" spans="1:28" x14ac:dyDescent="0.2">
      <c r="A41" s="109"/>
      <c r="B41" s="156" t="str">
        <f>"Carrefour GCR2 - GVA2 - GVA3 Convergence T12T13 ( PM169.2 ) - Mesures au "&amp;TEXT(MAX('Résultats observations'!A10:A185),"jj/mm/aa")</f>
        <v>Carrefour GCR2 - GVA2 - GVA3 Convergence T12T13 ( PM169.2 ) - Mesures au 20/12/22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8"/>
      <c r="M41" s="113"/>
      <c r="N41" s="156" t="str">
        <f>"Carrefour GCR2 - GVA2 - GVA3 -Déplacements en alti ( PM169.2 ) - Mesures au "&amp;TEXT(MAX('Résultats observations'!A10:A185),"jj/mm/aa")</f>
        <v>Carrefour GCR2 - GVA2 - GVA3 -Déplacements en alti ( PM169.2 ) - Mesures au 20/12/22</v>
      </c>
      <c r="O41" s="157"/>
      <c r="P41" s="157"/>
      <c r="Q41" s="157"/>
      <c r="R41" s="157"/>
      <c r="S41" s="157"/>
      <c r="T41" s="157"/>
      <c r="U41" s="157"/>
      <c r="V41" s="157"/>
      <c r="W41" s="157"/>
      <c r="X41" s="158"/>
      <c r="Y41" s="113"/>
    </row>
    <row r="42" spans="1:28" ht="7.5" customHeight="1" x14ac:dyDescent="0.2">
      <c r="A42" s="109"/>
      <c r="B42" s="62"/>
      <c r="L42" s="64"/>
      <c r="M42" s="109"/>
      <c r="N42" s="62"/>
      <c r="X42" s="64"/>
      <c r="Y42" s="109"/>
    </row>
    <row r="43" spans="1:28" s="30" customFormat="1" x14ac:dyDescent="0.2">
      <c r="A43" s="109"/>
      <c r="B43" s="65"/>
      <c r="C43"/>
      <c r="D43"/>
      <c r="E43"/>
      <c r="F43"/>
      <c r="G43"/>
      <c r="H43"/>
      <c r="I43"/>
      <c r="J43"/>
      <c r="K43"/>
      <c r="L43" s="66"/>
      <c r="M43" s="110"/>
      <c r="N43" s="65"/>
      <c r="O43"/>
      <c r="P43"/>
      <c r="Q43"/>
      <c r="R43"/>
      <c r="S43"/>
      <c r="T43"/>
      <c r="U43"/>
      <c r="V43"/>
      <c r="W43"/>
      <c r="X43" s="66"/>
      <c r="Y43" s="110"/>
    </row>
    <row r="44" spans="1:28" x14ac:dyDescent="0.2">
      <c r="A44" s="109"/>
      <c r="B44" s="65"/>
      <c r="C44"/>
      <c r="D44"/>
      <c r="E44"/>
      <c r="F44"/>
      <c r="G44"/>
      <c r="H44"/>
      <c r="I44"/>
      <c r="J44"/>
      <c r="K44"/>
      <c r="L44" s="66"/>
      <c r="M44" s="110"/>
      <c r="N44" s="65"/>
      <c r="O44"/>
      <c r="P44"/>
      <c r="Q44"/>
      <c r="R44"/>
      <c r="S44"/>
      <c r="T44"/>
      <c r="U44"/>
      <c r="V44"/>
      <c r="W44"/>
      <c r="X44" s="66"/>
      <c r="Y44" s="110"/>
    </row>
    <row r="45" spans="1:28" customFormat="1" ht="35.25" customHeight="1" x14ac:dyDescent="0.2">
      <c r="A45" s="110"/>
      <c r="B45" s="65"/>
      <c r="L45" s="66"/>
      <c r="M45" s="110"/>
      <c r="N45" s="65"/>
      <c r="X45" s="66"/>
      <c r="Y45" s="110"/>
      <c r="AA45" s="73" t="s">
        <v>69</v>
      </c>
      <c r="AB45" s="73"/>
    </row>
    <row r="46" spans="1:28" customFormat="1" ht="13.5" customHeight="1" x14ac:dyDescent="0.2">
      <c r="A46" s="110"/>
      <c r="B46" s="65"/>
      <c r="L46" s="66"/>
      <c r="M46" s="110"/>
      <c r="N46" s="65"/>
      <c r="X46" s="66"/>
      <c r="Y46" s="110"/>
      <c r="AA46" s="77">
        <v>43605</v>
      </c>
      <c r="AB46" s="2">
        <v>0</v>
      </c>
    </row>
    <row r="47" spans="1:28" customFormat="1" ht="13.5" customHeight="1" x14ac:dyDescent="0.2">
      <c r="A47" s="110"/>
      <c r="B47" s="65"/>
      <c r="L47" s="66"/>
      <c r="M47" s="110"/>
      <c r="N47" s="65"/>
      <c r="X47" s="66"/>
      <c r="Y47" s="110"/>
      <c r="AA47" s="74">
        <v>43605</v>
      </c>
      <c r="AB47" s="73">
        <v>167</v>
      </c>
    </row>
    <row r="48" spans="1:28" customFormat="1" ht="13.5" customHeight="1" x14ac:dyDescent="0.2">
      <c r="A48" s="110"/>
      <c r="B48" s="65"/>
      <c r="L48" s="66"/>
      <c r="M48" s="110"/>
      <c r="N48" s="65"/>
      <c r="X48" s="66"/>
      <c r="Y48" s="110"/>
      <c r="AA48" s="74">
        <v>43605</v>
      </c>
      <c r="AB48" s="73">
        <v>230</v>
      </c>
    </row>
    <row r="49" spans="1:31" customFormat="1" ht="13.5" customHeight="1" x14ac:dyDescent="0.2">
      <c r="A49" s="110"/>
      <c r="B49" s="65"/>
      <c r="L49" s="66"/>
      <c r="M49" s="110"/>
      <c r="N49" s="65"/>
      <c r="X49" s="66"/>
      <c r="Y49" s="110"/>
      <c r="AA49" s="73" t="s">
        <v>64</v>
      </c>
      <c r="AB49" s="73"/>
    </row>
    <row r="50" spans="1:31" customFormat="1" ht="13.5" customHeight="1" x14ac:dyDescent="0.2">
      <c r="A50" s="110"/>
      <c r="B50" s="65"/>
      <c r="L50" s="66"/>
      <c r="M50" s="110"/>
      <c r="N50" s="65"/>
      <c r="X50" s="66"/>
      <c r="Y50" s="110"/>
      <c r="AA50" s="2"/>
      <c r="AB50" s="2"/>
    </row>
    <row r="51" spans="1:31" customFormat="1" ht="13.5" customHeight="1" x14ac:dyDescent="0.2">
      <c r="A51" s="110"/>
      <c r="B51" s="65"/>
      <c r="L51" s="66"/>
      <c r="M51" s="110"/>
      <c r="N51" s="65"/>
      <c r="X51" s="66"/>
      <c r="Y51" s="110"/>
      <c r="AA51" s="73" t="s">
        <v>63</v>
      </c>
      <c r="AB51" s="73"/>
    </row>
    <row r="52" spans="1:31" customFormat="1" ht="13.5" customHeight="1" x14ac:dyDescent="0.2">
      <c r="A52" s="110"/>
      <c r="B52" s="65"/>
      <c r="L52" s="66"/>
      <c r="M52" s="110"/>
      <c r="N52" s="65"/>
      <c r="X52" s="66"/>
      <c r="Y52" s="110"/>
      <c r="AA52" s="77">
        <v>43655</v>
      </c>
      <c r="AB52" s="2">
        <v>0</v>
      </c>
    </row>
    <row r="53" spans="1:31" customFormat="1" ht="13.5" customHeight="1" x14ac:dyDescent="0.2">
      <c r="A53" s="110"/>
      <c r="B53" s="65"/>
      <c r="L53" s="66"/>
      <c r="M53" s="110"/>
      <c r="N53" s="65"/>
      <c r="X53" s="66"/>
      <c r="Y53" s="110"/>
      <c r="AA53" s="74">
        <v>43655</v>
      </c>
      <c r="AB53" s="73">
        <v>168</v>
      </c>
    </row>
    <row r="54" spans="1:31" customFormat="1" x14ac:dyDescent="0.2">
      <c r="A54" s="110"/>
      <c r="B54" s="65"/>
      <c r="L54" s="66"/>
      <c r="M54" s="110"/>
      <c r="N54" s="65"/>
      <c r="X54" s="66"/>
      <c r="Y54" s="110"/>
      <c r="AA54" s="74">
        <v>43655</v>
      </c>
      <c r="AB54" s="73">
        <v>230</v>
      </c>
    </row>
    <row r="55" spans="1:31" customFormat="1" x14ac:dyDescent="0.2">
      <c r="A55" s="110"/>
      <c r="B55" s="65"/>
      <c r="L55" s="66"/>
      <c r="M55" s="110"/>
      <c r="N55" s="65"/>
      <c r="X55" s="66"/>
      <c r="Y55" s="110"/>
      <c r="AA55" s="2"/>
    </row>
    <row r="56" spans="1:31" customFormat="1" x14ac:dyDescent="0.2">
      <c r="A56" s="110"/>
      <c r="B56" s="65"/>
      <c r="L56" s="66"/>
      <c r="M56" s="110"/>
      <c r="N56" s="65"/>
      <c r="X56" s="66"/>
      <c r="Y56" s="110"/>
      <c r="AA56" t="s">
        <v>65</v>
      </c>
    </row>
    <row r="57" spans="1:31" customFormat="1" x14ac:dyDescent="0.2">
      <c r="A57" s="110"/>
      <c r="B57" s="65"/>
      <c r="L57" s="66"/>
      <c r="M57" s="110"/>
      <c r="N57" s="65"/>
      <c r="X57" s="66"/>
      <c r="Y57" s="110"/>
      <c r="AA57" s="2"/>
      <c r="AB57" s="73" t="s">
        <v>66</v>
      </c>
    </row>
    <row r="58" spans="1:31" customFormat="1" x14ac:dyDescent="0.2">
      <c r="A58" s="110"/>
      <c r="B58" s="65"/>
      <c r="L58" s="66"/>
      <c r="M58" s="110"/>
      <c r="N58" s="65"/>
      <c r="X58" s="66"/>
      <c r="Y58" s="110"/>
      <c r="AA58" s="2"/>
      <c r="AC58" s="73" t="s">
        <v>67</v>
      </c>
      <c r="AD58" s="73" t="s">
        <v>86</v>
      </c>
      <c r="AE58" s="76">
        <v>43598</v>
      </c>
    </row>
    <row r="59" spans="1:31" customFormat="1" x14ac:dyDescent="0.2">
      <c r="A59" s="110"/>
      <c r="B59" s="65"/>
      <c r="L59" s="66"/>
      <c r="M59" s="110"/>
      <c r="N59" s="65"/>
      <c r="X59" s="66"/>
      <c r="Y59" s="110"/>
      <c r="AD59" s="73" t="s">
        <v>86</v>
      </c>
      <c r="AE59" s="76">
        <v>44927</v>
      </c>
    </row>
    <row r="60" spans="1:31" customFormat="1" x14ac:dyDescent="0.2">
      <c r="A60" s="110"/>
      <c r="B60" s="65"/>
      <c r="L60" s="66"/>
      <c r="M60" s="110"/>
      <c r="N60" s="65"/>
      <c r="X60" s="66"/>
      <c r="Y60" s="110"/>
      <c r="AC60" s="73" t="s">
        <v>68</v>
      </c>
      <c r="AD60">
        <v>-40</v>
      </c>
      <c r="AE60" s="76">
        <f>+AE58</f>
        <v>43598</v>
      </c>
    </row>
    <row r="61" spans="1:31" customFormat="1" x14ac:dyDescent="0.2">
      <c r="A61" s="110"/>
      <c r="B61" s="65"/>
      <c r="L61" s="66"/>
      <c r="M61" s="110"/>
      <c r="N61" s="65"/>
      <c r="X61" s="66"/>
      <c r="Y61" s="110"/>
      <c r="AD61">
        <f>AD60</f>
        <v>-40</v>
      </c>
      <c r="AE61" s="76">
        <f>+AE59</f>
        <v>44927</v>
      </c>
    </row>
    <row r="62" spans="1:31" customFormat="1" x14ac:dyDescent="0.2">
      <c r="A62" s="110"/>
      <c r="B62" s="65"/>
      <c r="L62" s="66"/>
      <c r="M62" s="110"/>
      <c r="N62" s="65"/>
      <c r="X62" s="66"/>
      <c r="Y62" s="110"/>
      <c r="AC62" s="73" t="s">
        <v>67</v>
      </c>
      <c r="AD62" s="73" t="s">
        <v>86</v>
      </c>
      <c r="AE62" s="76">
        <f>+AE58</f>
        <v>43598</v>
      </c>
    </row>
    <row r="63" spans="1:31" customFormat="1" x14ac:dyDescent="0.2">
      <c r="A63" s="110"/>
      <c r="B63" s="65"/>
      <c r="L63" s="66"/>
      <c r="M63" s="110"/>
      <c r="N63" s="65"/>
      <c r="X63" s="66"/>
      <c r="Y63" s="110"/>
      <c r="AD63" s="73" t="s">
        <v>86</v>
      </c>
      <c r="AE63" s="76">
        <f>+AE59</f>
        <v>44927</v>
      </c>
    </row>
    <row r="64" spans="1:31" customFormat="1" x14ac:dyDescent="0.2">
      <c r="A64" s="110"/>
      <c r="B64" s="65"/>
      <c r="L64" s="66"/>
      <c r="M64" s="110"/>
      <c r="N64" s="65"/>
      <c r="X64" s="66"/>
      <c r="Y64" s="110"/>
      <c r="AC64" s="73" t="s">
        <v>68</v>
      </c>
      <c r="AD64">
        <f>-AD60</f>
        <v>40</v>
      </c>
      <c r="AE64" s="76">
        <f>+AE62</f>
        <v>43598</v>
      </c>
    </row>
    <row r="65" spans="1:31" customFormat="1" x14ac:dyDescent="0.2">
      <c r="A65" s="110"/>
      <c r="B65" s="65"/>
      <c r="L65" s="66"/>
      <c r="M65" s="110"/>
      <c r="N65" s="65"/>
      <c r="X65" s="66"/>
      <c r="Y65" s="110"/>
      <c r="AD65">
        <f>AD64</f>
        <v>40</v>
      </c>
      <c r="AE65" s="76">
        <f>+AE63</f>
        <v>44927</v>
      </c>
    </row>
    <row r="66" spans="1:31" customFormat="1" x14ac:dyDescent="0.2">
      <c r="A66" s="110"/>
      <c r="B66" s="65"/>
      <c r="L66" s="66"/>
      <c r="M66" s="110"/>
      <c r="N66" s="65"/>
      <c r="X66" s="66"/>
      <c r="Y66" s="110"/>
    </row>
    <row r="67" spans="1:31" customFormat="1" x14ac:dyDescent="0.2">
      <c r="A67" s="110"/>
      <c r="B67" s="65"/>
      <c r="L67" s="66"/>
      <c r="M67" s="110"/>
      <c r="N67" s="65"/>
      <c r="X67" s="66"/>
      <c r="Y67" s="110"/>
    </row>
    <row r="68" spans="1:31" customFormat="1" x14ac:dyDescent="0.2">
      <c r="A68" s="110"/>
      <c r="B68" s="67"/>
      <c r="C68" s="68"/>
      <c r="D68" s="68"/>
      <c r="E68" s="68"/>
      <c r="F68" s="68"/>
      <c r="G68" s="68"/>
      <c r="H68" s="68"/>
      <c r="I68" s="68"/>
      <c r="J68" s="68"/>
      <c r="K68" s="68"/>
      <c r="L68" s="69"/>
      <c r="M68" s="115"/>
      <c r="N68" s="67"/>
      <c r="O68" s="68"/>
      <c r="P68" s="68"/>
      <c r="Q68" s="68"/>
      <c r="R68" s="68"/>
      <c r="S68" s="68"/>
      <c r="T68" s="68"/>
      <c r="U68" s="68"/>
      <c r="V68" s="68"/>
      <c r="W68" s="68"/>
      <c r="X68" s="69"/>
      <c r="Y68" s="110"/>
    </row>
    <row r="69" spans="1:31" customFormat="1" x14ac:dyDescent="0.2">
      <c r="A69" s="110"/>
      <c r="B69" s="117"/>
      <c r="C69" s="110"/>
      <c r="D69" s="110"/>
      <c r="E69" s="110"/>
      <c r="F69" s="110"/>
      <c r="G69" s="110"/>
      <c r="H69" s="110"/>
      <c r="I69" s="110"/>
      <c r="J69" s="110"/>
      <c r="K69" s="110"/>
      <c r="L69" s="118"/>
      <c r="M69" s="110"/>
      <c r="N69" s="117"/>
      <c r="O69" s="110"/>
      <c r="P69" s="110"/>
      <c r="Q69" s="110"/>
      <c r="R69" s="110"/>
      <c r="S69" s="110"/>
      <c r="T69" s="110"/>
      <c r="U69" s="110"/>
      <c r="V69" s="110"/>
      <c r="W69" s="110"/>
      <c r="X69" s="118"/>
      <c r="Y69" s="110"/>
    </row>
    <row r="70" spans="1:31" ht="15.75" x14ac:dyDescent="0.2">
      <c r="A70" s="109"/>
      <c r="B70" s="60"/>
      <c r="C70" s="61"/>
      <c r="D70" s="61"/>
      <c r="E70" s="61"/>
      <c r="F70" s="61"/>
      <c r="G70" s="61"/>
      <c r="H70" s="61"/>
      <c r="I70" s="151" t="s">
        <v>9</v>
      </c>
      <c r="J70" s="151"/>
      <c r="K70" s="151"/>
      <c r="L70" s="152"/>
      <c r="M70" s="114"/>
      <c r="N70" s="60"/>
      <c r="O70" s="61"/>
      <c r="P70" s="61"/>
      <c r="Q70" s="61"/>
      <c r="R70" s="61"/>
      <c r="S70" s="61"/>
      <c r="T70" s="61"/>
      <c r="U70" s="151" t="s">
        <v>9</v>
      </c>
      <c r="V70" s="151"/>
      <c r="W70" s="151"/>
      <c r="X70" s="152"/>
      <c r="Y70" s="111"/>
    </row>
    <row r="71" spans="1:31" ht="15.75" x14ac:dyDescent="0.2">
      <c r="A71" s="109"/>
      <c r="B71" s="62"/>
      <c r="I71" s="144" t="s">
        <v>53</v>
      </c>
      <c r="J71" s="144"/>
      <c r="K71" s="144"/>
      <c r="L71" s="153"/>
      <c r="M71" s="111"/>
      <c r="N71" s="62"/>
      <c r="U71" s="144" t="s">
        <v>53</v>
      </c>
      <c r="V71" s="144"/>
      <c r="W71" s="144"/>
      <c r="X71" s="153"/>
      <c r="Y71" s="111"/>
    </row>
    <row r="72" spans="1:31" ht="15" x14ac:dyDescent="0.2">
      <c r="A72" s="109"/>
      <c r="B72" s="62"/>
      <c r="I72" s="63"/>
      <c r="J72" s="63"/>
      <c r="K72" s="63"/>
      <c r="L72" s="64"/>
      <c r="M72" s="109"/>
      <c r="N72" s="62"/>
      <c r="U72" s="63"/>
      <c r="V72" s="63"/>
      <c r="W72" s="63"/>
      <c r="X72" s="64"/>
      <c r="Y72" s="109"/>
    </row>
    <row r="73" spans="1:31" x14ac:dyDescent="0.2">
      <c r="A73" s="109"/>
      <c r="B73" s="62"/>
      <c r="J73" s="154"/>
      <c r="K73" s="154"/>
      <c r="L73" s="155"/>
      <c r="M73" s="112"/>
      <c r="N73" s="62"/>
      <c r="X73" s="64"/>
      <c r="Y73" s="109"/>
    </row>
    <row r="74" spans="1:31" x14ac:dyDescent="0.2">
      <c r="A74" s="109"/>
      <c r="B74" s="156" t="str">
        <f>"Carrefour GCR2 - GVA2 - GVA3 - déplacements en PM ( PM169.2 ) - Mesures au "&amp;TEXT(MAX('Résultats observations'!A10:A185),"jj/mm/aa")</f>
        <v>Carrefour GCR2 - GVA2 - GVA3 - déplacements en PM ( PM169.2 ) - Mesures au 20/12/22</v>
      </c>
      <c r="C74" s="157"/>
      <c r="D74" s="157"/>
      <c r="E74" s="157"/>
      <c r="F74" s="157"/>
      <c r="G74" s="157"/>
      <c r="H74" s="157"/>
      <c r="I74" s="157"/>
      <c r="J74" s="157"/>
      <c r="K74" s="157"/>
      <c r="L74" s="158"/>
      <c r="M74" s="113"/>
      <c r="N74" s="156" t="str">
        <f>" Carrefour GCR2 - GVA2 - GVA3 - déplacements en deport ( PM169.2 ) - Mesures au "&amp;TEXT(MAX('Résultats observations'!A10:A185),"jj/mm/aa")</f>
        <v xml:space="preserve"> Carrefour GCR2 - GVA2 - GVA3 - déplacements en deport ( PM169.2 ) - Mesures au 20/12/22</v>
      </c>
      <c r="O74" s="157"/>
      <c r="P74" s="157"/>
      <c r="Q74" s="157"/>
      <c r="R74" s="157"/>
      <c r="S74" s="157"/>
      <c r="T74" s="157"/>
      <c r="U74" s="157"/>
      <c r="V74" s="157"/>
      <c r="W74" s="157"/>
      <c r="X74" s="158"/>
      <c r="Y74" s="113"/>
    </row>
    <row r="75" spans="1:31" x14ac:dyDescent="0.2">
      <c r="A75" s="109"/>
      <c r="B75" s="62"/>
      <c r="L75" s="64"/>
      <c r="M75" s="109"/>
      <c r="N75" s="62"/>
      <c r="X75" s="64"/>
      <c r="Y75" s="109"/>
      <c r="AA75" s="78"/>
      <c r="AB75" s="78"/>
      <c r="AC75" s="78"/>
      <c r="AD75" s="78"/>
    </row>
    <row r="76" spans="1:31" x14ac:dyDescent="0.2">
      <c r="A76" s="109"/>
      <c r="B76" s="62"/>
      <c r="L76" s="64"/>
      <c r="M76" s="109"/>
      <c r="N76" s="62"/>
      <c r="X76" s="64"/>
      <c r="Y76" s="109"/>
      <c r="AA76" s="78"/>
      <c r="AB76" s="79"/>
      <c r="AC76" s="79"/>
      <c r="AD76" s="78"/>
    </row>
    <row r="77" spans="1:31" x14ac:dyDescent="0.2">
      <c r="A77" s="109"/>
      <c r="B77" s="62"/>
      <c r="L77" s="64"/>
      <c r="M77" s="109"/>
      <c r="N77" s="62"/>
      <c r="X77" s="64"/>
      <c r="Y77" s="109"/>
      <c r="AA77" s="78"/>
      <c r="AB77" s="79"/>
      <c r="AC77" s="79"/>
      <c r="AD77" s="78"/>
    </row>
    <row r="78" spans="1:31" x14ac:dyDescent="0.2">
      <c r="A78" s="109"/>
      <c r="B78" s="62"/>
      <c r="L78" s="64"/>
      <c r="M78" s="109"/>
      <c r="N78" s="62"/>
      <c r="X78" s="64"/>
      <c r="Y78" s="109"/>
      <c r="AA78" s="78"/>
      <c r="AB78" s="79"/>
      <c r="AC78" s="79"/>
      <c r="AD78" s="78"/>
    </row>
    <row r="79" spans="1:31" x14ac:dyDescent="0.2">
      <c r="A79" s="109"/>
      <c r="B79" s="62"/>
      <c r="L79" s="64"/>
      <c r="M79" s="109"/>
      <c r="N79" s="62"/>
      <c r="X79" s="64"/>
      <c r="Y79" s="109"/>
      <c r="AA79" s="78"/>
      <c r="AB79" s="79"/>
      <c r="AC79" s="79"/>
      <c r="AD79" s="78"/>
    </row>
    <row r="80" spans="1:31" x14ac:dyDescent="0.2">
      <c r="A80" s="109"/>
      <c r="B80" s="62"/>
      <c r="L80" s="64"/>
      <c r="M80" s="109"/>
      <c r="N80" s="62"/>
      <c r="X80" s="64"/>
      <c r="Y80" s="109"/>
      <c r="AA80" s="78"/>
      <c r="AB80" s="79"/>
      <c r="AC80" s="79"/>
      <c r="AD80" s="78"/>
    </row>
    <row r="81" spans="1:30" x14ac:dyDescent="0.2">
      <c r="A81" s="109"/>
      <c r="B81" s="62"/>
      <c r="L81" s="64"/>
      <c r="M81" s="109"/>
      <c r="N81" s="62"/>
      <c r="X81" s="64"/>
      <c r="Y81" s="109"/>
      <c r="AA81" s="78"/>
      <c r="AB81" s="79"/>
      <c r="AC81" s="79"/>
      <c r="AD81" s="78"/>
    </row>
    <row r="82" spans="1:30" x14ac:dyDescent="0.2">
      <c r="A82" s="109"/>
      <c r="B82" s="62"/>
      <c r="L82" s="64"/>
      <c r="M82" s="109"/>
      <c r="N82" s="62"/>
      <c r="X82" s="64"/>
      <c r="Y82" s="109"/>
      <c r="AA82" s="78"/>
      <c r="AB82" s="79"/>
      <c r="AC82" s="79"/>
      <c r="AD82" s="78"/>
    </row>
    <row r="83" spans="1:30" x14ac:dyDescent="0.2">
      <c r="A83" s="109"/>
      <c r="B83" s="62"/>
      <c r="L83" s="64"/>
      <c r="M83" s="109"/>
      <c r="N83" s="62"/>
      <c r="X83" s="64"/>
      <c r="Y83" s="109"/>
      <c r="AA83" s="78"/>
      <c r="AB83" s="79"/>
      <c r="AC83" s="79"/>
      <c r="AD83" s="78"/>
    </row>
    <row r="84" spans="1:30" x14ac:dyDescent="0.2">
      <c r="A84" s="109"/>
      <c r="B84" s="62"/>
      <c r="L84" s="64"/>
      <c r="M84" s="109"/>
      <c r="N84" s="62"/>
      <c r="X84" s="64"/>
      <c r="Y84" s="109"/>
      <c r="AA84" s="78"/>
      <c r="AB84" s="79"/>
      <c r="AC84" s="79"/>
      <c r="AD84" s="78"/>
    </row>
    <row r="85" spans="1:30" x14ac:dyDescent="0.2">
      <c r="A85" s="109"/>
      <c r="B85" s="62"/>
      <c r="L85" s="64"/>
      <c r="M85" s="109"/>
      <c r="N85" s="62"/>
      <c r="X85" s="64"/>
      <c r="Y85" s="109"/>
      <c r="AA85" s="78"/>
      <c r="AB85" s="79"/>
      <c r="AC85" s="79"/>
      <c r="AD85" s="78"/>
    </row>
    <row r="86" spans="1:30" x14ac:dyDescent="0.2">
      <c r="A86" s="109"/>
      <c r="B86" s="62"/>
      <c r="L86" s="64"/>
      <c r="M86" s="109"/>
      <c r="N86" s="62"/>
      <c r="X86" s="64"/>
      <c r="Y86" s="109"/>
      <c r="AA86" s="78"/>
      <c r="AB86" s="79"/>
      <c r="AC86" s="79"/>
      <c r="AD86" s="78"/>
    </row>
    <row r="87" spans="1:30" x14ac:dyDescent="0.2">
      <c r="A87" s="109"/>
      <c r="B87" s="62"/>
      <c r="L87" s="64"/>
      <c r="M87" s="109"/>
      <c r="N87" s="62"/>
      <c r="X87" s="64"/>
      <c r="Y87" s="109"/>
      <c r="AA87" s="78"/>
      <c r="AB87" s="79"/>
      <c r="AC87" s="79"/>
      <c r="AD87" s="78"/>
    </row>
    <row r="88" spans="1:30" x14ac:dyDescent="0.2">
      <c r="A88" s="109"/>
      <c r="B88" s="62"/>
      <c r="L88" s="64"/>
      <c r="M88" s="109"/>
      <c r="N88" s="62"/>
      <c r="X88" s="64"/>
      <c r="Y88" s="109"/>
      <c r="AA88" s="78"/>
      <c r="AB88" s="79"/>
      <c r="AC88" s="79"/>
      <c r="AD88" s="78"/>
    </row>
    <row r="89" spans="1:30" x14ac:dyDescent="0.2">
      <c r="A89" s="109"/>
      <c r="B89" s="62"/>
      <c r="L89" s="64"/>
      <c r="M89" s="109"/>
      <c r="N89" s="62"/>
      <c r="X89" s="64"/>
      <c r="Y89" s="109"/>
      <c r="AA89" s="78"/>
      <c r="AB89" s="79"/>
      <c r="AC89" s="79"/>
      <c r="AD89" s="78"/>
    </row>
    <row r="90" spans="1:30" x14ac:dyDescent="0.2">
      <c r="A90" s="109"/>
      <c r="B90" s="62"/>
      <c r="L90" s="64"/>
      <c r="M90" s="109"/>
      <c r="N90" s="62"/>
      <c r="X90" s="64"/>
      <c r="Y90" s="109"/>
      <c r="AA90" s="78"/>
      <c r="AB90" s="79"/>
      <c r="AC90" s="79"/>
      <c r="AD90" s="78"/>
    </row>
    <row r="91" spans="1:30" x14ac:dyDescent="0.2">
      <c r="A91" s="109"/>
      <c r="B91" s="62"/>
      <c r="L91" s="64"/>
      <c r="M91" s="109"/>
      <c r="N91" s="62"/>
      <c r="X91" s="64"/>
      <c r="Y91" s="109"/>
      <c r="AA91" s="78"/>
      <c r="AB91" s="79"/>
      <c r="AC91" s="79"/>
      <c r="AD91" s="78"/>
    </row>
    <row r="92" spans="1:30" x14ac:dyDescent="0.2">
      <c r="A92" s="109"/>
      <c r="B92" s="62"/>
      <c r="L92" s="64"/>
      <c r="M92" s="109"/>
      <c r="N92" s="62"/>
      <c r="X92" s="64"/>
      <c r="Y92" s="109"/>
      <c r="AA92" s="78"/>
      <c r="AB92" s="79"/>
      <c r="AC92" s="79"/>
      <c r="AD92" s="78"/>
    </row>
    <row r="93" spans="1:30" x14ac:dyDescent="0.2">
      <c r="A93" s="109"/>
      <c r="B93" s="62"/>
      <c r="L93" s="64"/>
      <c r="M93" s="109"/>
      <c r="N93" s="62"/>
      <c r="X93" s="64"/>
      <c r="Y93" s="109"/>
      <c r="AA93" s="78"/>
      <c r="AB93" s="79"/>
      <c r="AC93" s="79"/>
      <c r="AD93" s="78"/>
    </row>
    <row r="94" spans="1:30" x14ac:dyDescent="0.2">
      <c r="A94" s="109"/>
      <c r="B94" s="62"/>
      <c r="L94" s="64"/>
      <c r="M94" s="109"/>
      <c r="N94" s="62"/>
      <c r="X94" s="64"/>
      <c r="Y94" s="109"/>
      <c r="AA94" s="78"/>
      <c r="AB94" s="79"/>
      <c r="AC94" s="79"/>
      <c r="AD94" s="78"/>
    </row>
    <row r="95" spans="1:30" x14ac:dyDescent="0.2">
      <c r="A95" s="109"/>
      <c r="B95" s="62"/>
      <c r="L95" s="64"/>
      <c r="M95" s="109"/>
      <c r="N95" s="62"/>
      <c r="X95" s="64"/>
      <c r="Y95" s="109"/>
      <c r="AA95" s="78"/>
      <c r="AB95" s="79"/>
      <c r="AC95" s="79"/>
      <c r="AD95" s="78"/>
    </row>
    <row r="96" spans="1:30" x14ac:dyDescent="0.2">
      <c r="A96" s="109"/>
      <c r="B96" s="62"/>
      <c r="L96" s="64"/>
      <c r="M96" s="109"/>
      <c r="N96" s="62"/>
      <c r="X96" s="64"/>
      <c r="Y96" s="109"/>
      <c r="AA96" s="78"/>
      <c r="AB96" s="79"/>
      <c r="AC96" s="79"/>
      <c r="AD96" s="78"/>
    </row>
    <row r="97" spans="1:30" x14ac:dyDescent="0.2">
      <c r="A97" s="109"/>
      <c r="B97" s="62"/>
      <c r="L97" s="64"/>
      <c r="M97" s="109"/>
      <c r="N97" s="62"/>
      <c r="X97" s="64"/>
      <c r="Y97" s="109"/>
      <c r="AA97" s="78"/>
      <c r="AB97" s="79"/>
      <c r="AC97" s="79"/>
      <c r="AD97" s="78"/>
    </row>
    <row r="98" spans="1:30" x14ac:dyDescent="0.2">
      <c r="A98" s="109"/>
      <c r="B98" s="62"/>
      <c r="L98" s="64"/>
      <c r="M98" s="109"/>
      <c r="N98" s="62"/>
      <c r="X98" s="64"/>
      <c r="Y98" s="109"/>
      <c r="AA98" s="78"/>
      <c r="AB98" s="79"/>
      <c r="AC98" s="79"/>
      <c r="AD98" s="78"/>
    </row>
    <row r="99" spans="1:30" x14ac:dyDescent="0.2">
      <c r="A99" s="109"/>
      <c r="B99" s="62"/>
      <c r="L99" s="64"/>
      <c r="M99" s="109"/>
      <c r="N99" s="62"/>
      <c r="X99" s="64"/>
      <c r="Y99" s="109"/>
      <c r="AA99" s="78"/>
      <c r="AB99" s="79"/>
      <c r="AC99" s="79"/>
      <c r="AD99" s="78"/>
    </row>
    <row r="100" spans="1:30" x14ac:dyDescent="0.2">
      <c r="A100" s="109"/>
      <c r="B100" s="62"/>
      <c r="L100" s="64"/>
      <c r="M100" s="109"/>
      <c r="N100" s="62"/>
      <c r="X100" s="64"/>
      <c r="Y100" s="109"/>
      <c r="AA100" s="78"/>
      <c r="AB100" s="79"/>
      <c r="AC100" s="79"/>
      <c r="AD100" s="78"/>
    </row>
    <row r="101" spans="1:30" x14ac:dyDescent="0.2">
      <c r="A101" s="109"/>
      <c r="B101" s="62"/>
      <c r="L101" s="64"/>
      <c r="M101" s="109"/>
      <c r="N101" s="62"/>
      <c r="X101" s="64"/>
      <c r="Y101" s="109"/>
      <c r="AA101" s="78"/>
      <c r="AB101" s="79"/>
      <c r="AC101" s="79"/>
      <c r="AD101" s="78"/>
    </row>
    <row r="102" spans="1:30" x14ac:dyDescent="0.2">
      <c r="A102" s="109"/>
      <c r="B102" s="62"/>
      <c r="L102" s="64"/>
      <c r="M102" s="109"/>
      <c r="N102" s="62"/>
      <c r="X102" s="64"/>
      <c r="Y102" s="109"/>
      <c r="AA102" s="78"/>
      <c r="AB102" s="79"/>
      <c r="AC102" s="79"/>
      <c r="AD102" s="78"/>
    </row>
    <row r="103" spans="1:30" x14ac:dyDescent="0.2">
      <c r="A103" s="109"/>
      <c r="B103" s="70"/>
      <c r="C103" s="71"/>
      <c r="D103" s="71"/>
      <c r="E103" s="71"/>
      <c r="F103" s="71"/>
      <c r="G103" s="71"/>
      <c r="H103" s="71"/>
      <c r="I103" s="71"/>
      <c r="J103" s="71"/>
      <c r="K103" s="71"/>
      <c r="L103" s="72"/>
      <c r="M103" s="116"/>
      <c r="N103" s="70"/>
      <c r="O103" s="71"/>
      <c r="P103" s="71"/>
      <c r="Q103" s="71"/>
      <c r="R103" s="71"/>
      <c r="S103" s="71"/>
      <c r="T103" s="71"/>
      <c r="U103" s="71"/>
      <c r="V103" s="71"/>
      <c r="W103" s="71"/>
      <c r="X103" s="72"/>
      <c r="Y103" s="109"/>
      <c r="AA103" s="78"/>
      <c r="AB103" s="79"/>
      <c r="AC103" s="79"/>
      <c r="AD103" s="78"/>
    </row>
    <row r="104" spans="1:30" x14ac:dyDescent="0.2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AA104" s="78"/>
      <c r="AB104" s="79"/>
      <c r="AC104" s="79"/>
      <c r="AD104" s="78"/>
    </row>
    <row r="105" spans="1:30" x14ac:dyDescent="0.2">
      <c r="AA105" s="78"/>
      <c r="AB105" s="79"/>
      <c r="AC105" s="79"/>
      <c r="AD105" s="78"/>
    </row>
    <row r="106" spans="1:30" x14ac:dyDescent="0.2">
      <c r="AA106" s="78"/>
      <c r="AB106" s="79"/>
      <c r="AC106" s="79"/>
      <c r="AD106" s="78"/>
    </row>
    <row r="107" spans="1:30" x14ac:dyDescent="0.2">
      <c r="AA107" s="78"/>
      <c r="AB107" s="79"/>
      <c r="AC107" s="79"/>
      <c r="AD107" s="78"/>
    </row>
    <row r="108" spans="1:30" x14ac:dyDescent="0.2">
      <c r="AA108" s="78"/>
      <c r="AB108" s="79"/>
      <c r="AC108" s="79"/>
      <c r="AD108" s="78"/>
    </row>
    <row r="109" spans="1:30" x14ac:dyDescent="0.2">
      <c r="Q109" s="92"/>
      <c r="AA109" s="78"/>
      <c r="AB109" s="79"/>
      <c r="AC109" s="79"/>
      <c r="AD109" s="78"/>
    </row>
    <row r="110" spans="1:30" x14ac:dyDescent="0.2">
      <c r="AA110" s="78"/>
      <c r="AB110" s="79"/>
      <c r="AC110" s="79"/>
      <c r="AD110" s="78"/>
    </row>
    <row r="111" spans="1:30" x14ac:dyDescent="0.2">
      <c r="AA111" s="78"/>
      <c r="AB111" s="78"/>
      <c r="AC111" s="78"/>
      <c r="AD111" s="78"/>
    </row>
    <row r="112" spans="1:30" x14ac:dyDescent="0.2">
      <c r="AA112" s="78"/>
      <c r="AB112" s="78"/>
      <c r="AC112" s="78"/>
      <c r="AD112" s="78"/>
    </row>
  </sheetData>
  <mergeCells count="19">
    <mergeCell ref="B74:L74"/>
    <mergeCell ref="N74:X74"/>
    <mergeCell ref="I38:L38"/>
    <mergeCell ref="U38:X38"/>
    <mergeCell ref="J40:L40"/>
    <mergeCell ref="V40:X40"/>
    <mergeCell ref="B41:L41"/>
    <mergeCell ref="N41:X41"/>
    <mergeCell ref="I70:L70"/>
    <mergeCell ref="U70:X70"/>
    <mergeCell ref="I71:L71"/>
    <mergeCell ref="U71:X71"/>
    <mergeCell ref="J73:L73"/>
    <mergeCell ref="U37:X37"/>
    <mergeCell ref="I2:L2"/>
    <mergeCell ref="I3:L3"/>
    <mergeCell ref="J5:L5"/>
    <mergeCell ref="B6:L6"/>
    <mergeCell ref="I37:L37"/>
  </mergeCells>
  <printOptions horizontalCentered="1" verticalCentered="1"/>
  <pageMargins left="0.39370078740157483" right="0.39370078740157483" top="0.19685039370078741" bottom="0.19685039370078741" header="0.51181102362204722" footer="0.51181102362204722"/>
  <pageSetup paperSize="9" orientation="landscape" r:id="rId1"/>
  <headerFooter alignWithMargins="0"/>
  <colBreaks count="1" manualBreakCount="1"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0]!changerDateDerniereMesure">
                <anchor moveWithCells="1" sizeWithCells="1">
                  <from>
                    <xdr:col>26</xdr:col>
                    <xdr:colOff>609600</xdr:colOff>
                    <xdr:row>2</xdr:row>
                    <xdr:rowOff>66675</xdr:rowOff>
                  </from>
                  <to>
                    <xdr:col>27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5"/>
  <dimension ref="A1:V64"/>
  <sheetViews>
    <sheetView topLeftCell="A35" zoomScaleNormal="100" workbookViewId="0">
      <selection activeCell="T66" sqref="T66"/>
    </sheetView>
  </sheetViews>
  <sheetFormatPr baseColWidth="10" defaultColWidth="11.42578125" defaultRowHeight="12.75" x14ac:dyDescent="0.2"/>
  <cols>
    <col min="1" max="1" width="7.140625" style="2" customWidth="1"/>
    <col min="2" max="2" width="9.42578125" style="2" customWidth="1"/>
    <col min="3" max="7" width="8.42578125" style="2" customWidth="1"/>
    <col min="8" max="8" width="9.85546875" style="2" bestFit="1" customWidth="1"/>
    <col min="9" max="10" width="8.42578125" style="2" customWidth="1"/>
    <col min="11" max="12" width="7.140625" style="2" customWidth="1"/>
    <col min="13" max="13" width="9.42578125" style="2" customWidth="1"/>
    <col min="14" max="18" width="8.42578125" style="2" customWidth="1"/>
    <col min="19" max="19" width="9.85546875" style="2" bestFit="1" customWidth="1"/>
    <col min="20" max="21" width="8.42578125" style="2" customWidth="1"/>
    <col min="22" max="22" width="7.140625" style="2" customWidth="1"/>
    <col min="23" max="16384" width="11.42578125" style="2"/>
  </cols>
  <sheetData>
    <row r="1" spans="1:22" ht="15.75" x14ac:dyDescent="0.2">
      <c r="A1" s="60"/>
      <c r="B1" s="61"/>
      <c r="C1" s="61"/>
      <c r="D1" s="61"/>
      <c r="E1" s="61"/>
      <c r="F1" s="61"/>
      <c r="G1" s="61"/>
      <c r="H1" s="151" t="s">
        <v>9</v>
      </c>
      <c r="I1" s="151"/>
      <c r="J1" s="151"/>
      <c r="K1" s="152"/>
      <c r="L1" s="60"/>
      <c r="M1" s="61"/>
      <c r="N1" s="61"/>
      <c r="O1" s="61"/>
      <c r="P1" s="61"/>
      <c r="Q1" s="61"/>
      <c r="R1" s="61"/>
      <c r="S1" s="151" t="s">
        <v>9</v>
      </c>
      <c r="T1" s="151"/>
      <c r="U1" s="151"/>
      <c r="V1" s="152"/>
    </row>
    <row r="2" spans="1:22" ht="15.75" x14ac:dyDescent="0.2">
      <c r="A2" s="62"/>
      <c r="H2" s="144" t="s">
        <v>53</v>
      </c>
      <c r="I2" s="144"/>
      <c r="J2" s="144"/>
      <c r="K2" s="153"/>
      <c r="L2" s="62"/>
      <c r="S2" s="144" t="s">
        <v>53</v>
      </c>
      <c r="T2" s="144"/>
      <c r="U2" s="144"/>
      <c r="V2" s="153"/>
    </row>
    <row r="3" spans="1:22" ht="15" x14ac:dyDescent="0.2">
      <c r="A3" s="62"/>
      <c r="H3" s="63"/>
      <c r="I3" s="63"/>
      <c r="J3" s="63"/>
      <c r="K3" s="64"/>
      <c r="L3" s="62"/>
      <c r="S3" s="63"/>
      <c r="T3" s="63"/>
      <c r="U3" s="63"/>
      <c r="V3" s="64"/>
    </row>
    <row r="4" spans="1:22" x14ac:dyDescent="0.2">
      <c r="A4" s="62"/>
      <c r="I4" s="154"/>
      <c r="J4" s="154"/>
      <c r="K4" s="155"/>
      <c r="L4" s="62"/>
      <c r="T4" s="154"/>
      <c r="U4" s="154"/>
      <c r="V4" s="155"/>
    </row>
    <row r="5" spans="1:22" x14ac:dyDescent="0.2">
      <c r="A5" s="156" t="str">
        <f>'Graphiques F(date) (100j)'!B41</f>
        <v>Carrefour GCR2 - GVA2 - GVA3 Convergence T12T13 ( PM169.2 ) - Mesures au 20/12/22</v>
      </c>
      <c r="B5" s="157"/>
      <c r="C5" s="157"/>
      <c r="D5" s="157"/>
      <c r="E5" s="157"/>
      <c r="F5" s="157"/>
      <c r="G5" s="157"/>
      <c r="H5" s="157"/>
      <c r="I5" s="157"/>
      <c r="J5" s="157"/>
      <c r="K5" s="158"/>
      <c r="L5" s="156" t="str">
        <f>'Graphiques F(date)'!N41</f>
        <v>Carrefour GCR2 - GVA2 - GVA3 -Déplacements en alti ( PM169.2 ) - Mesures au 20/12/22</v>
      </c>
      <c r="M5" s="157"/>
      <c r="N5" s="157"/>
      <c r="O5" s="157"/>
      <c r="P5" s="157"/>
      <c r="Q5" s="157"/>
      <c r="R5" s="157"/>
      <c r="S5" s="157"/>
      <c r="T5" s="157"/>
      <c r="U5" s="157"/>
      <c r="V5" s="158"/>
    </row>
    <row r="6" spans="1:22" ht="7.5" customHeight="1" x14ac:dyDescent="0.2">
      <c r="A6" s="62"/>
      <c r="K6" s="64"/>
      <c r="L6" s="62"/>
      <c r="V6" s="64"/>
    </row>
    <row r="7" spans="1:22" s="30" customFormat="1" x14ac:dyDescent="0.2">
      <c r="A7" s="65"/>
      <c r="B7"/>
      <c r="C7"/>
      <c r="D7"/>
      <c r="E7"/>
      <c r="F7"/>
      <c r="G7"/>
      <c r="H7"/>
      <c r="I7"/>
      <c r="J7"/>
      <c r="K7" s="66"/>
      <c r="L7" s="65"/>
      <c r="M7"/>
      <c r="N7"/>
      <c r="O7"/>
      <c r="P7"/>
      <c r="Q7"/>
      <c r="R7"/>
      <c r="S7"/>
      <c r="T7"/>
      <c r="U7"/>
      <c r="V7" s="66"/>
    </row>
    <row r="8" spans="1:22" x14ac:dyDescent="0.2">
      <c r="A8" s="65"/>
      <c r="B8"/>
      <c r="C8"/>
      <c r="D8"/>
      <c r="E8"/>
      <c r="F8"/>
      <c r="G8"/>
      <c r="H8"/>
      <c r="I8"/>
      <c r="J8"/>
      <c r="K8" s="66"/>
      <c r="L8" s="65"/>
      <c r="M8"/>
      <c r="N8"/>
      <c r="O8"/>
      <c r="P8"/>
      <c r="Q8"/>
      <c r="R8"/>
      <c r="S8"/>
      <c r="T8"/>
      <c r="U8"/>
      <c r="V8" s="66"/>
    </row>
    <row r="9" spans="1:22" customFormat="1" ht="35.25" customHeight="1" x14ac:dyDescent="0.2">
      <c r="A9" s="65"/>
      <c r="K9" s="66"/>
      <c r="L9" s="65"/>
      <c r="V9" s="66"/>
    </row>
    <row r="10" spans="1:22" customFormat="1" ht="13.5" customHeight="1" x14ac:dyDescent="0.2">
      <c r="A10" s="65"/>
      <c r="K10" s="66"/>
      <c r="L10" s="65"/>
      <c r="V10" s="66"/>
    </row>
    <row r="11" spans="1:22" customFormat="1" ht="13.5" customHeight="1" x14ac:dyDescent="0.2">
      <c r="A11" s="65"/>
      <c r="K11" s="66"/>
      <c r="L11" s="65"/>
      <c r="V11" s="66"/>
    </row>
    <row r="12" spans="1:22" customFormat="1" ht="13.5" customHeight="1" x14ac:dyDescent="0.2">
      <c r="A12" s="65"/>
      <c r="K12" s="66"/>
      <c r="L12" s="65"/>
      <c r="V12" s="66"/>
    </row>
    <row r="13" spans="1:22" customFormat="1" ht="13.5" customHeight="1" x14ac:dyDescent="0.2">
      <c r="A13" s="65"/>
      <c r="K13" s="66"/>
      <c r="L13" s="65"/>
      <c r="V13" s="66"/>
    </row>
    <row r="14" spans="1:22" customFormat="1" ht="13.5" customHeight="1" x14ac:dyDescent="0.2">
      <c r="A14" s="65"/>
      <c r="K14" s="66"/>
      <c r="L14" s="65"/>
      <c r="V14" s="66"/>
    </row>
    <row r="15" spans="1:22" customFormat="1" ht="13.5" customHeight="1" x14ac:dyDescent="0.2">
      <c r="A15" s="65"/>
      <c r="K15" s="66"/>
      <c r="L15" s="65"/>
      <c r="V15" s="66"/>
    </row>
    <row r="16" spans="1:22" customFormat="1" ht="13.5" customHeight="1" x14ac:dyDescent="0.2">
      <c r="A16" s="65"/>
      <c r="K16" s="66"/>
      <c r="L16" s="65"/>
      <c r="V16" s="66"/>
    </row>
    <row r="17" spans="1:22" customFormat="1" ht="13.5" customHeight="1" x14ac:dyDescent="0.2">
      <c r="A17" s="65"/>
      <c r="K17" s="66"/>
      <c r="L17" s="65"/>
      <c r="V17" s="66"/>
    </row>
    <row r="18" spans="1:22" customFormat="1" x14ac:dyDescent="0.2">
      <c r="A18" s="65"/>
      <c r="K18" s="66"/>
      <c r="L18" s="65"/>
      <c r="V18" s="66"/>
    </row>
    <row r="19" spans="1:22" customFormat="1" x14ac:dyDescent="0.2">
      <c r="A19" s="65"/>
      <c r="K19" s="66"/>
      <c r="L19" s="65"/>
      <c r="V19" s="66"/>
    </row>
    <row r="20" spans="1:22" customFormat="1" x14ac:dyDescent="0.2">
      <c r="A20" s="65"/>
      <c r="K20" s="66"/>
      <c r="L20" s="65"/>
      <c r="V20" s="66"/>
    </row>
    <row r="21" spans="1:22" customFormat="1" x14ac:dyDescent="0.2">
      <c r="A21" s="65"/>
      <c r="K21" s="66"/>
      <c r="L21" s="65"/>
      <c r="V21" s="66"/>
    </row>
    <row r="22" spans="1:22" customFormat="1" x14ac:dyDescent="0.2">
      <c r="A22" s="65"/>
      <c r="K22" s="66"/>
      <c r="L22" s="65"/>
      <c r="V22" s="66"/>
    </row>
    <row r="23" spans="1:22" customFormat="1" x14ac:dyDescent="0.2">
      <c r="A23" s="65"/>
      <c r="K23" s="66"/>
      <c r="L23" s="65"/>
      <c r="V23" s="66"/>
    </row>
    <row r="24" spans="1:22" customFormat="1" x14ac:dyDescent="0.2">
      <c r="A24" s="65"/>
      <c r="K24" s="66"/>
      <c r="L24" s="65"/>
      <c r="V24" s="66"/>
    </row>
    <row r="25" spans="1:22" customFormat="1" x14ac:dyDescent="0.2">
      <c r="A25" s="65"/>
      <c r="K25" s="66"/>
      <c r="L25" s="65"/>
      <c r="V25" s="66"/>
    </row>
    <row r="26" spans="1:22" customFormat="1" x14ac:dyDescent="0.2">
      <c r="A26" s="65"/>
      <c r="K26" s="66"/>
      <c r="L26" s="65"/>
      <c r="V26" s="66"/>
    </row>
    <row r="27" spans="1:22" customFormat="1" x14ac:dyDescent="0.2">
      <c r="A27" s="65"/>
      <c r="K27" s="66"/>
      <c r="L27" s="65"/>
      <c r="V27" s="66"/>
    </row>
    <row r="28" spans="1:22" customFormat="1" x14ac:dyDescent="0.2">
      <c r="A28" s="65"/>
      <c r="K28" s="66"/>
      <c r="L28" s="65"/>
      <c r="V28" s="66"/>
    </row>
    <row r="29" spans="1:22" customFormat="1" x14ac:dyDescent="0.2">
      <c r="A29" s="65"/>
      <c r="K29" s="66"/>
      <c r="L29" s="65"/>
      <c r="V29" s="66"/>
    </row>
    <row r="30" spans="1:22" customFormat="1" x14ac:dyDescent="0.2">
      <c r="A30" s="65"/>
      <c r="K30" s="66"/>
      <c r="L30" s="65"/>
      <c r="V30" s="66"/>
    </row>
    <row r="31" spans="1:22" customFormat="1" x14ac:dyDescent="0.2">
      <c r="A31" s="65"/>
      <c r="K31" s="66"/>
      <c r="L31" s="65"/>
      <c r="V31" s="66"/>
    </row>
    <row r="32" spans="1:22" customFormat="1" x14ac:dyDescent="0.2">
      <c r="A32" s="67"/>
      <c r="B32" s="68"/>
      <c r="C32" s="68"/>
      <c r="D32" s="68"/>
      <c r="E32" s="68"/>
      <c r="F32" s="68"/>
      <c r="G32" s="68"/>
      <c r="H32" s="68"/>
      <c r="I32" s="68"/>
      <c r="J32" s="68"/>
      <c r="K32" s="69"/>
      <c r="L32" s="67"/>
      <c r="M32" s="68"/>
      <c r="N32" s="68"/>
      <c r="O32" s="68"/>
      <c r="P32" s="68"/>
      <c r="Q32" s="68"/>
      <c r="R32" s="68"/>
      <c r="S32" s="68"/>
      <c r="T32" s="68"/>
      <c r="U32" s="68"/>
      <c r="V32" s="69"/>
    </row>
    <row r="33" spans="1:22" ht="15.75" x14ac:dyDescent="0.2">
      <c r="A33" s="60"/>
      <c r="B33" s="61"/>
      <c r="C33" s="61"/>
      <c r="D33" s="61"/>
      <c r="E33" s="61"/>
      <c r="F33" s="61"/>
      <c r="G33" s="61"/>
      <c r="H33" s="151" t="s">
        <v>9</v>
      </c>
      <c r="I33" s="151"/>
      <c r="J33" s="151"/>
      <c r="K33" s="152"/>
      <c r="L33" s="60"/>
      <c r="M33" s="61"/>
      <c r="N33" s="61"/>
      <c r="O33" s="61"/>
      <c r="P33" s="61"/>
      <c r="Q33" s="61"/>
      <c r="R33" s="61"/>
      <c r="S33" s="151" t="s">
        <v>9</v>
      </c>
      <c r="T33" s="151"/>
      <c r="U33" s="151"/>
      <c r="V33" s="152"/>
    </row>
    <row r="34" spans="1:22" ht="15.75" x14ac:dyDescent="0.2">
      <c r="A34" s="62"/>
      <c r="H34" s="144" t="s">
        <v>53</v>
      </c>
      <c r="I34" s="144"/>
      <c r="J34" s="144"/>
      <c r="K34" s="153"/>
      <c r="L34" s="62"/>
      <c r="S34" s="144" t="s">
        <v>53</v>
      </c>
      <c r="T34" s="144"/>
      <c r="U34" s="144"/>
      <c r="V34" s="153"/>
    </row>
    <row r="35" spans="1:22" ht="15" x14ac:dyDescent="0.2">
      <c r="A35" s="62"/>
      <c r="H35" s="63"/>
      <c r="I35" s="63"/>
      <c r="J35" s="63"/>
      <c r="K35" s="64"/>
      <c r="L35" s="62"/>
      <c r="S35" s="63"/>
      <c r="T35" s="63"/>
      <c r="U35" s="63"/>
      <c r="V35" s="64"/>
    </row>
    <row r="36" spans="1:22" x14ac:dyDescent="0.2">
      <c r="A36" s="62"/>
      <c r="I36" s="154"/>
      <c r="J36" s="154"/>
      <c r="K36" s="155"/>
      <c r="L36" s="62"/>
      <c r="V36" s="64"/>
    </row>
    <row r="37" spans="1:22" x14ac:dyDescent="0.2">
      <c r="A37" s="156" t="str">
        <f>'Graphiques F(date)'!B74</f>
        <v>Carrefour GCR2 - GVA2 - GVA3 - déplacements en PM ( PM169.2 ) - Mesures au 20/12/22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8"/>
      <c r="L37" s="156" t="str">
        <f>'Graphiques F(date)'!N74</f>
        <v xml:space="preserve"> Carrefour GCR2 - GVA2 - GVA3 - déplacements en deport ( PM169.2 ) - Mesures au 20/12/22</v>
      </c>
      <c r="M37" s="157"/>
      <c r="N37" s="157"/>
      <c r="O37" s="157"/>
      <c r="P37" s="157"/>
      <c r="Q37" s="157"/>
      <c r="R37" s="157"/>
      <c r="S37" s="157"/>
      <c r="T37" s="157"/>
      <c r="U37" s="157"/>
      <c r="V37" s="158"/>
    </row>
    <row r="38" spans="1:22" x14ac:dyDescent="0.2">
      <c r="A38" s="62"/>
      <c r="K38" s="64"/>
      <c r="L38" s="62"/>
      <c r="V38" s="64"/>
    </row>
    <row r="39" spans="1:22" x14ac:dyDescent="0.2">
      <c r="A39" s="62"/>
      <c r="K39" s="64"/>
      <c r="L39" s="62"/>
      <c r="V39" s="64"/>
    </row>
    <row r="40" spans="1:22" x14ac:dyDescent="0.2">
      <c r="A40" s="62"/>
      <c r="K40" s="64"/>
      <c r="L40" s="62"/>
      <c r="V40" s="64"/>
    </row>
    <row r="41" spans="1:22" x14ac:dyDescent="0.2">
      <c r="A41" s="62"/>
      <c r="K41" s="64"/>
      <c r="L41" s="62"/>
      <c r="V41" s="64"/>
    </row>
    <row r="42" spans="1:22" x14ac:dyDescent="0.2">
      <c r="A42" s="62"/>
      <c r="K42" s="64"/>
      <c r="L42" s="62"/>
      <c r="V42" s="64"/>
    </row>
    <row r="43" spans="1:22" x14ac:dyDescent="0.2">
      <c r="A43" s="62"/>
      <c r="K43" s="64"/>
      <c r="L43" s="62"/>
      <c r="V43" s="64"/>
    </row>
    <row r="44" spans="1:22" x14ac:dyDescent="0.2">
      <c r="A44" s="62"/>
      <c r="K44" s="64"/>
      <c r="L44" s="62"/>
      <c r="V44" s="64"/>
    </row>
    <row r="45" spans="1:22" x14ac:dyDescent="0.2">
      <c r="A45" s="62"/>
      <c r="K45" s="64"/>
      <c r="L45" s="62"/>
      <c r="V45" s="64"/>
    </row>
    <row r="46" spans="1:22" x14ac:dyDescent="0.2">
      <c r="A46" s="62"/>
      <c r="K46" s="64"/>
      <c r="L46" s="62"/>
      <c r="V46" s="64"/>
    </row>
    <row r="47" spans="1:22" x14ac:dyDescent="0.2">
      <c r="A47" s="62"/>
      <c r="K47" s="64"/>
      <c r="L47" s="62"/>
      <c r="V47" s="64"/>
    </row>
    <row r="48" spans="1:22" x14ac:dyDescent="0.2">
      <c r="A48" s="62"/>
      <c r="K48" s="64"/>
      <c r="L48" s="62"/>
      <c r="V48" s="64"/>
    </row>
    <row r="49" spans="1:22" x14ac:dyDescent="0.2">
      <c r="A49" s="62"/>
      <c r="K49" s="64"/>
      <c r="L49" s="62"/>
      <c r="V49" s="64"/>
    </row>
    <row r="50" spans="1:22" x14ac:dyDescent="0.2">
      <c r="A50" s="62"/>
      <c r="K50" s="64"/>
      <c r="L50" s="62"/>
      <c r="V50" s="64"/>
    </row>
    <row r="51" spans="1:22" x14ac:dyDescent="0.2">
      <c r="A51" s="62"/>
      <c r="K51" s="64"/>
      <c r="L51" s="62"/>
      <c r="V51" s="64"/>
    </row>
    <row r="52" spans="1:22" x14ac:dyDescent="0.2">
      <c r="A52" s="62"/>
      <c r="K52" s="64"/>
      <c r="L52" s="62"/>
      <c r="V52" s="64"/>
    </row>
    <row r="53" spans="1:22" x14ac:dyDescent="0.2">
      <c r="A53" s="62"/>
      <c r="K53" s="64"/>
      <c r="L53" s="62"/>
      <c r="V53" s="64"/>
    </row>
    <row r="54" spans="1:22" x14ac:dyDescent="0.2">
      <c r="A54" s="62"/>
      <c r="K54" s="64"/>
      <c r="L54" s="62"/>
      <c r="V54" s="64"/>
    </row>
    <row r="55" spans="1:22" x14ac:dyDescent="0.2">
      <c r="A55" s="62"/>
      <c r="K55" s="64"/>
      <c r="L55" s="62"/>
      <c r="V55" s="64"/>
    </row>
    <row r="56" spans="1:22" x14ac:dyDescent="0.2">
      <c r="A56" s="62"/>
      <c r="K56" s="64"/>
      <c r="L56" s="62"/>
      <c r="V56" s="64"/>
    </row>
    <row r="57" spans="1:22" x14ac:dyDescent="0.2">
      <c r="A57" s="62"/>
      <c r="K57" s="64"/>
      <c r="L57" s="62"/>
      <c r="V57" s="64"/>
    </row>
    <row r="58" spans="1:22" x14ac:dyDescent="0.2">
      <c r="A58" s="62"/>
      <c r="K58" s="64"/>
      <c r="L58" s="62"/>
      <c r="V58" s="64"/>
    </row>
    <row r="59" spans="1:22" x14ac:dyDescent="0.2">
      <c r="A59" s="62"/>
      <c r="K59" s="64"/>
      <c r="L59" s="62"/>
      <c r="V59" s="64"/>
    </row>
    <row r="60" spans="1:22" x14ac:dyDescent="0.2">
      <c r="A60" s="62"/>
      <c r="K60" s="64"/>
      <c r="L60" s="62"/>
      <c r="V60" s="64"/>
    </row>
    <row r="61" spans="1:22" x14ac:dyDescent="0.2">
      <c r="A61" s="62"/>
      <c r="K61" s="64"/>
      <c r="L61" s="62"/>
      <c r="V61" s="64"/>
    </row>
    <row r="62" spans="1:22" x14ac:dyDescent="0.2">
      <c r="A62" s="62"/>
      <c r="K62" s="64"/>
      <c r="L62" s="62"/>
      <c r="V62" s="64"/>
    </row>
    <row r="63" spans="1:22" x14ac:dyDescent="0.2">
      <c r="A63" s="62"/>
      <c r="K63" s="64"/>
      <c r="L63" s="62"/>
      <c r="V63" s="64"/>
    </row>
    <row r="64" spans="1:22" x14ac:dyDescent="0.2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2"/>
      <c r="L64" s="70"/>
      <c r="M64" s="71"/>
      <c r="N64" s="71"/>
      <c r="O64" s="71"/>
      <c r="P64" s="71"/>
      <c r="Q64" s="71"/>
      <c r="R64" s="71"/>
      <c r="S64" s="71"/>
      <c r="T64" s="71"/>
      <c r="U64" s="71"/>
      <c r="V64" s="72"/>
    </row>
  </sheetData>
  <mergeCells count="15">
    <mergeCell ref="H1:K1"/>
    <mergeCell ref="S1:V1"/>
    <mergeCell ref="H2:K2"/>
    <mergeCell ref="S2:V2"/>
    <mergeCell ref="I4:K4"/>
    <mergeCell ref="T4:V4"/>
    <mergeCell ref="I36:K36"/>
    <mergeCell ref="A37:K37"/>
    <mergeCell ref="L37:V37"/>
    <mergeCell ref="A5:K5"/>
    <mergeCell ref="L5:V5"/>
    <mergeCell ref="H33:K33"/>
    <mergeCell ref="S33:V33"/>
    <mergeCell ref="H34:K34"/>
    <mergeCell ref="S34:V34"/>
  </mergeCells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r:id="rId1"/>
  <headerFooter alignWithMargins="0"/>
  <colBreaks count="1" manualBreakCount="1">
    <brk id="1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"/>
  <dimension ref="A3:B19"/>
  <sheetViews>
    <sheetView workbookViewId="0">
      <selection activeCell="G25" sqref="G25"/>
    </sheetView>
  </sheetViews>
  <sheetFormatPr baseColWidth="10" defaultRowHeight="12.75" x14ac:dyDescent="0.2"/>
  <cols>
    <col min="1" max="1" width="11.42578125" style="120"/>
    <col min="2" max="2" width="100.85546875" style="120" customWidth="1"/>
  </cols>
  <sheetData>
    <row r="3" spans="1:2" x14ac:dyDescent="0.2">
      <c r="A3" s="119">
        <v>43690</v>
      </c>
      <c r="B3" s="120" t="s">
        <v>70</v>
      </c>
    </row>
    <row r="4" spans="1:2" x14ac:dyDescent="0.2">
      <c r="A4" s="121">
        <v>43753</v>
      </c>
      <c r="B4" s="122" t="s">
        <v>82</v>
      </c>
    </row>
    <row r="6" spans="1:2" x14ac:dyDescent="0.2">
      <c r="A6" s="121">
        <v>43774</v>
      </c>
      <c r="B6" s="122" t="s">
        <v>83</v>
      </c>
    </row>
    <row r="9" spans="1:2" x14ac:dyDescent="0.2">
      <c r="A9" s="119">
        <v>43857</v>
      </c>
      <c r="B9" s="120" t="s">
        <v>84</v>
      </c>
    </row>
    <row r="14" spans="1:2" x14ac:dyDescent="0.2">
      <c r="A14" s="119">
        <v>44112</v>
      </c>
      <c r="B14" s="122" t="s">
        <v>98</v>
      </c>
    </row>
    <row r="15" spans="1:2" x14ac:dyDescent="0.2">
      <c r="B15" s="122" t="s">
        <v>97</v>
      </c>
    </row>
    <row r="18" spans="1:2" x14ac:dyDescent="0.2">
      <c r="A18" s="119">
        <v>44915</v>
      </c>
      <c r="B18" s="122" t="s">
        <v>105</v>
      </c>
    </row>
    <row r="19" spans="1:2" x14ac:dyDescent="0.2">
      <c r="A19" s="122"/>
      <c r="B19" s="122" t="s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67</vt:i4>
      </vt:variant>
    </vt:vector>
  </HeadingPairs>
  <TitlesOfParts>
    <vt:vector size="75" baseType="lpstr">
      <vt:lpstr>Résultats observations</vt:lpstr>
      <vt:lpstr>PARAM</vt:lpstr>
      <vt:lpstr>Convergences</vt:lpstr>
      <vt:lpstr>Déplacements</vt:lpstr>
      <vt:lpstr>Graphiques F(date)</vt:lpstr>
      <vt:lpstr>Graphiques F(date) (100j)</vt:lpstr>
      <vt:lpstr>Graphiques F(avancement)</vt:lpstr>
      <vt:lpstr>commentaires</vt:lpstr>
      <vt:lpstr>cintre</vt:lpstr>
      <vt:lpstr>date</vt:lpstr>
      <vt:lpstr>DH_BD</vt:lpstr>
      <vt:lpstr>DH_BG</vt:lpstr>
      <vt:lpstr>DH_HD</vt:lpstr>
      <vt:lpstr>DH_HG</vt:lpstr>
      <vt:lpstr>DH_ID</vt:lpstr>
      <vt:lpstr>DH_IG</vt:lpstr>
      <vt:lpstr>DHhaut</vt:lpstr>
      <vt:lpstr>dist</vt:lpstr>
      <vt:lpstr>DPM_BD</vt:lpstr>
      <vt:lpstr>DPM_BG</vt:lpstr>
      <vt:lpstr>DPM_HD</vt:lpstr>
      <vt:lpstr>DPM_HG</vt:lpstr>
      <vt:lpstr>DPM_ID</vt:lpstr>
      <vt:lpstr>DPM_IG</vt:lpstr>
      <vt:lpstr>DPMhaut</vt:lpstr>
      <vt:lpstr>DZ_BD</vt:lpstr>
      <vt:lpstr>DZ_BG</vt:lpstr>
      <vt:lpstr>DZ_HD</vt:lpstr>
      <vt:lpstr>DZ_HG</vt:lpstr>
      <vt:lpstr>DZ_ID</vt:lpstr>
      <vt:lpstr>DZ_IG</vt:lpstr>
      <vt:lpstr>DZhaut</vt:lpstr>
      <vt:lpstr>Ecart_BD</vt:lpstr>
      <vt:lpstr>Ecart_BG</vt:lpstr>
      <vt:lpstr>Ecart_HD</vt:lpstr>
      <vt:lpstr>Ecart_HG</vt:lpstr>
      <vt:lpstr>Ecart_ID</vt:lpstr>
      <vt:lpstr>Ecart_IG</vt:lpstr>
      <vt:lpstr>Ecart_LB</vt:lpstr>
      <vt:lpstr>Ecart_LH</vt:lpstr>
      <vt:lpstr>Ecart_LI</vt:lpstr>
      <vt:lpstr>excav</vt:lpstr>
      <vt:lpstr>front</vt:lpstr>
      <vt:lpstr>galerie</vt:lpstr>
      <vt:lpstr>Convergences!Impression_des_titres</vt:lpstr>
      <vt:lpstr>Déplacements!Impression_des_titres</vt:lpstr>
      <vt:lpstr>'Résultats observations'!Impression_des_titres</vt:lpstr>
      <vt:lpstr>jours</vt:lpstr>
      <vt:lpstr>PM</vt:lpstr>
      <vt:lpstr>Xbasdroit</vt:lpstr>
      <vt:lpstr>Xbasgauche</vt:lpstr>
      <vt:lpstr>Xhaut</vt:lpstr>
      <vt:lpstr>Xhautdroit</vt:lpstr>
      <vt:lpstr>Xhautgauche</vt:lpstr>
      <vt:lpstr>Xinterdroit</vt:lpstr>
      <vt:lpstr>Xintergauche</vt:lpstr>
      <vt:lpstr>Ybasdroit</vt:lpstr>
      <vt:lpstr>Ybasgauche</vt:lpstr>
      <vt:lpstr>Yhaut</vt:lpstr>
      <vt:lpstr>Yhautdroit</vt:lpstr>
      <vt:lpstr>Yhautgauche</vt:lpstr>
      <vt:lpstr>Yinterdroit</vt:lpstr>
      <vt:lpstr>Yintergauche</vt:lpstr>
      <vt:lpstr>Zbasdroit</vt:lpstr>
      <vt:lpstr>Zbasgauche</vt:lpstr>
      <vt:lpstr>Zhaut</vt:lpstr>
      <vt:lpstr>Zhautdroit</vt:lpstr>
      <vt:lpstr>Zhautgauche</vt:lpstr>
      <vt:lpstr>Zinterdroit</vt:lpstr>
      <vt:lpstr>Zintergauche</vt:lpstr>
      <vt:lpstr>Convergences!Zone_d_impression</vt:lpstr>
      <vt:lpstr>Déplacements!Zone_d_impression</vt:lpstr>
      <vt:lpstr>'Graphiques F(date)'!Zone_d_impression</vt:lpstr>
      <vt:lpstr>'Graphiques F(date) (100j)'!Zone_d_impression</vt:lpstr>
      <vt:lpstr>'Résultats observations'!Zone_d_impression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2020-03-19T08:18:39Z</cp:lastPrinted>
  <dcterms:created xsi:type="dcterms:W3CDTF">2008-07-29T13:58:19Z</dcterms:created>
  <dcterms:modified xsi:type="dcterms:W3CDTF">2025-11-06T18:27:42Z</dcterms:modified>
</cp:coreProperties>
</file>